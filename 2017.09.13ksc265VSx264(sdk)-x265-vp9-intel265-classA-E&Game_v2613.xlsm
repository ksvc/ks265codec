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qianyi09\Desktop\qytest\2017\8-23\"/>
    </mc:Choice>
  </mc:AlternateContent>
  <bookViews>
    <workbookView xWindow="0" yWindow="0" windowWidth="28800" windowHeight="12450" tabRatio="813" firstSheet="1" activeTab="1"/>
  </bookViews>
  <sheets>
    <sheet name="Intra All-I" sheetId="69" state="hidden" r:id="rId1"/>
    <sheet name="Summary-sim" sheetId="164" r:id="rId2"/>
    <sheet name="Summary-detail" sheetId="135" r:id="rId3"/>
    <sheet name="X264vsQY265_offline_superfast" sheetId="157" r:id="rId4"/>
    <sheet name="X264vsQY265_offline_veryfast" sheetId="112" r:id="rId5"/>
    <sheet name="X264vsQY265_offline_slow" sheetId="118" r:id="rId6"/>
    <sheet name="X264vsQY265_offline_placebo" sheetId="165" r:id="rId7"/>
    <sheet name="X265vsQY265_offline_superfast" sheetId="158" r:id="rId8"/>
    <sheet name="X265vsQY265_offline_veryfast" sheetId="150" r:id="rId9"/>
    <sheet name="X265vsQY265_offline_slow" sheetId="126" r:id="rId10"/>
    <sheet name="X265vsQY265_offline_veryslow" sheetId="153" r:id="rId11"/>
    <sheet name="VP9vsQY265_offline_superfast" sheetId="159" r:id="rId12"/>
    <sheet name="VP9vsQY265_offline_veryfast" sheetId="156" r:id="rId13"/>
    <sheet name="VP9vsQY265_offline_slow" sheetId="155" r:id="rId14"/>
    <sheet name="VP9vsQY265_offline_veryslow" sheetId="154" r:id="rId15"/>
    <sheet name="IntelvsQY265_offline_superfast" sheetId="163" r:id="rId16"/>
    <sheet name="IntelvsQY265_offline_veryfast" sheetId="162" r:id="rId17"/>
    <sheet name="IntelvsQY265_offline_slow" sheetId="161" r:id="rId18"/>
    <sheet name="IntelvsQY265_offline_veryslow" sheetId="160" r:id="rId19"/>
  </sheets>
  <functionGroups builtInGroupCount="18"/>
  <calcPr calcId="152511" concurrentCalc="0"/>
</workbook>
</file>

<file path=xl/calcChain.xml><?xml version="1.0" encoding="utf-8"?>
<calcChain xmlns="http://schemas.openxmlformats.org/spreadsheetml/2006/main">
  <c r="Q9" i="158" l="1"/>
  <c r="Q13" i="158"/>
  <c r="L3" i="135"/>
  <c r="R9" i="158"/>
  <c r="R13" i="158"/>
  <c r="M3" i="135"/>
  <c r="S9" i="158"/>
  <c r="S13" i="158"/>
  <c r="N3" i="135"/>
  <c r="T9" i="158"/>
  <c r="T13" i="158"/>
  <c r="O3" i="135"/>
  <c r="P3" i="135"/>
  <c r="Q17" i="158"/>
  <c r="Q21" i="158"/>
  <c r="Q25" i="158"/>
  <c r="Q29" i="158"/>
  <c r="Q33" i="158"/>
  <c r="L4" i="135"/>
  <c r="R17" i="158"/>
  <c r="R21" i="158"/>
  <c r="R25" i="158"/>
  <c r="R29" i="158"/>
  <c r="R33" i="158"/>
  <c r="M4" i="135"/>
  <c r="S17" i="158"/>
  <c r="S21" i="158"/>
  <c r="S25" i="158"/>
  <c r="S29" i="158"/>
  <c r="S33" i="158"/>
  <c r="N4" i="135"/>
  <c r="T17" i="158"/>
  <c r="T21" i="158"/>
  <c r="T25" i="158"/>
  <c r="T29" i="158"/>
  <c r="T33" i="158"/>
  <c r="O4" i="135"/>
  <c r="P4" i="135"/>
  <c r="Q37" i="158"/>
  <c r="Q41" i="158"/>
  <c r="Q45" i="158"/>
  <c r="Q49" i="158"/>
  <c r="L5" i="135"/>
  <c r="R37" i="158"/>
  <c r="R41" i="158"/>
  <c r="R45" i="158"/>
  <c r="R49" i="158"/>
  <c r="M5" i="135"/>
  <c r="S37" i="158"/>
  <c r="S41" i="158"/>
  <c r="S45" i="158"/>
  <c r="S49" i="158"/>
  <c r="N5" i="135"/>
  <c r="T37" i="158"/>
  <c r="T41" i="158"/>
  <c r="T45" i="158"/>
  <c r="T49" i="158"/>
  <c r="O5" i="135"/>
  <c r="P5" i="135"/>
  <c r="Q53" i="158"/>
  <c r="Q57" i="158"/>
  <c r="Q61" i="158"/>
  <c r="Q65" i="158"/>
  <c r="L6" i="135"/>
  <c r="R53" i="158"/>
  <c r="R57" i="158"/>
  <c r="R61" i="158"/>
  <c r="R65" i="158"/>
  <c r="M6" i="135"/>
  <c r="S53" i="158"/>
  <c r="S57" i="158"/>
  <c r="S61" i="158"/>
  <c r="S65" i="158"/>
  <c r="N6" i="135"/>
  <c r="T53" i="158"/>
  <c r="T57" i="158"/>
  <c r="T61" i="158"/>
  <c r="T65" i="158"/>
  <c r="O6" i="135"/>
  <c r="P6" i="135"/>
  <c r="Q69" i="158"/>
  <c r="Q73" i="158"/>
  <c r="Q77" i="158"/>
  <c r="L7" i="135"/>
  <c r="R69" i="158"/>
  <c r="R73" i="158"/>
  <c r="R77" i="158"/>
  <c r="M7" i="135"/>
  <c r="S69" i="158"/>
  <c r="S73" i="158"/>
  <c r="S77" i="158"/>
  <c r="N7" i="135"/>
  <c r="T69" i="158"/>
  <c r="T73" i="158"/>
  <c r="T77" i="158"/>
  <c r="O7" i="135"/>
  <c r="P7" i="135"/>
  <c r="Q81" i="158"/>
  <c r="Q85" i="158"/>
  <c r="Q89" i="158"/>
  <c r="Q93" i="158"/>
  <c r="Q97" i="158"/>
  <c r="Q101" i="158"/>
  <c r="Q105" i="158"/>
  <c r="Q109" i="158"/>
  <c r="Q113" i="158"/>
  <c r="Q117" i="158"/>
  <c r="Q121" i="158"/>
  <c r="L8" i="135"/>
  <c r="R81" i="158"/>
  <c r="R85" i="158"/>
  <c r="R89" i="158"/>
  <c r="R93" i="158"/>
  <c r="R97" i="158"/>
  <c r="R101" i="158"/>
  <c r="R105" i="158"/>
  <c r="R109" i="158"/>
  <c r="R113" i="158"/>
  <c r="R117" i="158"/>
  <c r="R121" i="158"/>
  <c r="M8" i="135"/>
  <c r="S81" i="158"/>
  <c r="S85" i="158"/>
  <c r="S89" i="158"/>
  <c r="S93" i="158"/>
  <c r="S97" i="158"/>
  <c r="S101" i="158"/>
  <c r="S105" i="158"/>
  <c r="S109" i="158"/>
  <c r="S113" i="158"/>
  <c r="S117" i="158"/>
  <c r="S121" i="158"/>
  <c r="N8" i="135"/>
  <c r="T81" i="158"/>
  <c r="T85" i="158"/>
  <c r="T89" i="158"/>
  <c r="T93" i="158"/>
  <c r="T97" i="158"/>
  <c r="T101" i="158"/>
  <c r="T105" i="158"/>
  <c r="T109" i="158"/>
  <c r="T113" i="158"/>
  <c r="T117" i="158"/>
  <c r="T121" i="158"/>
  <c r="O8" i="135"/>
  <c r="P8" i="135"/>
  <c r="Q125" i="158"/>
  <c r="L9" i="135"/>
  <c r="R125" i="158"/>
  <c r="M9" i="135"/>
  <c r="S125" i="158"/>
  <c r="N9" i="135"/>
  <c r="T125" i="158"/>
  <c r="O9" i="135"/>
  <c r="P9" i="135"/>
  <c r="Q131" i="158"/>
  <c r="Q135" i="158"/>
  <c r="L10" i="135"/>
  <c r="R131" i="158"/>
  <c r="R135" i="158"/>
  <c r="M10" i="135"/>
  <c r="S131" i="158"/>
  <c r="S135" i="158"/>
  <c r="N10" i="135"/>
  <c r="T131" i="158"/>
  <c r="T135" i="158"/>
  <c r="O10" i="135"/>
  <c r="P10" i="135"/>
  <c r="Q139" i="158"/>
  <c r="Q143" i="158"/>
  <c r="Q147" i="158"/>
  <c r="Q151" i="158"/>
  <c r="Q155" i="158"/>
  <c r="L11" i="135"/>
  <c r="R139" i="158"/>
  <c r="R143" i="158"/>
  <c r="R147" i="158"/>
  <c r="R151" i="158"/>
  <c r="R155" i="158"/>
  <c r="M11" i="135"/>
  <c r="S139" i="158"/>
  <c r="S143" i="158"/>
  <c r="S147" i="158"/>
  <c r="S151" i="158"/>
  <c r="S155" i="158"/>
  <c r="N11" i="135"/>
  <c r="T139" i="158"/>
  <c r="T143" i="158"/>
  <c r="T147" i="158"/>
  <c r="T151" i="158"/>
  <c r="T155" i="158"/>
  <c r="O11" i="135"/>
  <c r="P11" i="135"/>
  <c r="Q159" i="158"/>
  <c r="Q163" i="158"/>
  <c r="Q167" i="158"/>
  <c r="Q171" i="158"/>
  <c r="L12" i="135"/>
  <c r="R159" i="158"/>
  <c r="R163" i="158"/>
  <c r="R167" i="158"/>
  <c r="R171" i="158"/>
  <c r="M12" i="135"/>
  <c r="S159" i="158"/>
  <c r="S163" i="158"/>
  <c r="S167" i="158"/>
  <c r="S171" i="158"/>
  <c r="N12" i="135"/>
  <c r="T159" i="158"/>
  <c r="T163" i="158"/>
  <c r="T167" i="158"/>
  <c r="T171" i="158"/>
  <c r="O12" i="135"/>
  <c r="P12" i="135"/>
  <c r="Q175" i="158"/>
  <c r="Q179" i="158"/>
  <c r="Q183" i="158"/>
  <c r="Q187" i="158"/>
  <c r="L13" i="135"/>
  <c r="R175" i="158"/>
  <c r="R179" i="158"/>
  <c r="R183" i="158"/>
  <c r="R187" i="158"/>
  <c r="M13" i="135"/>
  <c r="S175" i="158"/>
  <c r="S179" i="158"/>
  <c r="S183" i="158"/>
  <c r="S187" i="158"/>
  <c r="N13" i="135"/>
  <c r="T175" i="158"/>
  <c r="T179" i="158"/>
  <c r="T183" i="158"/>
  <c r="T187" i="158"/>
  <c r="O13" i="135"/>
  <c r="P13" i="135"/>
  <c r="Q191" i="158"/>
  <c r="Q195" i="158"/>
  <c r="Q199" i="158"/>
  <c r="L14" i="135"/>
  <c r="R191" i="158"/>
  <c r="R195" i="158"/>
  <c r="R199" i="158"/>
  <c r="M14" i="135"/>
  <c r="S191" i="158"/>
  <c r="S195" i="158"/>
  <c r="S199" i="158"/>
  <c r="N14" i="135"/>
  <c r="T191" i="158"/>
  <c r="T195" i="158"/>
  <c r="T199" i="158"/>
  <c r="O14" i="135"/>
  <c r="P14" i="135"/>
  <c r="Q203" i="158"/>
  <c r="Q207" i="158"/>
  <c r="Q211" i="158"/>
  <c r="Q215" i="158"/>
  <c r="Q219" i="158"/>
  <c r="Q223" i="158"/>
  <c r="Q227" i="158"/>
  <c r="Q231" i="158"/>
  <c r="Q235" i="158"/>
  <c r="Q239" i="158"/>
  <c r="Q243" i="158"/>
  <c r="L15" i="135"/>
  <c r="R203" i="158"/>
  <c r="R207" i="158"/>
  <c r="R211" i="158"/>
  <c r="R215" i="158"/>
  <c r="R219" i="158"/>
  <c r="R223" i="158"/>
  <c r="R227" i="158"/>
  <c r="R231" i="158"/>
  <c r="R235" i="158"/>
  <c r="R239" i="158"/>
  <c r="R243" i="158"/>
  <c r="M15" i="135"/>
  <c r="S203" i="158"/>
  <c r="S207" i="158"/>
  <c r="S211" i="158"/>
  <c r="S215" i="158"/>
  <c r="S219" i="158"/>
  <c r="S223" i="158"/>
  <c r="S227" i="158"/>
  <c r="S231" i="158"/>
  <c r="S235" i="158"/>
  <c r="S239" i="158"/>
  <c r="S243" i="158"/>
  <c r="N15" i="135"/>
  <c r="T203" i="158"/>
  <c r="T207" i="158"/>
  <c r="T211" i="158"/>
  <c r="T215" i="158"/>
  <c r="T219" i="158"/>
  <c r="T223" i="158"/>
  <c r="T227" i="158"/>
  <c r="T231" i="158"/>
  <c r="T235" i="158"/>
  <c r="T239" i="158"/>
  <c r="T243" i="158"/>
  <c r="O15" i="135"/>
  <c r="P15" i="135"/>
  <c r="Q247" i="158"/>
  <c r="L16" i="135"/>
  <c r="R247" i="158"/>
  <c r="M16" i="135"/>
  <c r="S247" i="158"/>
  <c r="N16" i="135"/>
  <c r="T247" i="158"/>
  <c r="O16" i="135"/>
  <c r="P16" i="135"/>
  <c r="U9" i="153"/>
  <c r="U10" i="153"/>
  <c r="U11" i="153"/>
  <c r="U12" i="153"/>
  <c r="U13" i="153"/>
  <c r="U14" i="153"/>
  <c r="U15" i="153"/>
  <c r="U16" i="153"/>
  <c r="U17" i="153"/>
  <c r="U18" i="153"/>
  <c r="U19" i="153"/>
  <c r="U20" i="153"/>
  <c r="U21" i="153"/>
  <c r="U22" i="153"/>
  <c r="U23" i="153"/>
  <c r="U24" i="153"/>
  <c r="U25" i="153"/>
  <c r="U26" i="153"/>
  <c r="U27" i="153"/>
  <c r="U28" i="153"/>
  <c r="U29" i="153"/>
  <c r="U30" i="153"/>
  <c r="U31" i="153"/>
  <c r="U32" i="153"/>
  <c r="U33" i="153"/>
  <c r="U34" i="153"/>
  <c r="U35" i="153"/>
  <c r="U36" i="153"/>
  <c r="U37" i="153"/>
  <c r="U38" i="153"/>
  <c r="U39" i="153"/>
  <c r="U40" i="153"/>
  <c r="U41" i="153"/>
  <c r="U42" i="153"/>
  <c r="U43" i="153"/>
  <c r="U44" i="153"/>
  <c r="U45" i="153"/>
  <c r="U46" i="153"/>
  <c r="U47" i="153"/>
  <c r="U48" i="153"/>
  <c r="U49" i="153"/>
  <c r="U50" i="153"/>
  <c r="U51" i="153"/>
  <c r="U52" i="153"/>
  <c r="U53" i="153"/>
  <c r="U54" i="153"/>
  <c r="U55" i="153"/>
  <c r="U56" i="153"/>
  <c r="U57" i="153"/>
  <c r="U58" i="153"/>
  <c r="U59" i="153"/>
  <c r="U60" i="153"/>
  <c r="U61" i="153"/>
  <c r="U62" i="153"/>
  <c r="U63" i="153"/>
  <c r="U64" i="153"/>
  <c r="U65" i="153"/>
  <c r="U66" i="153"/>
  <c r="U67" i="153"/>
  <c r="U68" i="153"/>
  <c r="U69" i="153"/>
  <c r="U70" i="153"/>
  <c r="U71" i="153"/>
  <c r="U72" i="153"/>
  <c r="U73" i="153"/>
  <c r="U74" i="153"/>
  <c r="U75" i="153"/>
  <c r="U76" i="153"/>
  <c r="U77" i="153"/>
  <c r="U78" i="153"/>
  <c r="U79" i="153"/>
  <c r="U80" i="153"/>
  <c r="U81" i="153"/>
  <c r="U82" i="153"/>
  <c r="U83" i="153"/>
  <c r="U84" i="153"/>
  <c r="U85" i="153"/>
  <c r="U86" i="153"/>
  <c r="U87" i="153"/>
  <c r="U88" i="153"/>
  <c r="U89" i="153"/>
  <c r="U90" i="153"/>
  <c r="U91" i="153"/>
  <c r="U92" i="153"/>
  <c r="U93" i="153"/>
  <c r="U94" i="153"/>
  <c r="U95" i="153"/>
  <c r="U96" i="153"/>
  <c r="U97" i="153"/>
  <c r="U98" i="153"/>
  <c r="U99" i="153"/>
  <c r="U100" i="153"/>
  <c r="U101" i="153"/>
  <c r="U102" i="153"/>
  <c r="U103" i="153"/>
  <c r="U104" i="153"/>
  <c r="U105" i="153"/>
  <c r="U106" i="153"/>
  <c r="U107" i="153"/>
  <c r="U108" i="153"/>
  <c r="U109" i="153"/>
  <c r="U110" i="153"/>
  <c r="U111" i="153"/>
  <c r="U112" i="153"/>
  <c r="U113" i="153"/>
  <c r="U114" i="153"/>
  <c r="U115" i="153"/>
  <c r="U116" i="153"/>
  <c r="U117" i="153"/>
  <c r="U118" i="153"/>
  <c r="U119" i="153"/>
  <c r="U120" i="153"/>
  <c r="U121" i="153"/>
  <c r="U122" i="153"/>
  <c r="U123" i="153"/>
  <c r="U124" i="153"/>
  <c r="U125" i="153"/>
  <c r="P57" i="135"/>
  <c r="E6" i="164"/>
  <c r="H9" i="153"/>
  <c r="H10" i="153"/>
  <c r="H11" i="153"/>
  <c r="H12" i="153"/>
  <c r="O9" i="153"/>
  <c r="O10" i="153"/>
  <c r="O11" i="153"/>
  <c r="O12" i="153"/>
  <c r="T9" i="153"/>
  <c r="H13" i="153"/>
  <c r="H14" i="153"/>
  <c r="H15" i="153"/>
  <c r="H16" i="153"/>
  <c r="O13" i="153"/>
  <c r="O14" i="153"/>
  <c r="O15" i="153"/>
  <c r="O16" i="153"/>
  <c r="T13" i="153"/>
  <c r="H17" i="153"/>
  <c r="H18" i="153"/>
  <c r="H19" i="153"/>
  <c r="H20" i="153"/>
  <c r="O17" i="153"/>
  <c r="O18" i="153"/>
  <c r="O19" i="153"/>
  <c r="O20" i="153"/>
  <c r="T17" i="153"/>
  <c r="H21" i="153"/>
  <c r="H22" i="153"/>
  <c r="H23" i="153"/>
  <c r="H24" i="153"/>
  <c r="O21" i="153"/>
  <c r="O22" i="153"/>
  <c r="O23" i="153"/>
  <c r="O24" i="153"/>
  <c r="T21" i="153"/>
  <c r="H25" i="153"/>
  <c r="H26" i="153"/>
  <c r="H27" i="153"/>
  <c r="H28" i="153"/>
  <c r="O25" i="153"/>
  <c r="O26" i="153"/>
  <c r="O27" i="153"/>
  <c r="O28" i="153"/>
  <c r="T25" i="153"/>
  <c r="H29" i="153"/>
  <c r="H30" i="153"/>
  <c r="H31" i="153"/>
  <c r="H32" i="153"/>
  <c r="O29" i="153"/>
  <c r="O30" i="153"/>
  <c r="O31" i="153"/>
  <c r="O32" i="153"/>
  <c r="T29" i="153"/>
  <c r="H33" i="153"/>
  <c r="H34" i="153"/>
  <c r="H35" i="153"/>
  <c r="H36" i="153"/>
  <c r="O33" i="153"/>
  <c r="O34" i="153"/>
  <c r="O35" i="153"/>
  <c r="O36" i="153"/>
  <c r="T33" i="153"/>
  <c r="H37" i="153"/>
  <c r="H38" i="153"/>
  <c r="H39" i="153"/>
  <c r="H40" i="153"/>
  <c r="O37" i="153"/>
  <c r="O38" i="153"/>
  <c r="O39" i="153"/>
  <c r="O40" i="153"/>
  <c r="T37" i="153"/>
  <c r="H41" i="153"/>
  <c r="H42" i="153"/>
  <c r="H43" i="153"/>
  <c r="H44" i="153"/>
  <c r="O41" i="153"/>
  <c r="O42" i="153"/>
  <c r="O43" i="153"/>
  <c r="O44" i="153"/>
  <c r="T41" i="153"/>
  <c r="H45" i="153"/>
  <c r="H46" i="153"/>
  <c r="H47" i="153"/>
  <c r="H48" i="153"/>
  <c r="O45" i="153"/>
  <c r="O46" i="153"/>
  <c r="O47" i="153"/>
  <c r="O48" i="153"/>
  <c r="T45" i="153"/>
  <c r="H49" i="153"/>
  <c r="H50" i="153"/>
  <c r="H51" i="153"/>
  <c r="H52" i="153"/>
  <c r="O49" i="153"/>
  <c r="O50" i="153"/>
  <c r="O51" i="153"/>
  <c r="O52" i="153"/>
  <c r="T49" i="153"/>
  <c r="H53" i="153"/>
  <c r="H54" i="153"/>
  <c r="H55" i="153"/>
  <c r="H56" i="153"/>
  <c r="O53" i="153"/>
  <c r="O54" i="153"/>
  <c r="O55" i="153"/>
  <c r="O56" i="153"/>
  <c r="T53" i="153"/>
  <c r="H57" i="153"/>
  <c r="H58" i="153"/>
  <c r="H59" i="153"/>
  <c r="H60" i="153"/>
  <c r="O57" i="153"/>
  <c r="O58" i="153"/>
  <c r="O59" i="153"/>
  <c r="O60" i="153"/>
  <c r="T57" i="153"/>
  <c r="H61" i="153"/>
  <c r="H62" i="153"/>
  <c r="H63" i="153"/>
  <c r="H64" i="153"/>
  <c r="O61" i="153"/>
  <c r="O62" i="153"/>
  <c r="O63" i="153"/>
  <c r="O64" i="153"/>
  <c r="T61" i="153"/>
  <c r="H65" i="153"/>
  <c r="H66" i="153"/>
  <c r="H67" i="153"/>
  <c r="H68" i="153"/>
  <c r="O65" i="153"/>
  <c r="O66" i="153"/>
  <c r="O67" i="153"/>
  <c r="O68" i="153"/>
  <c r="T65" i="153"/>
  <c r="H69" i="153"/>
  <c r="H70" i="153"/>
  <c r="H71" i="153"/>
  <c r="H72" i="153"/>
  <c r="O69" i="153"/>
  <c r="O70" i="153"/>
  <c r="O71" i="153"/>
  <c r="O72" i="153"/>
  <c r="T69" i="153"/>
  <c r="H73" i="153"/>
  <c r="H74" i="153"/>
  <c r="H75" i="153"/>
  <c r="H76" i="153"/>
  <c r="O73" i="153"/>
  <c r="O74" i="153"/>
  <c r="O75" i="153"/>
  <c r="O76" i="153"/>
  <c r="T73" i="153"/>
  <c r="H77" i="153"/>
  <c r="H78" i="153"/>
  <c r="H79" i="153"/>
  <c r="H80" i="153"/>
  <c r="O77" i="153"/>
  <c r="O78" i="153"/>
  <c r="O79" i="153"/>
  <c r="O80" i="153"/>
  <c r="T77" i="153"/>
  <c r="H81" i="153"/>
  <c r="H82" i="153"/>
  <c r="H83" i="153"/>
  <c r="H84" i="153"/>
  <c r="O81" i="153"/>
  <c r="O82" i="153"/>
  <c r="O83" i="153"/>
  <c r="O84" i="153"/>
  <c r="T81" i="153"/>
  <c r="H85" i="153"/>
  <c r="H86" i="153"/>
  <c r="H87" i="153"/>
  <c r="H88" i="153"/>
  <c r="O85" i="153"/>
  <c r="O86" i="153"/>
  <c r="O87" i="153"/>
  <c r="O88" i="153"/>
  <c r="T85" i="153"/>
  <c r="H89" i="153"/>
  <c r="H90" i="153"/>
  <c r="H91" i="153"/>
  <c r="H92" i="153"/>
  <c r="O89" i="153"/>
  <c r="O90" i="153"/>
  <c r="O91" i="153"/>
  <c r="O92" i="153"/>
  <c r="T89" i="153"/>
  <c r="H93" i="153"/>
  <c r="H94" i="153"/>
  <c r="H95" i="153"/>
  <c r="H96" i="153"/>
  <c r="O93" i="153"/>
  <c r="O94" i="153"/>
  <c r="O95" i="153"/>
  <c r="O96" i="153"/>
  <c r="T93" i="153"/>
  <c r="H97" i="153"/>
  <c r="H98" i="153"/>
  <c r="H99" i="153"/>
  <c r="H100" i="153"/>
  <c r="O97" i="153"/>
  <c r="O98" i="153"/>
  <c r="O99" i="153"/>
  <c r="O100" i="153"/>
  <c r="T97" i="153"/>
  <c r="H101" i="153"/>
  <c r="H102" i="153"/>
  <c r="H103" i="153"/>
  <c r="H104" i="153"/>
  <c r="O101" i="153"/>
  <c r="O102" i="153"/>
  <c r="O103" i="153"/>
  <c r="O104" i="153"/>
  <c r="T101" i="153"/>
  <c r="H105" i="153"/>
  <c r="H106" i="153"/>
  <c r="H107" i="153"/>
  <c r="H108" i="153"/>
  <c r="O105" i="153"/>
  <c r="O106" i="153"/>
  <c r="O107" i="153"/>
  <c r="O108" i="153"/>
  <c r="T105" i="153"/>
  <c r="H109" i="153"/>
  <c r="H110" i="153"/>
  <c r="H111" i="153"/>
  <c r="H112" i="153"/>
  <c r="O109" i="153"/>
  <c r="O110" i="153"/>
  <c r="O111" i="153"/>
  <c r="O112" i="153"/>
  <c r="T109" i="153"/>
  <c r="H113" i="153"/>
  <c r="H114" i="153"/>
  <c r="H115" i="153"/>
  <c r="H116" i="153"/>
  <c r="O113" i="153"/>
  <c r="O114" i="153"/>
  <c r="O115" i="153"/>
  <c r="O116" i="153"/>
  <c r="T113" i="153"/>
  <c r="H117" i="153"/>
  <c r="H118" i="153"/>
  <c r="H119" i="153"/>
  <c r="H120" i="153"/>
  <c r="O117" i="153"/>
  <c r="O118" i="153"/>
  <c r="O119" i="153"/>
  <c r="O120" i="153"/>
  <c r="T117" i="153"/>
  <c r="H121" i="153"/>
  <c r="H122" i="153"/>
  <c r="H123" i="153"/>
  <c r="H124" i="153"/>
  <c r="O121" i="153"/>
  <c r="O122" i="153"/>
  <c r="O123" i="153"/>
  <c r="O124" i="153"/>
  <c r="T121" i="153"/>
  <c r="T125" i="153"/>
  <c r="O57" i="135"/>
  <c r="D6" i="164"/>
  <c r="U131" i="126"/>
  <c r="U132" i="126"/>
  <c r="U133" i="126"/>
  <c r="U134" i="126"/>
  <c r="U135" i="126"/>
  <c r="U136" i="126"/>
  <c r="U137" i="126"/>
  <c r="U138" i="126"/>
  <c r="U139" i="126"/>
  <c r="U140" i="126"/>
  <c r="U141" i="126"/>
  <c r="U142" i="126"/>
  <c r="U143" i="126"/>
  <c r="U144" i="126"/>
  <c r="U145" i="126"/>
  <c r="U146" i="126"/>
  <c r="U147" i="126"/>
  <c r="U148" i="126"/>
  <c r="U149" i="126"/>
  <c r="U150" i="126"/>
  <c r="U151" i="126"/>
  <c r="U152" i="126"/>
  <c r="U153" i="126"/>
  <c r="U154" i="126"/>
  <c r="U155" i="126"/>
  <c r="U156" i="126"/>
  <c r="U157" i="126"/>
  <c r="U158" i="126"/>
  <c r="U159" i="126"/>
  <c r="U160" i="126"/>
  <c r="U161" i="126"/>
  <c r="U162" i="126"/>
  <c r="U163" i="126"/>
  <c r="U164" i="126"/>
  <c r="U165" i="126"/>
  <c r="U166" i="126"/>
  <c r="U167" i="126"/>
  <c r="U168" i="126"/>
  <c r="U169" i="126"/>
  <c r="U170" i="126"/>
  <c r="U171" i="126"/>
  <c r="U172" i="126"/>
  <c r="U173" i="126"/>
  <c r="U174" i="126"/>
  <c r="U175" i="126"/>
  <c r="U176" i="126"/>
  <c r="U177" i="126"/>
  <c r="U178" i="126"/>
  <c r="U179" i="126"/>
  <c r="U180" i="126"/>
  <c r="U181" i="126"/>
  <c r="U182" i="126"/>
  <c r="U183" i="126"/>
  <c r="U184" i="126"/>
  <c r="U185" i="126"/>
  <c r="U186" i="126"/>
  <c r="U187" i="126"/>
  <c r="U188" i="126"/>
  <c r="U189" i="126"/>
  <c r="U190" i="126"/>
  <c r="U191" i="126"/>
  <c r="U192" i="126"/>
  <c r="U193" i="126"/>
  <c r="U194" i="126"/>
  <c r="U195" i="126"/>
  <c r="U196" i="126"/>
  <c r="U197" i="126"/>
  <c r="U198" i="126"/>
  <c r="U199" i="126"/>
  <c r="U200" i="126"/>
  <c r="U201" i="126"/>
  <c r="U202" i="126"/>
  <c r="U203" i="126"/>
  <c r="U204" i="126"/>
  <c r="U205" i="126"/>
  <c r="U206" i="126"/>
  <c r="U207" i="126"/>
  <c r="U208" i="126"/>
  <c r="U209" i="126"/>
  <c r="U210" i="126"/>
  <c r="U211" i="126"/>
  <c r="U212" i="126"/>
  <c r="U213" i="126"/>
  <c r="U214" i="126"/>
  <c r="U215" i="126"/>
  <c r="U216" i="126"/>
  <c r="U217" i="126"/>
  <c r="U218" i="126"/>
  <c r="U219" i="126"/>
  <c r="U220" i="126"/>
  <c r="U221" i="126"/>
  <c r="U222" i="126"/>
  <c r="U223" i="126"/>
  <c r="U224" i="126"/>
  <c r="U225" i="126"/>
  <c r="U226" i="126"/>
  <c r="U227" i="126"/>
  <c r="U228" i="126"/>
  <c r="U229" i="126"/>
  <c r="U230" i="126"/>
  <c r="U231" i="126"/>
  <c r="U232" i="126"/>
  <c r="U233" i="126"/>
  <c r="U234" i="126"/>
  <c r="U235" i="126"/>
  <c r="U236" i="126"/>
  <c r="U237" i="126"/>
  <c r="U238" i="126"/>
  <c r="U239" i="126"/>
  <c r="U240" i="126"/>
  <c r="U241" i="126"/>
  <c r="U242" i="126"/>
  <c r="U243" i="126"/>
  <c r="U244" i="126"/>
  <c r="U245" i="126"/>
  <c r="U246" i="126"/>
  <c r="U247" i="126"/>
  <c r="P48" i="135"/>
  <c r="E5" i="164"/>
  <c r="H131" i="126"/>
  <c r="H132" i="126"/>
  <c r="H133" i="126"/>
  <c r="H134" i="126"/>
  <c r="O131" i="126"/>
  <c r="O132" i="126"/>
  <c r="O133" i="126"/>
  <c r="O134" i="126"/>
  <c r="T131" i="126"/>
  <c r="H135" i="126"/>
  <c r="H136" i="126"/>
  <c r="H137" i="126"/>
  <c r="H138" i="126"/>
  <c r="O135" i="126"/>
  <c r="O136" i="126"/>
  <c r="O137" i="126"/>
  <c r="O138" i="126"/>
  <c r="T135" i="126"/>
  <c r="H139" i="126"/>
  <c r="H140" i="126"/>
  <c r="H141" i="126"/>
  <c r="H142" i="126"/>
  <c r="O139" i="126"/>
  <c r="O140" i="126"/>
  <c r="O141" i="126"/>
  <c r="O142" i="126"/>
  <c r="T139" i="126"/>
  <c r="H143" i="126"/>
  <c r="H144" i="126"/>
  <c r="H145" i="126"/>
  <c r="H146" i="126"/>
  <c r="O143" i="126"/>
  <c r="O144" i="126"/>
  <c r="O145" i="126"/>
  <c r="O146" i="126"/>
  <c r="T143" i="126"/>
  <c r="H147" i="126"/>
  <c r="H148" i="126"/>
  <c r="H149" i="126"/>
  <c r="H150" i="126"/>
  <c r="O147" i="126"/>
  <c r="O148" i="126"/>
  <c r="O149" i="126"/>
  <c r="O150" i="126"/>
  <c r="T147" i="126"/>
  <c r="H151" i="126"/>
  <c r="H152" i="126"/>
  <c r="H153" i="126"/>
  <c r="H154" i="126"/>
  <c r="O151" i="126"/>
  <c r="O152" i="126"/>
  <c r="O153" i="126"/>
  <c r="O154" i="126"/>
  <c r="T151" i="126"/>
  <c r="H155" i="126"/>
  <c r="H156" i="126"/>
  <c r="H157" i="126"/>
  <c r="H158" i="126"/>
  <c r="O155" i="126"/>
  <c r="O156" i="126"/>
  <c r="O157" i="126"/>
  <c r="O158" i="126"/>
  <c r="T155" i="126"/>
  <c r="H159" i="126"/>
  <c r="H160" i="126"/>
  <c r="H161" i="126"/>
  <c r="H162" i="126"/>
  <c r="O159" i="126"/>
  <c r="O160" i="126"/>
  <c r="O161" i="126"/>
  <c r="O162" i="126"/>
  <c r="T159" i="126"/>
  <c r="H163" i="126"/>
  <c r="H164" i="126"/>
  <c r="H165" i="126"/>
  <c r="H166" i="126"/>
  <c r="O163" i="126"/>
  <c r="O164" i="126"/>
  <c r="O165" i="126"/>
  <c r="O166" i="126"/>
  <c r="T163" i="126"/>
  <c r="H167" i="126"/>
  <c r="H168" i="126"/>
  <c r="H169" i="126"/>
  <c r="H170" i="126"/>
  <c r="O167" i="126"/>
  <c r="O168" i="126"/>
  <c r="O169" i="126"/>
  <c r="O170" i="126"/>
  <c r="T167" i="126"/>
  <c r="H171" i="126"/>
  <c r="H172" i="126"/>
  <c r="H173" i="126"/>
  <c r="H174" i="126"/>
  <c r="O171" i="126"/>
  <c r="O172" i="126"/>
  <c r="O173" i="126"/>
  <c r="O174" i="126"/>
  <c r="T171" i="126"/>
  <c r="H175" i="126"/>
  <c r="H176" i="126"/>
  <c r="H177" i="126"/>
  <c r="H178" i="126"/>
  <c r="O175" i="126"/>
  <c r="O176" i="126"/>
  <c r="O177" i="126"/>
  <c r="O178" i="126"/>
  <c r="T175" i="126"/>
  <c r="H179" i="126"/>
  <c r="H180" i="126"/>
  <c r="H181" i="126"/>
  <c r="H182" i="126"/>
  <c r="O179" i="126"/>
  <c r="O180" i="126"/>
  <c r="O181" i="126"/>
  <c r="O182" i="126"/>
  <c r="T179" i="126"/>
  <c r="H183" i="126"/>
  <c r="H184" i="126"/>
  <c r="H185" i="126"/>
  <c r="H186" i="126"/>
  <c r="O183" i="126"/>
  <c r="O184" i="126"/>
  <c r="O185" i="126"/>
  <c r="O186" i="126"/>
  <c r="T183" i="126"/>
  <c r="H187" i="126"/>
  <c r="H188" i="126"/>
  <c r="H189" i="126"/>
  <c r="H190" i="126"/>
  <c r="O187" i="126"/>
  <c r="O188" i="126"/>
  <c r="O189" i="126"/>
  <c r="O190" i="126"/>
  <c r="T187" i="126"/>
  <c r="H191" i="126"/>
  <c r="H192" i="126"/>
  <c r="H193" i="126"/>
  <c r="H194" i="126"/>
  <c r="O191" i="126"/>
  <c r="O192" i="126"/>
  <c r="O193" i="126"/>
  <c r="O194" i="126"/>
  <c r="T191" i="126"/>
  <c r="H195" i="126"/>
  <c r="H196" i="126"/>
  <c r="H197" i="126"/>
  <c r="H198" i="126"/>
  <c r="O195" i="126"/>
  <c r="O196" i="126"/>
  <c r="O197" i="126"/>
  <c r="O198" i="126"/>
  <c r="T195" i="126"/>
  <c r="H199" i="126"/>
  <c r="H200" i="126"/>
  <c r="H201" i="126"/>
  <c r="H202" i="126"/>
  <c r="O199" i="126"/>
  <c r="O200" i="126"/>
  <c r="O201" i="126"/>
  <c r="O202" i="126"/>
  <c r="T199" i="126"/>
  <c r="H203" i="126"/>
  <c r="H204" i="126"/>
  <c r="H205" i="126"/>
  <c r="H206" i="126"/>
  <c r="O203" i="126"/>
  <c r="O204" i="126"/>
  <c r="O205" i="126"/>
  <c r="O206" i="126"/>
  <c r="T203" i="126"/>
  <c r="H207" i="126"/>
  <c r="H208" i="126"/>
  <c r="H209" i="126"/>
  <c r="H210" i="126"/>
  <c r="O207" i="126"/>
  <c r="O208" i="126"/>
  <c r="O209" i="126"/>
  <c r="O210" i="126"/>
  <c r="T207" i="126"/>
  <c r="H211" i="126"/>
  <c r="H212" i="126"/>
  <c r="H213" i="126"/>
  <c r="H214" i="126"/>
  <c r="O211" i="126"/>
  <c r="O212" i="126"/>
  <c r="O213" i="126"/>
  <c r="O214" i="126"/>
  <c r="T211" i="126"/>
  <c r="H215" i="126"/>
  <c r="H216" i="126"/>
  <c r="H217" i="126"/>
  <c r="H218" i="126"/>
  <c r="O215" i="126"/>
  <c r="O216" i="126"/>
  <c r="O217" i="126"/>
  <c r="O218" i="126"/>
  <c r="T215" i="126"/>
  <c r="H219" i="126"/>
  <c r="H220" i="126"/>
  <c r="H221" i="126"/>
  <c r="H222" i="126"/>
  <c r="O219" i="126"/>
  <c r="O220" i="126"/>
  <c r="O221" i="126"/>
  <c r="O222" i="126"/>
  <c r="T219" i="126"/>
  <c r="H223" i="126"/>
  <c r="H224" i="126"/>
  <c r="H225" i="126"/>
  <c r="H226" i="126"/>
  <c r="O223" i="126"/>
  <c r="O224" i="126"/>
  <c r="O225" i="126"/>
  <c r="O226" i="126"/>
  <c r="T223" i="126"/>
  <c r="H227" i="126"/>
  <c r="H228" i="126"/>
  <c r="H229" i="126"/>
  <c r="H230" i="126"/>
  <c r="O227" i="126"/>
  <c r="O228" i="126"/>
  <c r="O229" i="126"/>
  <c r="O230" i="126"/>
  <c r="T227" i="126"/>
  <c r="H231" i="126"/>
  <c r="H232" i="126"/>
  <c r="H233" i="126"/>
  <c r="H234" i="126"/>
  <c r="O231" i="126"/>
  <c r="O232" i="126"/>
  <c r="O233" i="126"/>
  <c r="O234" i="126"/>
  <c r="T231" i="126"/>
  <c r="H235" i="126"/>
  <c r="H236" i="126"/>
  <c r="H237" i="126"/>
  <c r="H238" i="126"/>
  <c r="O235" i="126"/>
  <c r="O236" i="126"/>
  <c r="O237" i="126"/>
  <c r="O238" i="126"/>
  <c r="T235" i="126"/>
  <c r="H239" i="126"/>
  <c r="H240" i="126"/>
  <c r="H241" i="126"/>
  <c r="H242" i="126"/>
  <c r="O239" i="126"/>
  <c r="O240" i="126"/>
  <c r="O241" i="126"/>
  <c r="O242" i="126"/>
  <c r="T239" i="126"/>
  <c r="H243" i="126"/>
  <c r="H244" i="126"/>
  <c r="H245" i="126"/>
  <c r="H246" i="126"/>
  <c r="O243" i="126"/>
  <c r="O244" i="126"/>
  <c r="O245" i="126"/>
  <c r="O246" i="126"/>
  <c r="T243" i="126"/>
  <c r="T247" i="126"/>
  <c r="O48" i="135"/>
  <c r="D5" i="164"/>
  <c r="U131" i="150"/>
  <c r="U132" i="150"/>
  <c r="U133" i="150"/>
  <c r="U134" i="150"/>
  <c r="U135" i="150"/>
  <c r="U136" i="150"/>
  <c r="U137" i="150"/>
  <c r="U138" i="150"/>
  <c r="U139" i="150"/>
  <c r="U140" i="150"/>
  <c r="U141" i="150"/>
  <c r="U142" i="150"/>
  <c r="U143" i="150"/>
  <c r="U144" i="150"/>
  <c r="U145" i="150"/>
  <c r="U146" i="150"/>
  <c r="U147" i="150"/>
  <c r="U148" i="150"/>
  <c r="U149" i="150"/>
  <c r="U150" i="150"/>
  <c r="U151" i="150"/>
  <c r="U152" i="150"/>
  <c r="U153" i="150"/>
  <c r="U154" i="150"/>
  <c r="U155" i="150"/>
  <c r="U156" i="150"/>
  <c r="U157" i="150"/>
  <c r="U158" i="150"/>
  <c r="U159" i="150"/>
  <c r="U160" i="150"/>
  <c r="U161" i="150"/>
  <c r="U162" i="150"/>
  <c r="U163" i="150"/>
  <c r="U164" i="150"/>
  <c r="U165" i="150"/>
  <c r="U166" i="150"/>
  <c r="U167" i="150"/>
  <c r="U168" i="150"/>
  <c r="U169" i="150"/>
  <c r="U170" i="150"/>
  <c r="U171" i="150"/>
  <c r="U172" i="150"/>
  <c r="U173" i="150"/>
  <c r="U174" i="150"/>
  <c r="U175" i="150"/>
  <c r="U176" i="150"/>
  <c r="U177" i="150"/>
  <c r="U178" i="150"/>
  <c r="U179" i="150"/>
  <c r="U180" i="150"/>
  <c r="U181" i="150"/>
  <c r="U182" i="150"/>
  <c r="U183" i="150"/>
  <c r="U184" i="150"/>
  <c r="U185" i="150"/>
  <c r="U186" i="150"/>
  <c r="U187" i="150"/>
  <c r="U188" i="150"/>
  <c r="U189" i="150"/>
  <c r="U190" i="150"/>
  <c r="U191" i="150"/>
  <c r="U192" i="150"/>
  <c r="U193" i="150"/>
  <c r="U194" i="150"/>
  <c r="U195" i="150"/>
  <c r="U196" i="150"/>
  <c r="U197" i="150"/>
  <c r="U198" i="150"/>
  <c r="U199" i="150"/>
  <c r="U200" i="150"/>
  <c r="U201" i="150"/>
  <c r="U202" i="150"/>
  <c r="U203" i="150"/>
  <c r="U204" i="150"/>
  <c r="U205" i="150"/>
  <c r="U206" i="150"/>
  <c r="U207" i="150"/>
  <c r="U208" i="150"/>
  <c r="U209" i="150"/>
  <c r="U210" i="150"/>
  <c r="U211" i="150"/>
  <c r="U212" i="150"/>
  <c r="U213" i="150"/>
  <c r="U214" i="150"/>
  <c r="U215" i="150"/>
  <c r="U216" i="150"/>
  <c r="U217" i="150"/>
  <c r="U218" i="150"/>
  <c r="U219" i="150"/>
  <c r="U220" i="150"/>
  <c r="U221" i="150"/>
  <c r="U222" i="150"/>
  <c r="U223" i="150"/>
  <c r="U224" i="150"/>
  <c r="U225" i="150"/>
  <c r="U226" i="150"/>
  <c r="U227" i="150"/>
  <c r="U228" i="150"/>
  <c r="U229" i="150"/>
  <c r="U230" i="150"/>
  <c r="U231" i="150"/>
  <c r="U232" i="150"/>
  <c r="U233" i="150"/>
  <c r="U234" i="150"/>
  <c r="U235" i="150"/>
  <c r="U236" i="150"/>
  <c r="U237" i="150"/>
  <c r="U238" i="150"/>
  <c r="U239" i="150"/>
  <c r="U240" i="150"/>
  <c r="U241" i="150"/>
  <c r="U242" i="150"/>
  <c r="U243" i="150"/>
  <c r="U244" i="150"/>
  <c r="U245" i="150"/>
  <c r="U246" i="150"/>
  <c r="U247" i="150"/>
  <c r="P32" i="135"/>
  <c r="E4" i="164"/>
  <c r="H131" i="150"/>
  <c r="H132" i="150"/>
  <c r="H133" i="150"/>
  <c r="H134" i="150"/>
  <c r="O131" i="150"/>
  <c r="O132" i="150"/>
  <c r="O133" i="150"/>
  <c r="O134" i="150"/>
  <c r="T131" i="150"/>
  <c r="H135" i="150"/>
  <c r="H136" i="150"/>
  <c r="H137" i="150"/>
  <c r="H138" i="150"/>
  <c r="O135" i="150"/>
  <c r="O136" i="150"/>
  <c r="O137" i="150"/>
  <c r="O138" i="150"/>
  <c r="T135" i="150"/>
  <c r="H139" i="150"/>
  <c r="H140" i="150"/>
  <c r="H141" i="150"/>
  <c r="H142" i="150"/>
  <c r="O139" i="150"/>
  <c r="O140" i="150"/>
  <c r="O141" i="150"/>
  <c r="O142" i="150"/>
  <c r="T139" i="150"/>
  <c r="H143" i="150"/>
  <c r="H144" i="150"/>
  <c r="H145" i="150"/>
  <c r="H146" i="150"/>
  <c r="O143" i="150"/>
  <c r="O144" i="150"/>
  <c r="O145" i="150"/>
  <c r="O146" i="150"/>
  <c r="T143" i="150"/>
  <c r="H147" i="150"/>
  <c r="H148" i="150"/>
  <c r="H149" i="150"/>
  <c r="H150" i="150"/>
  <c r="O147" i="150"/>
  <c r="O148" i="150"/>
  <c r="O149" i="150"/>
  <c r="O150" i="150"/>
  <c r="T147" i="150"/>
  <c r="H151" i="150"/>
  <c r="H152" i="150"/>
  <c r="H153" i="150"/>
  <c r="H154" i="150"/>
  <c r="O151" i="150"/>
  <c r="O152" i="150"/>
  <c r="O153" i="150"/>
  <c r="O154" i="150"/>
  <c r="T151" i="150"/>
  <c r="H155" i="150"/>
  <c r="H156" i="150"/>
  <c r="H157" i="150"/>
  <c r="H158" i="150"/>
  <c r="O155" i="150"/>
  <c r="O156" i="150"/>
  <c r="O157" i="150"/>
  <c r="O158" i="150"/>
  <c r="T155" i="150"/>
  <c r="H159" i="150"/>
  <c r="H160" i="150"/>
  <c r="H161" i="150"/>
  <c r="H162" i="150"/>
  <c r="O159" i="150"/>
  <c r="O160" i="150"/>
  <c r="O161" i="150"/>
  <c r="O162" i="150"/>
  <c r="T159" i="150"/>
  <c r="H163" i="150"/>
  <c r="H164" i="150"/>
  <c r="H165" i="150"/>
  <c r="H166" i="150"/>
  <c r="O163" i="150"/>
  <c r="O164" i="150"/>
  <c r="O165" i="150"/>
  <c r="O166" i="150"/>
  <c r="T163" i="150"/>
  <c r="H167" i="150"/>
  <c r="H168" i="150"/>
  <c r="H169" i="150"/>
  <c r="H170" i="150"/>
  <c r="O167" i="150"/>
  <c r="O168" i="150"/>
  <c r="O169" i="150"/>
  <c r="O170" i="150"/>
  <c r="T167" i="150"/>
  <c r="H171" i="150"/>
  <c r="H172" i="150"/>
  <c r="H173" i="150"/>
  <c r="H174" i="150"/>
  <c r="O171" i="150"/>
  <c r="O172" i="150"/>
  <c r="O173" i="150"/>
  <c r="O174" i="150"/>
  <c r="T171" i="150"/>
  <c r="H175" i="150"/>
  <c r="H176" i="150"/>
  <c r="H177" i="150"/>
  <c r="H178" i="150"/>
  <c r="O175" i="150"/>
  <c r="O176" i="150"/>
  <c r="O177" i="150"/>
  <c r="O178" i="150"/>
  <c r="T175" i="150"/>
  <c r="H179" i="150"/>
  <c r="H180" i="150"/>
  <c r="H181" i="150"/>
  <c r="H182" i="150"/>
  <c r="O179" i="150"/>
  <c r="O180" i="150"/>
  <c r="O181" i="150"/>
  <c r="O182" i="150"/>
  <c r="T179" i="150"/>
  <c r="H183" i="150"/>
  <c r="H184" i="150"/>
  <c r="H185" i="150"/>
  <c r="H186" i="150"/>
  <c r="O183" i="150"/>
  <c r="O184" i="150"/>
  <c r="O185" i="150"/>
  <c r="O186" i="150"/>
  <c r="T183" i="150"/>
  <c r="H187" i="150"/>
  <c r="H188" i="150"/>
  <c r="H189" i="150"/>
  <c r="H190" i="150"/>
  <c r="O187" i="150"/>
  <c r="O188" i="150"/>
  <c r="O189" i="150"/>
  <c r="O190" i="150"/>
  <c r="T187" i="150"/>
  <c r="H191" i="150"/>
  <c r="H192" i="150"/>
  <c r="H193" i="150"/>
  <c r="H194" i="150"/>
  <c r="O191" i="150"/>
  <c r="O192" i="150"/>
  <c r="O193" i="150"/>
  <c r="O194" i="150"/>
  <c r="T191" i="150"/>
  <c r="H195" i="150"/>
  <c r="H196" i="150"/>
  <c r="H197" i="150"/>
  <c r="H198" i="150"/>
  <c r="O195" i="150"/>
  <c r="O196" i="150"/>
  <c r="O197" i="150"/>
  <c r="O198" i="150"/>
  <c r="T195" i="150"/>
  <c r="H199" i="150"/>
  <c r="H200" i="150"/>
  <c r="H201" i="150"/>
  <c r="H202" i="150"/>
  <c r="O199" i="150"/>
  <c r="O200" i="150"/>
  <c r="O201" i="150"/>
  <c r="O202" i="150"/>
  <c r="T199" i="150"/>
  <c r="H203" i="150"/>
  <c r="H204" i="150"/>
  <c r="H205" i="150"/>
  <c r="H206" i="150"/>
  <c r="O203" i="150"/>
  <c r="O204" i="150"/>
  <c r="O205" i="150"/>
  <c r="O206" i="150"/>
  <c r="T203" i="150"/>
  <c r="H207" i="150"/>
  <c r="H208" i="150"/>
  <c r="H209" i="150"/>
  <c r="H210" i="150"/>
  <c r="O207" i="150"/>
  <c r="O208" i="150"/>
  <c r="O209" i="150"/>
  <c r="O210" i="150"/>
  <c r="T207" i="150"/>
  <c r="H211" i="150"/>
  <c r="H212" i="150"/>
  <c r="H213" i="150"/>
  <c r="H214" i="150"/>
  <c r="O211" i="150"/>
  <c r="O212" i="150"/>
  <c r="O213" i="150"/>
  <c r="O214" i="150"/>
  <c r="T211" i="150"/>
  <c r="H215" i="150"/>
  <c r="H216" i="150"/>
  <c r="H217" i="150"/>
  <c r="H218" i="150"/>
  <c r="O215" i="150"/>
  <c r="O216" i="150"/>
  <c r="O217" i="150"/>
  <c r="O218" i="150"/>
  <c r="T215" i="150"/>
  <c r="H219" i="150"/>
  <c r="H220" i="150"/>
  <c r="H221" i="150"/>
  <c r="H222" i="150"/>
  <c r="O219" i="150"/>
  <c r="O220" i="150"/>
  <c r="O221" i="150"/>
  <c r="O222" i="150"/>
  <c r="T219" i="150"/>
  <c r="H223" i="150"/>
  <c r="H224" i="150"/>
  <c r="H225" i="150"/>
  <c r="H226" i="150"/>
  <c r="O223" i="150"/>
  <c r="O224" i="150"/>
  <c r="O225" i="150"/>
  <c r="O226" i="150"/>
  <c r="T223" i="150"/>
  <c r="H227" i="150"/>
  <c r="H228" i="150"/>
  <c r="H229" i="150"/>
  <c r="H230" i="150"/>
  <c r="O227" i="150"/>
  <c r="O228" i="150"/>
  <c r="O229" i="150"/>
  <c r="O230" i="150"/>
  <c r="T227" i="150"/>
  <c r="H231" i="150"/>
  <c r="H232" i="150"/>
  <c r="H233" i="150"/>
  <c r="H234" i="150"/>
  <c r="O231" i="150"/>
  <c r="O232" i="150"/>
  <c r="O233" i="150"/>
  <c r="O234" i="150"/>
  <c r="T231" i="150"/>
  <c r="H235" i="150"/>
  <c r="H236" i="150"/>
  <c r="H237" i="150"/>
  <c r="H238" i="150"/>
  <c r="O235" i="150"/>
  <c r="O236" i="150"/>
  <c r="O237" i="150"/>
  <c r="O238" i="150"/>
  <c r="T235" i="150"/>
  <c r="H239" i="150"/>
  <c r="H240" i="150"/>
  <c r="H241" i="150"/>
  <c r="H242" i="150"/>
  <c r="O239" i="150"/>
  <c r="O240" i="150"/>
  <c r="O241" i="150"/>
  <c r="O242" i="150"/>
  <c r="T239" i="150"/>
  <c r="H243" i="150"/>
  <c r="H244" i="150"/>
  <c r="H245" i="150"/>
  <c r="H246" i="150"/>
  <c r="O243" i="150"/>
  <c r="O244" i="150"/>
  <c r="O245" i="150"/>
  <c r="O246" i="150"/>
  <c r="T243" i="150"/>
  <c r="T247" i="150"/>
  <c r="O32" i="135"/>
  <c r="D4" i="164"/>
  <c r="U131" i="158"/>
  <c r="U132" i="158"/>
  <c r="U133" i="158"/>
  <c r="U134" i="158"/>
  <c r="U135" i="158"/>
  <c r="U136" i="158"/>
  <c r="U137" i="158"/>
  <c r="U138" i="158"/>
  <c r="U139" i="158"/>
  <c r="U140" i="158"/>
  <c r="U141" i="158"/>
  <c r="U142" i="158"/>
  <c r="U143" i="158"/>
  <c r="U144" i="158"/>
  <c r="U145" i="158"/>
  <c r="U146" i="158"/>
  <c r="U147" i="158"/>
  <c r="U148" i="158"/>
  <c r="U149" i="158"/>
  <c r="U150" i="158"/>
  <c r="U151" i="158"/>
  <c r="U152" i="158"/>
  <c r="U153" i="158"/>
  <c r="U154" i="158"/>
  <c r="U155" i="158"/>
  <c r="U156" i="158"/>
  <c r="U157" i="158"/>
  <c r="U158" i="158"/>
  <c r="U159" i="158"/>
  <c r="U160" i="158"/>
  <c r="U161" i="158"/>
  <c r="U162" i="158"/>
  <c r="U163" i="158"/>
  <c r="U164" i="158"/>
  <c r="U165" i="158"/>
  <c r="U166" i="158"/>
  <c r="U167" i="158"/>
  <c r="U168" i="158"/>
  <c r="U169" i="158"/>
  <c r="U170" i="158"/>
  <c r="U171" i="158"/>
  <c r="U172" i="158"/>
  <c r="U173" i="158"/>
  <c r="U174" i="158"/>
  <c r="U175" i="158"/>
  <c r="U176" i="158"/>
  <c r="U177" i="158"/>
  <c r="U178" i="158"/>
  <c r="U179" i="158"/>
  <c r="U180" i="158"/>
  <c r="U181" i="158"/>
  <c r="U182" i="158"/>
  <c r="U183" i="158"/>
  <c r="U184" i="158"/>
  <c r="U185" i="158"/>
  <c r="U186" i="158"/>
  <c r="U187" i="158"/>
  <c r="U188" i="158"/>
  <c r="U189" i="158"/>
  <c r="U190" i="158"/>
  <c r="U191" i="158"/>
  <c r="U192" i="158"/>
  <c r="U193" i="158"/>
  <c r="U194" i="158"/>
  <c r="U195" i="158"/>
  <c r="U196" i="158"/>
  <c r="U197" i="158"/>
  <c r="U198" i="158"/>
  <c r="U199" i="158"/>
  <c r="U200" i="158"/>
  <c r="U201" i="158"/>
  <c r="U202" i="158"/>
  <c r="U203" i="158"/>
  <c r="U204" i="158"/>
  <c r="U205" i="158"/>
  <c r="U206" i="158"/>
  <c r="U207" i="158"/>
  <c r="U208" i="158"/>
  <c r="U209" i="158"/>
  <c r="U210" i="158"/>
  <c r="U211" i="158"/>
  <c r="U212" i="158"/>
  <c r="U213" i="158"/>
  <c r="U214" i="158"/>
  <c r="U215" i="158"/>
  <c r="U216" i="158"/>
  <c r="U217" i="158"/>
  <c r="U218" i="158"/>
  <c r="U219" i="158"/>
  <c r="U220" i="158"/>
  <c r="U221" i="158"/>
  <c r="U222" i="158"/>
  <c r="U223" i="158"/>
  <c r="U224" i="158"/>
  <c r="U225" i="158"/>
  <c r="U226" i="158"/>
  <c r="U227" i="158"/>
  <c r="U228" i="158"/>
  <c r="U229" i="158"/>
  <c r="U230" i="158"/>
  <c r="U231" i="158"/>
  <c r="U232" i="158"/>
  <c r="U233" i="158"/>
  <c r="U234" i="158"/>
  <c r="U235" i="158"/>
  <c r="U236" i="158"/>
  <c r="U237" i="158"/>
  <c r="U238" i="158"/>
  <c r="U239" i="158"/>
  <c r="U240" i="158"/>
  <c r="U241" i="158"/>
  <c r="U242" i="158"/>
  <c r="U243" i="158"/>
  <c r="U244" i="158"/>
  <c r="U245" i="158"/>
  <c r="U246" i="158"/>
  <c r="U247" i="158"/>
  <c r="E3" i="164"/>
  <c r="H131" i="158"/>
  <c r="H132" i="158"/>
  <c r="H133" i="158"/>
  <c r="H134" i="158"/>
  <c r="O131" i="158"/>
  <c r="O132" i="158"/>
  <c r="O133" i="158"/>
  <c r="O134" i="158"/>
  <c r="H135" i="158"/>
  <c r="H136" i="158"/>
  <c r="H137" i="158"/>
  <c r="H138" i="158"/>
  <c r="O135" i="158"/>
  <c r="O136" i="158"/>
  <c r="O137" i="158"/>
  <c r="O138" i="158"/>
  <c r="H139" i="158"/>
  <c r="H140" i="158"/>
  <c r="H141" i="158"/>
  <c r="H142" i="158"/>
  <c r="O139" i="158"/>
  <c r="O140" i="158"/>
  <c r="O141" i="158"/>
  <c r="O142" i="158"/>
  <c r="H143" i="158"/>
  <c r="H144" i="158"/>
  <c r="H145" i="158"/>
  <c r="H146" i="158"/>
  <c r="O143" i="158"/>
  <c r="O144" i="158"/>
  <c r="O145" i="158"/>
  <c r="O146" i="158"/>
  <c r="H147" i="158"/>
  <c r="H148" i="158"/>
  <c r="H149" i="158"/>
  <c r="H150" i="158"/>
  <c r="O147" i="158"/>
  <c r="O148" i="158"/>
  <c r="O149" i="158"/>
  <c r="O150" i="158"/>
  <c r="H151" i="158"/>
  <c r="H152" i="158"/>
  <c r="H153" i="158"/>
  <c r="H154" i="158"/>
  <c r="O151" i="158"/>
  <c r="O152" i="158"/>
  <c r="O153" i="158"/>
  <c r="O154" i="158"/>
  <c r="H155" i="158"/>
  <c r="H156" i="158"/>
  <c r="H157" i="158"/>
  <c r="H158" i="158"/>
  <c r="O155" i="158"/>
  <c r="O156" i="158"/>
  <c r="O157" i="158"/>
  <c r="O158" i="158"/>
  <c r="H159" i="158"/>
  <c r="H160" i="158"/>
  <c r="H161" i="158"/>
  <c r="H162" i="158"/>
  <c r="O159" i="158"/>
  <c r="O160" i="158"/>
  <c r="O161" i="158"/>
  <c r="O162" i="158"/>
  <c r="H163" i="158"/>
  <c r="H164" i="158"/>
  <c r="H165" i="158"/>
  <c r="H166" i="158"/>
  <c r="O163" i="158"/>
  <c r="O164" i="158"/>
  <c r="O165" i="158"/>
  <c r="O166" i="158"/>
  <c r="H167" i="158"/>
  <c r="H168" i="158"/>
  <c r="H169" i="158"/>
  <c r="H170" i="158"/>
  <c r="O167" i="158"/>
  <c r="O168" i="158"/>
  <c r="O169" i="158"/>
  <c r="O170" i="158"/>
  <c r="H171" i="158"/>
  <c r="H172" i="158"/>
  <c r="H173" i="158"/>
  <c r="H174" i="158"/>
  <c r="O171" i="158"/>
  <c r="O172" i="158"/>
  <c r="O173" i="158"/>
  <c r="O174" i="158"/>
  <c r="H175" i="158"/>
  <c r="H176" i="158"/>
  <c r="H177" i="158"/>
  <c r="H178" i="158"/>
  <c r="O175" i="158"/>
  <c r="O176" i="158"/>
  <c r="O177" i="158"/>
  <c r="O178" i="158"/>
  <c r="H179" i="158"/>
  <c r="H180" i="158"/>
  <c r="H181" i="158"/>
  <c r="H182" i="158"/>
  <c r="O179" i="158"/>
  <c r="O180" i="158"/>
  <c r="O181" i="158"/>
  <c r="O182" i="158"/>
  <c r="H183" i="158"/>
  <c r="H184" i="158"/>
  <c r="H185" i="158"/>
  <c r="H186" i="158"/>
  <c r="O183" i="158"/>
  <c r="O184" i="158"/>
  <c r="O185" i="158"/>
  <c r="O186" i="158"/>
  <c r="H187" i="158"/>
  <c r="H188" i="158"/>
  <c r="H189" i="158"/>
  <c r="H190" i="158"/>
  <c r="O187" i="158"/>
  <c r="O188" i="158"/>
  <c r="O189" i="158"/>
  <c r="O190" i="158"/>
  <c r="H191" i="158"/>
  <c r="H192" i="158"/>
  <c r="H193" i="158"/>
  <c r="H194" i="158"/>
  <c r="O191" i="158"/>
  <c r="O192" i="158"/>
  <c r="O193" i="158"/>
  <c r="O194" i="158"/>
  <c r="H195" i="158"/>
  <c r="H196" i="158"/>
  <c r="H197" i="158"/>
  <c r="H198" i="158"/>
  <c r="O195" i="158"/>
  <c r="O196" i="158"/>
  <c r="O197" i="158"/>
  <c r="O198" i="158"/>
  <c r="H199" i="158"/>
  <c r="H200" i="158"/>
  <c r="H201" i="158"/>
  <c r="H202" i="158"/>
  <c r="O199" i="158"/>
  <c r="O200" i="158"/>
  <c r="O201" i="158"/>
  <c r="O202" i="158"/>
  <c r="H203" i="158"/>
  <c r="H204" i="158"/>
  <c r="H205" i="158"/>
  <c r="H206" i="158"/>
  <c r="O203" i="158"/>
  <c r="O204" i="158"/>
  <c r="O205" i="158"/>
  <c r="O206" i="158"/>
  <c r="H207" i="158"/>
  <c r="H208" i="158"/>
  <c r="H209" i="158"/>
  <c r="H210" i="158"/>
  <c r="O207" i="158"/>
  <c r="O208" i="158"/>
  <c r="O209" i="158"/>
  <c r="O210" i="158"/>
  <c r="H211" i="158"/>
  <c r="H212" i="158"/>
  <c r="H213" i="158"/>
  <c r="H214" i="158"/>
  <c r="O211" i="158"/>
  <c r="O212" i="158"/>
  <c r="O213" i="158"/>
  <c r="O214" i="158"/>
  <c r="H215" i="158"/>
  <c r="H216" i="158"/>
  <c r="H217" i="158"/>
  <c r="H218" i="158"/>
  <c r="O215" i="158"/>
  <c r="O216" i="158"/>
  <c r="O217" i="158"/>
  <c r="O218" i="158"/>
  <c r="H219" i="158"/>
  <c r="H220" i="158"/>
  <c r="H221" i="158"/>
  <c r="H222" i="158"/>
  <c r="O219" i="158"/>
  <c r="O220" i="158"/>
  <c r="O221" i="158"/>
  <c r="O222" i="158"/>
  <c r="H223" i="158"/>
  <c r="H224" i="158"/>
  <c r="H225" i="158"/>
  <c r="H226" i="158"/>
  <c r="O223" i="158"/>
  <c r="O224" i="158"/>
  <c r="O225" i="158"/>
  <c r="O226" i="158"/>
  <c r="H227" i="158"/>
  <c r="H228" i="158"/>
  <c r="H229" i="158"/>
  <c r="H230" i="158"/>
  <c r="O227" i="158"/>
  <c r="O228" i="158"/>
  <c r="O229" i="158"/>
  <c r="O230" i="158"/>
  <c r="H231" i="158"/>
  <c r="H232" i="158"/>
  <c r="H233" i="158"/>
  <c r="H234" i="158"/>
  <c r="O231" i="158"/>
  <c r="O232" i="158"/>
  <c r="O233" i="158"/>
  <c r="O234" i="158"/>
  <c r="H235" i="158"/>
  <c r="H236" i="158"/>
  <c r="H237" i="158"/>
  <c r="H238" i="158"/>
  <c r="O235" i="158"/>
  <c r="O236" i="158"/>
  <c r="O237" i="158"/>
  <c r="O238" i="158"/>
  <c r="H239" i="158"/>
  <c r="H240" i="158"/>
  <c r="H241" i="158"/>
  <c r="H242" i="158"/>
  <c r="O239" i="158"/>
  <c r="O240" i="158"/>
  <c r="O241" i="158"/>
  <c r="O242" i="158"/>
  <c r="H243" i="158"/>
  <c r="H244" i="158"/>
  <c r="H245" i="158"/>
  <c r="H246" i="158"/>
  <c r="O243" i="158"/>
  <c r="O244" i="158"/>
  <c r="O245" i="158"/>
  <c r="O246" i="158"/>
  <c r="D3" i="164"/>
  <c r="U9" i="160"/>
  <c r="U10" i="160"/>
  <c r="U11" i="160"/>
  <c r="U12" i="160"/>
  <c r="U13" i="160"/>
  <c r="U14" i="160"/>
  <c r="U15" i="160"/>
  <c r="U16" i="160"/>
  <c r="U17" i="160"/>
  <c r="U18" i="160"/>
  <c r="U19" i="160"/>
  <c r="U20" i="160"/>
  <c r="U21" i="160"/>
  <c r="U22" i="160"/>
  <c r="U23" i="160"/>
  <c r="U24" i="160"/>
  <c r="U25" i="160"/>
  <c r="U26" i="160"/>
  <c r="U27" i="160"/>
  <c r="U28" i="160"/>
  <c r="U29" i="160"/>
  <c r="U30" i="160"/>
  <c r="U31" i="160"/>
  <c r="U32" i="160"/>
  <c r="U33" i="160"/>
  <c r="U34" i="160"/>
  <c r="U35" i="160"/>
  <c r="U36" i="160"/>
  <c r="U37" i="160"/>
  <c r="U38" i="160"/>
  <c r="U39" i="160"/>
  <c r="U40" i="160"/>
  <c r="U41" i="160"/>
  <c r="U42" i="160"/>
  <c r="U43" i="160"/>
  <c r="U44" i="160"/>
  <c r="U45" i="160"/>
  <c r="U46" i="160"/>
  <c r="U47" i="160"/>
  <c r="U48" i="160"/>
  <c r="U49" i="160"/>
  <c r="U50" i="160"/>
  <c r="U51" i="160"/>
  <c r="U52" i="160"/>
  <c r="U53" i="160"/>
  <c r="U54" i="160"/>
  <c r="U55" i="160"/>
  <c r="U56" i="160"/>
  <c r="U57" i="160"/>
  <c r="U58" i="160"/>
  <c r="U59" i="160"/>
  <c r="U60" i="160"/>
  <c r="U61" i="160"/>
  <c r="U62" i="160"/>
  <c r="U63" i="160"/>
  <c r="U64" i="160"/>
  <c r="U65" i="160"/>
  <c r="U66" i="160"/>
  <c r="U67" i="160"/>
  <c r="U68" i="160"/>
  <c r="U69" i="160"/>
  <c r="U70" i="160"/>
  <c r="U71" i="160"/>
  <c r="U72" i="160"/>
  <c r="U73" i="160"/>
  <c r="U74" i="160"/>
  <c r="U75" i="160"/>
  <c r="U76" i="160"/>
  <c r="U77" i="160"/>
  <c r="U78" i="160"/>
  <c r="U79" i="160"/>
  <c r="U80" i="160"/>
  <c r="U81" i="160"/>
  <c r="U82" i="160"/>
  <c r="U83" i="160"/>
  <c r="U84" i="160"/>
  <c r="U85" i="160"/>
  <c r="U86" i="160"/>
  <c r="U87" i="160"/>
  <c r="U88" i="160"/>
  <c r="U89" i="160"/>
  <c r="U90" i="160"/>
  <c r="U91" i="160"/>
  <c r="U92" i="160"/>
  <c r="U93" i="160"/>
  <c r="U94" i="160"/>
  <c r="U95" i="160"/>
  <c r="U96" i="160"/>
  <c r="U97" i="160"/>
  <c r="U98" i="160"/>
  <c r="U99" i="160"/>
  <c r="U100" i="160"/>
  <c r="U101" i="160"/>
  <c r="U102" i="160"/>
  <c r="U103" i="160"/>
  <c r="U104" i="160"/>
  <c r="U105" i="160"/>
  <c r="U106" i="160"/>
  <c r="U107" i="160"/>
  <c r="U108" i="160"/>
  <c r="U109" i="160"/>
  <c r="U110" i="160"/>
  <c r="U111" i="160"/>
  <c r="U112" i="160"/>
  <c r="U113" i="160"/>
  <c r="U114" i="160"/>
  <c r="U115" i="160"/>
  <c r="U116" i="160"/>
  <c r="U117" i="160"/>
  <c r="U118" i="160"/>
  <c r="U119" i="160"/>
  <c r="U120" i="160"/>
  <c r="U121" i="160"/>
  <c r="U122" i="160"/>
  <c r="U123" i="160"/>
  <c r="U124" i="160"/>
  <c r="U125" i="160"/>
  <c r="AH36" i="135"/>
  <c r="I6" i="164"/>
  <c r="U9" i="161"/>
  <c r="U10" i="161"/>
  <c r="U11" i="161"/>
  <c r="U12" i="161"/>
  <c r="U13" i="161"/>
  <c r="U14" i="161"/>
  <c r="U15" i="161"/>
  <c r="U16" i="161"/>
  <c r="U17" i="161"/>
  <c r="U18" i="161"/>
  <c r="U19" i="161"/>
  <c r="U20" i="161"/>
  <c r="U21" i="161"/>
  <c r="U22" i="161"/>
  <c r="U23" i="161"/>
  <c r="U24" i="161"/>
  <c r="U25" i="161"/>
  <c r="U26" i="161"/>
  <c r="U27" i="161"/>
  <c r="U28" i="161"/>
  <c r="U29" i="161"/>
  <c r="U30" i="161"/>
  <c r="U31" i="161"/>
  <c r="U32" i="161"/>
  <c r="U33" i="161"/>
  <c r="U34" i="161"/>
  <c r="U35" i="161"/>
  <c r="U36" i="161"/>
  <c r="U37" i="161"/>
  <c r="U38" i="161"/>
  <c r="U39" i="161"/>
  <c r="U40" i="161"/>
  <c r="U41" i="161"/>
  <c r="U42" i="161"/>
  <c r="U43" i="161"/>
  <c r="U44" i="161"/>
  <c r="U45" i="161"/>
  <c r="U46" i="161"/>
  <c r="U47" i="161"/>
  <c r="U48" i="161"/>
  <c r="U49" i="161"/>
  <c r="U50" i="161"/>
  <c r="U51" i="161"/>
  <c r="U52" i="161"/>
  <c r="U53" i="161"/>
  <c r="U54" i="161"/>
  <c r="U55" i="161"/>
  <c r="U56" i="161"/>
  <c r="U57" i="161"/>
  <c r="U58" i="161"/>
  <c r="U59" i="161"/>
  <c r="U60" i="161"/>
  <c r="U61" i="161"/>
  <c r="U62" i="161"/>
  <c r="U63" i="161"/>
  <c r="U64" i="161"/>
  <c r="U65" i="161"/>
  <c r="U66" i="161"/>
  <c r="U67" i="161"/>
  <c r="U68" i="161"/>
  <c r="U69" i="161"/>
  <c r="U70" i="161"/>
  <c r="U71" i="161"/>
  <c r="U72" i="161"/>
  <c r="U73" i="161"/>
  <c r="U74" i="161"/>
  <c r="U75" i="161"/>
  <c r="U76" i="161"/>
  <c r="U77" i="161"/>
  <c r="U78" i="161"/>
  <c r="U79" i="161"/>
  <c r="U80" i="161"/>
  <c r="U81" i="161"/>
  <c r="U82" i="161"/>
  <c r="U83" i="161"/>
  <c r="U84" i="161"/>
  <c r="U85" i="161"/>
  <c r="U86" i="161"/>
  <c r="U87" i="161"/>
  <c r="U88" i="161"/>
  <c r="U89" i="161"/>
  <c r="U90" i="161"/>
  <c r="U91" i="161"/>
  <c r="U92" i="161"/>
  <c r="U93" i="161"/>
  <c r="U94" i="161"/>
  <c r="U95" i="161"/>
  <c r="U96" i="161"/>
  <c r="U97" i="161"/>
  <c r="U98" i="161"/>
  <c r="U99" i="161"/>
  <c r="U100" i="161"/>
  <c r="U101" i="161"/>
  <c r="U102" i="161"/>
  <c r="U103" i="161"/>
  <c r="U104" i="161"/>
  <c r="U105" i="161"/>
  <c r="U106" i="161"/>
  <c r="U107" i="161"/>
  <c r="U108" i="161"/>
  <c r="U109" i="161"/>
  <c r="U110" i="161"/>
  <c r="U111" i="161"/>
  <c r="U112" i="161"/>
  <c r="U113" i="161"/>
  <c r="U114" i="161"/>
  <c r="U115" i="161"/>
  <c r="U116" i="161"/>
  <c r="U117" i="161"/>
  <c r="U118" i="161"/>
  <c r="U119" i="161"/>
  <c r="U120" i="161"/>
  <c r="U121" i="161"/>
  <c r="U122" i="161"/>
  <c r="U123" i="161"/>
  <c r="U124" i="161"/>
  <c r="U125" i="161"/>
  <c r="AH27" i="135"/>
  <c r="I5" i="164"/>
  <c r="U9" i="162"/>
  <c r="U10" i="162"/>
  <c r="U11" i="162"/>
  <c r="U12" i="162"/>
  <c r="U13" i="162"/>
  <c r="U14" i="162"/>
  <c r="U15" i="162"/>
  <c r="U16" i="162"/>
  <c r="U17" i="162"/>
  <c r="U18" i="162"/>
  <c r="U19" i="162"/>
  <c r="U20" i="162"/>
  <c r="U21" i="162"/>
  <c r="U22" i="162"/>
  <c r="U23" i="162"/>
  <c r="U24" i="162"/>
  <c r="U25" i="162"/>
  <c r="U26" i="162"/>
  <c r="U27" i="162"/>
  <c r="U28" i="162"/>
  <c r="U29" i="162"/>
  <c r="U30" i="162"/>
  <c r="U31" i="162"/>
  <c r="U32" i="162"/>
  <c r="U33" i="162"/>
  <c r="U34" i="162"/>
  <c r="U35" i="162"/>
  <c r="U36" i="162"/>
  <c r="U37" i="162"/>
  <c r="U38" i="162"/>
  <c r="U39" i="162"/>
  <c r="U40" i="162"/>
  <c r="U41" i="162"/>
  <c r="U42" i="162"/>
  <c r="U43" i="162"/>
  <c r="U44" i="162"/>
  <c r="U45" i="162"/>
  <c r="U46" i="162"/>
  <c r="U47" i="162"/>
  <c r="U48" i="162"/>
  <c r="U49" i="162"/>
  <c r="U50" i="162"/>
  <c r="U51" i="162"/>
  <c r="U52" i="162"/>
  <c r="U53" i="162"/>
  <c r="U54" i="162"/>
  <c r="U55" i="162"/>
  <c r="U56" i="162"/>
  <c r="U57" i="162"/>
  <c r="U58" i="162"/>
  <c r="U59" i="162"/>
  <c r="U60" i="162"/>
  <c r="U61" i="162"/>
  <c r="U62" i="162"/>
  <c r="U63" i="162"/>
  <c r="U64" i="162"/>
  <c r="U65" i="162"/>
  <c r="U66" i="162"/>
  <c r="U67" i="162"/>
  <c r="U68" i="162"/>
  <c r="U69" i="162"/>
  <c r="U70" i="162"/>
  <c r="U71" i="162"/>
  <c r="U72" i="162"/>
  <c r="U73" i="162"/>
  <c r="U74" i="162"/>
  <c r="U75" i="162"/>
  <c r="U76" i="162"/>
  <c r="U77" i="162"/>
  <c r="U78" i="162"/>
  <c r="U79" i="162"/>
  <c r="U80" i="162"/>
  <c r="U81" i="162"/>
  <c r="U82" i="162"/>
  <c r="U83" i="162"/>
  <c r="U84" i="162"/>
  <c r="U85" i="162"/>
  <c r="U86" i="162"/>
  <c r="U87" i="162"/>
  <c r="U88" i="162"/>
  <c r="U89" i="162"/>
  <c r="U90" i="162"/>
  <c r="U91" i="162"/>
  <c r="U92" i="162"/>
  <c r="U93" i="162"/>
  <c r="U94" i="162"/>
  <c r="U95" i="162"/>
  <c r="U96" i="162"/>
  <c r="U97" i="162"/>
  <c r="U98" i="162"/>
  <c r="U99" i="162"/>
  <c r="U100" i="162"/>
  <c r="U101" i="162"/>
  <c r="U102" i="162"/>
  <c r="U103" i="162"/>
  <c r="U104" i="162"/>
  <c r="U105" i="162"/>
  <c r="U106" i="162"/>
  <c r="U107" i="162"/>
  <c r="U108" i="162"/>
  <c r="U109" i="162"/>
  <c r="U110" i="162"/>
  <c r="U111" i="162"/>
  <c r="U112" i="162"/>
  <c r="U113" i="162"/>
  <c r="U114" i="162"/>
  <c r="U115" i="162"/>
  <c r="U116" i="162"/>
  <c r="U117" i="162"/>
  <c r="U118" i="162"/>
  <c r="U119" i="162"/>
  <c r="U120" i="162"/>
  <c r="U121" i="162"/>
  <c r="U122" i="162"/>
  <c r="U123" i="162"/>
  <c r="U124" i="162"/>
  <c r="U125" i="162"/>
  <c r="AH18" i="135"/>
  <c r="I4" i="164"/>
  <c r="U9" i="163"/>
  <c r="U10" i="163"/>
  <c r="U11" i="163"/>
  <c r="U12" i="163"/>
  <c r="U13" i="163"/>
  <c r="U14" i="163"/>
  <c r="U15" i="163"/>
  <c r="U16" i="163"/>
  <c r="U17" i="163"/>
  <c r="U18" i="163"/>
  <c r="U19" i="163"/>
  <c r="U20" i="163"/>
  <c r="U21" i="163"/>
  <c r="U22" i="163"/>
  <c r="U23" i="163"/>
  <c r="U24" i="163"/>
  <c r="U25" i="163"/>
  <c r="U26" i="163"/>
  <c r="U27" i="163"/>
  <c r="U28" i="163"/>
  <c r="U29" i="163"/>
  <c r="U30" i="163"/>
  <c r="U31" i="163"/>
  <c r="U32" i="163"/>
  <c r="U33" i="163"/>
  <c r="U34" i="163"/>
  <c r="U35" i="163"/>
  <c r="U36" i="163"/>
  <c r="U37" i="163"/>
  <c r="U38" i="163"/>
  <c r="U39" i="163"/>
  <c r="U40" i="163"/>
  <c r="U41" i="163"/>
  <c r="U42" i="163"/>
  <c r="U43" i="163"/>
  <c r="U44" i="163"/>
  <c r="U45" i="163"/>
  <c r="U46" i="163"/>
  <c r="U47" i="163"/>
  <c r="U48" i="163"/>
  <c r="U49" i="163"/>
  <c r="U50" i="163"/>
  <c r="U51" i="163"/>
  <c r="U52" i="163"/>
  <c r="U53" i="163"/>
  <c r="U54" i="163"/>
  <c r="U55" i="163"/>
  <c r="U56" i="163"/>
  <c r="U57" i="163"/>
  <c r="U58" i="163"/>
  <c r="U59" i="163"/>
  <c r="U60" i="163"/>
  <c r="U61" i="163"/>
  <c r="U62" i="163"/>
  <c r="U63" i="163"/>
  <c r="U64" i="163"/>
  <c r="U65" i="163"/>
  <c r="U66" i="163"/>
  <c r="U67" i="163"/>
  <c r="U68" i="163"/>
  <c r="U69" i="163"/>
  <c r="U70" i="163"/>
  <c r="U71" i="163"/>
  <c r="U72" i="163"/>
  <c r="U73" i="163"/>
  <c r="U74" i="163"/>
  <c r="U75" i="163"/>
  <c r="U76" i="163"/>
  <c r="U77" i="163"/>
  <c r="U78" i="163"/>
  <c r="U79" i="163"/>
  <c r="U80" i="163"/>
  <c r="U81" i="163"/>
  <c r="U82" i="163"/>
  <c r="U83" i="163"/>
  <c r="U84" i="163"/>
  <c r="U85" i="163"/>
  <c r="U86" i="163"/>
  <c r="U87" i="163"/>
  <c r="U88" i="163"/>
  <c r="U89" i="163"/>
  <c r="U90" i="163"/>
  <c r="U91" i="163"/>
  <c r="U92" i="163"/>
  <c r="U93" i="163"/>
  <c r="U94" i="163"/>
  <c r="U95" i="163"/>
  <c r="U96" i="163"/>
  <c r="U97" i="163"/>
  <c r="U98" i="163"/>
  <c r="U99" i="163"/>
  <c r="U100" i="163"/>
  <c r="U101" i="163"/>
  <c r="U102" i="163"/>
  <c r="U103" i="163"/>
  <c r="U104" i="163"/>
  <c r="U105" i="163"/>
  <c r="U106" i="163"/>
  <c r="U107" i="163"/>
  <c r="U108" i="163"/>
  <c r="U109" i="163"/>
  <c r="U110" i="163"/>
  <c r="U111" i="163"/>
  <c r="U112" i="163"/>
  <c r="U113" i="163"/>
  <c r="U114" i="163"/>
  <c r="U115" i="163"/>
  <c r="U116" i="163"/>
  <c r="U117" i="163"/>
  <c r="U118" i="163"/>
  <c r="U119" i="163"/>
  <c r="U120" i="163"/>
  <c r="U121" i="163"/>
  <c r="U122" i="163"/>
  <c r="U123" i="163"/>
  <c r="U124" i="163"/>
  <c r="U125" i="163"/>
  <c r="AH9" i="135"/>
  <c r="I3" i="164"/>
  <c r="O9" i="160"/>
  <c r="O10" i="160"/>
  <c r="O11" i="160"/>
  <c r="O12" i="160"/>
  <c r="T9" i="160"/>
  <c r="O13" i="160"/>
  <c r="O14" i="160"/>
  <c r="O15" i="160"/>
  <c r="O16" i="160"/>
  <c r="T13" i="160"/>
  <c r="O17" i="160"/>
  <c r="O18" i="160"/>
  <c r="O19" i="160"/>
  <c r="O20" i="160"/>
  <c r="T17" i="160"/>
  <c r="O21" i="160"/>
  <c r="O22" i="160"/>
  <c r="O23" i="160"/>
  <c r="O24" i="160"/>
  <c r="T21" i="160"/>
  <c r="O25" i="160"/>
  <c r="O26" i="160"/>
  <c r="O27" i="160"/>
  <c r="O28" i="160"/>
  <c r="T25" i="160"/>
  <c r="O29" i="160"/>
  <c r="O30" i="160"/>
  <c r="O31" i="160"/>
  <c r="O32" i="160"/>
  <c r="T29" i="160"/>
  <c r="O33" i="160"/>
  <c r="O34" i="160"/>
  <c r="O35" i="160"/>
  <c r="O36" i="160"/>
  <c r="T33" i="160"/>
  <c r="O37" i="160"/>
  <c r="O38" i="160"/>
  <c r="O39" i="160"/>
  <c r="O40" i="160"/>
  <c r="T37" i="160"/>
  <c r="O41" i="160"/>
  <c r="O42" i="160"/>
  <c r="O43" i="160"/>
  <c r="O44" i="160"/>
  <c r="T41" i="160"/>
  <c r="O45" i="160"/>
  <c r="O46" i="160"/>
  <c r="O47" i="160"/>
  <c r="O48" i="160"/>
  <c r="T45" i="160"/>
  <c r="O49" i="160"/>
  <c r="O50" i="160"/>
  <c r="O51" i="160"/>
  <c r="O52" i="160"/>
  <c r="T49" i="160"/>
  <c r="O53" i="160"/>
  <c r="O54" i="160"/>
  <c r="O55" i="160"/>
  <c r="O56" i="160"/>
  <c r="T53" i="160"/>
  <c r="O57" i="160"/>
  <c r="O58" i="160"/>
  <c r="O59" i="160"/>
  <c r="O60" i="160"/>
  <c r="T57" i="160"/>
  <c r="O61" i="160"/>
  <c r="O62" i="160"/>
  <c r="O63" i="160"/>
  <c r="O64" i="160"/>
  <c r="T61" i="160"/>
  <c r="O65" i="160"/>
  <c r="O66" i="160"/>
  <c r="O67" i="160"/>
  <c r="O68" i="160"/>
  <c r="T65" i="160"/>
  <c r="O69" i="160"/>
  <c r="O70" i="160"/>
  <c r="O71" i="160"/>
  <c r="O72" i="160"/>
  <c r="T69" i="160"/>
  <c r="O73" i="160"/>
  <c r="O74" i="160"/>
  <c r="O75" i="160"/>
  <c r="O76" i="160"/>
  <c r="T73" i="160"/>
  <c r="O77" i="160"/>
  <c r="O78" i="160"/>
  <c r="O79" i="160"/>
  <c r="O80" i="160"/>
  <c r="T77" i="160"/>
  <c r="O81" i="160"/>
  <c r="O82" i="160"/>
  <c r="O83" i="160"/>
  <c r="O84" i="160"/>
  <c r="T81" i="160"/>
  <c r="O85" i="160"/>
  <c r="O86" i="160"/>
  <c r="O87" i="160"/>
  <c r="O88" i="160"/>
  <c r="T85" i="160"/>
  <c r="O89" i="160"/>
  <c r="O90" i="160"/>
  <c r="O91" i="160"/>
  <c r="O92" i="160"/>
  <c r="T89" i="160"/>
  <c r="O93" i="160"/>
  <c r="O94" i="160"/>
  <c r="O95" i="160"/>
  <c r="O96" i="160"/>
  <c r="T93" i="160"/>
  <c r="O97" i="160"/>
  <c r="O98" i="160"/>
  <c r="O99" i="160"/>
  <c r="O100" i="160"/>
  <c r="T97" i="160"/>
  <c r="O101" i="160"/>
  <c r="O102" i="160"/>
  <c r="O103" i="160"/>
  <c r="O104" i="160"/>
  <c r="T101" i="160"/>
  <c r="O105" i="160"/>
  <c r="O106" i="160"/>
  <c r="O107" i="160"/>
  <c r="O108" i="160"/>
  <c r="T105" i="160"/>
  <c r="O109" i="160"/>
  <c r="O110" i="160"/>
  <c r="O111" i="160"/>
  <c r="O112" i="160"/>
  <c r="T109" i="160"/>
  <c r="O113" i="160"/>
  <c r="O114" i="160"/>
  <c r="O115" i="160"/>
  <c r="O116" i="160"/>
  <c r="T113" i="160"/>
  <c r="O117" i="160"/>
  <c r="O118" i="160"/>
  <c r="O119" i="160"/>
  <c r="O120" i="160"/>
  <c r="T117" i="160"/>
  <c r="O121" i="160"/>
  <c r="O122" i="160"/>
  <c r="O123" i="160"/>
  <c r="O124" i="160"/>
  <c r="T121" i="160"/>
  <c r="T125" i="160"/>
  <c r="AG36" i="135"/>
  <c r="H6" i="164"/>
  <c r="O9" i="161"/>
  <c r="O10" i="161"/>
  <c r="O11" i="161"/>
  <c r="O12" i="161"/>
  <c r="T9" i="161"/>
  <c r="O13" i="161"/>
  <c r="O14" i="161"/>
  <c r="O15" i="161"/>
  <c r="O16" i="161"/>
  <c r="T13" i="161"/>
  <c r="O17" i="161"/>
  <c r="O18" i="161"/>
  <c r="O19" i="161"/>
  <c r="O20" i="161"/>
  <c r="T17" i="161"/>
  <c r="O21" i="161"/>
  <c r="O22" i="161"/>
  <c r="O23" i="161"/>
  <c r="O24" i="161"/>
  <c r="T21" i="161"/>
  <c r="O25" i="161"/>
  <c r="O26" i="161"/>
  <c r="O27" i="161"/>
  <c r="O28" i="161"/>
  <c r="T25" i="161"/>
  <c r="O29" i="161"/>
  <c r="O30" i="161"/>
  <c r="O31" i="161"/>
  <c r="O32" i="161"/>
  <c r="T29" i="161"/>
  <c r="O33" i="161"/>
  <c r="O34" i="161"/>
  <c r="O35" i="161"/>
  <c r="O36" i="161"/>
  <c r="T33" i="161"/>
  <c r="O37" i="161"/>
  <c r="O38" i="161"/>
  <c r="O39" i="161"/>
  <c r="O40" i="161"/>
  <c r="T37" i="161"/>
  <c r="O41" i="161"/>
  <c r="O42" i="161"/>
  <c r="O43" i="161"/>
  <c r="O44" i="161"/>
  <c r="T41" i="161"/>
  <c r="O45" i="161"/>
  <c r="O46" i="161"/>
  <c r="O47" i="161"/>
  <c r="O48" i="161"/>
  <c r="T45" i="161"/>
  <c r="O49" i="161"/>
  <c r="O50" i="161"/>
  <c r="O51" i="161"/>
  <c r="O52" i="161"/>
  <c r="T49" i="161"/>
  <c r="O53" i="161"/>
  <c r="O54" i="161"/>
  <c r="O55" i="161"/>
  <c r="O56" i="161"/>
  <c r="T53" i="161"/>
  <c r="O57" i="161"/>
  <c r="O58" i="161"/>
  <c r="O59" i="161"/>
  <c r="O60" i="161"/>
  <c r="T57" i="161"/>
  <c r="O61" i="161"/>
  <c r="O62" i="161"/>
  <c r="O63" i="161"/>
  <c r="O64" i="161"/>
  <c r="T61" i="161"/>
  <c r="O65" i="161"/>
  <c r="O66" i="161"/>
  <c r="O67" i="161"/>
  <c r="O68" i="161"/>
  <c r="T65" i="161"/>
  <c r="O69" i="161"/>
  <c r="O70" i="161"/>
  <c r="O71" i="161"/>
  <c r="O72" i="161"/>
  <c r="T69" i="161"/>
  <c r="O73" i="161"/>
  <c r="O74" i="161"/>
  <c r="O75" i="161"/>
  <c r="O76" i="161"/>
  <c r="T73" i="161"/>
  <c r="O77" i="161"/>
  <c r="O78" i="161"/>
  <c r="O79" i="161"/>
  <c r="O80" i="161"/>
  <c r="T77" i="161"/>
  <c r="O81" i="161"/>
  <c r="O82" i="161"/>
  <c r="O83" i="161"/>
  <c r="O84" i="161"/>
  <c r="T81" i="161"/>
  <c r="O85" i="161"/>
  <c r="O86" i="161"/>
  <c r="O87" i="161"/>
  <c r="O88" i="161"/>
  <c r="T85" i="161"/>
  <c r="O89" i="161"/>
  <c r="O90" i="161"/>
  <c r="O91" i="161"/>
  <c r="O92" i="161"/>
  <c r="T89" i="161"/>
  <c r="O93" i="161"/>
  <c r="O94" i="161"/>
  <c r="O95" i="161"/>
  <c r="O96" i="161"/>
  <c r="T93" i="161"/>
  <c r="O97" i="161"/>
  <c r="O98" i="161"/>
  <c r="O99" i="161"/>
  <c r="O100" i="161"/>
  <c r="T97" i="161"/>
  <c r="O101" i="161"/>
  <c r="O102" i="161"/>
  <c r="O103" i="161"/>
  <c r="O104" i="161"/>
  <c r="T101" i="161"/>
  <c r="O105" i="161"/>
  <c r="O106" i="161"/>
  <c r="O107" i="161"/>
  <c r="O108" i="161"/>
  <c r="T105" i="161"/>
  <c r="O109" i="161"/>
  <c r="O110" i="161"/>
  <c r="O111" i="161"/>
  <c r="O112" i="161"/>
  <c r="T109" i="161"/>
  <c r="O113" i="161"/>
  <c r="O114" i="161"/>
  <c r="O115" i="161"/>
  <c r="O116" i="161"/>
  <c r="T113" i="161"/>
  <c r="O117" i="161"/>
  <c r="O118" i="161"/>
  <c r="O119" i="161"/>
  <c r="O120" i="161"/>
  <c r="T117" i="161"/>
  <c r="O121" i="161"/>
  <c r="O122" i="161"/>
  <c r="O123" i="161"/>
  <c r="O124" i="161"/>
  <c r="T121" i="161"/>
  <c r="T125" i="161"/>
  <c r="AG27" i="135"/>
  <c r="H5" i="164"/>
  <c r="O9" i="162"/>
  <c r="O10" i="162"/>
  <c r="O11" i="162"/>
  <c r="O12" i="162"/>
  <c r="T9" i="162"/>
  <c r="O13" i="162"/>
  <c r="O14" i="162"/>
  <c r="O15" i="162"/>
  <c r="O16" i="162"/>
  <c r="T13" i="162"/>
  <c r="O17" i="162"/>
  <c r="O18" i="162"/>
  <c r="O19" i="162"/>
  <c r="O20" i="162"/>
  <c r="T17" i="162"/>
  <c r="O21" i="162"/>
  <c r="O22" i="162"/>
  <c r="O23" i="162"/>
  <c r="O24" i="162"/>
  <c r="T21" i="162"/>
  <c r="O25" i="162"/>
  <c r="O26" i="162"/>
  <c r="O27" i="162"/>
  <c r="O28" i="162"/>
  <c r="T25" i="162"/>
  <c r="O29" i="162"/>
  <c r="O30" i="162"/>
  <c r="O31" i="162"/>
  <c r="O32" i="162"/>
  <c r="T29" i="162"/>
  <c r="O33" i="162"/>
  <c r="O34" i="162"/>
  <c r="O35" i="162"/>
  <c r="O36" i="162"/>
  <c r="T33" i="162"/>
  <c r="O37" i="162"/>
  <c r="O38" i="162"/>
  <c r="O39" i="162"/>
  <c r="O40" i="162"/>
  <c r="T37" i="162"/>
  <c r="O41" i="162"/>
  <c r="O42" i="162"/>
  <c r="O43" i="162"/>
  <c r="O44" i="162"/>
  <c r="T41" i="162"/>
  <c r="O45" i="162"/>
  <c r="O46" i="162"/>
  <c r="O47" i="162"/>
  <c r="O48" i="162"/>
  <c r="T45" i="162"/>
  <c r="O49" i="162"/>
  <c r="O50" i="162"/>
  <c r="O51" i="162"/>
  <c r="O52" i="162"/>
  <c r="T49" i="162"/>
  <c r="O53" i="162"/>
  <c r="O54" i="162"/>
  <c r="O55" i="162"/>
  <c r="O56" i="162"/>
  <c r="T53" i="162"/>
  <c r="O57" i="162"/>
  <c r="O58" i="162"/>
  <c r="O59" i="162"/>
  <c r="O60" i="162"/>
  <c r="T57" i="162"/>
  <c r="O61" i="162"/>
  <c r="O62" i="162"/>
  <c r="O63" i="162"/>
  <c r="O64" i="162"/>
  <c r="T61" i="162"/>
  <c r="O65" i="162"/>
  <c r="O66" i="162"/>
  <c r="O67" i="162"/>
  <c r="O68" i="162"/>
  <c r="T65" i="162"/>
  <c r="O69" i="162"/>
  <c r="O70" i="162"/>
  <c r="O71" i="162"/>
  <c r="O72" i="162"/>
  <c r="T69" i="162"/>
  <c r="O73" i="162"/>
  <c r="O74" i="162"/>
  <c r="O75" i="162"/>
  <c r="O76" i="162"/>
  <c r="T73" i="162"/>
  <c r="O77" i="162"/>
  <c r="O78" i="162"/>
  <c r="O79" i="162"/>
  <c r="O80" i="162"/>
  <c r="T77" i="162"/>
  <c r="O81" i="162"/>
  <c r="O82" i="162"/>
  <c r="O83" i="162"/>
  <c r="O84" i="162"/>
  <c r="T81" i="162"/>
  <c r="O85" i="162"/>
  <c r="O86" i="162"/>
  <c r="O87" i="162"/>
  <c r="O88" i="162"/>
  <c r="T85" i="162"/>
  <c r="O89" i="162"/>
  <c r="O90" i="162"/>
  <c r="O91" i="162"/>
  <c r="O92" i="162"/>
  <c r="T89" i="162"/>
  <c r="O93" i="162"/>
  <c r="O94" i="162"/>
  <c r="O95" i="162"/>
  <c r="O96" i="162"/>
  <c r="T93" i="162"/>
  <c r="O97" i="162"/>
  <c r="O98" i="162"/>
  <c r="O99" i="162"/>
  <c r="O100" i="162"/>
  <c r="T97" i="162"/>
  <c r="O101" i="162"/>
  <c r="O102" i="162"/>
  <c r="O103" i="162"/>
  <c r="O104" i="162"/>
  <c r="T101" i="162"/>
  <c r="O105" i="162"/>
  <c r="O106" i="162"/>
  <c r="O107" i="162"/>
  <c r="O108" i="162"/>
  <c r="T105" i="162"/>
  <c r="O109" i="162"/>
  <c r="O110" i="162"/>
  <c r="O111" i="162"/>
  <c r="O112" i="162"/>
  <c r="T109" i="162"/>
  <c r="O113" i="162"/>
  <c r="O114" i="162"/>
  <c r="O115" i="162"/>
  <c r="O116" i="162"/>
  <c r="T113" i="162"/>
  <c r="O117" i="162"/>
  <c r="O118" i="162"/>
  <c r="O119" i="162"/>
  <c r="O120" i="162"/>
  <c r="T117" i="162"/>
  <c r="O121" i="162"/>
  <c r="O122" i="162"/>
  <c r="O123" i="162"/>
  <c r="O124" i="162"/>
  <c r="T121" i="162"/>
  <c r="T125" i="162"/>
  <c r="AG18" i="135"/>
  <c r="H4" i="164"/>
  <c r="O9" i="163"/>
  <c r="O10" i="163"/>
  <c r="O11" i="163"/>
  <c r="O12" i="163"/>
  <c r="T9" i="163"/>
  <c r="O13" i="163"/>
  <c r="O14" i="163"/>
  <c r="O15" i="163"/>
  <c r="O16" i="163"/>
  <c r="T13" i="163"/>
  <c r="O17" i="163"/>
  <c r="O18" i="163"/>
  <c r="O19" i="163"/>
  <c r="O20" i="163"/>
  <c r="T17" i="163"/>
  <c r="O21" i="163"/>
  <c r="O22" i="163"/>
  <c r="O23" i="163"/>
  <c r="O24" i="163"/>
  <c r="T21" i="163"/>
  <c r="O25" i="163"/>
  <c r="O26" i="163"/>
  <c r="O27" i="163"/>
  <c r="O28" i="163"/>
  <c r="T25" i="163"/>
  <c r="O29" i="163"/>
  <c r="O30" i="163"/>
  <c r="O31" i="163"/>
  <c r="O32" i="163"/>
  <c r="T29" i="163"/>
  <c r="O33" i="163"/>
  <c r="O34" i="163"/>
  <c r="O35" i="163"/>
  <c r="O36" i="163"/>
  <c r="T33" i="163"/>
  <c r="O37" i="163"/>
  <c r="O38" i="163"/>
  <c r="O39" i="163"/>
  <c r="O40" i="163"/>
  <c r="T37" i="163"/>
  <c r="O41" i="163"/>
  <c r="O42" i="163"/>
  <c r="O43" i="163"/>
  <c r="O44" i="163"/>
  <c r="T41" i="163"/>
  <c r="O45" i="163"/>
  <c r="O46" i="163"/>
  <c r="O47" i="163"/>
  <c r="O48" i="163"/>
  <c r="T45" i="163"/>
  <c r="O49" i="163"/>
  <c r="O50" i="163"/>
  <c r="O51" i="163"/>
  <c r="O52" i="163"/>
  <c r="T49" i="163"/>
  <c r="O53" i="163"/>
  <c r="O54" i="163"/>
  <c r="O55" i="163"/>
  <c r="O56" i="163"/>
  <c r="T53" i="163"/>
  <c r="O57" i="163"/>
  <c r="O58" i="163"/>
  <c r="O59" i="163"/>
  <c r="O60" i="163"/>
  <c r="T57" i="163"/>
  <c r="O61" i="163"/>
  <c r="O62" i="163"/>
  <c r="O63" i="163"/>
  <c r="O64" i="163"/>
  <c r="T61" i="163"/>
  <c r="O65" i="163"/>
  <c r="O66" i="163"/>
  <c r="O67" i="163"/>
  <c r="O68" i="163"/>
  <c r="T65" i="163"/>
  <c r="O69" i="163"/>
  <c r="O70" i="163"/>
  <c r="O71" i="163"/>
  <c r="O72" i="163"/>
  <c r="T69" i="163"/>
  <c r="O73" i="163"/>
  <c r="O74" i="163"/>
  <c r="O75" i="163"/>
  <c r="O76" i="163"/>
  <c r="T73" i="163"/>
  <c r="O77" i="163"/>
  <c r="O78" i="163"/>
  <c r="O79" i="163"/>
  <c r="O80" i="163"/>
  <c r="T77" i="163"/>
  <c r="O81" i="163"/>
  <c r="O82" i="163"/>
  <c r="O83" i="163"/>
  <c r="O84" i="163"/>
  <c r="T81" i="163"/>
  <c r="O85" i="163"/>
  <c r="O86" i="163"/>
  <c r="O87" i="163"/>
  <c r="O88" i="163"/>
  <c r="T85" i="163"/>
  <c r="O89" i="163"/>
  <c r="O90" i="163"/>
  <c r="O91" i="163"/>
  <c r="O92" i="163"/>
  <c r="T89" i="163"/>
  <c r="O93" i="163"/>
  <c r="O94" i="163"/>
  <c r="O95" i="163"/>
  <c r="O96" i="163"/>
  <c r="T93" i="163"/>
  <c r="O97" i="163"/>
  <c r="O98" i="163"/>
  <c r="O99" i="163"/>
  <c r="O100" i="163"/>
  <c r="T97" i="163"/>
  <c r="O101" i="163"/>
  <c r="O102" i="163"/>
  <c r="O103" i="163"/>
  <c r="O104" i="163"/>
  <c r="T101" i="163"/>
  <c r="O105" i="163"/>
  <c r="O106" i="163"/>
  <c r="O107" i="163"/>
  <c r="O108" i="163"/>
  <c r="T105" i="163"/>
  <c r="O109" i="163"/>
  <c r="O110" i="163"/>
  <c r="O111" i="163"/>
  <c r="O112" i="163"/>
  <c r="T109" i="163"/>
  <c r="O113" i="163"/>
  <c r="O114" i="163"/>
  <c r="O115" i="163"/>
  <c r="O116" i="163"/>
  <c r="T113" i="163"/>
  <c r="O117" i="163"/>
  <c r="O118" i="163"/>
  <c r="O119" i="163"/>
  <c r="O120" i="163"/>
  <c r="T117" i="163"/>
  <c r="O121" i="163"/>
  <c r="O122" i="163"/>
  <c r="O123" i="163"/>
  <c r="O124" i="163"/>
  <c r="T121" i="163"/>
  <c r="T125" i="163"/>
  <c r="AG9" i="135"/>
  <c r="H3" i="164"/>
  <c r="U9" i="154"/>
  <c r="U10" i="154"/>
  <c r="U11" i="154"/>
  <c r="U12" i="154"/>
  <c r="U13" i="154"/>
  <c r="U14" i="154"/>
  <c r="U15" i="154"/>
  <c r="U16" i="154"/>
  <c r="U17" i="154"/>
  <c r="U18" i="154"/>
  <c r="U19" i="154"/>
  <c r="U20" i="154"/>
  <c r="U21" i="154"/>
  <c r="U22" i="154"/>
  <c r="U23" i="154"/>
  <c r="U24" i="154"/>
  <c r="U25" i="154"/>
  <c r="U26" i="154"/>
  <c r="U27" i="154"/>
  <c r="U28" i="154"/>
  <c r="U29" i="154"/>
  <c r="U30" i="154"/>
  <c r="U31" i="154"/>
  <c r="U32" i="154"/>
  <c r="U33" i="154"/>
  <c r="U34" i="154"/>
  <c r="U35" i="154"/>
  <c r="U36" i="154"/>
  <c r="U37" i="154"/>
  <c r="U38" i="154"/>
  <c r="U39" i="154"/>
  <c r="U40" i="154"/>
  <c r="U41" i="154"/>
  <c r="U42" i="154"/>
  <c r="U43" i="154"/>
  <c r="U44" i="154"/>
  <c r="U45" i="154"/>
  <c r="U46" i="154"/>
  <c r="U47" i="154"/>
  <c r="U48" i="154"/>
  <c r="U49" i="154"/>
  <c r="U50" i="154"/>
  <c r="U51" i="154"/>
  <c r="U52" i="154"/>
  <c r="U53" i="154"/>
  <c r="U54" i="154"/>
  <c r="U55" i="154"/>
  <c r="U56" i="154"/>
  <c r="U57" i="154"/>
  <c r="U58" i="154"/>
  <c r="U59" i="154"/>
  <c r="U60" i="154"/>
  <c r="U61" i="154"/>
  <c r="U62" i="154"/>
  <c r="U63" i="154"/>
  <c r="U64" i="154"/>
  <c r="U65" i="154"/>
  <c r="U66" i="154"/>
  <c r="U67" i="154"/>
  <c r="U68" i="154"/>
  <c r="U69" i="154"/>
  <c r="U70" i="154"/>
  <c r="U71" i="154"/>
  <c r="U72" i="154"/>
  <c r="U73" i="154"/>
  <c r="U74" i="154"/>
  <c r="U75" i="154"/>
  <c r="U76" i="154"/>
  <c r="U77" i="154"/>
  <c r="U78" i="154"/>
  <c r="U79" i="154"/>
  <c r="U80" i="154"/>
  <c r="U81" i="154"/>
  <c r="U82" i="154"/>
  <c r="U83" i="154"/>
  <c r="U84" i="154"/>
  <c r="U85" i="154"/>
  <c r="U86" i="154"/>
  <c r="U87" i="154"/>
  <c r="U88" i="154"/>
  <c r="U89" i="154"/>
  <c r="U90" i="154"/>
  <c r="U91" i="154"/>
  <c r="U92" i="154"/>
  <c r="U93" i="154"/>
  <c r="U94" i="154"/>
  <c r="U95" i="154"/>
  <c r="U96" i="154"/>
  <c r="U97" i="154"/>
  <c r="U98" i="154"/>
  <c r="U99" i="154"/>
  <c r="U100" i="154"/>
  <c r="U101" i="154"/>
  <c r="U102" i="154"/>
  <c r="U103" i="154"/>
  <c r="U104" i="154"/>
  <c r="U105" i="154"/>
  <c r="U106" i="154"/>
  <c r="U107" i="154"/>
  <c r="U108" i="154"/>
  <c r="U109" i="154"/>
  <c r="U110" i="154"/>
  <c r="U111" i="154"/>
  <c r="U112" i="154"/>
  <c r="U113" i="154"/>
  <c r="U114" i="154"/>
  <c r="U115" i="154"/>
  <c r="U116" i="154"/>
  <c r="U117" i="154"/>
  <c r="U118" i="154"/>
  <c r="U119" i="154"/>
  <c r="U120" i="154"/>
  <c r="U121" i="154"/>
  <c r="U122" i="154"/>
  <c r="U123" i="154"/>
  <c r="U124" i="154"/>
  <c r="U125" i="154"/>
  <c r="Y57" i="135"/>
  <c r="G6" i="164"/>
  <c r="U131" i="155"/>
  <c r="U132" i="155"/>
  <c r="U133" i="155"/>
  <c r="U134" i="155"/>
  <c r="U135" i="155"/>
  <c r="U136" i="155"/>
  <c r="U137" i="155"/>
  <c r="U138" i="155"/>
  <c r="U139" i="155"/>
  <c r="U140" i="155"/>
  <c r="U141" i="155"/>
  <c r="U142" i="155"/>
  <c r="U143" i="155"/>
  <c r="U144" i="155"/>
  <c r="U145" i="155"/>
  <c r="U146" i="155"/>
  <c r="U147" i="155"/>
  <c r="U148" i="155"/>
  <c r="U149" i="155"/>
  <c r="U150" i="155"/>
  <c r="U151" i="155"/>
  <c r="U152" i="155"/>
  <c r="U153" i="155"/>
  <c r="U154" i="155"/>
  <c r="U155" i="155"/>
  <c r="U156" i="155"/>
  <c r="U157" i="155"/>
  <c r="U158" i="155"/>
  <c r="U159" i="155"/>
  <c r="U160" i="155"/>
  <c r="U161" i="155"/>
  <c r="U162" i="155"/>
  <c r="U163" i="155"/>
  <c r="U164" i="155"/>
  <c r="U165" i="155"/>
  <c r="U166" i="155"/>
  <c r="U167" i="155"/>
  <c r="U168" i="155"/>
  <c r="U169" i="155"/>
  <c r="U170" i="155"/>
  <c r="U171" i="155"/>
  <c r="U172" i="155"/>
  <c r="U173" i="155"/>
  <c r="U174" i="155"/>
  <c r="U175" i="155"/>
  <c r="U176" i="155"/>
  <c r="U177" i="155"/>
  <c r="U178" i="155"/>
  <c r="U179" i="155"/>
  <c r="U180" i="155"/>
  <c r="U181" i="155"/>
  <c r="U182" i="155"/>
  <c r="U183" i="155"/>
  <c r="U184" i="155"/>
  <c r="U185" i="155"/>
  <c r="U186" i="155"/>
  <c r="U187" i="155"/>
  <c r="U188" i="155"/>
  <c r="U189" i="155"/>
  <c r="U190" i="155"/>
  <c r="U191" i="155"/>
  <c r="U192" i="155"/>
  <c r="U193" i="155"/>
  <c r="U194" i="155"/>
  <c r="U195" i="155"/>
  <c r="U196" i="155"/>
  <c r="U197" i="155"/>
  <c r="U198" i="155"/>
  <c r="U199" i="155"/>
  <c r="U200" i="155"/>
  <c r="U201" i="155"/>
  <c r="U202" i="155"/>
  <c r="U203" i="155"/>
  <c r="U204" i="155"/>
  <c r="U205" i="155"/>
  <c r="U206" i="155"/>
  <c r="U207" i="155"/>
  <c r="U208" i="155"/>
  <c r="U209" i="155"/>
  <c r="U210" i="155"/>
  <c r="U211" i="155"/>
  <c r="U212" i="155"/>
  <c r="U213" i="155"/>
  <c r="U214" i="155"/>
  <c r="U215" i="155"/>
  <c r="U216" i="155"/>
  <c r="U217" i="155"/>
  <c r="U218" i="155"/>
  <c r="U219" i="155"/>
  <c r="U220" i="155"/>
  <c r="U221" i="155"/>
  <c r="U222" i="155"/>
  <c r="U223" i="155"/>
  <c r="U224" i="155"/>
  <c r="U225" i="155"/>
  <c r="U226" i="155"/>
  <c r="U227" i="155"/>
  <c r="U228" i="155"/>
  <c r="U229" i="155"/>
  <c r="U230" i="155"/>
  <c r="U231" i="155"/>
  <c r="U232" i="155"/>
  <c r="U233" i="155"/>
  <c r="U234" i="155"/>
  <c r="U235" i="155"/>
  <c r="U236" i="155"/>
  <c r="U237" i="155"/>
  <c r="U238" i="155"/>
  <c r="U239" i="155"/>
  <c r="U240" i="155"/>
  <c r="U241" i="155"/>
  <c r="U242" i="155"/>
  <c r="U243" i="155"/>
  <c r="U244" i="155"/>
  <c r="U245" i="155"/>
  <c r="U246" i="155"/>
  <c r="U247" i="155"/>
  <c r="Y48" i="135"/>
  <c r="G5" i="164"/>
  <c r="U131" i="156"/>
  <c r="U132" i="156"/>
  <c r="U133" i="156"/>
  <c r="U134" i="156"/>
  <c r="U135" i="156"/>
  <c r="U136" i="156"/>
  <c r="U137" i="156"/>
  <c r="U138" i="156"/>
  <c r="U139" i="156"/>
  <c r="U140" i="156"/>
  <c r="U141" i="156"/>
  <c r="U142" i="156"/>
  <c r="U143" i="156"/>
  <c r="U144" i="156"/>
  <c r="U145" i="156"/>
  <c r="U146" i="156"/>
  <c r="U147" i="156"/>
  <c r="U148" i="156"/>
  <c r="U149" i="156"/>
  <c r="U150" i="156"/>
  <c r="U151" i="156"/>
  <c r="U152" i="156"/>
  <c r="U153" i="156"/>
  <c r="U154" i="156"/>
  <c r="U155" i="156"/>
  <c r="U156" i="156"/>
  <c r="U157" i="156"/>
  <c r="U158" i="156"/>
  <c r="U159" i="156"/>
  <c r="U160" i="156"/>
  <c r="U161" i="156"/>
  <c r="U162" i="156"/>
  <c r="U163" i="156"/>
  <c r="U164" i="156"/>
  <c r="U165" i="156"/>
  <c r="U166" i="156"/>
  <c r="U167" i="156"/>
  <c r="U168" i="156"/>
  <c r="U169" i="156"/>
  <c r="U170" i="156"/>
  <c r="U171" i="156"/>
  <c r="U172" i="156"/>
  <c r="U173" i="156"/>
  <c r="U174" i="156"/>
  <c r="U175" i="156"/>
  <c r="U176" i="156"/>
  <c r="U177" i="156"/>
  <c r="U178" i="156"/>
  <c r="U179" i="156"/>
  <c r="U180" i="156"/>
  <c r="U181" i="156"/>
  <c r="U182" i="156"/>
  <c r="U183" i="156"/>
  <c r="U184" i="156"/>
  <c r="U185" i="156"/>
  <c r="U186" i="156"/>
  <c r="U187" i="156"/>
  <c r="U188" i="156"/>
  <c r="U189" i="156"/>
  <c r="U190" i="156"/>
  <c r="U191" i="156"/>
  <c r="U192" i="156"/>
  <c r="U193" i="156"/>
  <c r="U194" i="156"/>
  <c r="U195" i="156"/>
  <c r="U196" i="156"/>
  <c r="U197" i="156"/>
  <c r="U198" i="156"/>
  <c r="U199" i="156"/>
  <c r="U200" i="156"/>
  <c r="U201" i="156"/>
  <c r="U202" i="156"/>
  <c r="U203" i="156"/>
  <c r="U204" i="156"/>
  <c r="U205" i="156"/>
  <c r="U206" i="156"/>
  <c r="U207" i="156"/>
  <c r="U208" i="156"/>
  <c r="U209" i="156"/>
  <c r="U210" i="156"/>
  <c r="U211" i="156"/>
  <c r="U212" i="156"/>
  <c r="U213" i="156"/>
  <c r="U214" i="156"/>
  <c r="U215" i="156"/>
  <c r="U216" i="156"/>
  <c r="U217" i="156"/>
  <c r="U218" i="156"/>
  <c r="U219" i="156"/>
  <c r="U220" i="156"/>
  <c r="U221" i="156"/>
  <c r="U222" i="156"/>
  <c r="U223" i="156"/>
  <c r="U224" i="156"/>
  <c r="U225" i="156"/>
  <c r="U226" i="156"/>
  <c r="U227" i="156"/>
  <c r="U228" i="156"/>
  <c r="U229" i="156"/>
  <c r="U230" i="156"/>
  <c r="U231" i="156"/>
  <c r="U232" i="156"/>
  <c r="U233" i="156"/>
  <c r="U234" i="156"/>
  <c r="U235" i="156"/>
  <c r="U236" i="156"/>
  <c r="U237" i="156"/>
  <c r="U238" i="156"/>
  <c r="U239" i="156"/>
  <c r="U240" i="156"/>
  <c r="U241" i="156"/>
  <c r="U242" i="156"/>
  <c r="U243" i="156"/>
  <c r="U244" i="156"/>
  <c r="U245" i="156"/>
  <c r="U246" i="156"/>
  <c r="U247" i="156"/>
  <c r="Y32" i="135"/>
  <c r="G4" i="164"/>
  <c r="U131" i="159"/>
  <c r="U132" i="159"/>
  <c r="U133" i="159"/>
  <c r="U134" i="159"/>
  <c r="U135" i="159"/>
  <c r="U136" i="159"/>
  <c r="U137" i="159"/>
  <c r="U138" i="159"/>
  <c r="U139" i="159"/>
  <c r="U140" i="159"/>
  <c r="U141" i="159"/>
  <c r="U142" i="159"/>
  <c r="U143" i="159"/>
  <c r="U144" i="159"/>
  <c r="U145" i="159"/>
  <c r="U146" i="159"/>
  <c r="U147" i="159"/>
  <c r="U148" i="159"/>
  <c r="U149" i="159"/>
  <c r="U150" i="159"/>
  <c r="U151" i="159"/>
  <c r="U152" i="159"/>
  <c r="U153" i="159"/>
  <c r="U154" i="159"/>
  <c r="U155" i="159"/>
  <c r="U156" i="159"/>
  <c r="U157" i="159"/>
  <c r="U158" i="159"/>
  <c r="U159" i="159"/>
  <c r="U160" i="159"/>
  <c r="U161" i="159"/>
  <c r="U162" i="159"/>
  <c r="U163" i="159"/>
  <c r="U164" i="159"/>
  <c r="U165" i="159"/>
  <c r="U166" i="159"/>
  <c r="U167" i="159"/>
  <c r="U168" i="159"/>
  <c r="U169" i="159"/>
  <c r="U170" i="159"/>
  <c r="U171" i="159"/>
  <c r="U172" i="159"/>
  <c r="U173" i="159"/>
  <c r="U174" i="159"/>
  <c r="U175" i="159"/>
  <c r="U176" i="159"/>
  <c r="U177" i="159"/>
  <c r="U178" i="159"/>
  <c r="U179" i="159"/>
  <c r="U180" i="159"/>
  <c r="U181" i="159"/>
  <c r="U182" i="159"/>
  <c r="U183" i="159"/>
  <c r="U184" i="159"/>
  <c r="U185" i="159"/>
  <c r="U186" i="159"/>
  <c r="U187" i="159"/>
  <c r="U188" i="159"/>
  <c r="U189" i="159"/>
  <c r="U190" i="159"/>
  <c r="U191" i="159"/>
  <c r="U192" i="159"/>
  <c r="U193" i="159"/>
  <c r="U194" i="159"/>
  <c r="U195" i="159"/>
  <c r="U196" i="159"/>
  <c r="U197" i="159"/>
  <c r="U198" i="159"/>
  <c r="U199" i="159"/>
  <c r="U200" i="159"/>
  <c r="U201" i="159"/>
  <c r="U202" i="159"/>
  <c r="U203" i="159"/>
  <c r="U204" i="159"/>
  <c r="U205" i="159"/>
  <c r="U206" i="159"/>
  <c r="U207" i="159"/>
  <c r="U208" i="159"/>
  <c r="U209" i="159"/>
  <c r="U210" i="159"/>
  <c r="U211" i="159"/>
  <c r="U212" i="159"/>
  <c r="U213" i="159"/>
  <c r="U214" i="159"/>
  <c r="U215" i="159"/>
  <c r="U216" i="159"/>
  <c r="U217" i="159"/>
  <c r="U218" i="159"/>
  <c r="U219" i="159"/>
  <c r="U220" i="159"/>
  <c r="U221" i="159"/>
  <c r="U222" i="159"/>
  <c r="U223" i="159"/>
  <c r="U224" i="159"/>
  <c r="U225" i="159"/>
  <c r="U226" i="159"/>
  <c r="U227" i="159"/>
  <c r="U228" i="159"/>
  <c r="U229" i="159"/>
  <c r="U230" i="159"/>
  <c r="U231" i="159"/>
  <c r="U232" i="159"/>
  <c r="U233" i="159"/>
  <c r="U234" i="159"/>
  <c r="U235" i="159"/>
  <c r="U236" i="159"/>
  <c r="U237" i="159"/>
  <c r="U238" i="159"/>
  <c r="U239" i="159"/>
  <c r="U240" i="159"/>
  <c r="U241" i="159"/>
  <c r="U242" i="159"/>
  <c r="U243" i="159"/>
  <c r="U244" i="159"/>
  <c r="U245" i="159"/>
  <c r="U246" i="159"/>
  <c r="U247" i="159"/>
  <c r="Y16" i="135"/>
  <c r="G3" i="164"/>
  <c r="H9" i="154"/>
  <c r="H10" i="154"/>
  <c r="H11" i="154"/>
  <c r="H12" i="154"/>
  <c r="O9" i="154"/>
  <c r="O10" i="154"/>
  <c r="O11" i="154"/>
  <c r="O12" i="154"/>
  <c r="T9" i="154"/>
  <c r="H13" i="154"/>
  <c r="H14" i="154"/>
  <c r="H15" i="154"/>
  <c r="H16" i="154"/>
  <c r="O13" i="154"/>
  <c r="O14" i="154"/>
  <c r="O15" i="154"/>
  <c r="O16" i="154"/>
  <c r="T13" i="154"/>
  <c r="H17" i="154"/>
  <c r="H18" i="154"/>
  <c r="H19" i="154"/>
  <c r="H20" i="154"/>
  <c r="O17" i="154"/>
  <c r="O18" i="154"/>
  <c r="O19" i="154"/>
  <c r="O20" i="154"/>
  <c r="T17" i="154"/>
  <c r="H21" i="154"/>
  <c r="H22" i="154"/>
  <c r="H23" i="154"/>
  <c r="H24" i="154"/>
  <c r="O21" i="154"/>
  <c r="O22" i="154"/>
  <c r="O23" i="154"/>
  <c r="O24" i="154"/>
  <c r="T21" i="154"/>
  <c r="H25" i="154"/>
  <c r="H26" i="154"/>
  <c r="H27" i="154"/>
  <c r="H28" i="154"/>
  <c r="O25" i="154"/>
  <c r="O26" i="154"/>
  <c r="O27" i="154"/>
  <c r="O28" i="154"/>
  <c r="T25" i="154"/>
  <c r="H29" i="154"/>
  <c r="H30" i="154"/>
  <c r="H31" i="154"/>
  <c r="H32" i="154"/>
  <c r="O29" i="154"/>
  <c r="O30" i="154"/>
  <c r="O31" i="154"/>
  <c r="O32" i="154"/>
  <c r="T29" i="154"/>
  <c r="H33" i="154"/>
  <c r="H34" i="154"/>
  <c r="H35" i="154"/>
  <c r="H36" i="154"/>
  <c r="O33" i="154"/>
  <c r="O34" i="154"/>
  <c r="O35" i="154"/>
  <c r="O36" i="154"/>
  <c r="T33" i="154"/>
  <c r="H37" i="154"/>
  <c r="H38" i="154"/>
  <c r="H39" i="154"/>
  <c r="H40" i="154"/>
  <c r="O37" i="154"/>
  <c r="O38" i="154"/>
  <c r="O39" i="154"/>
  <c r="O40" i="154"/>
  <c r="T37" i="154"/>
  <c r="H41" i="154"/>
  <c r="H42" i="154"/>
  <c r="H43" i="154"/>
  <c r="H44" i="154"/>
  <c r="O41" i="154"/>
  <c r="O42" i="154"/>
  <c r="O43" i="154"/>
  <c r="O44" i="154"/>
  <c r="T41" i="154"/>
  <c r="H45" i="154"/>
  <c r="H46" i="154"/>
  <c r="H47" i="154"/>
  <c r="H48" i="154"/>
  <c r="O45" i="154"/>
  <c r="O46" i="154"/>
  <c r="O47" i="154"/>
  <c r="O48" i="154"/>
  <c r="T45" i="154"/>
  <c r="H49" i="154"/>
  <c r="H50" i="154"/>
  <c r="H51" i="154"/>
  <c r="H52" i="154"/>
  <c r="O49" i="154"/>
  <c r="O50" i="154"/>
  <c r="O51" i="154"/>
  <c r="O52" i="154"/>
  <c r="T49" i="154"/>
  <c r="H53" i="154"/>
  <c r="H54" i="154"/>
  <c r="H55" i="154"/>
  <c r="H56" i="154"/>
  <c r="O53" i="154"/>
  <c r="O54" i="154"/>
  <c r="O55" i="154"/>
  <c r="O56" i="154"/>
  <c r="T53" i="154"/>
  <c r="H57" i="154"/>
  <c r="H58" i="154"/>
  <c r="H59" i="154"/>
  <c r="H60" i="154"/>
  <c r="O57" i="154"/>
  <c r="O58" i="154"/>
  <c r="O59" i="154"/>
  <c r="O60" i="154"/>
  <c r="T57" i="154"/>
  <c r="H61" i="154"/>
  <c r="H62" i="154"/>
  <c r="H63" i="154"/>
  <c r="H64" i="154"/>
  <c r="O61" i="154"/>
  <c r="O62" i="154"/>
  <c r="O63" i="154"/>
  <c r="O64" i="154"/>
  <c r="T61" i="154"/>
  <c r="H65" i="154"/>
  <c r="H66" i="154"/>
  <c r="H67" i="154"/>
  <c r="H68" i="154"/>
  <c r="O65" i="154"/>
  <c r="O66" i="154"/>
  <c r="O67" i="154"/>
  <c r="O68" i="154"/>
  <c r="T65" i="154"/>
  <c r="H69" i="154"/>
  <c r="H70" i="154"/>
  <c r="H71" i="154"/>
  <c r="H72" i="154"/>
  <c r="O69" i="154"/>
  <c r="O70" i="154"/>
  <c r="O71" i="154"/>
  <c r="O72" i="154"/>
  <c r="T69" i="154"/>
  <c r="H73" i="154"/>
  <c r="H74" i="154"/>
  <c r="H75" i="154"/>
  <c r="H76" i="154"/>
  <c r="O73" i="154"/>
  <c r="O74" i="154"/>
  <c r="O75" i="154"/>
  <c r="O76" i="154"/>
  <c r="T73" i="154"/>
  <c r="H77" i="154"/>
  <c r="H78" i="154"/>
  <c r="H79" i="154"/>
  <c r="H80" i="154"/>
  <c r="O77" i="154"/>
  <c r="O78" i="154"/>
  <c r="O79" i="154"/>
  <c r="O80" i="154"/>
  <c r="T77" i="154"/>
  <c r="H81" i="154"/>
  <c r="H82" i="154"/>
  <c r="H83" i="154"/>
  <c r="H84" i="154"/>
  <c r="O81" i="154"/>
  <c r="O82" i="154"/>
  <c r="O83" i="154"/>
  <c r="O84" i="154"/>
  <c r="T81" i="154"/>
  <c r="H85" i="154"/>
  <c r="H86" i="154"/>
  <c r="H87" i="154"/>
  <c r="H88" i="154"/>
  <c r="O85" i="154"/>
  <c r="O86" i="154"/>
  <c r="O87" i="154"/>
  <c r="O88" i="154"/>
  <c r="T85" i="154"/>
  <c r="H89" i="154"/>
  <c r="H90" i="154"/>
  <c r="H91" i="154"/>
  <c r="H92" i="154"/>
  <c r="O89" i="154"/>
  <c r="O90" i="154"/>
  <c r="O91" i="154"/>
  <c r="O92" i="154"/>
  <c r="T89" i="154"/>
  <c r="H93" i="154"/>
  <c r="H94" i="154"/>
  <c r="H95" i="154"/>
  <c r="H96" i="154"/>
  <c r="O93" i="154"/>
  <c r="O94" i="154"/>
  <c r="O95" i="154"/>
  <c r="O96" i="154"/>
  <c r="T93" i="154"/>
  <c r="H97" i="154"/>
  <c r="H98" i="154"/>
  <c r="H99" i="154"/>
  <c r="H100" i="154"/>
  <c r="O97" i="154"/>
  <c r="O98" i="154"/>
  <c r="O99" i="154"/>
  <c r="O100" i="154"/>
  <c r="T97" i="154"/>
  <c r="H101" i="154"/>
  <c r="H102" i="154"/>
  <c r="H103" i="154"/>
  <c r="H104" i="154"/>
  <c r="O101" i="154"/>
  <c r="O102" i="154"/>
  <c r="O103" i="154"/>
  <c r="O104" i="154"/>
  <c r="T101" i="154"/>
  <c r="H105" i="154"/>
  <c r="H106" i="154"/>
  <c r="H107" i="154"/>
  <c r="H108" i="154"/>
  <c r="O105" i="154"/>
  <c r="O106" i="154"/>
  <c r="O107" i="154"/>
  <c r="O108" i="154"/>
  <c r="T105" i="154"/>
  <c r="H109" i="154"/>
  <c r="H110" i="154"/>
  <c r="H111" i="154"/>
  <c r="H112" i="154"/>
  <c r="O109" i="154"/>
  <c r="O110" i="154"/>
  <c r="O111" i="154"/>
  <c r="O112" i="154"/>
  <c r="T109" i="154"/>
  <c r="H113" i="154"/>
  <c r="H114" i="154"/>
  <c r="H115" i="154"/>
  <c r="H116" i="154"/>
  <c r="O113" i="154"/>
  <c r="O114" i="154"/>
  <c r="O115" i="154"/>
  <c r="O116" i="154"/>
  <c r="T113" i="154"/>
  <c r="H117" i="154"/>
  <c r="H118" i="154"/>
  <c r="H119" i="154"/>
  <c r="H120" i="154"/>
  <c r="O117" i="154"/>
  <c r="O118" i="154"/>
  <c r="O119" i="154"/>
  <c r="O120" i="154"/>
  <c r="T117" i="154"/>
  <c r="H121" i="154"/>
  <c r="H122" i="154"/>
  <c r="H123" i="154"/>
  <c r="H124" i="154"/>
  <c r="O121" i="154"/>
  <c r="O122" i="154"/>
  <c r="O123" i="154"/>
  <c r="O124" i="154"/>
  <c r="T121" i="154"/>
  <c r="T125" i="154"/>
  <c r="X57" i="135"/>
  <c r="F6" i="164"/>
  <c r="H131" i="155"/>
  <c r="H132" i="155"/>
  <c r="H133" i="155"/>
  <c r="H134" i="155"/>
  <c r="O131" i="155"/>
  <c r="O132" i="155"/>
  <c r="O133" i="155"/>
  <c r="O134" i="155"/>
  <c r="T131" i="155"/>
  <c r="H135" i="155"/>
  <c r="H136" i="155"/>
  <c r="H137" i="155"/>
  <c r="H138" i="155"/>
  <c r="O135" i="155"/>
  <c r="O136" i="155"/>
  <c r="O137" i="155"/>
  <c r="O138" i="155"/>
  <c r="T135" i="155"/>
  <c r="H139" i="155"/>
  <c r="H140" i="155"/>
  <c r="H141" i="155"/>
  <c r="H142" i="155"/>
  <c r="O139" i="155"/>
  <c r="O140" i="155"/>
  <c r="O141" i="155"/>
  <c r="O142" i="155"/>
  <c r="T139" i="155"/>
  <c r="H143" i="155"/>
  <c r="H144" i="155"/>
  <c r="H145" i="155"/>
  <c r="H146" i="155"/>
  <c r="O143" i="155"/>
  <c r="O144" i="155"/>
  <c r="O145" i="155"/>
  <c r="O146" i="155"/>
  <c r="T143" i="155"/>
  <c r="H147" i="155"/>
  <c r="H148" i="155"/>
  <c r="H149" i="155"/>
  <c r="H150" i="155"/>
  <c r="O147" i="155"/>
  <c r="O148" i="155"/>
  <c r="O149" i="155"/>
  <c r="O150" i="155"/>
  <c r="T147" i="155"/>
  <c r="H151" i="155"/>
  <c r="H152" i="155"/>
  <c r="H153" i="155"/>
  <c r="H154" i="155"/>
  <c r="O151" i="155"/>
  <c r="O152" i="155"/>
  <c r="O153" i="155"/>
  <c r="O154" i="155"/>
  <c r="T151" i="155"/>
  <c r="H155" i="155"/>
  <c r="H156" i="155"/>
  <c r="H157" i="155"/>
  <c r="H158" i="155"/>
  <c r="O155" i="155"/>
  <c r="O156" i="155"/>
  <c r="O157" i="155"/>
  <c r="O158" i="155"/>
  <c r="T155" i="155"/>
  <c r="H159" i="155"/>
  <c r="H160" i="155"/>
  <c r="H161" i="155"/>
  <c r="H162" i="155"/>
  <c r="O159" i="155"/>
  <c r="O160" i="155"/>
  <c r="O161" i="155"/>
  <c r="O162" i="155"/>
  <c r="T159" i="155"/>
  <c r="H163" i="155"/>
  <c r="H164" i="155"/>
  <c r="H165" i="155"/>
  <c r="H166" i="155"/>
  <c r="O163" i="155"/>
  <c r="O164" i="155"/>
  <c r="O165" i="155"/>
  <c r="O166" i="155"/>
  <c r="T163" i="155"/>
  <c r="H167" i="155"/>
  <c r="H168" i="155"/>
  <c r="H169" i="155"/>
  <c r="H170" i="155"/>
  <c r="O167" i="155"/>
  <c r="O168" i="155"/>
  <c r="O169" i="155"/>
  <c r="O170" i="155"/>
  <c r="T167" i="155"/>
  <c r="H171" i="155"/>
  <c r="H172" i="155"/>
  <c r="H173" i="155"/>
  <c r="H174" i="155"/>
  <c r="O171" i="155"/>
  <c r="O172" i="155"/>
  <c r="O173" i="155"/>
  <c r="O174" i="155"/>
  <c r="T171" i="155"/>
  <c r="H175" i="155"/>
  <c r="H176" i="155"/>
  <c r="H177" i="155"/>
  <c r="H178" i="155"/>
  <c r="O175" i="155"/>
  <c r="O176" i="155"/>
  <c r="O177" i="155"/>
  <c r="O178" i="155"/>
  <c r="T175" i="155"/>
  <c r="H179" i="155"/>
  <c r="H180" i="155"/>
  <c r="H181" i="155"/>
  <c r="H182" i="155"/>
  <c r="O179" i="155"/>
  <c r="O180" i="155"/>
  <c r="O181" i="155"/>
  <c r="O182" i="155"/>
  <c r="T179" i="155"/>
  <c r="H183" i="155"/>
  <c r="H184" i="155"/>
  <c r="H185" i="155"/>
  <c r="H186" i="155"/>
  <c r="O183" i="155"/>
  <c r="O184" i="155"/>
  <c r="O185" i="155"/>
  <c r="O186" i="155"/>
  <c r="T183" i="155"/>
  <c r="H187" i="155"/>
  <c r="H188" i="155"/>
  <c r="H189" i="155"/>
  <c r="H190" i="155"/>
  <c r="O187" i="155"/>
  <c r="O188" i="155"/>
  <c r="O189" i="155"/>
  <c r="O190" i="155"/>
  <c r="T187" i="155"/>
  <c r="H191" i="155"/>
  <c r="H192" i="155"/>
  <c r="H193" i="155"/>
  <c r="H194" i="155"/>
  <c r="O191" i="155"/>
  <c r="O192" i="155"/>
  <c r="O193" i="155"/>
  <c r="O194" i="155"/>
  <c r="T191" i="155"/>
  <c r="H195" i="155"/>
  <c r="H196" i="155"/>
  <c r="H197" i="155"/>
  <c r="H198" i="155"/>
  <c r="O195" i="155"/>
  <c r="O196" i="155"/>
  <c r="O197" i="155"/>
  <c r="O198" i="155"/>
  <c r="T195" i="155"/>
  <c r="H199" i="155"/>
  <c r="H200" i="155"/>
  <c r="H201" i="155"/>
  <c r="H202" i="155"/>
  <c r="O199" i="155"/>
  <c r="O200" i="155"/>
  <c r="O201" i="155"/>
  <c r="O202" i="155"/>
  <c r="T199" i="155"/>
  <c r="H203" i="155"/>
  <c r="H204" i="155"/>
  <c r="H205" i="155"/>
  <c r="H206" i="155"/>
  <c r="O203" i="155"/>
  <c r="O204" i="155"/>
  <c r="O205" i="155"/>
  <c r="O206" i="155"/>
  <c r="T203" i="155"/>
  <c r="H207" i="155"/>
  <c r="H208" i="155"/>
  <c r="H209" i="155"/>
  <c r="H210" i="155"/>
  <c r="O207" i="155"/>
  <c r="O208" i="155"/>
  <c r="O209" i="155"/>
  <c r="O210" i="155"/>
  <c r="T207" i="155"/>
  <c r="H211" i="155"/>
  <c r="H212" i="155"/>
  <c r="H213" i="155"/>
  <c r="H214" i="155"/>
  <c r="O211" i="155"/>
  <c r="O212" i="155"/>
  <c r="O213" i="155"/>
  <c r="O214" i="155"/>
  <c r="T211" i="155"/>
  <c r="H215" i="155"/>
  <c r="H216" i="155"/>
  <c r="H217" i="155"/>
  <c r="H218" i="155"/>
  <c r="O215" i="155"/>
  <c r="O216" i="155"/>
  <c r="O217" i="155"/>
  <c r="O218" i="155"/>
  <c r="T215" i="155"/>
  <c r="H219" i="155"/>
  <c r="H220" i="155"/>
  <c r="H221" i="155"/>
  <c r="H222" i="155"/>
  <c r="O219" i="155"/>
  <c r="O220" i="155"/>
  <c r="O221" i="155"/>
  <c r="O222" i="155"/>
  <c r="T219" i="155"/>
  <c r="H223" i="155"/>
  <c r="H224" i="155"/>
  <c r="H225" i="155"/>
  <c r="H226" i="155"/>
  <c r="O223" i="155"/>
  <c r="O224" i="155"/>
  <c r="O225" i="155"/>
  <c r="O226" i="155"/>
  <c r="T223" i="155"/>
  <c r="H227" i="155"/>
  <c r="H228" i="155"/>
  <c r="H229" i="155"/>
  <c r="H230" i="155"/>
  <c r="O227" i="155"/>
  <c r="O228" i="155"/>
  <c r="O229" i="155"/>
  <c r="O230" i="155"/>
  <c r="T227" i="155"/>
  <c r="H231" i="155"/>
  <c r="H232" i="155"/>
  <c r="H233" i="155"/>
  <c r="H234" i="155"/>
  <c r="O231" i="155"/>
  <c r="O232" i="155"/>
  <c r="O233" i="155"/>
  <c r="O234" i="155"/>
  <c r="T231" i="155"/>
  <c r="H235" i="155"/>
  <c r="H236" i="155"/>
  <c r="H237" i="155"/>
  <c r="H238" i="155"/>
  <c r="O235" i="155"/>
  <c r="O236" i="155"/>
  <c r="O237" i="155"/>
  <c r="O238" i="155"/>
  <c r="T235" i="155"/>
  <c r="H239" i="155"/>
  <c r="H240" i="155"/>
  <c r="H241" i="155"/>
  <c r="H242" i="155"/>
  <c r="O239" i="155"/>
  <c r="O240" i="155"/>
  <c r="O241" i="155"/>
  <c r="O242" i="155"/>
  <c r="T239" i="155"/>
  <c r="H243" i="155"/>
  <c r="H244" i="155"/>
  <c r="H245" i="155"/>
  <c r="H246" i="155"/>
  <c r="O243" i="155"/>
  <c r="O244" i="155"/>
  <c r="O245" i="155"/>
  <c r="O246" i="155"/>
  <c r="T243" i="155"/>
  <c r="T247" i="155"/>
  <c r="X48" i="135"/>
  <c r="F5" i="164"/>
  <c r="H131" i="156"/>
  <c r="H132" i="156"/>
  <c r="H133" i="156"/>
  <c r="H134" i="156"/>
  <c r="O131" i="156"/>
  <c r="O132" i="156"/>
  <c r="O133" i="156"/>
  <c r="O134" i="156"/>
  <c r="T131" i="156"/>
  <c r="H135" i="156"/>
  <c r="H136" i="156"/>
  <c r="H137" i="156"/>
  <c r="H138" i="156"/>
  <c r="O135" i="156"/>
  <c r="O136" i="156"/>
  <c r="O137" i="156"/>
  <c r="O138" i="156"/>
  <c r="T135" i="156"/>
  <c r="H139" i="156"/>
  <c r="H140" i="156"/>
  <c r="H141" i="156"/>
  <c r="H142" i="156"/>
  <c r="O139" i="156"/>
  <c r="O140" i="156"/>
  <c r="O141" i="156"/>
  <c r="O142" i="156"/>
  <c r="T139" i="156"/>
  <c r="H143" i="156"/>
  <c r="H144" i="156"/>
  <c r="H145" i="156"/>
  <c r="H146" i="156"/>
  <c r="O143" i="156"/>
  <c r="O144" i="156"/>
  <c r="O145" i="156"/>
  <c r="O146" i="156"/>
  <c r="T143" i="156"/>
  <c r="H147" i="156"/>
  <c r="H148" i="156"/>
  <c r="H149" i="156"/>
  <c r="H150" i="156"/>
  <c r="O147" i="156"/>
  <c r="O148" i="156"/>
  <c r="O149" i="156"/>
  <c r="O150" i="156"/>
  <c r="T147" i="156"/>
  <c r="H151" i="156"/>
  <c r="H152" i="156"/>
  <c r="H153" i="156"/>
  <c r="H154" i="156"/>
  <c r="O151" i="156"/>
  <c r="O152" i="156"/>
  <c r="O153" i="156"/>
  <c r="O154" i="156"/>
  <c r="T151" i="156"/>
  <c r="H155" i="156"/>
  <c r="H156" i="156"/>
  <c r="H157" i="156"/>
  <c r="H158" i="156"/>
  <c r="O155" i="156"/>
  <c r="O156" i="156"/>
  <c r="O157" i="156"/>
  <c r="O158" i="156"/>
  <c r="T155" i="156"/>
  <c r="H159" i="156"/>
  <c r="H160" i="156"/>
  <c r="H161" i="156"/>
  <c r="H162" i="156"/>
  <c r="O159" i="156"/>
  <c r="O160" i="156"/>
  <c r="O161" i="156"/>
  <c r="O162" i="156"/>
  <c r="T159" i="156"/>
  <c r="H163" i="156"/>
  <c r="H164" i="156"/>
  <c r="H165" i="156"/>
  <c r="H166" i="156"/>
  <c r="O163" i="156"/>
  <c r="O164" i="156"/>
  <c r="O165" i="156"/>
  <c r="O166" i="156"/>
  <c r="T163" i="156"/>
  <c r="H167" i="156"/>
  <c r="H168" i="156"/>
  <c r="H169" i="156"/>
  <c r="H170" i="156"/>
  <c r="O167" i="156"/>
  <c r="O168" i="156"/>
  <c r="O169" i="156"/>
  <c r="O170" i="156"/>
  <c r="T167" i="156"/>
  <c r="H171" i="156"/>
  <c r="H172" i="156"/>
  <c r="H173" i="156"/>
  <c r="H174" i="156"/>
  <c r="O171" i="156"/>
  <c r="O172" i="156"/>
  <c r="O173" i="156"/>
  <c r="O174" i="156"/>
  <c r="T171" i="156"/>
  <c r="H175" i="156"/>
  <c r="H176" i="156"/>
  <c r="H177" i="156"/>
  <c r="H178" i="156"/>
  <c r="O175" i="156"/>
  <c r="O176" i="156"/>
  <c r="O177" i="156"/>
  <c r="O178" i="156"/>
  <c r="T175" i="156"/>
  <c r="H179" i="156"/>
  <c r="H180" i="156"/>
  <c r="H181" i="156"/>
  <c r="H182" i="156"/>
  <c r="O179" i="156"/>
  <c r="O180" i="156"/>
  <c r="O181" i="156"/>
  <c r="O182" i="156"/>
  <c r="T179" i="156"/>
  <c r="H183" i="156"/>
  <c r="H184" i="156"/>
  <c r="H185" i="156"/>
  <c r="H186" i="156"/>
  <c r="O183" i="156"/>
  <c r="O184" i="156"/>
  <c r="O185" i="156"/>
  <c r="O186" i="156"/>
  <c r="T183" i="156"/>
  <c r="H187" i="156"/>
  <c r="H188" i="156"/>
  <c r="H189" i="156"/>
  <c r="H190" i="156"/>
  <c r="O187" i="156"/>
  <c r="O188" i="156"/>
  <c r="O189" i="156"/>
  <c r="O190" i="156"/>
  <c r="T187" i="156"/>
  <c r="H191" i="156"/>
  <c r="H192" i="156"/>
  <c r="H193" i="156"/>
  <c r="H194" i="156"/>
  <c r="O191" i="156"/>
  <c r="O192" i="156"/>
  <c r="O193" i="156"/>
  <c r="O194" i="156"/>
  <c r="T191" i="156"/>
  <c r="H195" i="156"/>
  <c r="H196" i="156"/>
  <c r="H197" i="156"/>
  <c r="H198" i="156"/>
  <c r="O195" i="156"/>
  <c r="O196" i="156"/>
  <c r="O197" i="156"/>
  <c r="O198" i="156"/>
  <c r="T195" i="156"/>
  <c r="H199" i="156"/>
  <c r="H200" i="156"/>
  <c r="H201" i="156"/>
  <c r="H202" i="156"/>
  <c r="O199" i="156"/>
  <c r="O200" i="156"/>
  <c r="O201" i="156"/>
  <c r="O202" i="156"/>
  <c r="T199" i="156"/>
  <c r="H203" i="156"/>
  <c r="H204" i="156"/>
  <c r="H205" i="156"/>
  <c r="H206" i="156"/>
  <c r="O203" i="156"/>
  <c r="O204" i="156"/>
  <c r="O205" i="156"/>
  <c r="O206" i="156"/>
  <c r="T203" i="156"/>
  <c r="H207" i="156"/>
  <c r="H208" i="156"/>
  <c r="H209" i="156"/>
  <c r="H210" i="156"/>
  <c r="O207" i="156"/>
  <c r="O208" i="156"/>
  <c r="O209" i="156"/>
  <c r="O210" i="156"/>
  <c r="T207" i="156"/>
  <c r="H211" i="156"/>
  <c r="H212" i="156"/>
  <c r="H213" i="156"/>
  <c r="H214" i="156"/>
  <c r="O211" i="156"/>
  <c r="O212" i="156"/>
  <c r="O213" i="156"/>
  <c r="O214" i="156"/>
  <c r="T211" i="156"/>
  <c r="H215" i="156"/>
  <c r="H216" i="156"/>
  <c r="H217" i="156"/>
  <c r="H218" i="156"/>
  <c r="O215" i="156"/>
  <c r="O216" i="156"/>
  <c r="O217" i="156"/>
  <c r="O218" i="156"/>
  <c r="T215" i="156"/>
  <c r="H219" i="156"/>
  <c r="H220" i="156"/>
  <c r="H221" i="156"/>
  <c r="H222" i="156"/>
  <c r="O219" i="156"/>
  <c r="O220" i="156"/>
  <c r="O221" i="156"/>
  <c r="O222" i="156"/>
  <c r="T219" i="156"/>
  <c r="H223" i="156"/>
  <c r="H224" i="156"/>
  <c r="H225" i="156"/>
  <c r="H226" i="156"/>
  <c r="O223" i="156"/>
  <c r="O224" i="156"/>
  <c r="O225" i="156"/>
  <c r="O226" i="156"/>
  <c r="T223" i="156"/>
  <c r="H227" i="156"/>
  <c r="H228" i="156"/>
  <c r="H229" i="156"/>
  <c r="H230" i="156"/>
  <c r="O227" i="156"/>
  <c r="O228" i="156"/>
  <c r="O229" i="156"/>
  <c r="O230" i="156"/>
  <c r="T227" i="156"/>
  <c r="H231" i="156"/>
  <c r="H232" i="156"/>
  <c r="H233" i="156"/>
  <c r="H234" i="156"/>
  <c r="O231" i="156"/>
  <c r="O232" i="156"/>
  <c r="O233" i="156"/>
  <c r="O234" i="156"/>
  <c r="T231" i="156"/>
  <c r="H235" i="156"/>
  <c r="H236" i="156"/>
  <c r="H237" i="156"/>
  <c r="H238" i="156"/>
  <c r="O235" i="156"/>
  <c r="O236" i="156"/>
  <c r="O237" i="156"/>
  <c r="O238" i="156"/>
  <c r="T235" i="156"/>
  <c r="H239" i="156"/>
  <c r="H240" i="156"/>
  <c r="H241" i="156"/>
  <c r="H242" i="156"/>
  <c r="O239" i="156"/>
  <c r="O240" i="156"/>
  <c r="O241" i="156"/>
  <c r="O242" i="156"/>
  <c r="T239" i="156"/>
  <c r="H243" i="156"/>
  <c r="H244" i="156"/>
  <c r="H245" i="156"/>
  <c r="H246" i="156"/>
  <c r="O243" i="156"/>
  <c r="O244" i="156"/>
  <c r="O245" i="156"/>
  <c r="O246" i="156"/>
  <c r="T243" i="156"/>
  <c r="T247" i="156"/>
  <c r="X32" i="135"/>
  <c r="F4" i="164"/>
  <c r="H131" i="159"/>
  <c r="H132" i="159"/>
  <c r="H133" i="159"/>
  <c r="H134" i="159"/>
  <c r="O131" i="159"/>
  <c r="O132" i="159"/>
  <c r="O133" i="159"/>
  <c r="O134" i="159"/>
  <c r="T131" i="159"/>
  <c r="H135" i="159"/>
  <c r="H136" i="159"/>
  <c r="H137" i="159"/>
  <c r="H138" i="159"/>
  <c r="O135" i="159"/>
  <c r="O136" i="159"/>
  <c r="O137" i="159"/>
  <c r="O138" i="159"/>
  <c r="T135" i="159"/>
  <c r="H139" i="159"/>
  <c r="H140" i="159"/>
  <c r="H141" i="159"/>
  <c r="H142" i="159"/>
  <c r="O139" i="159"/>
  <c r="O140" i="159"/>
  <c r="O141" i="159"/>
  <c r="O142" i="159"/>
  <c r="T139" i="159"/>
  <c r="H143" i="159"/>
  <c r="H144" i="159"/>
  <c r="H145" i="159"/>
  <c r="H146" i="159"/>
  <c r="O143" i="159"/>
  <c r="O144" i="159"/>
  <c r="O145" i="159"/>
  <c r="O146" i="159"/>
  <c r="T143" i="159"/>
  <c r="H147" i="159"/>
  <c r="H148" i="159"/>
  <c r="H149" i="159"/>
  <c r="H150" i="159"/>
  <c r="O147" i="159"/>
  <c r="O148" i="159"/>
  <c r="O149" i="159"/>
  <c r="O150" i="159"/>
  <c r="T147" i="159"/>
  <c r="H151" i="159"/>
  <c r="H152" i="159"/>
  <c r="H153" i="159"/>
  <c r="H154" i="159"/>
  <c r="O151" i="159"/>
  <c r="O152" i="159"/>
  <c r="O153" i="159"/>
  <c r="O154" i="159"/>
  <c r="T151" i="159"/>
  <c r="H155" i="159"/>
  <c r="H156" i="159"/>
  <c r="H157" i="159"/>
  <c r="H158" i="159"/>
  <c r="O155" i="159"/>
  <c r="O156" i="159"/>
  <c r="O157" i="159"/>
  <c r="O158" i="159"/>
  <c r="T155" i="159"/>
  <c r="H159" i="159"/>
  <c r="H160" i="159"/>
  <c r="H161" i="159"/>
  <c r="H162" i="159"/>
  <c r="O159" i="159"/>
  <c r="O160" i="159"/>
  <c r="O161" i="159"/>
  <c r="O162" i="159"/>
  <c r="T159" i="159"/>
  <c r="H163" i="159"/>
  <c r="H164" i="159"/>
  <c r="H165" i="159"/>
  <c r="H166" i="159"/>
  <c r="O163" i="159"/>
  <c r="O164" i="159"/>
  <c r="O165" i="159"/>
  <c r="O166" i="159"/>
  <c r="T163" i="159"/>
  <c r="H167" i="159"/>
  <c r="H168" i="159"/>
  <c r="H169" i="159"/>
  <c r="H170" i="159"/>
  <c r="O167" i="159"/>
  <c r="O168" i="159"/>
  <c r="O169" i="159"/>
  <c r="O170" i="159"/>
  <c r="T167" i="159"/>
  <c r="H171" i="159"/>
  <c r="H172" i="159"/>
  <c r="H173" i="159"/>
  <c r="H174" i="159"/>
  <c r="O171" i="159"/>
  <c r="O172" i="159"/>
  <c r="O173" i="159"/>
  <c r="O174" i="159"/>
  <c r="T171" i="159"/>
  <c r="H175" i="159"/>
  <c r="H176" i="159"/>
  <c r="H177" i="159"/>
  <c r="H178" i="159"/>
  <c r="O175" i="159"/>
  <c r="O176" i="159"/>
  <c r="O177" i="159"/>
  <c r="O178" i="159"/>
  <c r="T175" i="159"/>
  <c r="H179" i="159"/>
  <c r="H180" i="159"/>
  <c r="H181" i="159"/>
  <c r="H182" i="159"/>
  <c r="O179" i="159"/>
  <c r="O180" i="159"/>
  <c r="O181" i="159"/>
  <c r="O182" i="159"/>
  <c r="T179" i="159"/>
  <c r="H183" i="159"/>
  <c r="H184" i="159"/>
  <c r="H185" i="159"/>
  <c r="H186" i="159"/>
  <c r="O183" i="159"/>
  <c r="O184" i="159"/>
  <c r="O185" i="159"/>
  <c r="O186" i="159"/>
  <c r="T183" i="159"/>
  <c r="H187" i="159"/>
  <c r="H188" i="159"/>
  <c r="H189" i="159"/>
  <c r="H190" i="159"/>
  <c r="O187" i="159"/>
  <c r="O188" i="159"/>
  <c r="O189" i="159"/>
  <c r="O190" i="159"/>
  <c r="T187" i="159"/>
  <c r="H191" i="159"/>
  <c r="H192" i="159"/>
  <c r="H193" i="159"/>
  <c r="H194" i="159"/>
  <c r="O191" i="159"/>
  <c r="O192" i="159"/>
  <c r="O193" i="159"/>
  <c r="O194" i="159"/>
  <c r="T191" i="159"/>
  <c r="H195" i="159"/>
  <c r="H196" i="159"/>
  <c r="H197" i="159"/>
  <c r="H198" i="159"/>
  <c r="O195" i="159"/>
  <c r="O196" i="159"/>
  <c r="O197" i="159"/>
  <c r="O198" i="159"/>
  <c r="T195" i="159"/>
  <c r="H199" i="159"/>
  <c r="H200" i="159"/>
  <c r="H201" i="159"/>
  <c r="H202" i="159"/>
  <c r="O199" i="159"/>
  <c r="O200" i="159"/>
  <c r="O201" i="159"/>
  <c r="O202" i="159"/>
  <c r="T199" i="159"/>
  <c r="H203" i="159"/>
  <c r="H204" i="159"/>
  <c r="H205" i="159"/>
  <c r="H206" i="159"/>
  <c r="O203" i="159"/>
  <c r="O204" i="159"/>
  <c r="O205" i="159"/>
  <c r="O206" i="159"/>
  <c r="T203" i="159"/>
  <c r="H207" i="159"/>
  <c r="H208" i="159"/>
  <c r="H209" i="159"/>
  <c r="H210" i="159"/>
  <c r="O207" i="159"/>
  <c r="O208" i="159"/>
  <c r="O209" i="159"/>
  <c r="O210" i="159"/>
  <c r="T207" i="159"/>
  <c r="H211" i="159"/>
  <c r="H212" i="159"/>
  <c r="H213" i="159"/>
  <c r="H214" i="159"/>
  <c r="O211" i="159"/>
  <c r="O212" i="159"/>
  <c r="O213" i="159"/>
  <c r="O214" i="159"/>
  <c r="T211" i="159"/>
  <c r="H215" i="159"/>
  <c r="H216" i="159"/>
  <c r="H217" i="159"/>
  <c r="H218" i="159"/>
  <c r="O215" i="159"/>
  <c r="O216" i="159"/>
  <c r="O217" i="159"/>
  <c r="O218" i="159"/>
  <c r="T215" i="159"/>
  <c r="H219" i="159"/>
  <c r="H220" i="159"/>
  <c r="H221" i="159"/>
  <c r="H222" i="159"/>
  <c r="O219" i="159"/>
  <c r="O220" i="159"/>
  <c r="O221" i="159"/>
  <c r="O222" i="159"/>
  <c r="T219" i="159"/>
  <c r="H223" i="159"/>
  <c r="H224" i="159"/>
  <c r="H225" i="159"/>
  <c r="H226" i="159"/>
  <c r="O223" i="159"/>
  <c r="O224" i="159"/>
  <c r="O225" i="159"/>
  <c r="O226" i="159"/>
  <c r="T223" i="159"/>
  <c r="H227" i="159"/>
  <c r="H228" i="159"/>
  <c r="H229" i="159"/>
  <c r="H230" i="159"/>
  <c r="O227" i="159"/>
  <c r="O228" i="159"/>
  <c r="O229" i="159"/>
  <c r="O230" i="159"/>
  <c r="T227" i="159"/>
  <c r="H231" i="159"/>
  <c r="H232" i="159"/>
  <c r="H233" i="159"/>
  <c r="H234" i="159"/>
  <c r="O231" i="159"/>
  <c r="O232" i="159"/>
  <c r="O233" i="159"/>
  <c r="O234" i="159"/>
  <c r="T231" i="159"/>
  <c r="H235" i="159"/>
  <c r="H236" i="159"/>
  <c r="H237" i="159"/>
  <c r="H238" i="159"/>
  <c r="O235" i="159"/>
  <c r="O236" i="159"/>
  <c r="O237" i="159"/>
  <c r="O238" i="159"/>
  <c r="T235" i="159"/>
  <c r="H239" i="159"/>
  <c r="H240" i="159"/>
  <c r="H241" i="159"/>
  <c r="H242" i="159"/>
  <c r="O239" i="159"/>
  <c r="O240" i="159"/>
  <c r="O241" i="159"/>
  <c r="O242" i="159"/>
  <c r="T239" i="159"/>
  <c r="H243" i="159"/>
  <c r="H244" i="159"/>
  <c r="H245" i="159"/>
  <c r="H246" i="159"/>
  <c r="O243" i="159"/>
  <c r="O244" i="159"/>
  <c r="O245" i="159"/>
  <c r="O246" i="159"/>
  <c r="T243" i="159"/>
  <c r="T247" i="159"/>
  <c r="X16" i="135"/>
  <c r="F3" i="164"/>
  <c r="U9" i="165"/>
  <c r="U10" i="165"/>
  <c r="U11" i="165"/>
  <c r="U12" i="165"/>
  <c r="U13" i="165"/>
  <c r="U14" i="165"/>
  <c r="U15" i="165"/>
  <c r="U16" i="165"/>
  <c r="U17" i="165"/>
  <c r="U18" i="165"/>
  <c r="U19" i="165"/>
  <c r="U20" i="165"/>
  <c r="U21" i="165"/>
  <c r="U22" i="165"/>
  <c r="U23" i="165"/>
  <c r="U24" i="165"/>
  <c r="U25" i="165"/>
  <c r="U26" i="165"/>
  <c r="U27" i="165"/>
  <c r="U28" i="165"/>
  <c r="U29" i="165"/>
  <c r="U30" i="165"/>
  <c r="U31" i="165"/>
  <c r="U32" i="165"/>
  <c r="U33" i="165"/>
  <c r="U34" i="165"/>
  <c r="U35" i="165"/>
  <c r="U36" i="165"/>
  <c r="U37" i="165"/>
  <c r="U38" i="165"/>
  <c r="U39" i="165"/>
  <c r="U40" i="165"/>
  <c r="U41" i="165"/>
  <c r="U42" i="165"/>
  <c r="U43" i="165"/>
  <c r="U44" i="165"/>
  <c r="U45" i="165"/>
  <c r="U46" i="165"/>
  <c r="U47" i="165"/>
  <c r="U48" i="165"/>
  <c r="U49" i="165"/>
  <c r="U50" i="165"/>
  <c r="U51" i="165"/>
  <c r="U52" i="165"/>
  <c r="U53" i="165"/>
  <c r="U54" i="165"/>
  <c r="U55" i="165"/>
  <c r="U56" i="165"/>
  <c r="U57" i="165"/>
  <c r="U58" i="165"/>
  <c r="U59" i="165"/>
  <c r="U60" i="165"/>
  <c r="U61" i="165"/>
  <c r="U62" i="165"/>
  <c r="U63" i="165"/>
  <c r="U64" i="165"/>
  <c r="U65" i="165"/>
  <c r="U66" i="165"/>
  <c r="U67" i="165"/>
  <c r="U68" i="165"/>
  <c r="U69" i="165"/>
  <c r="U70" i="165"/>
  <c r="U71" i="165"/>
  <c r="U72" i="165"/>
  <c r="U73" i="165"/>
  <c r="U74" i="165"/>
  <c r="U75" i="165"/>
  <c r="U76" i="165"/>
  <c r="U77" i="165"/>
  <c r="U78" i="165"/>
  <c r="U79" i="165"/>
  <c r="U80" i="165"/>
  <c r="U81" i="165"/>
  <c r="U82" i="165"/>
  <c r="U83" i="165"/>
  <c r="U84" i="165"/>
  <c r="U85" i="165"/>
  <c r="U86" i="165"/>
  <c r="U87" i="165"/>
  <c r="U88" i="165"/>
  <c r="U89" i="165"/>
  <c r="U90" i="165"/>
  <c r="U91" i="165"/>
  <c r="U92" i="165"/>
  <c r="U93" i="165"/>
  <c r="U94" i="165"/>
  <c r="U95" i="165"/>
  <c r="U96" i="165"/>
  <c r="U97" i="165"/>
  <c r="U98" i="165"/>
  <c r="U99" i="165"/>
  <c r="U100" i="165"/>
  <c r="U101" i="165"/>
  <c r="U102" i="165"/>
  <c r="U103" i="165"/>
  <c r="U104" i="165"/>
  <c r="U105" i="165"/>
  <c r="U106" i="165"/>
  <c r="U107" i="165"/>
  <c r="U108" i="165"/>
  <c r="U109" i="165"/>
  <c r="U110" i="165"/>
  <c r="U111" i="165"/>
  <c r="U112" i="165"/>
  <c r="U113" i="165"/>
  <c r="U114" i="165"/>
  <c r="U115" i="165"/>
  <c r="U116" i="165"/>
  <c r="U117" i="165"/>
  <c r="U118" i="165"/>
  <c r="U119" i="165"/>
  <c r="U120" i="165"/>
  <c r="U121" i="165"/>
  <c r="U122" i="165"/>
  <c r="U123" i="165"/>
  <c r="U124" i="165"/>
  <c r="U125" i="165"/>
  <c r="G57" i="135"/>
  <c r="C6" i="164"/>
  <c r="U131" i="118"/>
  <c r="U132" i="118"/>
  <c r="U133" i="118"/>
  <c r="U134" i="118"/>
  <c r="U135" i="118"/>
  <c r="U136" i="118"/>
  <c r="U137" i="118"/>
  <c r="U138" i="118"/>
  <c r="U139" i="118"/>
  <c r="U140" i="118"/>
  <c r="U141" i="118"/>
  <c r="U142" i="118"/>
  <c r="U143" i="118"/>
  <c r="U144" i="118"/>
  <c r="U145" i="118"/>
  <c r="U146" i="118"/>
  <c r="U147" i="118"/>
  <c r="U148" i="118"/>
  <c r="U149" i="118"/>
  <c r="U150" i="118"/>
  <c r="U151" i="118"/>
  <c r="U152" i="118"/>
  <c r="U153" i="118"/>
  <c r="U154" i="118"/>
  <c r="U155" i="118"/>
  <c r="U156" i="118"/>
  <c r="U157" i="118"/>
  <c r="U158" i="118"/>
  <c r="U159" i="118"/>
  <c r="U160" i="118"/>
  <c r="U161" i="118"/>
  <c r="U162" i="118"/>
  <c r="U163" i="118"/>
  <c r="U164" i="118"/>
  <c r="U165" i="118"/>
  <c r="U166" i="118"/>
  <c r="U167" i="118"/>
  <c r="U168" i="118"/>
  <c r="U169" i="118"/>
  <c r="U170" i="118"/>
  <c r="U171" i="118"/>
  <c r="U172" i="118"/>
  <c r="U173" i="118"/>
  <c r="U174" i="118"/>
  <c r="U175" i="118"/>
  <c r="U176" i="118"/>
  <c r="U177" i="118"/>
  <c r="U178" i="118"/>
  <c r="U179" i="118"/>
  <c r="U180" i="118"/>
  <c r="U181" i="118"/>
  <c r="U182" i="118"/>
  <c r="U183" i="118"/>
  <c r="U184" i="118"/>
  <c r="U185" i="118"/>
  <c r="U186" i="118"/>
  <c r="U187" i="118"/>
  <c r="U188" i="118"/>
  <c r="U189" i="118"/>
  <c r="U190" i="118"/>
  <c r="U191" i="118"/>
  <c r="U192" i="118"/>
  <c r="U193" i="118"/>
  <c r="U194" i="118"/>
  <c r="U195" i="118"/>
  <c r="U196" i="118"/>
  <c r="U197" i="118"/>
  <c r="U198" i="118"/>
  <c r="U199" i="118"/>
  <c r="U200" i="118"/>
  <c r="U201" i="118"/>
  <c r="U202" i="118"/>
  <c r="U203" i="118"/>
  <c r="U204" i="118"/>
  <c r="U205" i="118"/>
  <c r="U206" i="118"/>
  <c r="U207" i="118"/>
  <c r="U208" i="118"/>
  <c r="U209" i="118"/>
  <c r="U210" i="118"/>
  <c r="U211" i="118"/>
  <c r="U212" i="118"/>
  <c r="U213" i="118"/>
  <c r="U214" i="118"/>
  <c r="U215" i="118"/>
  <c r="U216" i="118"/>
  <c r="U217" i="118"/>
  <c r="U218" i="118"/>
  <c r="U219" i="118"/>
  <c r="U220" i="118"/>
  <c r="U221" i="118"/>
  <c r="U222" i="118"/>
  <c r="U223" i="118"/>
  <c r="U224" i="118"/>
  <c r="U225" i="118"/>
  <c r="U226" i="118"/>
  <c r="U227" i="118"/>
  <c r="U228" i="118"/>
  <c r="U229" i="118"/>
  <c r="U230" i="118"/>
  <c r="U231" i="118"/>
  <c r="U232" i="118"/>
  <c r="U233" i="118"/>
  <c r="U234" i="118"/>
  <c r="U235" i="118"/>
  <c r="U236" i="118"/>
  <c r="U237" i="118"/>
  <c r="U238" i="118"/>
  <c r="U239" i="118"/>
  <c r="U240" i="118"/>
  <c r="U241" i="118"/>
  <c r="U242" i="118"/>
  <c r="U243" i="118"/>
  <c r="U244" i="118"/>
  <c r="U245" i="118"/>
  <c r="U246" i="118"/>
  <c r="U247" i="118"/>
  <c r="G48" i="135"/>
  <c r="C5" i="164"/>
  <c r="U131" i="112"/>
  <c r="U132" i="112"/>
  <c r="U133" i="112"/>
  <c r="U134" i="112"/>
  <c r="U135" i="112"/>
  <c r="U136" i="112"/>
  <c r="U137" i="112"/>
  <c r="U138" i="112"/>
  <c r="U139" i="112"/>
  <c r="U140" i="112"/>
  <c r="U141" i="112"/>
  <c r="U142" i="112"/>
  <c r="U143" i="112"/>
  <c r="U144" i="112"/>
  <c r="U145" i="112"/>
  <c r="U146" i="112"/>
  <c r="U147" i="112"/>
  <c r="U148" i="112"/>
  <c r="U149" i="112"/>
  <c r="U150" i="112"/>
  <c r="U151" i="112"/>
  <c r="U152" i="112"/>
  <c r="U153" i="112"/>
  <c r="U154" i="112"/>
  <c r="U155" i="112"/>
  <c r="U156" i="112"/>
  <c r="U157" i="112"/>
  <c r="U158" i="112"/>
  <c r="U159" i="112"/>
  <c r="U160" i="112"/>
  <c r="U161" i="112"/>
  <c r="U162" i="112"/>
  <c r="U163" i="112"/>
  <c r="U164" i="112"/>
  <c r="U165" i="112"/>
  <c r="U166" i="112"/>
  <c r="U167" i="112"/>
  <c r="U168" i="112"/>
  <c r="U169" i="112"/>
  <c r="U170" i="112"/>
  <c r="U171" i="112"/>
  <c r="U172" i="112"/>
  <c r="U173" i="112"/>
  <c r="U174" i="112"/>
  <c r="U175" i="112"/>
  <c r="U176" i="112"/>
  <c r="U177" i="112"/>
  <c r="U178" i="112"/>
  <c r="U179" i="112"/>
  <c r="U180" i="112"/>
  <c r="U181" i="112"/>
  <c r="U182" i="112"/>
  <c r="U183" i="112"/>
  <c r="U184" i="112"/>
  <c r="U185" i="112"/>
  <c r="U186" i="112"/>
  <c r="U187" i="112"/>
  <c r="U188" i="112"/>
  <c r="U189" i="112"/>
  <c r="U190" i="112"/>
  <c r="U191" i="112"/>
  <c r="U192" i="112"/>
  <c r="U193" i="112"/>
  <c r="U194" i="112"/>
  <c r="U195" i="112"/>
  <c r="U196" i="112"/>
  <c r="U197" i="112"/>
  <c r="U198" i="112"/>
  <c r="U199" i="112"/>
  <c r="U200" i="112"/>
  <c r="U201" i="112"/>
  <c r="U202" i="112"/>
  <c r="U203" i="112"/>
  <c r="U204" i="112"/>
  <c r="U205" i="112"/>
  <c r="U206" i="112"/>
  <c r="U207" i="112"/>
  <c r="U208" i="112"/>
  <c r="U209" i="112"/>
  <c r="U210" i="112"/>
  <c r="U211" i="112"/>
  <c r="U212" i="112"/>
  <c r="U213" i="112"/>
  <c r="U214" i="112"/>
  <c r="U215" i="112"/>
  <c r="U216" i="112"/>
  <c r="U217" i="112"/>
  <c r="U218" i="112"/>
  <c r="U219" i="112"/>
  <c r="U220" i="112"/>
  <c r="U221" i="112"/>
  <c r="U222" i="112"/>
  <c r="U223" i="112"/>
  <c r="U224" i="112"/>
  <c r="U225" i="112"/>
  <c r="U226" i="112"/>
  <c r="U227" i="112"/>
  <c r="U228" i="112"/>
  <c r="U229" i="112"/>
  <c r="U230" i="112"/>
  <c r="U231" i="112"/>
  <c r="U232" i="112"/>
  <c r="U233" i="112"/>
  <c r="U234" i="112"/>
  <c r="U235" i="112"/>
  <c r="U236" i="112"/>
  <c r="U237" i="112"/>
  <c r="U238" i="112"/>
  <c r="U239" i="112"/>
  <c r="U240" i="112"/>
  <c r="U241" i="112"/>
  <c r="U242" i="112"/>
  <c r="U243" i="112"/>
  <c r="U244" i="112"/>
  <c r="U245" i="112"/>
  <c r="U246" i="112"/>
  <c r="U247" i="112"/>
  <c r="G32" i="135"/>
  <c r="C4" i="164"/>
  <c r="U131" i="157"/>
  <c r="U132" i="157"/>
  <c r="U133" i="157"/>
  <c r="U134" i="157"/>
  <c r="U135" i="157"/>
  <c r="U136" i="157"/>
  <c r="U137" i="157"/>
  <c r="U138" i="157"/>
  <c r="U139" i="157"/>
  <c r="U140" i="157"/>
  <c r="U141" i="157"/>
  <c r="U142" i="157"/>
  <c r="U143" i="157"/>
  <c r="U144" i="157"/>
  <c r="U145" i="157"/>
  <c r="U146" i="157"/>
  <c r="U147" i="157"/>
  <c r="U148" i="157"/>
  <c r="U149" i="157"/>
  <c r="U150" i="157"/>
  <c r="U151" i="157"/>
  <c r="U152" i="157"/>
  <c r="U153" i="157"/>
  <c r="U154" i="157"/>
  <c r="U155" i="157"/>
  <c r="U156" i="157"/>
  <c r="U157" i="157"/>
  <c r="U158" i="157"/>
  <c r="U159" i="157"/>
  <c r="U160" i="157"/>
  <c r="U161" i="157"/>
  <c r="U162" i="157"/>
  <c r="U163" i="157"/>
  <c r="U164" i="157"/>
  <c r="U165" i="157"/>
  <c r="U166" i="157"/>
  <c r="U167" i="157"/>
  <c r="U168" i="157"/>
  <c r="U169" i="157"/>
  <c r="U170" i="157"/>
  <c r="U171" i="157"/>
  <c r="U172" i="157"/>
  <c r="U173" i="157"/>
  <c r="U174" i="157"/>
  <c r="U175" i="157"/>
  <c r="U176" i="157"/>
  <c r="U177" i="157"/>
  <c r="U178" i="157"/>
  <c r="U179" i="157"/>
  <c r="U180" i="157"/>
  <c r="U181" i="157"/>
  <c r="U182" i="157"/>
  <c r="U183" i="157"/>
  <c r="U184" i="157"/>
  <c r="U185" i="157"/>
  <c r="U186" i="157"/>
  <c r="U187" i="157"/>
  <c r="U188" i="157"/>
  <c r="U189" i="157"/>
  <c r="U190" i="157"/>
  <c r="U191" i="157"/>
  <c r="U192" i="157"/>
  <c r="U193" i="157"/>
  <c r="U194" i="157"/>
  <c r="U195" i="157"/>
  <c r="U196" i="157"/>
  <c r="U197" i="157"/>
  <c r="U198" i="157"/>
  <c r="U199" i="157"/>
  <c r="U200" i="157"/>
  <c r="U201" i="157"/>
  <c r="U202" i="157"/>
  <c r="U203" i="157"/>
  <c r="U204" i="157"/>
  <c r="U205" i="157"/>
  <c r="U206" i="157"/>
  <c r="U207" i="157"/>
  <c r="U208" i="157"/>
  <c r="U209" i="157"/>
  <c r="U210" i="157"/>
  <c r="U211" i="157"/>
  <c r="U212" i="157"/>
  <c r="U213" i="157"/>
  <c r="U214" i="157"/>
  <c r="U215" i="157"/>
  <c r="U216" i="157"/>
  <c r="U217" i="157"/>
  <c r="U218" i="157"/>
  <c r="U219" i="157"/>
  <c r="U220" i="157"/>
  <c r="U221" i="157"/>
  <c r="U222" i="157"/>
  <c r="U223" i="157"/>
  <c r="U224" i="157"/>
  <c r="U225" i="157"/>
  <c r="U226" i="157"/>
  <c r="U227" i="157"/>
  <c r="U228" i="157"/>
  <c r="U229" i="157"/>
  <c r="U230" i="157"/>
  <c r="U231" i="157"/>
  <c r="U232" i="157"/>
  <c r="U233" i="157"/>
  <c r="U234" i="157"/>
  <c r="U235" i="157"/>
  <c r="U236" i="157"/>
  <c r="U237" i="157"/>
  <c r="U238" i="157"/>
  <c r="U239" i="157"/>
  <c r="U240" i="157"/>
  <c r="U241" i="157"/>
  <c r="U242" i="157"/>
  <c r="U243" i="157"/>
  <c r="U244" i="157"/>
  <c r="U245" i="157"/>
  <c r="U246" i="157"/>
  <c r="U247" i="157"/>
  <c r="G16" i="135"/>
  <c r="C3" i="164"/>
  <c r="H9" i="165"/>
  <c r="H10" i="165"/>
  <c r="H11" i="165"/>
  <c r="H12" i="165"/>
  <c r="O9" i="165"/>
  <c r="O10" i="165"/>
  <c r="O11" i="165"/>
  <c r="O12" i="165"/>
  <c r="T9" i="165"/>
  <c r="H13" i="165"/>
  <c r="H14" i="165"/>
  <c r="H15" i="165"/>
  <c r="H16" i="165"/>
  <c r="O13" i="165"/>
  <c r="O14" i="165"/>
  <c r="O15" i="165"/>
  <c r="O16" i="165"/>
  <c r="T13" i="165"/>
  <c r="H17" i="165"/>
  <c r="H18" i="165"/>
  <c r="H19" i="165"/>
  <c r="H20" i="165"/>
  <c r="O17" i="165"/>
  <c r="O18" i="165"/>
  <c r="O19" i="165"/>
  <c r="O20" i="165"/>
  <c r="T17" i="165"/>
  <c r="H21" i="165"/>
  <c r="H22" i="165"/>
  <c r="H23" i="165"/>
  <c r="H24" i="165"/>
  <c r="O21" i="165"/>
  <c r="O22" i="165"/>
  <c r="O23" i="165"/>
  <c r="O24" i="165"/>
  <c r="T21" i="165"/>
  <c r="H25" i="165"/>
  <c r="H26" i="165"/>
  <c r="H27" i="165"/>
  <c r="H28" i="165"/>
  <c r="O25" i="165"/>
  <c r="O26" i="165"/>
  <c r="O27" i="165"/>
  <c r="O28" i="165"/>
  <c r="T25" i="165"/>
  <c r="H29" i="165"/>
  <c r="H30" i="165"/>
  <c r="H31" i="165"/>
  <c r="H32" i="165"/>
  <c r="O29" i="165"/>
  <c r="O30" i="165"/>
  <c r="O31" i="165"/>
  <c r="O32" i="165"/>
  <c r="T29" i="165"/>
  <c r="H33" i="165"/>
  <c r="H34" i="165"/>
  <c r="H35" i="165"/>
  <c r="H36" i="165"/>
  <c r="O33" i="165"/>
  <c r="O34" i="165"/>
  <c r="O35" i="165"/>
  <c r="O36" i="165"/>
  <c r="T33" i="165"/>
  <c r="H37" i="165"/>
  <c r="H38" i="165"/>
  <c r="H39" i="165"/>
  <c r="H40" i="165"/>
  <c r="O37" i="165"/>
  <c r="O38" i="165"/>
  <c r="O39" i="165"/>
  <c r="O40" i="165"/>
  <c r="T37" i="165"/>
  <c r="H41" i="165"/>
  <c r="H42" i="165"/>
  <c r="H43" i="165"/>
  <c r="H44" i="165"/>
  <c r="O41" i="165"/>
  <c r="O42" i="165"/>
  <c r="O43" i="165"/>
  <c r="O44" i="165"/>
  <c r="T41" i="165"/>
  <c r="H45" i="165"/>
  <c r="H46" i="165"/>
  <c r="H47" i="165"/>
  <c r="H48" i="165"/>
  <c r="O45" i="165"/>
  <c r="O46" i="165"/>
  <c r="O47" i="165"/>
  <c r="O48" i="165"/>
  <c r="T45" i="165"/>
  <c r="H49" i="165"/>
  <c r="H50" i="165"/>
  <c r="H51" i="165"/>
  <c r="H52" i="165"/>
  <c r="O49" i="165"/>
  <c r="O50" i="165"/>
  <c r="O51" i="165"/>
  <c r="O52" i="165"/>
  <c r="T49" i="165"/>
  <c r="H53" i="165"/>
  <c r="H54" i="165"/>
  <c r="H55" i="165"/>
  <c r="H56" i="165"/>
  <c r="O53" i="165"/>
  <c r="O54" i="165"/>
  <c r="O55" i="165"/>
  <c r="O56" i="165"/>
  <c r="T53" i="165"/>
  <c r="H57" i="165"/>
  <c r="H58" i="165"/>
  <c r="H59" i="165"/>
  <c r="H60" i="165"/>
  <c r="O57" i="165"/>
  <c r="O58" i="165"/>
  <c r="O59" i="165"/>
  <c r="O60" i="165"/>
  <c r="T57" i="165"/>
  <c r="H61" i="165"/>
  <c r="H62" i="165"/>
  <c r="H63" i="165"/>
  <c r="H64" i="165"/>
  <c r="O61" i="165"/>
  <c r="O62" i="165"/>
  <c r="O63" i="165"/>
  <c r="O64" i="165"/>
  <c r="T61" i="165"/>
  <c r="H65" i="165"/>
  <c r="H66" i="165"/>
  <c r="H67" i="165"/>
  <c r="H68" i="165"/>
  <c r="O65" i="165"/>
  <c r="O66" i="165"/>
  <c r="O67" i="165"/>
  <c r="O68" i="165"/>
  <c r="T65" i="165"/>
  <c r="H69" i="165"/>
  <c r="H70" i="165"/>
  <c r="H71" i="165"/>
  <c r="H72" i="165"/>
  <c r="O69" i="165"/>
  <c r="O70" i="165"/>
  <c r="O71" i="165"/>
  <c r="O72" i="165"/>
  <c r="T69" i="165"/>
  <c r="H73" i="165"/>
  <c r="H74" i="165"/>
  <c r="H75" i="165"/>
  <c r="H76" i="165"/>
  <c r="O73" i="165"/>
  <c r="O74" i="165"/>
  <c r="O75" i="165"/>
  <c r="O76" i="165"/>
  <c r="T73" i="165"/>
  <c r="H77" i="165"/>
  <c r="H78" i="165"/>
  <c r="H79" i="165"/>
  <c r="H80" i="165"/>
  <c r="O77" i="165"/>
  <c r="O78" i="165"/>
  <c r="O79" i="165"/>
  <c r="O80" i="165"/>
  <c r="T77" i="165"/>
  <c r="H81" i="165"/>
  <c r="H82" i="165"/>
  <c r="H83" i="165"/>
  <c r="H84" i="165"/>
  <c r="O81" i="165"/>
  <c r="O82" i="165"/>
  <c r="O83" i="165"/>
  <c r="O84" i="165"/>
  <c r="T81" i="165"/>
  <c r="H85" i="165"/>
  <c r="H86" i="165"/>
  <c r="H87" i="165"/>
  <c r="H88" i="165"/>
  <c r="O85" i="165"/>
  <c r="O86" i="165"/>
  <c r="O87" i="165"/>
  <c r="O88" i="165"/>
  <c r="T85" i="165"/>
  <c r="H89" i="165"/>
  <c r="H90" i="165"/>
  <c r="H91" i="165"/>
  <c r="H92" i="165"/>
  <c r="O89" i="165"/>
  <c r="O90" i="165"/>
  <c r="O91" i="165"/>
  <c r="O92" i="165"/>
  <c r="T89" i="165"/>
  <c r="H93" i="165"/>
  <c r="H94" i="165"/>
  <c r="H95" i="165"/>
  <c r="H96" i="165"/>
  <c r="O93" i="165"/>
  <c r="O94" i="165"/>
  <c r="O95" i="165"/>
  <c r="O96" i="165"/>
  <c r="T93" i="165"/>
  <c r="H97" i="165"/>
  <c r="H98" i="165"/>
  <c r="H99" i="165"/>
  <c r="H100" i="165"/>
  <c r="O97" i="165"/>
  <c r="O98" i="165"/>
  <c r="O99" i="165"/>
  <c r="O100" i="165"/>
  <c r="T97" i="165"/>
  <c r="H101" i="165"/>
  <c r="H102" i="165"/>
  <c r="H103" i="165"/>
  <c r="H104" i="165"/>
  <c r="O101" i="165"/>
  <c r="O102" i="165"/>
  <c r="O103" i="165"/>
  <c r="O104" i="165"/>
  <c r="T101" i="165"/>
  <c r="H105" i="165"/>
  <c r="H106" i="165"/>
  <c r="H107" i="165"/>
  <c r="H108" i="165"/>
  <c r="O105" i="165"/>
  <c r="O106" i="165"/>
  <c r="O107" i="165"/>
  <c r="O108" i="165"/>
  <c r="T105" i="165"/>
  <c r="H109" i="165"/>
  <c r="H110" i="165"/>
  <c r="H111" i="165"/>
  <c r="H112" i="165"/>
  <c r="O109" i="165"/>
  <c r="O110" i="165"/>
  <c r="O111" i="165"/>
  <c r="O112" i="165"/>
  <c r="T109" i="165"/>
  <c r="H113" i="165"/>
  <c r="H114" i="165"/>
  <c r="H115" i="165"/>
  <c r="H116" i="165"/>
  <c r="O113" i="165"/>
  <c r="O114" i="165"/>
  <c r="O115" i="165"/>
  <c r="O116" i="165"/>
  <c r="T113" i="165"/>
  <c r="H117" i="165"/>
  <c r="H118" i="165"/>
  <c r="H119" i="165"/>
  <c r="H120" i="165"/>
  <c r="O117" i="165"/>
  <c r="O118" i="165"/>
  <c r="O119" i="165"/>
  <c r="O120" i="165"/>
  <c r="T117" i="165"/>
  <c r="H121" i="165"/>
  <c r="H122" i="165"/>
  <c r="H123" i="165"/>
  <c r="H124" i="165"/>
  <c r="O121" i="165"/>
  <c r="O122" i="165"/>
  <c r="O123" i="165"/>
  <c r="O124" i="165"/>
  <c r="T121" i="165"/>
  <c r="T125" i="165"/>
  <c r="F57" i="135"/>
  <c r="B6" i="164"/>
  <c r="H131" i="118"/>
  <c r="H132" i="118"/>
  <c r="H133" i="118"/>
  <c r="H134" i="118"/>
  <c r="O131" i="118"/>
  <c r="O132" i="118"/>
  <c r="O133" i="118"/>
  <c r="O134" i="118"/>
  <c r="T131" i="118"/>
  <c r="H135" i="118"/>
  <c r="H136" i="118"/>
  <c r="H137" i="118"/>
  <c r="H138" i="118"/>
  <c r="O135" i="118"/>
  <c r="O136" i="118"/>
  <c r="O137" i="118"/>
  <c r="O138" i="118"/>
  <c r="T135" i="118"/>
  <c r="H139" i="118"/>
  <c r="H140" i="118"/>
  <c r="H141" i="118"/>
  <c r="H142" i="118"/>
  <c r="O139" i="118"/>
  <c r="O140" i="118"/>
  <c r="O141" i="118"/>
  <c r="O142" i="118"/>
  <c r="T139" i="118"/>
  <c r="H143" i="118"/>
  <c r="H144" i="118"/>
  <c r="H145" i="118"/>
  <c r="H146" i="118"/>
  <c r="O143" i="118"/>
  <c r="O144" i="118"/>
  <c r="O145" i="118"/>
  <c r="O146" i="118"/>
  <c r="T143" i="118"/>
  <c r="H147" i="118"/>
  <c r="H148" i="118"/>
  <c r="H149" i="118"/>
  <c r="H150" i="118"/>
  <c r="O147" i="118"/>
  <c r="O148" i="118"/>
  <c r="O149" i="118"/>
  <c r="O150" i="118"/>
  <c r="T147" i="118"/>
  <c r="H151" i="118"/>
  <c r="H152" i="118"/>
  <c r="H153" i="118"/>
  <c r="H154" i="118"/>
  <c r="O151" i="118"/>
  <c r="O152" i="118"/>
  <c r="O153" i="118"/>
  <c r="O154" i="118"/>
  <c r="T151" i="118"/>
  <c r="H155" i="118"/>
  <c r="H156" i="118"/>
  <c r="H157" i="118"/>
  <c r="H158" i="118"/>
  <c r="O155" i="118"/>
  <c r="O156" i="118"/>
  <c r="O157" i="118"/>
  <c r="O158" i="118"/>
  <c r="T155" i="118"/>
  <c r="H159" i="118"/>
  <c r="H160" i="118"/>
  <c r="H161" i="118"/>
  <c r="H162" i="118"/>
  <c r="O159" i="118"/>
  <c r="O160" i="118"/>
  <c r="O161" i="118"/>
  <c r="O162" i="118"/>
  <c r="T159" i="118"/>
  <c r="H163" i="118"/>
  <c r="H164" i="118"/>
  <c r="H165" i="118"/>
  <c r="H166" i="118"/>
  <c r="O163" i="118"/>
  <c r="O164" i="118"/>
  <c r="O165" i="118"/>
  <c r="O166" i="118"/>
  <c r="T163" i="118"/>
  <c r="H167" i="118"/>
  <c r="H168" i="118"/>
  <c r="H169" i="118"/>
  <c r="H170" i="118"/>
  <c r="O167" i="118"/>
  <c r="O168" i="118"/>
  <c r="O169" i="118"/>
  <c r="O170" i="118"/>
  <c r="T167" i="118"/>
  <c r="H171" i="118"/>
  <c r="H172" i="118"/>
  <c r="H173" i="118"/>
  <c r="H174" i="118"/>
  <c r="O171" i="118"/>
  <c r="O172" i="118"/>
  <c r="O173" i="118"/>
  <c r="O174" i="118"/>
  <c r="T171" i="118"/>
  <c r="H175" i="118"/>
  <c r="H176" i="118"/>
  <c r="H177" i="118"/>
  <c r="H178" i="118"/>
  <c r="O175" i="118"/>
  <c r="O176" i="118"/>
  <c r="O177" i="118"/>
  <c r="O178" i="118"/>
  <c r="T175" i="118"/>
  <c r="H179" i="118"/>
  <c r="H180" i="118"/>
  <c r="H181" i="118"/>
  <c r="H182" i="118"/>
  <c r="O179" i="118"/>
  <c r="O180" i="118"/>
  <c r="O181" i="118"/>
  <c r="O182" i="118"/>
  <c r="T179" i="118"/>
  <c r="H183" i="118"/>
  <c r="H184" i="118"/>
  <c r="H185" i="118"/>
  <c r="H186" i="118"/>
  <c r="O183" i="118"/>
  <c r="O184" i="118"/>
  <c r="O185" i="118"/>
  <c r="O186" i="118"/>
  <c r="T183" i="118"/>
  <c r="H187" i="118"/>
  <c r="H188" i="118"/>
  <c r="H189" i="118"/>
  <c r="H190" i="118"/>
  <c r="O187" i="118"/>
  <c r="O188" i="118"/>
  <c r="O189" i="118"/>
  <c r="O190" i="118"/>
  <c r="T187" i="118"/>
  <c r="H191" i="118"/>
  <c r="H192" i="118"/>
  <c r="H193" i="118"/>
  <c r="H194" i="118"/>
  <c r="O191" i="118"/>
  <c r="O192" i="118"/>
  <c r="O193" i="118"/>
  <c r="O194" i="118"/>
  <c r="T191" i="118"/>
  <c r="H195" i="118"/>
  <c r="H196" i="118"/>
  <c r="H197" i="118"/>
  <c r="H198" i="118"/>
  <c r="O195" i="118"/>
  <c r="O196" i="118"/>
  <c r="O197" i="118"/>
  <c r="O198" i="118"/>
  <c r="T195" i="118"/>
  <c r="H199" i="118"/>
  <c r="H200" i="118"/>
  <c r="H201" i="118"/>
  <c r="H202" i="118"/>
  <c r="O199" i="118"/>
  <c r="O200" i="118"/>
  <c r="O201" i="118"/>
  <c r="O202" i="118"/>
  <c r="T199" i="118"/>
  <c r="H203" i="118"/>
  <c r="H204" i="118"/>
  <c r="H205" i="118"/>
  <c r="H206" i="118"/>
  <c r="O203" i="118"/>
  <c r="O204" i="118"/>
  <c r="O205" i="118"/>
  <c r="O206" i="118"/>
  <c r="T203" i="118"/>
  <c r="H207" i="118"/>
  <c r="H208" i="118"/>
  <c r="H209" i="118"/>
  <c r="H210" i="118"/>
  <c r="O207" i="118"/>
  <c r="O208" i="118"/>
  <c r="O209" i="118"/>
  <c r="O210" i="118"/>
  <c r="T207" i="118"/>
  <c r="H211" i="118"/>
  <c r="H212" i="118"/>
  <c r="H213" i="118"/>
  <c r="H214" i="118"/>
  <c r="O211" i="118"/>
  <c r="O212" i="118"/>
  <c r="O213" i="118"/>
  <c r="O214" i="118"/>
  <c r="T211" i="118"/>
  <c r="H215" i="118"/>
  <c r="H216" i="118"/>
  <c r="H217" i="118"/>
  <c r="H218" i="118"/>
  <c r="O215" i="118"/>
  <c r="O216" i="118"/>
  <c r="O217" i="118"/>
  <c r="O218" i="118"/>
  <c r="T215" i="118"/>
  <c r="H219" i="118"/>
  <c r="H220" i="118"/>
  <c r="H221" i="118"/>
  <c r="H222" i="118"/>
  <c r="O219" i="118"/>
  <c r="O220" i="118"/>
  <c r="O221" i="118"/>
  <c r="O222" i="118"/>
  <c r="T219" i="118"/>
  <c r="H223" i="118"/>
  <c r="H224" i="118"/>
  <c r="H225" i="118"/>
  <c r="H226" i="118"/>
  <c r="O223" i="118"/>
  <c r="O224" i="118"/>
  <c r="O225" i="118"/>
  <c r="O226" i="118"/>
  <c r="T223" i="118"/>
  <c r="H227" i="118"/>
  <c r="H228" i="118"/>
  <c r="H229" i="118"/>
  <c r="H230" i="118"/>
  <c r="O227" i="118"/>
  <c r="O228" i="118"/>
  <c r="O229" i="118"/>
  <c r="O230" i="118"/>
  <c r="T227" i="118"/>
  <c r="H231" i="118"/>
  <c r="H232" i="118"/>
  <c r="H233" i="118"/>
  <c r="H234" i="118"/>
  <c r="O231" i="118"/>
  <c r="O232" i="118"/>
  <c r="O233" i="118"/>
  <c r="O234" i="118"/>
  <c r="T231" i="118"/>
  <c r="H235" i="118"/>
  <c r="H236" i="118"/>
  <c r="H237" i="118"/>
  <c r="H238" i="118"/>
  <c r="O235" i="118"/>
  <c r="O236" i="118"/>
  <c r="O237" i="118"/>
  <c r="O238" i="118"/>
  <c r="T235" i="118"/>
  <c r="H239" i="118"/>
  <c r="H240" i="118"/>
  <c r="H241" i="118"/>
  <c r="H242" i="118"/>
  <c r="O239" i="118"/>
  <c r="O240" i="118"/>
  <c r="O241" i="118"/>
  <c r="O242" i="118"/>
  <c r="T239" i="118"/>
  <c r="H243" i="118"/>
  <c r="H244" i="118"/>
  <c r="H245" i="118"/>
  <c r="H246" i="118"/>
  <c r="O243" i="118"/>
  <c r="O244" i="118"/>
  <c r="O245" i="118"/>
  <c r="O246" i="118"/>
  <c r="T243" i="118"/>
  <c r="T247" i="118"/>
  <c r="F48" i="135"/>
  <c r="B5" i="164"/>
  <c r="H131" i="112"/>
  <c r="H132" i="112"/>
  <c r="H133" i="112"/>
  <c r="H134" i="112"/>
  <c r="O131" i="112"/>
  <c r="O132" i="112"/>
  <c r="O133" i="112"/>
  <c r="O134" i="112"/>
  <c r="T131" i="112"/>
  <c r="H135" i="112"/>
  <c r="H136" i="112"/>
  <c r="H137" i="112"/>
  <c r="H138" i="112"/>
  <c r="O135" i="112"/>
  <c r="O136" i="112"/>
  <c r="O137" i="112"/>
  <c r="O138" i="112"/>
  <c r="T135" i="112"/>
  <c r="H139" i="112"/>
  <c r="H140" i="112"/>
  <c r="H141" i="112"/>
  <c r="H142" i="112"/>
  <c r="O139" i="112"/>
  <c r="O140" i="112"/>
  <c r="O141" i="112"/>
  <c r="O142" i="112"/>
  <c r="T139" i="112"/>
  <c r="H143" i="112"/>
  <c r="H144" i="112"/>
  <c r="H145" i="112"/>
  <c r="H146" i="112"/>
  <c r="O143" i="112"/>
  <c r="O144" i="112"/>
  <c r="O145" i="112"/>
  <c r="O146" i="112"/>
  <c r="T143" i="112"/>
  <c r="H147" i="112"/>
  <c r="H148" i="112"/>
  <c r="H149" i="112"/>
  <c r="H150" i="112"/>
  <c r="O147" i="112"/>
  <c r="O148" i="112"/>
  <c r="O149" i="112"/>
  <c r="O150" i="112"/>
  <c r="T147" i="112"/>
  <c r="H151" i="112"/>
  <c r="H152" i="112"/>
  <c r="H153" i="112"/>
  <c r="H154" i="112"/>
  <c r="O151" i="112"/>
  <c r="O152" i="112"/>
  <c r="O153" i="112"/>
  <c r="O154" i="112"/>
  <c r="T151" i="112"/>
  <c r="H155" i="112"/>
  <c r="H156" i="112"/>
  <c r="H157" i="112"/>
  <c r="H158" i="112"/>
  <c r="O155" i="112"/>
  <c r="O156" i="112"/>
  <c r="O157" i="112"/>
  <c r="O158" i="112"/>
  <c r="T155" i="112"/>
  <c r="H159" i="112"/>
  <c r="H160" i="112"/>
  <c r="H161" i="112"/>
  <c r="H162" i="112"/>
  <c r="O159" i="112"/>
  <c r="O160" i="112"/>
  <c r="O161" i="112"/>
  <c r="O162" i="112"/>
  <c r="T159" i="112"/>
  <c r="H163" i="112"/>
  <c r="H164" i="112"/>
  <c r="H165" i="112"/>
  <c r="H166" i="112"/>
  <c r="O163" i="112"/>
  <c r="O164" i="112"/>
  <c r="O165" i="112"/>
  <c r="O166" i="112"/>
  <c r="T163" i="112"/>
  <c r="H167" i="112"/>
  <c r="H168" i="112"/>
  <c r="H169" i="112"/>
  <c r="H170" i="112"/>
  <c r="O167" i="112"/>
  <c r="O168" i="112"/>
  <c r="O169" i="112"/>
  <c r="O170" i="112"/>
  <c r="T167" i="112"/>
  <c r="H171" i="112"/>
  <c r="H172" i="112"/>
  <c r="H173" i="112"/>
  <c r="H174" i="112"/>
  <c r="O171" i="112"/>
  <c r="O172" i="112"/>
  <c r="O173" i="112"/>
  <c r="O174" i="112"/>
  <c r="T171" i="112"/>
  <c r="H175" i="112"/>
  <c r="H176" i="112"/>
  <c r="H177" i="112"/>
  <c r="H178" i="112"/>
  <c r="O175" i="112"/>
  <c r="O176" i="112"/>
  <c r="O177" i="112"/>
  <c r="O178" i="112"/>
  <c r="T175" i="112"/>
  <c r="H179" i="112"/>
  <c r="H180" i="112"/>
  <c r="H181" i="112"/>
  <c r="H182" i="112"/>
  <c r="O179" i="112"/>
  <c r="O180" i="112"/>
  <c r="O181" i="112"/>
  <c r="O182" i="112"/>
  <c r="T179" i="112"/>
  <c r="H183" i="112"/>
  <c r="H184" i="112"/>
  <c r="H185" i="112"/>
  <c r="H186" i="112"/>
  <c r="O183" i="112"/>
  <c r="O184" i="112"/>
  <c r="O185" i="112"/>
  <c r="O186" i="112"/>
  <c r="T183" i="112"/>
  <c r="H187" i="112"/>
  <c r="H188" i="112"/>
  <c r="H189" i="112"/>
  <c r="H190" i="112"/>
  <c r="O187" i="112"/>
  <c r="O188" i="112"/>
  <c r="O189" i="112"/>
  <c r="O190" i="112"/>
  <c r="T187" i="112"/>
  <c r="H191" i="112"/>
  <c r="H192" i="112"/>
  <c r="H193" i="112"/>
  <c r="H194" i="112"/>
  <c r="O191" i="112"/>
  <c r="O192" i="112"/>
  <c r="O193" i="112"/>
  <c r="O194" i="112"/>
  <c r="T191" i="112"/>
  <c r="H195" i="112"/>
  <c r="H196" i="112"/>
  <c r="H197" i="112"/>
  <c r="H198" i="112"/>
  <c r="O195" i="112"/>
  <c r="O196" i="112"/>
  <c r="O197" i="112"/>
  <c r="O198" i="112"/>
  <c r="T195" i="112"/>
  <c r="H199" i="112"/>
  <c r="H200" i="112"/>
  <c r="H201" i="112"/>
  <c r="H202" i="112"/>
  <c r="O199" i="112"/>
  <c r="O200" i="112"/>
  <c r="O201" i="112"/>
  <c r="O202" i="112"/>
  <c r="T199" i="112"/>
  <c r="H203" i="112"/>
  <c r="H204" i="112"/>
  <c r="H205" i="112"/>
  <c r="H206" i="112"/>
  <c r="O203" i="112"/>
  <c r="O204" i="112"/>
  <c r="O205" i="112"/>
  <c r="O206" i="112"/>
  <c r="T203" i="112"/>
  <c r="H207" i="112"/>
  <c r="H208" i="112"/>
  <c r="H209" i="112"/>
  <c r="H210" i="112"/>
  <c r="O207" i="112"/>
  <c r="O208" i="112"/>
  <c r="O209" i="112"/>
  <c r="O210" i="112"/>
  <c r="T207" i="112"/>
  <c r="H211" i="112"/>
  <c r="H212" i="112"/>
  <c r="H213" i="112"/>
  <c r="H214" i="112"/>
  <c r="O211" i="112"/>
  <c r="O212" i="112"/>
  <c r="O213" i="112"/>
  <c r="O214" i="112"/>
  <c r="T211" i="112"/>
  <c r="H215" i="112"/>
  <c r="H216" i="112"/>
  <c r="H217" i="112"/>
  <c r="H218" i="112"/>
  <c r="O215" i="112"/>
  <c r="O216" i="112"/>
  <c r="O217" i="112"/>
  <c r="O218" i="112"/>
  <c r="T215" i="112"/>
  <c r="H219" i="112"/>
  <c r="H220" i="112"/>
  <c r="H221" i="112"/>
  <c r="H222" i="112"/>
  <c r="O219" i="112"/>
  <c r="O220" i="112"/>
  <c r="O221" i="112"/>
  <c r="O222" i="112"/>
  <c r="T219" i="112"/>
  <c r="H223" i="112"/>
  <c r="H224" i="112"/>
  <c r="H225" i="112"/>
  <c r="H226" i="112"/>
  <c r="O223" i="112"/>
  <c r="O224" i="112"/>
  <c r="O225" i="112"/>
  <c r="O226" i="112"/>
  <c r="T223" i="112"/>
  <c r="H227" i="112"/>
  <c r="H228" i="112"/>
  <c r="H229" i="112"/>
  <c r="H230" i="112"/>
  <c r="O227" i="112"/>
  <c r="O228" i="112"/>
  <c r="O229" i="112"/>
  <c r="O230" i="112"/>
  <c r="T227" i="112"/>
  <c r="H231" i="112"/>
  <c r="H232" i="112"/>
  <c r="H233" i="112"/>
  <c r="H234" i="112"/>
  <c r="O231" i="112"/>
  <c r="O232" i="112"/>
  <c r="O233" i="112"/>
  <c r="O234" i="112"/>
  <c r="T231" i="112"/>
  <c r="H235" i="112"/>
  <c r="H236" i="112"/>
  <c r="H237" i="112"/>
  <c r="H238" i="112"/>
  <c r="O235" i="112"/>
  <c r="O236" i="112"/>
  <c r="O237" i="112"/>
  <c r="O238" i="112"/>
  <c r="T235" i="112"/>
  <c r="H239" i="112"/>
  <c r="H240" i="112"/>
  <c r="H241" i="112"/>
  <c r="H242" i="112"/>
  <c r="O239" i="112"/>
  <c r="O240" i="112"/>
  <c r="O241" i="112"/>
  <c r="O242" i="112"/>
  <c r="T239" i="112"/>
  <c r="H243" i="112"/>
  <c r="H244" i="112"/>
  <c r="H245" i="112"/>
  <c r="H246" i="112"/>
  <c r="O243" i="112"/>
  <c r="O244" i="112"/>
  <c r="O245" i="112"/>
  <c r="O246" i="112"/>
  <c r="T243" i="112"/>
  <c r="T247" i="112"/>
  <c r="F32" i="135"/>
  <c r="B4" i="164"/>
  <c r="H131" i="157"/>
  <c r="H132" i="157"/>
  <c r="H133" i="157"/>
  <c r="H134" i="157"/>
  <c r="O131" i="157"/>
  <c r="O132" i="157"/>
  <c r="O133" i="157"/>
  <c r="O134" i="157"/>
  <c r="T131" i="157"/>
  <c r="H135" i="157"/>
  <c r="H136" i="157"/>
  <c r="H137" i="157"/>
  <c r="H138" i="157"/>
  <c r="O135" i="157"/>
  <c r="O136" i="157"/>
  <c r="O137" i="157"/>
  <c r="O138" i="157"/>
  <c r="T135" i="157"/>
  <c r="H139" i="157"/>
  <c r="H140" i="157"/>
  <c r="H141" i="157"/>
  <c r="H142" i="157"/>
  <c r="O139" i="157"/>
  <c r="O140" i="157"/>
  <c r="O141" i="157"/>
  <c r="O142" i="157"/>
  <c r="T139" i="157"/>
  <c r="H143" i="157"/>
  <c r="H144" i="157"/>
  <c r="H145" i="157"/>
  <c r="H146" i="157"/>
  <c r="O143" i="157"/>
  <c r="O144" i="157"/>
  <c r="O145" i="157"/>
  <c r="O146" i="157"/>
  <c r="T143" i="157"/>
  <c r="H147" i="157"/>
  <c r="H148" i="157"/>
  <c r="H149" i="157"/>
  <c r="H150" i="157"/>
  <c r="O147" i="157"/>
  <c r="O148" i="157"/>
  <c r="O149" i="157"/>
  <c r="O150" i="157"/>
  <c r="T147" i="157"/>
  <c r="H151" i="157"/>
  <c r="H152" i="157"/>
  <c r="H153" i="157"/>
  <c r="H154" i="157"/>
  <c r="O151" i="157"/>
  <c r="O152" i="157"/>
  <c r="O153" i="157"/>
  <c r="O154" i="157"/>
  <c r="T151" i="157"/>
  <c r="H155" i="157"/>
  <c r="H156" i="157"/>
  <c r="H157" i="157"/>
  <c r="H158" i="157"/>
  <c r="O155" i="157"/>
  <c r="O156" i="157"/>
  <c r="O157" i="157"/>
  <c r="O158" i="157"/>
  <c r="T155" i="157"/>
  <c r="H159" i="157"/>
  <c r="H160" i="157"/>
  <c r="H161" i="157"/>
  <c r="H162" i="157"/>
  <c r="O159" i="157"/>
  <c r="O160" i="157"/>
  <c r="O161" i="157"/>
  <c r="O162" i="157"/>
  <c r="T159" i="157"/>
  <c r="H163" i="157"/>
  <c r="H164" i="157"/>
  <c r="H165" i="157"/>
  <c r="H166" i="157"/>
  <c r="O163" i="157"/>
  <c r="O164" i="157"/>
  <c r="O165" i="157"/>
  <c r="O166" i="157"/>
  <c r="T163" i="157"/>
  <c r="H167" i="157"/>
  <c r="H168" i="157"/>
  <c r="H169" i="157"/>
  <c r="H170" i="157"/>
  <c r="O167" i="157"/>
  <c r="O168" i="157"/>
  <c r="O169" i="157"/>
  <c r="O170" i="157"/>
  <c r="T167" i="157"/>
  <c r="H171" i="157"/>
  <c r="H172" i="157"/>
  <c r="H173" i="157"/>
  <c r="H174" i="157"/>
  <c r="O171" i="157"/>
  <c r="O172" i="157"/>
  <c r="O173" i="157"/>
  <c r="O174" i="157"/>
  <c r="T171" i="157"/>
  <c r="H175" i="157"/>
  <c r="H176" i="157"/>
  <c r="H177" i="157"/>
  <c r="H178" i="157"/>
  <c r="O175" i="157"/>
  <c r="O176" i="157"/>
  <c r="O177" i="157"/>
  <c r="O178" i="157"/>
  <c r="T175" i="157"/>
  <c r="H179" i="157"/>
  <c r="H180" i="157"/>
  <c r="H181" i="157"/>
  <c r="H182" i="157"/>
  <c r="O179" i="157"/>
  <c r="O180" i="157"/>
  <c r="O181" i="157"/>
  <c r="O182" i="157"/>
  <c r="T179" i="157"/>
  <c r="H183" i="157"/>
  <c r="H184" i="157"/>
  <c r="H185" i="157"/>
  <c r="H186" i="157"/>
  <c r="O183" i="157"/>
  <c r="O184" i="157"/>
  <c r="O185" i="157"/>
  <c r="O186" i="157"/>
  <c r="T183" i="157"/>
  <c r="H187" i="157"/>
  <c r="H188" i="157"/>
  <c r="H189" i="157"/>
  <c r="H190" i="157"/>
  <c r="O187" i="157"/>
  <c r="O188" i="157"/>
  <c r="O189" i="157"/>
  <c r="O190" i="157"/>
  <c r="T187" i="157"/>
  <c r="H191" i="157"/>
  <c r="H192" i="157"/>
  <c r="H193" i="157"/>
  <c r="H194" i="157"/>
  <c r="O191" i="157"/>
  <c r="O192" i="157"/>
  <c r="O193" i="157"/>
  <c r="O194" i="157"/>
  <c r="T191" i="157"/>
  <c r="H195" i="157"/>
  <c r="H196" i="157"/>
  <c r="H197" i="157"/>
  <c r="H198" i="157"/>
  <c r="O195" i="157"/>
  <c r="O196" i="157"/>
  <c r="O197" i="157"/>
  <c r="O198" i="157"/>
  <c r="T195" i="157"/>
  <c r="H199" i="157"/>
  <c r="H200" i="157"/>
  <c r="H201" i="157"/>
  <c r="H202" i="157"/>
  <c r="O199" i="157"/>
  <c r="O200" i="157"/>
  <c r="O201" i="157"/>
  <c r="O202" i="157"/>
  <c r="T199" i="157"/>
  <c r="H203" i="157"/>
  <c r="H204" i="157"/>
  <c r="H205" i="157"/>
  <c r="H206" i="157"/>
  <c r="O203" i="157"/>
  <c r="O204" i="157"/>
  <c r="O205" i="157"/>
  <c r="O206" i="157"/>
  <c r="T203" i="157"/>
  <c r="H207" i="157"/>
  <c r="H208" i="157"/>
  <c r="H209" i="157"/>
  <c r="H210" i="157"/>
  <c r="O207" i="157"/>
  <c r="O208" i="157"/>
  <c r="O209" i="157"/>
  <c r="O210" i="157"/>
  <c r="T207" i="157"/>
  <c r="H211" i="157"/>
  <c r="H212" i="157"/>
  <c r="H213" i="157"/>
  <c r="H214" i="157"/>
  <c r="O211" i="157"/>
  <c r="O212" i="157"/>
  <c r="O213" i="157"/>
  <c r="O214" i="157"/>
  <c r="T211" i="157"/>
  <c r="H215" i="157"/>
  <c r="H216" i="157"/>
  <c r="H217" i="157"/>
  <c r="H218" i="157"/>
  <c r="O215" i="157"/>
  <c r="O216" i="157"/>
  <c r="O217" i="157"/>
  <c r="O218" i="157"/>
  <c r="T215" i="157"/>
  <c r="H219" i="157"/>
  <c r="H220" i="157"/>
  <c r="H221" i="157"/>
  <c r="H222" i="157"/>
  <c r="O219" i="157"/>
  <c r="O220" i="157"/>
  <c r="O221" i="157"/>
  <c r="O222" i="157"/>
  <c r="T219" i="157"/>
  <c r="H223" i="157"/>
  <c r="H224" i="157"/>
  <c r="H225" i="157"/>
  <c r="H226" i="157"/>
  <c r="O223" i="157"/>
  <c r="O224" i="157"/>
  <c r="O225" i="157"/>
  <c r="O226" i="157"/>
  <c r="T223" i="157"/>
  <c r="H227" i="157"/>
  <c r="H228" i="157"/>
  <c r="H229" i="157"/>
  <c r="H230" i="157"/>
  <c r="O227" i="157"/>
  <c r="O228" i="157"/>
  <c r="O229" i="157"/>
  <c r="O230" i="157"/>
  <c r="T227" i="157"/>
  <c r="H231" i="157"/>
  <c r="H232" i="157"/>
  <c r="H233" i="157"/>
  <c r="H234" i="157"/>
  <c r="O231" i="157"/>
  <c r="O232" i="157"/>
  <c r="O233" i="157"/>
  <c r="O234" i="157"/>
  <c r="T231" i="157"/>
  <c r="H235" i="157"/>
  <c r="H236" i="157"/>
  <c r="H237" i="157"/>
  <c r="H238" i="157"/>
  <c r="O235" i="157"/>
  <c r="O236" i="157"/>
  <c r="O237" i="157"/>
  <c r="O238" i="157"/>
  <c r="T235" i="157"/>
  <c r="H239" i="157"/>
  <c r="H240" i="157"/>
  <c r="H241" i="157"/>
  <c r="H242" i="157"/>
  <c r="O239" i="157"/>
  <c r="O240" i="157"/>
  <c r="O241" i="157"/>
  <c r="O242" i="157"/>
  <c r="T239" i="157"/>
  <c r="H243" i="157"/>
  <c r="H244" i="157"/>
  <c r="H245" i="157"/>
  <c r="H246" i="157"/>
  <c r="O243" i="157"/>
  <c r="O244" i="157"/>
  <c r="O245" i="157"/>
  <c r="O246" i="157"/>
  <c r="T243" i="157"/>
  <c r="T247" i="157"/>
  <c r="F16" i="135"/>
  <c r="B3" i="164"/>
  <c r="P56" i="135"/>
  <c r="P55" i="135"/>
  <c r="P54" i="135"/>
  <c r="P53" i="135"/>
  <c r="P52" i="135"/>
  <c r="P51" i="135"/>
  <c r="G54" i="135"/>
  <c r="AH3" i="135"/>
  <c r="AH7" i="135"/>
  <c r="G27" i="135"/>
  <c r="G10" i="135"/>
  <c r="G15" i="135"/>
  <c r="U9" i="159"/>
  <c r="U10" i="159"/>
  <c r="U11" i="159"/>
  <c r="U12" i="159"/>
  <c r="U13" i="159"/>
  <c r="U14" i="159"/>
  <c r="U15" i="159"/>
  <c r="U16" i="159"/>
  <c r="Y3" i="135"/>
  <c r="O9" i="159"/>
  <c r="O10" i="159"/>
  <c r="O11" i="159"/>
  <c r="O12" i="159"/>
  <c r="O13" i="159"/>
  <c r="O14" i="159"/>
  <c r="O15" i="159"/>
  <c r="O16" i="159"/>
  <c r="U9" i="158"/>
  <c r="U10" i="158"/>
  <c r="U11" i="158"/>
  <c r="U12" i="158"/>
  <c r="U13" i="158"/>
  <c r="U14" i="158"/>
  <c r="U15" i="158"/>
  <c r="U16" i="158"/>
  <c r="H9" i="158"/>
  <c r="H10" i="158"/>
  <c r="H11" i="158"/>
  <c r="H12" i="158"/>
  <c r="O9" i="158"/>
  <c r="O10" i="158"/>
  <c r="O11" i="158"/>
  <c r="O12" i="158"/>
  <c r="H13" i="158"/>
  <c r="H14" i="158"/>
  <c r="H15" i="158"/>
  <c r="H16" i="158"/>
  <c r="O13" i="158"/>
  <c r="O14" i="158"/>
  <c r="O15" i="158"/>
  <c r="O16" i="158"/>
  <c r="U9" i="157"/>
  <c r="U10" i="157"/>
  <c r="U11" i="157"/>
  <c r="U12" i="157"/>
  <c r="U13" i="157"/>
  <c r="U14" i="157"/>
  <c r="U15" i="157"/>
  <c r="U16" i="157"/>
  <c r="O9" i="157"/>
  <c r="O10" i="157"/>
  <c r="O11" i="157"/>
  <c r="O12" i="157"/>
  <c r="O13" i="157"/>
  <c r="O14" i="157"/>
  <c r="O15" i="157"/>
  <c r="O16" i="157"/>
  <c r="H9" i="160"/>
  <c r="H10" i="160"/>
  <c r="H11" i="160"/>
  <c r="H12" i="160"/>
  <c r="H13" i="160"/>
  <c r="H14" i="160"/>
  <c r="H15" i="160"/>
  <c r="H16" i="160"/>
  <c r="H17" i="160"/>
  <c r="H18" i="160"/>
  <c r="H19" i="160"/>
  <c r="H20" i="160"/>
  <c r="H21" i="160"/>
  <c r="H22" i="160"/>
  <c r="H23" i="160"/>
  <c r="H24" i="160"/>
  <c r="H25" i="160"/>
  <c r="H26" i="160"/>
  <c r="H27" i="160"/>
  <c r="H28" i="160"/>
  <c r="H29" i="160"/>
  <c r="H30" i="160"/>
  <c r="H31" i="160"/>
  <c r="H32" i="160"/>
  <c r="H33" i="160"/>
  <c r="H34" i="160"/>
  <c r="H35" i="160"/>
  <c r="H36" i="160"/>
  <c r="H37" i="160"/>
  <c r="H38" i="160"/>
  <c r="H39" i="160"/>
  <c r="H40" i="160"/>
  <c r="H41" i="160"/>
  <c r="H42" i="160"/>
  <c r="H43" i="160"/>
  <c r="H44" i="160"/>
  <c r="H45" i="160"/>
  <c r="H46" i="160"/>
  <c r="H47" i="160"/>
  <c r="H48" i="160"/>
  <c r="H49" i="160"/>
  <c r="H50" i="160"/>
  <c r="H51" i="160"/>
  <c r="H52" i="160"/>
  <c r="H53" i="160"/>
  <c r="H54" i="160"/>
  <c r="H55" i="160"/>
  <c r="H56" i="160"/>
  <c r="H57" i="160"/>
  <c r="H58" i="160"/>
  <c r="H59" i="160"/>
  <c r="H60" i="160"/>
  <c r="H61" i="160"/>
  <c r="H62" i="160"/>
  <c r="H63" i="160"/>
  <c r="H64" i="160"/>
  <c r="H65" i="160"/>
  <c r="H66" i="160"/>
  <c r="H67" i="160"/>
  <c r="H68" i="160"/>
  <c r="H69" i="160"/>
  <c r="H70" i="160"/>
  <c r="H71" i="160"/>
  <c r="H72" i="160"/>
  <c r="H73" i="160"/>
  <c r="H74" i="160"/>
  <c r="H75" i="160"/>
  <c r="H76" i="160"/>
  <c r="H77" i="160"/>
  <c r="H78" i="160"/>
  <c r="H79" i="160"/>
  <c r="H80" i="160"/>
  <c r="H81" i="160"/>
  <c r="H82" i="160"/>
  <c r="H83" i="160"/>
  <c r="H84" i="160"/>
  <c r="H85" i="160"/>
  <c r="H86" i="160"/>
  <c r="H87" i="160"/>
  <c r="H88" i="160"/>
  <c r="H89" i="160"/>
  <c r="H90" i="160"/>
  <c r="H91" i="160"/>
  <c r="H92" i="160"/>
  <c r="H93" i="160"/>
  <c r="H94" i="160"/>
  <c r="H95" i="160"/>
  <c r="H96" i="160"/>
  <c r="H97" i="160"/>
  <c r="H98" i="160"/>
  <c r="H99" i="160"/>
  <c r="H100" i="160"/>
  <c r="H101" i="160"/>
  <c r="H102" i="160"/>
  <c r="H103" i="160"/>
  <c r="H104" i="160"/>
  <c r="H105" i="160"/>
  <c r="H106" i="160"/>
  <c r="H107" i="160"/>
  <c r="H108" i="160"/>
  <c r="H109" i="160"/>
  <c r="H110" i="160"/>
  <c r="H111" i="160"/>
  <c r="H112" i="160"/>
  <c r="H113" i="160"/>
  <c r="H114" i="160"/>
  <c r="H115" i="160"/>
  <c r="H116" i="160"/>
  <c r="H117" i="160"/>
  <c r="H118" i="160"/>
  <c r="H119" i="160"/>
  <c r="H120" i="160"/>
  <c r="H121" i="160"/>
  <c r="H122" i="160"/>
  <c r="H123" i="160"/>
  <c r="H124" i="160"/>
  <c r="H9" i="161"/>
  <c r="H10" i="161"/>
  <c r="H11" i="161"/>
  <c r="H12" i="161"/>
  <c r="H13" i="161"/>
  <c r="H14" i="161"/>
  <c r="H15" i="161"/>
  <c r="H16" i="161"/>
  <c r="H17" i="161"/>
  <c r="H18" i="161"/>
  <c r="H19" i="161"/>
  <c r="H20" i="161"/>
  <c r="H21" i="161"/>
  <c r="H22" i="161"/>
  <c r="H23" i="161"/>
  <c r="H24" i="161"/>
  <c r="H25" i="161"/>
  <c r="H26" i="161"/>
  <c r="H27" i="161"/>
  <c r="H28" i="161"/>
  <c r="H29" i="161"/>
  <c r="H30" i="161"/>
  <c r="H31" i="161"/>
  <c r="H32" i="161"/>
  <c r="H33" i="161"/>
  <c r="H34" i="161"/>
  <c r="H35" i="161"/>
  <c r="H36" i="161"/>
  <c r="H37" i="161"/>
  <c r="H38" i="161"/>
  <c r="H39" i="161"/>
  <c r="H40" i="161"/>
  <c r="H41" i="161"/>
  <c r="H42" i="161"/>
  <c r="H43" i="161"/>
  <c r="H44" i="161"/>
  <c r="H45" i="161"/>
  <c r="H46" i="161"/>
  <c r="H47" i="161"/>
  <c r="H48" i="161"/>
  <c r="H49" i="161"/>
  <c r="H50" i="161"/>
  <c r="H51" i="161"/>
  <c r="H52" i="161"/>
  <c r="H53" i="161"/>
  <c r="H54" i="161"/>
  <c r="H55" i="161"/>
  <c r="H56" i="161"/>
  <c r="H57" i="161"/>
  <c r="H58" i="161"/>
  <c r="H59" i="161"/>
  <c r="H60" i="161"/>
  <c r="H61" i="161"/>
  <c r="H62" i="161"/>
  <c r="H63" i="161"/>
  <c r="H64" i="161"/>
  <c r="H65" i="161"/>
  <c r="H66" i="161"/>
  <c r="H67" i="161"/>
  <c r="H68" i="161"/>
  <c r="H69" i="161"/>
  <c r="H70" i="161"/>
  <c r="H71" i="161"/>
  <c r="H72" i="161"/>
  <c r="H73" i="161"/>
  <c r="H74" i="161"/>
  <c r="H75" i="161"/>
  <c r="H76" i="161"/>
  <c r="H77" i="161"/>
  <c r="H78" i="161"/>
  <c r="H79" i="161"/>
  <c r="H80" i="161"/>
  <c r="H81" i="161"/>
  <c r="H82" i="161"/>
  <c r="H83" i="161"/>
  <c r="H84" i="161"/>
  <c r="H85" i="161"/>
  <c r="H86" i="161"/>
  <c r="H87" i="161"/>
  <c r="H88" i="161"/>
  <c r="H89" i="161"/>
  <c r="H90" i="161"/>
  <c r="H91" i="161"/>
  <c r="H92" i="161"/>
  <c r="H93" i="161"/>
  <c r="H94" i="161"/>
  <c r="H95" i="161"/>
  <c r="H96" i="161"/>
  <c r="H97" i="161"/>
  <c r="H98" i="161"/>
  <c r="H99" i="161"/>
  <c r="H100" i="161"/>
  <c r="H101" i="161"/>
  <c r="H102" i="161"/>
  <c r="H103" i="161"/>
  <c r="H104" i="161"/>
  <c r="H105" i="161"/>
  <c r="H106" i="161"/>
  <c r="H107" i="161"/>
  <c r="H108" i="161"/>
  <c r="H109" i="161"/>
  <c r="H110" i="161"/>
  <c r="H111" i="161"/>
  <c r="H112" i="161"/>
  <c r="H113" i="161"/>
  <c r="H114" i="161"/>
  <c r="H115" i="161"/>
  <c r="H116" i="161"/>
  <c r="H117" i="161"/>
  <c r="H118" i="161"/>
  <c r="H119" i="161"/>
  <c r="H120" i="161"/>
  <c r="H121" i="161"/>
  <c r="H122" i="161"/>
  <c r="H123" i="161"/>
  <c r="H124" i="161"/>
  <c r="H9" i="162"/>
  <c r="H10" i="162"/>
  <c r="H11" i="162"/>
  <c r="H12" i="162"/>
  <c r="H13" i="162"/>
  <c r="H14" i="162"/>
  <c r="H15" i="162"/>
  <c r="H16" i="162"/>
  <c r="H17" i="162"/>
  <c r="H18" i="162"/>
  <c r="H19" i="162"/>
  <c r="H20" i="162"/>
  <c r="H21" i="162"/>
  <c r="H22" i="162"/>
  <c r="H23" i="162"/>
  <c r="H24" i="162"/>
  <c r="H25" i="162"/>
  <c r="H26" i="162"/>
  <c r="H27" i="162"/>
  <c r="H28" i="162"/>
  <c r="H29" i="162"/>
  <c r="H30" i="162"/>
  <c r="H31" i="162"/>
  <c r="H32" i="162"/>
  <c r="H33" i="162"/>
  <c r="H34" i="162"/>
  <c r="H35" i="162"/>
  <c r="H36" i="162"/>
  <c r="H37" i="162"/>
  <c r="H38" i="162"/>
  <c r="H39" i="162"/>
  <c r="H40" i="162"/>
  <c r="H41" i="162"/>
  <c r="H42" i="162"/>
  <c r="H43" i="162"/>
  <c r="H44" i="162"/>
  <c r="H45" i="162"/>
  <c r="H46" i="162"/>
  <c r="H47" i="162"/>
  <c r="H48" i="162"/>
  <c r="H49" i="162"/>
  <c r="H50" i="162"/>
  <c r="H51" i="162"/>
  <c r="H52" i="162"/>
  <c r="H53" i="162"/>
  <c r="H54" i="162"/>
  <c r="H55" i="162"/>
  <c r="H56" i="162"/>
  <c r="H57" i="162"/>
  <c r="H58" i="162"/>
  <c r="H59" i="162"/>
  <c r="H60" i="162"/>
  <c r="H61" i="162"/>
  <c r="H62" i="162"/>
  <c r="H63" i="162"/>
  <c r="H64" i="162"/>
  <c r="H65" i="162"/>
  <c r="H66" i="162"/>
  <c r="H67" i="162"/>
  <c r="H68" i="162"/>
  <c r="H69" i="162"/>
  <c r="H70" i="162"/>
  <c r="H71" i="162"/>
  <c r="H72" i="162"/>
  <c r="H73" i="162"/>
  <c r="H74" i="162"/>
  <c r="H75" i="162"/>
  <c r="H76" i="162"/>
  <c r="H77" i="162"/>
  <c r="H78" i="162"/>
  <c r="H79" i="162"/>
  <c r="H80" i="162"/>
  <c r="H81" i="162"/>
  <c r="H82" i="162"/>
  <c r="H83" i="162"/>
  <c r="H84" i="162"/>
  <c r="H85" i="162"/>
  <c r="H86" i="162"/>
  <c r="H87" i="162"/>
  <c r="H88" i="162"/>
  <c r="H89" i="162"/>
  <c r="H90" i="162"/>
  <c r="H91" i="162"/>
  <c r="H92" i="162"/>
  <c r="H93" i="162"/>
  <c r="H94" i="162"/>
  <c r="H95" i="162"/>
  <c r="H96" i="162"/>
  <c r="H97" i="162"/>
  <c r="H98" i="162"/>
  <c r="H99" i="162"/>
  <c r="H100" i="162"/>
  <c r="H101" i="162"/>
  <c r="H102" i="162"/>
  <c r="H103" i="162"/>
  <c r="H104" i="162"/>
  <c r="H105" i="162"/>
  <c r="H106" i="162"/>
  <c r="H107" i="162"/>
  <c r="H108" i="162"/>
  <c r="H109" i="162"/>
  <c r="H110" i="162"/>
  <c r="H111" i="162"/>
  <c r="H112" i="162"/>
  <c r="H113" i="162"/>
  <c r="H114" i="162"/>
  <c r="H115" i="162"/>
  <c r="H116" i="162"/>
  <c r="H117" i="162"/>
  <c r="H118" i="162"/>
  <c r="H119" i="162"/>
  <c r="H120" i="162"/>
  <c r="H121" i="162"/>
  <c r="H122" i="162"/>
  <c r="H123" i="162"/>
  <c r="H124" i="162"/>
  <c r="H9" i="163"/>
  <c r="H10" i="163"/>
  <c r="H11" i="163"/>
  <c r="H12" i="163"/>
  <c r="H13" i="163"/>
  <c r="H14" i="163"/>
  <c r="H15" i="163"/>
  <c r="H16" i="163"/>
  <c r="H17" i="163"/>
  <c r="H18" i="163"/>
  <c r="H19" i="163"/>
  <c r="H20" i="163"/>
  <c r="H21" i="163"/>
  <c r="H22" i="163"/>
  <c r="H23" i="163"/>
  <c r="H24" i="163"/>
  <c r="H25" i="163"/>
  <c r="H26" i="163"/>
  <c r="H27" i="163"/>
  <c r="H28" i="163"/>
  <c r="H29" i="163"/>
  <c r="H30" i="163"/>
  <c r="H31" i="163"/>
  <c r="H32" i="163"/>
  <c r="H33" i="163"/>
  <c r="H34" i="163"/>
  <c r="H35" i="163"/>
  <c r="H36" i="163"/>
  <c r="H37" i="163"/>
  <c r="H38" i="163"/>
  <c r="H39" i="163"/>
  <c r="H40" i="163"/>
  <c r="H41" i="163"/>
  <c r="H42" i="163"/>
  <c r="H43" i="163"/>
  <c r="H44" i="163"/>
  <c r="H45" i="163"/>
  <c r="H46" i="163"/>
  <c r="H47" i="163"/>
  <c r="H48" i="163"/>
  <c r="H49" i="163"/>
  <c r="H50" i="163"/>
  <c r="H51" i="163"/>
  <c r="H52" i="163"/>
  <c r="H53" i="163"/>
  <c r="H54" i="163"/>
  <c r="H55" i="163"/>
  <c r="H56" i="163"/>
  <c r="H57" i="163"/>
  <c r="H58" i="163"/>
  <c r="H59" i="163"/>
  <c r="H60" i="163"/>
  <c r="H61" i="163"/>
  <c r="H62" i="163"/>
  <c r="H63" i="163"/>
  <c r="H64" i="163"/>
  <c r="H65" i="163"/>
  <c r="H66" i="163"/>
  <c r="H67" i="163"/>
  <c r="H68" i="163"/>
  <c r="H69" i="163"/>
  <c r="H70" i="163"/>
  <c r="H71" i="163"/>
  <c r="H72" i="163"/>
  <c r="H73" i="163"/>
  <c r="H74" i="163"/>
  <c r="H75" i="163"/>
  <c r="H76" i="163"/>
  <c r="H77" i="163"/>
  <c r="H78" i="163"/>
  <c r="H79" i="163"/>
  <c r="H80" i="163"/>
  <c r="H81" i="163"/>
  <c r="H82" i="163"/>
  <c r="H83" i="163"/>
  <c r="H84" i="163"/>
  <c r="H85" i="163"/>
  <c r="H86" i="163"/>
  <c r="H87" i="163"/>
  <c r="H88" i="163"/>
  <c r="H89" i="163"/>
  <c r="H90" i="163"/>
  <c r="H91" i="163"/>
  <c r="H92" i="163"/>
  <c r="H93" i="163"/>
  <c r="H94" i="163"/>
  <c r="H95" i="163"/>
  <c r="H96" i="163"/>
  <c r="H97" i="163"/>
  <c r="H98" i="163"/>
  <c r="H99" i="163"/>
  <c r="H100" i="163"/>
  <c r="H101" i="163"/>
  <c r="H102" i="163"/>
  <c r="H103" i="163"/>
  <c r="H104" i="163"/>
  <c r="H105" i="163"/>
  <c r="H106" i="163"/>
  <c r="H107" i="163"/>
  <c r="H108" i="163"/>
  <c r="H109" i="163"/>
  <c r="H110" i="163"/>
  <c r="H111" i="163"/>
  <c r="H112" i="163"/>
  <c r="H113" i="163"/>
  <c r="H114" i="163"/>
  <c r="H115" i="163"/>
  <c r="H116" i="163"/>
  <c r="H117" i="163"/>
  <c r="H118" i="163"/>
  <c r="H119" i="163"/>
  <c r="H120" i="163"/>
  <c r="H121" i="163"/>
  <c r="H122" i="163"/>
  <c r="H123" i="163"/>
  <c r="H124" i="163"/>
  <c r="Y15" i="135"/>
  <c r="Y14" i="135"/>
  <c r="Y13" i="135"/>
  <c r="G13" i="135"/>
  <c r="Y12" i="135"/>
  <c r="Y11" i="135"/>
  <c r="Y10" i="135"/>
  <c r="U17" i="159"/>
  <c r="U18" i="159"/>
  <c r="U19" i="159"/>
  <c r="U20" i="159"/>
  <c r="U21" i="159"/>
  <c r="U22" i="159"/>
  <c r="U23" i="159"/>
  <c r="U24" i="159"/>
  <c r="U25" i="159"/>
  <c r="U26" i="159"/>
  <c r="U27" i="159"/>
  <c r="U28" i="159"/>
  <c r="U29" i="159"/>
  <c r="U30" i="159"/>
  <c r="U31" i="159"/>
  <c r="U32" i="159"/>
  <c r="U33" i="159"/>
  <c r="U34" i="159"/>
  <c r="U35" i="159"/>
  <c r="U36" i="159"/>
  <c r="U37" i="159"/>
  <c r="U38" i="159"/>
  <c r="U39" i="159"/>
  <c r="U40" i="159"/>
  <c r="U41" i="159"/>
  <c r="U42" i="159"/>
  <c r="U43" i="159"/>
  <c r="U44" i="159"/>
  <c r="U45" i="159"/>
  <c r="U46" i="159"/>
  <c r="U47" i="159"/>
  <c r="U48" i="159"/>
  <c r="U49" i="159"/>
  <c r="U50" i="159"/>
  <c r="U51" i="159"/>
  <c r="U52" i="159"/>
  <c r="U53" i="159"/>
  <c r="U54" i="159"/>
  <c r="U55" i="159"/>
  <c r="U56" i="159"/>
  <c r="U57" i="159"/>
  <c r="U58" i="159"/>
  <c r="U59" i="159"/>
  <c r="U60" i="159"/>
  <c r="U61" i="159"/>
  <c r="U62" i="159"/>
  <c r="U63" i="159"/>
  <c r="U64" i="159"/>
  <c r="U65" i="159"/>
  <c r="U66" i="159"/>
  <c r="U67" i="159"/>
  <c r="U68" i="159"/>
  <c r="U69" i="159"/>
  <c r="U70" i="159"/>
  <c r="U71" i="159"/>
  <c r="U72" i="159"/>
  <c r="U73" i="159"/>
  <c r="U74" i="159"/>
  <c r="U75" i="159"/>
  <c r="U76" i="159"/>
  <c r="U77" i="159"/>
  <c r="U78" i="159"/>
  <c r="U79" i="159"/>
  <c r="U80" i="159"/>
  <c r="U81" i="159"/>
  <c r="U82" i="159"/>
  <c r="U83" i="159"/>
  <c r="U84" i="159"/>
  <c r="U85" i="159"/>
  <c r="U86" i="159"/>
  <c r="U87" i="159"/>
  <c r="U88" i="159"/>
  <c r="U89" i="159"/>
  <c r="U90" i="159"/>
  <c r="U91" i="159"/>
  <c r="U92" i="159"/>
  <c r="U93" i="159"/>
  <c r="U94" i="159"/>
  <c r="U95" i="159"/>
  <c r="U96" i="159"/>
  <c r="U97" i="159"/>
  <c r="U98" i="159"/>
  <c r="U99" i="159"/>
  <c r="U100" i="159"/>
  <c r="U101" i="159"/>
  <c r="U102" i="159"/>
  <c r="U103" i="159"/>
  <c r="U104" i="159"/>
  <c r="U105" i="159"/>
  <c r="U106" i="159"/>
  <c r="U107" i="159"/>
  <c r="U108" i="159"/>
  <c r="U109" i="159"/>
  <c r="U110" i="159"/>
  <c r="U111" i="159"/>
  <c r="U112" i="159"/>
  <c r="U113" i="159"/>
  <c r="U114" i="159"/>
  <c r="U115" i="159"/>
  <c r="U116" i="159"/>
  <c r="U117" i="159"/>
  <c r="U118" i="159"/>
  <c r="U119" i="159"/>
  <c r="U120" i="159"/>
  <c r="U121" i="159"/>
  <c r="U122" i="159"/>
  <c r="U123" i="159"/>
  <c r="U124" i="159"/>
  <c r="U125" i="159"/>
  <c r="Y9" i="135"/>
  <c r="O17" i="159"/>
  <c r="O18" i="159"/>
  <c r="O19" i="159"/>
  <c r="O20" i="159"/>
  <c r="O21" i="159"/>
  <c r="O22" i="159"/>
  <c r="O23" i="159"/>
  <c r="O24" i="159"/>
  <c r="O25" i="159"/>
  <c r="O26" i="159"/>
  <c r="O27" i="159"/>
  <c r="O28" i="159"/>
  <c r="O29" i="159"/>
  <c r="O30" i="159"/>
  <c r="O31" i="159"/>
  <c r="O32" i="159"/>
  <c r="O33" i="159"/>
  <c r="O34" i="159"/>
  <c r="O35" i="159"/>
  <c r="O36" i="159"/>
  <c r="O37" i="159"/>
  <c r="O38" i="159"/>
  <c r="O39" i="159"/>
  <c r="O40" i="159"/>
  <c r="O41" i="159"/>
  <c r="O42" i="159"/>
  <c r="O43" i="159"/>
  <c r="O44" i="159"/>
  <c r="O45" i="159"/>
  <c r="O46" i="159"/>
  <c r="O47" i="159"/>
  <c r="O48" i="159"/>
  <c r="O49" i="159"/>
  <c r="O50" i="159"/>
  <c r="O51" i="159"/>
  <c r="O52" i="159"/>
  <c r="O53" i="159"/>
  <c r="O54" i="159"/>
  <c r="O55" i="159"/>
  <c r="O56" i="159"/>
  <c r="O57" i="159"/>
  <c r="O58" i="159"/>
  <c r="O59" i="159"/>
  <c r="O60" i="159"/>
  <c r="O61" i="159"/>
  <c r="O62" i="159"/>
  <c r="O63" i="159"/>
  <c r="O64" i="159"/>
  <c r="O65" i="159"/>
  <c r="O66" i="159"/>
  <c r="O67" i="159"/>
  <c r="O68" i="159"/>
  <c r="O69" i="159"/>
  <c r="O70" i="159"/>
  <c r="O71" i="159"/>
  <c r="O72" i="159"/>
  <c r="O73" i="159"/>
  <c r="O74" i="159"/>
  <c r="O75" i="159"/>
  <c r="O76" i="159"/>
  <c r="O77" i="159"/>
  <c r="O78" i="159"/>
  <c r="O79" i="159"/>
  <c r="O80" i="159"/>
  <c r="O81" i="159"/>
  <c r="O82" i="159"/>
  <c r="O83" i="159"/>
  <c r="O84" i="159"/>
  <c r="O85" i="159"/>
  <c r="O86" i="159"/>
  <c r="O87" i="159"/>
  <c r="O88" i="159"/>
  <c r="O89" i="159"/>
  <c r="O90" i="159"/>
  <c r="O91" i="159"/>
  <c r="O92" i="159"/>
  <c r="O93" i="159"/>
  <c r="O94" i="159"/>
  <c r="O95" i="159"/>
  <c r="O96" i="159"/>
  <c r="O97" i="159"/>
  <c r="O98" i="159"/>
  <c r="O99" i="159"/>
  <c r="O100" i="159"/>
  <c r="O101" i="159"/>
  <c r="O102" i="159"/>
  <c r="O103" i="159"/>
  <c r="O104" i="159"/>
  <c r="O105" i="159"/>
  <c r="O106" i="159"/>
  <c r="O107" i="159"/>
  <c r="O108" i="159"/>
  <c r="O109" i="159"/>
  <c r="O110" i="159"/>
  <c r="O111" i="159"/>
  <c r="O112" i="159"/>
  <c r="O113" i="159"/>
  <c r="O114" i="159"/>
  <c r="O115" i="159"/>
  <c r="O116" i="159"/>
  <c r="O117" i="159"/>
  <c r="O118" i="159"/>
  <c r="O119" i="159"/>
  <c r="O120" i="159"/>
  <c r="O121" i="159"/>
  <c r="O122" i="159"/>
  <c r="O123" i="159"/>
  <c r="O124" i="159"/>
  <c r="U17" i="158"/>
  <c r="U18" i="158"/>
  <c r="U19" i="158"/>
  <c r="U20" i="158"/>
  <c r="U21" i="158"/>
  <c r="U22" i="158"/>
  <c r="U23" i="158"/>
  <c r="U24" i="158"/>
  <c r="U25" i="158"/>
  <c r="U26" i="158"/>
  <c r="U27" i="158"/>
  <c r="U28" i="158"/>
  <c r="U29" i="158"/>
  <c r="U30" i="158"/>
  <c r="U31" i="158"/>
  <c r="U32" i="158"/>
  <c r="U33" i="158"/>
  <c r="U34" i="158"/>
  <c r="U35" i="158"/>
  <c r="U36" i="158"/>
  <c r="U37" i="158"/>
  <c r="U38" i="158"/>
  <c r="U39" i="158"/>
  <c r="U40" i="158"/>
  <c r="U41" i="158"/>
  <c r="U42" i="158"/>
  <c r="U43" i="158"/>
  <c r="U44" i="158"/>
  <c r="U45" i="158"/>
  <c r="U46" i="158"/>
  <c r="U47" i="158"/>
  <c r="U48" i="158"/>
  <c r="U49" i="158"/>
  <c r="U50" i="158"/>
  <c r="U51" i="158"/>
  <c r="U52" i="158"/>
  <c r="U53" i="158"/>
  <c r="U54" i="158"/>
  <c r="U55" i="158"/>
  <c r="U56" i="158"/>
  <c r="U57" i="158"/>
  <c r="U58" i="158"/>
  <c r="U59" i="158"/>
  <c r="U60" i="158"/>
  <c r="U61" i="158"/>
  <c r="U62" i="158"/>
  <c r="U63" i="158"/>
  <c r="U64" i="158"/>
  <c r="U65" i="158"/>
  <c r="U66" i="158"/>
  <c r="U67" i="158"/>
  <c r="U68" i="158"/>
  <c r="U69" i="158"/>
  <c r="U70" i="158"/>
  <c r="U71" i="158"/>
  <c r="U72" i="158"/>
  <c r="U73" i="158"/>
  <c r="U74" i="158"/>
  <c r="U75" i="158"/>
  <c r="U76" i="158"/>
  <c r="U77" i="158"/>
  <c r="U78" i="158"/>
  <c r="U79" i="158"/>
  <c r="U80" i="158"/>
  <c r="U81" i="158"/>
  <c r="U82" i="158"/>
  <c r="U83" i="158"/>
  <c r="U84" i="158"/>
  <c r="U85" i="158"/>
  <c r="U86" i="158"/>
  <c r="U87" i="158"/>
  <c r="U88" i="158"/>
  <c r="U89" i="158"/>
  <c r="U90" i="158"/>
  <c r="U91" i="158"/>
  <c r="U92" i="158"/>
  <c r="U93" i="158"/>
  <c r="U94" i="158"/>
  <c r="U95" i="158"/>
  <c r="U96" i="158"/>
  <c r="U97" i="158"/>
  <c r="U98" i="158"/>
  <c r="U99" i="158"/>
  <c r="U100" i="158"/>
  <c r="U101" i="158"/>
  <c r="U102" i="158"/>
  <c r="U103" i="158"/>
  <c r="U104" i="158"/>
  <c r="U105" i="158"/>
  <c r="U106" i="158"/>
  <c r="U107" i="158"/>
  <c r="U108" i="158"/>
  <c r="U109" i="158"/>
  <c r="U110" i="158"/>
  <c r="U111" i="158"/>
  <c r="U112" i="158"/>
  <c r="U113" i="158"/>
  <c r="U114" i="158"/>
  <c r="U115" i="158"/>
  <c r="U116" i="158"/>
  <c r="U117" i="158"/>
  <c r="U118" i="158"/>
  <c r="U119" i="158"/>
  <c r="U120" i="158"/>
  <c r="U121" i="158"/>
  <c r="U122" i="158"/>
  <c r="U123" i="158"/>
  <c r="U124" i="158"/>
  <c r="U125" i="158"/>
  <c r="H17" i="158"/>
  <c r="H18" i="158"/>
  <c r="H19" i="158"/>
  <c r="H20" i="158"/>
  <c r="O17" i="158"/>
  <c r="O18" i="158"/>
  <c r="O19" i="158"/>
  <c r="O20" i="158"/>
  <c r="H21" i="158"/>
  <c r="H22" i="158"/>
  <c r="H23" i="158"/>
  <c r="H24" i="158"/>
  <c r="O21" i="158"/>
  <c r="O22" i="158"/>
  <c r="O23" i="158"/>
  <c r="O24" i="158"/>
  <c r="H25" i="158"/>
  <c r="H26" i="158"/>
  <c r="H27" i="158"/>
  <c r="H28" i="158"/>
  <c r="O25" i="158"/>
  <c r="O26" i="158"/>
  <c r="O27" i="158"/>
  <c r="O28" i="158"/>
  <c r="H29" i="158"/>
  <c r="H30" i="158"/>
  <c r="H31" i="158"/>
  <c r="H32" i="158"/>
  <c r="O29" i="158"/>
  <c r="O30" i="158"/>
  <c r="O31" i="158"/>
  <c r="O32" i="158"/>
  <c r="H33" i="158"/>
  <c r="H34" i="158"/>
  <c r="H35" i="158"/>
  <c r="H36" i="158"/>
  <c r="O33" i="158"/>
  <c r="O34" i="158"/>
  <c r="O35" i="158"/>
  <c r="O36" i="158"/>
  <c r="H37" i="158"/>
  <c r="H38" i="158"/>
  <c r="H39" i="158"/>
  <c r="H40" i="158"/>
  <c r="O37" i="158"/>
  <c r="O38" i="158"/>
  <c r="O39" i="158"/>
  <c r="O40" i="158"/>
  <c r="H41" i="158"/>
  <c r="H42" i="158"/>
  <c r="H43" i="158"/>
  <c r="H44" i="158"/>
  <c r="O41" i="158"/>
  <c r="O42" i="158"/>
  <c r="O43" i="158"/>
  <c r="O44" i="158"/>
  <c r="H45" i="158"/>
  <c r="H46" i="158"/>
  <c r="H47" i="158"/>
  <c r="H48" i="158"/>
  <c r="O45" i="158"/>
  <c r="O46" i="158"/>
  <c r="O47" i="158"/>
  <c r="O48" i="158"/>
  <c r="H49" i="158"/>
  <c r="H50" i="158"/>
  <c r="H51" i="158"/>
  <c r="H52" i="158"/>
  <c r="O49" i="158"/>
  <c r="O50" i="158"/>
  <c r="O51" i="158"/>
  <c r="O52" i="158"/>
  <c r="H53" i="158"/>
  <c r="H54" i="158"/>
  <c r="H55" i="158"/>
  <c r="H56" i="158"/>
  <c r="O53" i="158"/>
  <c r="O54" i="158"/>
  <c r="O55" i="158"/>
  <c r="O56" i="158"/>
  <c r="H57" i="158"/>
  <c r="H58" i="158"/>
  <c r="H59" i="158"/>
  <c r="H60" i="158"/>
  <c r="O57" i="158"/>
  <c r="O58" i="158"/>
  <c r="O59" i="158"/>
  <c r="O60" i="158"/>
  <c r="H61" i="158"/>
  <c r="H62" i="158"/>
  <c r="H63" i="158"/>
  <c r="H64" i="158"/>
  <c r="O61" i="158"/>
  <c r="O62" i="158"/>
  <c r="O63" i="158"/>
  <c r="O64" i="158"/>
  <c r="H65" i="158"/>
  <c r="H66" i="158"/>
  <c r="H67" i="158"/>
  <c r="H68" i="158"/>
  <c r="O65" i="158"/>
  <c r="O66" i="158"/>
  <c r="O67" i="158"/>
  <c r="O68" i="158"/>
  <c r="H69" i="158"/>
  <c r="H70" i="158"/>
  <c r="H71" i="158"/>
  <c r="H72" i="158"/>
  <c r="O69" i="158"/>
  <c r="O70" i="158"/>
  <c r="O71" i="158"/>
  <c r="O72" i="158"/>
  <c r="H73" i="158"/>
  <c r="H74" i="158"/>
  <c r="H75" i="158"/>
  <c r="H76" i="158"/>
  <c r="O73" i="158"/>
  <c r="O74" i="158"/>
  <c r="O75" i="158"/>
  <c r="O76" i="158"/>
  <c r="H77" i="158"/>
  <c r="H78" i="158"/>
  <c r="H79" i="158"/>
  <c r="H80" i="158"/>
  <c r="O77" i="158"/>
  <c r="O78" i="158"/>
  <c r="O79" i="158"/>
  <c r="O80" i="158"/>
  <c r="H81" i="158"/>
  <c r="H82" i="158"/>
  <c r="H83" i="158"/>
  <c r="H84" i="158"/>
  <c r="O81" i="158"/>
  <c r="O82" i="158"/>
  <c r="O83" i="158"/>
  <c r="O84" i="158"/>
  <c r="H85" i="158"/>
  <c r="H86" i="158"/>
  <c r="H87" i="158"/>
  <c r="H88" i="158"/>
  <c r="O85" i="158"/>
  <c r="O86" i="158"/>
  <c r="O87" i="158"/>
  <c r="O88" i="158"/>
  <c r="H89" i="158"/>
  <c r="H90" i="158"/>
  <c r="H91" i="158"/>
  <c r="H92" i="158"/>
  <c r="O89" i="158"/>
  <c r="O90" i="158"/>
  <c r="O91" i="158"/>
  <c r="O92" i="158"/>
  <c r="H93" i="158"/>
  <c r="H94" i="158"/>
  <c r="H95" i="158"/>
  <c r="H96" i="158"/>
  <c r="O93" i="158"/>
  <c r="O94" i="158"/>
  <c r="O95" i="158"/>
  <c r="O96" i="158"/>
  <c r="H97" i="158"/>
  <c r="H98" i="158"/>
  <c r="H99" i="158"/>
  <c r="H100" i="158"/>
  <c r="O97" i="158"/>
  <c r="O98" i="158"/>
  <c r="O99" i="158"/>
  <c r="O100" i="158"/>
  <c r="H101" i="158"/>
  <c r="H102" i="158"/>
  <c r="H103" i="158"/>
  <c r="H104" i="158"/>
  <c r="O101" i="158"/>
  <c r="O102" i="158"/>
  <c r="O103" i="158"/>
  <c r="O104" i="158"/>
  <c r="H105" i="158"/>
  <c r="H106" i="158"/>
  <c r="H107" i="158"/>
  <c r="H108" i="158"/>
  <c r="O105" i="158"/>
  <c r="O106" i="158"/>
  <c r="O107" i="158"/>
  <c r="O108" i="158"/>
  <c r="H109" i="158"/>
  <c r="H110" i="158"/>
  <c r="H111" i="158"/>
  <c r="H112" i="158"/>
  <c r="O109" i="158"/>
  <c r="O110" i="158"/>
  <c r="O111" i="158"/>
  <c r="O112" i="158"/>
  <c r="H113" i="158"/>
  <c r="H114" i="158"/>
  <c r="H115" i="158"/>
  <c r="H116" i="158"/>
  <c r="O113" i="158"/>
  <c r="O114" i="158"/>
  <c r="O115" i="158"/>
  <c r="O116" i="158"/>
  <c r="H117" i="158"/>
  <c r="H118" i="158"/>
  <c r="H119" i="158"/>
  <c r="H120" i="158"/>
  <c r="O117" i="158"/>
  <c r="O118" i="158"/>
  <c r="O119" i="158"/>
  <c r="O120" i="158"/>
  <c r="H121" i="158"/>
  <c r="H122" i="158"/>
  <c r="H123" i="158"/>
  <c r="H124" i="158"/>
  <c r="O121" i="158"/>
  <c r="O122" i="158"/>
  <c r="O123" i="158"/>
  <c r="O124" i="158"/>
  <c r="U17" i="157"/>
  <c r="U18" i="157"/>
  <c r="U19" i="157"/>
  <c r="U20" i="157"/>
  <c r="U21" i="157"/>
  <c r="U22" i="157"/>
  <c r="U23" i="157"/>
  <c r="U24" i="157"/>
  <c r="U25" i="157"/>
  <c r="U26" i="157"/>
  <c r="U27" i="157"/>
  <c r="U28" i="157"/>
  <c r="U29" i="157"/>
  <c r="U30" i="157"/>
  <c r="U31" i="157"/>
  <c r="U32" i="157"/>
  <c r="U33" i="157"/>
  <c r="U34" i="157"/>
  <c r="U35" i="157"/>
  <c r="U36" i="157"/>
  <c r="U37" i="157"/>
  <c r="U38" i="157"/>
  <c r="U39" i="157"/>
  <c r="U40" i="157"/>
  <c r="U41" i="157"/>
  <c r="U42" i="157"/>
  <c r="U43" i="157"/>
  <c r="U44" i="157"/>
  <c r="U45" i="157"/>
  <c r="U46" i="157"/>
  <c r="U47" i="157"/>
  <c r="U48" i="157"/>
  <c r="U49" i="157"/>
  <c r="U50" i="157"/>
  <c r="U51" i="157"/>
  <c r="U52" i="157"/>
  <c r="G5" i="135"/>
  <c r="U53" i="157"/>
  <c r="U54" i="157"/>
  <c r="U55" i="157"/>
  <c r="U56" i="157"/>
  <c r="U57" i="157"/>
  <c r="U58" i="157"/>
  <c r="U59" i="157"/>
  <c r="U60" i="157"/>
  <c r="U61" i="157"/>
  <c r="U62" i="157"/>
  <c r="U63" i="157"/>
  <c r="U64" i="157"/>
  <c r="U65" i="157"/>
  <c r="U66" i="157"/>
  <c r="U67" i="157"/>
  <c r="U68" i="157"/>
  <c r="U69" i="157"/>
  <c r="U70" i="157"/>
  <c r="U71" i="157"/>
  <c r="U72" i="157"/>
  <c r="U73" i="157"/>
  <c r="U74" i="157"/>
  <c r="U75" i="157"/>
  <c r="U76" i="157"/>
  <c r="U77" i="157"/>
  <c r="U78" i="157"/>
  <c r="U79" i="157"/>
  <c r="U80" i="157"/>
  <c r="U81" i="157"/>
  <c r="U82" i="157"/>
  <c r="U83" i="157"/>
  <c r="U84" i="157"/>
  <c r="U85" i="157"/>
  <c r="U86" i="157"/>
  <c r="U87" i="157"/>
  <c r="U88" i="157"/>
  <c r="U89" i="157"/>
  <c r="U90" i="157"/>
  <c r="U91" i="157"/>
  <c r="U92" i="157"/>
  <c r="U93" i="157"/>
  <c r="U94" i="157"/>
  <c r="U95" i="157"/>
  <c r="U96" i="157"/>
  <c r="U97" i="157"/>
  <c r="U98" i="157"/>
  <c r="U99" i="157"/>
  <c r="U100" i="157"/>
  <c r="U101" i="157"/>
  <c r="U102" i="157"/>
  <c r="U103" i="157"/>
  <c r="U104" i="157"/>
  <c r="U105" i="157"/>
  <c r="U106" i="157"/>
  <c r="U107" i="157"/>
  <c r="U108" i="157"/>
  <c r="U109" i="157"/>
  <c r="U110" i="157"/>
  <c r="U111" i="157"/>
  <c r="U112" i="157"/>
  <c r="U113" i="157"/>
  <c r="U114" i="157"/>
  <c r="U115" i="157"/>
  <c r="U116" i="157"/>
  <c r="U117" i="157"/>
  <c r="U118" i="157"/>
  <c r="U119" i="157"/>
  <c r="U120" i="157"/>
  <c r="U121" i="157"/>
  <c r="U122" i="157"/>
  <c r="U123" i="157"/>
  <c r="U124" i="157"/>
  <c r="O17" i="157"/>
  <c r="O18" i="157"/>
  <c r="O19" i="157"/>
  <c r="O20" i="157"/>
  <c r="O21" i="157"/>
  <c r="O22" i="157"/>
  <c r="O23" i="157"/>
  <c r="O24" i="157"/>
  <c r="O25" i="157"/>
  <c r="O26" i="157"/>
  <c r="O27" i="157"/>
  <c r="O28" i="157"/>
  <c r="O29" i="157"/>
  <c r="O30" i="157"/>
  <c r="O31" i="157"/>
  <c r="O32" i="157"/>
  <c r="O33" i="157"/>
  <c r="O34" i="157"/>
  <c r="O35" i="157"/>
  <c r="O36" i="157"/>
  <c r="O37" i="157"/>
  <c r="O38" i="157"/>
  <c r="O39" i="157"/>
  <c r="O40" i="157"/>
  <c r="O41" i="157"/>
  <c r="O42" i="157"/>
  <c r="O43" i="157"/>
  <c r="O44" i="157"/>
  <c r="O45" i="157"/>
  <c r="O46" i="157"/>
  <c r="O47" i="157"/>
  <c r="O48" i="157"/>
  <c r="O49" i="157"/>
  <c r="O50" i="157"/>
  <c r="O51" i="157"/>
  <c r="O52" i="157"/>
  <c r="O53" i="157"/>
  <c r="O54" i="157"/>
  <c r="O55" i="157"/>
  <c r="O56" i="157"/>
  <c r="O57" i="157"/>
  <c r="O58" i="157"/>
  <c r="O59" i="157"/>
  <c r="O60" i="157"/>
  <c r="O61" i="157"/>
  <c r="O62" i="157"/>
  <c r="O63" i="157"/>
  <c r="O64" i="157"/>
  <c r="O65" i="157"/>
  <c r="O66" i="157"/>
  <c r="O67" i="157"/>
  <c r="O68" i="157"/>
  <c r="O69" i="157"/>
  <c r="O70" i="157"/>
  <c r="O71" i="157"/>
  <c r="O72" i="157"/>
  <c r="O73" i="157"/>
  <c r="O74" i="157"/>
  <c r="O75" i="157"/>
  <c r="O76" i="157"/>
  <c r="O77" i="157"/>
  <c r="O78" i="157"/>
  <c r="O79" i="157"/>
  <c r="O80" i="157"/>
  <c r="O81" i="157"/>
  <c r="O82" i="157"/>
  <c r="O83" i="157"/>
  <c r="O84" i="157"/>
  <c r="O85" i="157"/>
  <c r="O86" i="157"/>
  <c r="O87" i="157"/>
  <c r="O88" i="157"/>
  <c r="O89" i="157"/>
  <c r="O90" i="157"/>
  <c r="O91" i="157"/>
  <c r="O92" i="157"/>
  <c r="O93" i="157"/>
  <c r="O94" i="157"/>
  <c r="O95" i="157"/>
  <c r="O96" i="157"/>
  <c r="O97" i="157"/>
  <c r="O98" i="157"/>
  <c r="O99" i="157"/>
  <c r="O100" i="157"/>
  <c r="O101" i="157"/>
  <c r="O102" i="157"/>
  <c r="O103" i="157"/>
  <c r="O104" i="157"/>
  <c r="O105" i="157"/>
  <c r="O106" i="157"/>
  <c r="O107" i="157"/>
  <c r="O108" i="157"/>
  <c r="O109" i="157"/>
  <c r="O110" i="157"/>
  <c r="O111" i="157"/>
  <c r="O112" i="157"/>
  <c r="O113" i="157"/>
  <c r="O114" i="157"/>
  <c r="O115" i="157"/>
  <c r="O116" i="157"/>
  <c r="O117" i="157"/>
  <c r="O118" i="157"/>
  <c r="O119" i="157"/>
  <c r="O120" i="157"/>
  <c r="O121" i="157"/>
  <c r="O122" i="157"/>
  <c r="O123" i="157"/>
  <c r="O124" i="157"/>
  <c r="Y8" i="135"/>
  <c r="G8" i="135"/>
  <c r="Y7" i="135"/>
  <c r="Y6" i="135"/>
  <c r="Y5" i="135"/>
  <c r="Y4" i="135"/>
  <c r="H9" i="159"/>
  <c r="H10" i="159"/>
  <c r="H11" i="159"/>
  <c r="H12" i="159"/>
  <c r="H13" i="159"/>
  <c r="H14" i="159"/>
  <c r="H15" i="159"/>
  <c r="H16" i="159"/>
  <c r="H17" i="159"/>
  <c r="H18" i="159"/>
  <c r="H19" i="159"/>
  <c r="H20" i="159"/>
  <c r="H21" i="159"/>
  <c r="H22" i="159"/>
  <c r="H23" i="159"/>
  <c r="H24" i="159"/>
  <c r="H25" i="159"/>
  <c r="H26" i="159"/>
  <c r="H27" i="159"/>
  <c r="H28" i="159"/>
  <c r="H29" i="159"/>
  <c r="H30" i="159"/>
  <c r="H31" i="159"/>
  <c r="H32" i="159"/>
  <c r="H33" i="159"/>
  <c r="H34" i="159"/>
  <c r="H35" i="159"/>
  <c r="H36" i="159"/>
  <c r="H37" i="159"/>
  <c r="H38" i="159"/>
  <c r="H39" i="159"/>
  <c r="H40" i="159"/>
  <c r="H41" i="159"/>
  <c r="H42" i="159"/>
  <c r="H43" i="159"/>
  <c r="H44" i="159"/>
  <c r="H45" i="159"/>
  <c r="H46" i="159"/>
  <c r="H47" i="159"/>
  <c r="H48" i="159"/>
  <c r="H49" i="159"/>
  <c r="H50" i="159"/>
  <c r="H51" i="159"/>
  <c r="H52" i="159"/>
  <c r="H53" i="159"/>
  <c r="H54" i="159"/>
  <c r="H55" i="159"/>
  <c r="H56" i="159"/>
  <c r="H57" i="159"/>
  <c r="H58" i="159"/>
  <c r="H59" i="159"/>
  <c r="H60" i="159"/>
  <c r="H61" i="159"/>
  <c r="H62" i="159"/>
  <c r="H63" i="159"/>
  <c r="H64" i="159"/>
  <c r="H65" i="159"/>
  <c r="H66" i="159"/>
  <c r="H67" i="159"/>
  <c r="H68" i="159"/>
  <c r="H69" i="159"/>
  <c r="H70" i="159"/>
  <c r="H71" i="159"/>
  <c r="H72" i="159"/>
  <c r="H73" i="159"/>
  <c r="H74" i="159"/>
  <c r="H75" i="159"/>
  <c r="H76" i="159"/>
  <c r="H77" i="159"/>
  <c r="H78" i="159"/>
  <c r="H79" i="159"/>
  <c r="H80" i="159"/>
  <c r="H81" i="159"/>
  <c r="H82" i="159"/>
  <c r="H83" i="159"/>
  <c r="H84" i="159"/>
  <c r="H85" i="159"/>
  <c r="H86" i="159"/>
  <c r="H87" i="159"/>
  <c r="H88" i="159"/>
  <c r="H89" i="159"/>
  <c r="H90" i="159"/>
  <c r="H91" i="159"/>
  <c r="H92" i="159"/>
  <c r="H93" i="159"/>
  <c r="H94" i="159"/>
  <c r="H95" i="159"/>
  <c r="H96" i="159"/>
  <c r="H97" i="159"/>
  <c r="H98" i="159"/>
  <c r="H99" i="159"/>
  <c r="H100" i="159"/>
  <c r="H101" i="159"/>
  <c r="H102" i="159"/>
  <c r="H103" i="159"/>
  <c r="H104" i="159"/>
  <c r="H105" i="159"/>
  <c r="H106" i="159"/>
  <c r="H107" i="159"/>
  <c r="H108" i="159"/>
  <c r="H109" i="159"/>
  <c r="H110" i="159"/>
  <c r="H111" i="159"/>
  <c r="H112" i="159"/>
  <c r="H113" i="159"/>
  <c r="H114" i="159"/>
  <c r="H115" i="159"/>
  <c r="H116" i="159"/>
  <c r="H117" i="159"/>
  <c r="H118" i="159"/>
  <c r="H119" i="159"/>
  <c r="H120" i="159"/>
  <c r="H121" i="159"/>
  <c r="H122" i="159"/>
  <c r="H123" i="159"/>
  <c r="H124" i="159"/>
  <c r="H9" i="157"/>
  <c r="H10" i="157"/>
  <c r="H11" i="157"/>
  <c r="H12" i="157"/>
  <c r="H13" i="157"/>
  <c r="H14" i="157"/>
  <c r="H15" i="157"/>
  <c r="H16" i="157"/>
  <c r="H17" i="157"/>
  <c r="H18" i="157"/>
  <c r="H19" i="157"/>
  <c r="H20" i="157"/>
  <c r="H21" i="157"/>
  <c r="H22" i="157"/>
  <c r="H23" i="157"/>
  <c r="H24" i="157"/>
  <c r="H25" i="157"/>
  <c r="H26" i="157"/>
  <c r="H27" i="157"/>
  <c r="H28" i="157"/>
  <c r="H29" i="157"/>
  <c r="H30" i="157"/>
  <c r="H31" i="157"/>
  <c r="H32" i="157"/>
  <c r="H33" i="157"/>
  <c r="H34" i="157"/>
  <c r="H35" i="157"/>
  <c r="H36" i="157"/>
  <c r="H37" i="157"/>
  <c r="H38" i="157"/>
  <c r="H39" i="157"/>
  <c r="H40" i="157"/>
  <c r="H41" i="157"/>
  <c r="H42" i="157"/>
  <c r="H43" i="157"/>
  <c r="H44" i="157"/>
  <c r="H45" i="157"/>
  <c r="H46" i="157"/>
  <c r="H47" i="157"/>
  <c r="H48" i="157"/>
  <c r="H49" i="157"/>
  <c r="H50" i="157"/>
  <c r="H51" i="157"/>
  <c r="H52" i="157"/>
  <c r="H53" i="157"/>
  <c r="H54" i="157"/>
  <c r="H55" i="157"/>
  <c r="H56" i="157"/>
  <c r="H57" i="157"/>
  <c r="H58" i="157"/>
  <c r="H59" i="157"/>
  <c r="H60" i="157"/>
  <c r="H61" i="157"/>
  <c r="H62" i="157"/>
  <c r="H63" i="157"/>
  <c r="H64" i="157"/>
  <c r="H65" i="157"/>
  <c r="H66" i="157"/>
  <c r="H67" i="157"/>
  <c r="H68" i="157"/>
  <c r="H69" i="157"/>
  <c r="H70" i="157"/>
  <c r="H71" i="157"/>
  <c r="H72" i="157"/>
  <c r="H73" i="157"/>
  <c r="H74" i="157"/>
  <c r="H75" i="157"/>
  <c r="H76" i="157"/>
  <c r="H77" i="157"/>
  <c r="H78" i="157"/>
  <c r="H79" i="157"/>
  <c r="H80" i="157"/>
  <c r="H81" i="157"/>
  <c r="H82" i="157"/>
  <c r="H83" i="157"/>
  <c r="H84" i="157"/>
  <c r="H85" i="157"/>
  <c r="H86" i="157"/>
  <c r="H87" i="157"/>
  <c r="H88" i="157"/>
  <c r="H89" i="157"/>
  <c r="H90" i="157"/>
  <c r="H91" i="157"/>
  <c r="H92" i="157"/>
  <c r="H93" i="157"/>
  <c r="H94" i="157"/>
  <c r="H95" i="157"/>
  <c r="H96" i="157"/>
  <c r="H97" i="157"/>
  <c r="H98" i="157"/>
  <c r="H99" i="157"/>
  <c r="H100" i="157"/>
  <c r="H101" i="157"/>
  <c r="H102" i="157"/>
  <c r="H103" i="157"/>
  <c r="H104" i="157"/>
  <c r="H105" i="157"/>
  <c r="H106" i="157"/>
  <c r="H107" i="157"/>
  <c r="H108" i="157"/>
  <c r="H109" i="157"/>
  <c r="H110" i="157"/>
  <c r="H111" i="157"/>
  <c r="H112" i="157"/>
  <c r="H113" i="157"/>
  <c r="H114" i="157"/>
  <c r="H115" i="157"/>
  <c r="H116" i="157"/>
  <c r="H117" i="157"/>
  <c r="H118" i="157"/>
  <c r="H119" i="157"/>
  <c r="H120" i="157"/>
  <c r="H121" i="157"/>
  <c r="H122" i="157"/>
  <c r="H123" i="157"/>
  <c r="H124" i="157"/>
  <c r="Y56" i="135"/>
  <c r="Y55" i="135"/>
  <c r="Y54" i="135"/>
  <c r="Y53" i="135"/>
  <c r="Y52" i="135"/>
  <c r="Y51" i="135"/>
  <c r="Y47" i="135"/>
  <c r="Y46" i="135"/>
  <c r="Y45" i="135"/>
  <c r="Y44" i="135"/>
  <c r="Y43" i="135"/>
  <c r="Y42" i="135"/>
  <c r="U9" i="155"/>
  <c r="U10" i="155"/>
  <c r="U11" i="155"/>
  <c r="U12" i="155"/>
  <c r="U13" i="155"/>
  <c r="U14" i="155"/>
  <c r="U15" i="155"/>
  <c r="U16" i="155"/>
  <c r="U17" i="155"/>
  <c r="U18" i="155"/>
  <c r="U19" i="155"/>
  <c r="U20" i="155"/>
  <c r="U21" i="155"/>
  <c r="U22" i="155"/>
  <c r="U23" i="155"/>
  <c r="U24" i="155"/>
  <c r="U25" i="155"/>
  <c r="U26" i="155"/>
  <c r="U27" i="155"/>
  <c r="U28" i="155"/>
  <c r="U29" i="155"/>
  <c r="U30" i="155"/>
  <c r="U31" i="155"/>
  <c r="U32" i="155"/>
  <c r="U33" i="155"/>
  <c r="U34" i="155"/>
  <c r="U35" i="155"/>
  <c r="U36" i="155"/>
  <c r="U37" i="155"/>
  <c r="U38" i="155"/>
  <c r="U39" i="155"/>
  <c r="U40" i="155"/>
  <c r="U41" i="155"/>
  <c r="U42" i="155"/>
  <c r="U43" i="155"/>
  <c r="U44" i="155"/>
  <c r="U45" i="155"/>
  <c r="U46" i="155"/>
  <c r="U47" i="155"/>
  <c r="U48" i="155"/>
  <c r="U49" i="155"/>
  <c r="U50" i="155"/>
  <c r="U51" i="155"/>
  <c r="U52" i="155"/>
  <c r="U53" i="155"/>
  <c r="U54" i="155"/>
  <c r="U55" i="155"/>
  <c r="U56" i="155"/>
  <c r="U57" i="155"/>
  <c r="U58" i="155"/>
  <c r="U59" i="155"/>
  <c r="U60" i="155"/>
  <c r="U61" i="155"/>
  <c r="U62" i="155"/>
  <c r="U63" i="155"/>
  <c r="U64" i="155"/>
  <c r="U65" i="155"/>
  <c r="U66" i="155"/>
  <c r="U67" i="155"/>
  <c r="U68" i="155"/>
  <c r="U69" i="155"/>
  <c r="U70" i="155"/>
  <c r="U71" i="155"/>
  <c r="U72" i="155"/>
  <c r="U73" i="155"/>
  <c r="U74" i="155"/>
  <c r="U75" i="155"/>
  <c r="U76" i="155"/>
  <c r="U77" i="155"/>
  <c r="U78" i="155"/>
  <c r="U79" i="155"/>
  <c r="U80" i="155"/>
  <c r="U81" i="155"/>
  <c r="U82" i="155"/>
  <c r="U83" i="155"/>
  <c r="U84" i="155"/>
  <c r="U85" i="155"/>
  <c r="U86" i="155"/>
  <c r="U87" i="155"/>
  <c r="U88" i="155"/>
  <c r="U89" i="155"/>
  <c r="U90" i="155"/>
  <c r="U91" i="155"/>
  <c r="U92" i="155"/>
  <c r="U93" i="155"/>
  <c r="U94" i="155"/>
  <c r="U95" i="155"/>
  <c r="U96" i="155"/>
  <c r="U97" i="155"/>
  <c r="U98" i="155"/>
  <c r="U99" i="155"/>
  <c r="U100" i="155"/>
  <c r="U101" i="155"/>
  <c r="U102" i="155"/>
  <c r="U103" i="155"/>
  <c r="U104" i="155"/>
  <c r="U105" i="155"/>
  <c r="U106" i="155"/>
  <c r="U107" i="155"/>
  <c r="U108" i="155"/>
  <c r="U109" i="155"/>
  <c r="U110" i="155"/>
  <c r="U111" i="155"/>
  <c r="U112" i="155"/>
  <c r="U113" i="155"/>
  <c r="U114" i="155"/>
  <c r="U115" i="155"/>
  <c r="U116" i="155"/>
  <c r="U117" i="155"/>
  <c r="U118" i="155"/>
  <c r="U119" i="155"/>
  <c r="U120" i="155"/>
  <c r="U121" i="155"/>
  <c r="U122" i="155"/>
  <c r="U123" i="155"/>
  <c r="U124" i="155"/>
  <c r="U125" i="155"/>
  <c r="Y41" i="135"/>
  <c r="Y40" i="135"/>
  <c r="Y39" i="135"/>
  <c r="Y38" i="135"/>
  <c r="Y37" i="135"/>
  <c r="Y36" i="135"/>
  <c r="Y35" i="135"/>
  <c r="Y31" i="135"/>
  <c r="Y30" i="135"/>
  <c r="Y29" i="135"/>
  <c r="Y28" i="135"/>
  <c r="Y27" i="135"/>
  <c r="Y26" i="135"/>
  <c r="U9" i="156"/>
  <c r="U10" i="156"/>
  <c r="U11" i="156"/>
  <c r="U12" i="156"/>
  <c r="U13" i="156"/>
  <c r="U14" i="156"/>
  <c r="U15" i="156"/>
  <c r="U16" i="156"/>
  <c r="U17" i="156"/>
  <c r="U18" i="156"/>
  <c r="U19" i="156"/>
  <c r="U20" i="156"/>
  <c r="U21" i="156"/>
  <c r="U22" i="156"/>
  <c r="U23" i="156"/>
  <c r="U24" i="156"/>
  <c r="U25" i="156"/>
  <c r="U26" i="156"/>
  <c r="U27" i="156"/>
  <c r="U28" i="156"/>
  <c r="U29" i="156"/>
  <c r="U30" i="156"/>
  <c r="U31" i="156"/>
  <c r="U32" i="156"/>
  <c r="U33" i="156"/>
  <c r="U34" i="156"/>
  <c r="U35" i="156"/>
  <c r="U36" i="156"/>
  <c r="U37" i="156"/>
  <c r="U38" i="156"/>
  <c r="U39" i="156"/>
  <c r="U40" i="156"/>
  <c r="U41" i="156"/>
  <c r="U42" i="156"/>
  <c r="U43" i="156"/>
  <c r="U44" i="156"/>
  <c r="U45" i="156"/>
  <c r="U46" i="156"/>
  <c r="U47" i="156"/>
  <c r="U48" i="156"/>
  <c r="U49" i="156"/>
  <c r="U50" i="156"/>
  <c r="U51" i="156"/>
  <c r="U52" i="156"/>
  <c r="U53" i="156"/>
  <c r="U54" i="156"/>
  <c r="U55" i="156"/>
  <c r="U56" i="156"/>
  <c r="U57" i="156"/>
  <c r="U58" i="156"/>
  <c r="U59" i="156"/>
  <c r="U60" i="156"/>
  <c r="U61" i="156"/>
  <c r="U62" i="156"/>
  <c r="U63" i="156"/>
  <c r="U64" i="156"/>
  <c r="U65" i="156"/>
  <c r="U66" i="156"/>
  <c r="U67" i="156"/>
  <c r="U68" i="156"/>
  <c r="U69" i="156"/>
  <c r="U70" i="156"/>
  <c r="U71" i="156"/>
  <c r="U72" i="156"/>
  <c r="U73" i="156"/>
  <c r="U74" i="156"/>
  <c r="U75" i="156"/>
  <c r="U76" i="156"/>
  <c r="U77" i="156"/>
  <c r="U78" i="156"/>
  <c r="U79" i="156"/>
  <c r="U80" i="156"/>
  <c r="U81" i="156"/>
  <c r="U82" i="156"/>
  <c r="U83" i="156"/>
  <c r="U84" i="156"/>
  <c r="U85" i="156"/>
  <c r="U86" i="156"/>
  <c r="U87" i="156"/>
  <c r="U88" i="156"/>
  <c r="U89" i="156"/>
  <c r="U90" i="156"/>
  <c r="U91" i="156"/>
  <c r="U92" i="156"/>
  <c r="U93" i="156"/>
  <c r="U94" i="156"/>
  <c r="U95" i="156"/>
  <c r="U96" i="156"/>
  <c r="U97" i="156"/>
  <c r="U98" i="156"/>
  <c r="U99" i="156"/>
  <c r="U100" i="156"/>
  <c r="U101" i="156"/>
  <c r="U102" i="156"/>
  <c r="U103" i="156"/>
  <c r="U104" i="156"/>
  <c r="U105" i="156"/>
  <c r="U106" i="156"/>
  <c r="U107" i="156"/>
  <c r="U108" i="156"/>
  <c r="U109" i="156"/>
  <c r="U110" i="156"/>
  <c r="U111" i="156"/>
  <c r="U112" i="156"/>
  <c r="U113" i="156"/>
  <c r="U114" i="156"/>
  <c r="U115" i="156"/>
  <c r="U116" i="156"/>
  <c r="U117" i="156"/>
  <c r="U118" i="156"/>
  <c r="U119" i="156"/>
  <c r="U120" i="156"/>
  <c r="U121" i="156"/>
  <c r="U122" i="156"/>
  <c r="U123" i="156"/>
  <c r="U124" i="156"/>
  <c r="U125" i="156"/>
  <c r="Y25" i="135"/>
  <c r="Y24" i="135"/>
  <c r="Y23" i="135"/>
  <c r="Y22" i="135"/>
  <c r="Y21" i="135"/>
  <c r="Y20" i="135"/>
  <c r="Y19" i="135"/>
  <c r="H9" i="155"/>
  <c r="H10" i="155"/>
  <c r="H11" i="155"/>
  <c r="H12" i="155"/>
  <c r="O9" i="155"/>
  <c r="O10" i="155"/>
  <c r="O11" i="155"/>
  <c r="O12" i="155"/>
  <c r="H13" i="155"/>
  <c r="H14" i="155"/>
  <c r="H15" i="155"/>
  <c r="H16" i="155"/>
  <c r="O13" i="155"/>
  <c r="O14" i="155"/>
  <c r="O15" i="155"/>
  <c r="O16" i="155"/>
  <c r="H17" i="155"/>
  <c r="H18" i="155"/>
  <c r="H19" i="155"/>
  <c r="H20" i="155"/>
  <c r="O17" i="155"/>
  <c r="O18" i="155"/>
  <c r="O19" i="155"/>
  <c r="O20" i="155"/>
  <c r="H21" i="155"/>
  <c r="H22" i="155"/>
  <c r="H23" i="155"/>
  <c r="H24" i="155"/>
  <c r="O21" i="155"/>
  <c r="O22" i="155"/>
  <c r="O23" i="155"/>
  <c r="O24" i="155"/>
  <c r="H25" i="155"/>
  <c r="H26" i="155"/>
  <c r="H27" i="155"/>
  <c r="H28" i="155"/>
  <c r="O25" i="155"/>
  <c r="O26" i="155"/>
  <c r="O27" i="155"/>
  <c r="O28" i="155"/>
  <c r="H29" i="155"/>
  <c r="H30" i="155"/>
  <c r="H31" i="155"/>
  <c r="H32" i="155"/>
  <c r="O29" i="155"/>
  <c r="O30" i="155"/>
  <c r="O31" i="155"/>
  <c r="O32" i="155"/>
  <c r="H33" i="155"/>
  <c r="H34" i="155"/>
  <c r="H35" i="155"/>
  <c r="H36" i="155"/>
  <c r="O33" i="155"/>
  <c r="O34" i="155"/>
  <c r="O35" i="155"/>
  <c r="O36" i="155"/>
  <c r="H37" i="155"/>
  <c r="H38" i="155"/>
  <c r="H39" i="155"/>
  <c r="H40" i="155"/>
  <c r="O37" i="155"/>
  <c r="O38" i="155"/>
  <c r="O39" i="155"/>
  <c r="O40" i="155"/>
  <c r="H41" i="155"/>
  <c r="H42" i="155"/>
  <c r="H43" i="155"/>
  <c r="H44" i="155"/>
  <c r="O41" i="155"/>
  <c r="O42" i="155"/>
  <c r="O43" i="155"/>
  <c r="O44" i="155"/>
  <c r="H45" i="155"/>
  <c r="H46" i="155"/>
  <c r="H47" i="155"/>
  <c r="H48" i="155"/>
  <c r="O45" i="155"/>
  <c r="O46" i="155"/>
  <c r="O47" i="155"/>
  <c r="O48" i="155"/>
  <c r="H49" i="155"/>
  <c r="H50" i="155"/>
  <c r="H51" i="155"/>
  <c r="H52" i="155"/>
  <c r="O49" i="155"/>
  <c r="O50" i="155"/>
  <c r="O51" i="155"/>
  <c r="O52" i="155"/>
  <c r="H53" i="155"/>
  <c r="H54" i="155"/>
  <c r="H55" i="155"/>
  <c r="H56" i="155"/>
  <c r="O53" i="155"/>
  <c r="O54" i="155"/>
  <c r="O55" i="155"/>
  <c r="O56" i="155"/>
  <c r="H57" i="155"/>
  <c r="H58" i="155"/>
  <c r="H59" i="155"/>
  <c r="H60" i="155"/>
  <c r="O57" i="155"/>
  <c r="O58" i="155"/>
  <c r="O59" i="155"/>
  <c r="O60" i="155"/>
  <c r="H61" i="155"/>
  <c r="H62" i="155"/>
  <c r="H63" i="155"/>
  <c r="H64" i="155"/>
  <c r="O61" i="155"/>
  <c r="O62" i="155"/>
  <c r="O63" i="155"/>
  <c r="O64" i="155"/>
  <c r="H65" i="155"/>
  <c r="H66" i="155"/>
  <c r="H67" i="155"/>
  <c r="H68" i="155"/>
  <c r="O65" i="155"/>
  <c r="O66" i="155"/>
  <c r="O67" i="155"/>
  <c r="O68" i="155"/>
  <c r="H69" i="155"/>
  <c r="H70" i="155"/>
  <c r="H71" i="155"/>
  <c r="H72" i="155"/>
  <c r="O69" i="155"/>
  <c r="O70" i="155"/>
  <c r="O71" i="155"/>
  <c r="O72" i="155"/>
  <c r="H73" i="155"/>
  <c r="H74" i="155"/>
  <c r="H75" i="155"/>
  <c r="H76" i="155"/>
  <c r="O73" i="155"/>
  <c r="O74" i="155"/>
  <c r="O75" i="155"/>
  <c r="O76" i="155"/>
  <c r="H77" i="155"/>
  <c r="H78" i="155"/>
  <c r="H79" i="155"/>
  <c r="H80" i="155"/>
  <c r="O77" i="155"/>
  <c r="O78" i="155"/>
  <c r="O79" i="155"/>
  <c r="O80" i="155"/>
  <c r="H81" i="155"/>
  <c r="H82" i="155"/>
  <c r="H83" i="155"/>
  <c r="H84" i="155"/>
  <c r="O81" i="155"/>
  <c r="O82" i="155"/>
  <c r="O83" i="155"/>
  <c r="O84" i="155"/>
  <c r="H85" i="155"/>
  <c r="H86" i="155"/>
  <c r="H87" i="155"/>
  <c r="H88" i="155"/>
  <c r="O85" i="155"/>
  <c r="O86" i="155"/>
  <c r="O87" i="155"/>
  <c r="O88" i="155"/>
  <c r="H89" i="155"/>
  <c r="H90" i="155"/>
  <c r="H91" i="155"/>
  <c r="H92" i="155"/>
  <c r="O89" i="155"/>
  <c r="O90" i="155"/>
  <c r="O91" i="155"/>
  <c r="O92" i="155"/>
  <c r="H93" i="155"/>
  <c r="H94" i="155"/>
  <c r="H95" i="155"/>
  <c r="H96" i="155"/>
  <c r="O93" i="155"/>
  <c r="O94" i="155"/>
  <c r="O95" i="155"/>
  <c r="O96" i="155"/>
  <c r="H97" i="155"/>
  <c r="H98" i="155"/>
  <c r="H99" i="155"/>
  <c r="H100" i="155"/>
  <c r="O97" i="155"/>
  <c r="O98" i="155"/>
  <c r="O99" i="155"/>
  <c r="O100" i="155"/>
  <c r="H101" i="155"/>
  <c r="H102" i="155"/>
  <c r="H103" i="155"/>
  <c r="H104" i="155"/>
  <c r="O101" i="155"/>
  <c r="O102" i="155"/>
  <c r="O103" i="155"/>
  <c r="O104" i="155"/>
  <c r="H105" i="155"/>
  <c r="H106" i="155"/>
  <c r="H107" i="155"/>
  <c r="H108" i="155"/>
  <c r="O105" i="155"/>
  <c r="O106" i="155"/>
  <c r="O107" i="155"/>
  <c r="O108" i="155"/>
  <c r="H109" i="155"/>
  <c r="H110" i="155"/>
  <c r="H111" i="155"/>
  <c r="H112" i="155"/>
  <c r="O109" i="155"/>
  <c r="O110" i="155"/>
  <c r="O111" i="155"/>
  <c r="O112" i="155"/>
  <c r="H113" i="155"/>
  <c r="H114" i="155"/>
  <c r="H115" i="155"/>
  <c r="H116" i="155"/>
  <c r="O113" i="155"/>
  <c r="O114" i="155"/>
  <c r="O115" i="155"/>
  <c r="O116" i="155"/>
  <c r="H117" i="155"/>
  <c r="H118" i="155"/>
  <c r="H119" i="155"/>
  <c r="H120" i="155"/>
  <c r="O117" i="155"/>
  <c r="O118" i="155"/>
  <c r="O119" i="155"/>
  <c r="O120" i="155"/>
  <c r="H121" i="155"/>
  <c r="H122" i="155"/>
  <c r="H123" i="155"/>
  <c r="H124" i="155"/>
  <c r="O121" i="155"/>
  <c r="O122" i="155"/>
  <c r="O123" i="155"/>
  <c r="O124" i="155"/>
  <c r="H9" i="156"/>
  <c r="H10" i="156"/>
  <c r="H11" i="156"/>
  <c r="H12" i="156"/>
  <c r="O9" i="156"/>
  <c r="O10" i="156"/>
  <c r="O11" i="156"/>
  <c r="O12" i="156"/>
  <c r="H13" i="156"/>
  <c r="H14" i="156"/>
  <c r="H15" i="156"/>
  <c r="H16" i="156"/>
  <c r="O13" i="156"/>
  <c r="O14" i="156"/>
  <c r="O15" i="156"/>
  <c r="O16" i="156"/>
  <c r="H17" i="156"/>
  <c r="H18" i="156"/>
  <c r="H19" i="156"/>
  <c r="H20" i="156"/>
  <c r="O17" i="156"/>
  <c r="O18" i="156"/>
  <c r="O19" i="156"/>
  <c r="O20" i="156"/>
  <c r="H21" i="156"/>
  <c r="H22" i="156"/>
  <c r="H23" i="156"/>
  <c r="H24" i="156"/>
  <c r="O21" i="156"/>
  <c r="O22" i="156"/>
  <c r="O23" i="156"/>
  <c r="O24" i="156"/>
  <c r="H25" i="156"/>
  <c r="H26" i="156"/>
  <c r="H27" i="156"/>
  <c r="H28" i="156"/>
  <c r="O25" i="156"/>
  <c r="O26" i="156"/>
  <c r="O27" i="156"/>
  <c r="O28" i="156"/>
  <c r="H29" i="156"/>
  <c r="H30" i="156"/>
  <c r="H31" i="156"/>
  <c r="H32" i="156"/>
  <c r="O29" i="156"/>
  <c r="O30" i="156"/>
  <c r="O31" i="156"/>
  <c r="O32" i="156"/>
  <c r="H33" i="156"/>
  <c r="H34" i="156"/>
  <c r="H35" i="156"/>
  <c r="H36" i="156"/>
  <c r="O33" i="156"/>
  <c r="O34" i="156"/>
  <c r="O35" i="156"/>
  <c r="O36" i="156"/>
  <c r="H37" i="156"/>
  <c r="H38" i="156"/>
  <c r="H39" i="156"/>
  <c r="H40" i="156"/>
  <c r="O37" i="156"/>
  <c r="O38" i="156"/>
  <c r="O39" i="156"/>
  <c r="O40" i="156"/>
  <c r="H41" i="156"/>
  <c r="H42" i="156"/>
  <c r="H43" i="156"/>
  <c r="H44" i="156"/>
  <c r="O41" i="156"/>
  <c r="O42" i="156"/>
  <c r="O43" i="156"/>
  <c r="O44" i="156"/>
  <c r="H45" i="156"/>
  <c r="H46" i="156"/>
  <c r="H47" i="156"/>
  <c r="H48" i="156"/>
  <c r="O45" i="156"/>
  <c r="O46" i="156"/>
  <c r="O47" i="156"/>
  <c r="O48" i="156"/>
  <c r="H49" i="156"/>
  <c r="H50" i="156"/>
  <c r="H51" i="156"/>
  <c r="H52" i="156"/>
  <c r="O49" i="156"/>
  <c r="O50" i="156"/>
  <c r="O51" i="156"/>
  <c r="O52" i="156"/>
  <c r="H53" i="156"/>
  <c r="H54" i="156"/>
  <c r="H55" i="156"/>
  <c r="H56" i="156"/>
  <c r="O53" i="156"/>
  <c r="O54" i="156"/>
  <c r="O55" i="156"/>
  <c r="O56" i="156"/>
  <c r="H57" i="156"/>
  <c r="H58" i="156"/>
  <c r="H59" i="156"/>
  <c r="H60" i="156"/>
  <c r="O57" i="156"/>
  <c r="O58" i="156"/>
  <c r="O59" i="156"/>
  <c r="O60" i="156"/>
  <c r="H61" i="156"/>
  <c r="H62" i="156"/>
  <c r="H63" i="156"/>
  <c r="H64" i="156"/>
  <c r="O61" i="156"/>
  <c r="O62" i="156"/>
  <c r="O63" i="156"/>
  <c r="O64" i="156"/>
  <c r="H65" i="156"/>
  <c r="H66" i="156"/>
  <c r="H67" i="156"/>
  <c r="H68" i="156"/>
  <c r="O65" i="156"/>
  <c r="O66" i="156"/>
  <c r="O67" i="156"/>
  <c r="O68" i="156"/>
  <c r="H69" i="156"/>
  <c r="H70" i="156"/>
  <c r="H71" i="156"/>
  <c r="H72" i="156"/>
  <c r="O69" i="156"/>
  <c r="O70" i="156"/>
  <c r="O71" i="156"/>
  <c r="O72" i="156"/>
  <c r="H73" i="156"/>
  <c r="H74" i="156"/>
  <c r="H75" i="156"/>
  <c r="H76" i="156"/>
  <c r="O73" i="156"/>
  <c r="O74" i="156"/>
  <c r="O75" i="156"/>
  <c r="O76" i="156"/>
  <c r="H77" i="156"/>
  <c r="H78" i="156"/>
  <c r="H79" i="156"/>
  <c r="H80" i="156"/>
  <c r="O77" i="156"/>
  <c r="O78" i="156"/>
  <c r="O79" i="156"/>
  <c r="O80" i="156"/>
  <c r="H81" i="156"/>
  <c r="H82" i="156"/>
  <c r="H83" i="156"/>
  <c r="H84" i="156"/>
  <c r="O81" i="156"/>
  <c r="O82" i="156"/>
  <c r="O83" i="156"/>
  <c r="O84" i="156"/>
  <c r="H85" i="156"/>
  <c r="H86" i="156"/>
  <c r="H87" i="156"/>
  <c r="H88" i="156"/>
  <c r="O85" i="156"/>
  <c r="O86" i="156"/>
  <c r="O87" i="156"/>
  <c r="O88" i="156"/>
  <c r="H89" i="156"/>
  <c r="H90" i="156"/>
  <c r="H91" i="156"/>
  <c r="H92" i="156"/>
  <c r="O89" i="156"/>
  <c r="O90" i="156"/>
  <c r="O91" i="156"/>
  <c r="O92" i="156"/>
  <c r="H93" i="156"/>
  <c r="H94" i="156"/>
  <c r="H95" i="156"/>
  <c r="H96" i="156"/>
  <c r="O93" i="156"/>
  <c r="O94" i="156"/>
  <c r="O95" i="156"/>
  <c r="O96" i="156"/>
  <c r="H97" i="156"/>
  <c r="H98" i="156"/>
  <c r="H99" i="156"/>
  <c r="H100" i="156"/>
  <c r="O97" i="156"/>
  <c r="O98" i="156"/>
  <c r="O99" i="156"/>
  <c r="O100" i="156"/>
  <c r="H101" i="156"/>
  <c r="H102" i="156"/>
  <c r="H103" i="156"/>
  <c r="H104" i="156"/>
  <c r="O101" i="156"/>
  <c r="O102" i="156"/>
  <c r="O103" i="156"/>
  <c r="O104" i="156"/>
  <c r="H105" i="156"/>
  <c r="H106" i="156"/>
  <c r="H107" i="156"/>
  <c r="H108" i="156"/>
  <c r="O105" i="156"/>
  <c r="O106" i="156"/>
  <c r="O107" i="156"/>
  <c r="O108" i="156"/>
  <c r="H109" i="156"/>
  <c r="H110" i="156"/>
  <c r="H111" i="156"/>
  <c r="H112" i="156"/>
  <c r="O109" i="156"/>
  <c r="O110" i="156"/>
  <c r="O111" i="156"/>
  <c r="O112" i="156"/>
  <c r="H113" i="156"/>
  <c r="H114" i="156"/>
  <c r="H115" i="156"/>
  <c r="H116" i="156"/>
  <c r="O113" i="156"/>
  <c r="O114" i="156"/>
  <c r="O115" i="156"/>
  <c r="O116" i="156"/>
  <c r="H117" i="156"/>
  <c r="H118" i="156"/>
  <c r="H119" i="156"/>
  <c r="H120" i="156"/>
  <c r="O117" i="156"/>
  <c r="O118" i="156"/>
  <c r="O119" i="156"/>
  <c r="O120" i="156"/>
  <c r="H121" i="156"/>
  <c r="H122" i="156"/>
  <c r="H123" i="156"/>
  <c r="H124" i="156"/>
  <c r="O121" i="156"/>
  <c r="O122" i="156"/>
  <c r="O123" i="156"/>
  <c r="O124" i="156"/>
  <c r="H124" i="150"/>
  <c r="H123" i="150"/>
  <c r="H122" i="150"/>
  <c r="H121" i="150"/>
  <c r="H120" i="150"/>
  <c r="H119" i="150"/>
  <c r="H118" i="150"/>
  <c r="H117" i="150"/>
  <c r="H116" i="150"/>
  <c r="H115" i="150"/>
  <c r="H114" i="150"/>
  <c r="H113" i="150"/>
  <c r="H112" i="150"/>
  <c r="H111" i="150"/>
  <c r="H110" i="150"/>
  <c r="H109" i="150"/>
  <c r="H108" i="150"/>
  <c r="H107" i="150"/>
  <c r="H106" i="150"/>
  <c r="H105" i="150"/>
  <c r="H104" i="150"/>
  <c r="H103" i="150"/>
  <c r="H102" i="150"/>
  <c r="H101" i="150"/>
  <c r="H100" i="150"/>
  <c r="H99" i="150"/>
  <c r="H98" i="150"/>
  <c r="H97" i="150"/>
  <c r="H96" i="150"/>
  <c r="H95" i="150"/>
  <c r="H94" i="150"/>
  <c r="H93" i="150"/>
  <c r="H92" i="150"/>
  <c r="H91" i="150"/>
  <c r="H90" i="150"/>
  <c r="H89" i="150"/>
  <c r="H88" i="150"/>
  <c r="H87" i="150"/>
  <c r="H86" i="150"/>
  <c r="H85" i="150"/>
  <c r="H84" i="150"/>
  <c r="H83" i="150"/>
  <c r="H82" i="150"/>
  <c r="H81" i="150"/>
  <c r="H80" i="150"/>
  <c r="H79" i="150"/>
  <c r="H78" i="150"/>
  <c r="H77" i="150"/>
  <c r="H76" i="150"/>
  <c r="H75" i="150"/>
  <c r="H74" i="150"/>
  <c r="H73" i="150"/>
  <c r="H72" i="150"/>
  <c r="H71" i="150"/>
  <c r="H70" i="150"/>
  <c r="H69" i="150"/>
  <c r="H68" i="150"/>
  <c r="H67" i="150"/>
  <c r="H66" i="150"/>
  <c r="H65" i="150"/>
  <c r="H64" i="150"/>
  <c r="H63" i="150"/>
  <c r="H62" i="150"/>
  <c r="H61" i="150"/>
  <c r="H60" i="150"/>
  <c r="H59" i="150"/>
  <c r="H58" i="150"/>
  <c r="H57" i="150"/>
  <c r="H56" i="150"/>
  <c r="H55" i="150"/>
  <c r="H54" i="150"/>
  <c r="H53" i="150"/>
  <c r="H52" i="150"/>
  <c r="H51" i="150"/>
  <c r="H50" i="150"/>
  <c r="H49" i="150"/>
  <c r="H48" i="150"/>
  <c r="H47" i="150"/>
  <c r="H46" i="150"/>
  <c r="H45" i="150"/>
  <c r="H44" i="150"/>
  <c r="H43" i="150"/>
  <c r="H42" i="150"/>
  <c r="H41" i="150"/>
  <c r="H40" i="150"/>
  <c r="H39" i="150"/>
  <c r="H38" i="150"/>
  <c r="H37" i="150"/>
  <c r="H36" i="150"/>
  <c r="H35" i="150"/>
  <c r="H34" i="150"/>
  <c r="H33" i="150"/>
  <c r="H32" i="150"/>
  <c r="H31" i="150"/>
  <c r="H30" i="150"/>
  <c r="H29" i="150"/>
  <c r="H28" i="150"/>
  <c r="H27" i="150"/>
  <c r="H26" i="150"/>
  <c r="H25" i="150"/>
  <c r="H24" i="150"/>
  <c r="H23" i="150"/>
  <c r="H22" i="150"/>
  <c r="H21" i="150"/>
  <c r="H20" i="150"/>
  <c r="H19" i="150"/>
  <c r="H18" i="150"/>
  <c r="H17" i="150"/>
  <c r="H16" i="150"/>
  <c r="H15" i="150"/>
  <c r="H14" i="150"/>
  <c r="H13" i="150"/>
  <c r="H12" i="150"/>
  <c r="H11" i="150"/>
  <c r="H10" i="150"/>
  <c r="H9" i="150"/>
  <c r="P47" i="135"/>
  <c r="U81" i="126"/>
  <c r="U82" i="126"/>
  <c r="U83" i="126"/>
  <c r="U84" i="126"/>
  <c r="U85" i="126"/>
  <c r="U86" i="126"/>
  <c r="U87" i="126"/>
  <c r="U88" i="126"/>
  <c r="U89" i="126"/>
  <c r="U90" i="126"/>
  <c r="U91" i="126"/>
  <c r="U92" i="126"/>
  <c r="U93" i="126"/>
  <c r="U94" i="126"/>
  <c r="U95" i="126"/>
  <c r="U96" i="126"/>
  <c r="U97" i="126"/>
  <c r="U98" i="126"/>
  <c r="U99" i="126"/>
  <c r="U100" i="126"/>
  <c r="U101" i="126"/>
  <c r="U102" i="126"/>
  <c r="U103" i="126"/>
  <c r="U104" i="126"/>
  <c r="U105" i="126"/>
  <c r="U106" i="126"/>
  <c r="U107" i="126"/>
  <c r="U108" i="126"/>
  <c r="U109" i="126"/>
  <c r="U110" i="126"/>
  <c r="U111" i="126"/>
  <c r="U112" i="126"/>
  <c r="U113" i="126"/>
  <c r="U114" i="126"/>
  <c r="U115" i="126"/>
  <c r="U116" i="126"/>
  <c r="U117" i="126"/>
  <c r="U118" i="126"/>
  <c r="U119" i="126"/>
  <c r="U120" i="126"/>
  <c r="U121" i="126"/>
  <c r="U122" i="126"/>
  <c r="U123" i="126"/>
  <c r="U124" i="126"/>
  <c r="P40" i="135"/>
  <c r="O81" i="126"/>
  <c r="O82" i="126"/>
  <c r="O83" i="126"/>
  <c r="O84" i="126"/>
  <c r="H81" i="126"/>
  <c r="H82" i="126"/>
  <c r="H83" i="126"/>
  <c r="H84" i="126"/>
  <c r="O85" i="126"/>
  <c r="O86" i="126"/>
  <c r="O87" i="126"/>
  <c r="O88" i="126"/>
  <c r="H85" i="126"/>
  <c r="H86" i="126"/>
  <c r="H87" i="126"/>
  <c r="H88" i="126"/>
  <c r="O89" i="126"/>
  <c r="O90" i="126"/>
  <c r="O91" i="126"/>
  <c r="O92" i="126"/>
  <c r="H89" i="126"/>
  <c r="H90" i="126"/>
  <c r="H91" i="126"/>
  <c r="H92" i="126"/>
  <c r="O93" i="126"/>
  <c r="O94" i="126"/>
  <c r="O95" i="126"/>
  <c r="O96" i="126"/>
  <c r="H93" i="126"/>
  <c r="H94" i="126"/>
  <c r="H95" i="126"/>
  <c r="H96" i="126"/>
  <c r="O97" i="126"/>
  <c r="O98" i="126"/>
  <c r="O99" i="126"/>
  <c r="O100" i="126"/>
  <c r="H97" i="126"/>
  <c r="H98" i="126"/>
  <c r="H99" i="126"/>
  <c r="H100" i="126"/>
  <c r="O101" i="126"/>
  <c r="O102" i="126"/>
  <c r="O103" i="126"/>
  <c r="O104" i="126"/>
  <c r="H101" i="126"/>
  <c r="H102" i="126"/>
  <c r="H103" i="126"/>
  <c r="H104" i="126"/>
  <c r="O105" i="126"/>
  <c r="O106" i="126"/>
  <c r="O107" i="126"/>
  <c r="O108" i="126"/>
  <c r="H105" i="126"/>
  <c r="H106" i="126"/>
  <c r="H107" i="126"/>
  <c r="H108" i="126"/>
  <c r="O109" i="126"/>
  <c r="O110" i="126"/>
  <c r="O111" i="126"/>
  <c r="O112" i="126"/>
  <c r="H109" i="126"/>
  <c r="H110" i="126"/>
  <c r="H111" i="126"/>
  <c r="H112" i="126"/>
  <c r="O113" i="126"/>
  <c r="O114" i="126"/>
  <c r="O115" i="126"/>
  <c r="O116" i="126"/>
  <c r="H113" i="126"/>
  <c r="H114" i="126"/>
  <c r="H115" i="126"/>
  <c r="H116" i="126"/>
  <c r="O117" i="126"/>
  <c r="O118" i="126"/>
  <c r="O119" i="126"/>
  <c r="O120" i="126"/>
  <c r="H117" i="126"/>
  <c r="H118" i="126"/>
  <c r="H119" i="126"/>
  <c r="H120" i="126"/>
  <c r="O121" i="126"/>
  <c r="O122" i="126"/>
  <c r="O123" i="126"/>
  <c r="O124" i="126"/>
  <c r="H121" i="126"/>
  <c r="H122" i="126"/>
  <c r="H123" i="126"/>
  <c r="H124" i="126"/>
  <c r="U81" i="118"/>
  <c r="U82" i="118"/>
  <c r="U83" i="118"/>
  <c r="U84" i="118"/>
  <c r="U85" i="118"/>
  <c r="U86" i="118"/>
  <c r="U87" i="118"/>
  <c r="U88" i="118"/>
  <c r="U89" i="118"/>
  <c r="U90" i="118"/>
  <c r="U91" i="118"/>
  <c r="U92" i="118"/>
  <c r="U93" i="118"/>
  <c r="U94" i="118"/>
  <c r="U95" i="118"/>
  <c r="U96" i="118"/>
  <c r="U97" i="118"/>
  <c r="U98" i="118"/>
  <c r="U99" i="118"/>
  <c r="U100" i="118"/>
  <c r="U101" i="118"/>
  <c r="U102" i="118"/>
  <c r="U103" i="118"/>
  <c r="U104" i="118"/>
  <c r="U105" i="118"/>
  <c r="U106" i="118"/>
  <c r="U107" i="118"/>
  <c r="U108" i="118"/>
  <c r="U109" i="118"/>
  <c r="U110" i="118"/>
  <c r="U111" i="118"/>
  <c r="U112" i="118"/>
  <c r="U113" i="118"/>
  <c r="U114" i="118"/>
  <c r="U115" i="118"/>
  <c r="U116" i="118"/>
  <c r="U117" i="118"/>
  <c r="U118" i="118"/>
  <c r="U119" i="118"/>
  <c r="U120" i="118"/>
  <c r="U121" i="118"/>
  <c r="U122" i="118"/>
  <c r="U123" i="118"/>
  <c r="U124" i="118"/>
  <c r="G40" i="135"/>
  <c r="O81" i="118"/>
  <c r="O82" i="118"/>
  <c r="O83" i="118"/>
  <c r="O84" i="118"/>
  <c r="H81" i="118"/>
  <c r="H82" i="118"/>
  <c r="H83" i="118"/>
  <c r="H84" i="118"/>
  <c r="O85" i="118"/>
  <c r="O86" i="118"/>
  <c r="O87" i="118"/>
  <c r="O88" i="118"/>
  <c r="H85" i="118"/>
  <c r="H86" i="118"/>
  <c r="H87" i="118"/>
  <c r="H88" i="118"/>
  <c r="O89" i="118"/>
  <c r="O90" i="118"/>
  <c r="O91" i="118"/>
  <c r="O92" i="118"/>
  <c r="H89" i="118"/>
  <c r="H90" i="118"/>
  <c r="H91" i="118"/>
  <c r="H92" i="118"/>
  <c r="O93" i="118"/>
  <c r="O94" i="118"/>
  <c r="O95" i="118"/>
  <c r="O96" i="118"/>
  <c r="H93" i="118"/>
  <c r="H94" i="118"/>
  <c r="H95" i="118"/>
  <c r="H96" i="118"/>
  <c r="O97" i="118"/>
  <c r="O98" i="118"/>
  <c r="O99" i="118"/>
  <c r="O100" i="118"/>
  <c r="H97" i="118"/>
  <c r="H98" i="118"/>
  <c r="H99" i="118"/>
  <c r="H100" i="118"/>
  <c r="O101" i="118"/>
  <c r="O102" i="118"/>
  <c r="O103" i="118"/>
  <c r="O104" i="118"/>
  <c r="H101" i="118"/>
  <c r="H102" i="118"/>
  <c r="H103" i="118"/>
  <c r="H104" i="118"/>
  <c r="O105" i="118"/>
  <c r="O106" i="118"/>
  <c r="O107" i="118"/>
  <c r="O108" i="118"/>
  <c r="H105" i="118"/>
  <c r="H106" i="118"/>
  <c r="H107" i="118"/>
  <c r="H108" i="118"/>
  <c r="O109" i="118"/>
  <c r="O110" i="118"/>
  <c r="O111" i="118"/>
  <c r="O112" i="118"/>
  <c r="H109" i="118"/>
  <c r="H110" i="118"/>
  <c r="H111" i="118"/>
  <c r="H112" i="118"/>
  <c r="O113" i="118"/>
  <c r="O114" i="118"/>
  <c r="O115" i="118"/>
  <c r="O116" i="118"/>
  <c r="H113" i="118"/>
  <c r="H114" i="118"/>
  <c r="H115" i="118"/>
  <c r="H116" i="118"/>
  <c r="O117" i="118"/>
  <c r="O118" i="118"/>
  <c r="O119" i="118"/>
  <c r="O120" i="118"/>
  <c r="H117" i="118"/>
  <c r="H118" i="118"/>
  <c r="H119" i="118"/>
  <c r="H120" i="118"/>
  <c r="O121" i="118"/>
  <c r="O122" i="118"/>
  <c r="O123" i="118"/>
  <c r="O124" i="118"/>
  <c r="H121" i="118"/>
  <c r="H122" i="118"/>
  <c r="H123" i="118"/>
  <c r="H124" i="118"/>
  <c r="P31" i="135"/>
  <c r="U81" i="150"/>
  <c r="U82" i="150"/>
  <c r="U83" i="150"/>
  <c r="U84" i="150"/>
  <c r="U85" i="150"/>
  <c r="U86" i="150"/>
  <c r="U87" i="150"/>
  <c r="U88" i="150"/>
  <c r="U89" i="150"/>
  <c r="U90" i="150"/>
  <c r="U91" i="150"/>
  <c r="U92" i="150"/>
  <c r="U93" i="150"/>
  <c r="U94" i="150"/>
  <c r="U95" i="150"/>
  <c r="U96" i="150"/>
  <c r="U97" i="150"/>
  <c r="U98" i="150"/>
  <c r="U99" i="150"/>
  <c r="U100" i="150"/>
  <c r="U101" i="150"/>
  <c r="U102" i="150"/>
  <c r="U103" i="150"/>
  <c r="U104" i="150"/>
  <c r="U105" i="150"/>
  <c r="U106" i="150"/>
  <c r="U107" i="150"/>
  <c r="U108" i="150"/>
  <c r="U109" i="150"/>
  <c r="U110" i="150"/>
  <c r="U111" i="150"/>
  <c r="U112" i="150"/>
  <c r="U113" i="150"/>
  <c r="U114" i="150"/>
  <c r="U115" i="150"/>
  <c r="U116" i="150"/>
  <c r="U117" i="150"/>
  <c r="U118" i="150"/>
  <c r="U119" i="150"/>
  <c r="U120" i="150"/>
  <c r="U121" i="150"/>
  <c r="U122" i="150"/>
  <c r="U123" i="150"/>
  <c r="U124" i="150"/>
  <c r="P24" i="135"/>
  <c r="O81" i="150"/>
  <c r="O82" i="150"/>
  <c r="O83" i="150"/>
  <c r="O84" i="150"/>
  <c r="O85" i="150"/>
  <c r="O86" i="150"/>
  <c r="O87" i="150"/>
  <c r="O88" i="150"/>
  <c r="O89" i="150"/>
  <c r="O90" i="150"/>
  <c r="O91" i="150"/>
  <c r="O92" i="150"/>
  <c r="O93" i="150"/>
  <c r="O94" i="150"/>
  <c r="O95" i="150"/>
  <c r="O96" i="150"/>
  <c r="O97" i="150"/>
  <c r="O98" i="150"/>
  <c r="O99" i="150"/>
  <c r="O100" i="150"/>
  <c r="O101" i="150"/>
  <c r="O102" i="150"/>
  <c r="O103" i="150"/>
  <c r="O104" i="150"/>
  <c r="O105" i="150"/>
  <c r="O106" i="150"/>
  <c r="O107" i="150"/>
  <c r="O108" i="150"/>
  <c r="O109" i="150"/>
  <c r="O110" i="150"/>
  <c r="O111" i="150"/>
  <c r="O112" i="150"/>
  <c r="O113" i="150"/>
  <c r="O114" i="150"/>
  <c r="O115" i="150"/>
  <c r="O116" i="150"/>
  <c r="O117" i="150"/>
  <c r="O118" i="150"/>
  <c r="O119" i="150"/>
  <c r="O120" i="150"/>
  <c r="O121" i="150"/>
  <c r="O122" i="150"/>
  <c r="O123" i="150"/>
  <c r="O124" i="150"/>
  <c r="U81" i="112"/>
  <c r="U82" i="112"/>
  <c r="U83" i="112"/>
  <c r="U84" i="112"/>
  <c r="U85" i="112"/>
  <c r="U86" i="112"/>
  <c r="U87" i="112"/>
  <c r="U88" i="112"/>
  <c r="U89" i="112"/>
  <c r="U90" i="112"/>
  <c r="U91" i="112"/>
  <c r="U92" i="112"/>
  <c r="U93" i="112"/>
  <c r="U94" i="112"/>
  <c r="U95" i="112"/>
  <c r="U96" i="112"/>
  <c r="U97" i="112"/>
  <c r="U98" i="112"/>
  <c r="U99" i="112"/>
  <c r="U100" i="112"/>
  <c r="U101" i="112"/>
  <c r="U102" i="112"/>
  <c r="U103" i="112"/>
  <c r="U104" i="112"/>
  <c r="U105" i="112"/>
  <c r="U106" i="112"/>
  <c r="U107" i="112"/>
  <c r="U108" i="112"/>
  <c r="U109" i="112"/>
  <c r="U110" i="112"/>
  <c r="U111" i="112"/>
  <c r="U112" i="112"/>
  <c r="U113" i="112"/>
  <c r="U114" i="112"/>
  <c r="U115" i="112"/>
  <c r="U116" i="112"/>
  <c r="U117" i="112"/>
  <c r="U118" i="112"/>
  <c r="U119" i="112"/>
  <c r="U120" i="112"/>
  <c r="U121" i="112"/>
  <c r="U122" i="112"/>
  <c r="U123" i="112"/>
  <c r="U124" i="112"/>
  <c r="G24" i="135"/>
  <c r="O81" i="112"/>
  <c r="O82" i="112"/>
  <c r="O83" i="112"/>
  <c r="O84" i="112"/>
  <c r="H81" i="112"/>
  <c r="H82" i="112"/>
  <c r="H83" i="112"/>
  <c r="H84" i="112"/>
  <c r="O85" i="112"/>
  <c r="O86" i="112"/>
  <c r="O87" i="112"/>
  <c r="O88" i="112"/>
  <c r="H85" i="112"/>
  <c r="H86" i="112"/>
  <c r="H87" i="112"/>
  <c r="H88" i="112"/>
  <c r="O89" i="112"/>
  <c r="O90" i="112"/>
  <c r="O91" i="112"/>
  <c r="O92" i="112"/>
  <c r="H89" i="112"/>
  <c r="H90" i="112"/>
  <c r="H91" i="112"/>
  <c r="H92" i="112"/>
  <c r="O93" i="112"/>
  <c r="O94" i="112"/>
  <c r="O95" i="112"/>
  <c r="O96" i="112"/>
  <c r="H93" i="112"/>
  <c r="H94" i="112"/>
  <c r="H95" i="112"/>
  <c r="H96" i="112"/>
  <c r="O97" i="112"/>
  <c r="O98" i="112"/>
  <c r="O99" i="112"/>
  <c r="O100" i="112"/>
  <c r="H97" i="112"/>
  <c r="H98" i="112"/>
  <c r="H99" i="112"/>
  <c r="H100" i="112"/>
  <c r="O101" i="112"/>
  <c r="O102" i="112"/>
  <c r="O103" i="112"/>
  <c r="O104" i="112"/>
  <c r="H101" i="112"/>
  <c r="H102" i="112"/>
  <c r="H103" i="112"/>
  <c r="H104" i="112"/>
  <c r="O105" i="112"/>
  <c r="O106" i="112"/>
  <c r="O107" i="112"/>
  <c r="O108" i="112"/>
  <c r="H105" i="112"/>
  <c r="H106" i="112"/>
  <c r="H107" i="112"/>
  <c r="H108" i="112"/>
  <c r="O109" i="112"/>
  <c r="O110" i="112"/>
  <c r="O111" i="112"/>
  <c r="O112" i="112"/>
  <c r="H109" i="112"/>
  <c r="H110" i="112"/>
  <c r="H111" i="112"/>
  <c r="H112" i="112"/>
  <c r="O113" i="112"/>
  <c r="O114" i="112"/>
  <c r="O115" i="112"/>
  <c r="O116" i="112"/>
  <c r="H113" i="112"/>
  <c r="H114" i="112"/>
  <c r="H115" i="112"/>
  <c r="H116" i="112"/>
  <c r="O117" i="112"/>
  <c r="O118" i="112"/>
  <c r="O119" i="112"/>
  <c r="O120" i="112"/>
  <c r="H117" i="112"/>
  <c r="H118" i="112"/>
  <c r="H119" i="112"/>
  <c r="H120" i="112"/>
  <c r="O121" i="112"/>
  <c r="O122" i="112"/>
  <c r="O123" i="112"/>
  <c r="O124" i="112"/>
  <c r="H121" i="112"/>
  <c r="H122" i="112"/>
  <c r="H123" i="112"/>
  <c r="H124" i="112"/>
  <c r="P46" i="135"/>
  <c r="P45" i="135"/>
  <c r="P44" i="135"/>
  <c r="P43" i="135"/>
  <c r="P42" i="135"/>
  <c r="U9" i="126"/>
  <c r="U10" i="126"/>
  <c r="U11" i="126"/>
  <c r="U12" i="126"/>
  <c r="U13" i="126"/>
  <c r="U14" i="126"/>
  <c r="U15" i="126"/>
  <c r="U16" i="126"/>
  <c r="U17" i="126"/>
  <c r="U18" i="126"/>
  <c r="U19" i="126"/>
  <c r="U20" i="126"/>
  <c r="U21" i="126"/>
  <c r="U22" i="126"/>
  <c r="U23" i="126"/>
  <c r="U24" i="126"/>
  <c r="U25" i="126"/>
  <c r="U26" i="126"/>
  <c r="U27" i="126"/>
  <c r="U28" i="126"/>
  <c r="U29" i="126"/>
  <c r="U30" i="126"/>
  <c r="U31" i="126"/>
  <c r="U32" i="126"/>
  <c r="U33" i="126"/>
  <c r="U34" i="126"/>
  <c r="U35" i="126"/>
  <c r="U36" i="126"/>
  <c r="U37" i="126"/>
  <c r="U38" i="126"/>
  <c r="U39" i="126"/>
  <c r="U40" i="126"/>
  <c r="U41" i="126"/>
  <c r="U42" i="126"/>
  <c r="U43" i="126"/>
  <c r="U44" i="126"/>
  <c r="U45" i="126"/>
  <c r="U46" i="126"/>
  <c r="U47" i="126"/>
  <c r="U48" i="126"/>
  <c r="U49" i="126"/>
  <c r="U50" i="126"/>
  <c r="U51" i="126"/>
  <c r="U52" i="126"/>
  <c r="U53" i="126"/>
  <c r="U54" i="126"/>
  <c r="U55" i="126"/>
  <c r="U56" i="126"/>
  <c r="U57" i="126"/>
  <c r="U58" i="126"/>
  <c r="U59" i="126"/>
  <c r="U60" i="126"/>
  <c r="U61" i="126"/>
  <c r="U62" i="126"/>
  <c r="U63" i="126"/>
  <c r="U64" i="126"/>
  <c r="U65" i="126"/>
  <c r="U66" i="126"/>
  <c r="U67" i="126"/>
  <c r="U68" i="126"/>
  <c r="U69" i="126"/>
  <c r="U70" i="126"/>
  <c r="U71" i="126"/>
  <c r="U72" i="126"/>
  <c r="U73" i="126"/>
  <c r="U74" i="126"/>
  <c r="U75" i="126"/>
  <c r="U76" i="126"/>
  <c r="U77" i="126"/>
  <c r="U78" i="126"/>
  <c r="U79" i="126"/>
  <c r="U80" i="126"/>
  <c r="U125" i="126"/>
  <c r="P41" i="135"/>
  <c r="P39" i="135"/>
  <c r="P38" i="135"/>
  <c r="P37" i="135"/>
  <c r="P36" i="135"/>
  <c r="P35" i="135"/>
  <c r="P30" i="135"/>
  <c r="P29" i="135"/>
  <c r="P28" i="135"/>
  <c r="P27" i="135"/>
  <c r="P26" i="135"/>
  <c r="U9" i="150"/>
  <c r="U10" i="150"/>
  <c r="U11" i="150"/>
  <c r="U12" i="150"/>
  <c r="U13" i="150"/>
  <c r="U14" i="150"/>
  <c r="U15" i="150"/>
  <c r="U16" i="150"/>
  <c r="U17" i="150"/>
  <c r="U18" i="150"/>
  <c r="U19" i="150"/>
  <c r="U20" i="150"/>
  <c r="U21" i="150"/>
  <c r="U22" i="150"/>
  <c r="U23" i="150"/>
  <c r="U24" i="150"/>
  <c r="U25" i="150"/>
  <c r="U26" i="150"/>
  <c r="U27" i="150"/>
  <c r="U28" i="150"/>
  <c r="U29" i="150"/>
  <c r="U30" i="150"/>
  <c r="U31" i="150"/>
  <c r="U32" i="150"/>
  <c r="U33" i="150"/>
  <c r="U34" i="150"/>
  <c r="U35" i="150"/>
  <c r="U36" i="150"/>
  <c r="U37" i="150"/>
  <c r="U38" i="150"/>
  <c r="U39" i="150"/>
  <c r="U40" i="150"/>
  <c r="U41" i="150"/>
  <c r="U42" i="150"/>
  <c r="U43" i="150"/>
  <c r="U44" i="150"/>
  <c r="U45" i="150"/>
  <c r="U46" i="150"/>
  <c r="U47" i="150"/>
  <c r="U48" i="150"/>
  <c r="U49" i="150"/>
  <c r="U50" i="150"/>
  <c r="U51" i="150"/>
  <c r="U52" i="150"/>
  <c r="U53" i="150"/>
  <c r="U54" i="150"/>
  <c r="U55" i="150"/>
  <c r="U56" i="150"/>
  <c r="U57" i="150"/>
  <c r="U58" i="150"/>
  <c r="U59" i="150"/>
  <c r="U60" i="150"/>
  <c r="U61" i="150"/>
  <c r="U62" i="150"/>
  <c r="U63" i="150"/>
  <c r="U64" i="150"/>
  <c r="U65" i="150"/>
  <c r="U66" i="150"/>
  <c r="U67" i="150"/>
  <c r="U68" i="150"/>
  <c r="U69" i="150"/>
  <c r="U70" i="150"/>
  <c r="U71" i="150"/>
  <c r="U72" i="150"/>
  <c r="U73" i="150"/>
  <c r="U74" i="150"/>
  <c r="U75" i="150"/>
  <c r="U76" i="150"/>
  <c r="U77" i="150"/>
  <c r="U78" i="150"/>
  <c r="U79" i="150"/>
  <c r="U80" i="150"/>
  <c r="U125" i="150"/>
  <c r="P25" i="135"/>
  <c r="P23" i="135"/>
  <c r="P22" i="135"/>
  <c r="P21" i="135"/>
  <c r="P20" i="135"/>
  <c r="P19" i="135"/>
  <c r="O9" i="126"/>
  <c r="O10" i="126"/>
  <c r="O11" i="126"/>
  <c r="O12" i="126"/>
  <c r="H9" i="126"/>
  <c r="H10" i="126"/>
  <c r="H11" i="126"/>
  <c r="H12" i="126"/>
  <c r="O13" i="126"/>
  <c r="O14" i="126"/>
  <c r="O15" i="126"/>
  <c r="O16" i="126"/>
  <c r="H13" i="126"/>
  <c r="H14" i="126"/>
  <c r="H15" i="126"/>
  <c r="H16" i="126"/>
  <c r="O17" i="126"/>
  <c r="O18" i="126"/>
  <c r="O19" i="126"/>
  <c r="O20" i="126"/>
  <c r="H17" i="126"/>
  <c r="H18" i="126"/>
  <c r="H19" i="126"/>
  <c r="H20" i="126"/>
  <c r="O21" i="126"/>
  <c r="O22" i="126"/>
  <c r="O23" i="126"/>
  <c r="O24" i="126"/>
  <c r="H21" i="126"/>
  <c r="H22" i="126"/>
  <c r="H23" i="126"/>
  <c r="H24" i="126"/>
  <c r="O25" i="126"/>
  <c r="O26" i="126"/>
  <c r="O27" i="126"/>
  <c r="O28" i="126"/>
  <c r="H25" i="126"/>
  <c r="H26" i="126"/>
  <c r="H27" i="126"/>
  <c r="H28" i="126"/>
  <c r="O29" i="126"/>
  <c r="O30" i="126"/>
  <c r="O31" i="126"/>
  <c r="O32" i="126"/>
  <c r="H29" i="126"/>
  <c r="H30" i="126"/>
  <c r="H31" i="126"/>
  <c r="H32" i="126"/>
  <c r="O33" i="126"/>
  <c r="O34" i="126"/>
  <c r="O35" i="126"/>
  <c r="O36" i="126"/>
  <c r="H33" i="126"/>
  <c r="H34" i="126"/>
  <c r="H35" i="126"/>
  <c r="H36" i="126"/>
  <c r="O37" i="126"/>
  <c r="O38" i="126"/>
  <c r="O39" i="126"/>
  <c r="O40" i="126"/>
  <c r="H37" i="126"/>
  <c r="H38" i="126"/>
  <c r="H39" i="126"/>
  <c r="H40" i="126"/>
  <c r="O41" i="126"/>
  <c r="O42" i="126"/>
  <c r="O43" i="126"/>
  <c r="O44" i="126"/>
  <c r="H41" i="126"/>
  <c r="H42" i="126"/>
  <c r="H43" i="126"/>
  <c r="H44" i="126"/>
  <c r="O45" i="126"/>
  <c r="O46" i="126"/>
  <c r="O47" i="126"/>
  <c r="O48" i="126"/>
  <c r="H45" i="126"/>
  <c r="H46" i="126"/>
  <c r="H47" i="126"/>
  <c r="H48" i="126"/>
  <c r="O49" i="126"/>
  <c r="O50" i="126"/>
  <c r="O51" i="126"/>
  <c r="O52" i="126"/>
  <c r="H49" i="126"/>
  <c r="H50" i="126"/>
  <c r="H51" i="126"/>
  <c r="H52" i="126"/>
  <c r="O53" i="126"/>
  <c r="O54" i="126"/>
  <c r="O55" i="126"/>
  <c r="O56" i="126"/>
  <c r="H53" i="126"/>
  <c r="H54" i="126"/>
  <c r="H55" i="126"/>
  <c r="H56" i="126"/>
  <c r="O57" i="126"/>
  <c r="O58" i="126"/>
  <c r="O59" i="126"/>
  <c r="O60" i="126"/>
  <c r="H57" i="126"/>
  <c r="H58" i="126"/>
  <c r="H59" i="126"/>
  <c r="H60" i="126"/>
  <c r="O61" i="126"/>
  <c r="O62" i="126"/>
  <c r="O63" i="126"/>
  <c r="O64" i="126"/>
  <c r="H61" i="126"/>
  <c r="H62" i="126"/>
  <c r="H63" i="126"/>
  <c r="H64" i="126"/>
  <c r="O65" i="126"/>
  <c r="O66" i="126"/>
  <c r="O67" i="126"/>
  <c r="O68" i="126"/>
  <c r="H65" i="126"/>
  <c r="H66" i="126"/>
  <c r="H67" i="126"/>
  <c r="H68" i="126"/>
  <c r="O69" i="126"/>
  <c r="O70" i="126"/>
  <c r="O71" i="126"/>
  <c r="O72" i="126"/>
  <c r="H69" i="126"/>
  <c r="H70" i="126"/>
  <c r="H71" i="126"/>
  <c r="H72" i="126"/>
  <c r="O73" i="126"/>
  <c r="O74" i="126"/>
  <c r="O75" i="126"/>
  <c r="O76" i="126"/>
  <c r="H73" i="126"/>
  <c r="H74" i="126"/>
  <c r="H75" i="126"/>
  <c r="H76" i="126"/>
  <c r="O77" i="126"/>
  <c r="O78" i="126"/>
  <c r="O79" i="126"/>
  <c r="O80" i="126"/>
  <c r="H77" i="126"/>
  <c r="H78" i="126"/>
  <c r="H79" i="126"/>
  <c r="H80" i="126"/>
  <c r="O9" i="150"/>
  <c r="O10" i="150"/>
  <c r="O11" i="150"/>
  <c r="O12" i="150"/>
  <c r="O13" i="150"/>
  <c r="O14" i="150"/>
  <c r="O15" i="150"/>
  <c r="O16" i="150"/>
  <c r="O17" i="150"/>
  <c r="O18" i="150"/>
  <c r="O19" i="150"/>
  <c r="O20" i="150"/>
  <c r="O21" i="150"/>
  <c r="O22" i="150"/>
  <c r="O23" i="150"/>
  <c r="O24" i="150"/>
  <c r="O25" i="150"/>
  <c r="O26" i="150"/>
  <c r="O27" i="150"/>
  <c r="O28" i="150"/>
  <c r="O29" i="150"/>
  <c r="O30" i="150"/>
  <c r="O31" i="150"/>
  <c r="O32" i="150"/>
  <c r="O33" i="150"/>
  <c r="O34" i="150"/>
  <c r="O35" i="150"/>
  <c r="O36" i="150"/>
  <c r="O37" i="150"/>
  <c r="O38" i="150"/>
  <c r="O39" i="150"/>
  <c r="O40" i="150"/>
  <c r="O41" i="150"/>
  <c r="O42" i="150"/>
  <c r="O43" i="150"/>
  <c r="O44" i="150"/>
  <c r="O45" i="150"/>
  <c r="O46" i="150"/>
  <c r="O47" i="150"/>
  <c r="O48" i="150"/>
  <c r="O49" i="150"/>
  <c r="O50" i="150"/>
  <c r="O51" i="150"/>
  <c r="O52" i="150"/>
  <c r="O53" i="150"/>
  <c r="O54" i="150"/>
  <c r="O55" i="150"/>
  <c r="O56" i="150"/>
  <c r="O57" i="150"/>
  <c r="O58" i="150"/>
  <c r="O59" i="150"/>
  <c r="O60" i="150"/>
  <c r="O61" i="150"/>
  <c r="O62" i="150"/>
  <c r="O63" i="150"/>
  <c r="O64" i="150"/>
  <c r="O65" i="150"/>
  <c r="O66" i="150"/>
  <c r="O67" i="150"/>
  <c r="O68" i="150"/>
  <c r="O69" i="150"/>
  <c r="O70" i="150"/>
  <c r="O71" i="150"/>
  <c r="O72" i="150"/>
  <c r="O73" i="150"/>
  <c r="O74" i="150"/>
  <c r="O75" i="150"/>
  <c r="O76" i="150"/>
  <c r="O77" i="150"/>
  <c r="O78" i="150"/>
  <c r="O79" i="150"/>
  <c r="O80" i="150"/>
  <c r="O9" i="118"/>
  <c r="O10" i="118"/>
  <c r="O11" i="118"/>
  <c r="O12" i="118"/>
  <c r="H9" i="118"/>
  <c r="H10" i="118"/>
  <c r="H11" i="118"/>
  <c r="H12" i="118"/>
  <c r="O13" i="118"/>
  <c r="O14" i="118"/>
  <c r="O15" i="118"/>
  <c r="O16" i="118"/>
  <c r="H13" i="118"/>
  <c r="H14" i="118"/>
  <c r="H15" i="118"/>
  <c r="H16" i="118"/>
  <c r="U9" i="118"/>
  <c r="U10" i="118"/>
  <c r="U11" i="118"/>
  <c r="U12" i="118"/>
  <c r="U13" i="118"/>
  <c r="U14" i="118"/>
  <c r="U15" i="118"/>
  <c r="U16" i="118"/>
  <c r="O17" i="118"/>
  <c r="O18" i="118"/>
  <c r="O19" i="118"/>
  <c r="O20" i="118"/>
  <c r="H17" i="118"/>
  <c r="H18" i="118"/>
  <c r="H19" i="118"/>
  <c r="H20" i="118"/>
  <c r="O21" i="118"/>
  <c r="O22" i="118"/>
  <c r="O23" i="118"/>
  <c r="O24" i="118"/>
  <c r="H21" i="118"/>
  <c r="H22" i="118"/>
  <c r="H23" i="118"/>
  <c r="H24" i="118"/>
  <c r="O25" i="118"/>
  <c r="O26" i="118"/>
  <c r="O27" i="118"/>
  <c r="O28" i="118"/>
  <c r="H25" i="118"/>
  <c r="H26" i="118"/>
  <c r="H27" i="118"/>
  <c r="H28" i="118"/>
  <c r="O29" i="118"/>
  <c r="O30" i="118"/>
  <c r="O31" i="118"/>
  <c r="O32" i="118"/>
  <c r="H29" i="118"/>
  <c r="H30" i="118"/>
  <c r="H31" i="118"/>
  <c r="H32" i="118"/>
  <c r="O33" i="118"/>
  <c r="O34" i="118"/>
  <c r="O35" i="118"/>
  <c r="O36" i="118"/>
  <c r="H33" i="118"/>
  <c r="H34" i="118"/>
  <c r="H35" i="118"/>
  <c r="H36" i="118"/>
  <c r="U17" i="118"/>
  <c r="U18" i="118"/>
  <c r="U19" i="118"/>
  <c r="U20" i="118"/>
  <c r="U21" i="118"/>
  <c r="U22" i="118"/>
  <c r="U23" i="118"/>
  <c r="U24" i="118"/>
  <c r="U25" i="118"/>
  <c r="U26" i="118"/>
  <c r="U27" i="118"/>
  <c r="U28" i="118"/>
  <c r="U29" i="118"/>
  <c r="U30" i="118"/>
  <c r="U31" i="118"/>
  <c r="U32" i="118"/>
  <c r="U33" i="118"/>
  <c r="U34" i="118"/>
  <c r="U35" i="118"/>
  <c r="U36" i="118"/>
  <c r="O37" i="118"/>
  <c r="O38" i="118"/>
  <c r="O39" i="118"/>
  <c r="O40" i="118"/>
  <c r="H37" i="118"/>
  <c r="H38" i="118"/>
  <c r="H39" i="118"/>
  <c r="H40" i="118"/>
  <c r="O41" i="118"/>
  <c r="O42" i="118"/>
  <c r="O43" i="118"/>
  <c r="O44" i="118"/>
  <c r="H41" i="118"/>
  <c r="H42" i="118"/>
  <c r="H43" i="118"/>
  <c r="H44" i="118"/>
  <c r="O45" i="118"/>
  <c r="O46" i="118"/>
  <c r="O47" i="118"/>
  <c r="O48" i="118"/>
  <c r="H45" i="118"/>
  <c r="H46" i="118"/>
  <c r="H47" i="118"/>
  <c r="H48" i="118"/>
  <c r="O49" i="118"/>
  <c r="O50" i="118"/>
  <c r="O51" i="118"/>
  <c r="O52" i="118"/>
  <c r="H49" i="118"/>
  <c r="H50" i="118"/>
  <c r="H51" i="118"/>
  <c r="H52" i="118"/>
  <c r="U37" i="118"/>
  <c r="U38" i="118"/>
  <c r="U39" i="118"/>
  <c r="U40" i="118"/>
  <c r="U41" i="118"/>
  <c r="U42" i="118"/>
  <c r="U43" i="118"/>
  <c r="U44" i="118"/>
  <c r="U45" i="118"/>
  <c r="U46" i="118"/>
  <c r="U47" i="118"/>
  <c r="U48" i="118"/>
  <c r="U49" i="118"/>
  <c r="U50" i="118"/>
  <c r="U51" i="118"/>
  <c r="U52" i="118"/>
  <c r="G37" i="135"/>
  <c r="O53" i="118"/>
  <c r="O54" i="118"/>
  <c r="O55" i="118"/>
  <c r="O56" i="118"/>
  <c r="H53" i="118"/>
  <c r="H54" i="118"/>
  <c r="H55" i="118"/>
  <c r="H56" i="118"/>
  <c r="O57" i="118"/>
  <c r="O58" i="118"/>
  <c r="O59" i="118"/>
  <c r="O60" i="118"/>
  <c r="H57" i="118"/>
  <c r="H58" i="118"/>
  <c r="H59" i="118"/>
  <c r="H60" i="118"/>
  <c r="O61" i="118"/>
  <c r="O62" i="118"/>
  <c r="O63" i="118"/>
  <c r="O64" i="118"/>
  <c r="H61" i="118"/>
  <c r="H62" i="118"/>
  <c r="H63" i="118"/>
  <c r="H64" i="118"/>
  <c r="O65" i="118"/>
  <c r="O66" i="118"/>
  <c r="O67" i="118"/>
  <c r="O68" i="118"/>
  <c r="H65" i="118"/>
  <c r="H66" i="118"/>
  <c r="H67" i="118"/>
  <c r="H68" i="118"/>
  <c r="U53" i="118"/>
  <c r="U54" i="118"/>
  <c r="U55" i="118"/>
  <c r="U56" i="118"/>
  <c r="U57" i="118"/>
  <c r="U58" i="118"/>
  <c r="U59" i="118"/>
  <c r="U60" i="118"/>
  <c r="U61" i="118"/>
  <c r="U62" i="118"/>
  <c r="U63" i="118"/>
  <c r="U64" i="118"/>
  <c r="U65" i="118"/>
  <c r="U66" i="118"/>
  <c r="U67" i="118"/>
  <c r="U68" i="118"/>
  <c r="O69" i="118"/>
  <c r="O70" i="118"/>
  <c r="O71" i="118"/>
  <c r="O72" i="118"/>
  <c r="H69" i="118"/>
  <c r="H70" i="118"/>
  <c r="H71" i="118"/>
  <c r="H72" i="118"/>
  <c r="O73" i="118"/>
  <c r="O74" i="118"/>
  <c r="O75" i="118"/>
  <c r="O76" i="118"/>
  <c r="H73" i="118"/>
  <c r="H74" i="118"/>
  <c r="H75" i="118"/>
  <c r="H76" i="118"/>
  <c r="O77" i="118"/>
  <c r="O78" i="118"/>
  <c r="O79" i="118"/>
  <c r="O80" i="118"/>
  <c r="H77" i="118"/>
  <c r="H78" i="118"/>
  <c r="H79" i="118"/>
  <c r="H80" i="118"/>
  <c r="U69" i="118"/>
  <c r="U70" i="118"/>
  <c r="U71" i="118"/>
  <c r="U72" i="118"/>
  <c r="U73" i="118"/>
  <c r="U74" i="118"/>
  <c r="U75" i="118"/>
  <c r="U76" i="118"/>
  <c r="U77" i="118"/>
  <c r="U78" i="118"/>
  <c r="U79" i="118"/>
  <c r="U80" i="118"/>
  <c r="O9" i="112"/>
  <c r="O10" i="112"/>
  <c r="O11" i="112"/>
  <c r="O12" i="112"/>
  <c r="H9" i="112"/>
  <c r="H10" i="112"/>
  <c r="H11" i="112"/>
  <c r="H12" i="112"/>
  <c r="O13" i="112"/>
  <c r="O14" i="112"/>
  <c r="O15" i="112"/>
  <c r="O16" i="112"/>
  <c r="H13" i="112"/>
  <c r="H14" i="112"/>
  <c r="H15" i="112"/>
  <c r="H16" i="112"/>
  <c r="U9" i="112"/>
  <c r="U10" i="112"/>
  <c r="U11" i="112"/>
  <c r="U12" i="112"/>
  <c r="U13" i="112"/>
  <c r="U14" i="112"/>
  <c r="U15" i="112"/>
  <c r="U16" i="112"/>
  <c r="O17" i="112"/>
  <c r="O18" i="112"/>
  <c r="O19" i="112"/>
  <c r="O20" i="112"/>
  <c r="H17" i="112"/>
  <c r="H18" i="112"/>
  <c r="H19" i="112"/>
  <c r="H20" i="112"/>
  <c r="O21" i="112"/>
  <c r="O22" i="112"/>
  <c r="O23" i="112"/>
  <c r="O24" i="112"/>
  <c r="H21" i="112"/>
  <c r="H22" i="112"/>
  <c r="H23" i="112"/>
  <c r="H24" i="112"/>
  <c r="O25" i="112"/>
  <c r="O26" i="112"/>
  <c r="O27" i="112"/>
  <c r="O28" i="112"/>
  <c r="H25" i="112"/>
  <c r="H26" i="112"/>
  <c r="H27" i="112"/>
  <c r="H28" i="112"/>
  <c r="O29" i="112"/>
  <c r="O30" i="112"/>
  <c r="O31" i="112"/>
  <c r="O32" i="112"/>
  <c r="H29" i="112"/>
  <c r="H30" i="112"/>
  <c r="H31" i="112"/>
  <c r="H32" i="112"/>
  <c r="O33" i="112"/>
  <c r="O34" i="112"/>
  <c r="O35" i="112"/>
  <c r="O36" i="112"/>
  <c r="H33" i="112"/>
  <c r="H34" i="112"/>
  <c r="H35" i="112"/>
  <c r="H36" i="112"/>
  <c r="U17" i="112"/>
  <c r="U18" i="112"/>
  <c r="U19" i="112"/>
  <c r="U20" i="112"/>
  <c r="U21" i="112"/>
  <c r="U22" i="112"/>
  <c r="U23" i="112"/>
  <c r="U24" i="112"/>
  <c r="U25" i="112"/>
  <c r="U26" i="112"/>
  <c r="U27" i="112"/>
  <c r="U28" i="112"/>
  <c r="U29" i="112"/>
  <c r="U30" i="112"/>
  <c r="U31" i="112"/>
  <c r="U32" i="112"/>
  <c r="U33" i="112"/>
  <c r="U34" i="112"/>
  <c r="U35" i="112"/>
  <c r="U36" i="112"/>
  <c r="O37" i="112"/>
  <c r="O38" i="112"/>
  <c r="O39" i="112"/>
  <c r="O40" i="112"/>
  <c r="H37" i="112"/>
  <c r="H38" i="112"/>
  <c r="H39" i="112"/>
  <c r="H40" i="112"/>
  <c r="O41" i="112"/>
  <c r="O42" i="112"/>
  <c r="O43" i="112"/>
  <c r="O44" i="112"/>
  <c r="H41" i="112"/>
  <c r="H42" i="112"/>
  <c r="H43" i="112"/>
  <c r="H44" i="112"/>
  <c r="O45" i="112"/>
  <c r="O46" i="112"/>
  <c r="O47" i="112"/>
  <c r="O48" i="112"/>
  <c r="H45" i="112"/>
  <c r="H46" i="112"/>
  <c r="H47" i="112"/>
  <c r="H48" i="112"/>
  <c r="O49" i="112"/>
  <c r="O50" i="112"/>
  <c r="O51" i="112"/>
  <c r="O52" i="112"/>
  <c r="H49" i="112"/>
  <c r="H50" i="112"/>
  <c r="H51" i="112"/>
  <c r="H52" i="112"/>
  <c r="U37" i="112"/>
  <c r="U38" i="112"/>
  <c r="U39" i="112"/>
  <c r="U40" i="112"/>
  <c r="U41" i="112"/>
  <c r="U42" i="112"/>
  <c r="U43" i="112"/>
  <c r="U44" i="112"/>
  <c r="U45" i="112"/>
  <c r="U46" i="112"/>
  <c r="U47" i="112"/>
  <c r="U48" i="112"/>
  <c r="U49" i="112"/>
  <c r="U50" i="112"/>
  <c r="U51" i="112"/>
  <c r="U52" i="112"/>
  <c r="O53" i="112"/>
  <c r="O54" i="112"/>
  <c r="O55" i="112"/>
  <c r="O56" i="112"/>
  <c r="H53" i="112"/>
  <c r="H54" i="112"/>
  <c r="H55" i="112"/>
  <c r="H56" i="112"/>
  <c r="O57" i="112"/>
  <c r="O58" i="112"/>
  <c r="O59" i="112"/>
  <c r="O60" i="112"/>
  <c r="H57" i="112"/>
  <c r="H58" i="112"/>
  <c r="H59" i="112"/>
  <c r="H60" i="112"/>
  <c r="O61" i="112"/>
  <c r="O62" i="112"/>
  <c r="O63" i="112"/>
  <c r="O64" i="112"/>
  <c r="H61" i="112"/>
  <c r="H62" i="112"/>
  <c r="H63" i="112"/>
  <c r="H64" i="112"/>
  <c r="O65" i="112"/>
  <c r="O66" i="112"/>
  <c r="O67" i="112"/>
  <c r="O68" i="112"/>
  <c r="H65" i="112"/>
  <c r="H66" i="112"/>
  <c r="H67" i="112"/>
  <c r="H68" i="112"/>
  <c r="U53" i="112"/>
  <c r="U54" i="112"/>
  <c r="U55" i="112"/>
  <c r="U56" i="112"/>
  <c r="U57" i="112"/>
  <c r="U58" i="112"/>
  <c r="U59" i="112"/>
  <c r="U60" i="112"/>
  <c r="U61" i="112"/>
  <c r="U62" i="112"/>
  <c r="U63" i="112"/>
  <c r="U64" i="112"/>
  <c r="U65" i="112"/>
  <c r="U66" i="112"/>
  <c r="U67" i="112"/>
  <c r="U68" i="112"/>
  <c r="G22" i="135"/>
  <c r="O69" i="112"/>
  <c r="O70" i="112"/>
  <c r="O71" i="112"/>
  <c r="O72" i="112"/>
  <c r="H69" i="112"/>
  <c r="H70" i="112"/>
  <c r="H71" i="112"/>
  <c r="H72" i="112"/>
  <c r="O73" i="112"/>
  <c r="O74" i="112"/>
  <c r="O75" i="112"/>
  <c r="O76" i="112"/>
  <c r="H73" i="112"/>
  <c r="H74" i="112"/>
  <c r="H75" i="112"/>
  <c r="H76" i="112"/>
  <c r="O77" i="112"/>
  <c r="O78" i="112"/>
  <c r="O79" i="112"/>
  <c r="O80" i="112"/>
  <c r="H77" i="112"/>
  <c r="H78" i="112"/>
  <c r="H79" i="112"/>
  <c r="H80" i="112"/>
  <c r="U69" i="112"/>
  <c r="U70" i="112"/>
  <c r="U71" i="112"/>
  <c r="U72" i="112"/>
  <c r="U73" i="112"/>
  <c r="U74" i="112"/>
  <c r="U75" i="112"/>
  <c r="U76" i="112"/>
  <c r="U77" i="112"/>
  <c r="U78" i="112"/>
  <c r="U79" i="112"/>
  <c r="U80" i="112"/>
  <c r="T177" i="69"/>
  <c r="N177" i="69"/>
  <c r="G177" i="69"/>
  <c r="T176" i="69"/>
  <c r="N176" i="69"/>
  <c r="G176" i="69"/>
  <c r="T175" i="69"/>
  <c r="N175" i="69"/>
  <c r="G175" i="69"/>
  <c r="T174" i="69"/>
  <c r="N174" i="69"/>
  <c r="G174" i="69"/>
  <c r="T173" i="69"/>
  <c r="N173" i="69"/>
  <c r="G173" i="69"/>
  <c r="T172" i="69"/>
  <c r="N172" i="69"/>
  <c r="G172" i="69"/>
  <c r="T171" i="69"/>
  <c r="N171" i="69"/>
  <c r="G171" i="69"/>
  <c r="T170" i="69"/>
  <c r="N170" i="69"/>
  <c r="G170" i="69"/>
  <c r="T169" i="69"/>
  <c r="N169" i="69"/>
  <c r="G169" i="69"/>
  <c r="T168" i="69"/>
  <c r="N168" i="69"/>
  <c r="G168" i="69"/>
  <c r="T167" i="69"/>
  <c r="N167" i="69"/>
  <c r="G167" i="69"/>
  <c r="T166" i="69"/>
  <c r="N166" i="69"/>
  <c r="G166" i="69"/>
  <c r="T165" i="69"/>
  <c r="N165" i="69"/>
  <c r="G165" i="69"/>
  <c r="T164" i="69"/>
  <c r="N164" i="69"/>
  <c r="G164" i="69"/>
  <c r="T163" i="69"/>
  <c r="N163" i="69"/>
  <c r="G163" i="69"/>
  <c r="T162" i="69"/>
  <c r="N162" i="69"/>
  <c r="G162" i="69"/>
  <c r="T161" i="69"/>
  <c r="N161" i="69"/>
  <c r="G161" i="69"/>
  <c r="T160" i="69"/>
  <c r="N160" i="69"/>
  <c r="G160" i="69"/>
  <c r="T159" i="69"/>
  <c r="N159" i="69"/>
  <c r="G159" i="69"/>
  <c r="T158" i="69"/>
  <c r="N158" i="69"/>
  <c r="G158" i="69"/>
  <c r="T157" i="69"/>
  <c r="N157" i="69"/>
  <c r="G157" i="69"/>
  <c r="T156" i="69"/>
  <c r="N156" i="69"/>
  <c r="G156" i="69"/>
  <c r="T155" i="69"/>
  <c r="N155" i="69"/>
  <c r="G155" i="69"/>
  <c r="T154" i="69"/>
  <c r="N154" i="69"/>
  <c r="G154" i="69"/>
  <c r="T153" i="69"/>
  <c r="N153" i="69"/>
  <c r="G153" i="69"/>
  <c r="T152" i="69"/>
  <c r="N152" i="69"/>
  <c r="G152" i="69"/>
  <c r="T151" i="69"/>
  <c r="N151" i="69"/>
  <c r="G151" i="69"/>
  <c r="T150" i="69"/>
  <c r="N150" i="69"/>
  <c r="G150" i="69"/>
  <c r="T149" i="69"/>
  <c r="N149" i="69"/>
  <c r="G149" i="69"/>
  <c r="T148" i="69"/>
  <c r="N148" i="69"/>
  <c r="G148" i="69"/>
  <c r="T147" i="69"/>
  <c r="N147" i="69"/>
  <c r="G147" i="69"/>
  <c r="T146" i="69"/>
  <c r="N146" i="69"/>
  <c r="G146" i="69"/>
  <c r="T145" i="69"/>
  <c r="N145" i="69"/>
  <c r="G145" i="69"/>
  <c r="T144" i="69"/>
  <c r="N144" i="69"/>
  <c r="G144" i="69"/>
  <c r="T143" i="69"/>
  <c r="N143" i="69"/>
  <c r="G143" i="69"/>
  <c r="T142" i="69"/>
  <c r="N142" i="69"/>
  <c r="G142" i="69"/>
  <c r="T141" i="69"/>
  <c r="N141" i="69"/>
  <c r="G141" i="69"/>
  <c r="T140" i="69"/>
  <c r="N140" i="69"/>
  <c r="G140" i="69"/>
  <c r="T139" i="69"/>
  <c r="N139" i="69"/>
  <c r="G139" i="69"/>
  <c r="T138" i="69"/>
  <c r="T178" i="69"/>
  <c r="N138" i="69"/>
  <c r="G138" i="69"/>
  <c r="T133" i="69"/>
  <c r="N133" i="69"/>
  <c r="G133" i="69"/>
  <c r="T132" i="69"/>
  <c r="N132" i="69"/>
  <c r="G132" i="69"/>
  <c r="T131" i="69"/>
  <c r="N131" i="69"/>
  <c r="G131" i="69"/>
  <c r="T130" i="69"/>
  <c r="N130" i="69"/>
  <c r="G130" i="69"/>
  <c r="T129" i="69"/>
  <c r="N129" i="69"/>
  <c r="G129" i="69"/>
  <c r="T128" i="69"/>
  <c r="N128" i="69"/>
  <c r="G128" i="69"/>
  <c r="T127" i="69"/>
  <c r="N127" i="69"/>
  <c r="G127" i="69"/>
  <c r="T126" i="69"/>
  <c r="N126" i="69"/>
  <c r="G126" i="69"/>
  <c r="T125" i="69"/>
  <c r="N125" i="69"/>
  <c r="G125" i="69"/>
  <c r="T124" i="69"/>
  <c r="N124" i="69"/>
  <c r="G124" i="69"/>
  <c r="T123" i="69"/>
  <c r="N123" i="69"/>
  <c r="G123" i="69"/>
  <c r="T122" i="69"/>
  <c r="N122" i="69"/>
  <c r="G122" i="69"/>
  <c r="T121" i="69"/>
  <c r="N121" i="69"/>
  <c r="G121" i="69"/>
  <c r="T120" i="69"/>
  <c r="N120" i="69"/>
  <c r="G120" i="69"/>
  <c r="T119" i="69"/>
  <c r="N119" i="69"/>
  <c r="G119" i="69"/>
  <c r="T118" i="69"/>
  <c r="N118" i="69"/>
  <c r="G118" i="69"/>
  <c r="T117" i="69"/>
  <c r="N117" i="69"/>
  <c r="G117" i="69"/>
  <c r="T116" i="69"/>
  <c r="N116" i="69"/>
  <c r="G116" i="69"/>
  <c r="T115" i="69"/>
  <c r="N115" i="69"/>
  <c r="G115" i="69"/>
  <c r="T114" i="69"/>
  <c r="N114" i="69"/>
  <c r="G114" i="69"/>
  <c r="T113" i="69"/>
  <c r="N113" i="69"/>
  <c r="G113" i="69"/>
  <c r="T112" i="69"/>
  <c r="N112" i="69"/>
  <c r="G112" i="69"/>
  <c r="T111" i="69"/>
  <c r="N111" i="69"/>
  <c r="G111" i="69"/>
  <c r="T110" i="69"/>
  <c r="N110" i="69"/>
  <c r="G110" i="69"/>
  <c r="T109" i="69"/>
  <c r="N109" i="69"/>
  <c r="G109" i="69"/>
  <c r="T108" i="69"/>
  <c r="N108" i="69"/>
  <c r="G108" i="69"/>
  <c r="T107" i="69"/>
  <c r="N107" i="69"/>
  <c r="G107" i="69"/>
  <c r="T106" i="69"/>
  <c r="N106" i="69"/>
  <c r="G106" i="69"/>
  <c r="T105" i="69"/>
  <c r="N105" i="69"/>
  <c r="G105" i="69"/>
  <c r="T104" i="69"/>
  <c r="N104" i="69"/>
  <c r="G104" i="69"/>
  <c r="T103" i="69"/>
  <c r="N103" i="69"/>
  <c r="G103" i="69"/>
  <c r="T102" i="69"/>
  <c r="N102" i="69"/>
  <c r="G102" i="69"/>
  <c r="T101" i="69"/>
  <c r="N101" i="69"/>
  <c r="G101" i="69"/>
  <c r="T100" i="69"/>
  <c r="N100" i="69"/>
  <c r="G100" i="69"/>
  <c r="T99" i="69"/>
  <c r="N99" i="69"/>
  <c r="G99" i="69"/>
  <c r="T98" i="69"/>
  <c r="N98" i="69"/>
  <c r="G98" i="69"/>
  <c r="T97" i="69"/>
  <c r="N97" i="69"/>
  <c r="G97" i="69"/>
  <c r="T96" i="69"/>
  <c r="N96" i="69"/>
  <c r="G96" i="69"/>
  <c r="T95" i="69"/>
  <c r="N95" i="69"/>
  <c r="G95" i="69"/>
  <c r="T94" i="69"/>
  <c r="T134" i="69"/>
  <c r="N94" i="69"/>
  <c r="G94" i="69"/>
  <c r="G89" i="69"/>
  <c r="G88" i="69"/>
  <c r="G87" i="69"/>
  <c r="G86" i="69"/>
  <c r="G85" i="69"/>
  <c r="G84" i="69"/>
  <c r="G83" i="69"/>
  <c r="G82" i="69"/>
  <c r="G81" i="69"/>
  <c r="G80" i="69"/>
  <c r="G79" i="69"/>
  <c r="G78" i="69"/>
  <c r="G77" i="69"/>
  <c r="G76" i="69"/>
  <c r="G75" i="69"/>
  <c r="G74" i="69"/>
  <c r="G73" i="69"/>
  <c r="G72" i="69"/>
  <c r="G71" i="69"/>
  <c r="G70" i="69"/>
  <c r="G69" i="69"/>
  <c r="G68" i="69"/>
  <c r="G67" i="69"/>
  <c r="G66" i="69"/>
  <c r="G65" i="69"/>
  <c r="G64" i="69"/>
  <c r="G63" i="69"/>
  <c r="G62" i="69"/>
  <c r="G61" i="69"/>
  <c r="G60" i="69"/>
  <c r="G59" i="69"/>
  <c r="G58" i="69"/>
  <c r="G57" i="69"/>
  <c r="G56" i="69"/>
  <c r="G55" i="69"/>
  <c r="G54" i="69"/>
  <c r="G53" i="69"/>
  <c r="G52" i="69"/>
  <c r="G51" i="69"/>
  <c r="G50" i="69"/>
  <c r="T89" i="69"/>
  <c r="N89" i="69"/>
  <c r="T88" i="69"/>
  <c r="N88" i="69"/>
  <c r="T87" i="69"/>
  <c r="N87" i="69"/>
  <c r="T86" i="69"/>
  <c r="N86" i="69"/>
  <c r="T85" i="69"/>
  <c r="N85" i="69"/>
  <c r="T84" i="69"/>
  <c r="N84" i="69"/>
  <c r="T83" i="69"/>
  <c r="N83" i="69"/>
  <c r="T82" i="69"/>
  <c r="N82" i="69"/>
  <c r="T81" i="69"/>
  <c r="N81" i="69"/>
  <c r="T80" i="69"/>
  <c r="N80" i="69"/>
  <c r="T79" i="69"/>
  <c r="N79" i="69"/>
  <c r="T78" i="69"/>
  <c r="N78" i="69"/>
  <c r="T77" i="69"/>
  <c r="N77" i="69"/>
  <c r="T76" i="69"/>
  <c r="N76" i="69"/>
  <c r="T75" i="69"/>
  <c r="N75" i="69"/>
  <c r="T74" i="69"/>
  <c r="N74" i="69"/>
  <c r="T73" i="69"/>
  <c r="N73" i="69"/>
  <c r="T72" i="69"/>
  <c r="N72" i="69"/>
  <c r="T71" i="69"/>
  <c r="N71" i="69"/>
  <c r="T70" i="69"/>
  <c r="N70" i="69"/>
  <c r="T69" i="69"/>
  <c r="N69" i="69"/>
  <c r="T68" i="69"/>
  <c r="N68" i="69"/>
  <c r="T67" i="69"/>
  <c r="N67" i="69"/>
  <c r="T66" i="69"/>
  <c r="N66" i="69"/>
  <c r="T65" i="69"/>
  <c r="N65" i="69"/>
  <c r="T64" i="69"/>
  <c r="N64" i="69"/>
  <c r="T63" i="69"/>
  <c r="N63" i="69"/>
  <c r="T62" i="69"/>
  <c r="N62" i="69"/>
  <c r="T61" i="69"/>
  <c r="N61" i="69"/>
  <c r="T60" i="69"/>
  <c r="N60" i="69"/>
  <c r="T59" i="69"/>
  <c r="N59" i="69"/>
  <c r="T58" i="69"/>
  <c r="N58" i="69"/>
  <c r="T57" i="69"/>
  <c r="N57" i="69"/>
  <c r="T56" i="69"/>
  <c r="N56" i="69"/>
  <c r="T55" i="69"/>
  <c r="N55" i="69"/>
  <c r="T54" i="69"/>
  <c r="N54" i="69"/>
  <c r="T53" i="69"/>
  <c r="N53" i="69"/>
  <c r="T52" i="69"/>
  <c r="N52" i="69"/>
  <c r="T51" i="69"/>
  <c r="N51" i="69"/>
  <c r="T50" i="69"/>
  <c r="T90" i="69"/>
  <c r="N50" i="69"/>
  <c r="T43" i="69"/>
  <c r="N43" i="69"/>
  <c r="G43" i="69"/>
  <c r="T42" i="69"/>
  <c r="N42" i="69"/>
  <c r="G42" i="69"/>
  <c r="T41" i="69"/>
  <c r="N41" i="69"/>
  <c r="G41" i="69"/>
  <c r="T40" i="69"/>
  <c r="N40" i="69"/>
  <c r="G40" i="69"/>
  <c r="T39" i="69"/>
  <c r="N39" i="69"/>
  <c r="G39" i="69"/>
  <c r="T38" i="69"/>
  <c r="N38" i="69"/>
  <c r="G38" i="69"/>
  <c r="T37" i="69"/>
  <c r="N37" i="69"/>
  <c r="G37" i="69"/>
  <c r="T36" i="69"/>
  <c r="N36" i="69"/>
  <c r="G36" i="69"/>
  <c r="T35" i="69"/>
  <c r="N35" i="69"/>
  <c r="G35" i="69"/>
  <c r="T34" i="69"/>
  <c r="N34" i="69"/>
  <c r="G34" i="69"/>
  <c r="T33" i="69"/>
  <c r="N33" i="69"/>
  <c r="G33" i="69"/>
  <c r="T32" i="69"/>
  <c r="N32" i="69"/>
  <c r="G32" i="69"/>
  <c r="T31" i="69"/>
  <c r="N31" i="69"/>
  <c r="G31" i="69"/>
  <c r="T30" i="69"/>
  <c r="N30" i="69"/>
  <c r="G30" i="69"/>
  <c r="T29" i="69"/>
  <c r="N29" i="69"/>
  <c r="G29" i="69"/>
  <c r="T28" i="69"/>
  <c r="N28" i="69"/>
  <c r="G28" i="69"/>
  <c r="T27" i="69"/>
  <c r="N27" i="69"/>
  <c r="G27" i="69"/>
  <c r="T26" i="69"/>
  <c r="N26" i="69"/>
  <c r="G26" i="69"/>
  <c r="T25" i="69"/>
  <c r="N25" i="69"/>
  <c r="G25" i="69"/>
  <c r="T24" i="69"/>
  <c r="N24" i="69"/>
  <c r="G24" i="69"/>
  <c r="T23" i="69"/>
  <c r="N23" i="69"/>
  <c r="G23" i="69"/>
  <c r="T22" i="69"/>
  <c r="N22" i="69"/>
  <c r="G22" i="69"/>
  <c r="T21" i="69"/>
  <c r="N21" i="69"/>
  <c r="G21" i="69"/>
  <c r="T20" i="69"/>
  <c r="N20" i="69"/>
  <c r="G20" i="69"/>
  <c r="T19" i="69"/>
  <c r="N19" i="69"/>
  <c r="G19" i="69"/>
  <c r="T18" i="69"/>
  <c r="N18" i="69"/>
  <c r="G18" i="69"/>
  <c r="T17" i="69"/>
  <c r="N17" i="69"/>
  <c r="G17" i="69"/>
  <c r="T16" i="69"/>
  <c r="N16" i="69"/>
  <c r="G16" i="69"/>
  <c r="T15" i="69"/>
  <c r="N15" i="69"/>
  <c r="G15" i="69"/>
  <c r="T14" i="69"/>
  <c r="N14" i="69"/>
  <c r="G14" i="69"/>
  <c r="T13" i="69"/>
  <c r="N13" i="69"/>
  <c r="G13" i="69"/>
  <c r="T12" i="69"/>
  <c r="N12" i="69"/>
  <c r="G12" i="69"/>
  <c r="T11" i="69"/>
  <c r="N11" i="69"/>
  <c r="G11" i="69"/>
  <c r="T10" i="69"/>
  <c r="N10" i="69"/>
  <c r="G10" i="69"/>
  <c r="T9" i="69"/>
  <c r="N9" i="69"/>
  <c r="G9" i="69"/>
  <c r="T8" i="69"/>
  <c r="N8" i="69"/>
  <c r="G8" i="69"/>
  <c r="T7" i="69"/>
  <c r="N7" i="69"/>
  <c r="G7" i="69"/>
  <c r="T6" i="69"/>
  <c r="N6" i="69"/>
  <c r="G6" i="69"/>
  <c r="T5" i="69"/>
  <c r="N5" i="69"/>
  <c r="G5" i="69"/>
  <c r="T4" i="69"/>
  <c r="N4" i="69"/>
  <c r="G4" i="69"/>
  <c r="T44" i="69"/>
  <c r="G45" i="135"/>
  <c r="G35" i="135"/>
  <c r="G38" i="135"/>
  <c r="U125" i="118"/>
  <c r="G41" i="135"/>
  <c r="G39" i="135"/>
  <c r="G31" i="135"/>
  <c r="G23" i="135"/>
  <c r="G19" i="135"/>
  <c r="G20" i="135"/>
  <c r="G21" i="135"/>
  <c r="G14" i="135"/>
  <c r="G12" i="135"/>
  <c r="G11" i="135"/>
  <c r="G7" i="135"/>
  <c r="G6" i="135"/>
  <c r="G4" i="135"/>
  <c r="G36" i="135"/>
  <c r="G30" i="135"/>
  <c r="G29" i="135"/>
  <c r="G28" i="135"/>
  <c r="G3" i="135"/>
  <c r="G56" i="135"/>
  <c r="G55" i="135"/>
  <c r="G53" i="135"/>
  <c r="G52" i="135"/>
  <c r="G51" i="135"/>
  <c r="G47" i="135"/>
  <c r="G46" i="135"/>
  <c r="G44" i="135"/>
  <c r="G43" i="135"/>
  <c r="G42" i="135"/>
  <c r="G26" i="135"/>
  <c r="U125" i="112"/>
  <c r="G25" i="135"/>
  <c r="U125" i="157"/>
  <c r="G9" i="135"/>
  <c r="AH25" i="135"/>
  <c r="AH23" i="135"/>
  <c r="AH22" i="135"/>
  <c r="AH12" i="135"/>
  <c r="AH33" i="135"/>
  <c r="AH24" i="135"/>
  <c r="AH16" i="135"/>
  <c r="AH35" i="135"/>
  <c r="AH34" i="135"/>
  <c r="AH32" i="135"/>
  <c r="AH31" i="135"/>
  <c r="AH26" i="135"/>
  <c r="AH21" i="135"/>
  <c r="AH17" i="135"/>
  <c r="AH15" i="135"/>
  <c r="AH14" i="135"/>
  <c r="AH13" i="135"/>
  <c r="AH8" i="135"/>
  <c r="AH6" i="135"/>
  <c r="AH5" i="135"/>
  <c r="AH4" i="135"/>
  <c r="AH30" i="135"/>
  <c r="S69" i="165"/>
  <c r="R73" i="165"/>
  <c r="S61" i="162"/>
  <c r="Q41" i="163"/>
  <c r="R195" i="157"/>
  <c r="R73" i="160"/>
  <c r="S219" i="159"/>
  <c r="R29" i="165"/>
  <c r="Q113" i="165"/>
  <c r="R25" i="165"/>
  <c r="R61" i="165"/>
  <c r="R89" i="165"/>
  <c r="S41" i="160"/>
  <c r="S17" i="160"/>
  <c r="R57" i="165"/>
  <c r="R33" i="161"/>
  <c r="R187" i="159"/>
  <c r="R45" i="163"/>
  <c r="Q73" i="165"/>
  <c r="Q105" i="165"/>
  <c r="S65" i="165"/>
  <c r="S109" i="160"/>
  <c r="S113" i="161"/>
  <c r="Q93" i="162"/>
  <c r="R131" i="157"/>
  <c r="S61" i="163"/>
  <c r="S227" i="157"/>
  <c r="R97" i="163"/>
  <c r="R73" i="163"/>
  <c r="S101" i="160"/>
  <c r="Q85" i="161"/>
  <c r="S93" i="162"/>
  <c r="Q73" i="163"/>
  <c r="R227" i="157"/>
  <c r="R105" i="160"/>
  <c r="R143" i="159"/>
  <c r="R81" i="161"/>
  <c r="S85" i="165"/>
  <c r="R105" i="165"/>
  <c r="S17" i="165"/>
  <c r="S117" i="165"/>
  <c r="Q49" i="165"/>
  <c r="S81" i="165"/>
  <c r="Q101" i="165"/>
  <c r="S13" i="160"/>
  <c r="R85" i="160"/>
  <c r="S231" i="159"/>
  <c r="R97" i="162"/>
  <c r="Q243" i="159"/>
  <c r="S25" i="161"/>
  <c r="S57" i="160"/>
  <c r="S33" i="160"/>
  <c r="S89" i="160"/>
  <c r="S65" i="160"/>
  <c r="R49" i="165"/>
  <c r="Q61" i="165"/>
  <c r="R57" i="163"/>
  <c r="S37" i="160"/>
  <c r="Q69" i="161"/>
  <c r="S21" i="165"/>
  <c r="S97" i="165"/>
  <c r="S53" i="165"/>
  <c r="R41" i="165"/>
  <c r="Q37" i="165"/>
  <c r="R81" i="165"/>
  <c r="R21" i="160"/>
  <c r="S167" i="159"/>
  <c r="S93" i="165"/>
  <c r="S61" i="160"/>
  <c r="S93" i="160"/>
  <c r="R121" i="165"/>
  <c r="S73" i="163"/>
  <c r="R109" i="163"/>
  <c r="R109" i="165"/>
  <c r="S117" i="160"/>
  <c r="Q97" i="161"/>
  <c r="S143" i="157"/>
  <c r="S13" i="163"/>
  <c r="Q109" i="163"/>
  <c r="Q139" i="157"/>
  <c r="R117" i="160"/>
  <c r="R155" i="159"/>
  <c r="R13" i="163"/>
  <c r="S57" i="161"/>
  <c r="R105" i="163"/>
  <c r="Q117" i="165"/>
  <c r="S25" i="160"/>
  <c r="S105" i="165"/>
  <c r="R53" i="165"/>
  <c r="R109" i="162"/>
  <c r="Q121" i="160"/>
  <c r="S49" i="163"/>
  <c r="R65" i="165"/>
  <c r="Q93" i="165"/>
  <c r="R97" i="165"/>
  <c r="R45" i="165"/>
  <c r="S85" i="160"/>
  <c r="Q81" i="161"/>
  <c r="S113" i="162"/>
  <c r="Q93" i="163"/>
  <c r="Q53" i="165"/>
  <c r="Q85" i="165"/>
  <c r="S41" i="165"/>
  <c r="S45" i="165"/>
  <c r="R69" i="165"/>
  <c r="R45" i="162"/>
  <c r="Q207" i="159"/>
  <c r="S33" i="165"/>
  <c r="S37" i="162"/>
  <c r="S25" i="163"/>
  <c r="Q121" i="163"/>
  <c r="Q151" i="157"/>
  <c r="R37" i="161"/>
  <c r="R191" i="159"/>
  <c r="R9" i="165"/>
  <c r="R25" i="163"/>
  <c r="Q37" i="161"/>
  <c r="S9" i="160"/>
  <c r="S33" i="161"/>
  <c r="R93" i="165"/>
  <c r="Q21" i="165"/>
  <c r="S121" i="165"/>
  <c r="R85" i="165"/>
  <c r="R33" i="165"/>
  <c r="Q29" i="165"/>
  <c r="Q121" i="165"/>
  <c r="Q17" i="161"/>
  <c r="S49" i="162"/>
  <c r="Q29" i="163"/>
  <c r="R167" i="157"/>
  <c r="R73" i="161"/>
  <c r="S29" i="160"/>
  <c r="R13" i="165"/>
  <c r="Q81" i="165"/>
  <c r="S113" i="165"/>
  <c r="S9" i="163"/>
  <c r="Q105" i="163"/>
  <c r="Q135" i="157"/>
  <c r="R21" i="161"/>
  <c r="R175" i="159"/>
  <c r="S57" i="165"/>
  <c r="S77" i="165"/>
  <c r="Q77" i="165"/>
  <c r="S89" i="165"/>
  <c r="R21" i="165"/>
  <c r="Q57" i="165"/>
  <c r="R9" i="161"/>
  <c r="R203" i="159"/>
  <c r="S37" i="165"/>
  <c r="Q143" i="159"/>
  <c r="R231" i="157"/>
  <c r="Q45" i="160"/>
  <c r="Q21" i="160"/>
  <c r="S53" i="161"/>
  <c r="Q33" i="162"/>
  <c r="S179" i="157"/>
  <c r="S41" i="163"/>
  <c r="R9" i="159"/>
  <c r="Q167" i="157"/>
  <c r="R53" i="161"/>
  <c r="R207" i="159"/>
  <c r="R29" i="162"/>
  <c r="Q191" i="159"/>
  <c r="Q41" i="160"/>
  <c r="R121" i="163"/>
  <c r="Q17" i="162"/>
  <c r="S13" i="162"/>
  <c r="Q109" i="162"/>
  <c r="R147" i="157"/>
  <c r="R25" i="160"/>
  <c r="S171" i="159"/>
  <c r="Q13" i="165"/>
  <c r="Q69" i="160"/>
  <c r="S81" i="162"/>
  <c r="Q33" i="165"/>
  <c r="S81" i="160"/>
  <c r="R9" i="160"/>
  <c r="S65" i="161"/>
  <c r="Q45" i="162"/>
  <c r="S207" i="157"/>
  <c r="S77" i="163"/>
  <c r="S9" i="157"/>
  <c r="Q203" i="157"/>
  <c r="R65" i="161"/>
  <c r="R219" i="159"/>
  <c r="R77" i="163"/>
  <c r="S121" i="161"/>
  <c r="Q53" i="160"/>
  <c r="S85" i="161"/>
  <c r="Q65" i="162"/>
  <c r="S211" i="157"/>
  <c r="S97" i="160"/>
  <c r="S61" i="165"/>
  <c r="R239" i="159"/>
  <c r="S113" i="163"/>
  <c r="Q25" i="165"/>
  <c r="R37" i="160"/>
  <c r="S183" i="159"/>
  <c r="R101" i="165"/>
  <c r="R49" i="162"/>
  <c r="Q195" i="159"/>
  <c r="S53" i="160"/>
  <c r="Q199" i="157"/>
  <c r="Q65" i="165"/>
  <c r="R61" i="163"/>
  <c r="Q61" i="163"/>
  <c r="S57" i="163"/>
  <c r="Q97" i="165"/>
  <c r="Q57" i="160"/>
  <c r="S101" i="162"/>
  <c r="S9" i="165"/>
  <c r="S89" i="163"/>
  <c r="R9" i="157"/>
  <c r="Q215" i="157"/>
  <c r="R101" i="161"/>
  <c r="Q131" i="159"/>
  <c r="R89" i="163"/>
  <c r="S121" i="160"/>
  <c r="Q101" i="161"/>
  <c r="S131" i="157"/>
  <c r="R117" i="165"/>
  <c r="S97" i="161"/>
  <c r="Q77" i="162"/>
  <c r="S239" i="157"/>
  <c r="S109" i="163"/>
  <c r="S139" i="159"/>
  <c r="S13" i="165"/>
  <c r="S37" i="161"/>
  <c r="R85" i="162"/>
  <c r="R61" i="162"/>
  <c r="Q223" i="159"/>
  <c r="Q73" i="160"/>
  <c r="S109" i="165"/>
  <c r="R77" i="165"/>
  <c r="R49" i="161"/>
  <c r="Q49" i="161"/>
  <c r="R199" i="157"/>
  <c r="R97" i="161"/>
  <c r="S155" i="159"/>
  <c r="R21" i="162"/>
  <c r="R113" i="161"/>
  <c r="Q159" i="159"/>
  <c r="Q9" i="160"/>
  <c r="Q69" i="165"/>
  <c r="S17" i="161"/>
  <c r="Q113" i="161"/>
  <c r="S159" i="157"/>
  <c r="S29" i="163"/>
  <c r="S9" i="159"/>
  <c r="Q155" i="157"/>
  <c r="R17" i="165"/>
  <c r="S121" i="163"/>
  <c r="S151" i="159"/>
  <c r="R17" i="162"/>
  <c r="Q163" i="159"/>
  <c r="S25" i="165"/>
  <c r="R113" i="165"/>
  <c r="S49" i="160"/>
  <c r="R85" i="161"/>
  <c r="Q187" i="157"/>
  <c r="Q109" i="160"/>
  <c r="Q85" i="160"/>
  <c r="S117" i="161"/>
  <c r="Q97" i="162"/>
  <c r="S243" i="157"/>
  <c r="S73" i="165"/>
  <c r="S105" i="163"/>
  <c r="S135" i="159"/>
  <c r="Q231" i="157"/>
  <c r="R117" i="161"/>
  <c r="Q147" i="159"/>
  <c r="R93" i="162"/>
  <c r="S17" i="162"/>
  <c r="R57" i="160"/>
  <c r="S85" i="162"/>
  <c r="Q101" i="162"/>
  <c r="S231" i="157"/>
  <c r="S25" i="159"/>
  <c r="R37" i="157"/>
  <c r="R9" i="154"/>
  <c r="R121" i="159"/>
  <c r="T49" i="155"/>
  <c r="R13" i="161"/>
  <c r="S53" i="162"/>
  <c r="R131" i="159"/>
  <c r="S105" i="162"/>
  <c r="Q121" i="159"/>
  <c r="T17" i="156"/>
  <c r="Q65" i="160"/>
  <c r="S167" i="155"/>
  <c r="R13" i="160"/>
  <c r="R211" i="159"/>
  <c r="R109" i="161"/>
  <c r="T97" i="156"/>
  <c r="Q69" i="163"/>
  <c r="S9" i="155"/>
  <c r="S163" i="157"/>
  <c r="R9" i="163"/>
  <c r="Q9" i="163"/>
  <c r="Q89" i="163"/>
  <c r="Q13" i="163"/>
  <c r="R37" i="162"/>
  <c r="Q53" i="163"/>
  <c r="S147" i="155"/>
  <c r="T33" i="157"/>
  <c r="S175" i="156"/>
  <c r="S17" i="159"/>
  <c r="Q105" i="161"/>
  <c r="Q227" i="157"/>
  <c r="S41" i="157"/>
  <c r="S13" i="156"/>
  <c r="S109" i="159"/>
  <c r="Q45" i="157"/>
  <c r="S93" i="161"/>
  <c r="Q37" i="160"/>
  <c r="S223" i="157"/>
  <c r="Q25" i="160"/>
  <c r="S195" i="157"/>
  <c r="Q25" i="163"/>
  <c r="S77" i="160"/>
  <c r="S109" i="162"/>
  <c r="S203" i="159"/>
  <c r="R109" i="160"/>
  <c r="Q183" i="159"/>
  <c r="T45" i="155"/>
  <c r="Q219" i="159"/>
  <c r="R25" i="157"/>
  <c r="R167" i="159"/>
  <c r="Q41" i="161"/>
  <c r="R203" i="157"/>
  <c r="S187" i="156"/>
  <c r="Q77" i="159"/>
  <c r="S191" i="156"/>
  <c r="Q121" i="161"/>
  <c r="Q175" i="157"/>
  <c r="S29" i="156"/>
  <c r="S33" i="156"/>
  <c r="S101" i="161"/>
  <c r="S187" i="159"/>
  <c r="R235" i="159"/>
  <c r="R121" i="160"/>
  <c r="R151" i="157"/>
  <c r="Q25" i="161"/>
  <c r="R187" i="157"/>
  <c r="Q105" i="159"/>
  <c r="S171" i="156"/>
  <c r="Q61" i="159"/>
  <c r="S151" i="155"/>
  <c r="Q65" i="159"/>
  <c r="R195" i="159"/>
  <c r="S195" i="159"/>
  <c r="Q57" i="157"/>
  <c r="Q89" i="162"/>
  <c r="T113" i="157"/>
  <c r="Q41" i="162"/>
  <c r="S143" i="159"/>
  <c r="Q239" i="157"/>
  <c r="Q9" i="159"/>
  <c r="T13" i="155"/>
  <c r="S45" i="160"/>
  <c r="Q89" i="165"/>
  <c r="Q109" i="165"/>
  <c r="Q17" i="165"/>
  <c r="S97" i="162"/>
  <c r="R223" i="159"/>
  <c r="S73" i="161"/>
  <c r="Q89" i="161"/>
  <c r="Q163" i="157"/>
  <c r="S25" i="157"/>
  <c r="S235" i="156"/>
  <c r="S93" i="159"/>
  <c r="Q29" i="157"/>
  <c r="S29" i="161"/>
  <c r="S13" i="157"/>
  <c r="Q223" i="157"/>
  <c r="R117" i="159"/>
  <c r="Q121" i="157"/>
  <c r="S101" i="163"/>
  <c r="S33" i="154"/>
  <c r="T13" i="157"/>
  <c r="S207" i="159"/>
  <c r="Q73" i="159"/>
  <c r="T77" i="155"/>
  <c r="S21" i="160"/>
  <c r="R45" i="160"/>
  <c r="Q105" i="157"/>
  <c r="Q85" i="163"/>
  <c r="S121" i="155"/>
  <c r="T33" i="159"/>
  <c r="Q61" i="162"/>
  <c r="Q49" i="162"/>
  <c r="Q219" i="157"/>
  <c r="S45" i="162"/>
  <c r="S191" i="157"/>
  <c r="R101" i="160"/>
  <c r="S41" i="161"/>
  <c r="Q113" i="162"/>
  <c r="Q13" i="162"/>
  <c r="S21" i="161"/>
  <c r="S147" i="157"/>
  <c r="R57" i="161"/>
  <c r="Q41" i="159"/>
  <c r="S77" i="154"/>
  <c r="T65" i="159"/>
  <c r="S81" i="154"/>
  <c r="T69" i="159"/>
  <c r="Q65" i="163"/>
  <c r="Q117" i="163"/>
  <c r="T77" i="157"/>
  <c r="T49" i="157"/>
  <c r="S13" i="159"/>
  <c r="R135" i="159"/>
  <c r="S57" i="157"/>
  <c r="S57" i="162"/>
  <c r="S29" i="157"/>
  <c r="S9" i="162"/>
  <c r="R33" i="163"/>
  <c r="S29" i="162"/>
  <c r="R93" i="163"/>
  <c r="S9" i="161"/>
  <c r="Q49" i="163"/>
  <c r="S41" i="162"/>
  <c r="T61" i="157"/>
  <c r="S81" i="163"/>
  <c r="R53" i="159"/>
  <c r="T81" i="156"/>
  <c r="R175" i="157"/>
  <c r="T85" i="156"/>
  <c r="R25" i="161"/>
  <c r="Q151" i="159"/>
  <c r="Q49" i="160"/>
  <c r="S45" i="154"/>
  <c r="Q41" i="165"/>
  <c r="S49" i="161"/>
  <c r="S65" i="162"/>
  <c r="R65" i="162"/>
  <c r="R69" i="161"/>
  <c r="S97" i="163"/>
  <c r="Q113" i="163"/>
  <c r="Q143" i="157"/>
  <c r="R37" i="159"/>
  <c r="Q41" i="157"/>
  <c r="S13" i="161"/>
  <c r="T69" i="156"/>
  <c r="Q61" i="161"/>
  <c r="R93" i="160"/>
  <c r="Q135" i="159"/>
  <c r="R69" i="163"/>
  <c r="S29" i="154"/>
  <c r="R151" i="159"/>
  <c r="S57" i="155"/>
  <c r="R105" i="161"/>
  <c r="Q215" i="159"/>
  <c r="Q9" i="162"/>
  <c r="S109" i="154"/>
  <c r="R89" i="160"/>
  <c r="S175" i="157"/>
  <c r="T9" i="157"/>
  <c r="S37" i="163"/>
  <c r="R89" i="161"/>
  <c r="S93" i="154"/>
  <c r="R69" i="162"/>
  <c r="S179" i="155"/>
  <c r="Q29" i="159"/>
  <c r="S183" i="155"/>
  <c r="R65" i="163"/>
  <c r="R199" i="159"/>
  <c r="S21" i="155"/>
  <c r="Q179" i="157"/>
  <c r="S45" i="157"/>
  <c r="S49" i="156"/>
  <c r="R231" i="159"/>
  <c r="R45" i="157"/>
  <c r="R33" i="154"/>
  <c r="R73" i="155"/>
  <c r="S219" i="118"/>
  <c r="S29" i="165"/>
  <c r="R77" i="155"/>
  <c r="R223" i="118"/>
  <c r="R135" i="156"/>
  <c r="R227" i="118"/>
  <c r="Q121" i="150"/>
  <c r="R29" i="153"/>
  <c r="Q183" i="150"/>
  <c r="Q25" i="112"/>
  <c r="S235" i="159"/>
  <c r="R243" i="159"/>
  <c r="S81" i="161"/>
  <c r="Q175" i="159"/>
  <c r="S69" i="161"/>
  <c r="R13" i="157"/>
  <c r="S69" i="162"/>
  <c r="R69" i="160"/>
  <c r="Q179" i="159"/>
  <c r="R139" i="159"/>
  <c r="R135" i="157"/>
  <c r="R171" i="159"/>
  <c r="R29" i="163"/>
  <c r="Q235" i="157"/>
  <c r="Q61" i="160"/>
  <c r="S101" i="155"/>
  <c r="S105" i="155"/>
  <c r="R109" i="159"/>
  <c r="S219" i="157"/>
  <c r="R117" i="157"/>
  <c r="R105" i="157"/>
  <c r="R101" i="163"/>
  <c r="T29" i="159"/>
  <c r="Q73" i="157"/>
  <c r="R239" i="157"/>
  <c r="Q61" i="157"/>
  <c r="Q105" i="162"/>
  <c r="Q21" i="161"/>
  <c r="R163" i="157"/>
  <c r="S49" i="165"/>
  <c r="R243" i="157"/>
  <c r="R159" i="159"/>
  <c r="S33" i="163"/>
  <c r="S239" i="159"/>
  <c r="S155" i="157"/>
  <c r="R101" i="157"/>
  <c r="R85" i="163"/>
  <c r="R89" i="157"/>
  <c r="R37" i="163"/>
  <c r="R17" i="163"/>
  <c r="Q159" i="157"/>
  <c r="S227" i="155"/>
  <c r="S231" i="155"/>
  <c r="Q13" i="160"/>
  <c r="S69" i="155"/>
  <c r="R33" i="162"/>
  <c r="Q45" i="163"/>
  <c r="R53" i="160"/>
  <c r="Q211" i="159"/>
  <c r="R41" i="163"/>
  <c r="Q183" i="157"/>
  <c r="Q105" i="160"/>
  <c r="R215" i="157"/>
  <c r="S65" i="163"/>
  <c r="R179" i="159"/>
  <c r="R65" i="160"/>
  <c r="T65" i="156"/>
  <c r="Q25" i="162"/>
  <c r="S215" i="155"/>
  <c r="R113" i="163"/>
  <c r="Q203" i="159"/>
  <c r="S53" i="155"/>
  <c r="T17" i="159"/>
  <c r="S77" i="157"/>
  <c r="S81" i="156"/>
  <c r="Q93" i="160"/>
  <c r="T29" i="157"/>
  <c r="R81" i="162"/>
  <c r="Q207" i="157"/>
  <c r="Q199" i="159"/>
  <c r="Q45" i="165"/>
  <c r="S97" i="156"/>
  <c r="R13" i="162"/>
  <c r="S93" i="163"/>
  <c r="Q117" i="160"/>
  <c r="R61" i="160"/>
  <c r="R113" i="162"/>
  <c r="Q101" i="160"/>
  <c r="R179" i="157"/>
  <c r="Q117" i="161"/>
  <c r="S175" i="159"/>
  <c r="Q29" i="161"/>
  <c r="R61" i="161"/>
  <c r="R13" i="154"/>
  <c r="R53" i="162"/>
  <c r="S105" i="159"/>
  <c r="S163" i="155"/>
  <c r="S45" i="159"/>
  <c r="T21" i="156"/>
  <c r="R49" i="163"/>
  <c r="S135" i="157"/>
  <c r="R69" i="159"/>
  <c r="S243" i="155"/>
  <c r="R25" i="159"/>
  <c r="T101" i="156"/>
  <c r="S73" i="160"/>
  <c r="R41" i="160"/>
  <c r="R17" i="161"/>
  <c r="S33" i="162"/>
  <c r="S105" i="161"/>
  <c r="S89" i="159"/>
  <c r="T109" i="155"/>
  <c r="S29" i="159"/>
  <c r="T113" i="155"/>
  <c r="T9" i="159"/>
  <c r="R45" i="161"/>
  <c r="S77" i="161"/>
  <c r="S17" i="156"/>
  <c r="Q69" i="162"/>
  <c r="S199" i="157"/>
  <c r="T93" i="159"/>
  <c r="S121" i="157"/>
  <c r="Q9" i="165"/>
  <c r="Q33" i="161"/>
  <c r="R183" i="157"/>
  <c r="S199" i="159"/>
  <c r="S105" i="160"/>
  <c r="Q77" i="163"/>
  <c r="R117" i="162"/>
  <c r="S131" i="159"/>
  <c r="S211" i="155"/>
  <c r="S235" i="157"/>
  <c r="T97" i="157"/>
  <c r="S239" i="156"/>
  <c r="S81" i="159"/>
  <c r="Q53" i="162"/>
  <c r="S183" i="157"/>
  <c r="T77" i="159"/>
  <c r="S105" i="157"/>
  <c r="S77" i="156"/>
  <c r="R73" i="159"/>
  <c r="Q109" i="157"/>
  <c r="S117" i="163"/>
  <c r="Q17" i="163"/>
  <c r="R155" i="157"/>
  <c r="S57" i="159"/>
  <c r="R69" i="157"/>
  <c r="Q29" i="162"/>
  <c r="Q89" i="160"/>
  <c r="R101" i="159"/>
  <c r="S17" i="154"/>
  <c r="Q93" i="161"/>
  <c r="T13" i="159"/>
  <c r="Q45" i="161"/>
  <c r="S93" i="157"/>
  <c r="R57" i="162"/>
  <c r="Q191" i="157"/>
  <c r="R85" i="159"/>
  <c r="Q89" i="157"/>
  <c r="S121" i="162"/>
  <c r="T117" i="156"/>
  <c r="Q21" i="163"/>
  <c r="S101" i="154"/>
  <c r="Q53" i="157"/>
  <c r="Q243" i="155"/>
  <c r="R109" i="153"/>
  <c r="Q69" i="157"/>
  <c r="Q9" i="155"/>
  <c r="Q117" i="153"/>
  <c r="T89" i="155"/>
  <c r="Q61" i="155"/>
  <c r="R85" i="153"/>
  <c r="T89" i="126"/>
  <c r="S41" i="150"/>
  <c r="R37" i="112"/>
  <c r="Q81" i="162"/>
  <c r="Q171" i="157"/>
  <c r="S41" i="155"/>
  <c r="R41" i="157"/>
  <c r="R159" i="157"/>
  <c r="R215" i="159"/>
  <c r="R57" i="157"/>
  <c r="Q17" i="160"/>
  <c r="S159" i="159"/>
  <c r="R37" i="165"/>
  <c r="Q25" i="159"/>
  <c r="T29" i="155"/>
  <c r="R81" i="160"/>
  <c r="S65" i="154"/>
  <c r="S227" i="159"/>
  <c r="S171" i="155"/>
  <c r="T13" i="156"/>
  <c r="Q69" i="155"/>
  <c r="S215" i="150"/>
  <c r="T93" i="156"/>
  <c r="Q73" i="155"/>
  <c r="R203" i="150"/>
  <c r="S89" i="154"/>
  <c r="Q131" i="156"/>
  <c r="Q105" i="153"/>
  <c r="R101" i="118"/>
  <c r="S21" i="162"/>
  <c r="S89" i="157"/>
  <c r="S53" i="163"/>
  <c r="Q57" i="159"/>
  <c r="S97" i="154"/>
  <c r="T17" i="155"/>
  <c r="S17" i="163"/>
  <c r="R163" i="159"/>
  <c r="S85" i="163"/>
  <c r="T49" i="156"/>
  <c r="Q109" i="161"/>
  <c r="S199" i="155"/>
  <c r="S61" i="155"/>
  <c r="S183" i="156"/>
  <c r="Q203" i="156"/>
  <c r="S239" i="112"/>
  <c r="S199" i="156"/>
  <c r="Q207" i="156"/>
  <c r="S243" i="112"/>
  <c r="R41" i="154"/>
  <c r="Q21" i="156"/>
  <c r="Q207" i="150"/>
  <c r="Q235" i="112"/>
  <c r="R151" i="150"/>
  <c r="Q81" i="163"/>
  <c r="Q9" i="161"/>
  <c r="S155" i="156"/>
  <c r="T85" i="159"/>
  <c r="T81" i="155"/>
  <c r="S151" i="157"/>
  <c r="S73" i="157"/>
  <c r="R41" i="159"/>
  <c r="S73" i="162"/>
  <c r="T85" i="155"/>
  <c r="R97" i="156"/>
  <c r="R97" i="159"/>
  <c r="Q113" i="126"/>
  <c r="Q37" i="154"/>
  <c r="R85" i="155"/>
  <c r="S57" i="118"/>
  <c r="R77" i="162"/>
  <c r="R89" i="162"/>
  <c r="Q195" i="157"/>
  <c r="S117" i="155"/>
  <c r="T97" i="159"/>
  <c r="S73" i="155"/>
  <c r="Q85" i="162"/>
  <c r="Q113" i="160"/>
  <c r="S109" i="156"/>
  <c r="S113" i="156"/>
  <c r="Q49" i="159"/>
  <c r="S195" i="156"/>
  <c r="R143" i="156"/>
  <c r="S105" i="118"/>
  <c r="R117" i="154"/>
  <c r="Q239" i="118"/>
  <c r="S219" i="126"/>
  <c r="Q69" i="159"/>
  <c r="S167" i="157"/>
  <c r="Q93" i="157"/>
  <c r="T61" i="155"/>
  <c r="R147" i="159"/>
  <c r="R105" i="162"/>
  <c r="S113" i="154"/>
  <c r="Q73" i="161"/>
  <c r="R235" i="157"/>
  <c r="S219" i="156"/>
  <c r="Q109" i="159"/>
  <c r="S223" i="156"/>
  <c r="S97" i="159"/>
  <c r="S37" i="154"/>
  <c r="R9" i="155"/>
  <c r="R93" i="126"/>
  <c r="T105" i="157"/>
  <c r="S207" i="118"/>
  <c r="S37" i="159"/>
  <c r="Q235" i="155"/>
  <c r="R105" i="150"/>
  <c r="T9" i="150"/>
  <c r="S203" i="156"/>
  <c r="T93" i="126"/>
  <c r="Q17" i="153"/>
  <c r="T69" i="112"/>
  <c r="R93" i="159"/>
  <c r="T101" i="155"/>
  <c r="Q21" i="159"/>
  <c r="R113" i="156"/>
  <c r="T105" i="118"/>
  <c r="Q37" i="159"/>
  <c r="R117" i="156"/>
  <c r="T93" i="118"/>
  <c r="Q117" i="159"/>
  <c r="Q53" i="154"/>
  <c r="T81" i="118"/>
  <c r="R187" i="156"/>
  <c r="S143" i="126"/>
  <c r="T53" i="118"/>
  <c r="Q106" i="69"/>
  <c r="S113" i="157"/>
  <c r="S117" i="156"/>
  <c r="R41" i="155"/>
  <c r="Q243" i="126"/>
  <c r="Q113" i="150"/>
  <c r="R45" i="155"/>
  <c r="S239" i="118"/>
  <c r="Q117" i="150"/>
  <c r="R97" i="155"/>
  <c r="S243" i="118"/>
  <c r="Q89" i="150"/>
  <c r="S73" i="153"/>
  <c r="S45" i="155"/>
  <c r="S81" i="155"/>
  <c r="Q187" i="156"/>
  <c r="S223" i="112"/>
  <c r="S135" i="156"/>
  <c r="Q191" i="156"/>
  <c r="S227" i="112"/>
  <c r="S73" i="156"/>
  <c r="Q243" i="156"/>
  <c r="R239" i="150"/>
  <c r="R219" i="112"/>
  <c r="R135" i="150"/>
  <c r="S143" i="112"/>
  <c r="S12" i="69"/>
  <c r="S179" i="118"/>
  <c r="Q24" i="69"/>
  <c r="Q131" i="112"/>
  <c r="Q227" i="150"/>
  <c r="R69" i="126"/>
  <c r="R131" i="112"/>
  <c r="Q40" i="69"/>
  <c r="R33" i="118"/>
  <c r="R195" i="155"/>
  <c r="T17" i="150"/>
  <c r="Q139" i="159"/>
  <c r="R219" i="157"/>
  <c r="Q33" i="163"/>
  <c r="R121" i="118"/>
  <c r="T57" i="157"/>
  <c r="T17" i="126"/>
  <c r="R163" i="112"/>
  <c r="R29" i="160"/>
  <c r="R25" i="162"/>
  <c r="T113" i="156"/>
  <c r="Q131" i="157"/>
  <c r="S131" i="156"/>
  <c r="Q29" i="156"/>
  <c r="R53" i="154"/>
  <c r="Q211" i="112"/>
  <c r="Q85" i="156"/>
  <c r="T113" i="112"/>
  <c r="R195" i="112"/>
  <c r="Q65" i="161"/>
  <c r="S13" i="154"/>
  <c r="Q77" i="160"/>
  <c r="T81" i="159"/>
  <c r="T93" i="157"/>
  <c r="Q93" i="159"/>
  <c r="Q167" i="159"/>
  <c r="R21" i="157"/>
  <c r="Q155" i="159"/>
  <c r="S109" i="157"/>
  <c r="R97" i="160"/>
  <c r="T69" i="157"/>
  <c r="R53" i="163"/>
  <c r="Q45" i="154"/>
  <c r="T97" i="150"/>
  <c r="R147" i="156"/>
  <c r="S109" i="118"/>
  <c r="R175" i="155"/>
  <c r="Q243" i="118"/>
  <c r="Q25" i="154"/>
  <c r="R211" i="157"/>
  <c r="S45" i="163"/>
  <c r="T61" i="159"/>
  <c r="R41" i="162"/>
  <c r="S21" i="163"/>
  <c r="R89" i="159"/>
  <c r="S207" i="156"/>
  <c r="Q97" i="163"/>
  <c r="T109" i="157"/>
  <c r="S69" i="160"/>
  <c r="T81" i="157"/>
  <c r="S113" i="160"/>
  <c r="S85" i="156"/>
  <c r="R33" i="156"/>
  <c r="S89" i="153"/>
  <c r="R13" i="155"/>
  <c r="R97" i="126"/>
  <c r="R81" i="157"/>
  <c r="S211" i="118"/>
  <c r="R61" i="154"/>
  <c r="S183" i="150"/>
  <c r="Q243" i="157"/>
  <c r="T45" i="157"/>
  <c r="Q65" i="157"/>
  <c r="R25" i="156"/>
  <c r="R159" i="126"/>
  <c r="Q167" i="112"/>
  <c r="S117" i="154"/>
  <c r="Q117" i="157"/>
  <c r="Q21" i="155"/>
  <c r="Q81" i="153"/>
  <c r="T9" i="155"/>
  <c r="Q25" i="155"/>
  <c r="S203" i="150"/>
  <c r="T45" i="156"/>
  <c r="Q77" i="155"/>
  <c r="R101" i="153"/>
  <c r="S105" i="126"/>
  <c r="S57" i="150"/>
  <c r="S49" i="112"/>
  <c r="R29" i="159"/>
  <c r="T53" i="155"/>
  <c r="S69" i="159"/>
  <c r="R65" i="156"/>
  <c r="Q93" i="126"/>
  <c r="S85" i="159"/>
  <c r="R69" i="156"/>
  <c r="Q81" i="126"/>
  <c r="R49" i="159"/>
  <c r="R121" i="156"/>
  <c r="Q85" i="126"/>
  <c r="R227" i="155"/>
  <c r="T41" i="150"/>
  <c r="S65" i="157"/>
  <c r="S69" i="156"/>
  <c r="R231" i="155"/>
  <c r="R243" i="126"/>
  <c r="R113" i="150"/>
  <c r="R235" i="155"/>
  <c r="Q231" i="126"/>
  <c r="R117" i="150"/>
  <c r="R49" i="155"/>
  <c r="Q235" i="126"/>
  <c r="R89" i="150"/>
  <c r="S25" i="153"/>
  <c r="Q49" i="126"/>
  <c r="Q151" i="112"/>
  <c r="R41" i="153"/>
  <c r="Q45" i="118"/>
  <c r="Q29" i="153"/>
  <c r="Q58" i="69"/>
  <c r="S13" i="153"/>
  <c r="Q37" i="126"/>
  <c r="Q21" i="118"/>
  <c r="S207" i="126"/>
  <c r="T41" i="112"/>
  <c r="R207" i="126"/>
  <c r="S61" i="157"/>
  <c r="R17" i="160"/>
  <c r="R171" i="157"/>
  <c r="Q45" i="159"/>
  <c r="T89" i="156"/>
  <c r="Q171" i="155"/>
  <c r="R33" i="126"/>
  <c r="P174" i="69"/>
  <c r="S187" i="155"/>
  <c r="T77" i="156"/>
  <c r="Q21" i="162"/>
  <c r="T45" i="159"/>
  <c r="S45" i="156"/>
  <c r="Q77" i="157"/>
  <c r="R77" i="159"/>
  <c r="R81" i="159"/>
  <c r="T89" i="118"/>
  <c r="R101" i="156"/>
  <c r="Q53" i="159"/>
  <c r="Q117" i="126"/>
  <c r="T73" i="150"/>
  <c r="Q53" i="161"/>
  <c r="S211" i="159"/>
  <c r="R29" i="154"/>
  <c r="S139" i="156"/>
  <c r="R41" i="161"/>
  <c r="T109" i="159"/>
  <c r="S61" i="154"/>
  <c r="T49" i="159"/>
  <c r="T33" i="155"/>
  <c r="T53" i="159"/>
  <c r="R109" i="157"/>
  <c r="Q93" i="156"/>
  <c r="R9" i="162"/>
  <c r="Q49" i="154"/>
  <c r="T101" i="150"/>
  <c r="R199" i="156"/>
  <c r="S81" i="118"/>
  <c r="R81" i="112"/>
  <c r="Q227" i="159"/>
  <c r="S61" i="156"/>
  <c r="S191" i="159"/>
  <c r="T33" i="156"/>
  <c r="R33" i="160"/>
  <c r="R223" i="157"/>
  <c r="Q25" i="157"/>
  <c r="S171" i="157"/>
  <c r="Q13" i="157"/>
  <c r="Q81" i="160"/>
  <c r="S81" i="157"/>
  <c r="T57" i="159"/>
  <c r="Q179" i="155"/>
  <c r="Q81" i="150"/>
  <c r="R37" i="156"/>
  <c r="R97" i="153"/>
  <c r="R65" i="155"/>
  <c r="R101" i="126"/>
  <c r="Q73" i="156"/>
  <c r="Q117" i="162"/>
  <c r="S143" i="156"/>
  <c r="T113" i="159"/>
  <c r="Q187" i="159"/>
  <c r="R211" i="156"/>
  <c r="S85" i="126"/>
  <c r="Q65" i="126"/>
  <c r="S118" i="69"/>
  <c r="T21" i="157"/>
  <c r="S147" i="156"/>
  <c r="R65" i="154"/>
  <c r="Q45" i="156"/>
  <c r="Q223" i="112"/>
  <c r="R69" i="154"/>
  <c r="Q49" i="156"/>
  <c r="Q227" i="112"/>
  <c r="R121" i="154"/>
  <c r="Q101" i="156"/>
  <c r="R215" i="112"/>
  <c r="S81" i="112"/>
  <c r="R25" i="150"/>
  <c r="S195" i="112"/>
  <c r="S69" i="154"/>
  <c r="R49" i="157"/>
  <c r="Q211" i="155"/>
  <c r="S121" i="153"/>
  <c r="S117" i="157"/>
  <c r="Q215" i="155"/>
  <c r="Q85" i="153"/>
  <c r="Q85" i="157"/>
  <c r="Q29" i="155"/>
  <c r="S97" i="153"/>
  <c r="R239" i="126"/>
  <c r="S49" i="159"/>
  <c r="Q113" i="157"/>
  <c r="Q211" i="157"/>
  <c r="R227" i="159"/>
  <c r="S147" i="159"/>
  <c r="S25" i="155"/>
  <c r="R49" i="154"/>
  <c r="Q207" i="112"/>
  <c r="Q33" i="156"/>
  <c r="R105" i="154"/>
  <c r="S231" i="112"/>
  <c r="R9" i="150"/>
  <c r="S77" i="162"/>
  <c r="R77" i="160"/>
  <c r="Q57" i="161"/>
  <c r="T37" i="156"/>
  <c r="Q29" i="160"/>
  <c r="S215" i="157"/>
  <c r="S85" i="155"/>
  <c r="R105" i="159"/>
  <c r="S89" i="155"/>
  <c r="S187" i="157"/>
  <c r="T25" i="156"/>
  <c r="R113" i="154"/>
  <c r="R235" i="118"/>
  <c r="Q97" i="156"/>
  <c r="Q33" i="160"/>
  <c r="Q101" i="154"/>
  <c r="Q231" i="112"/>
  <c r="Q37" i="162"/>
  <c r="R57" i="159"/>
  <c r="S117" i="162"/>
  <c r="S93" i="156"/>
  <c r="T65" i="157"/>
  <c r="R101" i="162"/>
  <c r="R21" i="159"/>
  <c r="S195" i="155"/>
  <c r="S77" i="159"/>
  <c r="T53" i="156"/>
  <c r="S65" i="159"/>
  <c r="T21" i="155"/>
  <c r="S37" i="157"/>
  <c r="Q211" i="126"/>
  <c r="T73" i="159"/>
  <c r="Q183" i="155"/>
  <c r="Q85" i="150"/>
  <c r="R89" i="156"/>
  <c r="Q113" i="118"/>
  <c r="S41" i="153"/>
  <c r="R25" i="154"/>
  <c r="R73" i="157"/>
  <c r="R207" i="156"/>
  <c r="S81" i="126"/>
  <c r="R97" i="157"/>
  <c r="T77" i="118"/>
  <c r="Q171" i="159"/>
  <c r="R61" i="157"/>
  <c r="R89" i="155"/>
  <c r="S235" i="118"/>
  <c r="R93" i="155"/>
  <c r="R239" i="118"/>
  <c r="S45" i="161"/>
  <c r="R151" i="156"/>
  <c r="R243" i="118"/>
  <c r="T85" i="112"/>
  <c r="R45" i="153"/>
  <c r="Q199" i="150"/>
  <c r="Q41" i="112"/>
  <c r="S93" i="155"/>
  <c r="S105" i="156"/>
  <c r="Q235" i="156"/>
  <c r="R223" i="112"/>
  <c r="S121" i="156"/>
  <c r="Q239" i="156"/>
  <c r="R227" i="112"/>
  <c r="R73" i="154"/>
  <c r="Q53" i="156"/>
  <c r="Q239" i="150"/>
  <c r="Q109" i="150"/>
  <c r="S21" i="154"/>
  <c r="T89" i="157"/>
  <c r="Q163" i="155"/>
  <c r="Q121" i="118"/>
  <c r="T41" i="157"/>
  <c r="Q167" i="155"/>
  <c r="R81" i="153"/>
  <c r="R17" i="157"/>
  <c r="Q219" i="155"/>
  <c r="Q97" i="118"/>
  <c r="Q9" i="156"/>
  <c r="S167" i="150"/>
  <c r="S183" i="118"/>
  <c r="R82" i="69"/>
  <c r="Q147" i="150"/>
  <c r="Q146" i="69"/>
  <c r="R139" i="118"/>
  <c r="Q231" i="156"/>
  <c r="S155" i="150"/>
  <c r="S191" i="118"/>
  <c r="P122" i="69"/>
  <c r="R139" i="126"/>
  <c r="R16" i="69"/>
  <c r="S49" i="153"/>
  <c r="R13" i="159"/>
  <c r="Q13" i="159"/>
  <c r="R85" i="157"/>
  <c r="R121" i="162"/>
  <c r="Q109" i="154"/>
  <c r="Q109" i="118"/>
  <c r="Q113" i="155"/>
  <c r="R171" i="118"/>
  <c r="R191" i="157"/>
  <c r="Q17" i="157"/>
  <c r="Q13" i="161"/>
  <c r="R159" i="156"/>
  <c r="Q203" i="118"/>
  <c r="R117" i="163"/>
  <c r="R163" i="156"/>
  <c r="T81" i="126"/>
  <c r="Q101" i="163"/>
  <c r="R215" i="156"/>
  <c r="T85" i="126"/>
  <c r="Q33" i="153"/>
  <c r="Q57" i="150"/>
  <c r="Q154" i="69"/>
  <c r="T37" i="157"/>
  <c r="S163" i="156"/>
  <c r="R81" i="154"/>
  <c r="Q61" i="156"/>
  <c r="Q239" i="112"/>
  <c r="R85" i="154"/>
  <c r="Q65" i="156"/>
  <c r="Q243" i="112"/>
  <c r="R143" i="155"/>
  <c r="Q117" i="156"/>
  <c r="R231" i="112"/>
  <c r="S97" i="112"/>
  <c r="S85" i="154"/>
  <c r="R113" i="157"/>
  <c r="Q227" i="155"/>
  <c r="R93" i="153"/>
  <c r="R65" i="157"/>
  <c r="Q231" i="155"/>
  <c r="Q101" i="153"/>
  <c r="T25" i="155"/>
  <c r="Q45" i="155"/>
  <c r="S113" i="153"/>
  <c r="Q215" i="118"/>
  <c r="S25" i="150"/>
  <c r="T29" i="112"/>
  <c r="S82" i="69"/>
  <c r="T9" i="118"/>
  <c r="R114" i="69"/>
  <c r="S13" i="112"/>
  <c r="Q207" i="126"/>
  <c r="S29" i="150"/>
  <c r="S25" i="112"/>
  <c r="R66" i="69"/>
  <c r="R37" i="150"/>
  <c r="Q97" i="160"/>
  <c r="R53" i="153"/>
  <c r="S89" i="161"/>
  <c r="S65" i="156"/>
  <c r="S61" i="161"/>
  <c r="S235" i="155"/>
  <c r="S239" i="155"/>
  <c r="Q195" i="156"/>
  <c r="R73" i="150"/>
  <c r="P170" i="69"/>
  <c r="S13" i="155"/>
  <c r="S223" i="155"/>
  <c r="Q155" i="156"/>
  <c r="Q231" i="150"/>
  <c r="S33" i="155"/>
  <c r="Q159" i="156"/>
  <c r="Q235" i="150"/>
  <c r="S215" i="156"/>
  <c r="Q211" i="156"/>
  <c r="R207" i="150"/>
  <c r="Q211" i="150"/>
  <c r="R49" i="126"/>
  <c r="S131" i="112"/>
  <c r="Q97" i="159"/>
  <c r="T57" i="156"/>
  <c r="Q77" i="154"/>
  <c r="R89" i="118"/>
  <c r="Q81" i="154"/>
  <c r="R109" i="118"/>
  <c r="Q139" i="155"/>
  <c r="S113" i="118"/>
  <c r="Q191" i="155"/>
  <c r="R17" i="156"/>
  <c r="R81" i="126"/>
  <c r="S25" i="156"/>
  <c r="R155" i="126"/>
  <c r="T69" i="126"/>
  <c r="S158" i="69"/>
  <c r="Q113" i="154"/>
  <c r="Q81" i="159"/>
  <c r="Q109" i="156"/>
  <c r="Q89" i="155"/>
  <c r="T117" i="150"/>
  <c r="Q117" i="154"/>
  <c r="Q121" i="153"/>
  <c r="R97" i="112"/>
  <c r="R135" i="118"/>
  <c r="Q17" i="159"/>
  <c r="S139" i="155"/>
  <c r="R105" i="155"/>
  <c r="T121" i="118"/>
  <c r="T73" i="155"/>
  <c r="Q207" i="118"/>
  <c r="Q93" i="155"/>
  <c r="R29" i="161"/>
  <c r="S159" i="126"/>
  <c r="T69" i="155"/>
  <c r="R21" i="154"/>
  <c r="S203" i="118"/>
  <c r="R33" i="159"/>
  <c r="Q17" i="156"/>
  <c r="T81" i="112"/>
  <c r="Q21" i="154"/>
  <c r="S215" i="112"/>
  <c r="R13" i="153"/>
  <c r="R61" i="118"/>
  <c r="Q97" i="155"/>
  <c r="S33" i="126"/>
  <c r="Q171" i="126"/>
  <c r="R109" i="150"/>
  <c r="Q155" i="150"/>
  <c r="P138" i="69"/>
  <c r="R57" i="118"/>
  <c r="T121" i="126"/>
  <c r="R17" i="150"/>
  <c r="S41" i="159"/>
  <c r="S163" i="159"/>
  <c r="R21" i="163"/>
  <c r="S159" i="155"/>
  <c r="Q219" i="150"/>
  <c r="S191" i="126"/>
  <c r="S94" i="69"/>
  <c r="Q81" i="157"/>
  <c r="R211" i="126"/>
  <c r="S243" i="159"/>
  <c r="Q135" i="155"/>
  <c r="R85" i="150"/>
  <c r="R41" i="156"/>
  <c r="R113" i="118"/>
  <c r="Q113" i="112"/>
  <c r="R21" i="118"/>
  <c r="T21" i="159"/>
  <c r="S203" i="155"/>
  <c r="R151" i="155"/>
  <c r="Q219" i="118"/>
  <c r="S73" i="154"/>
  <c r="S215" i="126"/>
  <c r="R183" i="159"/>
  <c r="Q163" i="156"/>
  <c r="T105" i="150"/>
  <c r="Q49" i="153"/>
  <c r="T53" i="157"/>
  <c r="S179" i="156"/>
  <c r="R97" i="154"/>
  <c r="Q77" i="156"/>
  <c r="T81" i="150"/>
  <c r="R101" i="154"/>
  <c r="Q81" i="156"/>
  <c r="T85" i="150"/>
  <c r="R159" i="155"/>
  <c r="S203" i="126"/>
  <c r="Q215" i="112"/>
  <c r="S113" i="112"/>
  <c r="R57" i="150"/>
  <c r="Q159" i="118"/>
  <c r="S227" i="150"/>
  <c r="S139" i="112"/>
  <c r="T117" i="118"/>
  <c r="R154" i="69"/>
  <c r="S101" i="112"/>
  <c r="R61" i="150"/>
  <c r="S179" i="112"/>
  <c r="S231" i="156"/>
  <c r="R155" i="118"/>
  <c r="Q121" i="154"/>
  <c r="S199" i="126"/>
  <c r="R179" i="118"/>
  <c r="R187" i="118"/>
  <c r="S37" i="155"/>
  <c r="S17" i="157"/>
  <c r="Q49" i="118"/>
  <c r="Q195" i="155"/>
  <c r="R113" i="153"/>
  <c r="S223" i="126"/>
  <c r="Q97" i="157"/>
  <c r="R57" i="156"/>
  <c r="T117" i="157"/>
  <c r="S97" i="150"/>
  <c r="R223" i="155"/>
  <c r="Q175" i="126"/>
  <c r="S21" i="153"/>
  <c r="Q147" i="118"/>
  <c r="S57" i="126"/>
  <c r="S50" i="69"/>
  <c r="R13" i="126"/>
  <c r="S21" i="157"/>
  <c r="T21" i="126"/>
  <c r="S13" i="118"/>
  <c r="Q174" i="69"/>
  <c r="R57" i="153"/>
  <c r="Q53" i="112"/>
  <c r="R227" i="150"/>
  <c r="R41" i="126"/>
  <c r="T77" i="112"/>
  <c r="R4" i="69"/>
  <c r="P58" i="69"/>
  <c r="S171" i="112"/>
  <c r="T85" i="118"/>
  <c r="R163" i="126"/>
  <c r="R57" i="112"/>
  <c r="P78" i="69"/>
  <c r="Q77" i="126"/>
  <c r="Q101" i="157"/>
  <c r="Q73" i="153"/>
  <c r="R13" i="118"/>
  <c r="R142" i="69"/>
  <c r="S109" i="112"/>
  <c r="T21" i="150"/>
  <c r="Q62" i="69"/>
  <c r="S61" i="153"/>
  <c r="Q139" i="150"/>
  <c r="Q69" i="118"/>
  <c r="Q93" i="153"/>
  <c r="S155" i="112"/>
  <c r="R231" i="118"/>
  <c r="S33" i="150"/>
  <c r="S29" i="112"/>
  <c r="P82" i="69"/>
  <c r="S138" i="69"/>
  <c r="Q122" i="69"/>
  <c r="S89" i="150"/>
  <c r="R29" i="155"/>
  <c r="S17" i="155"/>
  <c r="Q17" i="118"/>
  <c r="Q175" i="150"/>
  <c r="T101" i="112"/>
  <c r="P62" i="69"/>
  <c r="S109" i="126"/>
  <c r="T89" i="159"/>
  <c r="T65" i="126"/>
  <c r="Q73" i="150"/>
  <c r="S33" i="118"/>
  <c r="Q203" i="112"/>
  <c r="S73" i="159"/>
  <c r="R97" i="118"/>
  <c r="T85" i="157"/>
  <c r="R135" i="155"/>
  <c r="S121" i="118"/>
  <c r="S9" i="154"/>
  <c r="Q113" i="156"/>
  <c r="Q147" i="156"/>
  <c r="T89" i="150"/>
  <c r="S17" i="126"/>
  <c r="T61" i="112"/>
  <c r="S25" i="162"/>
  <c r="Q13" i="154"/>
  <c r="Q97" i="153"/>
  <c r="R109" i="155"/>
  <c r="T109" i="118"/>
  <c r="T109" i="156"/>
  <c r="Q211" i="118"/>
  <c r="R45" i="156"/>
  <c r="R61" i="159"/>
  <c r="S109" i="155"/>
  <c r="R57" i="155"/>
  <c r="Q109" i="126"/>
  <c r="R37" i="154"/>
  <c r="R207" i="118"/>
  <c r="R113" i="159"/>
  <c r="Q69" i="156"/>
  <c r="Q105" i="150"/>
  <c r="T57" i="150"/>
  <c r="S175" i="112"/>
  <c r="T61" i="126"/>
  <c r="R143" i="118"/>
  <c r="Q69" i="112"/>
  <c r="S77" i="153"/>
  <c r="T41" i="118"/>
  <c r="R20" i="69"/>
  <c r="S187" i="112"/>
  <c r="T121" i="112"/>
  <c r="S101" i="165"/>
  <c r="T65" i="155"/>
  <c r="S223" i="159"/>
  <c r="S135" i="155"/>
  <c r="Q139" i="156"/>
  <c r="S151" i="156"/>
  <c r="T13" i="118"/>
  <c r="T101" i="159"/>
  <c r="T105" i="156"/>
  <c r="R199" i="155"/>
  <c r="T109" i="126"/>
  <c r="R231" i="126"/>
  <c r="R207" i="157"/>
  <c r="Q187" i="155"/>
  <c r="S105" i="150"/>
  <c r="T33" i="126"/>
  <c r="S167" i="118"/>
  <c r="S227" i="156"/>
  <c r="R175" i="156"/>
  <c r="R215" i="150"/>
  <c r="R155" i="155"/>
  <c r="T97" i="126"/>
  <c r="S49" i="155"/>
  <c r="R203" i="126"/>
  <c r="R93" i="157"/>
  <c r="R93" i="161"/>
  <c r="R121" i="155"/>
  <c r="R219" i="118"/>
  <c r="R49" i="160"/>
  <c r="R131" i="156"/>
  <c r="Q223" i="118"/>
  <c r="R73" i="162"/>
  <c r="R183" i="156"/>
  <c r="Q227" i="118"/>
  <c r="S53" i="159"/>
  <c r="R77" i="153"/>
  <c r="Q25" i="150"/>
  <c r="Q73" i="112"/>
  <c r="S139" i="126"/>
  <c r="R191" i="126"/>
  <c r="S195" i="150"/>
  <c r="R40" i="69"/>
  <c r="R65" i="153"/>
  <c r="Q29" i="150"/>
  <c r="Q13" i="112"/>
  <c r="R109" i="112"/>
  <c r="Q29" i="118"/>
  <c r="S117" i="118"/>
  <c r="R167" i="126"/>
  <c r="Q183" i="118"/>
  <c r="S98" i="69"/>
  <c r="Q9" i="157"/>
  <c r="S113" i="150"/>
  <c r="S105" i="153"/>
  <c r="Q21" i="157"/>
  <c r="S199" i="150"/>
  <c r="S203" i="157"/>
  <c r="R243" i="156"/>
  <c r="S117" i="126"/>
  <c r="S243" i="156"/>
  <c r="R171" i="155"/>
  <c r="R219" i="126"/>
  <c r="Q33" i="118"/>
  <c r="R106" i="69"/>
  <c r="Q73" i="154"/>
  <c r="Q199" i="126"/>
  <c r="Q33" i="126"/>
  <c r="S53" i="118"/>
  <c r="Q207" i="155"/>
  <c r="S53" i="126"/>
  <c r="R175" i="118"/>
  <c r="P118" i="69"/>
  <c r="S179" i="150"/>
  <c r="Q12" i="69"/>
  <c r="Q121" i="112"/>
  <c r="Q9" i="126"/>
  <c r="Q57" i="118"/>
  <c r="R223" i="126"/>
  <c r="T109" i="150"/>
  <c r="S110" i="69"/>
  <c r="R85" i="112"/>
  <c r="Q131" i="126"/>
  <c r="S199" i="112"/>
  <c r="R171" i="156"/>
  <c r="R183" i="118"/>
  <c r="Q223" i="155"/>
  <c r="S25" i="126"/>
  <c r="R163" i="118"/>
  <c r="Q86" i="69"/>
  <c r="R77" i="118"/>
  <c r="R53" i="150"/>
  <c r="R179" i="155"/>
  <c r="T45" i="150"/>
  <c r="S45" i="118"/>
  <c r="P158" i="69"/>
  <c r="T45" i="126"/>
  <c r="R162" i="69"/>
  <c r="T105" i="112"/>
  <c r="R191" i="150"/>
  <c r="R187" i="112"/>
  <c r="S41" i="154"/>
  <c r="R45" i="154"/>
  <c r="R53" i="157"/>
  <c r="R74" i="69"/>
  <c r="R81" i="155"/>
  <c r="S97" i="155"/>
  <c r="Q97" i="154"/>
  <c r="S37" i="126"/>
  <c r="R151" i="112"/>
  <c r="S45" i="150"/>
  <c r="T69" i="150"/>
  <c r="S65" i="150"/>
  <c r="T37" i="118"/>
  <c r="T29" i="150"/>
  <c r="S61" i="159"/>
  <c r="R143" i="157"/>
  <c r="R73" i="156"/>
  <c r="T21" i="118"/>
  <c r="R147" i="150"/>
  <c r="R150" i="69"/>
  <c r="Q239" i="159"/>
  <c r="T97" i="155"/>
  <c r="Q41" i="150"/>
  <c r="T41" i="156"/>
  <c r="Q61" i="154"/>
  <c r="S231" i="150"/>
  <c r="R139" i="155"/>
  <c r="R93" i="118"/>
  <c r="S191" i="155"/>
  <c r="S235" i="126"/>
  <c r="Q89" i="154"/>
  <c r="R175" i="126"/>
  <c r="Q191" i="118"/>
  <c r="R77" i="157"/>
  <c r="Q85" i="159"/>
  <c r="Q37" i="155"/>
  <c r="S89" i="162"/>
  <c r="Q17" i="154"/>
  <c r="S219" i="150"/>
  <c r="R167" i="156"/>
  <c r="T97" i="118"/>
  <c r="R121" i="126"/>
  <c r="R17" i="154"/>
  <c r="R81" i="156"/>
  <c r="R239" i="112"/>
  <c r="R61" i="155"/>
  <c r="Q97" i="126"/>
  <c r="R89" i="154"/>
  <c r="R211" i="118"/>
  <c r="R21" i="155"/>
  <c r="R199" i="150"/>
  <c r="Q9" i="112"/>
  <c r="R45" i="126"/>
  <c r="R147" i="155"/>
  <c r="P16" i="69"/>
  <c r="T61" i="150"/>
  <c r="S147" i="112"/>
  <c r="R203" i="112"/>
  <c r="R130" i="69"/>
  <c r="S135" i="126"/>
  <c r="S121" i="159"/>
  <c r="Q89" i="159"/>
  <c r="Q235" i="159"/>
  <c r="Q215" i="150"/>
  <c r="S239" i="150"/>
  <c r="R13" i="112"/>
  <c r="S37" i="156"/>
  <c r="R223" i="156"/>
  <c r="Q89" i="118"/>
  <c r="R203" i="155"/>
  <c r="S97" i="126"/>
  <c r="T121" i="157"/>
  <c r="Q203" i="126"/>
  <c r="S105" i="154"/>
  <c r="S135" i="150"/>
  <c r="Q65" i="118"/>
  <c r="T101" i="157"/>
  <c r="Q121" i="162"/>
  <c r="Q101" i="155"/>
  <c r="S81" i="150"/>
  <c r="R179" i="156"/>
  <c r="R235" i="150"/>
  <c r="R207" i="155"/>
  <c r="T101" i="126"/>
  <c r="R89" i="153"/>
  <c r="Q33" i="159"/>
  <c r="T9" i="156"/>
  <c r="Q29" i="154"/>
  <c r="S89" i="118"/>
  <c r="Q33" i="154"/>
  <c r="S93" i="118"/>
  <c r="Q85" i="154"/>
  <c r="T113" i="118"/>
  <c r="R109" i="156"/>
  <c r="S175" i="126"/>
  <c r="S77" i="118"/>
  <c r="S130" i="69"/>
  <c r="R179" i="150"/>
  <c r="R69" i="112"/>
  <c r="Q21" i="150"/>
  <c r="R203" i="156"/>
  <c r="S163" i="126"/>
  <c r="R147" i="118"/>
  <c r="Q102" i="69"/>
  <c r="S29" i="126"/>
  <c r="R122" i="69"/>
  <c r="R89" i="112"/>
  <c r="Q135" i="126"/>
  <c r="Q74" i="69"/>
  <c r="R29" i="156"/>
  <c r="Q231" i="159"/>
  <c r="R239" i="155"/>
  <c r="S53" i="154"/>
  <c r="S53" i="157"/>
  <c r="Q13" i="155"/>
  <c r="R29" i="112"/>
  <c r="R239" i="156"/>
  <c r="S113" i="126"/>
  <c r="S65" i="155"/>
  <c r="R167" i="155"/>
  <c r="S231" i="126"/>
  <c r="T121" i="150"/>
  <c r="Q109" i="112"/>
  <c r="R117" i="112"/>
  <c r="R9" i="112"/>
  <c r="T45" i="118"/>
  <c r="S162" i="69"/>
  <c r="Q187" i="118"/>
  <c r="S85" i="153"/>
  <c r="R21" i="126"/>
  <c r="R73" i="112"/>
  <c r="S8" i="69"/>
  <c r="Q195" i="150"/>
  <c r="S167" i="156"/>
  <c r="T41" i="126"/>
  <c r="T29" i="118"/>
  <c r="R170" i="69"/>
  <c r="R21" i="156"/>
  <c r="R85" i="126"/>
  <c r="S170" i="69"/>
  <c r="S143" i="155"/>
  <c r="Q77" i="153"/>
  <c r="R139" i="157"/>
  <c r="S106" i="69"/>
  <c r="S211" i="156"/>
  <c r="Q85" i="155"/>
  <c r="T113" i="150"/>
  <c r="Q65" i="154"/>
  <c r="R219" i="150"/>
  <c r="R191" i="155"/>
  <c r="S97" i="118"/>
  <c r="Q117" i="118"/>
  <c r="Q143" i="126"/>
  <c r="T117" i="155"/>
  <c r="T57" i="155"/>
  <c r="R203" i="118"/>
  <c r="Q101" i="159"/>
  <c r="Q41" i="155"/>
  <c r="R113" i="160"/>
  <c r="Q69" i="154"/>
  <c r="R117" i="153"/>
  <c r="R61" i="153"/>
  <c r="R29" i="157"/>
  <c r="R17" i="159"/>
  <c r="Q13" i="156"/>
  <c r="T93" i="112"/>
  <c r="R85" i="156"/>
  <c r="R243" i="112"/>
  <c r="R113" i="155"/>
  <c r="Q101" i="126"/>
  <c r="T97" i="112"/>
  <c r="Q167" i="150"/>
  <c r="S114" i="69"/>
  <c r="T25" i="112"/>
  <c r="T53" i="150"/>
  <c r="R243" i="155"/>
  <c r="R187" i="150"/>
  <c r="Q139" i="112"/>
  <c r="T37" i="150"/>
  <c r="R219" i="156"/>
  <c r="S49" i="150"/>
  <c r="R121" i="157"/>
  <c r="T93" i="155"/>
  <c r="Q143" i="156"/>
  <c r="S243" i="150"/>
  <c r="Q175" i="118"/>
  <c r="S33" i="157"/>
  <c r="Q131" i="155"/>
  <c r="R81" i="150"/>
  <c r="R227" i="156"/>
  <c r="S93" i="153"/>
  <c r="R17" i="155"/>
  <c r="S101" i="126"/>
  <c r="Q151" i="156"/>
  <c r="Q17" i="126"/>
  <c r="P150" i="69"/>
  <c r="Q33" i="157"/>
  <c r="S57" i="154"/>
  <c r="S211" i="126"/>
  <c r="Q77" i="161"/>
  <c r="Q105" i="155"/>
  <c r="S85" i="150"/>
  <c r="R231" i="156"/>
  <c r="S207" i="150"/>
  <c r="R113" i="112"/>
  <c r="S155" i="155"/>
  <c r="T121" i="155"/>
  <c r="Q53" i="155"/>
  <c r="Q113" i="153"/>
  <c r="T29" i="156"/>
  <c r="Q57" i="155"/>
  <c r="S235" i="150"/>
  <c r="S25" i="154"/>
  <c r="Q109" i="155"/>
  <c r="Q89" i="153"/>
  <c r="S85" i="118"/>
  <c r="R143" i="126"/>
  <c r="R53" i="112"/>
  <c r="Q36" i="69"/>
  <c r="T49" i="118"/>
  <c r="R62" i="69"/>
  <c r="T57" i="112"/>
  <c r="S121" i="126"/>
  <c r="R131" i="126"/>
  <c r="S37" i="112"/>
  <c r="S74" i="69"/>
  <c r="Q29" i="126"/>
  <c r="Q41" i="153"/>
  <c r="Q49" i="150"/>
  <c r="S151" i="150"/>
  <c r="S171" i="126"/>
  <c r="S65" i="126"/>
  <c r="S101" i="157"/>
  <c r="Q199" i="155"/>
  <c r="S81" i="153"/>
  <c r="S33" i="159"/>
  <c r="S93" i="126"/>
  <c r="T25" i="159"/>
  <c r="T49" i="126"/>
  <c r="S227" i="126"/>
  <c r="S101" i="150"/>
  <c r="Q81" i="112"/>
  <c r="R191" i="112"/>
  <c r="Q163" i="126"/>
  <c r="Q81" i="155"/>
  <c r="S151" i="112"/>
  <c r="Q219" i="112"/>
  <c r="Q118" i="69"/>
  <c r="Q85" i="112"/>
  <c r="Q179" i="126"/>
  <c r="Q163" i="118"/>
  <c r="Q239" i="155"/>
  <c r="R25" i="112"/>
  <c r="Q183" i="156"/>
  <c r="S73" i="126"/>
  <c r="S175" i="118"/>
  <c r="Q70" i="69"/>
  <c r="R179" i="112"/>
  <c r="R17" i="118"/>
  <c r="Q41" i="154"/>
  <c r="S195" i="126"/>
  <c r="S155" i="118"/>
  <c r="P98" i="69"/>
  <c r="S77" i="126"/>
  <c r="P66" i="69"/>
  <c r="R121" i="112"/>
  <c r="Q167" i="126"/>
  <c r="Q9" i="118"/>
  <c r="Q33" i="155"/>
  <c r="T105" i="159"/>
  <c r="Q37" i="112"/>
  <c r="S93" i="150"/>
  <c r="R171" i="150"/>
  <c r="R155" i="112"/>
  <c r="P32" i="69"/>
  <c r="S37" i="118"/>
  <c r="R155" i="156"/>
  <c r="T65" i="150"/>
  <c r="T61" i="118"/>
  <c r="Q126" i="69"/>
  <c r="S183" i="112"/>
  <c r="Q41" i="118"/>
  <c r="R183" i="155"/>
  <c r="Q227" i="126"/>
  <c r="Q183" i="112"/>
  <c r="S203" i="112"/>
  <c r="S49" i="126"/>
  <c r="P54" i="69"/>
  <c r="Q20" i="69"/>
  <c r="R167" i="112"/>
  <c r="R13" i="156"/>
  <c r="Q135" i="118"/>
  <c r="R167" i="118"/>
  <c r="Q57" i="163"/>
  <c r="T17" i="157"/>
  <c r="Q191" i="126"/>
  <c r="S41" i="156"/>
  <c r="Q223" i="156"/>
  <c r="Q223" i="150"/>
  <c r="Q105" i="118"/>
  <c r="S69" i="157"/>
  <c r="T37" i="159"/>
  <c r="Q235" i="118"/>
  <c r="Q65" i="153"/>
  <c r="Q159" i="126"/>
  <c r="R9" i="118"/>
  <c r="S211" i="150"/>
  <c r="Q33" i="112"/>
  <c r="S53" i="153"/>
  <c r="P70" i="69"/>
  <c r="S29" i="153"/>
  <c r="Q53" i="126"/>
  <c r="Q37" i="118"/>
  <c r="R105" i="126"/>
  <c r="S61" i="112"/>
  <c r="Q223" i="126"/>
  <c r="S191" i="150"/>
  <c r="T13" i="112"/>
  <c r="Q66" i="69"/>
  <c r="Q199" i="112"/>
  <c r="T65" i="118"/>
  <c r="Q65" i="155"/>
  <c r="S69" i="126"/>
  <c r="S187" i="118"/>
  <c r="P126" i="69"/>
  <c r="S21" i="150"/>
  <c r="P20" i="69"/>
  <c r="S17" i="153"/>
  <c r="Q25" i="126"/>
  <c r="Q73" i="118"/>
  <c r="S231" i="118"/>
  <c r="Q121" i="126"/>
  <c r="Q170" i="69"/>
  <c r="S85" i="112"/>
  <c r="R45" i="150"/>
  <c r="R183" i="112"/>
  <c r="S135" i="118"/>
  <c r="Q57" i="154"/>
  <c r="S183" i="126"/>
  <c r="S131" i="118"/>
  <c r="P102" i="69"/>
  <c r="S215" i="159"/>
  <c r="R45" i="118"/>
  <c r="Q101" i="150"/>
  <c r="Q171" i="156"/>
  <c r="Q93" i="154"/>
  <c r="P94" i="69"/>
  <c r="R166" i="69"/>
  <c r="R17" i="153"/>
  <c r="S69" i="163"/>
  <c r="S151" i="126"/>
  <c r="Q130" i="69"/>
  <c r="S45" i="153"/>
  <c r="R77" i="161"/>
  <c r="S243" i="126"/>
  <c r="S113" i="159"/>
  <c r="R109" i="126"/>
  <c r="S101" i="159"/>
  <c r="T25" i="150"/>
  <c r="S53" i="156"/>
  <c r="R219" i="155"/>
  <c r="Q219" i="126"/>
  <c r="S219" i="155"/>
  <c r="S175" i="155"/>
  <c r="Q179" i="156"/>
  <c r="S69" i="112"/>
  <c r="Q155" i="118"/>
  <c r="P4" i="69"/>
  <c r="R143" i="150"/>
  <c r="R65" i="126"/>
  <c r="Q53" i="150"/>
  <c r="R61" i="156"/>
  <c r="S179" i="126"/>
  <c r="S139" i="118"/>
  <c r="R102" i="69"/>
  <c r="S45" i="126"/>
  <c r="Q50" i="69"/>
  <c r="R105" i="112"/>
  <c r="Q151" i="126"/>
  <c r="Q199" i="118"/>
  <c r="Q175" i="155"/>
  <c r="R183" i="150"/>
  <c r="Q61" i="150"/>
  <c r="S101" i="153"/>
  <c r="S122" i="69"/>
  <c r="R33" i="112"/>
  <c r="R37" i="153"/>
  <c r="R235" i="156"/>
  <c r="S9" i="156"/>
  <c r="Q171" i="150"/>
  <c r="S40" i="69"/>
  <c r="R45" i="159"/>
  <c r="R235" i="126"/>
  <c r="Q219" i="156"/>
  <c r="R57" i="154"/>
  <c r="S159" i="112"/>
  <c r="Q81" i="118"/>
  <c r="R191" i="156"/>
  <c r="R9" i="156"/>
  <c r="S166" i="69"/>
  <c r="Q69" i="153"/>
  <c r="S175" i="150"/>
  <c r="S29" i="118"/>
  <c r="Q163" i="112"/>
  <c r="T13" i="150"/>
  <c r="T9" i="112"/>
  <c r="R28" i="69"/>
  <c r="Q166" i="69"/>
  <c r="S65" i="153"/>
  <c r="R53" i="118"/>
  <c r="R33" i="157"/>
  <c r="R9" i="153"/>
  <c r="Q37" i="157"/>
  <c r="R37" i="126"/>
  <c r="Q179" i="118"/>
  <c r="Q13" i="153"/>
  <c r="R93" i="154"/>
  <c r="S143" i="150"/>
  <c r="R135" i="112"/>
  <c r="S73" i="150"/>
  <c r="Q179" i="150"/>
  <c r="T105" i="126"/>
  <c r="Q13" i="150"/>
  <c r="P130" i="69"/>
  <c r="Q187" i="126"/>
  <c r="T101" i="118"/>
  <c r="R65" i="150"/>
  <c r="S49" i="154"/>
  <c r="R25" i="155"/>
  <c r="S163" i="150"/>
  <c r="R69" i="150"/>
  <c r="R121" i="161"/>
  <c r="R105" i="156"/>
  <c r="Q117" i="155"/>
  <c r="R195" i="126"/>
  <c r="R126" i="69"/>
  <c r="R109" i="154"/>
  <c r="P40" i="69"/>
  <c r="T117" i="112"/>
  <c r="Q147" i="157"/>
  <c r="S167" i="126"/>
  <c r="Q98" i="69"/>
  <c r="T61" i="156"/>
  <c r="S17" i="118"/>
  <c r="P154" i="69"/>
  <c r="R143" i="112"/>
  <c r="R24" i="69"/>
  <c r="Q139" i="126"/>
  <c r="Q93" i="150"/>
  <c r="R49" i="118"/>
  <c r="R41" i="150"/>
  <c r="R121" i="153"/>
  <c r="Q101" i="118"/>
  <c r="S131" i="150"/>
  <c r="S70" i="69"/>
  <c r="R50" i="69"/>
  <c r="T9" i="126"/>
  <c r="S28" i="69"/>
  <c r="Q143" i="112"/>
  <c r="S211" i="112"/>
  <c r="Q57" i="156"/>
  <c r="R73" i="118"/>
  <c r="R139" i="112"/>
  <c r="R171" i="126"/>
  <c r="R147" i="112"/>
  <c r="P50" i="69"/>
  <c r="R138" i="69"/>
  <c r="R175" i="112"/>
  <c r="Q143" i="150"/>
  <c r="S159" i="118"/>
  <c r="Q191" i="112"/>
  <c r="R159" i="118"/>
  <c r="T29" i="126"/>
  <c r="S154" i="69"/>
  <c r="S69" i="150"/>
  <c r="Q45" i="112"/>
  <c r="R199" i="126"/>
  <c r="R199" i="118"/>
  <c r="Q82" i="69"/>
  <c r="Q159" i="150"/>
  <c r="Q155" i="155"/>
  <c r="S191" i="112"/>
  <c r="T77" i="126"/>
  <c r="Q73" i="162"/>
  <c r="P166" i="69"/>
  <c r="R207" i="112"/>
  <c r="Q37" i="156"/>
  <c r="T121" i="156"/>
  <c r="Q151" i="155"/>
  <c r="Q215" i="156"/>
  <c r="Q37" i="163"/>
  <c r="T117" i="126"/>
  <c r="S147" i="150"/>
  <c r="Q77" i="112"/>
  <c r="Q57" i="126"/>
  <c r="R54" i="69"/>
  <c r="S89" i="156"/>
  <c r="S171" i="150"/>
  <c r="S135" i="112"/>
  <c r="T13" i="126"/>
  <c r="Q28" i="69"/>
  <c r="T33" i="150"/>
  <c r="R171" i="112"/>
  <c r="S117" i="153"/>
  <c r="R77" i="126"/>
  <c r="R105" i="153"/>
  <c r="Q195" i="126"/>
  <c r="P146" i="69"/>
  <c r="Q37" i="150"/>
  <c r="Q41" i="156"/>
  <c r="R57" i="126"/>
  <c r="S150" i="69"/>
  <c r="T45" i="112"/>
  <c r="R65" i="112"/>
  <c r="R49" i="153"/>
  <c r="T57" i="118"/>
  <c r="R70" i="69"/>
  <c r="Q171" i="118"/>
  <c r="S121" i="112"/>
  <c r="Q33" i="150"/>
  <c r="Q4" i="69"/>
  <c r="S159" i="156"/>
  <c r="Q97" i="150"/>
  <c r="Q175" i="156"/>
  <c r="R25" i="126"/>
  <c r="R13" i="150"/>
  <c r="S102" i="69"/>
  <c r="R211" i="155"/>
  <c r="R155" i="150"/>
  <c r="S131" i="155"/>
  <c r="S65" i="112"/>
  <c r="S21" i="159"/>
  <c r="R117" i="126"/>
  <c r="S49" i="157"/>
  <c r="Q215" i="126"/>
  <c r="S9" i="153"/>
  <c r="R231" i="150"/>
  <c r="S223" i="150"/>
  <c r="T73" i="118"/>
  <c r="T65" i="112"/>
  <c r="S21" i="118"/>
  <c r="P8" i="69"/>
  <c r="R147" i="126"/>
  <c r="R199" i="112"/>
  <c r="Q93" i="112"/>
  <c r="S85" i="157"/>
  <c r="S9" i="126"/>
  <c r="S57" i="112"/>
  <c r="S9" i="150"/>
  <c r="S13" i="126"/>
  <c r="P28" i="69"/>
  <c r="R33" i="153"/>
  <c r="Q187" i="150"/>
  <c r="Q171" i="112"/>
  <c r="T89" i="112"/>
  <c r="Q139" i="118"/>
  <c r="Q105" i="126"/>
  <c r="R135" i="126"/>
  <c r="S41" i="112"/>
  <c r="S32" i="69"/>
  <c r="Q57" i="112"/>
  <c r="S73" i="118"/>
  <c r="Q167" i="156"/>
  <c r="S139" i="150"/>
  <c r="R191" i="118"/>
  <c r="P106" i="69"/>
  <c r="S33" i="153"/>
  <c r="Q41" i="126"/>
  <c r="S89" i="126"/>
  <c r="Q93" i="118"/>
  <c r="R45" i="112"/>
  <c r="Q61" i="112"/>
  <c r="S54" i="69"/>
  <c r="Q135" i="156"/>
  <c r="Q32" i="69"/>
  <c r="R77" i="112"/>
  <c r="Q143" i="118"/>
  <c r="R93" i="156"/>
  <c r="S101" i="118"/>
  <c r="S117" i="159"/>
  <c r="S37" i="153"/>
  <c r="T53" i="112"/>
  <c r="S239" i="126"/>
  <c r="R163" i="150"/>
  <c r="Q17" i="112"/>
  <c r="S101" i="156"/>
  <c r="P114" i="69"/>
  <c r="R69" i="153"/>
  <c r="Q89" i="156"/>
  <c r="S21" i="156"/>
  <c r="S57" i="156"/>
  <c r="R93" i="150"/>
  <c r="T25" i="157"/>
  <c r="S109" i="153"/>
  <c r="Q49" i="157"/>
  <c r="R195" i="156"/>
  <c r="T73" i="157"/>
  <c r="R187" i="126"/>
  <c r="R25" i="153"/>
  <c r="R151" i="118"/>
  <c r="R195" i="150"/>
  <c r="Q25" i="156"/>
  <c r="R139" i="150"/>
  <c r="R146" i="69"/>
  <c r="R29" i="126"/>
  <c r="R53" i="155"/>
  <c r="R159" i="150"/>
  <c r="Q175" i="112"/>
  <c r="Q151" i="150"/>
  <c r="Q13" i="118"/>
  <c r="Q101" i="112"/>
  <c r="R25" i="118"/>
  <c r="S16" i="69"/>
  <c r="S33" i="112"/>
  <c r="Q243" i="150"/>
  <c r="R37" i="118"/>
  <c r="S62" i="69"/>
  <c r="P74" i="69"/>
  <c r="Q8" i="69"/>
  <c r="S147" i="126"/>
  <c r="R41" i="112"/>
  <c r="S93" i="112"/>
  <c r="S126" i="69"/>
  <c r="Q25" i="153"/>
  <c r="T37" i="112"/>
  <c r="R69" i="118"/>
  <c r="R215" i="126"/>
  <c r="S227" i="118"/>
  <c r="Q227" i="156"/>
  <c r="Q49" i="155"/>
  <c r="P24" i="69"/>
  <c r="T17" i="112"/>
  <c r="R89" i="126"/>
  <c r="R21" i="150"/>
  <c r="R17" i="112"/>
  <c r="T117" i="159"/>
  <c r="T37" i="155"/>
  <c r="R53" i="156"/>
  <c r="R163" i="155"/>
  <c r="R215" i="155"/>
  <c r="R101" i="150"/>
  <c r="Q121" i="155"/>
  <c r="Q109" i="153"/>
  <c r="S20" i="69"/>
  <c r="Q163" i="150"/>
  <c r="R61" i="112"/>
  <c r="S37" i="150"/>
  <c r="Q89" i="126"/>
  <c r="R77" i="150"/>
  <c r="Q29" i="112"/>
  <c r="Q45" i="126"/>
  <c r="Q159" i="155"/>
  <c r="R183" i="126"/>
  <c r="P142" i="69"/>
  <c r="S21" i="112"/>
  <c r="Q61" i="126"/>
  <c r="R101" i="155"/>
  <c r="S131" i="126"/>
  <c r="S61" i="118"/>
  <c r="S142" i="69"/>
  <c r="S155" i="126"/>
  <c r="Q114" i="69"/>
  <c r="S105" i="112"/>
  <c r="R49" i="150"/>
  <c r="Q151" i="118"/>
  <c r="R69" i="155"/>
  <c r="P36" i="69"/>
  <c r="Q77" i="118"/>
  <c r="R211" i="150"/>
  <c r="R53" i="126"/>
  <c r="T73" i="112"/>
  <c r="S4" i="69"/>
  <c r="Q69" i="150"/>
  <c r="R131" i="155"/>
  <c r="T73" i="126"/>
  <c r="S49" i="118"/>
  <c r="R158" i="69"/>
  <c r="S77" i="112"/>
  <c r="S57" i="153"/>
  <c r="R223" i="150"/>
  <c r="R81" i="118"/>
  <c r="S171" i="118"/>
  <c r="Q61" i="153"/>
  <c r="R65" i="118"/>
  <c r="S139" i="157"/>
  <c r="P110" i="69"/>
  <c r="R235" i="112"/>
  <c r="S24" i="69"/>
  <c r="S65" i="118"/>
  <c r="S69" i="153"/>
  <c r="Q159" i="112"/>
  <c r="Q89" i="112"/>
  <c r="Q131" i="150"/>
  <c r="Q37" i="153"/>
  <c r="Q147" i="112"/>
  <c r="R12" i="69"/>
  <c r="S13" i="150"/>
  <c r="S109" i="161"/>
  <c r="T109" i="112"/>
  <c r="R121" i="150"/>
  <c r="Q13" i="126"/>
  <c r="Q191" i="150"/>
  <c r="Q69" i="126"/>
  <c r="R187" i="155"/>
  <c r="S77" i="155"/>
  <c r="R211" i="112"/>
  <c r="R167" i="150"/>
  <c r="Q147" i="155"/>
  <c r="Q203" i="155"/>
  <c r="S179" i="159"/>
  <c r="T113" i="126"/>
  <c r="S9" i="118"/>
  <c r="Q21" i="112"/>
  <c r="P12" i="69"/>
  <c r="S147" i="118"/>
  <c r="S219" i="112"/>
  <c r="T25" i="118"/>
  <c r="R86" i="69"/>
  <c r="S25" i="118"/>
  <c r="T93" i="150"/>
  <c r="Q73" i="126"/>
  <c r="Q110" i="69"/>
  <c r="R8" i="69"/>
  <c r="P86" i="69"/>
  <c r="T37" i="126"/>
  <c r="S73" i="112"/>
  <c r="Q199" i="156"/>
  <c r="R174" i="69"/>
  <c r="T57" i="126"/>
  <c r="R195" i="118"/>
  <c r="S36" i="69"/>
  <c r="S61" i="126"/>
  <c r="R139" i="156"/>
  <c r="S77" i="150"/>
  <c r="Q187" i="112"/>
  <c r="S187" i="126"/>
  <c r="R65" i="159"/>
  <c r="R151" i="126"/>
  <c r="Q167" i="118"/>
  <c r="R85" i="118"/>
  <c r="S97" i="157"/>
  <c r="Q135" i="150"/>
  <c r="T73" i="156"/>
  <c r="Q143" i="155"/>
  <c r="S17" i="112"/>
  <c r="Q158" i="69"/>
  <c r="S69" i="118"/>
  <c r="Q195" i="112"/>
  <c r="R81" i="163"/>
  <c r="S117" i="150"/>
  <c r="T121" i="159"/>
  <c r="R113" i="126"/>
  <c r="S41" i="118"/>
  <c r="R227" i="126"/>
  <c r="R33" i="155"/>
  <c r="S121" i="154"/>
  <c r="Q203" i="150"/>
  <c r="R17" i="126"/>
  <c r="R117" i="118"/>
  <c r="S207" i="155"/>
  <c r="R94" i="69"/>
  <c r="R159" i="112"/>
  <c r="S117" i="112"/>
  <c r="Q45" i="150"/>
  <c r="S86" i="69"/>
  <c r="S163" i="118"/>
  <c r="Q85" i="118"/>
  <c r="Q65" i="150"/>
  <c r="Q94" i="69"/>
  <c r="S58" i="69"/>
  <c r="S45" i="112"/>
  <c r="Q231" i="118"/>
  <c r="S61" i="150"/>
  <c r="T33" i="112"/>
  <c r="S66" i="69"/>
  <c r="Q155" i="126"/>
  <c r="T41" i="159"/>
  <c r="Q9" i="153"/>
  <c r="Q17" i="150"/>
  <c r="Q65" i="112"/>
  <c r="R73" i="153"/>
  <c r="S78" i="69"/>
  <c r="Q117" i="112"/>
  <c r="Q21" i="126"/>
  <c r="Q195" i="118"/>
  <c r="Q121" i="156"/>
  <c r="R49" i="112"/>
  <c r="Q105" i="156"/>
  <c r="S159" i="150"/>
  <c r="S195" i="118"/>
  <c r="Q54" i="69"/>
  <c r="S146" i="69"/>
  <c r="S29" i="155"/>
  <c r="Q113" i="159"/>
  <c r="S151" i="118"/>
  <c r="Q105" i="112"/>
  <c r="Q162" i="69"/>
  <c r="Q155" i="112"/>
  <c r="S89" i="112"/>
  <c r="Q9" i="154"/>
  <c r="S187" i="150"/>
  <c r="T33" i="118"/>
  <c r="R118" i="69"/>
  <c r="Q53" i="153"/>
  <c r="Q179" i="112"/>
  <c r="Q16" i="69"/>
  <c r="R110" i="69"/>
  <c r="Q53" i="118"/>
  <c r="S17" i="150"/>
  <c r="T17" i="118"/>
  <c r="R98" i="69"/>
  <c r="Q183" i="126"/>
  <c r="R21" i="153"/>
  <c r="S41" i="126"/>
  <c r="S174" i="69"/>
  <c r="T105" i="155"/>
  <c r="R179" i="126"/>
  <c r="T41" i="155"/>
  <c r="T21" i="112"/>
  <c r="Q147" i="126"/>
  <c r="Q138" i="69"/>
  <c r="R37" i="155"/>
  <c r="Q49" i="112"/>
  <c r="R77" i="154"/>
  <c r="Q97" i="112"/>
  <c r="R49" i="156"/>
  <c r="P162" i="69"/>
  <c r="R97" i="150"/>
  <c r="S121" i="150"/>
  <c r="S113" i="155"/>
  <c r="R32" i="69"/>
  <c r="T25" i="126"/>
  <c r="Q135" i="112"/>
  <c r="Q21" i="153"/>
  <c r="T49" i="112"/>
  <c r="Q61" i="118"/>
  <c r="Q57" i="153"/>
  <c r="S143" i="118"/>
  <c r="Q239" i="126"/>
  <c r="Q150" i="69"/>
  <c r="R29" i="150"/>
  <c r="S163" i="112"/>
  <c r="R131" i="118"/>
  <c r="R77" i="156"/>
  <c r="T69" i="118"/>
  <c r="Q9" i="150"/>
  <c r="R131" i="150"/>
  <c r="T53" i="126"/>
  <c r="Q142" i="69"/>
  <c r="Q45" i="153"/>
  <c r="S235" i="112"/>
  <c r="R73" i="126"/>
  <c r="Q57" i="162"/>
  <c r="S207" i="112"/>
  <c r="R105" i="118"/>
  <c r="S9" i="112"/>
  <c r="R215" i="118"/>
  <c r="R33" i="150"/>
  <c r="R36" i="69"/>
  <c r="R117" i="155"/>
  <c r="Q77" i="150"/>
  <c r="R58" i="69"/>
  <c r="Q131" i="118"/>
  <c r="R21" i="112"/>
  <c r="Q105" i="154"/>
  <c r="Q25" i="118"/>
  <c r="R243" i="150"/>
  <c r="S109" i="150"/>
  <c r="S53" i="112"/>
  <c r="R61" i="126"/>
  <c r="S199" i="118"/>
  <c r="S53" i="150"/>
  <c r="S223" i="118"/>
  <c r="R41" i="118"/>
  <c r="T77" i="150"/>
  <c r="Q78" i="69"/>
  <c r="T49" i="150"/>
  <c r="R9" i="126"/>
  <c r="Q17" i="155"/>
  <c r="S21" i="126"/>
  <c r="R101" i="112"/>
  <c r="R175" i="150"/>
  <c r="R29" i="118"/>
  <c r="S215" i="118"/>
  <c r="R78" i="69"/>
  <c r="S167" i="112"/>
  <c r="R93" i="112"/>
  <c r="M29" i="135"/>
  <c r="U36" i="135"/>
  <c r="M35" i="135"/>
  <c r="R125" i="126"/>
  <c r="M41" i="135"/>
  <c r="N22" i="135"/>
  <c r="E22" i="135"/>
  <c r="Q247" i="118"/>
  <c r="C48" i="135"/>
  <c r="C42" i="135"/>
  <c r="E19" i="135"/>
  <c r="S125" i="112"/>
  <c r="E25" i="135"/>
  <c r="O38" i="135"/>
  <c r="M26" i="135"/>
  <c r="R247" i="150"/>
  <c r="M32" i="135"/>
  <c r="L19" i="135"/>
  <c r="Q125" i="150"/>
  <c r="L25" i="135"/>
  <c r="F39" i="135"/>
  <c r="D42" i="135"/>
  <c r="R247" i="118"/>
  <c r="D48" i="135"/>
  <c r="V37" i="135"/>
  <c r="Q178" i="69"/>
  <c r="F36" i="135"/>
  <c r="N20" i="135"/>
  <c r="C38" i="135"/>
  <c r="L54" i="135"/>
  <c r="U51" i="135"/>
  <c r="Q125" i="154"/>
  <c r="U57" i="135"/>
  <c r="N28" i="135"/>
  <c r="L20" i="135"/>
  <c r="L51" i="135"/>
  <c r="Q125" i="153"/>
  <c r="L57" i="135"/>
  <c r="Q134" i="69"/>
  <c r="D28" i="135"/>
  <c r="R134" i="69"/>
  <c r="M36" i="135"/>
  <c r="L31" i="135"/>
  <c r="AE8" i="135"/>
  <c r="E39" i="135"/>
  <c r="E20" i="135"/>
  <c r="V27" i="135"/>
  <c r="O37" i="135"/>
  <c r="S125" i="118"/>
  <c r="E41" i="135"/>
  <c r="E35" i="135"/>
  <c r="U47" i="135"/>
  <c r="L39" i="135"/>
  <c r="L30" i="135"/>
  <c r="L53" i="135"/>
  <c r="Q247" i="150"/>
  <c r="L32" i="135"/>
  <c r="L26" i="135"/>
  <c r="C28" i="135"/>
  <c r="N55" i="135"/>
  <c r="E11" i="135"/>
  <c r="D40" i="135"/>
  <c r="V42" i="135"/>
  <c r="R247" i="155"/>
  <c r="V48" i="135"/>
  <c r="L23" i="135"/>
  <c r="S44" i="69"/>
  <c r="M38" i="135"/>
  <c r="V39" i="135"/>
  <c r="N42" i="135"/>
  <c r="S247" i="126"/>
  <c r="N48" i="135"/>
  <c r="U44" i="135"/>
  <c r="N21" i="135"/>
  <c r="V22" i="135"/>
  <c r="X37" i="135"/>
  <c r="D20" i="135"/>
  <c r="F20" i="135"/>
  <c r="D39" i="135"/>
  <c r="F21" i="135"/>
  <c r="D37" i="135"/>
  <c r="C29" i="135"/>
  <c r="M28" i="135"/>
  <c r="V38" i="135"/>
  <c r="M27" i="135"/>
  <c r="M55" i="135"/>
  <c r="C20" i="135"/>
  <c r="F22" i="135"/>
  <c r="N53" i="135"/>
  <c r="D46" i="135"/>
  <c r="N27" i="135"/>
  <c r="C43" i="135"/>
  <c r="N19" i="135"/>
  <c r="S125" i="150"/>
  <c r="N25" i="135"/>
  <c r="S125" i="126"/>
  <c r="N41" i="135"/>
  <c r="N35" i="135"/>
  <c r="N51" i="135"/>
  <c r="S125" i="153"/>
  <c r="N57" i="135"/>
  <c r="S247" i="155"/>
  <c r="W48" i="135"/>
  <c r="W42" i="135"/>
  <c r="U29" i="135"/>
  <c r="W28" i="135"/>
  <c r="Q44" i="69"/>
  <c r="L21" i="135"/>
  <c r="AD5" i="135"/>
  <c r="U21" i="135"/>
  <c r="E30" i="135"/>
  <c r="L28" i="135"/>
  <c r="N23" i="135"/>
  <c r="D44" i="135"/>
  <c r="C30" i="135"/>
  <c r="E44" i="135"/>
  <c r="D29" i="135"/>
  <c r="R178" i="69"/>
  <c r="P90" i="69"/>
  <c r="F47" i="135"/>
  <c r="D27" i="135"/>
  <c r="O35" i="135"/>
  <c r="T125" i="126"/>
  <c r="O41" i="135"/>
  <c r="R90" i="69"/>
  <c r="N26" i="135"/>
  <c r="S247" i="150"/>
  <c r="N32" i="135"/>
  <c r="L43" i="135"/>
  <c r="E36" i="135"/>
  <c r="M23" i="135"/>
  <c r="M37" i="135"/>
  <c r="C5" i="135"/>
  <c r="R125" i="153"/>
  <c r="M57" i="135"/>
  <c r="M51" i="135"/>
  <c r="D38" i="135"/>
  <c r="F19" i="135"/>
  <c r="T125" i="112"/>
  <c r="F25" i="135"/>
  <c r="N29" i="135"/>
  <c r="L55" i="135"/>
  <c r="V19" i="135"/>
  <c r="R125" i="156"/>
  <c r="V25" i="135"/>
  <c r="V30" i="135"/>
  <c r="C40" i="135"/>
  <c r="E28" i="135"/>
  <c r="W19" i="135"/>
  <c r="S125" i="156"/>
  <c r="W25" i="135"/>
  <c r="M53" i="135"/>
  <c r="U45" i="135"/>
  <c r="Q90" i="69"/>
  <c r="E43" i="135"/>
  <c r="L22" i="135"/>
  <c r="P44" i="69"/>
  <c r="E23" i="135"/>
  <c r="W45" i="135"/>
  <c r="W22" i="135"/>
  <c r="AF7" i="135"/>
  <c r="M52" i="135"/>
  <c r="P134" i="69"/>
  <c r="E42" i="135"/>
  <c r="S247" i="118"/>
  <c r="E48" i="135"/>
  <c r="N52" i="135"/>
  <c r="N39" i="135"/>
  <c r="N30" i="135"/>
  <c r="C37" i="135"/>
  <c r="L38" i="135"/>
  <c r="N54" i="135"/>
  <c r="R125" i="118"/>
  <c r="D41" i="135"/>
  <c r="D35" i="135"/>
  <c r="L44" i="135"/>
  <c r="X5" i="135"/>
  <c r="E7" i="135"/>
  <c r="L46" i="135"/>
  <c r="F4" i="135"/>
  <c r="E31" i="135"/>
  <c r="E37" i="135"/>
  <c r="C21" i="135"/>
  <c r="C35" i="135"/>
  <c r="Q125" i="118"/>
  <c r="C41" i="135"/>
  <c r="D36" i="135"/>
  <c r="E45" i="135"/>
  <c r="U40" i="135"/>
  <c r="D30" i="135"/>
  <c r="C24" i="135"/>
  <c r="N56" i="135"/>
  <c r="E21" i="135"/>
  <c r="R247" i="126"/>
  <c r="M48" i="135"/>
  <c r="M42" i="135"/>
  <c r="D22" i="135"/>
  <c r="U38" i="135"/>
  <c r="L36" i="135"/>
  <c r="V36" i="135"/>
  <c r="M24" i="135"/>
  <c r="Q247" i="155"/>
  <c r="U48" i="135"/>
  <c r="U42" i="135"/>
  <c r="C45" i="135"/>
  <c r="O21" i="135"/>
  <c r="C27" i="135"/>
  <c r="O22" i="135"/>
  <c r="V4" i="135"/>
  <c r="U55" i="135"/>
  <c r="D47" i="135"/>
  <c r="V46" i="135"/>
  <c r="D11" i="135"/>
  <c r="R125" i="112"/>
  <c r="D25" i="135"/>
  <c r="D19" i="135"/>
  <c r="E6" i="135"/>
  <c r="W54" i="135"/>
  <c r="V31" i="135"/>
  <c r="D23" i="135"/>
  <c r="N45" i="135"/>
  <c r="T125" i="156"/>
  <c r="X25" i="135"/>
  <c r="X19" i="135"/>
  <c r="N24" i="135"/>
  <c r="L47" i="135"/>
  <c r="V47" i="135"/>
  <c r="W21" i="135"/>
  <c r="O46" i="135"/>
  <c r="D31" i="135"/>
  <c r="Q125" i="112"/>
  <c r="C25" i="135"/>
  <c r="C19" i="135"/>
  <c r="V24" i="135"/>
  <c r="V52" i="135"/>
  <c r="U52" i="135"/>
  <c r="U37" i="135"/>
  <c r="C46" i="135"/>
  <c r="M45" i="135"/>
  <c r="W46" i="135"/>
  <c r="V43" i="135"/>
  <c r="F37" i="135"/>
  <c r="O23" i="135"/>
  <c r="N37" i="135"/>
  <c r="V40" i="135"/>
  <c r="D6" i="135"/>
  <c r="M30" i="135"/>
  <c r="M22" i="135"/>
  <c r="L42" i="135"/>
  <c r="Q247" i="126"/>
  <c r="L48" i="135"/>
  <c r="L35" i="135"/>
  <c r="Q125" i="126"/>
  <c r="L41" i="135"/>
  <c r="D45" i="135"/>
  <c r="N38" i="135"/>
  <c r="E38" i="135"/>
  <c r="E15" i="135"/>
  <c r="Q125" i="157"/>
  <c r="C9" i="135"/>
  <c r="C3" i="135"/>
  <c r="M46" i="135"/>
  <c r="N43" i="135"/>
  <c r="W6" i="135"/>
  <c r="V26" i="135"/>
  <c r="R247" i="156"/>
  <c r="V32" i="135"/>
  <c r="M47" i="135"/>
  <c r="V29" i="135"/>
  <c r="U27" i="135"/>
  <c r="C23" i="135"/>
  <c r="E29" i="135"/>
  <c r="U23" i="135"/>
  <c r="V53" i="135"/>
  <c r="N36" i="135"/>
  <c r="W51" i="135"/>
  <c r="S125" i="154"/>
  <c r="W57" i="135"/>
  <c r="C31" i="135"/>
  <c r="L29" i="135"/>
  <c r="C36" i="135"/>
  <c r="W36" i="135"/>
  <c r="S178" i="69"/>
  <c r="C39" i="135"/>
  <c r="L27" i="135"/>
  <c r="R44" i="69"/>
  <c r="C22" i="135"/>
  <c r="S90" i="69"/>
  <c r="L45" i="135"/>
  <c r="E4" i="135"/>
  <c r="W37" i="135"/>
  <c r="E27" i="135"/>
  <c r="C44" i="135"/>
  <c r="N47" i="135"/>
  <c r="V44" i="135"/>
  <c r="U24" i="135"/>
  <c r="O24" i="135"/>
  <c r="F6" i="135"/>
  <c r="W47" i="135"/>
  <c r="C8" i="135"/>
  <c r="S134" i="69"/>
  <c r="N46" i="135"/>
  <c r="W44" i="135"/>
  <c r="M20" i="135"/>
  <c r="P178" i="69"/>
  <c r="F24" i="135"/>
  <c r="U20" i="135"/>
  <c r="E47" i="135"/>
  <c r="X39" i="135"/>
  <c r="N44" i="135"/>
  <c r="W43" i="135"/>
  <c r="U4" i="135"/>
  <c r="U8" i="135"/>
  <c r="O39" i="135"/>
  <c r="M40" i="135"/>
  <c r="V20" i="135"/>
  <c r="U46" i="135"/>
  <c r="U43" i="135"/>
  <c r="U56" i="135"/>
  <c r="E26" i="135"/>
  <c r="S247" i="112"/>
  <c r="E32" i="135"/>
  <c r="U28" i="135"/>
  <c r="M54" i="135"/>
  <c r="M21" i="135"/>
  <c r="F35" i="135"/>
  <c r="T125" i="118"/>
  <c r="F41" i="135"/>
  <c r="V56" i="135"/>
  <c r="F5" i="135"/>
  <c r="O40" i="135"/>
  <c r="C47" i="135"/>
  <c r="V28" i="135"/>
  <c r="C4" i="135"/>
  <c r="D14" i="135"/>
  <c r="F11" i="135"/>
  <c r="M43" i="135"/>
  <c r="E46" i="135"/>
  <c r="D43" i="135"/>
  <c r="U19" i="135"/>
  <c r="Q125" i="156"/>
  <c r="U25" i="135"/>
  <c r="D4" i="135"/>
  <c r="M56" i="135"/>
  <c r="U22" i="135"/>
  <c r="F15" i="135"/>
  <c r="N40" i="135"/>
  <c r="E5" i="135"/>
  <c r="X22" i="135"/>
  <c r="AD14" i="135"/>
  <c r="X21" i="135"/>
  <c r="F31" i="135"/>
  <c r="M19" i="135"/>
  <c r="R125" i="150"/>
  <c r="M25" i="135"/>
  <c r="W55" i="135"/>
  <c r="E24" i="135"/>
  <c r="V55" i="135"/>
  <c r="V21" i="135"/>
  <c r="L24" i="135"/>
  <c r="E8" i="135"/>
  <c r="AD35" i="135"/>
  <c r="W14" i="135"/>
  <c r="D24" i="135"/>
  <c r="E40" i="135"/>
  <c r="R125" i="162"/>
  <c r="AE18" i="135"/>
  <c r="AE12" i="135"/>
  <c r="X6" i="135"/>
  <c r="W27" i="135"/>
  <c r="AD24" i="135"/>
  <c r="U6" i="135"/>
  <c r="V8" i="135"/>
  <c r="AE31" i="135"/>
  <c r="L37" i="135"/>
  <c r="W23" i="135"/>
  <c r="L40" i="135"/>
  <c r="V23" i="135"/>
  <c r="W7" i="135"/>
  <c r="X38" i="135"/>
  <c r="N31" i="135"/>
  <c r="T125" i="155"/>
  <c r="X41" i="135"/>
  <c r="X35" i="135"/>
  <c r="L56" i="135"/>
  <c r="M44" i="135"/>
  <c r="D8" i="135"/>
  <c r="F8" i="135"/>
  <c r="AF34" i="135"/>
  <c r="V45" i="135"/>
  <c r="AE6" i="135"/>
  <c r="F7" i="135"/>
  <c r="X8" i="135"/>
  <c r="V54" i="135"/>
  <c r="W26" i="135"/>
  <c r="S247" i="156"/>
  <c r="W32" i="135"/>
  <c r="Q247" i="157"/>
  <c r="C16" i="135"/>
  <c r="C10" i="135"/>
  <c r="O36" i="135"/>
  <c r="U11" i="135"/>
  <c r="O20" i="135"/>
  <c r="R247" i="112"/>
  <c r="D32" i="135"/>
  <c r="D26" i="135"/>
  <c r="M39" i="135"/>
  <c r="C26" i="135"/>
  <c r="Q247" i="112"/>
  <c r="C32" i="135"/>
  <c r="U30" i="135"/>
  <c r="W40" i="135"/>
  <c r="F38" i="135"/>
  <c r="F40" i="135"/>
  <c r="U54" i="135"/>
  <c r="U5" i="135"/>
  <c r="F23" i="135"/>
  <c r="L52" i="135"/>
  <c r="W31" i="135"/>
  <c r="O19" i="135"/>
  <c r="T125" i="150"/>
  <c r="O25" i="135"/>
  <c r="W5" i="135"/>
  <c r="R125" i="155"/>
  <c r="V41" i="135"/>
  <c r="V35" i="135"/>
  <c r="W53" i="135"/>
  <c r="U7" i="135"/>
  <c r="U53" i="135"/>
  <c r="X40" i="135"/>
  <c r="Q125" i="161"/>
  <c r="AD27" i="135"/>
  <c r="AD21" i="135"/>
  <c r="AD8" i="135"/>
  <c r="U31" i="135"/>
  <c r="AF4" i="135"/>
  <c r="X36" i="135"/>
  <c r="AF6" i="135"/>
  <c r="U26" i="135"/>
  <c r="Q247" i="156"/>
  <c r="U32" i="135"/>
  <c r="M31" i="135"/>
  <c r="U39" i="135"/>
  <c r="AE35" i="135"/>
  <c r="D53" i="135"/>
  <c r="W12" i="135"/>
  <c r="AD31" i="135"/>
  <c r="D12" i="135"/>
  <c r="AD17" i="135"/>
  <c r="D21" i="135"/>
  <c r="Q125" i="155"/>
  <c r="U41" i="135"/>
  <c r="U35" i="135"/>
  <c r="C7" i="135"/>
  <c r="C6" i="135"/>
  <c r="C14" i="135"/>
  <c r="W52" i="135"/>
  <c r="D7" i="135"/>
  <c r="AD4" i="135"/>
  <c r="AD15" i="135"/>
  <c r="W8" i="135"/>
  <c r="S247" i="159"/>
  <c r="W16" i="135"/>
  <c r="W10" i="135"/>
  <c r="C51" i="135"/>
  <c r="Q125" i="165"/>
  <c r="C57" i="135"/>
  <c r="AD16" i="135"/>
  <c r="W20" i="135"/>
  <c r="X3" i="135"/>
  <c r="T125" i="159"/>
  <c r="X9" i="135"/>
  <c r="AE22" i="135"/>
  <c r="V7" i="135"/>
  <c r="AE15" i="135"/>
  <c r="W13" i="135"/>
  <c r="AE17" i="135"/>
  <c r="O47" i="135"/>
  <c r="W24" i="135"/>
  <c r="X4" i="135"/>
  <c r="W38" i="135"/>
  <c r="U15" i="135"/>
  <c r="AE33" i="135"/>
  <c r="W39" i="135"/>
  <c r="C12" i="135"/>
  <c r="AE4" i="135"/>
  <c r="AE5" i="135"/>
  <c r="V12" i="135"/>
  <c r="X56" i="135"/>
  <c r="V11" i="135"/>
  <c r="AE34" i="135"/>
  <c r="AG3" i="135"/>
  <c r="AF16" i="135"/>
  <c r="AF25" i="135"/>
  <c r="U13" i="135"/>
  <c r="AF26" i="135"/>
  <c r="AE16" i="135"/>
  <c r="AF5" i="135"/>
  <c r="T125" i="157"/>
  <c r="F9" i="135"/>
  <c r="F3" i="135"/>
  <c r="E13" i="135"/>
  <c r="AD12" i="135"/>
  <c r="Q125" i="162"/>
  <c r="AD18" i="135"/>
  <c r="AE7" i="135"/>
  <c r="X23" i="135"/>
  <c r="V5" i="135"/>
  <c r="AE25" i="135"/>
  <c r="F10" i="135"/>
  <c r="D13" i="135"/>
  <c r="X24" i="135"/>
  <c r="V6" i="135"/>
  <c r="AF8" i="135"/>
  <c r="AF21" i="135"/>
  <c r="S125" i="161"/>
  <c r="AF27" i="135"/>
  <c r="AG16" i="135"/>
  <c r="AF12" i="135"/>
  <c r="S125" i="162"/>
  <c r="AF18" i="135"/>
  <c r="F43" i="135"/>
  <c r="X7" i="135"/>
  <c r="W56" i="135"/>
  <c r="E14" i="135"/>
  <c r="O29" i="135"/>
  <c r="X43" i="135"/>
  <c r="F27" i="135"/>
  <c r="C52" i="135"/>
  <c r="U3" i="135"/>
  <c r="Q125" i="159"/>
  <c r="U9" i="135"/>
  <c r="AG12" i="135"/>
  <c r="AG8" i="135"/>
  <c r="C13" i="135"/>
  <c r="W30" i="135"/>
  <c r="D15" i="135"/>
  <c r="W15" i="135"/>
  <c r="AG32" i="135"/>
  <c r="AD32" i="135"/>
  <c r="W4" i="135"/>
  <c r="W29" i="135"/>
  <c r="AD6" i="135"/>
  <c r="AE14" i="135"/>
  <c r="AD3" i="135"/>
  <c r="Q125" i="163"/>
  <c r="AD9" i="135"/>
  <c r="R125" i="163"/>
  <c r="AE9" i="135"/>
  <c r="AE3" i="135"/>
  <c r="X46" i="135"/>
  <c r="S125" i="155"/>
  <c r="W41" i="135"/>
  <c r="W35" i="135"/>
  <c r="AD7" i="135"/>
  <c r="X20" i="135"/>
  <c r="R247" i="159"/>
  <c r="V16" i="135"/>
  <c r="V10" i="135"/>
  <c r="AF15" i="135"/>
  <c r="V51" i="135"/>
  <c r="R125" i="154"/>
  <c r="V57" i="135"/>
  <c r="D5" i="135"/>
  <c r="X11" i="135"/>
  <c r="AF13" i="135"/>
  <c r="AG24" i="135"/>
  <c r="AG35" i="135"/>
  <c r="O28" i="135"/>
  <c r="F42" i="135"/>
  <c r="AE13" i="135"/>
  <c r="D52" i="135"/>
  <c r="S125" i="159"/>
  <c r="W9" i="135"/>
  <c r="W3" i="135"/>
  <c r="E12" i="135"/>
  <c r="AF22" i="135"/>
  <c r="F14" i="135"/>
  <c r="C55" i="135"/>
  <c r="AD30" i="135"/>
  <c r="Q125" i="160"/>
  <c r="AD36" i="135"/>
  <c r="U12" i="135"/>
  <c r="AF23" i="135"/>
  <c r="F55" i="135"/>
  <c r="AG22" i="135"/>
  <c r="W11" i="135"/>
  <c r="S247" i="157"/>
  <c r="E16" i="135"/>
  <c r="E10" i="135"/>
  <c r="U10" i="135"/>
  <c r="Q247" i="159"/>
  <c r="U16" i="135"/>
  <c r="D3" i="135"/>
  <c r="R125" i="157"/>
  <c r="D9" i="135"/>
  <c r="S125" i="165"/>
  <c r="E57" i="135"/>
  <c r="E51" i="135"/>
  <c r="O53" i="135"/>
  <c r="AF33" i="135"/>
  <c r="AE32" i="135"/>
  <c r="AD33" i="135"/>
  <c r="C15" i="135"/>
  <c r="E3" i="135"/>
  <c r="S125" i="157"/>
  <c r="E9" i="135"/>
  <c r="O30" i="135"/>
  <c r="R125" i="160"/>
  <c r="AE36" i="135"/>
  <c r="AE30" i="135"/>
  <c r="AF35" i="135"/>
  <c r="AF17" i="135"/>
  <c r="F44" i="135"/>
  <c r="AD34" i="135"/>
  <c r="AG21" i="135"/>
  <c r="AD13" i="135"/>
  <c r="U14" i="135"/>
  <c r="AE24" i="135"/>
  <c r="V3" i="135"/>
  <c r="R125" i="159"/>
  <c r="V9" i="135"/>
  <c r="AF24" i="135"/>
  <c r="F54" i="135"/>
  <c r="E53" i="135"/>
  <c r="V15" i="135"/>
  <c r="R125" i="161"/>
  <c r="AE27" i="135"/>
  <c r="AE21" i="135"/>
  <c r="O43" i="135"/>
  <c r="X26" i="135"/>
  <c r="AG26" i="135"/>
  <c r="V13" i="135"/>
  <c r="AF3" i="135"/>
  <c r="S125" i="163"/>
  <c r="AF9" i="135"/>
  <c r="O52" i="135"/>
  <c r="X14" i="135"/>
  <c r="X15" i="135"/>
  <c r="C56" i="135"/>
  <c r="X12" i="135"/>
  <c r="X45" i="135"/>
  <c r="O31" i="135"/>
  <c r="AD22" i="135"/>
  <c r="X54" i="135"/>
  <c r="O45" i="135"/>
  <c r="F53" i="135"/>
  <c r="AF30" i="135"/>
  <c r="S125" i="160"/>
  <c r="AF36" i="135"/>
  <c r="AG31" i="135"/>
  <c r="AD23" i="135"/>
  <c r="R125" i="165"/>
  <c r="D57" i="135"/>
  <c r="D51" i="135"/>
  <c r="V14" i="135"/>
  <c r="AE23" i="135"/>
  <c r="AF14" i="135"/>
  <c r="D55" i="135"/>
  <c r="F13" i="135"/>
  <c r="X51" i="135"/>
  <c r="O55" i="135"/>
  <c r="C54" i="135"/>
  <c r="AD26" i="135"/>
  <c r="F29" i="135"/>
  <c r="AG34" i="135"/>
  <c r="O44" i="135"/>
  <c r="AG4" i="135"/>
  <c r="X10" i="135"/>
  <c r="D54" i="135"/>
  <c r="AG13" i="135"/>
  <c r="F52" i="135"/>
  <c r="O42" i="135"/>
  <c r="C11" i="135"/>
  <c r="AG6" i="135"/>
  <c r="AG25" i="135"/>
  <c r="AG23" i="135"/>
  <c r="F26" i="135"/>
  <c r="D56" i="135"/>
  <c r="F12" i="135"/>
  <c r="O54" i="135"/>
  <c r="C53" i="135"/>
  <c r="F45" i="135"/>
  <c r="X30" i="135"/>
  <c r="E54" i="135"/>
  <c r="F51" i="135"/>
  <c r="X28" i="135"/>
  <c r="AD25" i="135"/>
  <c r="AF32" i="135"/>
  <c r="AG17" i="135"/>
  <c r="F56" i="135"/>
  <c r="X42" i="135"/>
  <c r="E56" i="135"/>
  <c r="E52" i="135"/>
  <c r="AG15" i="135"/>
  <c r="AG7" i="135"/>
  <c r="AE26" i="135"/>
  <c r="X27" i="135"/>
  <c r="X29" i="135"/>
  <c r="O56" i="135"/>
  <c r="R247" i="157"/>
  <c r="D16" i="135"/>
  <c r="D10" i="135"/>
  <c r="AG30" i="135"/>
  <c r="X47" i="135"/>
  <c r="X53" i="135"/>
  <c r="O26" i="135"/>
  <c r="O51" i="135"/>
  <c r="AF31" i="135"/>
  <c r="F30" i="135"/>
  <c r="AG5" i="135"/>
  <c r="F28" i="135"/>
  <c r="X13" i="135"/>
  <c r="X52" i="135"/>
  <c r="X44" i="135"/>
  <c r="X31" i="135"/>
  <c r="F46" i="135"/>
  <c r="AG14" i="135"/>
  <c r="E55" i="135"/>
  <c r="AG33" i="135"/>
  <c r="O27" i="135"/>
  <c r="X55" i="135"/>
</calcChain>
</file>

<file path=xl/sharedStrings.xml><?xml version="1.0" encoding="utf-8"?>
<sst xmlns="http://schemas.openxmlformats.org/spreadsheetml/2006/main" count="2125" uniqueCount="220">
  <si>
    <t>kbps</t>
  </si>
  <si>
    <t>Y psnr</t>
  </si>
  <si>
    <t>U psnr</t>
  </si>
  <si>
    <t>V psnr</t>
  </si>
  <si>
    <t>Y</t>
  </si>
  <si>
    <t>U</t>
  </si>
  <si>
    <t>V</t>
  </si>
  <si>
    <t>BD-rate (piecewise cubic)</t>
  </si>
  <si>
    <t>BQSquare_416x240_60.yuv</t>
  </si>
  <si>
    <t>Johnny_1280x720_60.yuv</t>
  </si>
  <si>
    <t>m_m_640x480_30.yuv</t>
  </si>
  <si>
    <t>m_m2_640x480_30.yuv</t>
  </si>
  <si>
    <t>RaceHorses_416x240_30.yuv</t>
  </si>
  <si>
    <t>FOREMAN_352x288_30.yuv</t>
  </si>
  <si>
    <t>mobile_352x288_30.yuv</t>
  </si>
  <si>
    <t>Kimono_1920x1080_24.yuv</t>
    <phoneticPr fontId="5" type="noConversion"/>
  </si>
  <si>
    <t>BasketballDrive_1920x1080_50.yuv</t>
  </si>
  <si>
    <t>mobile_25_832x480</t>
  </si>
  <si>
    <t>SpeedUp</t>
    <phoneticPr fontId="5" type="noConversion"/>
  </si>
  <si>
    <t>Enc T [fps]</t>
    <phoneticPr fontId="5" type="noConversion"/>
  </si>
  <si>
    <t>Avg PSNR</t>
    <phoneticPr fontId="1" type="noConversion"/>
  </si>
  <si>
    <t>YUV</t>
    <phoneticPr fontId="1" type="noConversion"/>
  </si>
  <si>
    <t>Average</t>
    <phoneticPr fontId="5" type="noConversion"/>
  </si>
  <si>
    <t>q265 1.1 All-I</t>
    <phoneticPr fontId="5" type="noConversion"/>
  </si>
  <si>
    <t>q265 1.1, All-mpm</t>
    <phoneticPr fontId="5" type="noConversion"/>
  </si>
  <si>
    <r>
      <t>All-mpm</t>
    </r>
    <r>
      <rPr>
        <sz val="12"/>
        <color theme="1"/>
        <rFont val="宋体"/>
        <family val="3"/>
        <charset val="134"/>
      </rPr>
      <t>：以前</t>
    </r>
    <r>
      <rPr>
        <sz val="12"/>
        <color theme="1"/>
        <rFont val="Calibri"/>
        <family val="2"/>
      </rPr>
      <t>fastintra by SAD</t>
    </r>
    <r>
      <rPr>
        <sz val="12"/>
        <color theme="1"/>
        <rFont val="宋体"/>
        <family val="3"/>
        <charset val="134"/>
      </rPr>
      <t>没把所有</t>
    </r>
    <r>
      <rPr>
        <sz val="12"/>
        <color theme="1"/>
        <rFont val="Calibri"/>
        <family val="2"/>
      </rPr>
      <t>mpm</t>
    </r>
    <r>
      <rPr>
        <sz val="12"/>
        <color theme="1"/>
        <rFont val="宋体"/>
        <family val="3"/>
        <charset val="134"/>
      </rPr>
      <t>考虑进去（两个靠得很近的只选了一个），现在都考虑进去了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</si>
  <si>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</si>
  <si>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+lumaCandRdo,chromaRdo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</si>
  <si>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+fullSad, lumaCandRdo,chromaRdo</t>
    </r>
    <phoneticPr fontId="5" type="noConversion"/>
  </si>
  <si>
    <t>测试说明</t>
    <phoneticPr fontId="5" type="noConversion"/>
  </si>
  <si>
    <t>PSNR-Y</t>
  </si>
  <si>
    <t>PSNR-U</t>
  </si>
  <si>
    <t>PSNR-V</t>
  </si>
  <si>
    <t>编码速度 [fps]</t>
  </si>
  <si>
    <t>PSNR-Avg</t>
  </si>
  <si>
    <t>Class A</t>
  </si>
  <si>
    <t>4K</t>
  </si>
  <si>
    <t>Class B</t>
  </si>
  <si>
    <t>1080p</t>
  </si>
  <si>
    <t>Class C</t>
  </si>
  <si>
    <t>WVGA</t>
  </si>
  <si>
    <t>Class D</t>
  </si>
  <si>
    <t>WQVGA</t>
  </si>
  <si>
    <t>ClassE</t>
  </si>
  <si>
    <t>720p</t>
  </si>
  <si>
    <t>编码速度提升</t>
    <phoneticPr fontId="5" type="noConversion"/>
  </si>
  <si>
    <t>Traffic_2560x1600_30</t>
  </si>
  <si>
    <t>PeopleOnStreet_2560x1600_30</t>
  </si>
  <si>
    <t>Kimono_1920x1080_24</t>
  </si>
  <si>
    <t>ParkScene_1920x1080_24</t>
  </si>
  <si>
    <t>Cactus_1920x1080_50</t>
  </si>
  <si>
    <t>BasketballDrive_1920x1080_50</t>
  </si>
  <si>
    <t>BQTerrace_1920x1080_60</t>
  </si>
  <si>
    <t>BasketballDrill_832x480_50</t>
  </si>
  <si>
    <t>BQMall_832x480_60</t>
  </si>
  <si>
    <t>PartyScene_832x480_50</t>
  </si>
  <si>
    <t>RaceHorses_832x480_30</t>
  </si>
  <si>
    <t>BasketballPass_416x240_50</t>
  </si>
  <si>
    <t>BQSquare_416x240_60</t>
  </si>
  <si>
    <t>BlowingBubbles_416x240_50</t>
  </si>
  <si>
    <t>RaceHorses_416x240_30</t>
  </si>
  <si>
    <t>FourPeople_1280x720_60</t>
  </si>
  <si>
    <t>Johnny_1280x720_60</t>
  </si>
  <si>
    <t>KristenAndSara_1280x720_60</t>
  </si>
  <si>
    <t>码率(kbps)</t>
  </si>
  <si>
    <t xml:space="preserve">x264 veryfast threads 1 </t>
  </si>
  <si>
    <t xml:space="preserve">x265 ultrafast threads 1 </t>
  </si>
  <si>
    <t xml:space="preserve">x264 slow threads 1 </t>
  </si>
  <si>
    <t>BDRATE-Y</t>
    <phoneticPr fontId="5" type="noConversion"/>
  </si>
  <si>
    <t>BDRATE-U</t>
    <phoneticPr fontId="5" type="noConversion"/>
  </si>
  <si>
    <t>BDRATE-V</t>
    <phoneticPr fontId="5" type="noConversion"/>
  </si>
  <si>
    <t>BDRATE-YUV</t>
    <phoneticPr fontId="5" type="noConversion"/>
  </si>
  <si>
    <t>Class</t>
    <phoneticPr fontId="5" type="noConversion"/>
  </si>
  <si>
    <t>Thread No.</t>
    <phoneticPr fontId="5" type="noConversion"/>
  </si>
  <si>
    <t>Speed-Up</t>
    <phoneticPr fontId="5" type="noConversion"/>
  </si>
  <si>
    <t>auto</t>
    <phoneticPr fontId="5" type="noConversion"/>
  </si>
  <si>
    <t>Average</t>
  </si>
  <si>
    <t>30 fps</t>
  </si>
  <si>
    <t>x265 ultrafast threads 0</t>
  </si>
  <si>
    <t>x264 slow threads 0</t>
  </si>
  <si>
    <t>x264 veryfast threads 0</t>
  </si>
  <si>
    <t>[iPer] = framerate * 10</t>
    <phoneticPr fontId="5" type="noConversion"/>
  </si>
  <si>
    <t>[keyint] = framerate * 10</t>
    <phoneticPr fontId="5" type="noConversion"/>
  </si>
  <si>
    <t>[iPer] = framerate * 10</t>
    <phoneticPr fontId="5" type="noConversion"/>
  </si>
  <si>
    <t>[iPer] = framerate * 10</t>
    <phoneticPr fontId="5" type="noConversion"/>
  </si>
  <si>
    <t>AppEncoder_x64.exe -b out.265 -i BQSquare_416x240_60.yuv -preset veryfast -tune default -latency  offline -threads 1 -wpp 0 -psnr 2 -rc 1 -br [btrNumber] -frms 1000000 -iper [iPer]</t>
  </si>
  <si>
    <t>AppEncoder_x64.exe -b out.265 -i BQSquare_416x240_60.yuv -preset slow -tune default -latency  offline -threads 1 -wpp 0 -psnr 2 -rc 1 -br [btrNumber] -frms 1000000 -iper [iPer]</t>
    <phoneticPr fontId="5" type="noConversion"/>
  </si>
  <si>
    <t>AppEncoder_x64.exe -b out.265 -i BQSquare_416x240_60.yuv -preset veryslow -tune default -latency  offline -threads 0 -psnr 2 -rc 1 -br [btrNumber] -frms 1000000 -iper [iPer]</t>
  </si>
  <si>
    <t>AppEncoder_x64.exe -b out.265 -i BQSquare_416x240_60.yuv -preset slow -tune default -latency  offline -threads 1 -wpp 0 -psnr 2 -rc 1 -br [btrNumber] -frms 1000000 -iper [iPer]</t>
  </si>
  <si>
    <t>[keyint] = framerate * 10</t>
    <phoneticPr fontId="5" type="noConversion"/>
  </si>
  <si>
    <t>[iPer] = framerate * 10</t>
    <phoneticPr fontId="5" type="noConversion"/>
  </si>
  <si>
    <t>[keyint] = framerate * 10</t>
    <phoneticPr fontId="5" type="noConversion"/>
  </si>
  <si>
    <t>x264.exe -o out.264 BQSquare_416x240_60.yuv --input-res 416x240 --preset slow --fps [framerate] --profile high --aq-mode 0 --no-psy  --psnr  --bitrate [btrNumber]  --keyint [keyint] --frames 1000000</t>
  </si>
  <si>
    <t>x264.exe -o out.264 BQSquare_416x240_60.yuv --input-res 416x240 --preset veryfast --fps [framerate] --profile high --aq-mode 0 --no-psy  --psnr  --bitrate [btrNumber]  --keyint [keyint] --frames 1000000</t>
  </si>
  <si>
    <t xml:space="preserve">Game </t>
    <phoneticPr fontId="5" type="noConversion"/>
  </si>
  <si>
    <t>chuanyuehuoxian_1280x720_30</t>
  </si>
  <si>
    <t>huangshizhanzheng_1280x720_30</t>
  </si>
  <si>
    <t>huoyingrenzhe_1280x720_30</t>
  </si>
  <si>
    <t>jianxianqingyuan_1280x720_30</t>
  </si>
  <si>
    <t>jietoulanqiu_1280x720_30</t>
  </si>
  <si>
    <t>myworld_1280x720_30</t>
  </si>
  <si>
    <t>qiuqiudazuozhan_1280x720_30</t>
  </si>
  <si>
    <t>tiantianfeiche_1280x720_30</t>
  </si>
  <si>
    <t>tiantiankupao_1280x720_30</t>
  </si>
  <si>
    <t>wangzherongyao_1280x720_30</t>
  </si>
  <si>
    <t>yinyangshi_1280x720_30</t>
  </si>
  <si>
    <t>Game 30 fps</t>
    <phoneticPr fontId="5" type="noConversion"/>
  </si>
  <si>
    <t>ksc265 veryslow vs x264_offline_placebo</t>
    <phoneticPr fontId="5" type="noConversion"/>
  </si>
  <si>
    <t>ksc265 veryslow vsx265_offline_veryslow</t>
    <phoneticPr fontId="5" type="noConversion"/>
  </si>
  <si>
    <t>BQSquare_416x240_60</t>
    <phoneticPr fontId="5" type="noConversion"/>
  </si>
  <si>
    <t>ksc265vsx265_offline_slow</t>
    <phoneticPr fontId="5" type="noConversion"/>
  </si>
  <si>
    <t>vp9 best threads 0</t>
  </si>
  <si>
    <t xml:space="preserve">vp9 rt threads 1 </t>
  </si>
  <si>
    <t>vp9 rt threads 0</t>
  </si>
  <si>
    <t>[iPer] = framerate * 10</t>
    <phoneticPr fontId="5" type="noConversion"/>
  </si>
  <si>
    <t>ThreU No.</t>
  </si>
  <si>
    <t>vpxenc.exe --codec=vp9 --passes=1 --rt --fps=[fps]/1 --i420 --end-usage=vbr --target-bitrate=[btr] --kf-max-dist=[iPer] --cpu-used=8 --threads=1 --psnr -w [wd] -h [ht] -o out.vp9 [input] --frame-parallel=0</t>
    <phoneticPr fontId="5" type="noConversion"/>
  </si>
  <si>
    <t xml:space="preserve">vp9 good threads 1 </t>
  </si>
  <si>
    <t>vp9 good threads 0</t>
  </si>
  <si>
    <t>vpxenc.exe --codec=vp9 --passes=1 --good --fps=[fps]/1 --i420 --end-usage=vbr --target-bitrate=[btr] --kf-max-dist=[iPer] --cpu-used=8 --threads=1 --psnr -w [wd] -h [ht] -o out.vp9 [input] --frame-parallel=0</t>
  </si>
  <si>
    <t>vpxenc.exe --codec=vp9 --passes=1 --best --fps=[fps]/1 --i420 --end-usage=vbr --target-bitrate=[btr] --kf-max-dist=[iPer] --cpu-used=8 --threads=4 --psnr -w [wd] -h [ht] -o out.vp9 [input] --frame-parallel=0</t>
    <phoneticPr fontId="5" type="noConversion"/>
  </si>
  <si>
    <t>x264.exe -o out.264 BQSquare_416x240_60.yuv --input-res 416x240 --preset superfast --fps [framerate] --profile high --aq-mode 0 --no-psy  --psnr  --bitrate [btrNumber]  --keyint [keyint] --frames 1000000</t>
  </si>
  <si>
    <t>AppEncoder_x64.exe -b out.265 -i BQSquare_416x240_60.yuv -preset superfast -tune default -latency  offline -threads 1 -wpp 0 -psnr 2 -rc 1 -br [btrNumber] -frms 1000000 -iper [iPer]</t>
  </si>
  <si>
    <t xml:space="preserve">x264 superfast threads 1 </t>
  </si>
  <si>
    <t>x264 superfast threads 0</t>
  </si>
  <si>
    <t>time ./sample_encode h265 -i BQSquare_416x240_60.yuv -o test.265 -hw -w [wd] -h [ht] -f [fps] -g [10*fps] -b [btr] -u speed -n 900 -async 3 -p e5400a06c74d41f5b12d430bbaa23d0b</t>
  </si>
  <si>
    <t>(libmfx_hevce_gacc64.so)</t>
    <phoneticPr fontId="5" type="noConversion"/>
  </si>
  <si>
    <t>./appencoder -b out.265 -i BQSquare_416x240_60.yuv -preset superfast -tune default -latency  offline -psnr 2 -rc 1 -br [btrNumber] -frms 900 -iper [iPer]</t>
  </si>
  <si>
    <t>./appencoder -b out.265 -i BQSquare_416x240_60.yuv -preset veryfast -tune default -latency  offline -psnr 2 -rc 1 -br [btrNumber] -frms 900 -iper [iPer]</t>
  </si>
  <si>
    <t>time ./sample_encode h265 -i BQSquare_416x240_60.yuv -o test.265 -w [wd] -h [ht] -f [fps] -g [10*fps] -b [btr] -u balanced -n 900 -async 3 -p 2fca99749fdb49aeb121a5b63ef568f7</t>
  </si>
  <si>
    <t>(libmfx_hevce_sw64.so)</t>
    <phoneticPr fontId="5" type="noConversion"/>
  </si>
  <si>
    <t>./appencoder -b out.265 -i BQSquare_416x240_60.yuv -preset slow -tune default -latency  offline -psnr 2 -rc 1 -br [btrNumber] -frms 900 -iper [iPer]</t>
  </si>
  <si>
    <t>time ./sample_encode h265 -i BQSquare_416x240_60.yuv -o test.265 -w [wd] -h [ht] -f [fps] -g [10*fps] -b [btr] -u quality -n 900 -async 3 -p 2fca99749fdb49aeb121a5b63ef568f7</t>
  </si>
  <si>
    <t>(libmfx_hevce_sw64.so)</t>
    <phoneticPr fontId="5" type="noConversion"/>
  </si>
  <si>
    <t>./appencoder -b out.265 -i BQSquare_416x240_60.yuv -preset veryslow -tune default -latency  offline -psnr 2 -rc 1 -br [btrNumber] -frms 900 -iper [iPer]</t>
  </si>
  <si>
    <t>[iPer] = framerate * 10</t>
    <phoneticPr fontId="5" type="noConversion"/>
  </si>
  <si>
    <t>本测试为intel265与q265离线编码对比测试，测试设备为台式机（Centos操作系统，8核Intel(R) Xeon(R) CPU E3-1585 v5 @ 3.50GHz），q265采取cbr模式编码、superfast档次</t>
    <phoneticPr fontId="5" type="noConversion"/>
  </si>
  <si>
    <t>本测试为intel265与q265离线编码对比测试，测试设备为台式机（Centos操作系统，8核Intel(R) Xeon(R) CPU E3-1585 v5 @ 3.50GHz），q265采取cbr模式编码、veryfast档次</t>
  </si>
  <si>
    <t>本测试为intel265与q265离线编码对比测试，测试设备为台式机（Centos操作系统，8核Intel(R) Xeon(R) CPU E3-1585 v5 @ 3.50GHz），q265采取cbr模式编码、slow档次</t>
  </si>
  <si>
    <t>本测试为intel265与q265离线编码对比测试，测试设备为台式机（Centos操作系统，8核Intel(R) Xeon(R) CPU E3-1585 v5 @ 3.50GHz），q265采取cbr模式编码、veryslow档次</t>
  </si>
  <si>
    <t>intel265 speed</t>
  </si>
  <si>
    <t>intel265 balanced</t>
  </si>
  <si>
    <t>intel265 quality</t>
  </si>
  <si>
    <t>ksc265vsIntel_offline_veryfast</t>
  </si>
  <si>
    <t>ksc265vsIntel_offline_slow</t>
  </si>
  <si>
    <t>ksc265 veryslow vsIntel_offline_veryslow</t>
  </si>
  <si>
    <t>ksc265vsIntel_offline_superfast</t>
  </si>
  <si>
    <t>vs. X264(RC=ABR)</t>
  </si>
  <si>
    <t>Superfast</t>
  </si>
  <si>
    <t xml:space="preserve">Veryfast </t>
  </si>
  <si>
    <t xml:space="preserve">Slow </t>
  </si>
  <si>
    <t xml:space="preserve">Veryslow </t>
  </si>
  <si>
    <t>带宽节省4</t>
  </si>
  <si>
    <t>加速5</t>
  </si>
  <si>
    <t>带宽节省6</t>
  </si>
  <si>
    <t>加速7</t>
  </si>
  <si>
    <t>x264.exe -o out.264 BQSquare_416x240_60.yuv --input-res 416x240 --preset placebo --fps [framerate] --profile high --aq-mode 0 --no-psy  --psnr  --bitrate [btrNumber]  --keyint [keyint] --frames 1000000</t>
  </si>
  <si>
    <t>[keyint] = framerate * 10</t>
    <phoneticPr fontId="5" type="noConversion"/>
  </si>
  <si>
    <t>[iPer] = framerate * 10</t>
    <phoneticPr fontId="5" type="noConversion"/>
  </si>
  <si>
    <t>测试说明</t>
    <phoneticPr fontId="5" type="noConversion"/>
  </si>
  <si>
    <t>x264 placebo threads 0</t>
  </si>
  <si>
    <t>编码速度提升</t>
    <phoneticPr fontId="5" type="noConversion"/>
  </si>
  <si>
    <t>YUV</t>
    <phoneticPr fontId="1" type="noConversion"/>
  </si>
  <si>
    <t xml:space="preserve">Game </t>
    <phoneticPr fontId="5" type="noConversion"/>
  </si>
  <si>
    <t>Average</t>
    <phoneticPr fontId="5" type="noConversion"/>
  </si>
  <si>
    <t>ksc265vsx264_offline_slow</t>
    <phoneticPr fontId="5" type="noConversion"/>
  </si>
  <si>
    <t>x265.exe -o out.265 --input SlideShow_1280x720_20.yuv --input-res 1280x720 --preset ultrafast --fps [framerate] --aq-mode 0 --no-psy-rd --no-psy-rdoq --psnr  --bitrate [btrNumber] --frame-threads 1 --no-wpp --keyint [keyint] --frames 1000000</t>
  </si>
  <si>
    <t>x265.exe -o out.265 --input SlideShow_1280x720_20.yuv --input-res 1280x720 --preset veryslow --fps [framerate] --aq-mode 0 --no-psy-rd --no-psy-rdoq --psnr  --bitrate [btrNumber] --keyint [keyint] --frames 1000000</t>
    <phoneticPr fontId="5" type="noConversion"/>
  </si>
  <si>
    <t>x265 veryslow threads 0</t>
    <phoneticPr fontId="5" type="noConversion"/>
  </si>
  <si>
    <t>vs. X265 (RC=ABR)</t>
  </si>
  <si>
    <t>vs. VP9 (RC=VBR)</t>
    <phoneticPr fontId="5" type="noConversion"/>
  </si>
  <si>
    <t>vs. Intel (RC=ABR)</t>
    <phoneticPr fontId="5" type="noConversion"/>
  </si>
  <si>
    <t>速度档次</t>
    <phoneticPr fontId="5" type="noConversion"/>
  </si>
  <si>
    <t>带宽节省</t>
    <phoneticPr fontId="5" type="noConversion"/>
  </si>
  <si>
    <t>加速</t>
    <phoneticPr fontId="5" type="noConversion"/>
  </si>
  <si>
    <t>带宽节省2</t>
  </si>
  <si>
    <t>加速3</t>
  </si>
  <si>
    <t xml:space="preserve">q265 superfast v2.6.1.3 threads 1 </t>
  </si>
  <si>
    <t>q265 superfast v2.6.1.3 threads 0</t>
  </si>
  <si>
    <t xml:space="preserve">q265 veryfast v2.6.1.3 threads 1 </t>
  </si>
  <si>
    <t>q265 veryfast v2.6.1.3 threads 0</t>
  </si>
  <si>
    <t xml:space="preserve">q265 slow v2.6.1.3 threads 1 </t>
  </si>
  <si>
    <t>q265 slow v2.6.1.3 threads 0</t>
  </si>
  <si>
    <t>q265 veryslow v2.6.1.3 threads 0</t>
  </si>
  <si>
    <t>q265 superfast v2.6.1.3</t>
  </si>
  <si>
    <t>q265 veryfast v2.6.1.3</t>
  </si>
  <si>
    <t>q265 slow v2.6.1.3</t>
  </si>
  <si>
    <t>q265 veryslow v2.6.1.3</t>
  </si>
  <si>
    <t>本测试为X264与QY265v2.6.1.3版本离线编码对比测试，测试设备为台式机（Win7操作系统，i7-4790四核CPU，16G内存），采取cbr模式编码、superfast档次、单线程模式编码</t>
  </si>
  <si>
    <t>本测试为X264与QY265v2.6.1.3版本离线编码对比测试，测试设备为台式机（Win7操作系统，i7-4790四核CPU，16G内存），采取cbr模式编码、superfast档次、满线程模式编码</t>
  </si>
  <si>
    <t>本测试为X264与QY265v2.6.1.3版本离线编码对比测试，测试设备为台式机（Win7操作系统，i7-4790四核CPU，16G内存），采取cbr模式编码、veryfast档次、单线程模式编码</t>
  </si>
  <si>
    <t>本测试为X264与QY265v2.6.1.3版本离线编码对比测试，测试设备为台式机（Win7操作系统，i7-4790四核CPU，16G内存），采取cbr模式编码、veryfast档次、满线程模式编码</t>
  </si>
  <si>
    <t>本测试为X264与QY265v2.6.1.3版本离线编码对比测试，测试设备为台式机（Win7操作系统，i7-4790四核CPU，16G内存），采取cbr模式编码、slow档次、单线程模式编码</t>
  </si>
  <si>
    <t>本测试为X264与QY265v2.6.1.3版本离线编码对比测试，测试设备为台式机（Win7操作系统，i7-4790四核CPU，16G内存），采取cbr模式编码、slow档次、满线程模式编码</t>
  </si>
  <si>
    <t>本测试为X264与QY265v2.6.1.3版本离线编码对比测试，测试设备为台式机（Win7操作系统，i7-4790四核CPU，16G内存），采取cbr模式编码、placebo档次、满线程模式编码</t>
  </si>
  <si>
    <t>本测试为x265v2.4版本与QY265v2.6.1.3版本离线编码对比测试，测试设备为台式机（Win7操作系统，i7-4790四核CPU，16G内存），采取cbr模式编码、superfast档次、单线程模式编码</t>
  </si>
  <si>
    <t>本测试为x265v2.4版本与QY265v2.6.1.3版本离线编码对比测试，测试设备为台式机（Win7操作系统，i7-4790四核CPU，16G内存），采取cbr模式编码、superfast档次、满线程模式编码</t>
  </si>
  <si>
    <t>本测试为x265v2.4版本与QY265v2.6.1.3版本离线编码对比测试，测试设备为台式机（Win7操作系统，i7-4790四核CPU，16G内存），采取cbr模式编码、veryfast档次、单线程模式编码</t>
  </si>
  <si>
    <t>本测试为x265v2.4版本与QY265v2.6.1.3版本离线编码对比测试，测试设备为台式机（Win7操作系统，i7-4790四核CPU，16G内存），采取cbr模式编码、veryfast档次、满线程模式编码</t>
  </si>
  <si>
    <t>本测试为x265v2.4版本与QY265v2.6.1.3版本离线编码对比测试，测试设备为台式机（Win7操作系统，i7-4790四核CPU，16G内存），采取cbr模式编码、slow档次、单线程模式编码</t>
  </si>
  <si>
    <t>本测试为x265v2.4版本与QY265v2.6.1.3版本离线编码对比测试，测试设备为台式机（Win7操作系统，i7-4790四核CPU，16G内存），采取cbr模式编码、slow档次、满线程模式编码</t>
  </si>
  <si>
    <t>本测试为x265v2.4版本与QY265v2.6.1.3版本离线编码对比测试，测试设备为台式机（Win7操作系统，i7-4790四核CPU，16G内存），采取cbr模式编码、veryslow档次、满线程模式编码</t>
  </si>
  <si>
    <t>本测试为vp9与QY265v2.6.1.3版本离线编码对比测试，测试设备为台式机（Win7操作系统，i7-4790四核CPU，16G内存），采取cbr模式编码、superfast档次、单线程模式编码</t>
  </si>
  <si>
    <t>本测试为vp9与QY265v2.6.1.3版本离线编码对比测试，测试设备为台式机（Win7操作系统，i7-4790四核CPU，16G内存），采取cbr模式编码、superfast档次、满线程模式编码</t>
  </si>
  <si>
    <t>本测试为vp9与QY265v2.6.1.3版本离线编码对比测试，测试设备为台式机（Win7操作系统，i7-4790四核CPU，16G内存），采取cbr模式编码、veryfast档次、单线程模式编码</t>
  </si>
  <si>
    <t>本测试为vp9与QY265v2.6.1.3版本离线编码对比测试，测试设备为台式机（Win7操作系统，i7-4790四核CPU，16G内存），采取cbr模式编码、veryfast档次、满线程模式编码</t>
  </si>
  <si>
    <t>本测试为vp9与QY265v2.6.1.3版本离线编码对比测试，测试设备为台式机（Win7操作系统，i7-4790四核CPU，16G内存），采取cbr模式编码、slow档次、单线程模式编码</t>
  </si>
  <si>
    <t>本测试为vp9与QY265v2.6.1.3版本离线编码对比测试，测试设备为台式机（Win7操作系统，i7-4790四核CPU，16G内存），采取cbr模式编码、slow档次、满线程模式编码</t>
  </si>
  <si>
    <t>本测试为vp9与QY265v2.6.1.3版本离线编码对比测试，测试设备为台式机（Win7操作系统，i7-4790四核CPU，16G内存），采取cbr模式编码、veryslow档次、满线程模式编码</t>
  </si>
  <si>
    <t>x265.exe -o out.265 --input SlideShow_1280x720_20.yuv --input-res 1280x720 --preset fast --fps [framerate] --aq-mode 0 --no-psy-rd --no-psy-rdoq --psnr  --bitrate [btrNumber] --frame-threads 1 --no-wpp --keyint [keyint] --frames 1000000</t>
  </si>
  <si>
    <t xml:space="preserve">x265 fast threads 1 </t>
  </si>
  <si>
    <t>x265 fast threads 0</t>
  </si>
  <si>
    <t>ksc265 veryfast vs x264_offline_veryfast</t>
    <phoneticPr fontId="5" type="noConversion"/>
  </si>
  <si>
    <t>ksc265 ultrafast vs x264_offline_superfast</t>
    <phoneticPr fontId="5" type="noConversion"/>
  </si>
  <si>
    <t>ksc265 superfast vsx265_offline_ultrafast</t>
    <phoneticPr fontId="5" type="noConversion"/>
  </si>
  <si>
    <t>ksc265 veryfast vsx265_offline_ultrafast</t>
    <phoneticPr fontId="5" type="noConversion"/>
  </si>
  <si>
    <t>ksc265 superfast vs vp9_offline_fast</t>
    <phoneticPr fontId="5" type="noConversion"/>
  </si>
  <si>
    <t>ksc265 veryfast vsvp9_offline_good</t>
    <phoneticPr fontId="5" type="noConversion"/>
  </si>
  <si>
    <t>ksc265 slow vsvp9_offline_good</t>
    <phoneticPr fontId="5" type="noConversion"/>
  </si>
  <si>
    <t>ksc265 veryslow  vs vp9_offline_best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</si>
</sst>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 "/>
    <numFmt numFmtId="177" formatCode="0.0%"/>
  </numFmts>
  <fonts count="15" x14ac:knownFonts="1">
    <font>
      <sz val="12"/>
      <color theme="1"/>
      <name val="Calibri"/>
      <family val="2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2"/>
      <color theme="1"/>
      <name val="宋体"/>
      <family val="2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Calibri"/>
      <family val="2"/>
    </font>
    <font>
      <sz val="12"/>
      <color theme="1"/>
      <name val="宋体"/>
      <family val="3"/>
      <charset val="134"/>
    </font>
    <font>
      <b/>
      <sz val="9"/>
      <color indexed="8"/>
      <name val="宋体"/>
      <family val="3"/>
      <charset val="134"/>
    </font>
    <font>
      <sz val="10"/>
      <color theme="1"/>
      <name val="Times New Roman"/>
      <family val="1"/>
    </font>
    <font>
      <sz val="10"/>
      <color rgb="FF333333"/>
      <name val="Times New Roman"/>
      <family val="1"/>
    </font>
    <font>
      <sz val="10"/>
      <name val="宋体"/>
      <family val="3"/>
      <charset val="134"/>
    </font>
    <font>
      <sz val="10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FF00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/>
    <xf numFmtId="0" fontId="4" fillId="0" borderId="0"/>
    <xf numFmtId="0" fontId="6" fillId="0" borderId="0"/>
    <xf numFmtId="0" fontId="7" fillId="0" borderId="0"/>
    <xf numFmtId="0" fontId="8" fillId="0" borderId="0"/>
    <xf numFmtId="0" fontId="7" fillId="0" borderId="0"/>
  </cellStyleXfs>
  <cellXfs count="73">
    <xf numFmtId="0" fontId="0" fillId="0" borderId="0" xfId="0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0" applyFont="1"/>
    <xf numFmtId="0" fontId="2" fillId="0" borderId="6" xfId="0" applyFont="1" applyBorder="1"/>
    <xf numFmtId="2" fontId="2" fillId="0" borderId="0" xfId="0" applyNumberFormat="1" applyFont="1"/>
    <xf numFmtId="177" fontId="2" fillId="0" borderId="4" xfId="0" applyNumberFormat="1" applyFont="1" applyBorder="1" applyAlignment="1">
      <alignment horizontal="center"/>
    </xf>
    <xf numFmtId="0" fontId="2" fillId="0" borderId="7" xfId="0" applyFont="1" applyBorder="1"/>
    <xf numFmtId="0" fontId="2" fillId="0" borderId="8" xfId="0" applyFont="1" applyBorder="1"/>
    <xf numFmtId="0" fontId="2" fillId="0" borderId="0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176" fontId="2" fillId="2" borderId="4" xfId="0" applyNumberFormat="1" applyFont="1" applyFill="1" applyBorder="1" applyAlignment="1"/>
    <xf numFmtId="176" fontId="2" fillId="2" borderId="5" xfId="0" applyNumberFormat="1" applyFont="1" applyFill="1" applyBorder="1" applyAlignment="1"/>
    <xf numFmtId="176" fontId="2" fillId="2" borderId="8" xfId="0" applyNumberFormat="1" applyFont="1" applyFill="1" applyBorder="1" applyAlignment="1"/>
    <xf numFmtId="176" fontId="2" fillId="2" borderId="0" xfId="0" applyNumberFormat="1" applyFont="1" applyFill="1" applyBorder="1" applyAlignment="1"/>
    <xf numFmtId="176" fontId="2" fillId="2" borderId="10" xfId="0" applyNumberFormat="1" applyFont="1" applyFill="1" applyBorder="1" applyAlignment="1"/>
    <xf numFmtId="176" fontId="2" fillId="2" borderId="11" xfId="0" applyNumberFormat="1" applyFont="1" applyFill="1" applyBorder="1" applyAlignment="1"/>
    <xf numFmtId="177" fontId="0" fillId="0" borderId="1" xfId="0" applyNumberFormat="1" applyBorder="1"/>
    <xf numFmtId="0" fontId="0" fillId="0" borderId="11" xfId="0" applyBorder="1"/>
    <xf numFmtId="0" fontId="3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177" fontId="2" fillId="0" borderId="13" xfId="0" applyNumberFormat="1" applyFont="1" applyBorder="1" applyAlignment="1">
      <alignment horizontal="center"/>
    </xf>
    <xf numFmtId="0" fontId="2" fillId="0" borderId="14" xfId="0" applyFont="1" applyBorder="1"/>
    <xf numFmtId="0" fontId="2" fillId="0" borderId="15" xfId="0" applyFont="1" applyBorder="1"/>
    <xf numFmtId="177" fontId="0" fillId="0" borderId="0" xfId="0" applyNumberFormat="1"/>
    <xf numFmtId="176" fontId="2" fillId="2" borderId="4" xfId="2" applyNumberFormat="1" applyFont="1" applyFill="1" applyBorder="1" applyAlignment="1"/>
    <xf numFmtId="176" fontId="2" fillId="2" borderId="5" xfId="2" applyNumberFormat="1" applyFont="1" applyFill="1" applyBorder="1" applyAlignment="1"/>
    <xf numFmtId="176" fontId="2" fillId="2" borderId="8" xfId="2" applyNumberFormat="1" applyFont="1" applyFill="1" applyBorder="1" applyAlignment="1"/>
    <xf numFmtId="176" fontId="2" fillId="2" borderId="0" xfId="2" applyNumberFormat="1" applyFont="1" applyFill="1" applyBorder="1" applyAlignment="1"/>
    <xf numFmtId="176" fontId="2" fillId="2" borderId="10" xfId="2" applyNumberFormat="1" applyFont="1" applyFill="1" applyBorder="1" applyAlignment="1"/>
    <xf numFmtId="176" fontId="2" fillId="2" borderId="11" xfId="2" applyNumberFormat="1" applyFont="1" applyFill="1" applyBorder="1" applyAlignment="1"/>
    <xf numFmtId="0" fontId="0" fillId="0" borderId="0" xfId="0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0" fillId="0" borderId="25" xfId="0" applyBorder="1"/>
    <xf numFmtId="177" fontId="2" fillId="0" borderId="25" xfId="0" applyNumberFormat="1" applyFont="1" applyBorder="1" applyAlignment="1">
      <alignment horizontal="center"/>
    </xf>
    <xf numFmtId="177" fontId="0" fillId="0" borderId="25" xfId="0" applyNumberFormat="1" applyBorder="1"/>
    <xf numFmtId="177" fontId="0" fillId="0" borderId="0" xfId="0" applyNumberFormat="1" applyBorder="1"/>
    <xf numFmtId="0" fontId="0" fillId="3" borderId="25" xfId="0" applyFill="1" applyBorder="1"/>
    <xf numFmtId="177" fontId="11" fillId="0" borderId="21" xfId="0" applyNumberFormat="1" applyFont="1" applyBorder="1" applyAlignment="1">
      <alignment horizontal="center" wrapText="1"/>
    </xf>
    <xf numFmtId="177" fontId="12" fillId="0" borderId="21" xfId="0" applyNumberFormat="1" applyFont="1" applyBorder="1" applyAlignment="1">
      <alignment horizontal="center" vertical="center" wrapText="1"/>
    </xf>
    <xf numFmtId="177" fontId="11" fillId="0" borderId="21" xfId="0" applyNumberFormat="1" applyFont="1" applyBorder="1" applyAlignment="1">
      <alignment horizontal="center" vertical="center" wrapText="1"/>
    </xf>
    <xf numFmtId="0" fontId="11" fillId="4" borderId="6" xfId="0" applyFont="1" applyFill="1" applyBorder="1" applyAlignment="1">
      <alignment vertical="top" wrapText="1"/>
    </xf>
    <xf numFmtId="176" fontId="0" fillId="0" borderId="0" xfId="0" applyNumberFormat="1"/>
    <xf numFmtId="176" fontId="14" fillId="4" borderId="21" xfId="0" applyNumberFormat="1" applyFont="1" applyFill="1" applyBorder="1" applyAlignment="1">
      <alignment horizontal="center" wrapText="1"/>
    </xf>
    <xf numFmtId="176" fontId="13" fillId="4" borderId="9" xfId="0" applyNumberFormat="1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11" fillId="4" borderId="4" xfId="0" applyFont="1" applyFill="1" applyBorder="1" applyAlignment="1">
      <alignment horizontal="center" vertical="center" wrapText="1"/>
    </xf>
    <xf numFmtId="0" fontId="11" fillId="4" borderId="26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9" fillId="0" borderId="16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0" borderId="17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9" fillId="0" borderId="22" xfId="0" applyFont="1" applyBorder="1" applyAlignment="1">
      <alignment horizontal="center" vertical="center" wrapText="1"/>
    </xf>
    <xf numFmtId="0" fontId="9" fillId="0" borderId="23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9" fillId="0" borderId="20" xfId="0" applyFont="1" applyBorder="1" applyAlignment="1">
      <alignment horizontal="center" wrapText="1"/>
    </xf>
  </cellXfs>
  <cellStyles count="6">
    <cellStyle name="常规" xfId="0" builtinId="0"/>
    <cellStyle name="常规 2" xfId="1"/>
    <cellStyle name="常规 2 2" xfId="3"/>
    <cellStyle name="常规 2 2 2" xfId="5"/>
    <cellStyle name="常规 3" xfId="2"/>
    <cellStyle name="常规 4" xfId="4"/>
  </cellStyles>
  <dxfs count="137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Times New Roman"/>
        <scheme val="none"/>
      </font>
      <numFmt numFmtId="177" formatCode="0.0%"/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/>
        <top/>
        <bottom/>
        <vertical style="medium">
          <color auto="1"/>
        </vertical>
        <horizontal/>
      </border>
    </dxf>
    <dxf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Times New Roman"/>
        <scheme val="none"/>
      </font>
      <numFmt numFmtId="177" formatCode="0.0%"/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Times New Roman"/>
        <scheme val="none"/>
      </font>
      <numFmt numFmtId="177" formatCode="0.0%"/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Times New Roman"/>
        <scheme val="none"/>
      </font>
      <numFmt numFmtId="177" formatCode="0.0%"/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Times New Roman"/>
        <scheme val="none"/>
      </font>
      <numFmt numFmtId="177" formatCode="0.0%"/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Times New Roman"/>
        <scheme val="none"/>
      </font>
      <numFmt numFmtId="177" formatCode="0.0%"/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fill>
        <patternFill patternType="solid">
          <fgColor indexed="64"/>
          <bgColor rgb="FF00FF00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auto="1"/>
        </right>
        <top/>
        <bottom/>
        <vertical style="medium">
          <color auto="1"/>
        </vertical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numFmt numFmtId="176" formatCode="0.00_ "/>
      <fill>
        <patternFill patternType="solid">
          <fgColor indexed="64"/>
          <bgColor rgb="FF00FF00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2" name="表1_3" displayName="表1_3" ref="A2:I6" totalsRowShown="0" headerRowDxfId="1373" headerRowBorderDxfId="1372" tableBorderDxfId="1371">
  <autoFilter ref="A2:I6"/>
  <tableColumns count="9">
    <tableColumn id="1" name="速度档次" dataDxfId="1370"/>
    <tableColumn id="2" name="带宽节省" dataDxfId="1369"/>
    <tableColumn id="3" name="加速" dataDxfId="1368"/>
    <tableColumn id="4" name="带宽节省2" dataDxfId="1367"/>
    <tableColumn id="5" name="加速3" dataDxfId="1366"/>
    <tableColumn id="6" name="带宽节省4" dataDxfId="1365"/>
    <tableColumn id="7" name="加速5" dataDxfId="1364"/>
    <tableColumn id="8" name="带宽节省6" dataDxfId="1363"/>
    <tableColumn id="9" name="加速7" dataDxfId="1362"/>
  </tableColumns>
  <tableStyleInfo name="TableStyleLight1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78"/>
  <sheetViews>
    <sheetView topLeftCell="A46" workbookViewId="0">
      <selection activeCell="I46" sqref="I46"/>
    </sheetView>
  </sheetViews>
  <sheetFormatPr defaultRowHeight="15.75" x14ac:dyDescent="0.25"/>
  <sheetData>
    <row r="1" spans="1:20" ht="16.5" thickBot="1" x14ac:dyDescent="0.3">
      <c r="A1" t="s">
        <v>25</v>
      </c>
    </row>
    <row r="2" spans="1:20" ht="16.5" thickBot="1" x14ac:dyDescent="0.3">
      <c r="B2" s="50" t="s">
        <v>23</v>
      </c>
      <c r="C2" s="51"/>
      <c r="D2" s="51"/>
      <c r="E2" s="51"/>
      <c r="F2" s="51"/>
      <c r="G2" s="51"/>
      <c r="H2" s="5"/>
      <c r="I2" s="50" t="s">
        <v>24</v>
      </c>
      <c r="J2" s="51"/>
      <c r="K2" s="51"/>
      <c r="L2" s="51"/>
      <c r="M2" s="51"/>
      <c r="N2" s="51"/>
      <c r="P2" s="50" t="s">
        <v>7</v>
      </c>
      <c r="Q2" s="51"/>
      <c r="R2" s="52"/>
      <c r="S2" s="23"/>
      <c r="T2" t="s">
        <v>18</v>
      </c>
    </row>
    <row r="3" spans="1:20" ht="16.5" thickBot="1" x14ac:dyDescent="0.3">
      <c r="B3" s="2" t="s">
        <v>0</v>
      </c>
      <c r="C3" s="3" t="s">
        <v>1</v>
      </c>
      <c r="D3" s="3" t="s">
        <v>2</v>
      </c>
      <c r="E3" s="3" t="s">
        <v>3</v>
      </c>
      <c r="F3" s="3" t="s">
        <v>19</v>
      </c>
      <c r="G3" s="3" t="s">
        <v>20</v>
      </c>
      <c r="H3" s="1"/>
      <c r="I3" s="2" t="s">
        <v>0</v>
      </c>
      <c r="J3" s="3" t="s">
        <v>1</v>
      </c>
      <c r="K3" s="3" t="s">
        <v>2</v>
      </c>
      <c r="L3" s="3" t="s">
        <v>3</v>
      </c>
      <c r="M3" s="3" t="s">
        <v>19</v>
      </c>
      <c r="N3" s="3" t="s">
        <v>20</v>
      </c>
      <c r="P3" s="2" t="s">
        <v>4</v>
      </c>
      <c r="Q3" s="3" t="s">
        <v>5</v>
      </c>
      <c r="R3" s="4" t="s">
        <v>6</v>
      </c>
      <c r="S3" s="24" t="s">
        <v>21</v>
      </c>
    </row>
    <row r="4" spans="1:20" x14ac:dyDescent="0.25">
      <c r="A4" s="6" t="s">
        <v>9</v>
      </c>
      <c r="B4" s="15">
        <v>24133.3776</v>
      </c>
      <c r="C4" s="16">
        <v>44.001899999999999</v>
      </c>
      <c r="D4" s="16">
        <v>47.906799999999997</v>
      </c>
      <c r="E4" s="16">
        <v>48.338500000000003</v>
      </c>
      <c r="F4" s="16">
        <v>18.477499999999999</v>
      </c>
      <c r="G4" s="16">
        <f t="shared" ref="G4:G43" si="0">(6*C4+D4+E4)/8</f>
        <v>45.032087499999996</v>
      </c>
      <c r="H4" s="5"/>
      <c r="I4" s="15">
        <v>24060.263999999999</v>
      </c>
      <c r="J4" s="16">
        <v>44.000399999999999</v>
      </c>
      <c r="K4" s="16">
        <v>47.902299999999997</v>
      </c>
      <c r="L4" s="16">
        <v>48.335799999999999</v>
      </c>
      <c r="M4" s="16">
        <v>18.106100000000001</v>
      </c>
      <c r="N4" s="16">
        <f t="shared" ref="N4:N43" si="1">(6*J4+K4+L4)/8</f>
        <v>45.030062499999993</v>
      </c>
      <c r="O4" s="7"/>
      <c r="P4" s="8">
        <f>bdrate(B4:B7,C4:C7,I4:I7,J4:J7)</f>
        <v>-3.1714602737135111E-3</v>
      </c>
      <c r="Q4" s="8">
        <f>bdrate(B4:B7,D4:D7,I4:I7,K4:K7)</f>
        <v>-2.0358996009638419E-3</v>
      </c>
      <c r="R4" s="8">
        <f>bdrate(B4:B7,E4:E7,I4:I7,L4:L7)</f>
        <v>-1.112478920438642E-4</v>
      </c>
      <c r="S4" s="25">
        <f>bdrate(B4:B7,G4:G7,I4:I7,N4:N7)</f>
        <v>-2.7524655852478874E-3</v>
      </c>
      <c r="T4" s="28">
        <f t="shared" ref="T4:T43" si="2">(M4-F4)/F4</f>
        <v>-2.0100121769719807E-2</v>
      </c>
    </row>
    <row r="5" spans="1:20" x14ac:dyDescent="0.25">
      <c r="A5" s="9"/>
      <c r="B5" s="17">
        <v>13122.9696</v>
      </c>
      <c r="C5" s="18">
        <v>41.790799999999997</v>
      </c>
      <c r="D5" s="18">
        <v>46.060600000000001</v>
      </c>
      <c r="E5" s="18">
        <v>46.540599999999998</v>
      </c>
      <c r="F5" s="18">
        <v>22.680900000000001</v>
      </c>
      <c r="G5" s="18">
        <f t="shared" si="0"/>
        <v>42.91825</v>
      </c>
      <c r="H5" s="5"/>
      <c r="I5" s="17">
        <v>13088.5008</v>
      </c>
      <c r="J5" s="18">
        <v>41.791800000000002</v>
      </c>
      <c r="K5" s="18">
        <v>46.055300000000003</v>
      </c>
      <c r="L5" s="18">
        <v>46.530099999999997</v>
      </c>
      <c r="M5" s="18">
        <v>22.1877</v>
      </c>
      <c r="N5" s="18">
        <f t="shared" si="1"/>
        <v>42.917025000000002</v>
      </c>
      <c r="O5" s="7"/>
      <c r="P5" s="10"/>
      <c r="Q5" s="11"/>
      <c r="R5" s="11"/>
      <c r="S5" s="26"/>
      <c r="T5" s="28">
        <f t="shared" si="2"/>
        <v>-2.174516884250632E-2</v>
      </c>
    </row>
    <row r="6" spans="1:20" x14ac:dyDescent="0.25">
      <c r="A6" s="9"/>
      <c r="B6" s="17">
        <v>7621.0176000000001</v>
      </c>
      <c r="C6" s="18">
        <v>39.421599999999998</v>
      </c>
      <c r="D6" s="18">
        <v>44.186199999999999</v>
      </c>
      <c r="E6" s="18">
        <v>44.596600000000002</v>
      </c>
      <c r="F6" s="18">
        <v>29.481100000000001</v>
      </c>
      <c r="G6" s="18">
        <f t="shared" si="0"/>
        <v>40.664050000000003</v>
      </c>
      <c r="H6" s="5"/>
      <c r="I6" s="17">
        <v>7598.1696000000002</v>
      </c>
      <c r="J6" s="18">
        <v>39.421999999999997</v>
      </c>
      <c r="K6" s="18">
        <v>44.184100000000001</v>
      </c>
      <c r="L6" s="18">
        <v>44.5837</v>
      </c>
      <c r="M6" s="18">
        <v>29.403099999999998</v>
      </c>
      <c r="N6" s="18">
        <f t="shared" si="1"/>
        <v>40.662475000000001</v>
      </c>
      <c r="O6" s="7"/>
      <c r="P6" s="10"/>
      <c r="Q6" s="11"/>
      <c r="R6" s="11"/>
      <c r="S6" s="26"/>
      <c r="T6" s="28">
        <f t="shared" si="2"/>
        <v>-2.645762878590112E-3</v>
      </c>
    </row>
    <row r="7" spans="1:20" ht="16.5" thickBot="1" x14ac:dyDescent="0.3">
      <c r="A7" s="12"/>
      <c r="B7" s="19">
        <v>4528.5263999999997</v>
      </c>
      <c r="C7" s="20">
        <v>36.869300000000003</v>
      </c>
      <c r="D7" s="20">
        <v>42.609499999999997</v>
      </c>
      <c r="E7" s="20">
        <v>43.037199999999999</v>
      </c>
      <c r="F7" s="20">
        <v>33.355600000000003</v>
      </c>
      <c r="G7" s="20">
        <f t="shared" si="0"/>
        <v>38.357812499999994</v>
      </c>
      <c r="H7" s="5"/>
      <c r="I7" s="19">
        <v>4507.1376</v>
      </c>
      <c r="J7" s="20">
        <v>36.869100000000003</v>
      </c>
      <c r="K7" s="20">
        <v>42.611699999999999</v>
      </c>
      <c r="L7" s="20">
        <v>43.034300000000002</v>
      </c>
      <c r="M7" s="20">
        <v>32.626399999999997</v>
      </c>
      <c r="N7" s="20">
        <f t="shared" si="1"/>
        <v>38.357574999999997</v>
      </c>
      <c r="O7" s="7"/>
      <c r="P7" s="13"/>
      <c r="Q7" s="14"/>
      <c r="R7" s="14"/>
      <c r="S7" s="27"/>
      <c r="T7" s="28">
        <f t="shared" si="2"/>
        <v>-2.1861396587080004E-2</v>
      </c>
    </row>
    <row r="8" spans="1:20" x14ac:dyDescent="0.25">
      <c r="A8" s="6" t="s">
        <v>10</v>
      </c>
      <c r="B8" s="15">
        <v>8760.6191999999992</v>
      </c>
      <c r="C8" s="16">
        <v>42.732599999999998</v>
      </c>
      <c r="D8" s="16">
        <v>47.448099999999997</v>
      </c>
      <c r="E8" s="16">
        <v>47.514899999999997</v>
      </c>
      <c r="F8" s="16">
        <v>38.240900000000003</v>
      </c>
      <c r="G8" s="16">
        <f t="shared" si="0"/>
        <v>43.919825000000003</v>
      </c>
      <c r="H8" s="5"/>
      <c r="I8" s="15">
        <v>8737.8240000000005</v>
      </c>
      <c r="J8" s="16">
        <v>42.733899999999998</v>
      </c>
      <c r="K8" s="16">
        <v>47.451500000000003</v>
      </c>
      <c r="L8" s="16">
        <v>47.508000000000003</v>
      </c>
      <c r="M8" s="16">
        <v>37.369199999999999</v>
      </c>
      <c r="N8" s="16">
        <f t="shared" si="1"/>
        <v>43.920362499999996</v>
      </c>
      <c r="O8" s="7"/>
      <c r="P8" s="8">
        <f>bdrate(B8:B11,C8:C11,I8:I11,J8:J11)</f>
        <v>-4.4002805537989298E-3</v>
      </c>
      <c r="Q8" s="8">
        <f>bdrate(B8:B11,D8:D11,I8:I11,K8:K11)</f>
        <v>-8.2617186571047885E-3</v>
      </c>
      <c r="R8" s="8">
        <f>bdrate(B8:B11,E8:E11,I8:I11,L8:L11)</f>
        <v>-2.7114977103327442E-3</v>
      </c>
      <c r="S8" s="25">
        <f>bdrate(B8:B11,G8:G11,I8:I11,N8:N11)</f>
        <v>-4.5722235112812815E-3</v>
      </c>
      <c r="T8" s="28">
        <f t="shared" si="2"/>
        <v>-2.2794965599659111E-2</v>
      </c>
    </row>
    <row r="9" spans="1:20" x14ac:dyDescent="0.25">
      <c r="A9" s="9"/>
      <c r="B9" s="17">
        <v>5332.6103999999996</v>
      </c>
      <c r="C9" s="18">
        <v>39.476999999999997</v>
      </c>
      <c r="D9" s="18">
        <v>45.283799999999999</v>
      </c>
      <c r="E9" s="18">
        <v>45.508899999999997</v>
      </c>
      <c r="F9" s="18">
        <v>43.215200000000003</v>
      </c>
      <c r="G9" s="18">
        <f t="shared" si="0"/>
        <v>40.956837499999992</v>
      </c>
      <c r="H9" s="5"/>
      <c r="I9" s="17">
        <v>5312.5104000000001</v>
      </c>
      <c r="J9" s="18">
        <v>39.4741</v>
      </c>
      <c r="K9" s="18">
        <v>45.291200000000003</v>
      </c>
      <c r="L9" s="18">
        <v>45.4908</v>
      </c>
      <c r="M9" s="18">
        <v>41.911099999999998</v>
      </c>
      <c r="N9" s="18">
        <f t="shared" si="1"/>
        <v>40.953325</v>
      </c>
      <c r="O9" s="7"/>
      <c r="P9" s="10"/>
      <c r="Q9" s="11"/>
      <c r="R9" s="11"/>
      <c r="S9" s="26"/>
      <c r="T9" s="28">
        <f t="shared" si="2"/>
        <v>-3.0176882208112082E-2</v>
      </c>
    </row>
    <row r="10" spans="1:20" x14ac:dyDescent="0.25">
      <c r="A10" s="9"/>
      <c r="B10" s="17">
        <v>3263.6880000000001</v>
      </c>
      <c r="C10" s="18">
        <v>36.178600000000003</v>
      </c>
      <c r="D10" s="18">
        <v>43.579500000000003</v>
      </c>
      <c r="E10" s="18">
        <v>43.726300000000002</v>
      </c>
      <c r="F10" s="18">
        <v>46.360700000000001</v>
      </c>
      <c r="G10" s="18">
        <f t="shared" si="0"/>
        <v>38.047175000000003</v>
      </c>
      <c r="H10" s="5"/>
      <c r="I10" s="17">
        <v>3250.0920000000001</v>
      </c>
      <c r="J10" s="18">
        <v>36.1843</v>
      </c>
      <c r="K10" s="18">
        <v>43.590699999999998</v>
      </c>
      <c r="L10" s="18">
        <v>43.730200000000004</v>
      </c>
      <c r="M10" s="18">
        <v>44.943800000000003</v>
      </c>
      <c r="N10" s="18">
        <f t="shared" si="1"/>
        <v>38.053337500000005</v>
      </c>
      <c r="O10" s="7"/>
      <c r="P10" s="10"/>
      <c r="Q10" s="11"/>
      <c r="R10" s="11"/>
      <c r="S10" s="26"/>
      <c r="T10" s="28">
        <f t="shared" si="2"/>
        <v>-3.0562523861805326E-2</v>
      </c>
    </row>
    <row r="11" spans="1:20" ht="16.5" thickBot="1" x14ac:dyDescent="0.3">
      <c r="A11" s="12"/>
      <c r="B11" s="19">
        <v>1927.9151999999999</v>
      </c>
      <c r="C11" s="20">
        <v>32.850499999999997</v>
      </c>
      <c r="D11" s="20">
        <v>42.194299999999998</v>
      </c>
      <c r="E11" s="20">
        <v>42.479599999999998</v>
      </c>
      <c r="F11" s="20">
        <v>52.9101</v>
      </c>
      <c r="G11" s="20">
        <f t="shared" si="0"/>
        <v>35.222112499999994</v>
      </c>
      <c r="H11" s="5"/>
      <c r="I11" s="19">
        <v>1915.7736</v>
      </c>
      <c r="J11" s="20">
        <v>32.856000000000002</v>
      </c>
      <c r="K11" s="20">
        <v>42.251899999999999</v>
      </c>
      <c r="L11" s="20">
        <v>42.496299999999998</v>
      </c>
      <c r="M11" s="20">
        <v>52.273899999999998</v>
      </c>
      <c r="N11" s="20">
        <f t="shared" si="1"/>
        <v>35.235525000000003</v>
      </c>
      <c r="O11" s="7"/>
      <c r="P11" s="13"/>
      <c r="Q11" s="14"/>
      <c r="R11" s="14"/>
      <c r="S11" s="27"/>
      <c r="T11" s="28">
        <f t="shared" si="2"/>
        <v>-1.2024169298489368E-2</v>
      </c>
    </row>
    <row r="12" spans="1:20" x14ac:dyDescent="0.25">
      <c r="A12" s="6" t="s">
        <v>11</v>
      </c>
      <c r="B12" s="15">
        <v>4488.3527999999997</v>
      </c>
      <c r="C12" s="16">
        <v>44.375700000000002</v>
      </c>
      <c r="D12" s="16">
        <v>48.720700000000001</v>
      </c>
      <c r="E12" s="16">
        <v>48.467300000000002</v>
      </c>
      <c r="F12" s="16">
        <v>52.659300000000002</v>
      </c>
      <c r="G12" s="16">
        <f t="shared" si="0"/>
        <v>45.430275000000009</v>
      </c>
      <c r="H12" s="5"/>
      <c r="I12" s="15">
        <v>4483.0871999999999</v>
      </c>
      <c r="J12" s="16">
        <v>44.375100000000003</v>
      </c>
      <c r="K12" s="16">
        <v>48.720799999999997</v>
      </c>
      <c r="L12" s="16">
        <v>48.462400000000002</v>
      </c>
      <c r="M12" s="16">
        <v>52.301299999999998</v>
      </c>
      <c r="N12" s="16">
        <f t="shared" si="1"/>
        <v>45.429225000000002</v>
      </c>
      <c r="O12" s="7"/>
      <c r="P12" s="8">
        <f>bdrate(B12:B15,C12:C15,I12:I15,J12:J15)</f>
        <v>-2.2616232704264494E-3</v>
      </c>
      <c r="Q12" s="8">
        <f>bdrate(B12:B15,D12:D15,I12:I15,K12:K15)</f>
        <v>-1.3033826796038372E-4</v>
      </c>
      <c r="R12" s="8">
        <f>bdrate(B12:B15,E12:E15,I12:I15,L12:L15)</f>
        <v>4.1280055487535883E-4</v>
      </c>
      <c r="S12" s="25">
        <f>bdrate(B12:B15,G12:G15,I12:I15,N12:N15)</f>
        <v>-1.8514777697176132E-3</v>
      </c>
      <c r="T12" s="28">
        <f t="shared" si="2"/>
        <v>-6.7984192725692155E-3</v>
      </c>
    </row>
    <row r="13" spans="1:20" x14ac:dyDescent="0.25">
      <c r="A13" s="9"/>
      <c r="B13" s="17">
        <v>2453.2368000000001</v>
      </c>
      <c r="C13" s="18">
        <v>41.79</v>
      </c>
      <c r="D13" s="18">
        <v>46.844200000000001</v>
      </c>
      <c r="E13" s="18">
        <v>46.622500000000002</v>
      </c>
      <c r="F13" s="18">
        <v>62.227800000000002</v>
      </c>
      <c r="G13" s="18">
        <f t="shared" si="0"/>
        <v>43.025837500000002</v>
      </c>
      <c r="H13" s="5"/>
      <c r="I13" s="17">
        <v>2450.2896000000001</v>
      </c>
      <c r="J13" s="18">
        <v>41.789700000000003</v>
      </c>
      <c r="K13" s="18">
        <v>46.838999999999999</v>
      </c>
      <c r="L13" s="18">
        <v>46.617400000000004</v>
      </c>
      <c r="M13" s="18">
        <v>59.808599999999998</v>
      </c>
      <c r="N13" s="18">
        <f t="shared" si="1"/>
        <v>43.024325000000005</v>
      </c>
      <c r="O13" s="7"/>
      <c r="P13" s="10"/>
      <c r="Q13" s="11"/>
      <c r="R13" s="11"/>
      <c r="S13" s="26"/>
      <c r="T13" s="28">
        <f t="shared" si="2"/>
        <v>-3.8876514998119865E-2</v>
      </c>
    </row>
    <row r="14" spans="1:20" x14ac:dyDescent="0.25">
      <c r="A14" s="9"/>
      <c r="B14" s="17">
        <v>1425.2184</v>
      </c>
      <c r="C14" s="18">
        <v>39.308700000000002</v>
      </c>
      <c r="D14" s="18">
        <v>45.204500000000003</v>
      </c>
      <c r="E14" s="18">
        <v>44.966999999999999</v>
      </c>
      <c r="F14" s="18">
        <v>75.018799999999999</v>
      </c>
      <c r="G14" s="18">
        <f t="shared" si="0"/>
        <v>40.752962500000002</v>
      </c>
      <c r="H14" s="5"/>
      <c r="I14" s="17">
        <v>1420.8312000000001</v>
      </c>
      <c r="J14" s="18">
        <v>39.308</v>
      </c>
      <c r="K14" s="18">
        <v>45.192999999999998</v>
      </c>
      <c r="L14" s="18">
        <v>44.962800000000001</v>
      </c>
      <c r="M14" s="18">
        <v>71.839100000000002</v>
      </c>
      <c r="N14" s="18">
        <f t="shared" si="1"/>
        <v>40.750475000000002</v>
      </c>
      <c r="O14" s="7"/>
      <c r="P14" s="10"/>
      <c r="Q14" s="11"/>
      <c r="R14" s="11"/>
      <c r="S14" s="26"/>
      <c r="T14" s="28">
        <f t="shared" si="2"/>
        <v>-4.2385375399233219E-2</v>
      </c>
    </row>
    <row r="15" spans="1:20" ht="16.5" thickBot="1" x14ac:dyDescent="0.3">
      <c r="A15" s="12"/>
      <c r="B15" s="19">
        <v>863.22239999999999</v>
      </c>
      <c r="C15" s="20">
        <v>36.695900000000002</v>
      </c>
      <c r="D15" s="20">
        <v>43.933</v>
      </c>
      <c r="E15" s="20">
        <v>43.710999999999999</v>
      </c>
      <c r="F15" s="20">
        <v>85.106399999999994</v>
      </c>
      <c r="G15" s="20">
        <f t="shared" si="0"/>
        <v>38.477425000000004</v>
      </c>
      <c r="H15" s="5"/>
      <c r="I15" s="19">
        <v>860.12400000000002</v>
      </c>
      <c r="J15" s="20">
        <v>36.702599999999997</v>
      </c>
      <c r="K15" s="20">
        <v>43.937199999999997</v>
      </c>
      <c r="L15" s="20">
        <v>43.685899999999997</v>
      </c>
      <c r="M15" s="20">
        <v>81.433199999999999</v>
      </c>
      <c r="N15" s="20">
        <f t="shared" si="1"/>
        <v>38.479837500000002</v>
      </c>
      <c r="O15" s="7"/>
      <c r="P15" s="13"/>
      <c r="Q15" s="14"/>
      <c r="R15" s="14"/>
      <c r="S15" s="27"/>
      <c r="T15" s="28">
        <f t="shared" si="2"/>
        <v>-4.3160091367981664E-2</v>
      </c>
    </row>
    <row r="16" spans="1:20" x14ac:dyDescent="0.25">
      <c r="A16" s="6" t="s">
        <v>8</v>
      </c>
      <c r="B16" s="15">
        <v>14113.555200000001</v>
      </c>
      <c r="C16" s="16">
        <v>40.822800000000001</v>
      </c>
      <c r="D16" s="16">
        <v>43.639299999999999</v>
      </c>
      <c r="E16" s="16">
        <v>44.188200000000002</v>
      </c>
      <c r="F16" s="16">
        <v>91.157700000000006</v>
      </c>
      <c r="G16" s="16">
        <f t="shared" si="0"/>
        <v>41.595537499999999</v>
      </c>
      <c r="H16" s="5"/>
      <c r="I16" s="15">
        <v>14098.113600000001</v>
      </c>
      <c r="J16" s="16">
        <v>40.824300000000001</v>
      </c>
      <c r="K16" s="16">
        <v>43.633600000000001</v>
      </c>
      <c r="L16" s="16">
        <v>44.181600000000003</v>
      </c>
      <c r="M16" s="16">
        <v>91.157700000000006</v>
      </c>
      <c r="N16" s="16">
        <f t="shared" si="1"/>
        <v>41.595125000000003</v>
      </c>
      <c r="O16" s="7"/>
      <c r="P16" s="8">
        <f>bdrate(B16:B19,C16:C19,I16:I19,J16:J19)</f>
        <v>-1.0629728722597598E-3</v>
      </c>
      <c r="Q16" s="8">
        <f>bdrate(B16:B19,D16:D19,I16:I19,K16:K19)</f>
        <v>-1.2720854505778867E-3</v>
      </c>
      <c r="R16" s="8">
        <f>bdrate(B16:B19,E16:E19,I16:I19,L16:L19)</f>
        <v>-6.0128457761832177E-4</v>
      </c>
      <c r="S16" s="25">
        <f>bdrate(B16:B19,G16:G19,I16:I19,N16:N19)</f>
        <v>-1.0287954387298015E-3</v>
      </c>
      <c r="T16" s="28">
        <f t="shared" si="2"/>
        <v>0</v>
      </c>
    </row>
    <row r="17" spans="1:20" x14ac:dyDescent="0.25">
      <c r="A17" s="9"/>
      <c r="B17" s="17">
        <v>9455.1551999999992</v>
      </c>
      <c r="C17" s="18">
        <v>36.616399999999999</v>
      </c>
      <c r="D17" s="18">
        <v>40.783900000000003</v>
      </c>
      <c r="E17" s="18">
        <v>41.404299999999999</v>
      </c>
      <c r="F17" s="18">
        <v>107.6426</v>
      </c>
      <c r="G17" s="18">
        <f t="shared" si="0"/>
        <v>37.735824999999998</v>
      </c>
      <c r="H17" s="5"/>
      <c r="I17" s="17">
        <v>9448.2672000000002</v>
      </c>
      <c r="J17" s="18">
        <v>36.618000000000002</v>
      </c>
      <c r="K17" s="18">
        <v>40.788600000000002</v>
      </c>
      <c r="L17" s="18">
        <v>41.404299999999999</v>
      </c>
      <c r="M17" s="18">
        <v>105.48520000000001</v>
      </c>
      <c r="N17" s="18">
        <f t="shared" si="1"/>
        <v>37.737612500000004</v>
      </c>
      <c r="O17" s="7"/>
      <c r="P17" s="10"/>
      <c r="Q17" s="11"/>
      <c r="R17" s="11"/>
      <c r="S17" s="26"/>
      <c r="T17" s="28">
        <f t="shared" si="2"/>
        <v>-2.0042250930393687E-2</v>
      </c>
    </row>
    <row r="18" spans="1:20" x14ac:dyDescent="0.25">
      <c r="A18" s="9"/>
      <c r="B18" s="17">
        <v>5975.5536000000002</v>
      </c>
      <c r="C18" s="18">
        <v>32.716500000000003</v>
      </c>
      <c r="D18" s="18">
        <v>39.005499999999998</v>
      </c>
      <c r="E18" s="18">
        <v>39.525300000000001</v>
      </c>
      <c r="F18" s="18">
        <v>124.2236</v>
      </c>
      <c r="G18" s="18">
        <f t="shared" si="0"/>
        <v>34.353725000000004</v>
      </c>
      <c r="H18" s="5"/>
      <c r="I18" s="17">
        <v>5969.2367999999997</v>
      </c>
      <c r="J18" s="18">
        <v>32.716700000000003</v>
      </c>
      <c r="K18" s="18">
        <v>39.003599999999999</v>
      </c>
      <c r="L18" s="18">
        <v>39.516399999999997</v>
      </c>
      <c r="M18" s="18">
        <v>120.3369</v>
      </c>
      <c r="N18" s="18">
        <f t="shared" si="1"/>
        <v>34.352525</v>
      </c>
      <c r="O18" s="7"/>
      <c r="P18" s="10"/>
      <c r="Q18" s="11"/>
      <c r="R18" s="11"/>
      <c r="S18" s="26"/>
      <c r="T18" s="28">
        <f t="shared" si="2"/>
        <v>-3.1287935625758746E-2</v>
      </c>
    </row>
    <row r="19" spans="1:20" ht="16.5" thickBot="1" x14ac:dyDescent="0.3">
      <c r="A19" s="12"/>
      <c r="B19" s="19">
        <v>3743.0927999999999</v>
      </c>
      <c r="C19" s="20">
        <v>29.0839</v>
      </c>
      <c r="D19" s="20">
        <v>37.836799999999997</v>
      </c>
      <c r="E19" s="20">
        <v>38.204500000000003</v>
      </c>
      <c r="F19" s="20">
        <v>138.88890000000001</v>
      </c>
      <c r="G19" s="20">
        <f t="shared" si="0"/>
        <v>31.318087499999997</v>
      </c>
      <c r="H19" s="5"/>
      <c r="I19" s="19">
        <v>3738.1152000000002</v>
      </c>
      <c r="J19" s="20">
        <v>29.084299999999999</v>
      </c>
      <c r="K19" s="20">
        <v>37.840400000000002</v>
      </c>
      <c r="L19" s="20">
        <v>38.219900000000003</v>
      </c>
      <c r="M19" s="20">
        <v>129.03229999999999</v>
      </c>
      <c r="N19" s="20">
        <f t="shared" si="1"/>
        <v>31.320762500000001</v>
      </c>
      <c r="O19" s="7"/>
      <c r="P19" s="13"/>
      <c r="Q19" s="14"/>
      <c r="R19" s="14"/>
      <c r="S19" s="27"/>
      <c r="T19" s="28">
        <f t="shared" si="2"/>
        <v>-7.0967514322598957E-2</v>
      </c>
    </row>
    <row r="20" spans="1:20" x14ac:dyDescent="0.25">
      <c r="A20" s="6" t="s">
        <v>12</v>
      </c>
      <c r="B20" s="15">
        <v>5115.8832000000002</v>
      </c>
      <c r="C20" s="16">
        <v>41.825800000000001</v>
      </c>
      <c r="D20" s="16">
        <v>43.196899999999999</v>
      </c>
      <c r="E20" s="16">
        <v>43.665500000000002</v>
      </c>
      <c r="F20" s="16">
        <v>98.522199999999998</v>
      </c>
      <c r="G20" s="16">
        <f t="shared" si="0"/>
        <v>42.227150000000002</v>
      </c>
      <c r="H20" s="5"/>
      <c r="I20" s="15">
        <v>5109.2208000000001</v>
      </c>
      <c r="J20" s="16">
        <v>41.830500000000001</v>
      </c>
      <c r="K20" s="16">
        <v>43.193300000000001</v>
      </c>
      <c r="L20" s="16">
        <v>43.664200000000001</v>
      </c>
      <c r="M20" s="16">
        <v>96.339100000000002</v>
      </c>
      <c r="N20" s="16">
        <f t="shared" si="1"/>
        <v>42.230062500000003</v>
      </c>
      <c r="O20" s="7"/>
      <c r="P20" s="8">
        <f>bdrate(B20:B23,C20:C23,I20:I23,J20:J23)</f>
        <v>-1.7894614125670838E-3</v>
      </c>
      <c r="Q20" s="8">
        <f>bdrate(B20:B23,D20:D23,I20:I23,K20:K23)</f>
        <v>-3.7758906810336779E-4</v>
      </c>
      <c r="R20" s="8">
        <f>bdrate(B20:B23,E20:E23,I20:I23,L20:L23)</f>
        <v>-1.0465179252426848E-3</v>
      </c>
      <c r="S20" s="25">
        <f>bdrate(B20:B23,G20:G23,I20:I23,N20:N23)</f>
        <v>-1.5959565690997213E-3</v>
      </c>
      <c r="T20" s="28">
        <f t="shared" si="2"/>
        <v>-2.2158457687708924E-2</v>
      </c>
    </row>
    <row r="21" spans="1:20" x14ac:dyDescent="0.25">
      <c r="A21" s="9"/>
      <c r="B21" s="17">
        <v>3213.8784000000001</v>
      </c>
      <c r="C21" s="18">
        <v>37.8369</v>
      </c>
      <c r="D21" s="18">
        <v>39.935400000000001</v>
      </c>
      <c r="E21" s="18">
        <v>40.46</v>
      </c>
      <c r="F21" s="18">
        <v>113.37869999999999</v>
      </c>
      <c r="G21" s="18">
        <f t="shared" si="0"/>
        <v>38.427099999999996</v>
      </c>
      <c r="H21" s="5"/>
      <c r="I21" s="17">
        <v>3208.74</v>
      </c>
      <c r="J21" s="18">
        <v>37.8384</v>
      </c>
      <c r="K21" s="18">
        <v>39.927999999999997</v>
      </c>
      <c r="L21" s="18">
        <v>40.4621</v>
      </c>
      <c r="M21" s="18">
        <v>111.3586</v>
      </c>
      <c r="N21" s="18">
        <f t="shared" si="1"/>
        <v>38.427562500000001</v>
      </c>
      <c r="O21" s="7"/>
      <c r="P21" s="10"/>
      <c r="Q21" s="11"/>
      <c r="R21" s="11"/>
      <c r="S21" s="26"/>
      <c r="T21" s="28">
        <f t="shared" si="2"/>
        <v>-1.7817279612484527E-2</v>
      </c>
    </row>
    <row r="22" spans="1:20" x14ac:dyDescent="0.25">
      <c r="A22" s="9"/>
      <c r="B22" s="17">
        <v>1861.7568000000001</v>
      </c>
      <c r="C22" s="18">
        <v>34.029899999999998</v>
      </c>
      <c r="D22" s="18">
        <v>37.612099999999998</v>
      </c>
      <c r="E22" s="18">
        <v>37.989899999999999</v>
      </c>
      <c r="F22" s="18">
        <v>130.37809999999999</v>
      </c>
      <c r="G22" s="18">
        <f t="shared" si="0"/>
        <v>34.972674999999995</v>
      </c>
      <c r="H22" s="5"/>
      <c r="I22" s="17">
        <v>1858.6895999999999</v>
      </c>
      <c r="J22" s="18">
        <v>34.0291</v>
      </c>
      <c r="K22" s="18">
        <v>37.610799999999998</v>
      </c>
      <c r="L22" s="18">
        <v>37.987299999999998</v>
      </c>
      <c r="M22" s="18">
        <v>125.94459999999999</v>
      </c>
      <c r="N22" s="18">
        <f t="shared" si="1"/>
        <v>34.971587499999998</v>
      </c>
      <c r="O22" s="7"/>
      <c r="P22" s="10"/>
      <c r="Q22" s="11"/>
      <c r="R22" s="11"/>
      <c r="S22" s="26"/>
      <c r="T22" s="28">
        <f t="shared" si="2"/>
        <v>-3.4004944081866474E-2</v>
      </c>
    </row>
    <row r="23" spans="1:20" ht="16.5" thickBot="1" x14ac:dyDescent="0.3">
      <c r="A23" s="12"/>
      <c r="B23" s="19">
        <v>1008.0456</v>
      </c>
      <c r="C23" s="20">
        <v>30.8306</v>
      </c>
      <c r="D23" s="20">
        <v>35.930399999999999</v>
      </c>
      <c r="E23" s="20">
        <v>36.128100000000003</v>
      </c>
      <c r="F23" s="20">
        <v>148.36799999999999</v>
      </c>
      <c r="G23" s="20">
        <f t="shared" si="0"/>
        <v>32.130262500000001</v>
      </c>
      <c r="H23" s="5"/>
      <c r="I23" s="19">
        <v>1006.92</v>
      </c>
      <c r="J23" s="20">
        <v>30.837800000000001</v>
      </c>
      <c r="K23" s="20">
        <v>35.921599999999998</v>
      </c>
      <c r="L23" s="20">
        <v>36.115699999999997</v>
      </c>
      <c r="M23" s="20">
        <v>143.26650000000001</v>
      </c>
      <c r="N23" s="20">
        <f t="shared" si="1"/>
        <v>32.1330125</v>
      </c>
      <c r="O23" s="7"/>
      <c r="P23" s="13"/>
      <c r="Q23" s="14"/>
      <c r="R23" s="14"/>
      <c r="S23" s="27"/>
      <c r="T23" s="28">
        <f t="shared" si="2"/>
        <v>-3.4384098997088233E-2</v>
      </c>
    </row>
    <row r="24" spans="1:20" x14ac:dyDescent="0.25">
      <c r="A24" s="6" t="s">
        <v>13</v>
      </c>
      <c r="B24" s="15">
        <v>3418.4472000000001</v>
      </c>
      <c r="C24" s="16">
        <v>41.934199999999997</v>
      </c>
      <c r="D24" s="16">
        <v>44.804900000000004</v>
      </c>
      <c r="E24" s="16">
        <v>46.898200000000003</v>
      </c>
      <c r="F24" s="16">
        <v>106.26990000000001</v>
      </c>
      <c r="G24" s="16">
        <f t="shared" si="0"/>
        <v>42.91353749999999</v>
      </c>
      <c r="H24" s="5"/>
      <c r="I24" s="15">
        <v>3408.4032000000002</v>
      </c>
      <c r="J24" s="16">
        <v>41.932499999999997</v>
      </c>
      <c r="K24" s="16">
        <v>44.8093</v>
      </c>
      <c r="L24" s="16">
        <v>46.9146</v>
      </c>
      <c r="M24" s="16">
        <v>109.0513</v>
      </c>
      <c r="N24" s="16">
        <f t="shared" si="1"/>
        <v>42.914862499999998</v>
      </c>
      <c r="O24" s="7"/>
      <c r="P24" s="8">
        <f>bdrate(B24:B27,C24:C27,I24:I27,J24:J27)</f>
        <v>-3.0970574574222809E-3</v>
      </c>
      <c r="Q24" s="8">
        <f>bdrate(B24:B27,D24:D27,I24:I27,K24:K27)</f>
        <v>-2.919285178272002E-3</v>
      </c>
      <c r="R24" s="8">
        <f>bdrate(B24:B27,E24:E27,I24:I27,L24:L27)</f>
        <v>-5.5642054963900289E-4</v>
      </c>
      <c r="S24" s="25">
        <f>bdrate(B24:B27,G24:G27,I24:I27,N24:N27)</f>
        <v>-2.8334726687218037E-3</v>
      </c>
      <c r="T24" s="28">
        <f t="shared" si="2"/>
        <v>2.6172980307688165E-2</v>
      </c>
    </row>
    <row r="25" spans="1:20" x14ac:dyDescent="0.25">
      <c r="A25" s="9"/>
      <c r="B25" s="17">
        <v>1934.4480000000001</v>
      </c>
      <c r="C25" s="18">
        <v>38.496000000000002</v>
      </c>
      <c r="D25" s="18">
        <v>41.949399999999997</v>
      </c>
      <c r="E25" s="18">
        <v>44.115000000000002</v>
      </c>
      <c r="F25" s="18">
        <v>128.86600000000001</v>
      </c>
      <c r="G25" s="18">
        <f t="shared" si="0"/>
        <v>39.630049999999997</v>
      </c>
      <c r="H25" s="5"/>
      <c r="I25" s="17">
        <v>1928.82</v>
      </c>
      <c r="J25" s="18">
        <v>38.494399999999999</v>
      </c>
      <c r="K25" s="18">
        <v>41.947600000000001</v>
      </c>
      <c r="L25" s="18">
        <v>44.116799999999998</v>
      </c>
      <c r="M25" s="18">
        <v>126.7427</v>
      </c>
      <c r="N25" s="18">
        <f t="shared" si="1"/>
        <v>39.62885</v>
      </c>
      <c r="O25" s="7"/>
      <c r="P25" s="10"/>
      <c r="Q25" s="11"/>
      <c r="R25" s="11"/>
      <c r="S25" s="26"/>
      <c r="T25" s="28">
        <f t="shared" si="2"/>
        <v>-1.6476805363711253E-2</v>
      </c>
    </row>
    <row r="26" spans="1:20" x14ac:dyDescent="0.25">
      <c r="A26" s="9"/>
      <c r="B26" s="17">
        <v>1062.4416000000001</v>
      </c>
      <c r="C26" s="18">
        <v>35.391599999999997</v>
      </c>
      <c r="D26" s="18">
        <v>40.092300000000002</v>
      </c>
      <c r="E26" s="18">
        <v>41.932600000000001</v>
      </c>
      <c r="F26" s="18">
        <v>144.30009999999999</v>
      </c>
      <c r="G26" s="18">
        <f t="shared" si="0"/>
        <v>36.796812499999994</v>
      </c>
      <c r="H26" s="5"/>
      <c r="I26" s="17">
        <v>1059.2639999999999</v>
      </c>
      <c r="J26" s="18">
        <v>35.393300000000004</v>
      </c>
      <c r="K26" s="18">
        <v>40.089700000000001</v>
      </c>
      <c r="L26" s="18">
        <v>41.901000000000003</v>
      </c>
      <c r="M26" s="18">
        <v>141.0437</v>
      </c>
      <c r="N26" s="18">
        <f t="shared" si="1"/>
        <v>36.793812500000001</v>
      </c>
      <c r="O26" s="7"/>
      <c r="P26" s="10"/>
      <c r="Q26" s="11"/>
      <c r="R26" s="11"/>
      <c r="S26" s="26"/>
      <c r="T26" s="28">
        <f t="shared" si="2"/>
        <v>-2.2566858928025589E-2</v>
      </c>
    </row>
    <row r="27" spans="1:20" ht="16.5" thickBot="1" x14ac:dyDescent="0.3">
      <c r="A27" s="12"/>
      <c r="B27" s="19">
        <v>595.85760000000005</v>
      </c>
      <c r="C27" s="20">
        <v>32.535800000000002</v>
      </c>
      <c r="D27" s="20">
        <v>38.872</v>
      </c>
      <c r="E27" s="20">
        <v>40.479399999999998</v>
      </c>
      <c r="F27" s="20">
        <v>158.2278</v>
      </c>
      <c r="G27" s="20">
        <f t="shared" si="0"/>
        <v>34.320775000000005</v>
      </c>
      <c r="H27" s="5"/>
      <c r="I27" s="19">
        <v>593.11199999999997</v>
      </c>
      <c r="J27" s="20">
        <v>32.535800000000002</v>
      </c>
      <c r="K27" s="20">
        <v>38.878100000000003</v>
      </c>
      <c r="L27" s="20">
        <v>40.4739</v>
      </c>
      <c r="M27" s="20">
        <v>153.60980000000001</v>
      </c>
      <c r="N27" s="20">
        <f t="shared" si="1"/>
        <v>34.320850000000007</v>
      </c>
      <c r="O27" s="7"/>
      <c r="P27" s="13"/>
      <c r="Q27" s="14"/>
      <c r="R27" s="14"/>
      <c r="S27" s="27"/>
      <c r="T27" s="28">
        <f t="shared" si="2"/>
        <v>-2.9185768872473705E-2</v>
      </c>
    </row>
    <row r="28" spans="1:20" x14ac:dyDescent="0.25">
      <c r="A28" s="6" t="s">
        <v>14</v>
      </c>
      <c r="B28" s="15">
        <v>9517.7016000000003</v>
      </c>
      <c r="C28" s="16">
        <v>40.883099999999999</v>
      </c>
      <c r="D28" s="16">
        <v>41.890599999999999</v>
      </c>
      <c r="E28" s="16">
        <v>41.824300000000001</v>
      </c>
      <c r="F28" s="16">
        <v>79.554500000000004</v>
      </c>
      <c r="G28" s="16">
        <f t="shared" si="0"/>
        <v>41.126687499999996</v>
      </c>
      <c r="H28" s="5"/>
      <c r="I28" s="15">
        <v>9504.0311999999994</v>
      </c>
      <c r="J28" s="16">
        <v>40.881100000000004</v>
      </c>
      <c r="K28" s="16">
        <v>41.889200000000002</v>
      </c>
      <c r="L28" s="16">
        <v>41.829099999999997</v>
      </c>
      <c r="M28" s="16">
        <v>78.864400000000003</v>
      </c>
      <c r="N28" s="16">
        <f t="shared" si="1"/>
        <v>41.125612500000003</v>
      </c>
      <c r="O28" s="7"/>
      <c r="P28" s="8">
        <f>bdrate(B28:B31,C28:C31,I28:I31,J28:J31)</f>
        <v>-1.3914697778236729E-3</v>
      </c>
      <c r="Q28" s="8">
        <f>bdrate(B28:B31,D28:D31,I28:I31,K28:K31)</f>
        <v>-1.4399892740003528E-3</v>
      </c>
      <c r="R28" s="8">
        <f>bdrate(B28:B31,E28:E31,I28:I31,L28:L31)</f>
        <v>-6.4470480652500939E-4</v>
      </c>
      <c r="S28" s="25">
        <f>bdrate(B28:B31,G28:G31,I28:I31,N28:N31)</f>
        <v>-1.333030556317949E-3</v>
      </c>
      <c r="T28" s="28">
        <f t="shared" si="2"/>
        <v>-8.6745564361538439E-3</v>
      </c>
    </row>
    <row r="29" spans="1:20" x14ac:dyDescent="0.25">
      <c r="A29" s="9"/>
      <c r="B29" s="17">
        <v>6741.2376000000004</v>
      </c>
      <c r="C29" s="18">
        <v>36.442</v>
      </c>
      <c r="D29" s="18">
        <v>38.248199999999997</v>
      </c>
      <c r="E29" s="18">
        <v>38.048200000000001</v>
      </c>
      <c r="F29" s="18">
        <v>89.365499999999997</v>
      </c>
      <c r="G29" s="18">
        <f t="shared" si="0"/>
        <v>36.868549999999999</v>
      </c>
      <c r="H29" s="5"/>
      <c r="I29" s="17">
        <v>6732.4656000000004</v>
      </c>
      <c r="J29" s="18">
        <v>36.442700000000002</v>
      </c>
      <c r="K29" s="18">
        <v>38.242400000000004</v>
      </c>
      <c r="L29" s="18">
        <v>38.0411</v>
      </c>
      <c r="M29" s="18">
        <v>88.417299999999997</v>
      </c>
      <c r="N29" s="18">
        <f t="shared" si="1"/>
        <v>36.867462500000002</v>
      </c>
      <c r="O29" s="7"/>
      <c r="P29" s="10"/>
      <c r="Q29" s="11"/>
      <c r="R29" s="11"/>
      <c r="S29" s="26"/>
      <c r="T29" s="28">
        <f t="shared" si="2"/>
        <v>-1.0610358583569722E-2</v>
      </c>
    </row>
    <row r="30" spans="1:20" x14ac:dyDescent="0.25">
      <c r="A30" s="9"/>
      <c r="B30" s="17">
        <v>4550.4143999999997</v>
      </c>
      <c r="C30" s="18">
        <v>32.104700000000001</v>
      </c>
      <c r="D30" s="18">
        <v>35.553899999999999</v>
      </c>
      <c r="E30" s="18">
        <v>35.220500000000001</v>
      </c>
      <c r="F30" s="18">
        <v>101.4199</v>
      </c>
      <c r="G30" s="18">
        <f t="shared" si="0"/>
        <v>32.925325000000001</v>
      </c>
      <c r="H30" s="5"/>
      <c r="I30" s="17">
        <v>4544.3639999999996</v>
      </c>
      <c r="J30" s="18">
        <v>32.104700000000001</v>
      </c>
      <c r="K30" s="18">
        <v>35.560099999999998</v>
      </c>
      <c r="L30" s="18">
        <v>35.215299999999999</v>
      </c>
      <c r="M30" s="18">
        <v>100</v>
      </c>
      <c r="N30" s="18">
        <f t="shared" si="1"/>
        <v>32.925449999999998</v>
      </c>
      <c r="O30" s="7"/>
      <c r="P30" s="10"/>
      <c r="Q30" s="11"/>
      <c r="R30" s="11"/>
      <c r="S30" s="26"/>
      <c r="T30" s="28">
        <f t="shared" si="2"/>
        <v>-1.400021100395483E-2</v>
      </c>
    </row>
    <row r="31" spans="1:20" ht="16.5" thickBot="1" x14ac:dyDescent="0.3">
      <c r="A31" s="12"/>
      <c r="B31" s="19">
        <v>2921.4216000000001</v>
      </c>
      <c r="C31" s="20">
        <v>28.076699999999999</v>
      </c>
      <c r="D31" s="20">
        <v>33.509700000000002</v>
      </c>
      <c r="E31" s="20">
        <v>33.051699999999997</v>
      </c>
      <c r="F31" s="20">
        <v>116.95910000000001</v>
      </c>
      <c r="G31" s="20">
        <f t="shared" si="0"/>
        <v>29.377699999999997</v>
      </c>
      <c r="H31" s="5"/>
      <c r="I31" s="19">
        <v>2916.5880000000002</v>
      </c>
      <c r="J31" s="20">
        <v>28.0779</v>
      </c>
      <c r="K31" s="20">
        <v>33.514200000000002</v>
      </c>
      <c r="L31" s="20">
        <v>33.044800000000002</v>
      </c>
      <c r="M31" s="20">
        <v>113.5074</v>
      </c>
      <c r="N31" s="20">
        <f t="shared" si="1"/>
        <v>29.378300000000003</v>
      </c>
      <c r="O31" s="7"/>
      <c r="P31" s="13"/>
      <c r="Q31" s="14"/>
      <c r="R31" s="14"/>
      <c r="S31" s="27"/>
      <c r="T31" s="28">
        <f t="shared" si="2"/>
        <v>-2.9512025998832091E-2</v>
      </c>
    </row>
    <row r="32" spans="1:20" x14ac:dyDescent="0.25">
      <c r="A32" s="6" t="s">
        <v>15</v>
      </c>
      <c r="B32" s="15">
        <v>23959.466899999999</v>
      </c>
      <c r="C32" s="16">
        <v>43.004899999999999</v>
      </c>
      <c r="D32" s="16">
        <v>44.491100000000003</v>
      </c>
      <c r="E32" s="16">
        <v>46.183</v>
      </c>
      <c r="F32" s="16">
        <v>8.3886000000000003</v>
      </c>
      <c r="G32" s="16">
        <f t="shared" si="0"/>
        <v>43.587937500000002</v>
      </c>
      <c r="H32" s="5"/>
      <c r="I32" s="15">
        <v>23959.5494</v>
      </c>
      <c r="J32" s="16">
        <v>43.0045</v>
      </c>
      <c r="K32" s="16">
        <v>44.4923</v>
      </c>
      <c r="L32" s="16">
        <v>46.183300000000003</v>
      </c>
      <c r="M32" s="16">
        <v>8.2720000000000002</v>
      </c>
      <c r="N32" s="16">
        <f t="shared" si="1"/>
        <v>43.587824999999995</v>
      </c>
      <c r="O32" s="7"/>
      <c r="P32" s="8">
        <f>bdrate(B32:B35,C32:C35,I32:I35,J32:J35)</f>
        <v>1.2194336419080187E-5</v>
      </c>
      <c r="Q32" s="8">
        <f>bdrate(B32:B35,D32:D35,I32:I35,K32:K35)</f>
        <v>-5.4991369470624996E-5</v>
      </c>
      <c r="R32" s="8">
        <f>bdrate(B32:B35,E32:E35,I32:I35,L32:L35)</f>
        <v>4.5214915064994976E-4</v>
      </c>
      <c r="S32" s="25">
        <f>bdrate(B32:B35,G32:G35,I32:I35,N32:N35)</f>
        <v>5.6993233213509242E-5</v>
      </c>
      <c r="T32" s="28">
        <f t="shared" si="2"/>
        <v>-1.3899816417519018E-2</v>
      </c>
    </row>
    <row r="33" spans="1:20" x14ac:dyDescent="0.25">
      <c r="A33" s="9"/>
      <c r="B33" s="17">
        <v>12123.363799999999</v>
      </c>
      <c r="C33" s="18">
        <v>41.509</v>
      </c>
      <c r="D33" s="18">
        <v>42.69</v>
      </c>
      <c r="E33" s="18">
        <v>44.060899999999997</v>
      </c>
      <c r="F33" s="18">
        <v>10.8507</v>
      </c>
      <c r="G33" s="18">
        <f t="shared" si="0"/>
        <v>41.975612500000004</v>
      </c>
      <c r="H33" s="5"/>
      <c r="I33" s="17">
        <v>12122.6093</v>
      </c>
      <c r="J33" s="18">
        <v>41.508499999999998</v>
      </c>
      <c r="K33" s="18">
        <v>42.689300000000003</v>
      </c>
      <c r="L33" s="18">
        <v>44.059399999999997</v>
      </c>
      <c r="M33" s="18">
        <v>10.48</v>
      </c>
      <c r="N33" s="18">
        <f t="shared" si="1"/>
        <v>41.974962499999997</v>
      </c>
      <c r="O33" s="7"/>
      <c r="P33" s="10"/>
      <c r="Q33" s="11"/>
      <c r="R33" s="11"/>
      <c r="S33" s="26"/>
      <c r="T33" s="28">
        <f t="shared" si="2"/>
        <v>-3.4163694508188354E-2</v>
      </c>
    </row>
    <row r="34" spans="1:20" x14ac:dyDescent="0.25">
      <c r="A34" s="9"/>
      <c r="B34" s="17">
        <v>7070.7245000000003</v>
      </c>
      <c r="C34" s="18">
        <v>39.6021</v>
      </c>
      <c r="D34" s="18">
        <v>41.217599999999997</v>
      </c>
      <c r="E34" s="18">
        <v>42.475299999999997</v>
      </c>
      <c r="F34" s="18">
        <v>14.577299999999999</v>
      </c>
      <c r="G34" s="18">
        <f t="shared" si="0"/>
        <v>40.163187499999999</v>
      </c>
      <c r="H34" s="5"/>
      <c r="I34" s="17">
        <v>7071.4022000000004</v>
      </c>
      <c r="J34" s="18">
        <v>39.602400000000003</v>
      </c>
      <c r="K34" s="18">
        <v>41.216500000000003</v>
      </c>
      <c r="L34" s="18">
        <v>42.473799999999997</v>
      </c>
      <c r="M34" s="18">
        <v>14.3225</v>
      </c>
      <c r="N34" s="18">
        <f t="shared" si="1"/>
        <v>40.163087500000003</v>
      </c>
      <c r="O34" s="7"/>
      <c r="P34" s="10"/>
      <c r="Q34" s="11"/>
      <c r="R34" s="11"/>
      <c r="S34" s="26"/>
      <c r="T34" s="28">
        <f t="shared" si="2"/>
        <v>-1.7479231407736651E-2</v>
      </c>
    </row>
    <row r="35" spans="1:20" ht="16.5" thickBot="1" x14ac:dyDescent="0.3">
      <c r="A35" s="12"/>
      <c r="B35" s="19">
        <v>4203.1526000000003</v>
      </c>
      <c r="C35" s="20">
        <v>37.195900000000002</v>
      </c>
      <c r="D35" s="20">
        <v>40.124899999999997</v>
      </c>
      <c r="E35" s="20">
        <v>41.478000000000002</v>
      </c>
      <c r="F35" s="20">
        <v>15.508699999999999</v>
      </c>
      <c r="G35" s="20">
        <f t="shared" si="0"/>
        <v>38.0972875</v>
      </c>
      <c r="H35" s="5"/>
      <c r="I35" s="19">
        <v>4200.5914000000002</v>
      </c>
      <c r="J35" s="20">
        <v>37.194400000000002</v>
      </c>
      <c r="K35" s="20">
        <v>40.128799999999998</v>
      </c>
      <c r="L35" s="20">
        <v>41.475499999999997</v>
      </c>
      <c r="M35" s="20">
        <v>15.1012</v>
      </c>
      <c r="N35" s="20">
        <f t="shared" si="1"/>
        <v>38.096337500000004</v>
      </c>
      <c r="O35" s="7"/>
      <c r="P35" s="13"/>
      <c r="Q35" s="14"/>
      <c r="R35" s="14"/>
      <c r="S35" s="27"/>
      <c r="T35" s="28">
        <f t="shared" si="2"/>
        <v>-2.6275574355039358E-2</v>
      </c>
    </row>
    <row r="36" spans="1:20" x14ac:dyDescent="0.25">
      <c r="A36" s="6" t="s">
        <v>16</v>
      </c>
      <c r="B36" s="15">
        <v>81076.932000000001</v>
      </c>
      <c r="C36" s="16">
        <v>41.360500000000002</v>
      </c>
      <c r="D36" s="16">
        <v>44.603000000000002</v>
      </c>
      <c r="E36" s="16">
        <v>46.111199999999997</v>
      </c>
      <c r="F36" s="16">
        <v>6.3921999999999999</v>
      </c>
      <c r="G36" s="16">
        <f t="shared" si="0"/>
        <v>42.359650000000002</v>
      </c>
      <c r="H36" s="5"/>
      <c r="I36" s="15">
        <v>80996.547999999995</v>
      </c>
      <c r="J36" s="16">
        <v>41.360700000000001</v>
      </c>
      <c r="K36" s="16">
        <v>44.602400000000003</v>
      </c>
      <c r="L36" s="16">
        <v>46.107700000000001</v>
      </c>
      <c r="M36" s="16">
        <v>6.2255000000000003</v>
      </c>
      <c r="N36" s="16">
        <f t="shared" si="1"/>
        <v>42.359287500000001</v>
      </c>
      <c r="O36" s="7"/>
      <c r="P36" s="8">
        <f>bdrate(B36:B39,C36:C39,I36:I39,J36:J39)</f>
        <v>-1.4403331982626444E-3</v>
      </c>
      <c r="Q36" s="8">
        <f>bdrate(B36:B39,D36:D39,I36:I39,K36:K39)</f>
        <v>-2.6447729221390492E-4</v>
      </c>
      <c r="R36" s="8">
        <f>bdrate(B36:B39,E36:E39,I36:I39,L36:L39)</f>
        <v>4.2539247912620759E-4</v>
      </c>
      <c r="S36" s="25">
        <f>bdrate(B36:B39,G36:G39,I36:I39,N36:N39)</f>
        <v>-1.1125126101304561E-3</v>
      </c>
      <c r="T36" s="28">
        <f t="shared" si="2"/>
        <v>-2.6078658364882143E-2</v>
      </c>
    </row>
    <row r="37" spans="1:20" x14ac:dyDescent="0.25">
      <c r="A37" s="9"/>
      <c r="B37" s="17">
        <v>32652.932000000001</v>
      </c>
      <c r="C37" s="18">
        <v>38.972000000000001</v>
      </c>
      <c r="D37" s="18">
        <v>43.128799999999998</v>
      </c>
      <c r="E37" s="18">
        <v>43.977899999999998</v>
      </c>
      <c r="F37" s="18">
        <v>8.2609999999999992</v>
      </c>
      <c r="G37" s="18">
        <f t="shared" si="0"/>
        <v>40.117337499999998</v>
      </c>
      <c r="H37" s="5"/>
      <c r="I37" s="17">
        <v>32619.851999999999</v>
      </c>
      <c r="J37" s="18">
        <v>38.971200000000003</v>
      </c>
      <c r="K37" s="18">
        <v>43.126199999999997</v>
      </c>
      <c r="L37" s="18">
        <v>43.971699999999998</v>
      </c>
      <c r="M37" s="18">
        <v>8.0431000000000008</v>
      </c>
      <c r="N37" s="18">
        <f t="shared" si="1"/>
        <v>40.115637499999998</v>
      </c>
      <c r="O37" s="7"/>
      <c r="P37" s="10"/>
      <c r="Q37" s="11"/>
      <c r="R37" s="11"/>
      <c r="S37" s="26"/>
      <c r="T37" s="28">
        <f t="shared" si="2"/>
        <v>-2.6376951942863873E-2</v>
      </c>
    </row>
    <row r="38" spans="1:20" x14ac:dyDescent="0.25">
      <c r="A38" s="9"/>
      <c r="B38" s="17">
        <v>16409.324000000001</v>
      </c>
      <c r="C38" s="18">
        <v>37.2151</v>
      </c>
      <c r="D38" s="18">
        <v>41.733899999999998</v>
      </c>
      <c r="E38" s="18">
        <v>42.048699999999997</v>
      </c>
      <c r="F38" s="18">
        <v>9.2885000000000009</v>
      </c>
      <c r="G38" s="18">
        <f t="shared" si="0"/>
        <v>38.384149999999998</v>
      </c>
      <c r="H38" s="5"/>
      <c r="I38" s="17">
        <v>16374.316000000001</v>
      </c>
      <c r="J38" s="18">
        <v>37.214199999999998</v>
      </c>
      <c r="K38" s="18">
        <v>41.732399999999998</v>
      </c>
      <c r="L38" s="18">
        <v>42.044800000000002</v>
      </c>
      <c r="M38" s="18">
        <v>9.1198999999999995</v>
      </c>
      <c r="N38" s="18">
        <f t="shared" si="1"/>
        <v>38.382799999999996</v>
      </c>
      <c r="O38" s="7"/>
      <c r="P38" s="10"/>
      <c r="Q38" s="11"/>
      <c r="R38" s="11"/>
      <c r="S38" s="26"/>
      <c r="T38" s="28">
        <f t="shared" si="2"/>
        <v>-1.8151477633633138E-2</v>
      </c>
    </row>
    <row r="39" spans="1:20" ht="16.5" thickBot="1" x14ac:dyDescent="0.3">
      <c r="A39" s="12"/>
      <c r="B39" s="19">
        <v>9334.2960000000003</v>
      </c>
      <c r="C39" s="20">
        <v>35.294199999999996</v>
      </c>
      <c r="D39" s="20">
        <v>40.545900000000003</v>
      </c>
      <c r="E39" s="20">
        <v>40.486600000000003</v>
      </c>
      <c r="F39" s="20">
        <v>9.8863000000000003</v>
      </c>
      <c r="G39" s="20">
        <f t="shared" si="0"/>
        <v>36.599712500000003</v>
      </c>
      <c r="H39" s="5"/>
      <c r="I39" s="19">
        <v>9307.3799999999992</v>
      </c>
      <c r="J39" s="20">
        <v>35.296199999999999</v>
      </c>
      <c r="K39" s="20">
        <v>40.536799999999999</v>
      </c>
      <c r="L39" s="20">
        <v>40.478700000000003</v>
      </c>
      <c r="M39" s="20">
        <v>9.6320999999999994</v>
      </c>
      <c r="N39" s="20">
        <f t="shared" si="1"/>
        <v>36.599087499999996</v>
      </c>
      <c r="O39" s="7"/>
      <c r="P39" s="13"/>
      <c r="Q39" s="14"/>
      <c r="R39" s="14"/>
      <c r="S39" s="27"/>
      <c r="T39" s="28">
        <f t="shared" si="2"/>
        <v>-2.5712349412823896E-2</v>
      </c>
    </row>
    <row r="40" spans="1:20" x14ac:dyDescent="0.25">
      <c r="A40" s="6" t="s">
        <v>17</v>
      </c>
      <c r="B40" s="15">
        <v>5338.9059999999999</v>
      </c>
      <c r="C40" s="16">
        <v>45.555700000000002</v>
      </c>
      <c r="D40" s="16">
        <v>48.4998</v>
      </c>
      <c r="E40" s="16">
        <v>48.272599999999997</v>
      </c>
      <c r="F40" s="16">
        <v>39.447699999999998</v>
      </c>
      <c r="G40" s="16">
        <f t="shared" si="0"/>
        <v>46.263325000000002</v>
      </c>
      <c r="H40" s="5"/>
      <c r="I40" s="15">
        <v>5328.59</v>
      </c>
      <c r="J40" s="16">
        <v>45.556399999999996</v>
      </c>
      <c r="K40" s="16">
        <v>48.491</v>
      </c>
      <c r="L40" s="16">
        <v>48.268300000000004</v>
      </c>
      <c r="M40" s="16">
        <v>38.417200000000001</v>
      </c>
      <c r="N40" s="16">
        <f t="shared" si="1"/>
        <v>46.262212499999997</v>
      </c>
      <c r="O40" s="7"/>
      <c r="P40" s="8">
        <f>bdrate(B40:B43,C40:C43,I40:I43,J40:J43)</f>
        <v>-2.024820915388581E-3</v>
      </c>
      <c r="Q40" s="8">
        <f>bdrate(B40:B43,D40:D43,I40:I43,K40:K43)</f>
        <v>-4.1653921699209562E-3</v>
      </c>
      <c r="R40" s="8">
        <f>bdrate(B40:B43,E40:E43,I40:I43,L40:L43)</f>
        <v>1.8485314710137146E-4</v>
      </c>
      <c r="S40" s="25">
        <f>bdrate(B40:B43,G40:G43,I40:I43,N40:N43)</f>
        <v>-2.0187950865628856E-3</v>
      </c>
      <c r="T40" s="28">
        <f t="shared" si="2"/>
        <v>-2.6123196029172714E-2</v>
      </c>
    </row>
    <row r="41" spans="1:20" x14ac:dyDescent="0.25">
      <c r="A41" s="9"/>
      <c r="B41" s="17">
        <v>3311.2979999999998</v>
      </c>
      <c r="C41" s="18">
        <v>42.1721</v>
      </c>
      <c r="D41" s="18">
        <v>46.2438</v>
      </c>
      <c r="E41" s="18">
        <v>46.164400000000001</v>
      </c>
      <c r="F41" s="18">
        <v>45.433900000000001</v>
      </c>
      <c r="G41" s="18">
        <f t="shared" si="0"/>
        <v>43.180100000000003</v>
      </c>
      <c r="H41" s="5"/>
      <c r="I41" s="17">
        <v>3303.096</v>
      </c>
      <c r="J41" s="18">
        <v>42.170299999999997</v>
      </c>
      <c r="K41" s="18">
        <v>46.253700000000002</v>
      </c>
      <c r="L41" s="18">
        <v>46.153399999999998</v>
      </c>
      <c r="M41" s="18">
        <v>44.484000000000002</v>
      </c>
      <c r="N41" s="18">
        <f t="shared" si="1"/>
        <v>43.178612499999993</v>
      </c>
      <c r="O41" s="7"/>
      <c r="P41" s="10"/>
      <c r="Q41" s="11"/>
      <c r="R41" s="11"/>
      <c r="S41" s="26"/>
      <c r="T41" s="28">
        <f t="shared" si="2"/>
        <v>-2.0907296093885832E-2</v>
      </c>
    </row>
    <row r="42" spans="1:20" x14ac:dyDescent="0.25">
      <c r="A42" s="9"/>
      <c r="B42" s="17">
        <v>1980.604</v>
      </c>
      <c r="C42" s="18">
        <v>38.780999999999999</v>
      </c>
      <c r="D42" s="18">
        <v>44.3797</v>
      </c>
      <c r="E42" s="18">
        <v>44.311500000000002</v>
      </c>
      <c r="F42" s="18">
        <v>52.410899999999998</v>
      </c>
      <c r="G42" s="18">
        <f t="shared" si="0"/>
        <v>40.172150000000002</v>
      </c>
      <c r="H42" s="5"/>
      <c r="I42" s="17">
        <v>1977.6959999999999</v>
      </c>
      <c r="J42" s="18">
        <v>38.782200000000003</v>
      </c>
      <c r="K42" s="18">
        <v>44.384300000000003</v>
      </c>
      <c r="L42" s="18">
        <v>44.306100000000001</v>
      </c>
      <c r="M42" s="18">
        <v>51.177100000000003</v>
      </c>
      <c r="N42" s="18">
        <f t="shared" si="1"/>
        <v>40.172950000000007</v>
      </c>
      <c r="O42" s="7"/>
      <c r="P42" s="10"/>
      <c r="Q42" s="11"/>
      <c r="R42" s="11"/>
      <c r="S42" s="26"/>
      <c r="T42" s="28">
        <f t="shared" si="2"/>
        <v>-2.354090465914524E-2</v>
      </c>
    </row>
    <row r="43" spans="1:20" ht="16.5" thickBot="1" x14ac:dyDescent="0.3">
      <c r="A43" s="12"/>
      <c r="B43" s="19">
        <v>1144.808</v>
      </c>
      <c r="C43" s="20">
        <v>35.559800000000003</v>
      </c>
      <c r="D43" s="20">
        <v>42.946399999999997</v>
      </c>
      <c r="E43" s="20">
        <v>42.861499999999999</v>
      </c>
      <c r="F43" s="20">
        <v>60.532699999999998</v>
      </c>
      <c r="G43" s="20">
        <f t="shared" si="0"/>
        <v>37.395837499999999</v>
      </c>
      <c r="H43" s="5"/>
      <c r="I43" s="19">
        <v>1142.2159999999999</v>
      </c>
      <c r="J43" s="20">
        <v>35.561300000000003</v>
      </c>
      <c r="K43" s="20">
        <v>42.966999999999999</v>
      </c>
      <c r="L43" s="20">
        <v>42.853000000000002</v>
      </c>
      <c r="M43" s="20">
        <v>57.208199999999998</v>
      </c>
      <c r="N43" s="20">
        <f t="shared" si="1"/>
        <v>37.398475000000005</v>
      </c>
      <c r="O43" s="7"/>
      <c r="P43" s="13"/>
      <c r="Q43" s="14"/>
      <c r="R43" s="14"/>
      <c r="S43" s="27"/>
      <c r="T43" s="28">
        <f t="shared" si="2"/>
        <v>-5.4920728796171332E-2</v>
      </c>
    </row>
    <row r="44" spans="1:20" ht="16.5" thickBot="1" x14ac:dyDescent="0.3">
      <c r="A44" s="22" t="s">
        <v>22</v>
      </c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1">
        <f>AVERAGE(P4:P43)</f>
        <v>-2.0627285395243833E-3</v>
      </c>
      <c r="Q44" s="21">
        <f>AVERAGE(Q4:Q43)</f>
        <v>-2.0921766328588108E-3</v>
      </c>
      <c r="R44" s="21">
        <f>AVERAGE(R4:R43)</f>
        <v>-4.1964781296487396E-4</v>
      </c>
      <c r="S44" s="21">
        <f>AVERAGE(S4:S43)</f>
        <v>-1.9041736562595891E-3</v>
      </c>
      <c r="T44" s="21">
        <f>AVERAGE(T4:T43)</f>
        <v>-2.35569339460465E-2</v>
      </c>
    </row>
    <row r="47" spans="1:20" ht="16.5" thickBot="1" x14ac:dyDescent="0.3"/>
    <row r="48" spans="1:20" ht="16.5" thickBot="1" x14ac:dyDescent="0.3">
      <c r="B48" s="50" t="s">
        <v>24</v>
      </c>
      <c r="C48" s="51"/>
      <c r="D48" s="51"/>
      <c r="E48" s="51"/>
      <c r="F48" s="51"/>
      <c r="G48" s="51"/>
      <c r="H48" s="5"/>
      <c r="I48" s="50" t="s">
        <v>26</v>
      </c>
      <c r="J48" s="51"/>
      <c r="K48" s="51"/>
      <c r="L48" s="51"/>
      <c r="M48" s="51"/>
      <c r="N48" s="51"/>
      <c r="P48" s="50" t="s">
        <v>7</v>
      </c>
      <c r="Q48" s="51"/>
      <c r="R48" s="52"/>
      <c r="S48" s="23"/>
      <c r="T48" t="s">
        <v>18</v>
      </c>
    </row>
    <row r="49" spans="1:20" ht="16.5" thickBot="1" x14ac:dyDescent="0.3">
      <c r="B49" s="2" t="s">
        <v>0</v>
      </c>
      <c r="C49" s="3" t="s">
        <v>1</v>
      </c>
      <c r="D49" s="3" t="s">
        <v>2</v>
      </c>
      <c r="E49" s="3" t="s">
        <v>3</v>
      </c>
      <c r="F49" s="3" t="s">
        <v>19</v>
      </c>
      <c r="G49" s="3" t="s">
        <v>20</v>
      </c>
      <c r="H49" s="1"/>
      <c r="I49" s="2" t="s">
        <v>0</v>
      </c>
      <c r="J49" s="3" t="s">
        <v>1</v>
      </c>
      <c r="K49" s="3" t="s">
        <v>2</v>
      </c>
      <c r="L49" s="3" t="s">
        <v>3</v>
      </c>
      <c r="M49" s="3" t="s">
        <v>19</v>
      </c>
      <c r="N49" s="3" t="s">
        <v>20</v>
      </c>
      <c r="P49" s="2" t="s">
        <v>4</v>
      </c>
      <c r="Q49" s="3" t="s">
        <v>5</v>
      </c>
      <c r="R49" s="4" t="s">
        <v>6</v>
      </c>
      <c r="S49" s="24" t="s">
        <v>21</v>
      </c>
    </row>
    <row r="50" spans="1:20" x14ac:dyDescent="0.25">
      <c r="A50" s="6" t="s">
        <v>9</v>
      </c>
      <c r="B50" s="15">
        <v>24060.263999999999</v>
      </c>
      <c r="C50" s="16">
        <v>44.000399999999999</v>
      </c>
      <c r="D50" s="16">
        <v>47.902299999999997</v>
      </c>
      <c r="E50" s="16">
        <v>48.335799999999999</v>
      </c>
      <c r="F50" s="16">
        <v>18.106100000000001</v>
      </c>
      <c r="G50" s="16">
        <f t="shared" ref="G50:G89" si="3">(6*C50+D50+E50)/8</f>
        <v>45.030062499999993</v>
      </c>
      <c r="H50" s="5"/>
      <c r="I50" s="15">
        <v>23389.991999999998</v>
      </c>
      <c r="J50" s="16">
        <v>44.1248</v>
      </c>
      <c r="K50" s="16">
        <v>47.917900000000003</v>
      </c>
      <c r="L50" s="16">
        <v>48.359699999999997</v>
      </c>
      <c r="M50" s="16">
        <v>4.7601000000000004</v>
      </c>
      <c r="N50" s="16">
        <f t="shared" ref="N50:N89" si="4">(6*J50+K50+L50)/8</f>
        <v>45.128299999999996</v>
      </c>
      <c r="O50" s="7"/>
      <c r="P50" s="8">
        <f>bdrate(B50:B53,C50:C53,I50:I53,J50:J53)</f>
        <v>-6.6375972878995326E-2</v>
      </c>
      <c r="Q50" s="8">
        <f>bdrate(B50:B53,D50:D53,I50:I53,K50:K53)</f>
        <v>-3.4164086137841387E-2</v>
      </c>
      <c r="R50" s="8">
        <f>bdrate(B50:B53,E50:E53,I50:I53,L50:L53)</f>
        <v>-3.0931371299959265E-2</v>
      </c>
      <c r="S50" s="25">
        <f>bdrate(B50:B53,G50:G53,I50:I53,N50:N53)</f>
        <v>-5.9668016804122814E-2</v>
      </c>
      <c r="T50" s="28">
        <f t="shared" ref="T50:T89" si="5">(M50-F50)/F50</f>
        <v>-0.73709965149866619</v>
      </c>
    </row>
    <row r="51" spans="1:20" x14ac:dyDescent="0.25">
      <c r="A51" s="9"/>
      <c r="B51" s="17">
        <v>13088.5008</v>
      </c>
      <c r="C51" s="18">
        <v>41.791800000000002</v>
      </c>
      <c r="D51" s="18">
        <v>46.055300000000003</v>
      </c>
      <c r="E51" s="18">
        <v>46.530099999999997</v>
      </c>
      <c r="F51" s="18">
        <v>22.1877</v>
      </c>
      <c r="G51" s="18">
        <f t="shared" si="3"/>
        <v>42.917025000000002</v>
      </c>
      <c r="H51" s="5"/>
      <c r="I51" s="17">
        <v>12702.393599999999</v>
      </c>
      <c r="J51" s="18">
        <v>41.9452</v>
      </c>
      <c r="K51" s="18">
        <v>46.076900000000002</v>
      </c>
      <c r="L51" s="18">
        <v>46.544800000000002</v>
      </c>
      <c r="M51" s="18">
        <v>6.5354999999999999</v>
      </c>
      <c r="N51" s="18">
        <f t="shared" si="4"/>
        <v>43.036612500000004</v>
      </c>
      <c r="O51" s="7"/>
      <c r="P51" s="10"/>
      <c r="Q51" s="11"/>
      <c r="R51" s="11"/>
      <c r="S51" s="26"/>
      <c r="T51" s="28">
        <f t="shared" si="5"/>
        <v>-0.70544490866561205</v>
      </c>
    </row>
    <row r="52" spans="1:20" x14ac:dyDescent="0.25">
      <c r="A52" s="9"/>
      <c r="B52" s="17">
        <v>7598.1696000000002</v>
      </c>
      <c r="C52" s="18">
        <v>39.421999999999997</v>
      </c>
      <c r="D52" s="18">
        <v>44.184100000000001</v>
      </c>
      <c r="E52" s="18">
        <v>44.5837</v>
      </c>
      <c r="F52" s="18">
        <v>29.403099999999998</v>
      </c>
      <c r="G52" s="18">
        <f t="shared" si="3"/>
        <v>40.662475000000001</v>
      </c>
      <c r="H52" s="5"/>
      <c r="I52" s="17">
        <v>7354.3487999999998</v>
      </c>
      <c r="J52" s="18">
        <v>39.598599999999998</v>
      </c>
      <c r="K52" s="18">
        <v>44.179900000000004</v>
      </c>
      <c r="L52" s="18">
        <v>44.561199999999999</v>
      </c>
      <c r="M52" s="18">
        <v>9.1050000000000004</v>
      </c>
      <c r="N52" s="18">
        <f t="shared" si="4"/>
        <v>40.791587499999991</v>
      </c>
      <c r="O52" s="7"/>
      <c r="P52" s="10"/>
      <c r="Q52" s="11"/>
      <c r="R52" s="11"/>
      <c r="S52" s="26"/>
      <c r="T52" s="28">
        <f t="shared" si="5"/>
        <v>-0.69033877380276232</v>
      </c>
    </row>
    <row r="53" spans="1:20" ht="16.5" thickBot="1" x14ac:dyDescent="0.3">
      <c r="A53" s="12"/>
      <c r="B53" s="19">
        <v>4507.1376</v>
      </c>
      <c r="C53" s="20">
        <v>36.869100000000003</v>
      </c>
      <c r="D53" s="20">
        <v>42.611699999999999</v>
      </c>
      <c r="E53" s="20">
        <v>43.034300000000002</v>
      </c>
      <c r="F53" s="20">
        <v>32.626399999999997</v>
      </c>
      <c r="G53" s="20">
        <f t="shared" si="3"/>
        <v>38.357574999999997</v>
      </c>
      <c r="H53" s="5"/>
      <c r="I53" s="19">
        <v>4370.6592000000001</v>
      </c>
      <c r="J53" s="20">
        <v>37.041499999999999</v>
      </c>
      <c r="K53" s="20">
        <v>42.640300000000003</v>
      </c>
      <c r="L53" s="20">
        <v>43.039700000000003</v>
      </c>
      <c r="M53" s="20">
        <v>11.5433</v>
      </c>
      <c r="N53" s="20">
        <f t="shared" si="4"/>
        <v>38.491124999999997</v>
      </c>
      <c r="O53" s="7"/>
      <c r="P53" s="13"/>
      <c r="Q53" s="14"/>
      <c r="R53" s="14"/>
      <c r="S53" s="27"/>
      <c r="T53" s="28">
        <f t="shared" si="5"/>
        <v>-0.64619755780594845</v>
      </c>
    </row>
    <row r="54" spans="1:20" x14ac:dyDescent="0.25">
      <c r="A54" s="6" t="s">
        <v>10</v>
      </c>
      <c r="B54" s="15">
        <v>8737.8240000000005</v>
      </c>
      <c r="C54" s="16">
        <v>42.733899999999998</v>
      </c>
      <c r="D54" s="16">
        <v>47.451500000000003</v>
      </c>
      <c r="E54" s="16">
        <v>47.508000000000003</v>
      </c>
      <c r="F54" s="16">
        <v>37.369199999999999</v>
      </c>
      <c r="G54" s="16">
        <f t="shared" si="3"/>
        <v>43.920362499999996</v>
      </c>
      <c r="H54" s="5"/>
      <c r="I54" s="15">
        <v>8568.4871999999996</v>
      </c>
      <c r="J54" s="16">
        <v>43.005699999999997</v>
      </c>
      <c r="K54" s="16">
        <v>47.433799999999998</v>
      </c>
      <c r="L54" s="16">
        <v>47.490699999999997</v>
      </c>
      <c r="M54" s="16">
        <v>9.4038000000000004</v>
      </c>
      <c r="N54" s="16">
        <f t="shared" si="4"/>
        <v>44.119837500000003</v>
      </c>
      <c r="O54" s="7"/>
      <c r="P54" s="8">
        <f>bdrate(B54:B57,C54:C57,I54:I57,J54:J57)</f>
        <v>-4.4781898553989508E-2</v>
      </c>
      <c r="Q54" s="8">
        <f>bdrate(B54:B57,D54:D57,I54:I57,K54:K57)</f>
        <v>1.4254722130763398E-2</v>
      </c>
      <c r="R54" s="8">
        <f>bdrate(B54:B57,E54:E57,I54:I57,L54:L57)</f>
        <v>2.7709533254349994E-2</v>
      </c>
      <c r="S54" s="25">
        <f>bdrate(B54:B57,G54:G57,I54:I57,N54:N57)</f>
        <v>-3.4982634636527399E-2</v>
      </c>
      <c r="T54" s="28">
        <f t="shared" si="5"/>
        <v>-0.74835425965768598</v>
      </c>
    </row>
    <row r="55" spans="1:20" x14ac:dyDescent="0.25">
      <c r="A55" s="9"/>
      <c r="B55" s="17">
        <v>5312.5104000000001</v>
      </c>
      <c r="C55" s="18">
        <v>39.4741</v>
      </c>
      <c r="D55" s="18">
        <v>45.291200000000003</v>
      </c>
      <c r="E55" s="18">
        <v>45.4908</v>
      </c>
      <c r="F55" s="18">
        <v>41.911099999999998</v>
      </c>
      <c r="G55" s="18">
        <f t="shared" si="3"/>
        <v>40.953325</v>
      </c>
      <c r="H55" s="5"/>
      <c r="I55" s="17">
        <v>5257.9488000000001</v>
      </c>
      <c r="J55" s="18">
        <v>39.743200000000002</v>
      </c>
      <c r="K55" s="18">
        <v>45.252899999999997</v>
      </c>
      <c r="L55" s="18">
        <v>45.434100000000001</v>
      </c>
      <c r="M55" s="18">
        <v>11.1235</v>
      </c>
      <c r="N55" s="18">
        <f t="shared" si="4"/>
        <v>41.143275000000003</v>
      </c>
      <c r="O55" s="7"/>
      <c r="P55" s="10"/>
      <c r="Q55" s="11"/>
      <c r="R55" s="11"/>
      <c r="S55" s="26"/>
      <c r="T55" s="28">
        <f t="shared" si="5"/>
        <v>-0.73459298372030324</v>
      </c>
    </row>
    <row r="56" spans="1:20" x14ac:dyDescent="0.25">
      <c r="A56" s="9"/>
      <c r="B56" s="17">
        <v>3250.0920000000001</v>
      </c>
      <c r="C56" s="18">
        <v>36.1843</v>
      </c>
      <c r="D56" s="18">
        <v>43.590699999999998</v>
      </c>
      <c r="E56" s="18">
        <v>43.730200000000004</v>
      </c>
      <c r="F56" s="18">
        <v>44.943800000000003</v>
      </c>
      <c r="G56" s="18">
        <f t="shared" si="3"/>
        <v>38.053337500000005</v>
      </c>
      <c r="H56" s="5"/>
      <c r="I56" s="17">
        <v>3250.56</v>
      </c>
      <c r="J56" s="18">
        <v>36.435200000000002</v>
      </c>
      <c r="K56" s="18">
        <v>43.468200000000003</v>
      </c>
      <c r="L56" s="18">
        <v>43.551900000000003</v>
      </c>
      <c r="M56" s="18">
        <v>12.7356</v>
      </c>
      <c r="N56" s="18">
        <f t="shared" si="4"/>
        <v>38.203912500000001</v>
      </c>
      <c r="O56" s="7"/>
      <c r="P56" s="10"/>
      <c r="Q56" s="11"/>
      <c r="R56" s="11"/>
      <c r="S56" s="26"/>
      <c r="T56" s="28">
        <f t="shared" si="5"/>
        <v>-0.71663277248474766</v>
      </c>
    </row>
    <row r="57" spans="1:20" ht="16.5" thickBot="1" x14ac:dyDescent="0.3">
      <c r="A57" s="12"/>
      <c r="B57" s="19">
        <v>1915.7736</v>
      </c>
      <c r="C57" s="20">
        <v>32.856000000000002</v>
      </c>
      <c r="D57" s="20">
        <v>42.251899999999999</v>
      </c>
      <c r="E57" s="20">
        <v>42.496299999999998</v>
      </c>
      <c r="F57" s="20">
        <v>52.273899999999998</v>
      </c>
      <c r="G57" s="20">
        <f t="shared" si="3"/>
        <v>35.235525000000003</v>
      </c>
      <c r="H57" s="5"/>
      <c r="I57" s="19">
        <v>1892.8992000000001</v>
      </c>
      <c r="J57" s="20">
        <v>33.040799999999997</v>
      </c>
      <c r="K57" s="20">
        <v>42.101900000000001</v>
      </c>
      <c r="L57" s="20">
        <v>42.188200000000002</v>
      </c>
      <c r="M57" s="20">
        <v>14.6563</v>
      </c>
      <c r="N57" s="20">
        <f t="shared" si="4"/>
        <v>35.316862499999999</v>
      </c>
      <c r="O57" s="7"/>
      <c r="P57" s="13"/>
      <c r="Q57" s="14"/>
      <c r="R57" s="14"/>
      <c r="S57" s="27"/>
      <c r="T57" s="28">
        <f t="shared" si="5"/>
        <v>-0.71962489885009528</v>
      </c>
    </row>
    <row r="58" spans="1:20" x14ac:dyDescent="0.25">
      <c r="A58" s="6" t="s">
        <v>11</v>
      </c>
      <c r="B58" s="15">
        <v>4483.0871999999999</v>
      </c>
      <c r="C58" s="16">
        <v>44.375100000000003</v>
      </c>
      <c r="D58" s="16">
        <v>48.720799999999997</v>
      </c>
      <c r="E58" s="16">
        <v>48.462400000000002</v>
      </c>
      <c r="F58" s="16">
        <v>52.301299999999998</v>
      </c>
      <c r="G58" s="16">
        <f t="shared" si="3"/>
        <v>45.429225000000002</v>
      </c>
      <c r="H58" s="5"/>
      <c r="I58" s="15">
        <v>4351.4736000000003</v>
      </c>
      <c r="J58" s="16">
        <v>44.511899999999997</v>
      </c>
      <c r="K58" s="16">
        <v>48.770200000000003</v>
      </c>
      <c r="L58" s="16">
        <v>48.502400000000002</v>
      </c>
      <c r="M58" s="16">
        <v>14.238899999999999</v>
      </c>
      <c r="N58" s="16">
        <f t="shared" si="4"/>
        <v>45.542999999999999</v>
      </c>
      <c r="O58" s="7"/>
      <c r="P58" s="8">
        <f>bdrate(B58:B61,C58:C61,I58:I61,J58:J61)</f>
        <v>-6.5280354764101323E-2</v>
      </c>
      <c r="Q58" s="8">
        <f>bdrate(B58:B61,D58:D61,I58:I61,K58:K61)</f>
        <v>-5.5520018108253355E-2</v>
      </c>
      <c r="R58" s="8">
        <f>bdrate(B58:B61,E58:E61,I58:I61,L58:L61)</f>
        <v>-5.2095877692518333E-2</v>
      </c>
      <c r="S58" s="25">
        <f>bdrate(B58:B61,G58:G61,I58:I61,N58:N61)</f>
        <v>-6.3308319547293102E-2</v>
      </c>
      <c r="T58" s="28">
        <f t="shared" si="5"/>
        <v>-0.72775246504388991</v>
      </c>
    </row>
    <row r="59" spans="1:20" x14ac:dyDescent="0.25">
      <c r="A59" s="9"/>
      <c r="B59" s="17">
        <v>2450.2896000000001</v>
      </c>
      <c r="C59" s="18">
        <v>41.789700000000003</v>
      </c>
      <c r="D59" s="18">
        <v>46.838999999999999</v>
      </c>
      <c r="E59" s="18">
        <v>46.617400000000004</v>
      </c>
      <c r="F59" s="18">
        <v>59.808599999999998</v>
      </c>
      <c r="G59" s="18">
        <f t="shared" si="3"/>
        <v>43.024325000000005</v>
      </c>
      <c r="H59" s="5"/>
      <c r="I59" s="17">
        <v>2364.8663999999999</v>
      </c>
      <c r="J59" s="18">
        <v>41.932600000000001</v>
      </c>
      <c r="K59" s="18">
        <v>46.911499999999997</v>
      </c>
      <c r="L59" s="18">
        <v>46.658700000000003</v>
      </c>
      <c r="M59" s="18">
        <v>18.096299999999999</v>
      </c>
      <c r="N59" s="18">
        <f t="shared" si="4"/>
        <v>43.145724999999999</v>
      </c>
      <c r="O59" s="7"/>
      <c r="P59" s="10"/>
      <c r="Q59" s="11"/>
      <c r="R59" s="11"/>
      <c r="S59" s="26"/>
      <c r="T59" s="28">
        <f t="shared" si="5"/>
        <v>-0.69742980106539865</v>
      </c>
    </row>
    <row r="60" spans="1:20" x14ac:dyDescent="0.25">
      <c r="A60" s="9"/>
      <c r="B60" s="17">
        <v>1420.8312000000001</v>
      </c>
      <c r="C60" s="18">
        <v>39.308</v>
      </c>
      <c r="D60" s="18">
        <v>45.192999999999998</v>
      </c>
      <c r="E60" s="18">
        <v>44.962800000000001</v>
      </c>
      <c r="F60" s="18">
        <v>71.839100000000002</v>
      </c>
      <c r="G60" s="18">
        <f t="shared" si="3"/>
        <v>40.750475000000002</v>
      </c>
      <c r="H60" s="5"/>
      <c r="I60" s="17">
        <v>1375.0512000000001</v>
      </c>
      <c r="J60" s="18">
        <v>39.4771</v>
      </c>
      <c r="K60" s="18">
        <v>45.254100000000001</v>
      </c>
      <c r="L60" s="18">
        <v>45.038400000000003</v>
      </c>
      <c r="M60" s="18">
        <v>23.2288</v>
      </c>
      <c r="N60" s="18">
        <f t="shared" si="4"/>
        <v>40.894387500000001</v>
      </c>
      <c r="O60" s="7"/>
      <c r="P60" s="10"/>
      <c r="Q60" s="11"/>
      <c r="R60" s="11"/>
      <c r="S60" s="26"/>
      <c r="T60" s="28">
        <f t="shared" si="5"/>
        <v>-0.67665519194978785</v>
      </c>
    </row>
    <row r="61" spans="1:20" ht="16.5" thickBot="1" x14ac:dyDescent="0.3">
      <c r="A61" s="12"/>
      <c r="B61" s="19">
        <v>860.12400000000002</v>
      </c>
      <c r="C61" s="20">
        <v>36.702599999999997</v>
      </c>
      <c r="D61" s="20">
        <v>43.937199999999997</v>
      </c>
      <c r="E61" s="20">
        <v>43.685899999999997</v>
      </c>
      <c r="F61" s="20">
        <v>81.433199999999999</v>
      </c>
      <c r="G61" s="20">
        <f t="shared" si="3"/>
        <v>38.479837500000002</v>
      </c>
      <c r="H61" s="5"/>
      <c r="I61" s="19">
        <v>830.24159999999995</v>
      </c>
      <c r="J61" s="20">
        <v>36.889499999999998</v>
      </c>
      <c r="K61" s="20">
        <v>44.027700000000003</v>
      </c>
      <c r="L61" s="20">
        <v>43.765099999999997</v>
      </c>
      <c r="M61" s="20">
        <v>28.645099999999999</v>
      </c>
      <c r="N61" s="20">
        <f t="shared" si="4"/>
        <v>38.641224999999999</v>
      </c>
      <c r="O61" s="7"/>
      <c r="P61" s="13"/>
      <c r="Q61" s="14"/>
      <c r="R61" s="14"/>
      <c r="S61" s="27"/>
      <c r="T61" s="28">
        <f t="shared" si="5"/>
        <v>-0.64823806506437176</v>
      </c>
    </row>
    <row r="62" spans="1:20" x14ac:dyDescent="0.25">
      <c r="A62" s="6" t="s">
        <v>8</v>
      </c>
      <c r="B62" s="15">
        <v>14098.113600000001</v>
      </c>
      <c r="C62" s="16">
        <v>40.824300000000001</v>
      </c>
      <c r="D62" s="16">
        <v>43.633600000000001</v>
      </c>
      <c r="E62" s="16">
        <v>44.181600000000003</v>
      </c>
      <c r="F62" s="16">
        <v>91.157700000000006</v>
      </c>
      <c r="G62" s="16">
        <f t="shared" si="3"/>
        <v>41.595125000000003</v>
      </c>
      <c r="H62" s="5"/>
      <c r="I62" s="15">
        <v>13959.12</v>
      </c>
      <c r="J62" s="16">
        <v>41.301200000000001</v>
      </c>
      <c r="K62" s="16">
        <v>43.620600000000003</v>
      </c>
      <c r="L62" s="16">
        <v>44.170099999999998</v>
      </c>
      <c r="M62" s="16">
        <v>22.3264</v>
      </c>
      <c r="N62" s="16">
        <f t="shared" si="4"/>
        <v>41.949737500000005</v>
      </c>
      <c r="O62" s="7"/>
      <c r="P62" s="8">
        <f>bdrate(B62:B65,C62:C65,I62:I65,J62:J65)</f>
        <v>-5.251986808448017E-2</v>
      </c>
      <c r="Q62" s="8">
        <f>bdrate(B62:B65,D62:D65,I62:I65,K62:K65)</f>
        <v>-5.9838888873320339E-3</v>
      </c>
      <c r="R62" s="8">
        <f>bdrate(B62:B65,E62:E65,I62:I65,L62:L65)</f>
        <v>-6.9888289321232699E-3</v>
      </c>
      <c r="S62" s="25">
        <f>bdrate(B62:B65,G62:G65,I62:I65,N62:N65)</f>
        <v>-4.6121756742814823E-2</v>
      </c>
      <c r="T62" s="28">
        <f t="shared" si="5"/>
        <v>-0.75507938440746081</v>
      </c>
    </row>
    <row r="63" spans="1:20" x14ac:dyDescent="0.25">
      <c r="A63" s="9"/>
      <c r="B63" s="17">
        <v>9448.2672000000002</v>
      </c>
      <c r="C63" s="18">
        <v>36.618000000000002</v>
      </c>
      <c r="D63" s="18">
        <v>40.788600000000002</v>
      </c>
      <c r="E63" s="18">
        <v>41.404299999999999</v>
      </c>
      <c r="F63" s="18">
        <v>105.48520000000001</v>
      </c>
      <c r="G63" s="18">
        <f t="shared" si="3"/>
        <v>37.737612500000004</v>
      </c>
      <c r="H63" s="5"/>
      <c r="I63" s="17">
        <v>9354.6815999999999</v>
      </c>
      <c r="J63" s="18">
        <v>37.026899999999998</v>
      </c>
      <c r="K63" s="18">
        <v>40.764600000000002</v>
      </c>
      <c r="L63" s="18">
        <v>41.382899999999999</v>
      </c>
      <c r="M63" s="18">
        <v>26.246700000000001</v>
      </c>
      <c r="N63" s="18">
        <f t="shared" si="4"/>
        <v>38.038612499999999</v>
      </c>
      <c r="O63" s="7"/>
      <c r="P63" s="10"/>
      <c r="Q63" s="11"/>
      <c r="R63" s="11"/>
      <c r="S63" s="26"/>
      <c r="T63" s="28">
        <f t="shared" si="5"/>
        <v>-0.7511812083590873</v>
      </c>
    </row>
    <row r="64" spans="1:20" x14ac:dyDescent="0.25">
      <c r="A64" s="9"/>
      <c r="B64" s="17">
        <v>5969.2367999999997</v>
      </c>
      <c r="C64" s="18">
        <v>32.716700000000003</v>
      </c>
      <c r="D64" s="18">
        <v>39.003599999999999</v>
      </c>
      <c r="E64" s="18">
        <v>39.516399999999997</v>
      </c>
      <c r="F64" s="18">
        <v>120.3369</v>
      </c>
      <c r="G64" s="18">
        <f t="shared" si="3"/>
        <v>34.352525</v>
      </c>
      <c r="H64" s="5"/>
      <c r="I64" s="17">
        <v>5921.2272000000003</v>
      </c>
      <c r="J64" s="18">
        <v>33.110300000000002</v>
      </c>
      <c r="K64" s="18">
        <v>39.000300000000003</v>
      </c>
      <c r="L64" s="18">
        <v>39.521500000000003</v>
      </c>
      <c r="M64" s="18">
        <v>31.938700000000001</v>
      </c>
      <c r="N64" s="18">
        <f t="shared" si="4"/>
        <v>34.647950000000009</v>
      </c>
      <c r="O64" s="7"/>
      <c r="P64" s="10"/>
      <c r="Q64" s="11"/>
      <c r="R64" s="11"/>
      <c r="S64" s="26"/>
      <c r="T64" s="28">
        <f t="shared" si="5"/>
        <v>-0.73458930718673987</v>
      </c>
    </row>
    <row r="65" spans="1:20" ht="16.5" thickBot="1" x14ac:dyDescent="0.3">
      <c r="A65" s="12"/>
      <c r="B65" s="19">
        <v>3738.1152000000002</v>
      </c>
      <c r="C65" s="20">
        <v>29.084299999999999</v>
      </c>
      <c r="D65" s="20">
        <v>37.840400000000002</v>
      </c>
      <c r="E65" s="20">
        <v>38.219900000000003</v>
      </c>
      <c r="F65" s="20">
        <v>129.03229999999999</v>
      </c>
      <c r="G65" s="20">
        <f t="shared" si="3"/>
        <v>31.320762500000001</v>
      </c>
      <c r="H65" s="5"/>
      <c r="I65" s="19">
        <v>3725.5439999999999</v>
      </c>
      <c r="J65" s="20">
        <v>29.445900000000002</v>
      </c>
      <c r="K65" s="20">
        <v>37.836500000000001</v>
      </c>
      <c r="L65" s="20">
        <v>38.216799999999999</v>
      </c>
      <c r="M65" s="20">
        <v>37.878799999999998</v>
      </c>
      <c r="N65" s="20">
        <f t="shared" si="4"/>
        <v>31.591087500000004</v>
      </c>
      <c r="O65" s="7"/>
      <c r="P65" s="13"/>
      <c r="Q65" s="14"/>
      <c r="R65" s="14"/>
      <c r="S65" s="27"/>
      <c r="T65" s="28">
        <f t="shared" si="5"/>
        <v>-0.70643939540719647</v>
      </c>
    </row>
    <row r="66" spans="1:20" x14ac:dyDescent="0.25">
      <c r="A66" s="6" t="s">
        <v>12</v>
      </c>
      <c r="B66" s="15">
        <v>5109.2208000000001</v>
      </c>
      <c r="C66" s="16">
        <v>41.830500000000001</v>
      </c>
      <c r="D66" s="16">
        <v>43.193300000000001</v>
      </c>
      <c r="E66" s="16">
        <v>43.664200000000001</v>
      </c>
      <c r="F66" s="16">
        <v>96.339100000000002</v>
      </c>
      <c r="G66" s="16">
        <f t="shared" si="3"/>
        <v>42.230062500000003</v>
      </c>
      <c r="H66" s="5"/>
      <c r="I66" s="15">
        <v>5063.8343999999997</v>
      </c>
      <c r="J66" s="16">
        <v>42.244</v>
      </c>
      <c r="K66" s="16">
        <v>43.212000000000003</v>
      </c>
      <c r="L66" s="16">
        <v>43.680199999999999</v>
      </c>
      <c r="M66" s="16">
        <v>25.1953</v>
      </c>
      <c r="N66" s="16">
        <f t="shared" si="4"/>
        <v>42.544525</v>
      </c>
      <c r="O66" s="7"/>
      <c r="P66" s="8">
        <f>bdrate(B66:B69,C66:C69,I66:I69,J66:J69)</f>
        <v>-4.6603439849406736E-2</v>
      </c>
      <c r="Q66" s="8">
        <f>bdrate(B66:B69,D66:D69,I66:I69,K66:K69)</f>
        <v>-8.1516187976052867E-3</v>
      </c>
      <c r="R66" s="8">
        <f>bdrate(B66:B69,E66:E69,I66:I69,L66:L69)</f>
        <v>-7.4843788288695423E-3</v>
      </c>
      <c r="S66" s="25">
        <f>bdrate(B66:B69,G66:G69,I66:I69,N66:N69)</f>
        <v>-3.9678650492820711E-2</v>
      </c>
      <c r="T66" s="28">
        <f t="shared" si="5"/>
        <v>-0.7384727488631303</v>
      </c>
    </row>
    <row r="67" spans="1:20" x14ac:dyDescent="0.25">
      <c r="A67" s="9"/>
      <c r="B67" s="17">
        <v>3208.74</v>
      </c>
      <c r="C67" s="18">
        <v>37.8384</v>
      </c>
      <c r="D67" s="18">
        <v>39.927999999999997</v>
      </c>
      <c r="E67" s="18">
        <v>40.4621</v>
      </c>
      <c r="F67" s="18">
        <v>111.3586</v>
      </c>
      <c r="G67" s="18">
        <f t="shared" si="3"/>
        <v>38.427562500000001</v>
      </c>
      <c r="H67" s="5"/>
      <c r="I67" s="17">
        <v>3198.4056</v>
      </c>
      <c r="J67" s="18">
        <v>38.1875</v>
      </c>
      <c r="K67" s="18">
        <v>39.947800000000001</v>
      </c>
      <c r="L67" s="18">
        <v>40.480699999999999</v>
      </c>
      <c r="M67" s="18">
        <v>29.744199999999999</v>
      </c>
      <c r="N67" s="18">
        <f t="shared" si="4"/>
        <v>38.694187500000005</v>
      </c>
      <c r="O67" s="7"/>
      <c r="P67" s="10"/>
      <c r="Q67" s="11"/>
      <c r="R67" s="11"/>
      <c r="S67" s="26"/>
      <c r="T67" s="28">
        <f t="shared" si="5"/>
        <v>-0.7328971448994509</v>
      </c>
    </row>
    <row r="68" spans="1:20" x14ac:dyDescent="0.25">
      <c r="A68" s="9"/>
      <c r="B68" s="17">
        <v>1858.6895999999999</v>
      </c>
      <c r="C68" s="18">
        <v>34.0291</v>
      </c>
      <c r="D68" s="18">
        <v>37.610799999999998</v>
      </c>
      <c r="E68" s="18">
        <v>37.987299999999998</v>
      </c>
      <c r="F68" s="18">
        <v>125.94459999999999</v>
      </c>
      <c r="G68" s="18">
        <f t="shared" si="3"/>
        <v>34.971587499999998</v>
      </c>
      <c r="H68" s="5"/>
      <c r="I68" s="17">
        <v>1851.9503999999999</v>
      </c>
      <c r="J68" s="18">
        <v>34.275799999999997</v>
      </c>
      <c r="K68" s="18">
        <v>37.611800000000002</v>
      </c>
      <c r="L68" s="18">
        <v>37.977699999999999</v>
      </c>
      <c r="M68" s="18">
        <v>36.244999999999997</v>
      </c>
      <c r="N68" s="18">
        <f t="shared" si="4"/>
        <v>35.155537499999994</v>
      </c>
      <c r="O68" s="7"/>
      <c r="P68" s="10"/>
      <c r="Q68" s="11"/>
      <c r="R68" s="11"/>
      <c r="S68" s="26"/>
      <c r="T68" s="28">
        <f t="shared" si="5"/>
        <v>-0.71221473568537286</v>
      </c>
    </row>
    <row r="69" spans="1:20" ht="16.5" thickBot="1" x14ac:dyDescent="0.3">
      <c r="A69" s="12"/>
      <c r="B69" s="19">
        <v>1006.92</v>
      </c>
      <c r="C69" s="20">
        <v>30.837800000000001</v>
      </c>
      <c r="D69" s="20">
        <v>35.921599999999998</v>
      </c>
      <c r="E69" s="20">
        <v>36.115699999999997</v>
      </c>
      <c r="F69" s="20">
        <v>143.26650000000001</v>
      </c>
      <c r="G69" s="20">
        <f t="shared" si="3"/>
        <v>32.1330125</v>
      </c>
      <c r="H69" s="5"/>
      <c r="I69" s="19">
        <v>990.10799999999995</v>
      </c>
      <c r="J69" s="20">
        <v>31.015000000000001</v>
      </c>
      <c r="K69" s="20">
        <v>35.936900000000001</v>
      </c>
      <c r="L69" s="20">
        <v>36.144500000000001</v>
      </c>
      <c r="M69" s="20">
        <v>44.3459</v>
      </c>
      <c r="N69" s="20">
        <f t="shared" si="4"/>
        <v>32.271425000000001</v>
      </c>
      <c r="O69" s="7"/>
      <c r="P69" s="13"/>
      <c r="Q69" s="14"/>
      <c r="R69" s="14"/>
      <c r="S69" s="27"/>
      <c r="T69" s="28">
        <f t="shared" si="5"/>
        <v>-0.69046567062083597</v>
      </c>
    </row>
    <row r="70" spans="1:20" x14ac:dyDescent="0.25">
      <c r="A70" s="6" t="s">
        <v>13</v>
      </c>
      <c r="B70" s="15">
        <v>3408.4032000000002</v>
      </c>
      <c r="C70" s="16">
        <v>41.932499999999997</v>
      </c>
      <c r="D70" s="16">
        <v>44.8093</v>
      </c>
      <c r="E70" s="16">
        <v>46.9146</v>
      </c>
      <c r="F70" s="16">
        <v>109.0513</v>
      </c>
      <c r="G70" s="16">
        <f t="shared" si="3"/>
        <v>42.914862499999998</v>
      </c>
      <c r="H70" s="5"/>
      <c r="I70" s="15">
        <v>3366.5736000000002</v>
      </c>
      <c r="J70" s="16">
        <v>42.188099999999999</v>
      </c>
      <c r="K70" s="16">
        <v>44.8095</v>
      </c>
      <c r="L70" s="16">
        <v>46.904899999999998</v>
      </c>
      <c r="M70" s="16">
        <v>27.027000000000001</v>
      </c>
      <c r="N70" s="16">
        <f t="shared" si="4"/>
        <v>43.105375000000002</v>
      </c>
      <c r="O70" s="7"/>
      <c r="P70" s="8">
        <f>bdrate(B70:B73,C70:C73,I70:I73,J70:J73)</f>
        <v>-5.3699617623221396E-2</v>
      </c>
      <c r="Q70" s="8">
        <f>bdrate(B70:B73,D70:D73,I70:I73,K70:K73)</f>
        <v>-1.0127089602801176E-2</v>
      </c>
      <c r="R70" s="8">
        <f>bdrate(B70:B73,E70:E73,I70:I73,L70:L73)</f>
        <v>-3.3782293780328376E-2</v>
      </c>
      <c r="S70" s="25">
        <f>bdrate(B70:B73,G70:G73,I70:I73,N70:N73)</f>
        <v>-4.8240527425614133E-2</v>
      </c>
      <c r="T70" s="28">
        <f t="shared" si="5"/>
        <v>-0.75216251433958148</v>
      </c>
    </row>
    <row r="71" spans="1:20" x14ac:dyDescent="0.25">
      <c r="A71" s="9"/>
      <c r="B71" s="17">
        <v>1928.82</v>
      </c>
      <c r="C71" s="18">
        <v>38.494399999999999</v>
      </c>
      <c r="D71" s="18">
        <v>41.947600000000001</v>
      </c>
      <c r="E71" s="18">
        <v>44.116799999999998</v>
      </c>
      <c r="F71" s="18">
        <v>126.7427</v>
      </c>
      <c r="G71" s="18">
        <f t="shared" si="3"/>
        <v>39.62885</v>
      </c>
      <c r="H71" s="5"/>
      <c r="I71" s="17">
        <v>1907.4936</v>
      </c>
      <c r="J71" s="18">
        <v>38.737000000000002</v>
      </c>
      <c r="K71" s="18">
        <v>41.943899999999999</v>
      </c>
      <c r="L71" s="18">
        <v>44.1631</v>
      </c>
      <c r="M71" s="18">
        <v>34.002000000000002</v>
      </c>
      <c r="N71" s="18">
        <f t="shared" si="4"/>
        <v>39.816125</v>
      </c>
      <c r="O71" s="7"/>
      <c r="P71" s="10"/>
      <c r="Q71" s="11"/>
      <c r="R71" s="11"/>
      <c r="S71" s="26"/>
      <c r="T71" s="28">
        <f t="shared" si="5"/>
        <v>-0.73172419397724686</v>
      </c>
    </row>
    <row r="72" spans="1:20" x14ac:dyDescent="0.25">
      <c r="A72" s="9"/>
      <c r="B72" s="17">
        <v>1059.2639999999999</v>
      </c>
      <c r="C72" s="18">
        <v>35.393300000000004</v>
      </c>
      <c r="D72" s="18">
        <v>40.089700000000001</v>
      </c>
      <c r="E72" s="18">
        <v>41.901000000000003</v>
      </c>
      <c r="F72" s="18">
        <v>141.0437</v>
      </c>
      <c r="G72" s="18">
        <f t="shared" si="3"/>
        <v>36.793812500000001</v>
      </c>
      <c r="H72" s="5"/>
      <c r="I72" s="17">
        <v>1045.6823999999999</v>
      </c>
      <c r="J72" s="18">
        <v>35.609299999999998</v>
      </c>
      <c r="K72" s="18">
        <v>40.0852</v>
      </c>
      <c r="L72" s="18">
        <v>42.045200000000001</v>
      </c>
      <c r="M72" s="18">
        <v>40.733199999999997</v>
      </c>
      <c r="N72" s="18">
        <f t="shared" si="4"/>
        <v>36.973275000000001</v>
      </c>
      <c r="O72" s="7"/>
      <c r="P72" s="10"/>
      <c r="Q72" s="11"/>
      <c r="R72" s="11"/>
      <c r="S72" s="26"/>
      <c r="T72" s="28">
        <f t="shared" si="5"/>
        <v>-0.71120156377066113</v>
      </c>
    </row>
    <row r="73" spans="1:20" ht="16.5" thickBot="1" x14ac:dyDescent="0.3">
      <c r="A73" s="12"/>
      <c r="B73" s="19">
        <v>593.11199999999997</v>
      </c>
      <c r="C73" s="20">
        <v>32.535800000000002</v>
      </c>
      <c r="D73" s="20">
        <v>38.878100000000003</v>
      </c>
      <c r="E73" s="20">
        <v>40.4739</v>
      </c>
      <c r="F73" s="20">
        <v>153.60980000000001</v>
      </c>
      <c r="G73" s="20">
        <f t="shared" si="3"/>
        <v>34.320850000000007</v>
      </c>
      <c r="H73" s="5"/>
      <c r="I73" s="19">
        <v>582.80880000000002</v>
      </c>
      <c r="J73" s="20">
        <v>32.736899999999999</v>
      </c>
      <c r="K73" s="20">
        <v>38.848500000000001</v>
      </c>
      <c r="L73" s="20">
        <v>40.569800000000001</v>
      </c>
      <c r="M73" s="20">
        <v>48.2393</v>
      </c>
      <c r="N73" s="20">
        <f t="shared" si="4"/>
        <v>34.479962499999999</v>
      </c>
      <c r="O73" s="7"/>
      <c r="P73" s="13"/>
      <c r="Q73" s="14"/>
      <c r="R73" s="14"/>
      <c r="S73" s="27"/>
      <c r="T73" s="28">
        <f t="shared" si="5"/>
        <v>-0.6859620935643429</v>
      </c>
    </row>
    <row r="74" spans="1:20" x14ac:dyDescent="0.25">
      <c r="A74" s="6" t="s">
        <v>14</v>
      </c>
      <c r="B74" s="15">
        <v>9504.0311999999994</v>
      </c>
      <c r="C74" s="16">
        <v>40.881100000000004</v>
      </c>
      <c r="D74" s="16">
        <v>41.889200000000002</v>
      </c>
      <c r="E74" s="16">
        <v>41.829099999999997</v>
      </c>
      <c r="F74" s="16">
        <v>78.864400000000003</v>
      </c>
      <c r="G74" s="16">
        <f t="shared" si="3"/>
        <v>41.125612500000003</v>
      </c>
      <c r="H74" s="5"/>
      <c r="I74" s="15">
        <v>9425.6903999999995</v>
      </c>
      <c r="J74" s="16">
        <v>41.381999999999998</v>
      </c>
      <c r="K74" s="16">
        <v>41.893099999999997</v>
      </c>
      <c r="L74" s="16">
        <v>41.823599999999999</v>
      </c>
      <c r="M74" s="16">
        <v>19.892600000000002</v>
      </c>
      <c r="N74" s="16">
        <f t="shared" si="4"/>
        <v>41.501087499999997</v>
      </c>
      <c r="O74" s="7"/>
      <c r="P74" s="8">
        <f>bdrate(B74:B77,C74:C77,I74:I77,J74:J77)</f>
        <v>-4.2135201839759162E-2</v>
      </c>
      <c r="Q74" s="8">
        <f>bdrate(B74:B77,D74:D77,I74:I77,K74:K77)</f>
        <v>-4.7558978931596663E-3</v>
      </c>
      <c r="R74" s="8">
        <f>bdrate(B74:B77,E74:E77,I74:I77,L74:L77)</f>
        <v>-5.561672699659681E-3</v>
      </c>
      <c r="S74" s="25">
        <f>bdrate(B74:B77,G74:G77,I74:I77,N74:N77)</f>
        <v>-3.5542421022416559E-2</v>
      </c>
      <c r="T74" s="28">
        <f t="shared" si="5"/>
        <v>-0.74776198132490701</v>
      </c>
    </row>
    <row r="75" spans="1:20" x14ac:dyDescent="0.25">
      <c r="A75" s="9"/>
      <c r="B75" s="17">
        <v>6732.4656000000004</v>
      </c>
      <c r="C75" s="18">
        <v>36.442700000000002</v>
      </c>
      <c r="D75" s="18">
        <v>38.242400000000004</v>
      </c>
      <c r="E75" s="18">
        <v>38.0411</v>
      </c>
      <c r="F75" s="18">
        <v>88.417299999999997</v>
      </c>
      <c r="G75" s="18">
        <f t="shared" si="3"/>
        <v>36.867462500000002</v>
      </c>
      <c r="H75" s="5"/>
      <c r="I75" s="17">
        <v>6690.7344000000003</v>
      </c>
      <c r="J75" s="18">
        <v>36.9039</v>
      </c>
      <c r="K75" s="18">
        <v>38.245399999999997</v>
      </c>
      <c r="L75" s="18">
        <v>38.045200000000001</v>
      </c>
      <c r="M75" s="18">
        <v>22.158200000000001</v>
      </c>
      <c r="N75" s="18">
        <f t="shared" si="4"/>
        <v>37.214250000000007</v>
      </c>
      <c r="O75" s="7"/>
      <c r="P75" s="10"/>
      <c r="Q75" s="11"/>
      <c r="R75" s="11"/>
      <c r="S75" s="26"/>
      <c r="T75" s="28">
        <f t="shared" si="5"/>
        <v>-0.74939067354465694</v>
      </c>
    </row>
    <row r="76" spans="1:20" x14ac:dyDescent="0.25">
      <c r="A76" s="9"/>
      <c r="B76" s="17">
        <v>4544.3639999999996</v>
      </c>
      <c r="C76" s="18">
        <v>32.104700000000001</v>
      </c>
      <c r="D76" s="18">
        <v>35.560099999999998</v>
      </c>
      <c r="E76" s="18">
        <v>35.215299999999999</v>
      </c>
      <c r="F76" s="18">
        <v>100</v>
      </c>
      <c r="G76" s="18">
        <f t="shared" si="3"/>
        <v>32.925449999999998</v>
      </c>
      <c r="H76" s="5"/>
      <c r="I76" s="17">
        <v>4530.4679999999998</v>
      </c>
      <c r="J76" s="18">
        <v>32.506599999999999</v>
      </c>
      <c r="K76" s="18">
        <v>35.556800000000003</v>
      </c>
      <c r="L76" s="18">
        <v>35.227800000000002</v>
      </c>
      <c r="M76" s="18">
        <v>25.700299999999999</v>
      </c>
      <c r="N76" s="18">
        <f t="shared" si="4"/>
        <v>33.228025000000002</v>
      </c>
      <c r="O76" s="7"/>
      <c r="P76" s="10"/>
      <c r="Q76" s="11"/>
      <c r="R76" s="11"/>
      <c r="S76" s="26"/>
      <c r="T76" s="28">
        <f t="shared" si="5"/>
        <v>-0.74299700000000002</v>
      </c>
    </row>
    <row r="77" spans="1:20" ht="16.5" thickBot="1" x14ac:dyDescent="0.3">
      <c r="A77" s="12"/>
      <c r="B77" s="19">
        <v>2916.5880000000002</v>
      </c>
      <c r="C77" s="20">
        <v>28.0779</v>
      </c>
      <c r="D77" s="20">
        <v>33.514200000000002</v>
      </c>
      <c r="E77" s="20">
        <v>33.044800000000002</v>
      </c>
      <c r="F77" s="20">
        <v>113.5074</v>
      </c>
      <c r="G77" s="20">
        <f t="shared" si="3"/>
        <v>29.378300000000003</v>
      </c>
      <c r="H77" s="5"/>
      <c r="I77" s="19">
        <v>2915.1984000000002</v>
      </c>
      <c r="J77" s="20">
        <v>28.3932</v>
      </c>
      <c r="K77" s="20">
        <v>33.492899999999999</v>
      </c>
      <c r="L77" s="20">
        <v>33.028300000000002</v>
      </c>
      <c r="M77" s="20">
        <v>30.515699999999999</v>
      </c>
      <c r="N77" s="20">
        <f t="shared" si="4"/>
        <v>29.610049999999998</v>
      </c>
      <c r="O77" s="7"/>
      <c r="P77" s="13"/>
      <c r="Q77" s="14"/>
      <c r="R77" s="14"/>
      <c r="S77" s="27"/>
      <c r="T77" s="28">
        <f t="shared" si="5"/>
        <v>-0.73115673515559343</v>
      </c>
    </row>
    <row r="78" spans="1:20" x14ac:dyDescent="0.25">
      <c r="A78" s="6" t="s">
        <v>15</v>
      </c>
      <c r="B78" s="15">
        <v>23959.5494</v>
      </c>
      <c r="C78" s="16">
        <v>43.0045</v>
      </c>
      <c r="D78" s="16">
        <v>44.4923</v>
      </c>
      <c r="E78" s="16">
        <v>46.183300000000003</v>
      </c>
      <c r="F78" s="16">
        <v>8.2720000000000002</v>
      </c>
      <c r="G78" s="16">
        <f t="shared" si="3"/>
        <v>43.587824999999995</v>
      </c>
      <c r="H78" s="5"/>
      <c r="I78" s="15">
        <v>22484.893400000001</v>
      </c>
      <c r="J78" s="16">
        <v>43.100200000000001</v>
      </c>
      <c r="K78" s="16">
        <v>44.582900000000002</v>
      </c>
      <c r="L78" s="16">
        <v>46.295200000000001</v>
      </c>
      <c r="M78" s="16">
        <v>2.6499000000000001</v>
      </c>
      <c r="N78" s="16">
        <f t="shared" si="4"/>
        <v>43.684912500000003</v>
      </c>
      <c r="O78" s="7"/>
      <c r="P78" s="8">
        <f>bdrate(B78:B81,C78:C81,I78:I81,J78:J81)</f>
        <v>-9.4011814995944354E-2</v>
      </c>
      <c r="Q78" s="8">
        <f>bdrate(B78:B81,D78:D81,I78:I81,K78:K81)</f>
        <v>-9.1104102317806857E-2</v>
      </c>
      <c r="R78" s="8">
        <f>bdrate(B78:B81,E78:E81,I78:I81,L78:L81)</f>
        <v>-9.018464361275047E-2</v>
      </c>
      <c r="S78" s="25">
        <f>bdrate(B78:B81,G78:G81,I78:I81,N78:N81)</f>
        <v>-9.3179525545191488E-2</v>
      </c>
      <c r="T78" s="28">
        <f t="shared" si="5"/>
        <v>-0.67965425531914891</v>
      </c>
    </row>
    <row r="79" spans="1:20" x14ac:dyDescent="0.25">
      <c r="A79" s="9"/>
      <c r="B79" s="17">
        <v>12122.6093</v>
      </c>
      <c r="C79" s="18">
        <v>41.508499999999998</v>
      </c>
      <c r="D79" s="18">
        <v>42.689300000000003</v>
      </c>
      <c r="E79" s="18">
        <v>44.059399999999997</v>
      </c>
      <c r="F79" s="18">
        <v>10.48</v>
      </c>
      <c r="G79" s="18">
        <f t="shared" si="3"/>
        <v>41.974962499999997</v>
      </c>
      <c r="H79" s="5"/>
      <c r="I79" s="17">
        <v>11494.316199999999</v>
      </c>
      <c r="J79" s="18">
        <v>41.662199999999999</v>
      </c>
      <c r="K79" s="18">
        <v>42.819200000000002</v>
      </c>
      <c r="L79" s="18">
        <v>44.198700000000002</v>
      </c>
      <c r="M79" s="18">
        <v>4.9524999999999997</v>
      </c>
      <c r="N79" s="18">
        <f t="shared" si="4"/>
        <v>42.123887499999995</v>
      </c>
      <c r="O79" s="7"/>
      <c r="P79" s="10"/>
      <c r="Q79" s="11"/>
      <c r="R79" s="11"/>
      <c r="S79" s="26"/>
      <c r="T79" s="28">
        <f t="shared" si="5"/>
        <v>-0.52743320610687028</v>
      </c>
    </row>
    <row r="80" spans="1:20" x14ac:dyDescent="0.25">
      <c r="A80" s="9"/>
      <c r="B80" s="17">
        <v>7071.4022000000004</v>
      </c>
      <c r="C80" s="18">
        <v>39.602400000000003</v>
      </c>
      <c r="D80" s="18">
        <v>41.216500000000003</v>
      </c>
      <c r="E80" s="18">
        <v>42.473799999999997</v>
      </c>
      <c r="F80" s="18">
        <v>14.3225</v>
      </c>
      <c r="G80" s="18">
        <f t="shared" si="3"/>
        <v>40.163087500000003</v>
      </c>
      <c r="H80" s="5"/>
      <c r="I80" s="17">
        <v>6773.3721999999998</v>
      </c>
      <c r="J80" s="18">
        <v>39.804600000000001</v>
      </c>
      <c r="K80" s="18">
        <v>41.3294</v>
      </c>
      <c r="L80" s="18">
        <v>42.578800000000001</v>
      </c>
      <c r="M80" s="18">
        <v>5.4466000000000001</v>
      </c>
      <c r="N80" s="18">
        <f t="shared" si="4"/>
        <v>40.341975000000005</v>
      </c>
      <c r="O80" s="7"/>
      <c r="P80" s="10"/>
      <c r="Q80" s="11"/>
      <c r="R80" s="11"/>
      <c r="S80" s="26"/>
      <c r="T80" s="28">
        <f t="shared" si="5"/>
        <v>-0.61971722813754582</v>
      </c>
    </row>
    <row r="81" spans="1:20" ht="16.5" thickBot="1" x14ac:dyDescent="0.3">
      <c r="A81" s="12"/>
      <c r="B81" s="19">
        <v>4200.5914000000002</v>
      </c>
      <c r="C81" s="20">
        <v>37.194400000000002</v>
      </c>
      <c r="D81" s="20">
        <v>40.128799999999998</v>
      </c>
      <c r="E81" s="20">
        <v>41.475499999999997</v>
      </c>
      <c r="F81" s="20">
        <v>15.1012</v>
      </c>
      <c r="G81" s="20">
        <f t="shared" si="3"/>
        <v>38.096337500000004</v>
      </c>
      <c r="H81" s="5"/>
      <c r="I81" s="19">
        <v>4046.4614000000001</v>
      </c>
      <c r="J81" s="20">
        <v>37.439700000000002</v>
      </c>
      <c r="K81" s="20">
        <v>40.219499999999996</v>
      </c>
      <c r="L81" s="20">
        <v>41.561500000000002</v>
      </c>
      <c r="M81" s="20">
        <v>5.8944999999999999</v>
      </c>
      <c r="N81" s="20">
        <f t="shared" si="4"/>
        <v>38.302400000000006</v>
      </c>
      <c r="O81" s="7"/>
      <c r="P81" s="13"/>
      <c r="Q81" s="14"/>
      <c r="R81" s="14"/>
      <c r="S81" s="27"/>
      <c r="T81" s="28">
        <f t="shared" si="5"/>
        <v>-0.60966678144783204</v>
      </c>
    </row>
    <row r="82" spans="1:20" x14ac:dyDescent="0.25">
      <c r="A82" s="6" t="s">
        <v>16</v>
      </c>
      <c r="B82" s="15">
        <v>80996.547999999995</v>
      </c>
      <c r="C82" s="16">
        <v>41.360700000000001</v>
      </c>
      <c r="D82" s="16">
        <v>44.602400000000003</v>
      </c>
      <c r="E82" s="16">
        <v>46.107700000000001</v>
      </c>
      <c r="F82" s="16">
        <v>6.2255000000000003</v>
      </c>
      <c r="G82" s="16">
        <f t="shared" si="3"/>
        <v>42.359287500000001</v>
      </c>
      <c r="H82" s="5"/>
      <c r="I82" s="15">
        <v>83125.724000000002</v>
      </c>
      <c r="J82" s="16">
        <v>41.460900000000002</v>
      </c>
      <c r="K82" s="16">
        <v>44.546599999999998</v>
      </c>
      <c r="L82" s="16">
        <v>45.993600000000001</v>
      </c>
      <c r="M82" s="16">
        <v>1.4240999999999999</v>
      </c>
      <c r="N82" s="16">
        <f t="shared" si="4"/>
        <v>42.413200000000003</v>
      </c>
      <c r="O82" s="7"/>
      <c r="P82" s="8">
        <f>bdrate(B82:B85,C82:C85,I82:I85,J82:J85)</f>
        <v>-4.5045207498954021E-2</v>
      </c>
      <c r="Q82" s="8">
        <f>bdrate(B82:B85,D82:D85,I82:I85,K82:K85)</f>
        <v>-1.2740306635394716E-2</v>
      </c>
      <c r="R82" s="8">
        <f>bdrate(B82:B85,E82:E85,I82:I85,L82:L85)</f>
        <v>-1.362752791456634E-2</v>
      </c>
      <c r="S82" s="25">
        <f>bdrate(B82:B85,G82:G85,I82:I85,N82:N85)</f>
        <v>-3.8429820422412275E-2</v>
      </c>
      <c r="T82" s="28">
        <f t="shared" si="5"/>
        <v>-0.77124728937434739</v>
      </c>
    </row>
    <row r="83" spans="1:20" x14ac:dyDescent="0.25">
      <c r="A83" s="9"/>
      <c r="B83" s="17">
        <v>32619.851999999999</v>
      </c>
      <c r="C83" s="18">
        <v>38.971200000000003</v>
      </c>
      <c r="D83" s="18">
        <v>43.126199999999997</v>
      </c>
      <c r="E83" s="18">
        <v>43.971699999999998</v>
      </c>
      <c r="F83" s="18">
        <v>8.0431000000000008</v>
      </c>
      <c r="G83" s="18">
        <f t="shared" si="3"/>
        <v>40.115637499999998</v>
      </c>
      <c r="H83" s="5"/>
      <c r="I83" s="17">
        <v>32074.603999999999</v>
      </c>
      <c r="J83" s="18">
        <v>39.045000000000002</v>
      </c>
      <c r="K83" s="18">
        <v>43.119900000000001</v>
      </c>
      <c r="L83" s="18">
        <v>43.979300000000002</v>
      </c>
      <c r="M83" s="18">
        <v>2.3635999999999999</v>
      </c>
      <c r="N83" s="18">
        <f t="shared" si="4"/>
        <v>40.171150000000004</v>
      </c>
      <c r="O83" s="7"/>
      <c r="P83" s="10"/>
      <c r="Q83" s="11"/>
      <c r="R83" s="11"/>
      <c r="S83" s="26"/>
      <c r="T83" s="28">
        <f t="shared" si="5"/>
        <v>-0.70613320734542651</v>
      </c>
    </row>
    <row r="84" spans="1:20" x14ac:dyDescent="0.25">
      <c r="A84" s="9"/>
      <c r="B84" s="17">
        <v>16374.316000000001</v>
      </c>
      <c r="C84" s="18">
        <v>37.214199999999998</v>
      </c>
      <c r="D84" s="18">
        <v>41.732399999999998</v>
      </c>
      <c r="E84" s="18">
        <v>42.044800000000002</v>
      </c>
      <c r="F84" s="18">
        <v>9.1198999999999995</v>
      </c>
      <c r="G84" s="18">
        <f t="shared" si="3"/>
        <v>38.382799999999996</v>
      </c>
      <c r="H84" s="5"/>
      <c r="I84" s="17">
        <v>15956.796</v>
      </c>
      <c r="J84" s="18">
        <v>37.306600000000003</v>
      </c>
      <c r="K84" s="18">
        <v>41.744999999999997</v>
      </c>
      <c r="L84" s="18">
        <v>42.067100000000003</v>
      </c>
      <c r="M84" s="18">
        <v>2.9695</v>
      </c>
      <c r="N84" s="18">
        <f t="shared" si="4"/>
        <v>38.456462500000001</v>
      </c>
      <c r="O84" s="7"/>
      <c r="P84" s="10"/>
      <c r="Q84" s="11"/>
      <c r="R84" s="11"/>
      <c r="S84" s="26"/>
      <c r="T84" s="28">
        <f t="shared" si="5"/>
        <v>-0.67439335957631108</v>
      </c>
    </row>
    <row r="85" spans="1:20" ht="16.5" thickBot="1" x14ac:dyDescent="0.3">
      <c r="A85" s="12"/>
      <c r="B85" s="19">
        <v>9307.3799999999992</v>
      </c>
      <c r="C85" s="20">
        <v>35.296199999999999</v>
      </c>
      <c r="D85" s="20">
        <v>40.536799999999999</v>
      </c>
      <c r="E85" s="20">
        <v>40.478700000000003</v>
      </c>
      <c r="F85" s="20">
        <v>9.6320999999999994</v>
      </c>
      <c r="G85" s="20">
        <f t="shared" si="3"/>
        <v>36.599087499999996</v>
      </c>
      <c r="H85" s="5"/>
      <c r="I85" s="19">
        <v>9033.9279999999999</v>
      </c>
      <c r="J85" s="20">
        <v>35.400300000000001</v>
      </c>
      <c r="K85" s="20">
        <v>40.569600000000001</v>
      </c>
      <c r="L85" s="20">
        <v>40.529000000000003</v>
      </c>
      <c r="M85" s="20">
        <v>3.38</v>
      </c>
      <c r="N85" s="20">
        <f t="shared" si="4"/>
        <v>36.687550000000002</v>
      </c>
      <c r="O85" s="7"/>
      <c r="P85" s="13"/>
      <c r="Q85" s="14"/>
      <c r="R85" s="14"/>
      <c r="S85" s="27"/>
      <c r="T85" s="28">
        <f t="shared" si="5"/>
        <v>-0.64909002190591869</v>
      </c>
    </row>
    <row r="86" spans="1:20" x14ac:dyDescent="0.25">
      <c r="A86" s="6" t="s">
        <v>17</v>
      </c>
      <c r="B86" s="15">
        <v>5328.59</v>
      </c>
      <c r="C86" s="16">
        <v>45.556399999999996</v>
      </c>
      <c r="D86" s="16">
        <v>48.491</v>
      </c>
      <c r="E86" s="16">
        <v>48.268300000000004</v>
      </c>
      <c r="F86" s="16">
        <v>38.417200000000001</v>
      </c>
      <c r="G86" s="16">
        <f t="shared" si="3"/>
        <v>46.262212499999997</v>
      </c>
      <c r="H86" s="5"/>
      <c r="I86" s="15">
        <v>5200.7460000000001</v>
      </c>
      <c r="J86" s="16">
        <v>45.8506</v>
      </c>
      <c r="K86" s="16">
        <v>48.510399999999997</v>
      </c>
      <c r="L86" s="16">
        <v>48.287500000000001</v>
      </c>
      <c r="M86" s="16">
        <v>10.689500000000001</v>
      </c>
      <c r="N86" s="16">
        <f t="shared" si="4"/>
        <v>46.487687500000007</v>
      </c>
      <c r="O86" s="7"/>
      <c r="P86" s="8">
        <f>bdrate(B86:B89,C86:C89,I86:I89,J86:J89)</f>
        <v>-5.8569259578188371E-2</v>
      </c>
      <c r="Q86" s="8">
        <f>bdrate(B86:B89,D86:D89,I86:I89,K86:K89)</f>
        <v>-1.8819385101189634E-2</v>
      </c>
      <c r="R86" s="8">
        <f>bdrate(B86:B89,E86:E89,I86:I89,L86:L89)</f>
        <v>-1.8487905239727653E-2</v>
      </c>
      <c r="S86" s="25">
        <f>bdrate(B86:B89,G86:G89,I86:I89,N86:N89)</f>
        <v>-5.2535115958508793E-2</v>
      </c>
      <c r="T86" s="28">
        <f t="shared" si="5"/>
        <v>-0.72175223597763494</v>
      </c>
    </row>
    <row r="87" spans="1:20" x14ac:dyDescent="0.25">
      <c r="A87" s="9"/>
      <c r="B87" s="17">
        <v>3303.096</v>
      </c>
      <c r="C87" s="18">
        <v>42.170299999999997</v>
      </c>
      <c r="D87" s="18">
        <v>46.253700000000002</v>
      </c>
      <c r="E87" s="18">
        <v>46.153399999999998</v>
      </c>
      <c r="F87" s="18">
        <v>44.484000000000002</v>
      </c>
      <c r="G87" s="18">
        <f t="shared" si="3"/>
        <v>43.178612499999993</v>
      </c>
      <c r="H87" s="5"/>
      <c r="I87" s="17">
        <v>3236.944</v>
      </c>
      <c r="J87" s="18">
        <v>42.455199999999998</v>
      </c>
      <c r="K87" s="18">
        <v>46.247</v>
      </c>
      <c r="L87" s="18">
        <v>46.142200000000003</v>
      </c>
      <c r="M87" s="18">
        <v>12.7567</v>
      </c>
      <c r="N87" s="18">
        <f t="shared" si="4"/>
        <v>43.390050000000002</v>
      </c>
      <c r="O87" s="7"/>
      <c r="P87" s="10"/>
      <c r="Q87" s="11"/>
      <c r="R87" s="11"/>
      <c r="S87" s="26"/>
      <c r="T87" s="28">
        <f t="shared" si="5"/>
        <v>-0.7132294757665677</v>
      </c>
    </row>
    <row r="88" spans="1:20" x14ac:dyDescent="0.25">
      <c r="A88" s="9"/>
      <c r="B88" s="17">
        <v>1977.6959999999999</v>
      </c>
      <c r="C88" s="18">
        <v>38.782200000000003</v>
      </c>
      <c r="D88" s="18">
        <v>44.384300000000003</v>
      </c>
      <c r="E88" s="18">
        <v>44.306100000000001</v>
      </c>
      <c r="F88" s="18">
        <v>51.177100000000003</v>
      </c>
      <c r="G88" s="18">
        <f t="shared" si="3"/>
        <v>40.172950000000007</v>
      </c>
      <c r="H88" s="5"/>
      <c r="I88" s="17">
        <v>1940.248</v>
      </c>
      <c r="J88" s="18">
        <v>39.029200000000003</v>
      </c>
      <c r="K88" s="18">
        <v>44.373399999999997</v>
      </c>
      <c r="L88" s="18">
        <v>44.2986</v>
      </c>
      <c r="M88" s="18">
        <v>15.812799999999999</v>
      </c>
      <c r="N88" s="18">
        <f t="shared" si="4"/>
        <v>40.355900000000005</v>
      </c>
      <c r="O88" s="7"/>
      <c r="P88" s="10"/>
      <c r="Q88" s="11"/>
      <c r="R88" s="11"/>
      <c r="S88" s="26"/>
      <c r="T88" s="28">
        <f t="shared" si="5"/>
        <v>-0.69101805299635966</v>
      </c>
    </row>
    <row r="89" spans="1:20" ht="16.5" thickBot="1" x14ac:dyDescent="0.3">
      <c r="A89" s="12"/>
      <c r="B89" s="19">
        <v>1142.2159999999999</v>
      </c>
      <c r="C89" s="20">
        <v>35.561300000000003</v>
      </c>
      <c r="D89" s="20">
        <v>42.966999999999999</v>
      </c>
      <c r="E89" s="20">
        <v>42.853000000000002</v>
      </c>
      <c r="F89" s="20">
        <v>57.208199999999998</v>
      </c>
      <c r="G89" s="20">
        <f t="shared" si="3"/>
        <v>37.398475000000005</v>
      </c>
      <c r="H89" s="5"/>
      <c r="I89" s="19">
        <v>1116.444</v>
      </c>
      <c r="J89" s="20">
        <v>35.760599999999997</v>
      </c>
      <c r="K89" s="20">
        <v>42.955100000000002</v>
      </c>
      <c r="L89" s="20">
        <v>42.837499999999999</v>
      </c>
      <c r="M89" s="20">
        <v>19.6386</v>
      </c>
      <c r="N89" s="20">
        <f t="shared" si="4"/>
        <v>37.544524999999993</v>
      </c>
      <c r="O89" s="7"/>
      <c r="P89" s="13"/>
      <c r="Q89" s="14"/>
      <c r="R89" s="14"/>
      <c r="S89" s="27"/>
      <c r="T89" s="28">
        <f t="shared" si="5"/>
        <v>-0.65671704406011722</v>
      </c>
    </row>
    <row r="90" spans="1:20" ht="16.5" thickBot="1" x14ac:dyDescent="0.3">
      <c r="A90" s="22" t="s">
        <v>22</v>
      </c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1">
        <f>AVERAGE(P50:P89)</f>
        <v>-5.6902263566704039E-2</v>
      </c>
      <c r="Q90" s="21">
        <f t="shared" ref="Q90:S90" si="6">AVERAGE(Q50:Q89)</f>
        <v>-2.271116713506207E-2</v>
      </c>
      <c r="R90" s="21">
        <f t="shared" si="6"/>
        <v>-2.3143496674615294E-2</v>
      </c>
      <c r="S90" s="21">
        <f t="shared" si="6"/>
        <v>-5.1168678859772207E-2</v>
      </c>
      <c r="T90" s="21">
        <f>AVERAGE(T50:T89)</f>
        <v>-0.70355274596824025</v>
      </c>
    </row>
    <row r="91" spans="1:20" ht="16.5" thickBot="1" x14ac:dyDescent="0.3"/>
    <row r="92" spans="1:20" ht="16.5" thickBot="1" x14ac:dyDescent="0.3">
      <c r="B92" s="50" t="s">
        <v>24</v>
      </c>
      <c r="C92" s="51"/>
      <c r="D92" s="51"/>
      <c r="E92" s="51"/>
      <c r="F92" s="51"/>
      <c r="G92" s="51"/>
      <c r="H92" s="5"/>
      <c r="I92" s="50" t="s">
        <v>27</v>
      </c>
      <c r="J92" s="51"/>
      <c r="K92" s="51"/>
      <c r="L92" s="51"/>
      <c r="M92" s="51"/>
      <c r="N92" s="51"/>
      <c r="P92" s="50" t="s">
        <v>7</v>
      </c>
      <c r="Q92" s="51"/>
      <c r="R92" s="52"/>
      <c r="S92" s="23"/>
      <c r="T92" t="s">
        <v>18</v>
      </c>
    </row>
    <row r="93" spans="1:20" ht="16.5" thickBot="1" x14ac:dyDescent="0.3">
      <c r="B93" s="2" t="s">
        <v>0</v>
      </c>
      <c r="C93" s="3" t="s">
        <v>1</v>
      </c>
      <c r="D93" s="3" t="s">
        <v>2</v>
      </c>
      <c r="E93" s="3" t="s">
        <v>3</v>
      </c>
      <c r="F93" s="3" t="s">
        <v>19</v>
      </c>
      <c r="G93" s="3" t="s">
        <v>20</v>
      </c>
      <c r="H93" s="1"/>
      <c r="I93" s="2" t="s">
        <v>0</v>
      </c>
      <c r="J93" s="3" t="s">
        <v>1</v>
      </c>
      <c r="K93" s="3" t="s">
        <v>2</v>
      </c>
      <c r="L93" s="3" t="s">
        <v>3</v>
      </c>
      <c r="M93" s="3" t="s">
        <v>19</v>
      </c>
      <c r="N93" s="3" t="s">
        <v>20</v>
      </c>
      <c r="P93" s="2" t="s">
        <v>4</v>
      </c>
      <c r="Q93" s="3" t="s">
        <v>5</v>
      </c>
      <c r="R93" s="4" t="s">
        <v>6</v>
      </c>
      <c r="S93" s="24" t="s">
        <v>21</v>
      </c>
    </row>
    <row r="94" spans="1:20" x14ac:dyDescent="0.25">
      <c r="A94" s="6" t="s">
        <v>9</v>
      </c>
      <c r="B94" s="15">
        <v>24060.263999999999</v>
      </c>
      <c r="C94" s="16">
        <v>44.000399999999999</v>
      </c>
      <c r="D94" s="16">
        <v>47.902299999999997</v>
      </c>
      <c r="E94" s="16">
        <v>48.335799999999999</v>
      </c>
      <c r="F94" s="16">
        <v>18.106100000000001</v>
      </c>
      <c r="G94" s="16">
        <f t="shared" ref="G94:G133" si="7">(6*C94+D94+E94)/8</f>
        <v>45.030062499999993</v>
      </c>
      <c r="H94" s="5"/>
      <c r="I94" s="15">
        <v>23351.692800000001</v>
      </c>
      <c r="J94" s="16">
        <v>44.129300000000001</v>
      </c>
      <c r="K94" s="16">
        <v>48.1541</v>
      </c>
      <c r="L94" s="16">
        <v>48.6248</v>
      </c>
      <c r="M94" s="16">
        <v>4.1782000000000004</v>
      </c>
      <c r="N94" s="16">
        <f t="shared" ref="N94:N133" si="8">(6*J94+K94+L94)/8</f>
        <v>45.194337499999996</v>
      </c>
      <c r="O94" s="7"/>
      <c r="P94" s="8">
        <f>bdrate(B94:B97,C94:C97,I94:I97,J94:J97)</f>
        <v>-6.8453395673754081E-2</v>
      </c>
      <c r="Q94" s="8">
        <f>bdrate(B94:B97,D94:D97,I94:I97,K94:K97)</f>
        <v>-0.12136657752881241</v>
      </c>
      <c r="R94" s="8">
        <f>bdrate(B94:B97,E94:E97,I94:I97,L94:L97)</f>
        <v>-0.1347881188894603</v>
      </c>
      <c r="S94" s="25">
        <f>bdrate(B94:B97,G94:G97,I94:I97,N94:N97)</f>
        <v>-8.0779672607033115E-2</v>
      </c>
      <c r="T94" s="28">
        <f t="shared" ref="T94:T133" si="9">(M94-F94)/F94</f>
        <v>-0.76923799161608519</v>
      </c>
    </row>
    <row r="95" spans="1:20" x14ac:dyDescent="0.25">
      <c r="A95" s="9"/>
      <c r="B95" s="17">
        <v>13088.5008</v>
      </c>
      <c r="C95" s="18">
        <v>41.791800000000002</v>
      </c>
      <c r="D95" s="18">
        <v>46.055300000000003</v>
      </c>
      <c r="E95" s="18">
        <v>46.530099999999997</v>
      </c>
      <c r="F95" s="18">
        <v>22.1877</v>
      </c>
      <c r="G95" s="18">
        <f t="shared" si="7"/>
        <v>42.917025000000002</v>
      </c>
      <c r="H95" s="5"/>
      <c r="I95" s="17">
        <v>12698.620800000001</v>
      </c>
      <c r="J95" s="18">
        <v>41.951099999999997</v>
      </c>
      <c r="K95" s="18">
        <v>46.418399999999998</v>
      </c>
      <c r="L95" s="18">
        <v>46.905700000000003</v>
      </c>
      <c r="M95" s="18">
        <v>5.7571000000000003</v>
      </c>
      <c r="N95" s="18">
        <f t="shared" si="8"/>
        <v>43.128837500000003</v>
      </c>
      <c r="O95" s="7"/>
      <c r="P95" s="10"/>
      <c r="Q95" s="11"/>
      <c r="R95" s="11"/>
      <c r="S95" s="26"/>
      <c r="T95" s="28">
        <f t="shared" si="9"/>
        <v>-0.74052740933039474</v>
      </c>
    </row>
    <row r="96" spans="1:20" x14ac:dyDescent="0.25">
      <c r="A96" s="9"/>
      <c r="B96" s="17">
        <v>7598.1696000000002</v>
      </c>
      <c r="C96" s="18">
        <v>39.421999999999997</v>
      </c>
      <c r="D96" s="18">
        <v>44.184100000000001</v>
      </c>
      <c r="E96" s="18">
        <v>44.5837</v>
      </c>
      <c r="F96" s="18">
        <v>29.403099999999998</v>
      </c>
      <c r="G96" s="18">
        <f t="shared" si="7"/>
        <v>40.662475000000001</v>
      </c>
      <c r="H96" s="5"/>
      <c r="I96" s="17">
        <v>7342.4975999999997</v>
      </c>
      <c r="J96" s="18">
        <v>39.597900000000003</v>
      </c>
      <c r="K96" s="18">
        <v>44.503700000000002</v>
      </c>
      <c r="L96" s="18">
        <v>45.006399999999999</v>
      </c>
      <c r="M96" s="18">
        <v>7.7023999999999999</v>
      </c>
      <c r="N96" s="18">
        <f t="shared" si="8"/>
        <v>40.887187499999996</v>
      </c>
      <c r="O96" s="7"/>
      <c r="P96" s="10"/>
      <c r="Q96" s="11"/>
      <c r="R96" s="11"/>
      <c r="S96" s="26"/>
      <c r="T96" s="28">
        <f t="shared" si="9"/>
        <v>-0.73804122694545804</v>
      </c>
    </row>
    <row r="97" spans="1:20" ht="16.5" thickBot="1" x14ac:dyDescent="0.3">
      <c r="A97" s="12"/>
      <c r="B97" s="19">
        <v>4507.1376</v>
      </c>
      <c r="C97" s="20">
        <v>36.869100000000003</v>
      </c>
      <c r="D97" s="20">
        <v>42.611699999999999</v>
      </c>
      <c r="E97" s="20">
        <v>43.034300000000002</v>
      </c>
      <c r="F97" s="20">
        <v>32.626399999999997</v>
      </c>
      <c r="G97" s="20">
        <f t="shared" si="7"/>
        <v>38.357574999999997</v>
      </c>
      <c r="H97" s="5"/>
      <c r="I97" s="19">
        <v>4358.0064000000002</v>
      </c>
      <c r="J97" s="20">
        <v>37.052300000000002</v>
      </c>
      <c r="K97" s="20">
        <v>42.771799999999999</v>
      </c>
      <c r="L97" s="20">
        <v>43.220999999999997</v>
      </c>
      <c r="M97" s="20">
        <v>10.113300000000001</v>
      </c>
      <c r="N97" s="20">
        <f t="shared" si="8"/>
        <v>38.538325</v>
      </c>
      <c r="O97" s="7"/>
      <c r="P97" s="13"/>
      <c r="Q97" s="14"/>
      <c r="R97" s="14"/>
      <c r="S97" s="27"/>
      <c r="T97" s="28">
        <f t="shared" si="9"/>
        <v>-0.69002709462275935</v>
      </c>
    </row>
    <row r="98" spans="1:20" x14ac:dyDescent="0.25">
      <c r="A98" s="6" t="s">
        <v>10</v>
      </c>
      <c r="B98" s="15">
        <v>8737.8240000000005</v>
      </c>
      <c r="C98" s="16">
        <v>42.733899999999998</v>
      </c>
      <c r="D98" s="16">
        <v>47.451500000000003</v>
      </c>
      <c r="E98" s="16">
        <v>47.508000000000003</v>
      </c>
      <c r="F98" s="16">
        <v>37.369199999999999</v>
      </c>
      <c r="G98" s="16">
        <f t="shared" si="7"/>
        <v>43.920362499999996</v>
      </c>
      <c r="H98" s="5"/>
      <c r="I98" s="15">
        <v>8584.8768</v>
      </c>
      <c r="J98" s="16">
        <v>43.0075</v>
      </c>
      <c r="K98" s="16">
        <v>47.9221</v>
      </c>
      <c r="L98" s="16">
        <v>47.952399999999997</v>
      </c>
      <c r="M98" s="16">
        <v>8.923</v>
      </c>
      <c r="N98" s="16">
        <f t="shared" si="8"/>
        <v>44.239937500000003</v>
      </c>
      <c r="O98" s="7"/>
      <c r="P98" s="8">
        <f>bdrate(B98:B101,C98:C101,I98:I101,J98:J101)</f>
        <v>-4.1498634918968214E-2</v>
      </c>
      <c r="Q98" s="8">
        <f>bdrate(B98:B101,D98:D101,I98:I101,K98:K101)</f>
        <v>-0.11587074047569657</v>
      </c>
      <c r="R98" s="8">
        <f>bdrate(B98:B101,E98:E101,I98:I101,L98:L101)</f>
        <v>-0.1228454167267915</v>
      </c>
      <c r="S98" s="25">
        <f>bdrate(B98:B101,G98:G101,I98:I101,N98:N101)</f>
        <v>-5.360422696980105E-2</v>
      </c>
      <c r="T98" s="28">
        <f t="shared" si="9"/>
        <v>-0.76122047033385776</v>
      </c>
    </row>
    <row r="99" spans="1:20" x14ac:dyDescent="0.25">
      <c r="A99" s="9"/>
      <c r="B99" s="17">
        <v>5312.5104000000001</v>
      </c>
      <c r="C99" s="18">
        <v>39.4741</v>
      </c>
      <c r="D99" s="18">
        <v>45.291200000000003</v>
      </c>
      <c r="E99" s="18">
        <v>45.4908</v>
      </c>
      <c r="F99" s="18">
        <v>41.911099999999998</v>
      </c>
      <c r="G99" s="18">
        <f t="shared" si="7"/>
        <v>40.953325</v>
      </c>
      <c r="H99" s="5"/>
      <c r="I99" s="17">
        <v>5284.3512000000001</v>
      </c>
      <c r="J99" s="18">
        <v>39.747199999999999</v>
      </c>
      <c r="K99" s="18">
        <v>45.892000000000003</v>
      </c>
      <c r="L99" s="18">
        <v>46.094799999999999</v>
      </c>
      <c r="M99" s="18">
        <v>10.491</v>
      </c>
      <c r="N99" s="18">
        <f t="shared" si="8"/>
        <v>41.308750000000003</v>
      </c>
      <c r="O99" s="7"/>
      <c r="P99" s="10"/>
      <c r="Q99" s="11"/>
      <c r="R99" s="11"/>
      <c r="S99" s="26"/>
      <c r="T99" s="28">
        <f t="shared" si="9"/>
        <v>-0.74968445113585658</v>
      </c>
    </row>
    <row r="100" spans="1:20" x14ac:dyDescent="0.25">
      <c r="A100" s="9"/>
      <c r="B100" s="17">
        <v>3250.0920000000001</v>
      </c>
      <c r="C100" s="18">
        <v>36.1843</v>
      </c>
      <c r="D100" s="18">
        <v>43.590699999999998</v>
      </c>
      <c r="E100" s="18">
        <v>43.730200000000004</v>
      </c>
      <c r="F100" s="18">
        <v>44.943800000000003</v>
      </c>
      <c r="G100" s="18">
        <f t="shared" si="7"/>
        <v>38.053337500000005</v>
      </c>
      <c r="H100" s="5"/>
      <c r="I100" s="17">
        <v>3263.2008000000001</v>
      </c>
      <c r="J100" s="18">
        <v>36.436100000000003</v>
      </c>
      <c r="K100" s="18">
        <v>43.955500000000001</v>
      </c>
      <c r="L100" s="18">
        <v>44.1218</v>
      </c>
      <c r="M100" s="18">
        <v>12.1051</v>
      </c>
      <c r="N100" s="18">
        <f t="shared" si="8"/>
        <v>38.336737499999998</v>
      </c>
      <c r="O100" s="7"/>
      <c r="P100" s="10"/>
      <c r="Q100" s="11"/>
      <c r="R100" s="11"/>
      <c r="S100" s="26"/>
      <c r="T100" s="28">
        <f t="shared" si="9"/>
        <v>-0.73066140379763167</v>
      </c>
    </row>
    <row r="101" spans="1:20" ht="16.5" thickBot="1" x14ac:dyDescent="0.3">
      <c r="A101" s="12"/>
      <c r="B101" s="19">
        <v>1915.7736</v>
      </c>
      <c r="C101" s="20">
        <v>32.856000000000002</v>
      </c>
      <c r="D101" s="20">
        <v>42.251899999999999</v>
      </c>
      <c r="E101" s="20">
        <v>42.496299999999998</v>
      </c>
      <c r="F101" s="20">
        <v>52.273899999999998</v>
      </c>
      <c r="G101" s="20">
        <f t="shared" si="7"/>
        <v>35.235525000000003</v>
      </c>
      <c r="H101" s="5"/>
      <c r="I101" s="19">
        <v>1896.1368</v>
      </c>
      <c r="J101" s="20">
        <v>33.044899999999998</v>
      </c>
      <c r="K101" s="20">
        <v>42.309199999999997</v>
      </c>
      <c r="L101" s="20">
        <v>42.586399999999998</v>
      </c>
      <c r="M101" s="20">
        <v>13.5777</v>
      </c>
      <c r="N101" s="20">
        <f t="shared" si="8"/>
        <v>35.395624999999995</v>
      </c>
      <c r="O101" s="7"/>
      <c r="P101" s="13"/>
      <c r="Q101" s="14"/>
      <c r="R101" s="14"/>
      <c r="S101" s="27"/>
      <c r="T101" s="28">
        <f t="shared" si="9"/>
        <v>-0.74025852289574723</v>
      </c>
    </row>
    <row r="102" spans="1:20" x14ac:dyDescent="0.25">
      <c r="A102" s="6" t="s">
        <v>11</v>
      </c>
      <c r="B102" s="15">
        <v>4483.0871999999999</v>
      </c>
      <c r="C102" s="16">
        <v>44.375100000000003</v>
      </c>
      <c r="D102" s="16">
        <v>48.720799999999997</v>
      </c>
      <c r="E102" s="16">
        <v>48.462400000000002</v>
      </c>
      <c r="F102" s="16">
        <v>52.301299999999998</v>
      </c>
      <c r="G102" s="16">
        <f t="shared" si="7"/>
        <v>45.429225000000002</v>
      </c>
      <c r="H102" s="5"/>
      <c r="I102" s="15">
        <v>4361.7983999999997</v>
      </c>
      <c r="J102" s="16">
        <v>44.5182</v>
      </c>
      <c r="K102" s="16">
        <v>49.1937</v>
      </c>
      <c r="L102" s="16">
        <v>48.908200000000001</v>
      </c>
      <c r="M102" s="16">
        <v>12.7113</v>
      </c>
      <c r="N102" s="16">
        <f t="shared" si="8"/>
        <v>45.651387499999998</v>
      </c>
      <c r="O102" s="7"/>
      <c r="P102" s="8">
        <f>bdrate(B102:B105,C102:C105,I102:I105,J102:J105)</f>
        <v>-6.5368065665195596E-2</v>
      </c>
      <c r="Q102" s="8">
        <f>bdrate(B102:B105,D102:D105,I102:I105,K102:K105)</f>
        <v>-0.18554320446952477</v>
      </c>
      <c r="R102" s="8">
        <f>bdrate(B102:B105,E102:E105,I102:I105,L102:L105)</f>
        <v>-0.18613216563665502</v>
      </c>
      <c r="S102" s="25">
        <f>bdrate(B102:B105,G102:G105,I102:I105,N102:N105)</f>
        <v>-8.75308800634228E-2</v>
      </c>
      <c r="T102" s="28">
        <f t="shared" si="9"/>
        <v>-0.75696015204210987</v>
      </c>
    </row>
    <row r="103" spans="1:20" x14ac:dyDescent="0.25">
      <c r="A103" s="9"/>
      <c r="B103" s="17">
        <v>2450.2896000000001</v>
      </c>
      <c r="C103" s="18">
        <v>41.789700000000003</v>
      </c>
      <c r="D103" s="18">
        <v>46.838999999999999</v>
      </c>
      <c r="E103" s="18">
        <v>46.617400000000004</v>
      </c>
      <c r="F103" s="18">
        <v>59.808599999999998</v>
      </c>
      <c r="G103" s="18">
        <f t="shared" si="7"/>
        <v>43.024325000000005</v>
      </c>
      <c r="H103" s="5"/>
      <c r="I103" s="17">
        <v>2373.4560000000001</v>
      </c>
      <c r="J103" s="18">
        <v>41.936500000000002</v>
      </c>
      <c r="K103" s="18">
        <v>47.4</v>
      </c>
      <c r="L103" s="18">
        <v>47.157699999999998</v>
      </c>
      <c r="M103" s="18">
        <v>16.0823</v>
      </c>
      <c r="N103" s="18">
        <f t="shared" si="8"/>
        <v>43.272087499999998</v>
      </c>
      <c r="O103" s="7"/>
      <c r="P103" s="10"/>
      <c r="Q103" s="11"/>
      <c r="R103" s="11"/>
      <c r="S103" s="26"/>
      <c r="T103" s="28">
        <f t="shared" si="9"/>
        <v>-0.73110388806960869</v>
      </c>
    </row>
    <row r="104" spans="1:20" x14ac:dyDescent="0.25">
      <c r="A104" s="9"/>
      <c r="B104" s="17">
        <v>1420.8312000000001</v>
      </c>
      <c r="C104" s="18">
        <v>39.308</v>
      </c>
      <c r="D104" s="18">
        <v>45.192999999999998</v>
      </c>
      <c r="E104" s="18">
        <v>44.962800000000001</v>
      </c>
      <c r="F104" s="18">
        <v>71.839100000000002</v>
      </c>
      <c r="G104" s="18">
        <f t="shared" si="7"/>
        <v>40.750475000000002</v>
      </c>
      <c r="H104" s="5"/>
      <c r="I104" s="17">
        <v>1374.4032</v>
      </c>
      <c r="J104" s="18">
        <v>39.4833</v>
      </c>
      <c r="K104" s="18">
        <v>45.703600000000002</v>
      </c>
      <c r="L104" s="18">
        <v>45.493899999999996</v>
      </c>
      <c r="M104" s="18">
        <v>20.6356</v>
      </c>
      <c r="N104" s="18">
        <f t="shared" si="8"/>
        <v>41.012162500000002</v>
      </c>
      <c r="O104" s="7"/>
      <c r="P104" s="10"/>
      <c r="Q104" s="11"/>
      <c r="R104" s="11"/>
      <c r="S104" s="26"/>
      <c r="T104" s="28">
        <f t="shared" si="9"/>
        <v>-0.7127525261313129</v>
      </c>
    </row>
    <row r="105" spans="1:20" ht="16.5" thickBot="1" x14ac:dyDescent="0.3">
      <c r="A105" s="12"/>
      <c r="B105" s="19">
        <v>860.12400000000002</v>
      </c>
      <c r="C105" s="20">
        <v>36.702599999999997</v>
      </c>
      <c r="D105" s="20">
        <v>43.937199999999997</v>
      </c>
      <c r="E105" s="20">
        <v>43.685899999999997</v>
      </c>
      <c r="F105" s="20">
        <v>81.433199999999999</v>
      </c>
      <c r="G105" s="20">
        <f t="shared" si="7"/>
        <v>38.479837500000002</v>
      </c>
      <c r="H105" s="5"/>
      <c r="I105" s="19">
        <v>828.5376</v>
      </c>
      <c r="J105" s="20">
        <v>36.901499999999999</v>
      </c>
      <c r="K105" s="20">
        <v>44.2502</v>
      </c>
      <c r="L105" s="20">
        <v>44.028799999999997</v>
      </c>
      <c r="M105" s="20">
        <v>25.5885</v>
      </c>
      <c r="N105" s="20">
        <f t="shared" si="8"/>
        <v>38.710999999999999</v>
      </c>
      <c r="O105" s="7"/>
      <c r="P105" s="13"/>
      <c r="Q105" s="14"/>
      <c r="R105" s="14"/>
      <c r="S105" s="27"/>
      <c r="T105" s="28">
        <f t="shared" si="9"/>
        <v>-0.68577312447502992</v>
      </c>
    </row>
    <row r="106" spans="1:20" x14ac:dyDescent="0.25">
      <c r="A106" s="6" t="s">
        <v>8</v>
      </c>
      <c r="B106" s="15">
        <v>14098.113600000001</v>
      </c>
      <c r="C106" s="16">
        <v>40.824300000000001</v>
      </c>
      <c r="D106" s="16">
        <v>43.633600000000001</v>
      </c>
      <c r="E106" s="16">
        <v>44.181600000000003</v>
      </c>
      <c r="F106" s="16">
        <v>91.157700000000006</v>
      </c>
      <c r="G106" s="16">
        <f t="shared" si="7"/>
        <v>41.595125000000003</v>
      </c>
      <c r="H106" s="5"/>
      <c r="I106" s="15">
        <v>13904.0352</v>
      </c>
      <c r="J106" s="16">
        <v>41.311399999999999</v>
      </c>
      <c r="K106" s="16">
        <v>43.83</v>
      </c>
      <c r="L106" s="16">
        <v>44.368400000000001</v>
      </c>
      <c r="M106" s="16">
        <v>20.9161</v>
      </c>
      <c r="N106" s="16">
        <f t="shared" si="8"/>
        <v>42.00835</v>
      </c>
      <c r="O106" s="7"/>
      <c r="P106" s="8">
        <f>bdrate(B106:B109,C106:C109,I106:I109,J106:J109)</f>
        <v>-5.3408406816351617E-2</v>
      </c>
      <c r="Q106" s="8">
        <f>bdrate(B106:B109,D106:D109,I106:I109,K106:K109)</f>
        <v>-6.158623716911682E-2</v>
      </c>
      <c r="R106" s="8">
        <f>bdrate(B106:B109,E106:E109,I106:I109,L106:L109)</f>
        <v>-7.317180161662018E-2</v>
      </c>
      <c r="S106" s="25">
        <f>bdrate(B106:B109,G106:G109,I106:I109,N106:N109)</f>
        <v>-5.5436255468604756E-2</v>
      </c>
      <c r="T106" s="28">
        <f t="shared" si="9"/>
        <v>-0.77055037588706166</v>
      </c>
    </row>
    <row r="107" spans="1:20" x14ac:dyDescent="0.25">
      <c r="A107" s="9"/>
      <c r="B107" s="17">
        <v>9448.2672000000002</v>
      </c>
      <c r="C107" s="18">
        <v>36.618000000000002</v>
      </c>
      <c r="D107" s="18">
        <v>40.788600000000002</v>
      </c>
      <c r="E107" s="18">
        <v>41.404299999999999</v>
      </c>
      <c r="F107" s="18">
        <v>105.48520000000001</v>
      </c>
      <c r="G107" s="18">
        <f t="shared" si="7"/>
        <v>37.737612500000004</v>
      </c>
      <c r="H107" s="5"/>
      <c r="I107" s="17">
        <v>9345.9024000000009</v>
      </c>
      <c r="J107" s="18">
        <v>37.036499999999997</v>
      </c>
      <c r="K107" s="18">
        <v>41.0642</v>
      </c>
      <c r="L107" s="18">
        <v>41.727600000000002</v>
      </c>
      <c r="M107" s="18">
        <v>24.770900000000001</v>
      </c>
      <c r="N107" s="18">
        <f t="shared" si="8"/>
        <v>38.126349999999995</v>
      </c>
      <c r="O107" s="7"/>
      <c r="P107" s="10"/>
      <c r="Q107" s="11"/>
      <c r="R107" s="11"/>
      <c r="S107" s="26"/>
      <c r="T107" s="28">
        <f t="shared" si="9"/>
        <v>-0.76517179661222623</v>
      </c>
    </row>
    <row r="108" spans="1:20" x14ac:dyDescent="0.25">
      <c r="A108" s="9"/>
      <c r="B108" s="17">
        <v>5969.2367999999997</v>
      </c>
      <c r="C108" s="18">
        <v>32.716700000000003</v>
      </c>
      <c r="D108" s="18">
        <v>39.003599999999999</v>
      </c>
      <c r="E108" s="18">
        <v>39.516399999999997</v>
      </c>
      <c r="F108" s="18">
        <v>120.3369</v>
      </c>
      <c r="G108" s="18">
        <f t="shared" si="7"/>
        <v>34.352525</v>
      </c>
      <c r="H108" s="5"/>
      <c r="I108" s="17">
        <v>5927.9471999999996</v>
      </c>
      <c r="J108" s="18">
        <v>33.114899999999999</v>
      </c>
      <c r="K108" s="18">
        <v>39.261299999999999</v>
      </c>
      <c r="L108" s="18">
        <v>39.8688</v>
      </c>
      <c r="M108" s="18">
        <v>30.202400000000001</v>
      </c>
      <c r="N108" s="18">
        <f t="shared" si="8"/>
        <v>34.727437500000001</v>
      </c>
      <c r="O108" s="7"/>
      <c r="P108" s="10"/>
      <c r="Q108" s="11"/>
      <c r="R108" s="11"/>
      <c r="S108" s="26"/>
      <c r="T108" s="28">
        <f t="shared" si="9"/>
        <v>-0.74901796539548549</v>
      </c>
    </row>
    <row r="109" spans="1:20" ht="16.5" thickBot="1" x14ac:dyDescent="0.3">
      <c r="A109" s="12"/>
      <c r="B109" s="19">
        <v>3738.1152000000002</v>
      </c>
      <c r="C109" s="20">
        <v>29.084299999999999</v>
      </c>
      <c r="D109" s="20">
        <v>37.840400000000002</v>
      </c>
      <c r="E109" s="20">
        <v>38.219900000000003</v>
      </c>
      <c r="F109" s="20">
        <v>129.03229999999999</v>
      </c>
      <c r="G109" s="20">
        <f t="shared" si="7"/>
        <v>31.320762500000001</v>
      </c>
      <c r="H109" s="5"/>
      <c r="I109" s="19">
        <v>3731.1071999999999</v>
      </c>
      <c r="J109" s="20">
        <v>29.447500000000002</v>
      </c>
      <c r="K109" s="20">
        <v>37.915100000000002</v>
      </c>
      <c r="L109" s="20">
        <v>38.362299999999998</v>
      </c>
      <c r="M109" s="20">
        <v>35.348199999999999</v>
      </c>
      <c r="N109" s="20">
        <f t="shared" si="8"/>
        <v>31.6203</v>
      </c>
      <c r="O109" s="7"/>
      <c r="P109" s="13"/>
      <c r="Q109" s="14"/>
      <c r="R109" s="14"/>
      <c r="S109" s="27"/>
      <c r="T109" s="28">
        <f t="shared" si="9"/>
        <v>-0.72605153903324982</v>
      </c>
    </row>
    <row r="110" spans="1:20" x14ac:dyDescent="0.25">
      <c r="A110" s="6" t="s">
        <v>12</v>
      </c>
      <c r="B110" s="15">
        <v>5109.2208000000001</v>
      </c>
      <c r="C110" s="16">
        <v>41.830500000000001</v>
      </c>
      <c r="D110" s="16">
        <v>43.193300000000001</v>
      </c>
      <c r="E110" s="16">
        <v>43.664200000000001</v>
      </c>
      <c r="F110" s="16">
        <v>96.339100000000002</v>
      </c>
      <c r="G110" s="16">
        <f t="shared" si="7"/>
        <v>42.230062500000003</v>
      </c>
      <c r="H110" s="5"/>
      <c r="I110" s="15">
        <v>5035.0176000000001</v>
      </c>
      <c r="J110" s="16">
        <v>42.266300000000001</v>
      </c>
      <c r="K110" s="16">
        <v>43.413899999999998</v>
      </c>
      <c r="L110" s="16">
        <v>43.896900000000002</v>
      </c>
      <c r="M110" s="16">
        <v>22.794599999999999</v>
      </c>
      <c r="N110" s="16">
        <f t="shared" si="8"/>
        <v>42.613575000000004</v>
      </c>
      <c r="O110" s="7"/>
      <c r="P110" s="8">
        <f>bdrate(B110:B113,C110:C113,I110:I113,J110:J113)</f>
        <v>-5.068695072368401E-2</v>
      </c>
      <c r="Q110" s="8">
        <f>bdrate(B110:B113,D110:D113,I110:I113,K110:K113)</f>
        <v>-5.8362996041517401E-2</v>
      </c>
      <c r="R110" s="8">
        <f>bdrate(B110:B113,E110:E113,I110:I113,L110:L113)</f>
        <v>-6.1817589516560245E-2</v>
      </c>
      <c r="S110" s="25">
        <f>bdrate(B110:B113,G110:G113,I110:I113,N110:N113)</f>
        <v>-5.2413738200390636E-2</v>
      </c>
      <c r="T110" s="28">
        <f t="shared" si="9"/>
        <v>-0.76339201840166659</v>
      </c>
    </row>
    <row r="111" spans="1:20" x14ac:dyDescent="0.25">
      <c r="A111" s="9"/>
      <c r="B111" s="17">
        <v>3208.74</v>
      </c>
      <c r="C111" s="18">
        <v>37.8384</v>
      </c>
      <c r="D111" s="18">
        <v>39.927999999999997</v>
      </c>
      <c r="E111" s="18">
        <v>40.4621</v>
      </c>
      <c r="F111" s="18">
        <v>111.3586</v>
      </c>
      <c r="G111" s="18">
        <f t="shared" si="7"/>
        <v>38.427562500000001</v>
      </c>
      <c r="H111" s="5"/>
      <c r="I111" s="17">
        <v>3192.6</v>
      </c>
      <c r="J111" s="18">
        <v>38.211199999999998</v>
      </c>
      <c r="K111" s="18">
        <v>40.212400000000002</v>
      </c>
      <c r="L111" s="18">
        <v>40.7746</v>
      </c>
      <c r="M111" s="18">
        <v>27.027000000000001</v>
      </c>
      <c r="N111" s="18">
        <f t="shared" si="8"/>
        <v>38.781775000000003</v>
      </c>
      <c r="O111" s="7"/>
      <c r="P111" s="10"/>
      <c r="Q111" s="11"/>
      <c r="R111" s="11"/>
      <c r="S111" s="26"/>
      <c r="T111" s="28">
        <f t="shared" si="9"/>
        <v>-0.75729759533614827</v>
      </c>
    </row>
    <row r="112" spans="1:20" x14ac:dyDescent="0.25">
      <c r="A112" s="9"/>
      <c r="B112" s="17">
        <v>1858.6895999999999</v>
      </c>
      <c r="C112" s="18">
        <v>34.0291</v>
      </c>
      <c r="D112" s="18">
        <v>37.610799999999998</v>
      </c>
      <c r="E112" s="18">
        <v>37.987299999999998</v>
      </c>
      <c r="F112" s="18">
        <v>125.94459999999999</v>
      </c>
      <c r="G112" s="18">
        <f t="shared" si="7"/>
        <v>34.971587499999998</v>
      </c>
      <c r="H112" s="5"/>
      <c r="I112" s="17">
        <v>1850.2872</v>
      </c>
      <c r="J112" s="18">
        <v>34.286799999999999</v>
      </c>
      <c r="K112" s="18">
        <v>37.844799999999999</v>
      </c>
      <c r="L112" s="18">
        <v>38.243699999999997</v>
      </c>
      <c r="M112" s="18">
        <v>32.862299999999998</v>
      </c>
      <c r="N112" s="18">
        <f t="shared" si="8"/>
        <v>35.226162500000001</v>
      </c>
      <c r="O112" s="7"/>
      <c r="P112" s="10"/>
      <c r="Q112" s="11"/>
      <c r="R112" s="11"/>
      <c r="S112" s="26"/>
      <c r="T112" s="28">
        <f t="shared" si="9"/>
        <v>-0.73907337035490217</v>
      </c>
    </row>
    <row r="113" spans="1:20" ht="16.5" thickBot="1" x14ac:dyDescent="0.3">
      <c r="A113" s="12"/>
      <c r="B113" s="19">
        <v>1006.92</v>
      </c>
      <c r="C113" s="20">
        <v>30.837800000000001</v>
      </c>
      <c r="D113" s="20">
        <v>35.921599999999998</v>
      </c>
      <c r="E113" s="20">
        <v>36.115699999999997</v>
      </c>
      <c r="F113" s="20">
        <v>143.26650000000001</v>
      </c>
      <c r="G113" s="20">
        <f t="shared" si="7"/>
        <v>32.1330125</v>
      </c>
      <c r="H113" s="5"/>
      <c r="I113" s="19">
        <v>988.10400000000004</v>
      </c>
      <c r="J113" s="20">
        <v>31.024799999999999</v>
      </c>
      <c r="K113" s="20">
        <v>36.040900000000001</v>
      </c>
      <c r="L113" s="20">
        <v>36.277799999999999</v>
      </c>
      <c r="M113" s="20">
        <v>39.840600000000002</v>
      </c>
      <c r="N113" s="20">
        <f t="shared" si="8"/>
        <v>32.308437499999997</v>
      </c>
      <c r="O113" s="7"/>
      <c r="P113" s="13"/>
      <c r="Q113" s="14"/>
      <c r="R113" s="14"/>
      <c r="S113" s="27"/>
      <c r="T113" s="28">
        <f t="shared" si="9"/>
        <v>-0.72191265927484793</v>
      </c>
    </row>
    <row r="114" spans="1:20" x14ac:dyDescent="0.25">
      <c r="A114" s="6" t="s">
        <v>13</v>
      </c>
      <c r="B114" s="15">
        <v>3408.4032000000002</v>
      </c>
      <c r="C114" s="16">
        <v>41.932499999999997</v>
      </c>
      <c r="D114" s="16">
        <v>44.8093</v>
      </c>
      <c r="E114" s="16">
        <v>46.9146</v>
      </c>
      <c r="F114" s="16">
        <v>109.0513</v>
      </c>
      <c r="G114" s="16">
        <f t="shared" si="7"/>
        <v>42.914862499999998</v>
      </c>
      <c r="H114" s="5"/>
      <c r="I114" s="15">
        <v>3372.4872</v>
      </c>
      <c r="J114" s="16">
        <v>42.191699999999997</v>
      </c>
      <c r="K114" s="16">
        <v>45.0976</v>
      </c>
      <c r="L114" s="16">
        <v>47.262799999999999</v>
      </c>
      <c r="M114" s="16">
        <v>25.523199999999999</v>
      </c>
      <c r="N114" s="16">
        <f t="shared" si="8"/>
        <v>43.188824999999994</v>
      </c>
      <c r="O114" s="7"/>
      <c r="P114" s="8">
        <f>bdrate(B114:B117,C114:C117,I114:I117,J114:J117)</f>
        <v>-5.0628639347585103E-2</v>
      </c>
      <c r="Q114" s="8">
        <f>bdrate(B114:B117,D114:D117,I114:I117,K114:K117)</f>
        <v>-7.5066942119341395E-2</v>
      </c>
      <c r="R114" s="8">
        <f>bdrate(B114:B117,E114:E117,I114:I117,L114:L117)</f>
        <v>-0.13234499003257327</v>
      </c>
      <c r="S114" s="25">
        <f>bdrate(B114:B117,G114:G117,I114:I117,N114:N117)</f>
        <v>-6.069277094677783E-2</v>
      </c>
      <c r="T114" s="28">
        <f t="shared" si="9"/>
        <v>-0.76595235453405874</v>
      </c>
    </row>
    <row r="115" spans="1:20" x14ac:dyDescent="0.25">
      <c r="A115" s="9"/>
      <c r="B115" s="17">
        <v>1928.82</v>
      </c>
      <c r="C115" s="18">
        <v>38.494399999999999</v>
      </c>
      <c r="D115" s="18">
        <v>41.947600000000001</v>
      </c>
      <c r="E115" s="18">
        <v>44.116799999999998</v>
      </c>
      <c r="F115" s="18">
        <v>126.7427</v>
      </c>
      <c r="G115" s="18">
        <f t="shared" si="7"/>
        <v>39.62885</v>
      </c>
      <c r="H115" s="5"/>
      <c r="I115" s="17">
        <v>1915.1472000000001</v>
      </c>
      <c r="J115" s="18">
        <v>38.739899999999999</v>
      </c>
      <c r="K115" s="18">
        <v>42.250599999999999</v>
      </c>
      <c r="L115" s="18">
        <v>44.635599999999997</v>
      </c>
      <c r="M115" s="18">
        <v>31.496099999999998</v>
      </c>
      <c r="N115" s="18">
        <f t="shared" si="8"/>
        <v>39.915700000000001</v>
      </c>
      <c r="O115" s="7"/>
      <c r="P115" s="10"/>
      <c r="Q115" s="11"/>
      <c r="R115" s="11"/>
      <c r="S115" s="26"/>
      <c r="T115" s="28">
        <f t="shared" si="9"/>
        <v>-0.75149574689508747</v>
      </c>
    </row>
    <row r="116" spans="1:20" x14ac:dyDescent="0.25">
      <c r="A116" s="9"/>
      <c r="B116" s="17">
        <v>1059.2639999999999</v>
      </c>
      <c r="C116" s="18">
        <v>35.393300000000004</v>
      </c>
      <c r="D116" s="18">
        <v>40.089700000000001</v>
      </c>
      <c r="E116" s="18">
        <v>41.901000000000003</v>
      </c>
      <c r="F116" s="18">
        <v>141.0437</v>
      </c>
      <c r="G116" s="18">
        <f t="shared" si="7"/>
        <v>36.793812500000001</v>
      </c>
      <c r="H116" s="5"/>
      <c r="I116" s="17">
        <v>1051.2575999999999</v>
      </c>
      <c r="J116" s="18">
        <v>35.615600000000001</v>
      </c>
      <c r="K116" s="18">
        <v>40.310600000000001</v>
      </c>
      <c r="L116" s="18">
        <v>42.456499999999998</v>
      </c>
      <c r="M116" s="18">
        <v>37.7074</v>
      </c>
      <c r="N116" s="18">
        <f t="shared" si="8"/>
        <v>37.057587499999997</v>
      </c>
      <c r="O116" s="7"/>
      <c r="P116" s="10"/>
      <c r="Q116" s="11"/>
      <c r="R116" s="11"/>
      <c r="S116" s="26"/>
      <c r="T116" s="28">
        <f t="shared" si="9"/>
        <v>-0.73265448935329969</v>
      </c>
    </row>
    <row r="117" spans="1:20" ht="16.5" thickBot="1" x14ac:dyDescent="0.3">
      <c r="A117" s="12"/>
      <c r="B117" s="19">
        <v>593.11199999999997</v>
      </c>
      <c r="C117" s="20">
        <v>32.535800000000002</v>
      </c>
      <c r="D117" s="20">
        <v>38.878100000000003</v>
      </c>
      <c r="E117" s="20">
        <v>40.4739</v>
      </c>
      <c r="F117" s="20">
        <v>153.60980000000001</v>
      </c>
      <c r="G117" s="20">
        <f t="shared" si="7"/>
        <v>34.320850000000007</v>
      </c>
      <c r="H117" s="5"/>
      <c r="I117" s="19">
        <v>584.38559999999995</v>
      </c>
      <c r="J117" s="20">
        <v>32.740900000000003</v>
      </c>
      <c r="K117" s="20">
        <v>38.908499999999997</v>
      </c>
      <c r="L117" s="20">
        <v>40.795400000000001</v>
      </c>
      <c r="M117" s="20">
        <v>43.7254</v>
      </c>
      <c r="N117" s="20">
        <f t="shared" si="8"/>
        <v>34.518662500000005</v>
      </c>
      <c r="O117" s="7"/>
      <c r="P117" s="13"/>
      <c r="Q117" s="14"/>
      <c r="R117" s="14"/>
      <c r="S117" s="27"/>
      <c r="T117" s="28">
        <f t="shared" si="9"/>
        <v>-0.71534758850021285</v>
      </c>
    </row>
    <row r="118" spans="1:20" x14ac:dyDescent="0.25">
      <c r="A118" s="6" t="s">
        <v>14</v>
      </c>
      <c r="B118" s="15">
        <v>9504.0311999999994</v>
      </c>
      <c r="C118" s="16">
        <v>40.881100000000004</v>
      </c>
      <c r="D118" s="16">
        <v>41.889200000000002</v>
      </c>
      <c r="E118" s="16">
        <v>41.829099999999997</v>
      </c>
      <c r="F118" s="16">
        <v>78.864400000000003</v>
      </c>
      <c r="G118" s="16">
        <f t="shared" si="7"/>
        <v>41.125612500000003</v>
      </c>
      <c r="H118" s="5"/>
      <c r="I118" s="15">
        <v>9355.7687999999998</v>
      </c>
      <c r="J118" s="16">
        <v>41.402099999999997</v>
      </c>
      <c r="K118" s="16">
        <v>42.094799999999999</v>
      </c>
      <c r="L118" s="16">
        <v>42.050699999999999</v>
      </c>
      <c r="M118" s="16">
        <v>18.185099999999998</v>
      </c>
      <c r="N118" s="16">
        <f t="shared" si="8"/>
        <v>41.569762500000003</v>
      </c>
      <c r="O118" s="7"/>
      <c r="P118" s="8">
        <f>bdrate(B118:B121,C118:C121,I118:I121,J118:J121)</f>
        <v>-4.9349036421885706E-2</v>
      </c>
      <c r="Q118" s="8">
        <f>bdrate(B118:B121,D118:D121,I118:I121,K118:K121)</f>
        <v>-3.2265293628032543E-2</v>
      </c>
      <c r="R118" s="8">
        <f>bdrate(B118:B121,E118:E121,I118:I121,L118:L121)</f>
        <v>-3.394806982946641E-2</v>
      </c>
      <c r="S118" s="25">
        <f>bdrate(B118:B121,G118:G121,I118:I121,N118:N121)</f>
        <v>-4.6400052510181089E-2</v>
      </c>
      <c r="T118" s="28">
        <f t="shared" si="9"/>
        <v>-0.76941306850746349</v>
      </c>
    </row>
    <row r="119" spans="1:20" x14ac:dyDescent="0.25">
      <c r="A119" s="9"/>
      <c r="B119" s="17">
        <v>6732.4656000000004</v>
      </c>
      <c r="C119" s="18">
        <v>36.442700000000002</v>
      </c>
      <c r="D119" s="18">
        <v>38.242400000000004</v>
      </c>
      <c r="E119" s="18">
        <v>38.0411</v>
      </c>
      <c r="F119" s="18">
        <v>88.417299999999997</v>
      </c>
      <c r="G119" s="18">
        <f t="shared" si="7"/>
        <v>36.867462500000002</v>
      </c>
      <c r="H119" s="5"/>
      <c r="I119" s="17">
        <v>6651.4607999999998</v>
      </c>
      <c r="J119" s="18">
        <v>36.923900000000003</v>
      </c>
      <c r="K119" s="18">
        <v>38.448099999999997</v>
      </c>
      <c r="L119" s="18">
        <v>38.262599999999999</v>
      </c>
      <c r="M119" s="18">
        <v>20.399799999999999</v>
      </c>
      <c r="N119" s="18">
        <f t="shared" si="8"/>
        <v>37.281762500000006</v>
      </c>
      <c r="O119" s="7"/>
      <c r="P119" s="10"/>
      <c r="Q119" s="11"/>
      <c r="R119" s="11"/>
      <c r="S119" s="26"/>
      <c r="T119" s="28">
        <f t="shared" si="9"/>
        <v>-0.7692781842467481</v>
      </c>
    </row>
    <row r="120" spans="1:20" x14ac:dyDescent="0.25">
      <c r="A120" s="9"/>
      <c r="B120" s="17">
        <v>4544.3639999999996</v>
      </c>
      <c r="C120" s="18">
        <v>32.104700000000001</v>
      </c>
      <c r="D120" s="18">
        <v>35.560099999999998</v>
      </c>
      <c r="E120" s="18">
        <v>35.215299999999999</v>
      </c>
      <c r="F120" s="18">
        <v>100</v>
      </c>
      <c r="G120" s="18">
        <f t="shared" si="7"/>
        <v>32.925449999999998</v>
      </c>
      <c r="H120" s="5"/>
      <c r="I120" s="17">
        <v>4502.2896000000001</v>
      </c>
      <c r="J120" s="18">
        <v>32.517899999999997</v>
      </c>
      <c r="K120" s="18">
        <v>35.682600000000001</v>
      </c>
      <c r="L120" s="18">
        <v>35.362400000000001</v>
      </c>
      <c r="M120" s="18">
        <v>23.463200000000001</v>
      </c>
      <c r="N120" s="18">
        <f t="shared" si="8"/>
        <v>33.26905</v>
      </c>
      <c r="O120" s="7"/>
      <c r="P120" s="10"/>
      <c r="Q120" s="11"/>
      <c r="R120" s="11"/>
      <c r="S120" s="26"/>
      <c r="T120" s="28">
        <f t="shared" si="9"/>
        <v>-0.76536800000000005</v>
      </c>
    </row>
    <row r="121" spans="1:20" ht="16.5" thickBot="1" x14ac:dyDescent="0.3">
      <c r="A121" s="12"/>
      <c r="B121" s="19">
        <v>2916.5880000000002</v>
      </c>
      <c r="C121" s="20">
        <v>28.0779</v>
      </c>
      <c r="D121" s="20">
        <v>33.514200000000002</v>
      </c>
      <c r="E121" s="20">
        <v>33.044800000000002</v>
      </c>
      <c r="F121" s="20">
        <v>113.5074</v>
      </c>
      <c r="G121" s="20">
        <f t="shared" si="7"/>
        <v>29.378300000000003</v>
      </c>
      <c r="H121" s="5"/>
      <c r="I121" s="19">
        <v>2896.404</v>
      </c>
      <c r="J121" s="20">
        <v>28.400099999999998</v>
      </c>
      <c r="K121" s="20">
        <v>33.574599999999997</v>
      </c>
      <c r="L121" s="20">
        <v>33.130699999999997</v>
      </c>
      <c r="M121" s="20">
        <v>27.909600000000001</v>
      </c>
      <c r="N121" s="20">
        <f t="shared" si="8"/>
        <v>29.638237499999999</v>
      </c>
      <c r="O121" s="7"/>
      <c r="P121" s="13"/>
      <c r="Q121" s="14"/>
      <c r="R121" s="14"/>
      <c r="S121" s="27"/>
      <c r="T121" s="28">
        <f t="shared" si="9"/>
        <v>-0.7541164717014045</v>
      </c>
    </row>
    <row r="122" spans="1:20" x14ac:dyDescent="0.25">
      <c r="A122" s="6" t="s">
        <v>15</v>
      </c>
      <c r="B122" s="15">
        <v>23959.5494</v>
      </c>
      <c r="C122" s="16">
        <v>43.0045</v>
      </c>
      <c r="D122" s="16">
        <v>44.4923</v>
      </c>
      <c r="E122" s="16">
        <v>46.183300000000003</v>
      </c>
      <c r="F122" s="16">
        <v>8.2720000000000002</v>
      </c>
      <c r="G122" s="16">
        <f t="shared" si="7"/>
        <v>43.587824999999995</v>
      </c>
      <c r="H122" s="5"/>
      <c r="I122" s="15">
        <v>22516.560000000001</v>
      </c>
      <c r="J122" s="16">
        <v>43.099800000000002</v>
      </c>
      <c r="K122" s="16">
        <v>44.730400000000003</v>
      </c>
      <c r="L122" s="16">
        <v>46.476399999999998</v>
      </c>
      <c r="M122" s="16">
        <v>2.2841</v>
      </c>
      <c r="N122" s="16">
        <f t="shared" si="8"/>
        <v>43.725700000000003</v>
      </c>
      <c r="O122" s="7"/>
      <c r="P122" s="8">
        <f>bdrate(B122:B125,C122:C125,I122:I125,J122:J125)</f>
        <v>-9.5094176654042184E-2</v>
      </c>
      <c r="Q122" s="8">
        <f>bdrate(B122:B125,D122:D125,I122:I125,K122:K125)</f>
        <v>-0.13740266539680579</v>
      </c>
      <c r="R122" s="8">
        <f>bdrate(B122:B125,E122:E125,I122:I125,L122:L125)</f>
        <v>-0.13782161422542982</v>
      </c>
      <c r="S122" s="25">
        <f>bdrate(B122:B125,G122:G125,I122:I125,N122:N125)</f>
        <v>-0.10419667699174151</v>
      </c>
      <c r="T122" s="28">
        <f t="shared" si="9"/>
        <v>-0.7238757253384912</v>
      </c>
    </row>
    <row r="123" spans="1:20" x14ac:dyDescent="0.25">
      <c r="A123" s="9"/>
      <c r="B123" s="17">
        <v>12122.6093</v>
      </c>
      <c r="C123" s="18">
        <v>41.508499999999998</v>
      </c>
      <c r="D123" s="18">
        <v>42.689300000000003</v>
      </c>
      <c r="E123" s="18">
        <v>44.059399999999997</v>
      </c>
      <c r="F123" s="18">
        <v>10.48</v>
      </c>
      <c r="G123" s="18">
        <f t="shared" si="7"/>
        <v>41.974962499999997</v>
      </c>
      <c r="H123" s="5"/>
      <c r="I123" s="17">
        <v>11477.4413</v>
      </c>
      <c r="J123" s="18">
        <v>41.663400000000003</v>
      </c>
      <c r="K123" s="18">
        <v>42.961599999999997</v>
      </c>
      <c r="L123" s="18">
        <v>44.356499999999997</v>
      </c>
      <c r="M123" s="18">
        <v>4.258</v>
      </c>
      <c r="N123" s="18">
        <f t="shared" si="8"/>
        <v>42.162312499999999</v>
      </c>
      <c r="O123" s="7"/>
      <c r="P123" s="10"/>
      <c r="Q123" s="11"/>
      <c r="R123" s="11"/>
      <c r="S123" s="26"/>
      <c r="T123" s="28">
        <f t="shared" si="9"/>
        <v>-0.5937022900763359</v>
      </c>
    </row>
    <row r="124" spans="1:20" x14ac:dyDescent="0.25">
      <c r="A124" s="9"/>
      <c r="B124" s="17">
        <v>7071.4022000000004</v>
      </c>
      <c r="C124" s="18">
        <v>39.602400000000003</v>
      </c>
      <c r="D124" s="18">
        <v>41.216500000000003</v>
      </c>
      <c r="E124" s="18">
        <v>42.473799999999997</v>
      </c>
      <c r="F124" s="18">
        <v>14.3225</v>
      </c>
      <c r="G124" s="18">
        <f t="shared" si="7"/>
        <v>40.163087500000003</v>
      </c>
      <c r="H124" s="5"/>
      <c r="I124" s="17">
        <v>6769.4841999999999</v>
      </c>
      <c r="J124" s="18">
        <v>39.806699999999999</v>
      </c>
      <c r="K124" s="18">
        <v>41.472799999999999</v>
      </c>
      <c r="L124" s="18">
        <v>42.730600000000003</v>
      </c>
      <c r="M124" s="18">
        <v>4.7446999999999999</v>
      </c>
      <c r="N124" s="18">
        <f t="shared" si="8"/>
        <v>40.380449999999996</v>
      </c>
      <c r="O124" s="7"/>
      <c r="P124" s="10"/>
      <c r="Q124" s="11"/>
      <c r="R124" s="11"/>
      <c r="S124" s="26"/>
      <c r="T124" s="28">
        <f t="shared" si="9"/>
        <v>-0.66872403560830862</v>
      </c>
    </row>
    <row r="125" spans="1:20" ht="16.5" thickBot="1" x14ac:dyDescent="0.3">
      <c r="A125" s="12"/>
      <c r="B125" s="19">
        <v>4200.5914000000002</v>
      </c>
      <c r="C125" s="20">
        <v>37.194400000000002</v>
      </c>
      <c r="D125" s="20">
        <v>40.128799999999998</v>
      </c>
      <c r="E125" s="20">
        <v>41.475499999999997</v>
      </c>
      <c r="F125" s="20">
        <v>15.1012</v>
      </c>
      <c r="G125" s="20">
        <f t="shared" si="7"/>
        <v>38.096337500000004</v>
      </c>
      <c r="H125" s="5"/>
      <c r="I125" s="19">
        <v>4043.8213999999998</v>
      </c>
      <c r="J125" s="20">
        <v>37.443899999999999</v>
      </c>
      <c r="K125" s="20">
        <v>40.2684</v>
      </c>
      <c r="L125" s="20">
        <v>41.623800000000003</v>
      </c>
      <c r="M125" s="20">
        <v>5.1454000000000004</v>
      </c>
      <c r="N125" s="20">
        <f t="shared" si="8"/>
        <v>38.319450000000003</v>
      </c>
      <c r="O125" s="7"/>
      <c r="P125" s="13"/>
      <c r="Q125" s="14"/>
      <c r="R125" s="14"/>
      <c r="S125" s="27"/>
      <c r="T125" s="28">
        <f t="shared" si="9"/>
        <v>-0.65927211082562975</v>
      </c>
    </row>
    <row r="126" spans="1:20" x14ac:dyDescent="0.25">
      <c r="A126" s="6" t="s">
        <v>16</v>
      </c>
      <c r="B126" s="15">
        <v>80996.547999999995</v>
      </c>
      <c r="C126" s="16">
        <v>41.360700000000001</v>
      </c>
      <c r="D126" s="16">
        <v>44.602400000000003</v>
      </c>
      <c r="E126" s="16">
        <v>46.107700000000001</v>
      </c>
      <c r="F126" s="16">
        <v>6.2255000000000003</v>
      </c>
      <c r="G126" s="16">
        <f t="shared" si="7"/>
        <v>42.359287500000001</v>
      </c>
      <c r="H126" s="5"/>
      <c r="I126" s="15">
        <v>83526.576000000001</v>
      </c>
      <c r="J126" s="16">
        <v>41.462200000000003</v>
      </c>
      <c r="K126" s="16">
        <v>44.700099999999999</v>
      </c>
      <c r="L126" s="16">
        <v>46.2117</v>
      </c>
      <c r="M126" s="16">
        <v>1.3355999999999999</v>
      </c>
      <c r="N126" s="16">
        <f t="shared" si="8"/>
        <v>42.460625000000007</v>
      </c>
      <c r="O126" s="7"/>
      <c r="P126" s="8">
        <f>bdrate(B126:B129,C126:C129,I126:I129,J126:J129)</f>
        <v>-4.2919385138001753E-2</v>
      </c>
      <c r="Q126" s="8">
        <f>bdrate(B126:B129,D126:D129,I126:I129,K126:K129)</f>
        <v>-0.10036752044847008</v>
      </c>
      <c r="R126" s="8">
        <f>bdrate(B126:B129,E126:E129,I126:I129,L126:L129)</f>
        <v>-9.9478027297854821E-2</v>
      </c>
      <c r="S126" s="25">
        <f>bdrate(B126:B129,G126:G129,I126:I129,N126:N129)</f>
        <v>-5.5386572551751501E-2</v>
      </c>
      <c r="T126" s="28">
        <f t="shared" si="9"/>
        <v>-0.78546301501887406</v>
      </c>
    </row>
    <row r="127" spans="1:20" x14ac:dyDescent="0.25">
      <c r="A127" s="9"/>
      <c r="B127" s="17">
        <v>32619.851999999999</v>
      </c>
      <c r="C127" s="18">
        <v>38.971200000000003</v>
      </c>
      <c r="D127" s="18">
        <v>43.126199999999997</v>
      </c>
      <c r="E127" s="18">
        <v>43.971699999999998</v>
      </c>
      <c r="F127" s="18">
        <v>8.0431000000000008</v>
      </c>
      <c r="G127" s="18">
        <f t="shared" si="7"/>
        <v>40.115637499999998</v>
      </c>
      <c r="H127" s="5"/>
      <c r="I127" s="17">
        <v>32163.984</v>
      </c>
      <c r="J127" s="18">
        <v>39.0443</v>
      </c>
      <c r="K127" s="18">
        <v>43.314599999999999</v>
      </c>
      <c r="L127" s="18">
        <v>44.243499999999997</v>
      </c>
      <c r="M127" s="18">
        <v>2.1040000000000001</v>
      </c>
      <c r="N127" s="18">
        <f t="shared" si="8"/>
        <v>40.227987499999998</v>
      </c>
      <c r="O127" s="7"/>
      <c r="P127" s="10"/>
      <c r="Q127" s="11"/>
      <c r="R127" s="11"/>
      <c r="S127" s="26"/>
      <c r="T127" s="28">
        <f t="shared" si="9"/>
        <v>-0.73840931978963331</v>
      </c>
    </row>
    <row r="128" spans="1:20" x14ac:dyDescent="0.25">
      <c r="A128" s="9"/>
      <c r="B128" s="17">
        <v>16374.316000000001</v>
      </c>
      <c r="C128" s="18">
        <v>37.214199999999998</v>
      </c>
      <c r="D128" s="18">
        <v>41.732399999999998</v>
      </c>
      <c r="E128" s="18">
        <v>42.044800000000002</v>
      </c>
      <c r="F128" s="18">
        <v>9.1198999999999995</v>
      </c>
      <c r="G128" s="18">
        <f t="shared" si="7"/>
        <v>38.382799999999996</v>
      </c>
      <c r="H128" s="5"/>
      <c r="I128" s="17">
        <v>15985.72</v>
      </c>
      <c r="J128" s="18">
        <v>37.307299999999998</v>
      </c>
      <c r="K128" s="18">
        <v>41.933700000000002</v>
      </c>
      <c r="L128" s="18">
        <v>42.314700000000002</v>
      </c>
      <c r="M128" s="18">
        <v>2.6227999999999998</v>
      </c>
      <c r="N128" s="18">
        <f t="shared" si="8"/>
        <v>38.511524999999999</v>
      </c>
      <c r="O128" s="7"/>
      <c r="P128" s="10"/>
      <c r="Q128" s="11"/>
      <c r="R128" s="11"/>
      <c r="S128" s="26"/>
      <c r="T128" s="28">
        <f t="shared" si="9"/>
        <v>-0.71240912729306238</v>
      </c>
    </row>
    <row r="129" spans="1:20" ht="16.5" thickBot="1" x14ac:dyDescent="0.3">
      <c r="A129" s="12"/>
      <c r="B129" s="19">
        <v>9307.3799999999992</v>
      </c>
      <c r="C129" s="20">
        <v>35.296199999999999</v>
      </c>
      <c r="D129" s="20">
        <v>40.536799999999999</v>
      </c>
      <c r="E129" s="20">
        <v>40.478700000000003</v>
      </c>
      <c r="F129" s="20">
        <v>9.6320999999999994</v>
      </c>
      <c r="G129" s="20">
        <f t="shared" si="7"/>
        <v>36.599087499999996</v>
      </c>
      <c r="H129" s="5"/>
      <c r="I129" s="19">
        <v>9027.7000000000007</v>
      </c>
      <c r="J129" s="20">
        <v>35.402900000000002</v>
      </c>
      <c r="K129" s="20">
        <v>40.643500000000003</v>
      </c>
      <c r="L129" s="20">
        <v>40.6464</v>
      </c>
      <c r="M129" s="20">
        <v>2.9866000000000001</v>
      </c>
      <c r="N129" s="20">
        <f t="shared" si="8"/>
        <v>36.713412500000004</v>
      </c>
      <c r="O129" s="7"/>
      <c r="P129" s="13"/>
      <c r="Q129" s="14"/>
      <c r="R129" s="14"/>
      <c r="S129" s="27"/>
      <c r="T129" s="28">
        <f t="shared" si="9"/>
        <v>-0.68993262113142506</v>
      </c>
    </row>
    <row r="130" spans="1:20" x14ac:dyDescent="0.25">
      <c r="A130" s="6" t="s">
        <v>17</v>
      </c>
      <c r="B130" s="15">
        <v>5328.59</v>
      </c>
      <c r="C130" s="16">
        <v>45.556399999999996</v>
      </c>
      <c r="D130" s="16">
        <v>48.491</v>
      </c>
      <c r="E130" s="16">
        <v>48.268300000000004</v>
      </c>
      <c r="F130" s="16">
        <v>38.417200000000001</v>
      </c>
      <c r="G130" s="16">
        <f t="shared" si="7"/>
        <v>46.262212499999997</v>
      </c>
      <c r="H130" s="5"/>
      <c r="I130" s="15">
        <v>5206.84</v>
      </c>
      <c r="J130" s="16">
        <v>45.866</v>
      </c>
      <c r="K130" s="16">
        <v>48.840600000000002</v>
      </c>
      <c r="L130" s="16">
        <v>48.631900000000002</v>
      </c>
      <c r="M130" s="16">
        <v>9.7058999999999997</v>
      </c>
      <c r="N130" s="16">
        <f t="shared" si="8"/>
        <v>46.583562499999999</v>
      </c>
      <c r="O130" s="7"/>
      <c r="P130" s="8">
        <f>bdrate(B130:B133,C130:C133,I130:I133,J130:J133)</f>
        <v>-5.449564369917359E-2</v>
      </c>
      <c r="Q130" s="8">
        <f>bdrate(B130:B133,D130:D133,I130:I133,K130:K133)</f>
        <v>-9.6786405046239921E-2</v>
      </c>
      <c r="R130" s="8">
        <f>bdrate(B130:B133,E130:E133,I130:I133,L130:L133)</f>
        <v>-0.10512542546924286</v>
      </c>
      <c r="S130" s="25">
        <f>bdrate(B130:B133,G130:G133,I130:I133,N130:N133)</f>
        <v>-6.1888040421957058E-2</v>
      </c>
      <c r="T130" s="28">
        <f t="shared" si="9"/>
        <v>-0.74735535124891972</v>
      </c>
    </row>
    <row r="131" spans="1:20" x14ac:dyDescent="0.25">
      <c r="A131" s="9"/>
      <c r="B131" s="17">
        <v>3303.096</v>
      </c>
      <c r="C131" s="18">
        <v>42.170299999999997</v>
      </c>
      <c r="D131" s="18">
        <v>46.253700000000002</v>
      </c>
      <c r="E131" s="18">
        <v>46.153399999999998</v>
      </c>
      <c r="F131" s="18">
        <v>44.484000000000002</v>
      </c>
      <c r="G131" s="18">
        <f t="shared" si="7"/>
        <v>43.178612499999993</v>
      </c>
      <c r="H131" s="5"/>
      <c r="I131" s="17">
        <v>3257.9740000000002</v>
      </c>
      <c r="J131" s="18">
        <v>42.469200000000001</v>
      </c>
      <c r="K131" s="18">
        <v>46.6661</v>
      </c>
      <c r="L131" s="18">
        <v>46.595999999999997</v>
      </c>
      <c r="M131" s="18">
        <v>11.5861</v>
      </c>
      <c r="N131" s="18">
        <f t="shared" si="8"/>
        <v>43.509662500000005</v>
      </c>
      <c r="O131" s="7"/>
      <c r="P131" s="10"/>
      <c r="Q131" s="11"/>
      <c r="R131" s="11"/>
      <c r="S131" s="26"/>
      <c r="T131" s="28">
        <f t="shared" si="9"/>
        <v>-0.73954455534574226</v>
      </c>
    </row>
    <row r="132" spans="1:20" x14ac:dyDescent="0.25">
      <c r="A132" s="9"/>
      <c r="B132" s="17">
        <v>1977.6959999999999</v>
      </c>
      <c r="C132" s="18">
        <v>38.782200000000003</v>
      </c>
      <c r="D132" s="18">
        <v>44.384300000000003</v>
      </c>
      <c r="E132" s="18">
        <v>44.306100000000001</v>
      </c>
      <c r="F132" s="18">
        <v>51.177100000000003</v>
      </c>
      <c r="G132" s="18">
        <f t="shared" si="7"/>
        <v>40.172950000000007</v>
      </c>
      <c r="H132" s="5"/>
      <c r="I132" s="17">
        <v>1952.654</v>
      </c>
      <c r="J132" s="18">
        <v>39.034799999999997</v>
      </c>
      <c r="K132" s="18">
        <v>44.6783</v>
      </c>
      <c r="L132" s="18">
        <v>44.651400000000002</v>
      </c>
      <c r="M132" s="18">
        <v>14.353400000000001</v>
      </c>
      <c r="N132" s="18">
        <f t="shared" si="8"/>
        <v>40.4423125</v>
      </c>
      <c r="O132" s="7"/>
      <c r="P132" s="10"/>
      <c r="Q132" s="11"/>
      <c r="R132" s="11"/>
      <c r="S132" s="26"/>
      <c r="T132" s="28">
        <f t="shared" si="9"/>
        <v>-0.7195347137684629</v>
      </c>
    </row>
    <row r="133" spans="1:20" ht="16.5" thickBot="1" x14ac:dyDescent="0.3">
      <c r="A133" s="12"/>
      <c r="B133" s="19">
        <v>1142.2159999999999</v>
      </c>
      <c r="C133" s="20">
        <v>35.561300000000003</v>
      </c>
      <c r="D133" s="20">
        <v>42.966999999999999</v>
      </c>
      <c r="E133" s="20">
        <v>42.853000000000002</v>
      </c>
      <c r="F133" s="20">
        <v>57.208199999999998</v>
      </c>
      <c r="G133" s="20">
        <f t="shared" si="7"/>
        <v>37.398475000000005</v>
      </c>
      <c r="H133" s="5"/>
      <c r="I133" s="19">
        <v>1122.1279999999999</v>
      </c>
      <c r="J133" s="20">
        <v>35.7639</v>
      </c>
      <c r="K133" s="20">
        <v>43.062800000000003</v>
      </c>
      <c r="L133" s="20">
        <v>42.926900000000003</v>
      </c>
      <c r="M133" s="20">
        <v>17.8444</v>
      </c>
      <c r="N133" s="20">
        <f t="shared" si="8"/>
        <v>37.571637499999994</v>
      </c>
      <c r="O133" s="7"/>
      <c r="P133" s="13"/>
      <c r="Q133" s="14"/>
      <c r="R133" s="14"/>
      <c r="S133" s="27"/>
      <c r="T133" s="28">
        <f t="shared" si="9"/>
        <v>-0.68807968088490812</v>
      </c>
    </row>
    <row r="134" spans="1:20" ht="16.5" thickBot="1" x14ac:dyDescent="0.3">
      <c r="A134" s="22" t="s">
        <v>22</v>
      </c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1">
        <f>AVERAGE(P94:P133)</f>
        <v>-5.7190233505864184E-2</v>
      </c>
      <c r="Q134" s="21">
        <f t="shared" ref="Q134:S134" si="10">AVERAGE(Q94:Q133)</f>
        <v>-9.8461858232355773E-2</v>
      </c>
      <c r="R134" s="21">
        <f t="shared" si="10"/>
        <v>-0.10874732192406544</v>
      </c>
      <c r="S134" s="21">
        <f t="shared" si="10"/>
        <v>-6.583288867316614E-2</v>
      </c>
      <c r="T134" s="21">
        <f>AVERAGE(T94:T133)</f>
        <v>-0.73221610079398769</v>
      </c>
    </row>
    <row r="135" spans="1:20" ht="16.5" thickBot="1" x14ac:dyDescent="0.3"/>
    <row r="136" spans="1:20" ht="16.5" thickBot="1" x14ac:dyDescent="0.3">
      <c r="B136" s="50" t="s">
        <v>24</v>
      </c>
      <c r="C136" s="51"/>
      <c r="D136" s="51"/>
      <c r="E136" s="51"/>
      <c r="F136" s="51"/>
      <c r="G136" s="51"/>
      <c r="H136" s="5"/>
      <c r="I136" s="50" t="s">
        <v>28</v>
      </c>
      <c r="J136" s="51"/>
      <c r="K136" s="51"/>
      <c r="L136" s="51"/>
      <c r="M136" s="51"/>
      <c r="N136" s="51"/>
      <c r="P136" s="50" t="s">
        <v>7</v>
      </c>
      <c r="Q136" s="51"/>
      <c r="R136" s="52"/>
      <c r="S136" s="23"/>
      <c r="T136" t="s">
        <v>18</v>
      </c>
    </row>
    <row r="137" spans="1:20" ht="16.5" thickBot="1" x14ac:dyDescent="0.3">
      <c r="B137" s="2" t="s">
        <v>0</v>
      </c>
      <c r="C137" s="3" t="s">
        <v>1</v>
      </c>
      <c r="D137" s="3" t="s">
        <v>2</v>
      </c>
      <c r="E137" s="3" t="s">
        <v>3</v>
      </c>
      <c r="F137" s="3" t="s">
        <v>19</v>
      </c>
      <c r="G137" s="3" t="s">
        <v>20</v>
      </c>
      <c r="H137" s="1"/>
      <c r="I137" s="2" t="s">
        <v>0</v>
      </c>
      <c r="J137" s="3" t="s">
        <v>1</v>
      </c>
      <c r="K137" s="3" t="s">
        <v>2</v>
      </c>
      <c r="L137" s="3" t="s">
        <v>3</v>
      </c>
      <c r="M137" s="3" t="s">
        <v>19</v>
      </c>
      <c r="N137" s="3" t="s">
        <v>20</v>
      </c>
      <c r="P137" s="2" t="s">
        <v>4</v>
      </c>
      <c r="Q137" s="3" t="s">
        <v>5</v>
      </c>
      <c r="R137" s="4" t="s">
        <v>6</v>
      </c>
      <c r="S137" s="24" t="s">
        <v>21</v>
      </c>
    </row>
    <row r="138" spans="1:20" x14ac:dyDescent="0.25">
      <c r="A138" s="6" t="s">
        <v>9</v>
      </c>
      <c r="B138" s="15">
        <v>24060.263999999999</v>
      </c>
      <c r="C138" s="16">
        <v>44.000399999999999</v>
      </c>
      <c r="D138" s="16">
        <v>47.902299999999997</v>
      </c>
      <c r="E138" s="16">
        <v>48.335799999999999</v>
      </c>
      <c r="F138" s="16">
        <v>18.106100000000001</v>
      </c>
      <c r="G138" s="16">
        <f t="shared" ref="G138:G177" si="11">(6*C138+D138+E138)/8</f>
        <v>45.030062499999993</v>
      </c>
      <c r="H138" s="5"/>
      <c r="I138" s="15">
        <v>23095.852800000001</v>
      </c>
      <c r="J138" s="16">
        <v>44.1432</v>
      </c>
      <c r="K138" s="16">
        <v>48.154699999999998</v>
      </c>
      <c r="L138" s="16">
        <v>48.619799999999998</v>
      </c>
      <c r="M138" s="16">
        <v>3.3917999999999999</v>
      </c>
      <c r="N138" s="16">
        <f t="shared" ref="N138:N177" si="12">(6*J138+K138+L138)/8</f>
        <v>45.204212499999997</v>
      </c>
      <c r="O138" s="7"/>
      <c r="P138" s="8">
        <f>bdrate(B138:B141,C138:C141,I138:I141,J138:J141)</f>
        <v>-8.4623654391269065E-2</v>
      </c>
      <c r="Q138" s="8">
        <f>bdrate(B138:B141,D138:D141,I138:I141,K138:K141)</f>
        <v>-0.13668196626550788</v>
      </c>
      <c r="R138" s="8">
        <f>bdrate(B138:B141,E138:E141,I138:I141,L138:L141)</f>
        <v>-0.14720030775313719</v>
      </c>
      <c r="S138" s="25">
        <f>bdrate(B138:B141,G138:G141,I138:I141,N138:N141)</f>
        <v>-9.6478646912786958E-2</v>
      </c>
      <c r="T138" s="28">
        <f t="shared" ref="T138:T177" si="13">(M138-F138)/F138</f>
        <v>-0.81267086782907416</v>
      </c>
    </row>
    <row r="139" spans="1:20" x14ac:dyDescent="0.25">
      <c r="A139" s="9"/>
      <c r="B139" s="17">
        <v>13088.5008</v>
      </c>
      <c r="C139" s="18">
        <v>41.791800000000002</v>
      </c>
      <c r="D139" s="18">
        <v>46.055300000000003</v>
      </c>
      <c r="E139" s="18">
        <v>46.530099999999997</v>
      </c>
      <c r="F139" s="18">
        <v>22.1877</v>
      </c>
      <c r="G139" s="18">
        <f t="shared" si="11"/>
        <v>42.917025000000002</v>
      </c>
      <c r="H139" s="5"/>
      <c r="I139" s="17">
        <v>12518.0496</v>
      </c>
      <c r="J139" s="18">
        <v>41.961199999999998</v>
      </c>
      <c r="K139" s="18">
        <v>46.414299999999997</v>
      </c>
      <c r="L139" s="18">
        <v>46.905099999999997</v>
      </c>
      <c r="M139" s="18">
        <v>4.7119</v>
      </c>
      <c r="N139" s="18">
        <f t="shared" si="12"/>
        <v>43.135825000000004</v>
      </c>
      <c r="O139" s="7"/>
      <c r="P139" s="10"/>
      <c r="Q139" s="11"/>
      <c r="R139" s="11"/>
      <c r="S139" s="26"/>
      <c r="T139" s="28">
        <f t="shared" si="13"/>
        <v>-0.78763459033608707</v>
      </c>
    </row>
    <row r="140" spans="1:20" x14ac:dyDescent="0.25">
      <c r="A140" s="9"/>
      <c r="B140" s="17">
        <v>7598.1696000000002</v>
      </c>
      <c r="C140" s="18">
        <v>39.421999999999997</v>
      </c>
      <c r="D140" s="18">
        <v>44.184100000000001</v>
      </c>
      <c r="E140" s="18">
        <v>44.5837</v>
      </c>
      <c r="F140" s="18">
        <v>29.403099999999998</v>
      </c>
      <c r="G140" s="18">
        <f t="shared" si="11"/>
        <v>40.662475000000001</v>
      </c>
      <c r="H140" s="5"/>
      <c r="I140" s="17">
        <v>7229.9567999999999</v>
      </c>
      <c r="J140" s="18">
        <v>39.598399999999998</v>
      </c>
      <c r="K140" s="18">
        <v>44.523200000000003</v>
      </c>
      <c r="L140" s="18">
        <v>45.000100000000003</v>
      </c>
      <c r="M140" s="18">
        <v>5.8109000000000002</v>
      </c>
      <c r="N140" s="18">
        <f t="shared" si="12"/>
        <v>40.889212499999999</v>
      </c>
      <c r="O140" s="7"/>
      <c r="P140" s="10"/>
      <c r="Q140" s="11"/>
      <c r="R140" s="11"/>
      <c r="S140" s="26"/>
      <c r="T140" s="28">
        <f t="shared" si="13"/>
        <v>-0.80237117854920059</v>
      </c>
    </row>
    <row r="141" spans="1:20" ht="16.5" thickBot="1" x14ac:dyDescent="0.3">
      <c r="A141" s="12"/>
      <c r="B141" s="19">
        <v>4507.1376</v>
      </c>
      <c r="C141" s="20">
        <v>36.869100000000003</v>
      </c>
      <c r="D141" s="20">
        <v>42.611699999999999</v>
      </c>
      <c r="E141" s="20">
        <v>43.034300000000002</v>
      </c>
      <c r="F141" s="20">
        <v>32.626399999999997</v>
      </c>
      <c r="G141" s="20">
        <f t="shared" si="11"/>
        <v>38.357574999999997</v>
      </c>
      <c r="H141" s="5"/>
      <c r="I141" s="19">
        <v>4263.5280000000002</v>
      </c>
      <c r="J141" s="20">
        <v>37.075699999999998</v>
      </c>
      <c r="K141" s="20">
        <v>42.779299999999999</v>
      </c>
      <c r="L141" s="20">
        <v>43.218699999999998</v>
      </c>
      <c r="M141" s="20">
        <v>8.0612999999999992</v>
      </c>
      <c r="N141" s="20">
        <f t="shared" si="12"/>
        <v>38.556525000000001</v>
      </c>
      <c r="O141" s="7"/>
      <c r="P141" s="13"/>
      <c r="Q141" s="14"/>
      <c r="R141" s="14"/>
      <c r="S141" s="27"/>
      <c r="T141" s="28">
        <f t="shared" si="13"/>
        <v>-0.75292094745359583</v>
      </c>
    </row>
    <row r="142" spans="1:20" x14ac:dyDescent="0.25">
      <c r="A142" s="6" t="s">
        <v>10</v>
      </c>
      <c r="B142" s="15">
        <v>8737.8240000000005</v>
      </c>
      <c r="C142" s="16">
        <v>42.733899999999998</v>
      </c>
      <c r="D142" s="16">
        <v>47.451500000000003</v>
      </c>
      <c r="E142" s="16">
        <v>47.508000000000003</v>
      </c>
      <c r="F142" s="16">
        <v>37.369199999999999</v>
      </c>
      <c r="G142" s="16">
        <f t="shared" si="11"/>
        <v>43.920362499999996</v>
      </c>
      <c r="H142" s="5"/>
      <c r="I142" s="15">
        <v>8526.0480000000007</v>
      </c>
      <c r="J142" s="16">
        <v>43.0319</v>
      </c>
      <c r="K142" s="16">
        <v>47.921300000000002</v>
      </c>
      <c r="L142" s="16">
        <v>47.950200000000002</v>
      </c>
      <c r="M142" s="16">
        <v>7.6494</v>
      </c>
      <c r="N142" s="16">
        <f t="shared" si="12"/>
        <v>44.257862500000002</v>
      </c>
      <c r="O142" s="7"/>
      <c r="P142" s="8">
        <f>bdrate(B142:B145,C142:C145,I142:I145,J142:J145)</f>
        <v>-5.8605451594227476E-2</v>
      </c>
      <c r="Q142" s="8">
        <f>bdrate(B142:B145,D142:D145,I142:I145,K142:K145)</f>
        <v>-0.13055674392401073</v>
      </c>
      <c r="R142" s="8">
        <f>bdrate(B142:B145,E142:E145,I142:I145,L142:L145)</f>
        <v>-0.13372811263583595</v>
      </c>
      <c r="S142" s="25">
        <f>bdrate(B142:B145,G142:G145,I142:I145,N142:N145)</f>
        <v>-7.0035767003730598E-2</v>
      </c>
      <c r="T142" s="28">
        <f t="shared" si="13"/>
        <v>-0.79530201342281881</v>
      </c>
    </row>
    <row r="143" spans="1:20" x14ac:dyDescent="0.25">
      <c r="A143" s="9"/>
      <c r="B143" s="17">
        <v>5312.5104000000001</v>
      </c>
      <c r="C143" s="18">
        <v>39.4741</v>
      </c>
      <c r="D143" s="18">
        <v>45.291200000000003</v>
      </c>
      <c r="E143" s="18">
        <v>45.4908</v>
      </c>
      <c r="F143" s="18">
        <v>41.911099999999998</v>
      </c>
      <c r="G143" s="18">
        <f t="shared" si="11"/>
        <v>40.953325</v>
      </c>
      <c r="H143" s="5"/>
      <c r="I143" s="17">
        <v>5231.3015999999998</v>
      </c>
      <c r="J143" s="18">
        <v>39.779699999999998</v>
      </c>
      <c r="K143" s="18">
        <v>45.8872</v>
      </c>
      <c r="L143" s="18">
        <v>46.084800000000001</v>
      </c>
      <c r="M143" s="18">
        <v>8.8771000000000004</v>
      </c>
      <c r="N143" s="18">
        <f t="shared" si="12"/>
        <v>41.331275000000005</v>
      </c>
      <c r="O143" s="7"/>
      <c r="P143" s="10"/>
      <c r="Q143" s="11"/>
      <c r="R143" s="11"/>
      <c r="S143" s="26"/>
      <c r="T143" s="28">
        <f t="shared" si="13"/>
        <v>-0.78819214957374062</v>
      </c>
    </row>
    <row r="144" spans="1:20" x14ac:dyDescent="0.25">
      <c r="A144" s="9"/>
      <c r="B144" s="17">
        <v>3250.0920000000001</v>
      </c>
      <c r="C144" s="18">
        <v>36.1843</v>
      </c>
      <c r="D144" s="18">
        <v>43.590699999999998</v>
      </c>
      <c r="E144" s="18">
        <v>43.730200000000004</v>
      </c>
      <c r="F144" s="18">
        <v>44.943800000000003</v>
      </c>
      <c r="G144" s="18">
        <f t="shared" si="11"/>
        <v>38.053337500000005</v>
      </c>
      <c r="H144" s="5"/>
      <c r="I144" s="17">
        <v>3223.4639999999999</v>
      </c>
      <c r="J144" s="18">
        <v>36.478000000000002</v>
      </c>
      <c r="K144" s="18">
        <v>43.975499999999997</v>
      </c>
      <c r="L144" s="18">
        <v>44.147399999999998</v>
      </c>
      <c r="M144" s="18">
        <v>10.015000000000001</v>
      </c>
      <c r="N144" s="18">
        <f t="shared" si="12"/>
        <v>38.373862500000001</v>
      </c>
      <c r="O144" s="7"/>
      <c r="P144" s="10"/>
      <c r="Q144" s="11"/>
      <c r="R144" s="11"/>
      <c r="S144" s="26"/>
      <c r="T144" s="28">
        <f t="shared" si="13"/>
        <v>-0.77716614972476739</v>
      </c>
    </row>
    <row r="145" spans="1:20" ht="16.5" thickBot="1" x14ac:dyDescent="0.3">
      <c r="A145" s="12"/>
      <c r="B145" s="19">
        <v>1915.7736</v>
      </c>
      <c r="C145" s="20">
        <v>32.856000000000002</v>
      </c>
      <c r="D145" s="20">
        <v>42.251899999999999</v>
      </c>
      <c r="E145" s="20">
        <v>42.496299999999998</v>
      </c>
      <c r="F145" s="20">
        <v>52.273899999999998</v>
      </c>
      <c r="G145" s="20">
        <f t="shared" si="11"/>
        <v>35.235525000000003</v>
      </c>
      <c r="H145" s="5"/>
      <c r="I145" s="19">
        <v>1851.6936000000001</v>
      </c>
      <c r="J145" s="20">
        <v>33.086500000000001</v>
      </c>
      <c r="K145" s="20">
        <v>42.356900000000003</v>
      </c>
      <c r="L145" s="20">
        <v>42.560200000000002</v>
      </c>
      <c r="M145" s="20">
        <v>10.9878</v>
      </c>
      <c r="N145" s="20">
        <f t="shared" si="12"/>
        <v>35.429512500000001</v>
      </c>
      <c r="O145" s="7"/>
      <c r="P145" s="13"/>
      <c r="Q145" s="14"/>
      <c r="R145" s="14"/>
      <c r="S145" s="27"/>
      <c r="T145" s="28">
        <f t="shared" si="13"/>
        <v>-0.789803324412374</v>
      </c>
    </row>
    <row r="146" spans="1:20" x14ac:dyDescent="0.25">
      <c r="A146" s="6" t="s">
        <v>11</v>
      </c>
      <c r="B146" s="15">
        <v>4483.0871999999999</v>
      </c>
      <c r="C146" s="16">
        <v>44.375100000000003</v>
      </c>
      <c r="D146" s="16">
        <v>48.720799999999997</v>
      </c>
      <c r="E146" s="16">
        <v>48.462400000000002</v>
      </c>
      <c r="F146" s="16">
        <v>52.301299999999998</v>
      </c>
      <c r="G146" s="16">
        <f t="shared" si="11"/>
        <v>45.429225000000002</v>
      </c>
      <c r="H146" s="5"/>
      <c r="I146" s="15">
        <v>4350.2975999999999</v>
      </c>
      <c r="J146" s="16">
        <v>44.530200000000001</v>
      </c>
      <c r="K146" s="16">
        <v>49.191899999999997</v>
      </c>
      <c r="L146" s="16">
        <v>48.905299999999997</v>
      </c>
      <c r="M146" s="16">
        <v>10.4855</v>
      </c>
      <c r="N146" s="16">
        <f t="shared" si="12"/>
        <v>45.659799999999997</v>
      </c>
      <c r="O146" s="7"/>
      <c r="P146" s="8">
        <f>bdrate(B146:B149,C146:C149,I146:I149,J146:J149)</f>
        <v>-7.4164048086178713E-2</v>
      </c>
      <c r="Q146" s="8">
        <f>bdrate(B146:B149,D146:D149,I146:I149,K146:K149)</f>
        <v>-0.18699182736928677</v>
      </c>
      <c r="R146" s="8">
        <f>bdrate(B146:B149,E146:E149,I146:I149,L146:L149)</f>
        <v>-0.18980618938966387</v>
      </c>
      <c r="S146" s="25">
        <f>bdrate(B146:B149,G146:G149,I146:I149,N146:N149)</f>
        <v>-9.5134297878800123E-2</v>
      </c>
      <c r="T146" s="28">
        <f t="shared" si="13"/>
        <v>-0.79951741161309564</v>
      </c>
    </row>
    <row r="147" spans="1:20" x14ac:dyDescent="0.25">
      <c r="A147" s="9"/>
      <c r="B147" s="17">
        <v>2450.2896000000001</v>
      </c>
      <c r="C147" s="18">
        <v>41.789700000000003</v>
      </c>
      <c r="D147" s="18">
        <v>46.838999999999999</v>
      </c>
      <c r="E147" s="18">
        <v>46.617400000000004</v>
      </c>
      <c r="F147" s="18">
        <v>59.808599999999998</v>
      </c>
      <c r="G147" s="18">
        <f t="shared" si="11"/>
        <v>43.024325000000005</v>
      </c>
      <c r="H147" s="5"/>
      <c r="I147" s="17">
        <v>2359.56</v>
      </c>
      <c r="J147" s="18">
        <v>41.945</v>
      </c>
      <c r="K147" s="18">
        <v>47.382399999999997</v>
      </c>
      <c r="L147" s="18">
        <v>47.152500000000003</v>
      </c>
      <c r="M147" s="18">
        <v>13.3887</v>
      </c>
      <c r="N147" s="18">
        <f t="shared" si="12"/>
        <v>43.275612500000008</v>
      </c>
      <c r="O147" s="7"/>
      <c r="P147" s="10"/>
      <c r="Q147" s="11"/>
      <c r="R147" s="11"/>
      <c r="S147" s="26"/>
      <c r="T147" s="28">
        <f t="shared" si="13"/>
        <v>-0.77614088943730497</v>
      </c>
    </row>
    <row r="148" spans="1:20" x14ac:dyDescent="0.25">
      <c r="A148" s="9"/>
      <c r="B148" s="17">
        <v>1420.8312000000001</v>
      </c>
      <c r="C148" s="18">
        <v>39.308</v>
      </c>
      <c r="D148" s="18">
        <v>45.192999999999998</v>
      </c>
      <c r="E148" s="18">
        <v>44.962800000000001</v>
      </c>
      <c r="F148" s="18">
        <v>71.839100000000002</v>
      </c>
      <c r="G148" s="18">
        <f t="shared" si="11"/>
        <v>40.750475000000002</v>
      </c>
      <c r="H148" s="5"/>
      <c r="I148" s="17">
        <v>1361.472</v>
      </c>
      <c r="J148" s="18">
        <v>39.490699999999997</v>
      </c>
      <c r="K148" s="18">
        <v>45.674799999999998</v>
      </c>
      <c r="L148" s="18">
        <v>45.480499999999999</v>
      </c>
      <c r="M148" s="18">
        <v>16.661100000000001</v>
      </c>
      <c r="N148" s="18">
        <f t="shared" si="12"/>
        <v>41.012437499999997</v>
      </c>
      <c r="O148" s="7"/>
      <c r="P148" s="10"/>
      <c r="Q148" s="11"/>
      <c r="R148" s="11"/>
      <c r="S148" s="26"/>
      <c r="T148" s="28">
        <f t="shared" si="13"/>
        <v>-0.7680775510829061</v>
      </c>
    </row>
    <row r="149" spans="1:20" ht="16.5" thickBot="1" x14ac:dyDescent="0.3">
      <c r="A149" s="12"/>
      <c r="B149" s="19">
        <v>860.12400000000002</v>
      </c>
      <c r="C149" s="20">
        <v>36.702599999999997</v>
      </c>
      <c r="D149" s="20">
        <v>43.937199999999997</v>
      </c>
      <c r="E149" s="20">
        <v>43.685899999999997</v>
      </c>
      <c r="F149" s="20">
        <v>81.433199999999999</v>
      </c>
      <c r="G149" s="20">
        <f t="shared" si="11"/>
        <v>38.479837500000002</v>
      </c>
      <c r="H149" s="5"/>
      <c r="I149" s="19">
        <v>818.6472</v>
      </c>
      <c r="J149" s="20">
        <v>36.906999999999996</v>
      </c>
      <c r="K149" s="20">
        <v>44.255699999999997</v>
      </c>
      <c r="L149" s="20">
        <v>44.014200000000002</v>
      </c>
      <c r="M149" s="20">
        <v>20.546500000000002</v>
      </c>
      <c r="N149" s="20">
        <f t="shared" si="12"/>
        <v>38.713987500000002</v>
      </c>
      <c r="O149" s="7"/>
      <c r="P149" s="13"/>
      <c r="Q149" s="14"/>
      <c r="R149" s="14"/>
      <c r="S149" s="27"/>
      <c r="T149" s="28">
        <f t="shared" si="13"/>
        <v>-0.74768890329742654</v>
      </c>
    </row>
    <row r="150" spans="1:20" x14ac:dyDescent="0.25">
      <c r="A150" s="6" t="s">
        <v>8</v>
      </c>
      <c r="B150" s="15">
        <v>14098.113600000001</v>
      </c>
      <c r="C150" s="16">
        <v>40.824300000000001</v>
      </c>
      <c r="D150" s="16">
        <v>43.633600000000001</v>
      </c>
      <c r="E150" s="16">
        <v>44.181600000000003</v>
      </c>
      <c r="F150" s="16">
        <v>91.157700000000006</v>
      </c>
      <c r="G150" s="16">
        <f t="shared" si="11"/>
        <v>41.595125000000003</v>
      </c>
      <c r="H150" s="5"/>
      <c r="I150" s="15">
        <v>13610.0736</v>
      </c>
      <c r="J150" s="16">
        <v>41.371499999999997</v>
      </c>
      <c r="K150" s="16">
        <v>43.826500000000003</v>
      </c>
      <c r="L150" s="16">
        <v>44.366999999999997</v>
      </c>
      <c r="M150" s="16">
        <v>17.790400000000002</v>
      </c>
      <c r="N150" s="16">
        <f t="shared" si="12"/>
        <v>42.052812500000002</v>
      </c>
      <c r="O150" s="7"/>
      <c r="P150" s="8">
        <f>bdrate(B150:B153,C150:C153,I150:I153,J150:J153)</f>
        <v>-8.078927253951329E-2</v>
      </c>
      <c r="Q150" s="8">
        <f>bdrate(B150:B153,D150:D153,I150:I153,K150:K153)</f>
        <v>-8.1909008913954584E-2</v>
      </c>
      <c r="R150" s="8">
        <f>bdrate(B150:B153,E150:E153,I150:I153,L150:L153)</f>
        <v>-9.5365537581565851E-2</v>
      </c>
      <c r="S150" s="25">
        <f>bdrate(B150:B153,G150:G153,I150:I153,N150:N153)</f>
        <v>-8.1980022808229358E-2</v>
      </c>
      <c r="T150" s="28">
        <f t="shared" si="13"/>
        <v>-0.8048393059500184</v>
      </c>
    </row>
    <row r="151" spans="1:20" x14ac:dyDescent="0.25">
      <c r="A151" s="9"/>
      <c r="B151" s="17">
        <v>9448.2672000000002</v>
      </c>
      <c r="C151" s="18">
        <v>36.618000000000002</v>
      </c>
      <c r="D151" s="18">
        <v>40.788600000000002</v>
      </c>
      <c r="E151" s="18">
        <v>41.404299999999999</v>
      </c>
      <c r="F151" s="18">
        <v>105.48520000000001</v>
      </c>
      <c r="G151" s="18">
        <f t="shared" si="11"/>
        <v>37.737612500000004</v>
      </c>
      <c r="H151" s="5"/>
      <c r="I151" s="17">
        <v>9140.7888000000003</v>
      </c>
      <c r="J151" s="18">
        <v>37.099299999999999</v>
      </c>
      <c r="K151" s="18">
        <v>41.059800000000003</v>
      </c>
      <c r="L151" s="18">
        <v>41.7166</v>
      </c>
      <c r="M151" s="18">
        <v>20.968800000000002</v>
      </c>
      <c r="N151" s="18">
        <f t="shared" si="12"/>
        <v>38.171525000000003</v>
      </c>
      <c r="O151" s="7"/>
      <c r="P151" s="10"/>
      <c r="Q151" s="11"/>
      <c r="R151" s="11"/>
      <c r="S151" s="26"/>
      <c r="T151" s="28">
        <f t="shared" si="13"/>
        <v>-0.80121571556957749</v>
      </c>
    </row>
    <row r="152" spans="1:20" x14ac:dyDescent="0.25">
      <c r="A152" s="9"/>
      <c r="B152" s="17">
        <v>5969.2367999999997</v>
      </c>
      <c r="C152" s="18">
        <v>32.716700000000003</v>
      </c>
      <c r="D152" s="18">
        <v>39.003599999999999</v>
      </c>
      <c r="E152" s="18">
        <v>39.516399999999997</v>
      </c>
      <c r="F152" s="18">
        <v>120.3369</v>
      </c>
      <c r="G152" s="18">
        <f t="shared" si="11"/>
        <v>34.352525</v>
      </c>
      <c r="H152" s="5"/>
      <c r="I152" s="17">
        <v>5796.8064000000004</v>
      </c>
      <c r="J152" s="18">
        <v>33.168100000000003</v>
      </c>
      <c r="K152" s="18">
        <v>39.264499999999998</v>
      </c>
      <c r="L152" s="18">
        <v>39.896799999999999</v>
      </c>
      <c r="M152" s="18">
        <v>24.943899999999999</v>
      </c>
      <c r="N152" s="18">
        <f t="shared" si="12"/>
        <v>34.771237499999998</v>
      </c>
      <c r="O152" s="7"/>
      <c r="P152" s="10"/>
      <c r="Q152" s="11"/>
      <c r="R152" s="11"/>
      <c r="S152" s="26"/>
      <c r="T152" s="28">
        <f t="shared" si="13"/>
        <v>-0.79271611617051796</v>
      </c>
    </row>
    <row r="153" spans="1:20" ht="16.5" thickBot="1" x14ac:dyDescent="0.3">
      <c r="A153" s="12"/>
      <c r="B153" s="19">
        <v>3738.1152000000002</v>
      </c>
      <c r="C153" s="20">
        <v>29.084299999999999</v>
      </c>
      <c r="D153" s="20">
        <v>37.840400000000002</v>
      </c>
      <c r="E153" s="20">
        <v>38.219900000000003</v>
      </c>
      <c r="F153" s="20">
        <v>129.03229999999999</v>
      </c>
      <c r="G153" s="20">
        <f t="shared" si="11"/>
        <v>31.320762500000001</v>
      </c>
      <c r="H153" s="5"/>
      <c r="I153" s="19">
        <v>3632.7456000000002</v>
      </c>
      <c r="J153" s="20">
        <v>29.511800000000001</v>
      </c>
      <c r="K153" s="20">
        <v>37.905700000000003</v>
      </c>
      <c r="L153" s="20">
        <v>38.3767</v>
      </c>
      <c r="M153" s="20">
        <v>28.810099999999998</v>
      </c>
      <c r="N153" s="20">
        <f t="shared" si="12"/>
        <v>31.669150000000002</v>
      </c>
      <c r="O153" s="7"/>
      <c r="P153" s="13"/>
      <c r="Q153" s="14"/>
      <c r="R153" s="14"/>
      <c r="S153" s="27"/>
      <c r="T153" s="28">
        <f t="shared" si="13"/>
        <v>-0.77672179756541571</v>
      </c>
    </row>
    <row r="154" spans="1:20" x14ac:dyDescent="0.25">
      <c r="A154" s="6" t="s">
        <v>12</v>
      </c>
      <c r="B154" s="15">
        <v>5109.2208000000001</v>
      </c>
      <c r="C154" s="16">
        <v>41.830500000000001</v>
      </c>
      <c r="D154" s="16">
        <v>43.193300000000001</v>
      </c>
      <c r="E154" s="16">
        <v>43.664200000000001</v>
      </c>
      <c r="F154" s="16">
        <v>96.339100000000002</v>
      </c>
      <c r="G154" s="16">
        <f t="shared" si="11"/>
        <v>42.230062500000003</v>
      </c>
      <c r="H154" s="5"/>
      <c r="I154" s="15">
        <v>4991.6256000000003</v>
      </c>
      <c r="J154" s="16">
        <v>42.314300000000003</v>
      </c>
      <c r="K154" s="16">
        <v>43.427199999999999</v>
      </c>
      <c r="L154" s="16">
        <v>43.901499999999999</v>
      </c>
      <c r="M154" s="16">
        <v>19.142399999999999</v>
      </c>
      <c r="N154" s="16">
        <f t="shared" si="12"/>
        <v>42.651812499999998</v>
      </c>
      <c r="O154" s="7"/>
      <c r="P154" s="8">
        <f>bdrate(B154:B157,C154:C157,I154:I157,J154:J157)</f>
        <v>-7.046437947546802E-2</v>
      </c>
      <c r="Q154" s="8">
        <f>bdrate(B154:B157,D154:D157,I154:I157,K154:K157)</f>
        <v>-7.3860655864348312E-2</v>
      </c>
      <c r="R154" s="8">
        <f>bdrate(B154:B157,E154:E157,I154:I157,L154:L157)</f>
        <v>-7.7643619748689496E-2</v>
      </c>
      <c r="S154" s="25">
        <f>bdrate(B154:B157,G154:G157,I154:I157,N154:N157)</f>
        <v>-7.1453550415902511E-2</v>
      </c>
      <c r="T154" s="28">
        <f t="shared" si="13"/>
        <v>-0.80130185978486412</v>
      </c>
    </row>
    <row r="155" spans="1:20" x14ac:dyDescent="0.25">
      <c r="A155" s="9"/>
      <c r="B155" s="17">
        <v>3208.74</v>
      </c>
      <c r="C155" s="18">
        <v>37.8384</v>
      </c>
      <c r="D155" s="18">
        <v>39.927999999999997</v>
      </c>
      <c r="E155" s="18">
        <v>40.4621</v>
      </c>
      <c r="F155" s="18">
        <v>111.3586</v>
      </c>
      <c r="G155" s="18">
        <f t="shared" si="11"/>
        <v>38.427562500000001</v>
      </c>
      <c r="H155" s="5"/>
      <c r="I155" s="17">
        <v>3151.7087999999999</v>
      </c>
      <c r="J155" s="18">
        <v>38.248800000000003</v>
      </c>
      <c r="K155" s="18">
        <v>40.208199999999998</v>
      </c>
      <c r="L155" s="18">
        <v>40.783499999999997</v>
      </c>
      <c r="M155" s="18">
        <v>22.471900000000002</v>
      </c>
      <c r="N155" s="18">
        <f t="shared" si="12"/>
        <v>38.810562500000003</v>
      </c>
      <c r="O155" s="7"/>
      <c r="P155" s="10"/>
      <c r="Q155" s="11"/>
      <c r="R155" s="11"/>
      <c r="S155" s="26"/>
      <c r="T155" s="28">
        <f t="shared" si="13"/>
        <v>-0.79820238400985644</v>
      </c>
    </row>
    <row r="156" spans="1:20" x14ac:dyDescent="0.25">
      <c r="A156" s="9"/>
      <c r="B156" s="17">
        <v>1858.6895999999999</v>
      </c>
      <c r="C156" s="18">
        <v>34.0291</v>
      </c>
      <c r="D156" s="18">
        <v>37.610799999999998</v>
      </c>
      <c r="E156" s="18">
        <v>37.987299999999998</v>
      </c>
      <c r="F156" s="18">
        <v>125.94459999999999</v>
      </c>
      <c r="G156" s="18">
        <f t="shared" si="11"/>
        <v>34.971587499999998</v>
      </c>
      <c r="H156" s="5"/>
      <c r="I156" s="17">
        <v>1817.0568000000001</v>
      </c>
      <c r="J156" s="18">
        <v>34.325800000000001</v>
      </c>
      <c r="K156" s="18">
        <v>37.857199999999999</v>
      </c>
      <c r="L156" s="18">
        <v>38.253399999999999</v>
      </c>
      <c r="M156" s="18">
        <v>27.0124</v>
      </c>
      <c r="N156" s="18">
        <f t="shared" si="12"/>
        <v>35.258175000000001</v>
      </c>
      <c r="O156" s="7"/>
      <c r="P156" s="10"/>
      <c r="Q156" s="11"/>
      <c r="R156" s="11"/>
      <c r="S156" s="26"/>
      <c r="T156" s="28">
        <f t="shared" si="13"/>
        <v>-0.78552157059532524</v>
      </c>
    </row>
    <row r="157" spans="1:20" ht="16.5" thickBot="1" x14ac:dyDescent="0.3">
      <c r="A157" s="12"/>
      <c r="B157" s="19">
        <v>1006.92</v>
      </c>
      <c r="C157" s="20">
        <v>30.837800000000001</v>
      </c>
      <c r="D157" s="20">
        <v>35.921599999999998</v>
      </c>
      <c r="E157" s="20">
        <v>36.115699999999997</v>
      </c>
      <c r="F157" s="20">
        <v>143.26650000000001</v>
      </c>
      <c r="G157" s="20">
        <f t="shared" si="11"/>
        <v>32.1330125</v>
      </c>
      <c r="H157" s="5"/>
      <c r="I157" s="19">
        <v>966.09360000000004</v>
      </c>
      <c r="J157" s="20">
        <v>31.060500000000001</v>
      </c>
      <c r="K157" s="20">
        <v>36.071599999999997</v>
      </c>
      <c r="L157" s="20">
        <v>36.293199999999999</v>
      </c>
      <c r="M157" s="20">
        <v>32.143999999999998</v>
      </c>
      <c r="N157" s="20">
        <f t="shared" si="12"/>
        <v>32.340975</v>
      </c>
      <c r="O157" s="7"/>
      <c r="P157" s="13"/>
      <c r="Q157" s="14"/>
      <c r="R157" s="14"/>
      <c r="S157" s="27"/>
      <c r="T157" s="28">
        <f t="shared" si="13"/>
        <v>-0.77563491814206387</v>
      </c>
    </row>
    <row r="158" spans="1:20" x14ac:dyDescent="0.25">
      <c r="A158" s="6" t="s">
        <v>13</v>
      </c>
      <c r="B158" s="15">
        <v>3408.4032000000002</v>
      </c>
      <c r="C158" s="16">
        <v>41.932499999999997</v>
      </c>
      <c r="D158" s="16">
        <v>44.8093</v>
      </c>
      <c r="E158" s="16">
        <v>46.9146</v>
      </c>
      <c r="F158" s="16">
        <v>109.0513</v>
      </c>
      <c r="G158" s="16">
        <f t="shared" si="11"/>
        <v>42.914862499999998</v>
      </c>
      <c r="H158" s="5"/>
      <c r="I158" s="15">
        <v>3341.5944</v>
      </c>
      <c r="J158" s="16">
        <v>42.222900000000003</v>
      </c>
      <c r="K158" s="16">
        <v>45.0959</v>
      </c>
      <c r="L158" s="16">
        <v>47.264000000000003</v>
      </c>
      <c r="M158" s="16">
        <v>21.762799999999999</v>
      </c>
      <c r="N158" s="16">
        <f t="shared" si="12"/>
        <v>43.212162500000005</v>
      </c>
      <c r="O158" s="7"/>
      <c r="P158" s="8">
        <f>bdrate(B158:B161,C158:C161,I158:I161,J158:J161)</f>
        <v>-7.085972718638589E-2</v>
      </c>
      <c r="Q158" s="8">
        <f>bdrate(B158:B161,D158:D161,I158:I161,K158:K161)</f>
        <v>-9.2597401013171599E-2</v>
      </c>
      <c r="R158" s="8">
        <f>bdrate(B158:B161,E158:E161,I158:I161,L158:L161)</f>
        <v>-0.1450376693890022</v>
      </c>
      <c r="S158" s="25">
        <f>bdrate(B158:B161,G158:G161,I158:I161,N158:N161)</f>
        <v>-7.9977356675877687E-2</v>
      </c>
      <c r="T158" s="28">
        <f t="shared" si="13"/>
        <v>-0.80043520801677748</v>
      </c>
    </row>
    <row r="159" spans="1:20" x14ac:dyDescent="0.25">
      <c r="A159" s="9"/>
      <c r="B159" s="17">
        <v>1928.82</v>
      </c>
      <c r="C159" s="18">
        <v>38.494399999999999</v>
      </c>
      <c r="D159" s="18">
        <v>41.947600000000001</v>
      </c>
      <c r="E159" s="18">
        <v>44.116799999999998</v>
      </c>
      <c r="F159" s="18">
        <v>126.7427</v>
      </c>
      <c r="G159" s="18">
        <f t="shared" si="11"/>
        <v>39.62885</v>
      </c>
      <c r="H159" s="5"/>
      <c r="I159" s="17">
        <v>1891.2864</v>
      </c>
      <c r="J159" s="18">
        <v>38.7727</v>
      </c>
      <c r="K159" s="18">
        <v>42.267600000000002</v>
      </c>
      <c r="L159" s="18">
        <v>44.609299999999998</v>
      </c>
      <c r="M159" s="18">
        <v>26.448</v>
      </c>
      <c r="N159" s="18">
        <f t="shared" si="12"/>
        <v>39.939137500000001</v>
      </c>
      <c r="O159" s="7"/>
      <c r="P159" s="10"/>
      <c r="Q159" s="11"/>
      <c r="R159" s="11"/>
      <c r="S159" s="26"/>
      <c r="T159" s="28">
        <f t="shared" si="13"/>
        <v>-0.79132525975855028</v>
      </c>
    </row>
    <row r="160" spans="1:20" x14ac:dyDescent="0.25">
      <c r="A160" s="9"/>
      <c r="B160" s="17">
        <v>1059.2639999999999</v>
      </c>
      <c r="C160" s="18">
        <v>35.393300000000004</v>
      </c>
      <c r="D160" s="18">
        <v>40.089700000000001</v>
      </c>
      <c r="E160" s="18">
        <v>41.901000000000003</v>
      </c>
      <c r="F160" s="18">
        <v>141.0437</v>
      </c>
      <c r="G160" s="18">
        <f t="shared" si="11"/>
        <v>36.793812500000001</v>
      </c>
      <c r="H160" s="5"/>
      <c r="I160" s="17">
        <v>1032.4536000000001</v>
      </c>
      <c r="J160" s="18">
        <v>35.646799999999999</v>
      </c>
      <c r="K160" s="18">
        <v>40.3369</v>
      </c>
      <c r="L160" s="18">
        <v>42.473399999999998</v>
      </c>
      <c r="M160" s="18">
        <v>30.988499999999998</v>
      </c>
      <c r="N160" s="18">
        <f t="shared" si="12"/>
        <v>37.086387500000001</v>
      </c>
      <c r="O160" s="7"/>
      <c r="P160" s="10"/>
      <c r="Q160" s="11"/>
      <c r="R160" s="11"/>
      <c r="S160" s="26"/>
      <c r="T160" s="28">
        <f t="shared" si="13"/>
        <v>-0.78029149830868016</v>
      </c>
    </row>
    <row r="161" spans="1:20" ht="16.5" thickBot="1" x14ac:dyDescent="0.3">
      <c r="A161" s="12"/>
      <c r="B161" s="19">
        <v>593.11199999999997</v>
      </c>
      <c r="C161" s="20">
        <v>32.535800000000002</v>
      </c>
      <c r="D161" s="20">
        <v>38.878100000000003</v>
      </c>
      <c r="E161" s="20">
        <v>40.4739</v>
      </c>
      <c r="F161" s="20">
        <v>153.60980000000001</v>
      </c>
      <c r="G161" s="20">
        <f t="shared" si="11"/>
        <v>34.320850000000007</v>
      </c>
      <c r="H161" s="5"/>
      <c r="I161" s="19">
        <v>571.2672</v>
      </c>
      <c r="J161" s="20">
        <v>32.785800000000002</v>
      </c>
      <c r="K161" s="20">
        <v>38.906599999999997</v>
      </c>
      <c r="L161" s="20">
        <v>40.827500000000001</v>
      </c>
      <c r="M161" s="20">
        <v>35.075400000000002</v>
      </c>
      <c r="N161" s="20">
        <f t="shared" si="12"/>
        <v>34.556112500000005</v>
      </c>
      <c r="O161" s="7"/>
      <c r="P161" s="13"/>
      <c r="Q161" s="14"/>
      <c r="R161" s="14"/>
      <c r="S161" s="27"/>
      <c r="T161" s="28">
        <f t="shared" si="13"/>
        <v>-0.77165909987513814</v>
      </c>
    </row>
    <row r="162" spans="1:20" x14ac:dyDescent="0.25">
      <c r="A162" s="6" t="s">
        <v>14</v>
      </c>
      <c r="B162" s="15">
        <v>9504.0311999999994</v>
      </c>
      <c r="C162" s="16">
        <v>40.881100000000004</v>
      </c>
      <c r="D162" s="16">
        <v>41.889200000000002</v>
      </c>
      <c r="E162" s="16">
        <v>41.829099999999997</v>
      </c>
      <c r="F162" s="16">
        <v>78.864400000000003</v>
      </c>
      <c r="G162" s="16">
        <f t="shared" si="11"/>
        <v>41.125612500000003</v>
      </c>
      <c r="H162" s="5"/>
      <c r="I162" s="15">
        <v>9262.7351999999992</v>
      </c>
      <c r="J162" s="16">
        <v>41.453600000000002</v>
      </c>
      <c r="K162" s="16">
        <v>42.098500000000001</v>
      </c>
      <c r="L162" s="16">
        <v>42.052</v>
      </c>
      <c r="M162" s="16">
        <v>15.760400000000001</v>
      </c>
      <c r="N162" s="16">
        <f t="shared" si="12"/>
        <v>41.609012500000006</v>
      </c>
      <c r="O162" s="7"/>
      <c r="P162" s="8">
        <f>bdrate(B162:B165,C162:C165,I162:I165,J162:J165)</f>
        <v>-6.5692568028919873E-2</v>
      </c>
      <c r="Q162" s="8">
        <f>bdrate(B162:B165,D162:D165,I162:I165,K162:K165)</f>
        <v>-4.4807795022740682E-2</v>
      </c>
      <c r="R162" s="8">
        <f>bdrate(B162:B165,E162:E165,I162:I165,L162:L165)</f>
        <v>-4.7390239438322546E-2</v>
      </c>
      <c r="S162" s="25">
        <f>bdrate(B162:B165,G162:G165,I162:I165,N162:N165)</f>
        <v>-6.2145181806056105E-2</v>
      </c>
      <c r="T162" s="28">
        <f t="shared" si="13"/>
        <v>-0.80015824630631815</v>
      </c>
    </row>
    <row r="163" spans="1:20" x14ac:dyDescent="0.25">
      <c r="A163" s="9"/>
      <c r="B163" s="17">
        <v>6732.4656000000004</v>
      </c>
      <c r="C163" s="18">
        <v>36.442700000000002</v>
      </c>
      <c r="D163" s="18">
        <v>38.242400000000004</v>
      </c>
      <c r="E163" s="18">
        <v>38.0411</v>
      </c>
      <c r="F163" s="18">
        <v>88.417299999999997</v>
      </c>
      <c r="G163" s="18">
        <f t="shared" si="11"/>
        <v>36.867462500000002</v>
      </c>
      <c r="H163" s="5"/>
      <c r="I163" s="17">
        <v>6575.3015999999998</v>
      </c>
      <c r="J163" s="18">
        <v>36.970999999999997</v>
      </c>
      <c r="K163" s="18">
        <v>38.451900000000002</v>
      </c>
      <c r="L163" s="18">
        <v>38.271599999999999</v>
      </c>
      <c r="M163" s="18">
        <v>17.522300000000001</v>
      </c>
      <c r="N163" s="18">
        <f t="shared" si="12"/>
        <v>37.318687499999996</v>
      </c>
      <c r="O163" s="7"/>
      <c r="P163" s="10"/>
      <c r="Q163" s="11"/>
      <c r="R163" s="11"/>
      <c r="S163" s="26"/>
      <c r="T163" s="28">
        <f t="shared" si="13"/>
        <v>-0.80182272021425671</v>
      </c>
    </row>
    <row r="164" spans="1:20" x14ac:dyDescent="0.25">
      <c r="A164" s="9"/>
      <c r="B164" s="17">
        <v>4544.3639999999996</v>
      </c>
      <c r="C164" s="18">
        <v>32.104700000000001</v>
      </c>
      <c r="D164" s="18">
        <v>35.560099999999998</v>
      </c>
      <c r="E164" s="18">
        <v>35.215299999999999</v>
      </c>
      <c r="F164" s="18">
        <v>100</v>
      </c>
      <c r="G164" s="18">
        <f t="shared" si="11"/>
        <v>32.925449999999998</v>
      </c>
      <c r="H164" s="5"/>
      <c r="I164" s="17">
        <v>4440.7056000000002</v>
      </c>
      <c r="J164" s="18">
        <v>32.5672</v>
      </c>
      <c r="K164" s="18">
        <v>35.6843</v>
      </c>
      <c r="L164" s="18">
        <v>35.374400000000001</v>
      </c>
      <c r="M164" s="18">
        <v>19.9283</v>
      </c>
      <c r="N164" s="18">
        <f t="shared" si="12"/>
        <v>33.307737500000002</v>
      </c>
      <c r="O164" s="7"/>
      <c r="P164" s="10"/>
      <c r="Q164" s="11"/>
      <c r="R164" s="11"/>
      <c r="S164" s="26"/>
      <c r="T164" s="28">
        <f t="shared" si="13"/>
        <v>-0.8007169999999999</v>
      </c>
    </row>
    <row r="165" spans="1:20" ht="16.5" thickBot="1" x14ac:dyDescent="0.3">
      <c r="A165" s="12"/>
      <c r="B165" s="19">
        <v>2916.5880000000002</v>
      </c>
      <c r="C165" s="20">
        <v>28.0779</v>
      </c>
      <c r="D165" s="20">
        <v>33.514200000000002</v>
      </c>
      <c r="E165" s="20">
        <v>33.044800000000002</v>
      </c>
      <c r="F165" s="20">
        <v>113.5074</v>
      </c>
      <c r="G165" s="20">
        <f t="shared" si="11"/>
        <v>29.378300000000003</v>
      </c>
      <c r="H165" s="5"/>
      <c r="I165" s="19">
        <v>2847.5207999999998</v>
      </c>
      <c r="J165" s="20">
        <v>28.4482</v>
      </c>
      <c r="K165" s="20">
        <v>33.585599999999999</v>
      </c>
      <c r="L165" s="20">
        <v>33.151800000000001</v>
      </c>
      <c r="M165" s="20">
        <v>23.299199999999999</v>
      </c>
      <c r="N165" s="20">
        <f t="shared" si="12"/>
        <v>29.678325000000001</v>
      </c>
      <c r="O165" s="7"/>
      <c r="P165" s="13"/>
      <c r="Q165" s="14"/>
      <c r="R165" s="14"/>
      <c r="S165" s="27"/>
      <c r="T165" s="28">
        <f t="shared" si="13"/>
        <v>-0.79473408782158694</v>
      </c>
    </row>
    <row r="166" spans="1:20" x14ac:dyDescent="0.25">
      <c r="A166" s="6" t="s">
        <v>15</v>
      </c>
      <c r="B166" s="15">
        <v>23959.5494</v>
      </c>
      <c r="C166" s="16">
        <v>43.0045</v>
      </c>
      <c r="D166" s="16">
        <v>44.4923</v>
      </c>
      <c r="E166" s="16">
        <v>46.183300000000003</v>
      </c>
      <c r="F166" s="16">
        <v>8.2720000000000002</v>
      </c>
      <c r="G166" s="16">
        <f t="shared" si="11"/>
        <v>43.587824999999995</v>
      </c>
      <c r="H166" s="5"/>
      <c r="I166" s="15">
        <v>22589.018899999999</v>
      </c>
      <c r="J166" s="16">
        <v>43.100299999999997</v>
      </c>
      <c r="K166" s="16">
        <v>44.724600000000002</v>
      </c>
      <c r="L166" s="16">
        <v>46.473799999999997</v>
      </c>
      <c r="M166" s="16">
        <v>1.8588</v>
      </c>
      <c r="N166" s="16">
        <f t="shared" si="12"/>
        <v>43.725024999999995</v>
      </c>
      <c r="O166" s="7"/>
      <c r="P166" s="8">
        <f>bdrate(B166:B169,C166:C169,I166:I169,J166:J169)</f>
        <v>-9.6478841172682239E-2</v>
      </c>
      <c r="Q166" s="8">
        <f>bdrate(B166:B169,D166:D169,I166:I169,K166:K169)</f>
        <v>-0.13831860989748068</v>
      </c>
      <c r="R166" s="8">
        <f>bdrate(B166:B169,E166:E169,I166:I169,L166:L169)</f>
        <v>-0.13970655256387732</v>
      </c>
      <c r="S166" s="25">
        <f>bdrate(B166:B169,G166:G169,I166:I169,N166:N169)</f>
        <v>-0.10557962725582026</v>
      </c>
      <c r="T166" s="28">
        <f t="shared" si="13"/>
        <v>-0.77529013539651837</v>
      </c>
    </row>
    <row r="167" spans="1:20" x14ac:dyDescent="0.25">
      <c r="A167" s="9"/>
      <c r="B167" s="17">
        <v>12122.6093</v>
      </c>
      <c r="C167" s="18">
        <v>41.508499999999998</v>
      </c>
      <c r="D167" s="18">
        <v>42.689300000000003</v>
      </c>
      <c r="E167" s="18">
        <v>44.059399999999997</v>
      </c>
      <c r="F167" s="18">
        <v>10.48</v>
      </c>
      <c r="G167" s="18">
        <f t="shared" si="11"/>
        <v>41.974962499999997</v>
      </c>
      <c r="H167" s="5"/>
      <c r="I167" s="17">
        <v>11456.8454</v>
      </c>
      <c r="J167" s="18">
        <v>41.662100000000002</v>
      </c>
      <c r="K167" s="18">
        <v>42.961300000000001</v>
      </c>
      <c r="L167" s="18">
        <v>44.357199999999999</v>
      </c>
      <c r="M167" s="18">
        <v>3.5034999999999998</v>
      </c>
      <c r="N167" s="18">
        <f t="shared" si="12"/>
        <v>42.161387499999996</v>
      </c>
      <c r="O167" s="7"/>
      <c r="P167" s="10"/>
      <c r="Q167" s="11"/>
      <c r="R167" s="11"/>
      <c r="S167" s="26"/>
      <c r="T167" s="28">
        <f t="shared" si="13"/>
        <v>-0.66569656488549622</v>
      </c>
    </row>
    <row r="168" spans="1:20" x14ac:dyDescent="0.25">
      <c r="A168" s="9"/>
      <c r="B168" s="17">
        <v>7071.4022000000004</v>
      </c>
      <c r="C168" s="18">
        <v>39.602400000000003</v>
      </c>
      <c r="D168" s="18">
        <v>41.216500000000003</v>
      </c>
      <c r="E168" s="18">
        <v>42.473799999999997</v>
      </c>
      <c r="F168" s="18">
        <v>14.3225</v>
      </c>
      <c r="G168" s="18">
        <f t="shared" si="11"/>
        <v>40.163087500000003</v>
      </c>
      <c r="H168" s="5"/>
      <c r="I168" s="17">
        <v>6749.8310000000001</v>
      </c>
      <c r="J168" s="18">
        <v>39.8035</v>
      </c>
      <c r="K168" s="18">
        <v>41.469799999999999</v>
      </c>
      <c r="L168" s="18">
        <v>42.735799999999998</v>
      </c>
      <c r="M168" s="18">
        <v>3.7650999999999999</v>
      </c>
      <c r="N168" s="18">
        <f t="shared" si="12"/>
        <v>40.378324999999997</v>
      </c>
      <c r="O168" s="7"/>
      <c r="P168" s="10"/>
      <c r="Q168" s="11"/>
      <c r="R168" s="11"/>
      <c r="S168" s="26"/>
      <c r="T168" s="28">
        <f t="shared" si="13"/>
        <v>-0.73711991621574446</v>
      </c>
    </row>
    <row r="169" spans="1:20" ht="16.5" thickBot="1" x14ac:dyDescent="0.3">
      <c r="A169" s="12"/>
      <c r="B169" s="19">
        <v>4200.5914000000002</v>
      </c>
      <c r="C169" s="20">
        <v>37.194400000000002</v>
      </c>
      <c r="D169" s="20">
        <v>40.128799999999998</v>
      </c>
      <c r="E169" s="20">
        <v>41.475499999999997</v>
      </c>
      <c r="F169" s="20">
        <v>15.1012</v>
      </c>
      <c r="G169" s="20">
        <f t="shared" si="11"/>
        <v>38.096337500000004</v>
      </c>
      <c r="H169" s="5"/>
      <c r="I169" s="19">
        <v>4026.6354999999999</v>
      </c>
      <c r="J169" s="20">
        <v>37.434699999999999</v>
      </c>
      <c r="K169" s="20">
        <v>40.266300000000001</v>
      </c>
      <c r="L169" s="20">
        <v>41.620899999999999</v>
      </c>
      <c r="M169" s="20">
        <v>4.0236999999999998</v>
      </c>
      <c r="N169" s="20">
        <f t="shared" si="12"/>
        <v>38.311925000000002</v>
      </c>
      <c r="O169" s="7"/>
      <c r="P169" s="13"/>
      <c r="Q169" s="14"/>
      <c r="R169" s="14"/>
      <c r="S169" s="27"/>
      <c r="T169" s="28">
        <f t="shared" si="13"/>
        <v>-0.73355097608137099</v>
      </c>
    </row>
    <row r="170" spans="1:20" x14ac:dyDescent="0.25">
      <c r="A170" s="6" t="s">
        <v>16</v>
      </c>
      <c r="B170" s="15">
        <v>80996.547999999995</v>
      </c>
      <c r="C170" s="16">
        <v>41.360700000000001</v>
      </c>
      <c r="D170" s="16">
        <v>44.602400000000003</v>
      </c>
      <c r="E170" s="16">
        <v>46.107700000000001</v>
      </c>
      <c r="F170" s="16">
        <v>6.2255000000000003</v>
      </c>
      <c r="G170" s="16">
        <f t="shared" si="11"/>
        <v>42.359287500000001</v>
      </c>
      <c r="H170" s="5"/>
      <c r="I170" s="15">
        <v>83767.467999999993</v>
      </c>
      <c r="J170" s="16">
        <v>41.471400000000003</v>
      </c>
      <c r="K170" s="16">
        <v>44.688000000000002</v>
      </c>
      <c r="L170" s="16">
        <v>46.185099999999998</v>
      </c>
      <c r="M170" s="16">
        <v>1.1374</v>
      </c>
      <c r="N170" s="16">
        <f t="shared" si="12"/>
        <v>42.462687500000001</v>
      </c>
      <c r="O170" s="7"/>
      <c r="P170" s="8">
        <f>bdrate(B170:B173,C170:C173,I170:I173,J170:J173)</f>
        <v>-5.1114952186508744E-2</v>
      </c>
      <c r="Q170" s="8">
        <f>bdrate(B170:B173,D170:D173,I170:I173,K170:K173)</f>
        <v>-0.10409088352405149</v>
      </c>
      <c r="R170" s="8">
        <f>bdrate(B170:B173,E170:E173,I170:I173,L170:L173)</f>
        <v>-0.10195212119182007</v>
      </c>
      <c r="S170" s="25">
        <f>bdrate(B170:B173,G170:G173,I170:I173,N170:N173)</f>
        <v>-6.2441557381775037E-2</v>
      </c>
      <c r="T170" s="28">
        <f t="shared" si="13"/>
        <v>-0.81729981527588158</v>
      </c>
    </row>
    <row r="171" spans="1:20" x14ac:dyDescent="0.25">
      <c r="A171" s="9"/>
      <c r="B171" s="17">
        <v>32619.851999999999</v>
      </c>
      <c r="C171" s="18">
        <v>38.971200000000003</v>
      </c>
      <c r="D171" s="18">
        <v>43.126199999999997</v>
      </c>
      <c r="E171" s="18">
        <v>43.971699999999998</v>
      </c>
      <c r="F171" s="18">
        <v>8.0431000000000008</v>
      </c>
      <c r="G171" s="18">
        <f t="shared" si="11"/>
        <v>40.115637499999998</v>
      </c>
      <c r="H171" s="5"/>
      <c r="I171" s="17">
        <v>32006.86</v>
      </c>
      <c r="J171" s="18">
        <v>39.049100000000003</v>
      </c>
      <c r="K171" s="18">
        <v>43.307200000000002</v>
      </c>
      <c r="L171" s="18">
        <v>44.230200000000004</v>
      </c>
      <c r="M171" s="18">
        <v>1.7482</v>
      </c>
      <c r="N171" s="18">
        <f t="shared" si="12"/>
        <v>40.229000000000006</v>
      </c>
      <c r="O171" s="7"/>
      <c r="P171" s="10"/>
      <c r="Q171" s="11"/>
      <c r="R171" s="11"/>
      <c r="S171" s="26"/>
      <c r="T171" s="28">
        <f t="shared" si="13"/>
        <v>-0.7826459947035348</v>
      </c>
    </row>
    <row r="172" spans="1:20" x14ac:dyDescent="0.25">
      <c r="A172" s="9"/>
      <c r="B172" s="17">
        <v>16374.316000000001</v>
      </c>
      <c r="C172" s="18">
        <v>37.214199999999998</v>
      </c>
      <c r="D172" s="18">
        <v>41.732399999999998</v>
      </c>
      <c r="E172" s="18">
        <v>42.044800000000002</v>
      </c>
      <c r="F172" s="18">
        <v>9.1198999999999995</v>
      </c>
      <c r="G172" s="18">
        <f t="shared" si="11"/>
        <v>38.382799999999996</v>
      </c>
      <c r="H172" s="5"/>
      <c r="I172" s="17">
        <v>15827.691999999999</v>
      </c>
      <c r="J172" s="18">
        <v>37.313099999999999</v>
      </c>
      <c r="K172" s="18">
        <v>41.930700000000002</v>
      </c>
      <c r="L172" s="18">
        <v>42.3127</v>
      </c>
      <c r="M172" s="18">
        <v>2.1223000000000001</v>
      </c>
      <c r="N172" s="18">
        <f t="shared" si="12"/>
        <v>38.515250000000002</v>
      </c>
      <c r="O172" s="7"/>
      <c r="P172" s="10"/>
      <c r="Q172" s="11"/>
      <c r="R172" s="11"/>
      <c r="S172" s="26"/>
      <c r="T172" s="28">
        <f t="shared" si="13"/>
        <v>-0.76728911501222596</v>
      </c>
    </row>
    <row r="173" spans="1:20" ht="16.5" thickBot="1" x14ac:dyDescent="0.3">
      <c r="A173" s="12"/>
      <c r="B173" s="19">
        <v>9307.3799999999992</v>
      </c>
      <c r="C173" s="20">
        <v>35.296199999999999</v>
      </c>
      <c r="D173" s="20">
        <v>40.536799999999999</v>
      </c>
      <c r="E173" s="20">
        <v>40.478700000000003</v>
      </c>
      <c r="F173" s="20">
        <v>9.6320999999999994</v>
      </c>
      <c r="G173" s="20">
        <f t="shared" si="11"/>
        <v>36.599087499999996</v>
      </c>
      <c r="H173" s="5"/>
      <c r="I173" s="19">
        <v>8914.2919999999995</v>
      </c>
      <c r="J173" s="20">
        <v>35.411999999999999</v>
      </c>
      <c r="K173" s="20">
        <v>40.654200000000003</v>
      </c>
      <c r="L173" s="20">
        <v>40.656500000000001</v>
      </c>
      <c r="M173" s="20">
        <v>2.3220000000000001</v>
      </c>
      <c r="N173" s="20">
        <f t="shared" si="12"/>
        <v>36.722837499999997</v>
      </c>
      <c r="O173" s="7"/>
      <c r="P173" s="13"/>
      <c r="Q173" s="14"/>
      <c r="R173" s="14"/>
      <c r="S173" s="27"/>
      <c r="T173" s="28">
        <f t="shared" si="13"/>
        <v>-0.75893107422057493</v>
      </c>
    </row>
    <row r="174" spans="1:20" x14ac:dyDescent="0.25">
      <c r="A174" s="6" t="s">
        <v>17</v>
      </c>
      <c r="B174" s="15">
        <v>5328.59</v>
      </c>
      <c r="C174" s="16">
        <v>45.556399999999996</v>
      </c>
      <c r="D174" s="16">
        <v>48.491</v>
      </c>
      <c r="E174" s="16">
        <v>48.268300000000004</v>
      </c>
      <c r="F174" s="16">
        <v>38.417200000000001</v>
      </c>
      <c r="G174" s="16">
        <f t="shared" si="11"/>
        <v>46.262212499999997</v>
      </c>
      <c r="H174" s="5"/>
      <c r="I174" s="15">
        <v>5152.8040000000001</v>
      </c>
      <c r="J174" s="16">
        <v>45.892699999999998</v>
      </c>
      <c r="K174" s="16">
        <v>48.847999999999999</v>
      </c>
      <c r="L174" s="16">
        <v>48.633000000000003</v>
      </c>
      <c r="M174" s="16">
        <v>8.0096000000000007</v>
      </c>
      <c r="N174" s="16">
        <f t="shared" si="12"/>
        <v>46.604649999999999</v>
      </c>
      <c r="O174" s="7"/>
      <c r="P174" s="8">
        <f>bdrate(B174:B177,C174:C177,I174:I177,J174:J177)</f>
        <v>-7.1543807427553396E-2</v>
      </c>
      <c r="Q174" s="8">
        <f>bdrate(B174:B177,D174:D177,I174:I177,K174:K177)</f>
        <v>-0.10664408815029525</v>
      </c>
      <c r="R174" s="8">
        <f>bdrate(B174:B177,E174:E177,I174:I177,L174:L177)</f>
        <v>-0.11738706497783691</v>
      </c>
      <c r="S174" s="25">
        <f>bdrate(B174:B177,G174:G177,I174:I177,N174:N177)</f>
        <v>-7.8010901112053777E-2</v>
      </c>
      <c r="T174" s="28">
        <f t="shared" si="13"/>
        <v>-0.791510052788855</v>
      </c>
    </row>
    <row r="175" spans="1:20" x14ac:dyDescent="0.25">
      <c r="A175" s="9"/>
      <c r="B175" s="17">
        <v>3303.096</v>
      </c>
      <c r="C175" s="18">
        <v>42.170299999999997</v>
      </c>
      <c r="D175" s="18">
        <v>46.253700000000002</v>
      </c>
      <c r="E175" s="18">
        <v>46.153399999999998</v>
      </c>
      <c r="F175" s="18">
        <v>44.484000000000002</v>
      </c>
      <c r="G175" s="18">
        <f t="shared" si="11"/>
        <v>43.178612499999993</v>
      </c>
      <c r="H175" s="5"/>
      <c r="I175" s="17">
        <v>3218.5419999999999</v>
      </c>
      <c r="J175" s="18">
        <v>42.499400000000001</v>
      </c>
      <c r="K175" s="18">
        <v>46.671799999999998</v>
      </c>
      <c r="L175" s="18">
        <v>46.595199999999998</v>
      </c>
      <c r="M175" s="18">
        <v>9.4473000000000003</v>
      </c>
      <c r="N175" s="18">
        <f t="shared" si="12"/>
        <v>43.532924999999999</v>
      </c>
      <c r="O175" s="7"/>
      <c r="P175" s="10"/>
      <c r="Q175" s="11"/>
      <c r="R175" s="11"/>
      <c r="S175" s="26"/>
      <c r="T175" s="28">
        <f t="shared" si="13"/>
        <v>-0.78762476396007552</v>
      </c>
    </row>
    <row r="176" spans="1:20" x14ac:dyDescent="0.25">
      <c r="A176" s="9"/>
      <c r="B176" s="17">
        <v>1977.6959999999999</v>
      </c>
      <c r="C176" s="18">
        <v>38.782200000000003</v>
      </c>
      <c r="D176" s="18">
        <v>44.384300000000003</v>
      </c>
      <c r="E176" s="18">
        <v>44.306100000000001</v>
      </c>
      <c r="F176" s="18">
        <v>51.177100000000003</v>
      </c>
      <c r="G176" s="18">
        <f t="shared" si="11"/>
        <v>40.172950000000007</v>
      </c>
      <c r="H176" s="5"/>
      <c r="I176" s="17">
        <v>1926.8620000000001</v>
      </c>
      <c r="J176" s="18">
        <v>39.072000000000003</v>
      </c>
      <c r="K176" s="18">
        <v>44.668399999999998</v>
      </c>
      <c r="L176" s="18">
        <v>44.663899999999998</v>
      </c>
      <c r="M176" s="18">
        <v>11.3675</v>
      </c>
      <c r="N176" s="18">
        <f t="shared" si="12"/>
        <v>40.470537500000006</v>
      </c>
      <c r="O176" s="7"/>
      <c r="P176" s="10"/>
      <c r="Q176" s="11"/>
      <c r="R176" s="11"/>
      <c r="S176" s="26"/>
      <c r="T176" s="28">
        <f t="shared" si="13"/>
        <v>-0.77787916861252393</v>
      </c>
    </row>
    <row r="177" spans="1:20" ht="16.5" thickBot="1" x14ac:dyDescent="0.3">
      <c r="A177" s="12"/>
      <c r="B177" s="19">
        <v>1142.2159999999999</v>
      </c>
      <c r="C177" s="20">
        <v>35.561300000000003</v>
      </c>
      <c r="D177" s="20">
        <v>42.966999999999999</v>
      </c>
      <c r="E177" s="20">
        <v>42.853000000000002</v>
      </c>
      <c r="F177" s="20">
        <v>57.208199999999998</v>
      </c>
      <c r="G177" s="20">
        <f t="shared" si="11"/>
        <v>37.398475000000005</v>
      </c>
      <c r="H177" s="5"/>
      <c r="I177" s="19">
        <v>1104.7139999999999</v>
      </c>
      <c r="J177" s="20">
        <v>35.808999999999997</v>
      </c>
      <c r="K177" s="20">
        <v>43.033200000000001</v>
      </c>
      <c r="L177" s="20">
        <v>42.919699999999999</v>
      </c>
      <c r="M177" s="20">
        <v>14.0509</v>
      </c>
      <c r="N177" s="20">
        <f t="shared" si="12"/>
        <v>37.600862499999998</v>
      </c>
      <c r="O177" s="7"/>
      <c r="P177" s="13"/>
      <c r="Q177" s="14"/>
      <c r="R177" s="14"/>
      <c r="S177" s="27"/>
      <c r="T177" s="28">
        <f t="shared" si="13"/>
        <v>-0.75439010491502967</v>
      </c>
    </row>
    <row r="178" spans="1:20" ht="16.5" thickBot="1" x14ac:dyDescent="0.3">
      <c r="A178" s="22" t="s">
        <v>22</v>
      </c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1">
        <f>AVERAGE(P138:P177)</f>
        <v>-7.2433670208870676E-2</v>
      </c>
      <c r="Q178" s="21">
        <f t="shared" ref="Q178:S178" si="14">AVERAGE(Q138:Q177)</f>
        <v>-0.10964589799448481</v>
      </c>
      <c r="R178" s="21">
        <f t="shared" si="14"/>
        <v>-0.11952174146697514</v>
      </c>
      <c r="S178" s="21">
        <f t="shared" si="14"/>
        <v>-8.0323690925103247E-2</v>
      </c>
      <c r="T178" s="21">
        <f>AVERAGE(T138:T177)</f>
        <v>-0.78060026117222914</v>
      </c>
    </row>
  </sheetData>
  <mergeCells count="12">
    <mergeCell ref="B2:G2"/>
    <mergeCell ref="I2:N2"/>
    <mergeCell ref="P2:R2"/>
    <mergeCell ref="B136:G136"/>
    <mergeCell ref="I136:N136"/>
    <mergeCell ref="P136:R136"/>
    <mergeCell ref="B48:G48"/>
    <mergeCell ref="I48:N48"/>
    <mergeCell ref="P48:R48"/>
    <mergeCell ref="B92:G92"/>
    <mergeCell ref="I92:N92"/>
    <mergeCell ref="P92:R92"/>
  </mergeCells>
  <phoneticPr fontId="5" type="noConversion"/>
  <conditionalFormatting sqref="P50:S89 P94:S133 P138:S177 P4:S43">
    <cfRule type="cellIs" dxfId="1375" priority="21" operator="greaterThan">
      <formula>0.03</formula>
    </cfRule>
    <cfRule type="cellIs" dxfId="1374" priority="2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"/>
  <sheetViews>
    <sheetView tabSelected="1" zoomScaleNormal="100" workbookViewId="0"/>
  </sheetViews>
  <sheetFormatPr defaultRowHeight="15.75" x14ac:dyDescent="0.25"/>
  <cols>
    <col min="1" max="2" width="12.5" bestFit="1" customWidth="1"/>
    <col min="3" max="3" width="9" bestFit="1" customWidth="1"/>
    <col min="4" max="4" width="13.5" bestFit="1" customWidth="1"/>
    <col min="5" max="5" width="10" bestFit="1" customWidth="1"/>
    <col min="6" max="6" width="13.5" bestFit="1" customWidth="1"/>
    <col min="7" max="7" width="10" bestFit="1" customWidth="1"/>
    <col min="8" max="8" width="13.5" bestFit="1" customWidth="1"/>
    <col min="9" max="9" width="10" bestFit="1" customWidth="1"/>
  </cols>
  <sheetData>
    <row r="1" spans="1:9" ht="15.75" customHeight="1" x14ac:dyDescent="0.25">
      <c r="A1" s="45"/>
      <c r="B1" s="53" t="s">
        <v>147</v>
      </c>
      <c r="C1" s="54"/>
      <c r="D1" s="53" t="s">
        <v>169</v>
      </c>
      <c r="E1" s="54"/>
      <c r="F1" s="53" t="s">
        <v>170</v>
      </c>
      <c r="G1" s="54"/>
      <c r="H1" s="53" t="s">
        <v>171</v>
      </c>
      <c r="I1" s="54"/>
    </row>
    <row r="2" spans="1:9" s="46" customFormat="1" ht="14.25" customHeight="1" thickBot="1" x14ac:dyDescent="0.3">
      <c r="A2" s="48" t="s">
        <v>172</v>
      </c>
      <c r="B2" s="47" t="s">
        <v>173</v>
      </c>
      <c r="C2" s="47" t="s">
        <v>174</v>
      </c>
      <c r="D2" s="47" t="s">
        <v>175</v>
      </c>
      <c r="E2" s="47" t="s">
        <v>176</v>
      </c>
      <c r="F2" s="47" t="s">
        <v>152</v>
      </c>
      <c r="G2" s="47" t="s">
        <v>153</v>
      </c>
      <c r="H2" s="47" t="s">
        <v>154</v>
      </c>
      <c r="I2" s="47" t="s">
        <v>155</v>
      </c>
    </row>
    <row r="3" spans="1:9" ht="16.5" thickBot="1" x14ac:dyDescent="0.3">
      <c r="A3" s="49" t="s">
        <v>148</v>
      </c>
      <c r="B3" s="42">
        <f>-'Summary-detail'!F16</f>
        <v>0.45081661093350472</v>
      </c>
      <c r="C3" s="42">
        <f>'Summary-detail'!G16</f>
        <v>-9.5294629596617775E-2</v>
      </c>
      <c r="D3" s="42">
        <f>-'Summary-detail'!O16</f>
        <v>0.27976136907533916</v>
      </c>
      <c r="E3" s="42">
        <f>'Summary-detail'!P16</f>
        <v>1.9720322218814732</v>
      </c>
      <c r="F3" s="42">
        <f>-'Summary-detail'!X16</f>
        <v>0.32234973601530875</v>
      </c>
      <c r="G3" s="42">
        <f>'Summary-detail'!Y16</f>
        <v>1.3256096142862683</v>
      </c>
      <c r="H3" s="42">
        <f>-'Summary-detail'!AG9</f>
        <v>-6.9311561824669299E-2</v>
      </c>
      <c r="I3" s="42">
        <f>'Summary-detail'!AH9</f>
        <v>0.83934729145134124</v>
      </c>
    </row>
    <row r="4" spans="1:9" ht="16.5" thickBot="1" x14ac:dyDescent="0.3">
      <c r="A4" s="49" t="s">
        <v>149</v>
      </c>
      <c r="B4" s="43">
        <f>-'Summary-detail'!F32</f>
        <v>0.41151018711182652</v>
      </c>
      <c r="C4" s="43">
        <f>'Summary-detail'!G32</f>
        <v>8.9231608440427018E-2</v>
      </c>
      <c r="D4" s="43">
        <f>-'Summary-detail'!O32</f>
        <v>0.34469974202917741</v>
      </c>
      <c r="E4" s="43">
        <f>'Summary-detail'!P32</f>
        <v>1.2324017762855319</v>
      </c>
      <c r="F4" s="44">
        <f>-'Summary-detail'!X32</f>
        <v>0.38023130004340172</v>
      </c>
      <c r="G4" s="43">
        <f>'Summary-detail'!Y32</f>
        <v>0.75510192433139622</v>
      </c>
      <c r="H4" s="44">
        <f>-'Summary-detail'!AG18</f>
        <v>2.1584435116841192E-2</v>
      </c>
      <c r="I4" s="43">
        <f>'Summary-detail'!AH18</f>
        <v>0.27969317943352501</v>
      </c>
    </row>
    <row r="5" spans="1:9" ht="16.5" thickBot="1" x14ac:dyDescent="0.3">
      <c r="A5" s="49" t="s">
        <v>150</v>
      </c>
      <c r="B5" s="43">
        <f>-'Summary-detail'!F48</f>
        <v>0.36208433493474695</v>
      </c>
      <c r="C5" s="43">
        <f>'Summary-detail'!G48</f>
        <v>-5.1473440230345169E-2</v>
      </c>
      <c r="D5" s="43">
        <f>-'Summary-detail'!O48</f>
        <v>0.23734979153448024</v>
      </c>
      <c r="E5" s="43">
        <f>'Summary-detail'!P48</f>
        <v>0.47463196192889662</v>
      </c>
      <c r="F5" s="43">
        <f>-'Summary-detail'!X48</f>
        <v>0.32614960435458695</v>
      </c>
      <c r="G5" s="43">
        <f>'Summary-detail'!Y48</f>
        <v>1.7898784110745283</v>
      </c>
      <c r="H5" s="43">
        <f>-'Summary-detail'!AG27</f>
        <v>0.14539198735366698</v>
      </c>
      <c r="I5" s="43">
        <f>'Summary-detail'!AH27</f>
        <v>-8.35332911226533E-2</v>
      </c>
    </row>
    <row r="6" spans="1:9" ht="16.5" thickBot="1" x14ac:dyDescent="0.3">
      <c r="A6" s="49" t="s">
        <v>151</v>
      </c>
      <c r="B6" s="43">
        <f>-'Summary-detail'!F57</f>
        <v>0.35314587776008821</v>
      </c>
      <c r="C6" s="43">
        <f>'Summary-detail'!G57</f>
        <v>0.83274757509759245</v>
      </c>
      <c r="D6" s="43">
        <f>-'Summary-detail'!O57</f>
        <v>0.108685651151089</v>
      </c>
      <c r="E6" s="43">
        <f>'Summary-detail'!P57</f>
        <v>0.84100626643803966</v>
      </c>
      <c r="F6" s="43">
        <f>-'Summary-detail'!X57</f>
        <v>0.23083954259877557</v>
      </c>
      <c r="G6" s="43">
        <f>'Summary-detail'!Y57</f>
        <v>7.7801533474856521</v>
      </c>
      <c r="H6" s="43">
        <f>-'Summary-detail'!AG36</f>
        <v>6.8289568634359366E-2</v>
      </c>
      <c r="I6" s="43">
        <f>'Summary-detail'!AH36</f>
        <v>-0.3508292910394637</v>
      </c>
    </row>
  </sheetData>
  <mergeCells count="4">
    <mergeCell ref="B1:C1"/>
    <mergeCell ref="D1:E1"/>
    <mergeCell ref="F1:G1"/>
    <mergeCell ref="H1:I1"/>
  </mergeCells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57"/>
  <sheetViews>
    <sheetView zoomScale="85" zoomScaleNormal="85" workbookViewId="0">
      <selection sqref="A1:G1"/>
    </sheetView>
  </sheetViews>
  <sheetFormatPr defaultRowHeight="15.75" x14ac:dyDescent="0.25"/>
  <cols>
    <col min="1" max="1" width="11" bestFit="1" customWidth="1"/>
    <col min="2" max="2" width="12.125" bestFit="1" customWidth="1"/>
    <col min="3" max="3" width="10.25" bestFit="1" customWidth="1"/>
    <col min="4" max="4" width="10.625" bestFit="1" customWidth="1"/>
    <col min="5" max="5" width="10.375" bestFit="1" customWidth="1"/>
    <col min="6" max="6" width="13.125" bestFit="1" customWidth="1"/>
    <col min="7" max="7" width="9.625" bestFit="1" customWidth="1"/>
    <col min="8" max="8" width="9.625" customWidth="1"/>
    <col min="10" max="10" width="11" bestFit="1" customWidth="1"/>
    <col min="11" max="11" width="12.125" bestFit="1" customWidth="1"/>
    <col min="12" max="12" width="10.25" bestFit="1" customWidth="1"/>
    <col min="13" max="13" width="10.625" bestFit="1" customWidth="1"/>
    <col min="14" max="14" width="10.375" bestFit="1" customWidth="1"/>
    <col min="15" max="15" width="13.125" bestFit="1" customWidth="1"/>
    <col min="16" max="16" width="9.625" bestFit="1" customWidth="1"/>
    <col min="19" max="19" width="10.25" bestFit="1" customWidth="1"/>
    <col min="20" max="20" width="12.125" bestFit="1" customWidth="1"/>
    <col min="21" max="21" width="10.25" bestFit="1" customWidth="1"/>
    <col min="22" max="22" width="10.625" bestFit="1" customWidth="1"/>
    <col min="23" max="23" width="10.375" bestFit="1" customWidth="1"/>
    <col min="24" max="24" width="13.125" bestFit="1" customWidth="1"/>
    <col min="25" max="25" width="9.625" bestFit="1" customWidth="1"/>
    <col min="28" max="28" width="10.25" bestFit="1" customWidth="1"/>
    <col min="29" max="29" width="12.125" bestFit="1" customWidth="1"/>
    <col min="30" max="30" width="10.25" bestFit="1" customWidth="1"/>
    <col min="31" max="31" width="10.625" bestFit="1" customWidth="1"/>
    <col min="32" max="32" width="10.375" bestFit="1" customWidth="1"/>
    <col min="33" max="33" width="13.125" bestFit="1" customWidth="1"/>
    <col min="34" max="34" width="9.625" bestFit="1" customWidth="1"/>
  </cols>
  <sheetData>
    <row r="1" spans="1:34" ht="16.5" thickBot="1" x14ac:dyDescent="0.3">
      <c r="A1" s="58" t="s">
        <v>213</v>
      </c>
      <c r="B1" s="59"/>
      <c r="C1" s="59"/>
      <c r="D1" s="59"/>
      <c r="E1" s="59"/>
      <c r="F1" s="59"/>
      <c r="G1" s="60"/>
      <c r="H1" s="40"/>
      <c r="J1" s="58" t="s">
        <v>214</v>
      </c>
      <c r="K1" s="59"/>
      <c r="L1" s="59"/>
      <c r="M1" s="59"/>
      <c r="N1" s="59"/>
      <c r="O1" s="59"/>
      <c r="P1" s="60"/>
      <c r="S1" s="58" t="s">
        <v>216</v>
      </c>
      <c r="T1" s="59"/>
      <c r="U1" s="59"/>
      <c r="V1" s="59"/>
      <c r="W1" s="59"/>
      <c r="X1" s="59"/>
      <c r="Y1" s="60"/>
      <c r="AB1" s="58" t="s">
        <v>146</v>
      </c>
      <c r="AC1" s="59"/>
      <c r="AD1" s="59"/>
      <c r="AE1" s="59"/>
      <c r="AF1" s="59"/>
      <c r="AG1" s="59"/>
      <c r="AH1" s="60"/>
    </row>
    <row r="2" spans="1:34" ht="16.5" thickBot="1" x14ac:dyDescent="0.3">
      <c r="A2" s="37" t="s">
        <v>73</v>
      </c>
      <c r="B2" s="37" t="s">
        <v>72</v>
      </c>
      <c r="C2" s="37" t="s">
        <v>68</v>
      </c>
      <c r="D2" s="37" t="s">
        <v>69</v>
      </c>
      <c r="E2" s="37" t="s">
        <v>70</v>
      </c>
      <c r="F2" s="37" t="s">
        <v>71</v>
      </c>
      <c r="G2" s="37" t="s">
        <v>74</v>
      </c>
      <c r="H2" s="40"/>
      <c r="J2" s="37" t="s">
        <v>73</v>
      </c>
      <c r="K2" s="37" t="s">
        <v>72</v>
      </c>
      <c r="L2" s="37" t="s">
        <v>68</v>
      </c>
      <c r="M2" s="37" t="s">
        <v>69</v>
      </c>
      <c r="N2" s="37" t="s">
        <v>70</v>
      </c>
      <c r="O2" s="37" t="s">
        <v>71</v>
      </c>
      <c r="P2" s="37" t="s">
        <v>74</v>
      </c>
      <c r="S2" s="37" t="s">
        <v>115</v>
      </c>
      <c r="T2" s="37" t="s">
        <v>72</v>
      </c>
      <c r="U2" s="37" t="s">
        <v>68</v>
      </c>
      <c r="V2" s="37" t="s">
        <v>69</v>
      </c>
      <c r="W2" s="37" t="s">
        <v>70</v>
      </c>
      <c r="X2" s="37" t="s">
        <v>71</v>
      </c>
      <c r="Y2" s="37" t="s">
        <v>74</v>
      </c>
      <c r="AB2" s="37" t="s">
        <v>115</v>
      </c>
      <c r="AC2" s="37" t="s">
        <v>72</v>
      </c>
      <c r="AD2" s="37" t="s">
        <v>68</v>
      </c>
      <c r="AE2" s="37" t="s">
        <v>69</v>
      </c>
      <c r="AF2" s="37" t="s">
        <v>70</v>
      </c>
      <c r="AG2" s="37" t="s">
        <v>71</v>
      </c>
      <c r="AH2" s="37" t="s">
        <v>74</v>
      </c>
    </row>
    <row r="3" spans="1:34" ht="16.5" thickBot="1" x14ac:dyDescent="0.3">
      <c r="A3" s="55">
        <v>1</v>
      </c>
      <c r="B3" s="37" t="s">
        <v>35</v>
      </c>
      <c r="C3" s="38">
        <f>AVERAGE(X264vsQY265_offline_superfast!Q9:Q16)</f>
        <v>-0.45200158662469953</v>
      </c>
      <c r="D3" s="38">
        <f>AVERAGE(X264vsQY265_offline_superfast!R9:R16)</f>
        <v>-0.54466574705112203</v>
      </c>
      <c r="E3" s="38">
        <f>AVERAGE(X264vsQY265_offline_superfast!S9:S16)</f>
        <v>-0.6100547695530576</v>
      </c>
      <c r="F3" s="38">
        <f>AVERAGE(X264vsQY265_offline_superfast!T9:T16)</f>
        <v>-0.47019389410824619</v>
      </c>
      <c r="G3" s="39">
        <f>AVERAGE(X264vsQY265_offline_superfast!U9:U16)</f>
        <v>-8.2744467722646098E-2</v>
      </c>
      <c r="H3" s="40"/>
      <c r="J3" s="55">
        <v>1</v>
      </c>
      <c r="K3" s="37" t="s">
        <v>35</v>
      </c>
      <c r="L3" s="38">
        <f>AVERAGE(X265vsQY265_offline_superfast!Q9:Q16)</f>
        <v>-0.10706764670352437</v>
      </c>
      <c r="M3" s="38">
        <f>AVERAGE(X265vsQY265_offline_superfast!R9:R16)</f>
        <v>-0.44042888331264562</v>
      </c>
      <c r="N3" s="38">
        <f>AVERAGE(X265vsQY265_offline_superfast!S9:S16)</f>
        <v>-0.44341125484245086</v>
      </c>
      <c r="O3" s="38">
        <f>AVERAGE(X265vsQY265_offline_superfast!T9:T16)</f>
        <v>-0.16095866112661061</v>
      </c>
      <c r="P3" s="39">
        <f>AVERAGE(X265vsQY265_offline_superfast!U9:U16)</f>
        <v>1.3999186433101016</v>
      </c>
      <c r="S3" s="55">
        <v>1</v>
      </c>
      <c r="T3" s="37" t="s">
        <v>35</v>
      </c>
      <c r="U3" s="38">
        <f>AVERAGE(VP9vsQY265_offline_superfast!Q9:Q16)</f>
        <v>-0.27821428416187644</v>
      </c>
      <c r="V3" s="38">
        <f>AVERAGE(VP9vsQY265_offline_superfast!R9:R16)</f>
        <v>-0.47418923334508623</v>
      </c>
      <c r="W3" s="38">
        <f>AVERAGE(VP9vsQY265_offline_superfast!S9:S16)</f>
        <v>-0.48766791044559127</v>
      </c>
      <c r="X3" s="38">
        <f>AVERAGE(VP9vsQY265_offline_superfast!T9:T16)</f>
        <v>-0.3074234548249743</v>
      </c>
      <c r="Y3" s="39">
        <f>AVERAGE(VP9vsQY265_offline_superfast!U9:U16)</f>
        <v>0.79086103568100141</v>
      </c>
      <c r="AB3" s="55" t="s">
        <v>75</v>
      </c>
      <c r="AC3" s="37" t="s">
        <v>35</v>
      </c>
      <c r="AD3" s="38">
        <f>AVERAGE(IntelvsQY265_offline_superfast!Q9:Q16)</f>
        <v>4.2589616998185531E-2</v>
      </c>
      <c r="AE3" s="38">
        <f>AVERAGE(IntelvsQY265_offline_superfast!R9:R16)</f>
        <v>-3.516629781083852E-2</v>
      </c>
      <c r="AF3" s="38">
        <f>AVERAGE(IntelvsQY265_offline_superfast!S9:S16)</f>
        <v>-3.6271800687316169E-2</v>
      </c>
      <c r="AG3" s="38">
        <f>AVERAGE(IntelvsQY265_offline_superfast!T9:T16)</f>
        <v>3.1990726334426345E-2</v>
      </c>
      <c r="AH3" s="39">
        <f>AVERAGE(IntelvsQY265_offline_superfast!U9:U16)</f>
        <v>0.55516601858333325</v>
      </c>
    </row>
    <row r="4" spans="1:34" ht="16.5" thickBot="1" x14ac:dyDescent="0.3">
      <c r="A4" s="56"/>
      <c r="B4" s="37" t="s">
        <v>37</v>
      </c>
      <c r="C4" s="38">
        <f>AVERAGE(X264vsQY265_offline_superfast!Q17:Q36)</f>
        <v>-0.54011323290485636</v>
      </c>
      <c r="D4" s="38">
        <f>AVERAGE(X264vsQY265_offline_superfast!R17:R36)</f>
        <v>-0.5947399134895589</v>
      </c>
      <c r="E4" s="38">
        <f>AVERAGE(X264vsQY265_offline_superfast!S17:S36)</f>
        <v>-0.60658292450395546</v>
      </c>
      <c r="F4" s="38">
        <f>AVERAGE(X264vsQY265_offline_superfast!T17:T36)</f>
        <v>-0.55045128054957648</v>
      </c>
      <c r="G4" s="39">
        <f>AVERAGE(X264vsQY265_offline_superfast!U17:U36)</f>
        <v>0.1158801749481205</v>
      </c>
      <c r="H4" s="40"/>
      <c r="J4" s="56"/>
      <c r="K4" s="37" t="s">
        <v>37</v>
      </c>
      <c r="L4" s="38">
        <f>AVERAGE(X265vsQY265_offline_superfast!Q17:Q36)</f>
        <v>-0.16675324035144512</v>
      </c>
      <c r="M4" s="38">
        <f>AVERAGE(X265vsQY265_offline_superfast!R17:R36)</f>
        <v>-0.42928190559608559</v>
      </c>
      <c r="N4" s="38">
        <f>AVERAGE(X265vsQY265_offline_superfast!S17:S36)</f>
        <v>-0.42016499834052984</v>
      </c>
      <c r="O4" s="38">
        <f>AVERAGE(X265vsQY265_offline_superfast!T17:T36)</f>
        <v>-0.21302762116123986</v>
      </c>
      <c r="P4" s="39">
        <f>AVERAGE(X265vsQY265_offline_superfast!U17:U36)</f>
        <v>1.6695632851164857</v>
      </c>
      <c r="S4" s="56"/>
      <c r="T4" s="37" t="s">
        <v>37</v>
      </c>
      <c r="U4" s="38">
        <f>AVERAGE(VP9vsQY265_offline_superfast!Q17:Q36)</f>
        <v>-0.37986574888480024</v>
      </c>
      <c r="V4" s="38">
        <f>AVERAGE(VP9vsQY265_offline_superfast!R17:R36)</f>
        <v>-0.48376430559686201</v>
      </c>
      <c r="W4" s="38">
        <f>AVERAGE(VP9vsQY265_offline_superfast!S17:S36)</f>
        <v>-0.49739404244278224</v>
      </c>
      <c r="X4" s="38">
        <f>AVERAGE(VP9vsQY265_offline_superfast!T17:T36)</f>
        <v>-0.4020644346817841</v>
      </c>
      <c r="Y4" s="39">
        <f>AVERAGE(VP9vsQY265_offline_superfast!U17:U36)</f>
        <v>0.97247030595703132</v>
      </c>
      <c r="AB4" s="56"/>
      <c r="AC4" s="37" t="s">
        <v>37</v>
      </c>
      <c r="AD4" s="38">
        <f>AVERAGE(IntelvsQY265_offline_superfast!Q17:Q36)</f>
        <v>6.7341168390365441E-2</v>
      </c>
      <c r="AE4" s="38">
        <f>AVERAGE(IntelvsQY265_offline_superfast!R17:R36)</f>
        <v>-1.4828128322601941E-2</v>
      </c>
      <c r="AF4" s="38">
        <f>AVERAGE(IntelvsQY265_offline_superfast!S17:S36)</f>
        <v>-3.1304933302330952E-2</v>
      </c>
      <c r="AG4" s="38">
        <f>AVERAGE(IntelvsQY265_offline_superfast!T17:T36)</f>
        <v>5.3420011506854582E-2</v>
      </c>
      <c r="AH4" s="39">
        <f>AVERAGE(IntelvsQY265_offline_superfast!U17:U36)</f>
        <v>0.63748210445500009</v>
      </c>
    </row>
    <row r="5" spans="1:34" ht="16.5" thickBot="1" x14ac:dyDescent="0.3">
      <c r="A5" s="56"/>
      <c r="B5" s="37" t="s">
        <v>39</v>
      </c>
      <c r="C5" s="38">
        <f>AVERAGE(X264vsQY265_offline_superfast!Q37:Q52)</f>
        <v>-0.44776276069977505</v>
      </c>
      <c r="D5" s="38">
        <f>AVERAGE(X264vsQY265_offline_superfast!R37:R52)</f>
        <v>-0.54665094763828426</v>
      </c>
      <c r="E5" s="38">
        <f>AVERAGE(X264vsQY265_offline_superfast!S37:S52)</f>
        <v>-0.5249946835622521</v>
      </c>
      <c r="F5" s="38">
        <f>AVERAGE(X264vsQY265_offline_superfast!T37:T52)</f>
        <v>-0.46304624161115771</v>
      </c>
      <c r="G5" s="39">
        <f>AVERAGE(X264vsQY265_offline_superfast!U37:U52)</f>
        <v>-0.23359272743267387</v>
      </c>
      <c r="H5" s="40"/>
      <c r="J5" s="56"/>
      <c r="K5" s="37" t="s">
        <v>39</v>
      </c>
      <c r="L5" s="38">
        <f>AVERAGE(X265vsQY265_offline_superfast!Q37:Q52)</f>
        <v>-0.19345831643116221</v>
      </c>
      <c r="M5" s="38">
        <f>AVERAGE(X265vsQY265_offline_superfast!R37:R52)</f>
        <v>-0.4065203967772737</v>
      </c>
      <c r="N5" s="38">
        <f>AVERAGE(X265vsQY265_offline_superfast!S37:S52)</f>
        <v>-0.3818037916536785</v>
      </c>
      <c r="O5" s="38">
        <f>AVERAGE(X265vsQY265_offline_superfast!T37:T52)</f>
        <v>-0.23160183049551605</v>
      </c>
      <c r="P5" s="39">
        <f>AVERAGE(X265vsQY265_offline_superfast!U37:U52)</f>
        <v>1.6534012318089655</v>
      </c>
      <c r="S5" s="56"/>
      <c r="T5" s="37" t="s">
        <v>39</v>
      </c>
      <c r="U5" s="38">
        <f>AVERAGE(VP9vsQY265_offline_superfast!Q37:Q52)</f>
        <v>-0.28076923156112654</v>
      </c>
      <c r="V5" s="38">
        <f>AVERAGE(VP9vsQY265_offline_superfast!R37:R52)</f>
        <v>-0.43154775912078025</v>
      </c>
      <c r="W5" s="38">
        <f>AVERAGE(VP9vsQY265_offline_superfast!S37:S52)</f>
        <v>-0.43815280549145086</v>
      </c>
      <c r="X5" s="38">
        <f>AVERAGE(VP9vsQY265_offline_superfast!T37:T52)</f>
        <v>-0.31470665564529759</v>
      </c>
      <c r="Y5" s="39">
        <f>AVERAGE(VP9vsQY265_offline_superfast!U37:U52)</f>
        <v>0.62598941292650156</v>
      </c>
      <c r="AB5" s="56"/>
      <c r="AC5" s="37" t="s">
        <v>39</v>
      </c>
      <c r="AD5" s="38">
        <f>AVERAGE(IntelvsQY265_offline_superfast!Q37:Q52)</f>
        <v>8.0605253451731917E-2</v>
      </c>
      <c r="AE5" s="38">
        <f>AVERAGE(IntelvsQY265_offline_superfast!R37:R52)</f>
        <v>1.6175552472653204E-2</v>
      </c>
      <c r="AF5" s="38">
        <f>AVERAGE(IntelvsQY265_offline_superfast!S37:S52)</f>
        <v>1.3811442051095996E-2</v>
      </c>
      <c r="AG5" s="38">
        <f>AVERAGE(IntelvsQY265_offline_superfast!T37:T52)</f>
        <v>7.0316658904572393E-2</v>
      </c>
      <c r="AH5" s="39">
        <f>AVERAGE(IntelvsQY265_offline_superfast!U37:U52)</f>
        <v>0.82913754605416667</v>
      </c>
    </row>
    <row r="6" spans="1:34" ht="16.5" thickBot="1" x14ac:dyDescent="0.3">
      <c r="A6" s="56"/>
      <c r="B6" s="37" t="s">
        <v>41</v>
      </c>
      <c r="C6" s="38">
        <f>AVERAGE(X264vsQY265_offline_superfast!Q53:Q68)</f>
        <v>-0.40047899722611024</v>
      </c>
      <c r="D6" s="38">
        <f>AVERAGE(X264vsQY265_offline_superfast!R53:R68)</f>
        <v>-0.57777607859674562</v>
      </c>
      <c r="E6" s="38">
        <f>AVERAGE(X264vsQY265_offline_superfast!S53:S68)</f>
        <v>-0.56315520914685036</v>
      </c>
      <c r="F6" s="38">
        <f>AVERAGE(X264vsQY265_offline_superfast!T53:T68)</f>
        <v>-0.43128084345103235</v>
      </c>
      <c r="G6" s="39">
        <f>AVERAGE(X264vsQY265_offline_superfast!U53:U68)</f>
        <v>-0.43490143244132257</v>
      </c>
      <c r="H6" s="40"/>
      <c r="J6" s="56"/>
      <c r="K6" s="37" t="s">
        <v>41</v>
      </c>
      <c r="L6" s="38">
        <f>AVERAGE(X265vsQY265_offline_superfast!Q53:Q68)</f>
        <v>-0.26208779080603983</v>
      </c>
      <c r="M6" s="38">
        <f>AVERAGE(X265vsQY265_offline_superfast!R53:R68)</f>
        <v>-0.46235137812813287</v>
      </c>
      <c r="N6" s="38">
        <f>AVERAGE(X265vsQY265_offline_superfast!S53:S68)</f>
        <v>-0.43741610334600378</v>
      </c>
      <c r="O6" s="38">
        <f>AVERAGE(X265vsQY265_offline_superfast!T53:T68)</f>
        <v>-0.29806387355883823</v>
      </c>
      <c r="P6" s="39">
        <f>AVERAGE(X265vsQY265_offline_superfast!U53:U68)</f>
        <v>1.1871952075139751</v>
      </c>
      <c r="S6" s="56"/>
      <c r="T6" s="37" t="s">
        <v>41</v>
      </c>
      <c r="U6" s="38">
        <f>AVERAGE(VP9vsQY265_offline_superfast!Q53:Q68)</f>
        <v>-0.34978190844268214</v>
      </c>
      <c r="V6" s="38">
        <f>AVERAGE(VP9vsQY265_offline_superfast!R53:R68)</f>
        <v>-0.43172427366872446</v>
      </c>
      <c r="W6" s="38">
        <f>AVERAGE(VP9vsQY265_offline_superfast!S53:S68)</f>
        <v>-0.45105013808516309</v>
      </c>
      <c r="X6" s="38">
        <f>AVERAGE(VP9vsQY265_offline_superfast!T53:T68)</f>
        <v>-0.37570171284676473</v>
      </c>
      <c r="Y6" s="39">
        <f>AVERAGE(VP9vsQY265_offline_superfast!U53:U68)</f>
        <v>0.43441092470040171</v>
      </c>
      <c r="AB6" s="56"/>
      <c r="AC6" s="37" t="s">
        <v>41</v>
      </c>
      <c r="AD6" s="38">
        <f>AVERAGE(IntelvsQY265_offline_superfast!Q53:Q68)</f>
        <v>0.10355556326383214</v>
      </c>
      <c r="AE6" s="38">
        <f>AVERAGE(IntelvsQY265_offline_superfast!R53:R68)</f>
        <v>-2.599025120629983E-3</v>
      </c>
      <c r="AF6" s="38">
        <f>AVERAGE(IntelvsQY265_offline_superfast!S53:S68)</f>
        <v>-5.0292316855606034E-3</v>
      </c>
      <c r="AG6" s="38">
        <f>AVERAGE(IntelvsQY265_offline_superfast!T53:T68)</f>
        <v>8.5507841729549283E-2</v>
      </c>
      <c r="AH6" s="39">
        <f>AVERAGE(IntelvsQY265_offline_superfast!U53:U68)</f>
        <v>1.3325090568854168</v>
      </c>
    </row>
    <row r="7" spans="1:34" ht="16.5" thickBot="1" x14ac:dyDescent="0.3">
      <c r="A7" s="56"/>
      <c r="B7" s="37" t="s">
        <v>43</v>
      </c>
      <c r="C7" s="38">
        <f>AVERAGE(X264vsQY265_offline_superfast!Q69:Q80)</f>
        <v>-0.51368054281884623</v>
      </c>
      <c r="D7" s="38">
        <f>AVERAGE(X264vsQY265_offline_superfast!R69:R80)</f>
        <v>-0.6604004796704338</v>
      </c>
      <c r="E7" s="38">
        <f>AVERAGE(X264vsQY265_offline_superfast!S69:S80)</f>
        <v>-0.66184999638153552</v>
      </c>
      <c r="F7" s="38">
        <f>AVERAGE(X264vsQY265_offline_superfast!T69:T80)</f>
        <v>-0.54980697466502748</v>
      </c>
      <c r="G7" s="39">
        <f>AVERAGE(X264vsQY265_offline_superfast!U69:U80)</f>
        <v>0.13871406279802004</v>
      </c>
      <c r="H7" s="40"/>
      <c r="J7" s="56"/>
      <c r="K7" s="37" t="s">
        <v>43</v>
      </c>
      <c r="L7" s="38">
        <f>AVERAGE(X265vsQY265_offline_superfast!Q69:Q80)</f>
        <v>-0.3170937360526711</v>
      </c>
      <c r="M7" s="38">
        <f>AVERAGE(X265vsQY265_offline_superfast!R69:R80)</f>
        <v>-0.44921196201707997</v>
      </c>
      <c r="N7" s="38">
        <f>AVERAGE(X265vsQY265_offline_superfast!S69:S80)</f>
        <v>-0.44514844777234447</v>
      </c>
      <c r="O7" s="38">
        <f>AVERAGE(X265vsQY265_offline_superfast!T69:T80)</f>
        <v>-0.34665638497928358</v>
      </c>
      <c r="P7" s="39">
        <f>AVERAGE(X265vsQY265_offline_superfast!U69:U80)</f>
        <v>1.8601736992678193</v>
      </c>
      <c r="S7" s="56"/>
      <c r="T7" s="37" t="s">
        <v>43</v>
      </c>
      <c r="U7" s="38">
        <f>AVERAGE(VP9vsQY265_offline_superfast!Q69:Q80)</f>
        <v>-0.38244434191863547</v>
      </c>
      <c r="V7" s="38">
        <f>AVERAGE(VP9vsQY265_offline_superfast!R69:R80)</f>
        <v>-0.24372897739869992</v>
      </c>
      <c r="W7" s="38">
        <f>AVERAGE(VP9vsQY265_offline_superfast!S69:S80)</f>
        <v>-0.24596774659227014</v>
      </c>
      <c r="X7" s="38">
        <f>AVERAGE(VP9vsQY265_offline_superfast!T69:T80)</f>
        <v>-0.35508245999584936</v>
      </c>
      <c r="Y7" s="39">
        <f>AVERAGE(VP9vsQY265_offline_superfast!U69:U80)</f>
        <v>0.95511127965965892</v>
      </c>
      <c r="AB7" s="56"/>
      <c r="AC7" s="37" t="s">
        <v>43</v>
      </c>
      <c r="AD7" s="38">
        <f>AVERAGE(IntelvsQY265_offline_superfast!Q69:Q80)</f>
        <v>-1.8568208730938451E-2</v>
      </c>
      <c r="AE7" s="38">
        <f>AVERAGE(IntelvsQY265_offline_superfast!R69:R80)</f>
        <v>-0.22109074278140273</v>
      </c>
      <c r="AF7" s="38">
        <f>AVERAGE(IntelvsQY265_offline_superfast!S69:S80)</f>
        <v>-0.23346942552573005</v>
      </c>
      <c r="AG7" s="38">
        <f>AVERAGE(IntelvsQY265_offline_superfast!T69:T80)</f>
        <v>-6.9665145745183385E-2</v>
      </c>
      <c r="AH7" s="39">
        <f>AVERAGE(IntelvsQY265_offline_superfast!U69:U80)</f>
        <v>0.92589214838888889</v>
      </c>
    </row>
    <row r="8" spans="1:34" ht="16.5" thickBot="1" x14ac:dyDescent="0.3">
      <c r="A8" s="56"/>
      <c r="B8" s="41" t="s">
        <v>106</v>
      </c>
      <c r="C8" s="38">
        <f>AVERAGE(X264vsQY265_offline_superfast!Q81:Q124)</f>
        <v>-0.39915518214496576</v>
      </c>
      <c r="D8" s="38">
        <f>AVERAGE(X264vsQY265_offline_superfast!R81:R124)</f>
        <v>-0.44888120505280943</v>
      </c>
      <c r="E8" s="38">
        <f>AVERAGE(X264vsQY265_offline_superfast!S81:S124)</f>
        <v>-0.42540909459381793</v>
      </c>
      <c r="F8" s="38">
        <f>AVERAGE(X264vsQY265_offline_superfast!T81:T124)</f>
        <v>-0.40898760173526755</v>
      </c>
      <c r="G8" s="39">
        <f>AVERAGE(X264vsQY265_offline_superfast!U81:U124)</f>
        <v>-3.4307834703899913E-2</v>
      </c>
      <c r="H8" s="40"/>
      <c r="J8" s="56"/>
      <c r="K8" s="41" t="s">
        <v>106</v>
      </c>
      <c r="L8" s="38">
        <f>AVERAGE(X265vsQY265_offline_superfast!Q81:Q124)</f>
        <v>-0.25272354588335655</v>
      </c>
      <c r="M8" s="38">
        <f>AVERAGE(X265vsQY265_offline_superfast!R81:R124)</f>
        <v>-0.37948914906050785</v>
      </c>
      <c r="N8" s="38">
        <f>AVERAGE(X265vsQY265_offline_superfast!S81:S124)</f>
        <v>-0.36995852150151404</v>
      </c>
      <c r="O8" s="38">
        <f>AVERAGE(X265vsQY265_offline_superfast!T81:T124)</f>
        <v>-0.2793584111441012</v>
      </c>
      <c r="P8" s="39">
        <f>AVERAGE(X265vsQY265_offline_superfast!U81:U124)</f>
        <v>1.7795259727237096</v>
      </c>
      <c r="S8" s="56"/>
      <c r="T8" s="41" t="s">
        <v>106</v>
      </c>
      <c r="U8" s="38">
        <f>AVERAGE(VP9vsQY265_offline_superfast!Q81:Q124)</f>
        <v>-0.27628960509897804</v>
      </c>
      <c r="V8" s="38">
        <f>AVERAGE(VP9vsQY265_offline_superfast!R81:R124)</f>
        <v>-0.4104800390299117</v>
      </c>
      <c r="W8" s="38">
        <f>AVERAGE(VP9vsQY265_offline_superfast!S81:S124)</f>
        <v>-0.39882056756666751</v>
      </c>
      <c r="X8" s="38">
        <f>AVERAGE(VP9vsQY265_offline_superfast!T81:T124)</f>
        <v>-0.30611974427338207</v>
      </c>
      <c r="Y8" s="39">
        <f>AVERAGE(VP9vsQY265_offline_superfast!U81:U124)</f>
        <v>0.63092272214926326</v>
      </c>
      <c r="AB8" s="56"/>
      <c r="AC8" s="41" t="s">
        <v>106</v>
      </c>
      <c r="AD8" s="38">
        <f>AVERAGE(IntelvsQY265_offline_superfast!Q81:Q124)</f>
        <v>0.13399724374454583</v>
      </c>
      <c r="AE8" s="38">
        <f>AVERAGE(IntelvsQY265_offline_superfast!R81:R124)</f>
        <v>4.6549690021557552E-2</v>
      </c>
      <c r="AF8" s="38">
        <f>AVERAGE(IntelvsQY265_offline_superfast!S81:S124)</f>
        <v>4.324937310854933E-2</v>
      </c>
      <c r="AG8" s="38">
        <f>AVERAGE(IntelvsQY265_offline_superfast!T81:T124)</f>
        <v>0.11496829249194064</v>
      </c>
      <c r="AH8" s="39">
        <f>AVERAGE(IntelvsQY265_offline_superfast!U81:U124)</f>
        <v>0.78355145779292923</v>
      </c>
    </row>
    <row r="9" spans="1:34" ht="16.5" thickBot="1" x14ac:dyDescent="0.3">
      <c r="A9" s="57"/>
      <c r="B9" s="37" t="s">
        <v>76</v>
      </c>
      <c r="C9" s="38">
        <f>X264vsQY265_offline_superfast!Q125</f>
        <v>-0.44583741384580633</v>
      </c>
      <c r="D9" s="38">
        <f>X264vsQY265_offline_superfast!R125</f>
        <v>-0.53378047796835737</v>
      </c>
      <c r="E9" s="38">
        <f>X264vsQY265_offline_superfast!S125</f>
        <v>-0.52657495731513482</v>
      </c>
      <c r="F9" s="38">
        <f>X264vsQY265_offline_superfast!T125</f>
        <v>-0.46269783014814342</v>
      </c>
      <c r="G9" s="39">
        <f>X264vsQY265_offline_superfast!U125</f>
        <v>-7.6596851501707336E-2</v>
      </c>
      <c r="H9" s="40"/>
      <c r="J9" s="57"/>
      <c r="K9" s="37" t="s">
        <v>76</v>
      </c>
      <c r="L9" s="38">
        <f>X265vsQY265_offline_superfast!Q125</f>
        <v>-0.22763193575820753</v>
      </c>
      <c r="M9" s="38">
        <f>X265vsQY265_offline_superfast!R125</f>
        <v>-0.41464727310152311</v>
      </c>
      <c r="N9" s="38">
        <f>X265vsQY265_offline_superfast!S125</f>
        <v>-0.40239710900758519</v>
      </c>
      <c r="O9" s="38">
        <f>X265vsQY265_offline_superfast!T125</f>
        <v>-0.2627113766137863</v>
      </c>
      <c r="P9" s="39">
        <f>X265vsQY265_offline_superfast!U125</f>
        <v>1.6436326299054711</v>
      </c>
      <c r="S9" s="57"/>
      <c r="T9" s="37" t="s">
        <v>76</v>
      </c>
      <c r="U9" s="38">
        <f>VP9vsQY265_offline_superfast!Q125</f>
        <v>-0.31601657084853979</v>
      </c>
      <c r="V9" s="38">
        <f>VP9vsQY265_offline_superfast!R125</f>
        <v>-0.41609501680543548</v>
      </c>
      <c r="W9" s="38">
        <f>VP9vsQY265_offline_superfast!S125</f>
        <v>-0.41876025139385181</v>
      </c>
      <c r="X9" s="38">
        <f>VP9vsQY265_offline_superfast!T125</f>
        <v>-0.33859886634558178</v>
      </c>
      <c r="Y9" s="39">
        <f>VP9vsQY265_offline_superfast!U125</f>
        <v>0.70659168049226362</v>
      </c>
      <c r="AB9" s="57"/>
      <c r="AC9" s="37" t="s">
        <v>76</v>
      </c>
      <c r="AD9" s="38">
        <f>IntelvsQY265_offline_superfast!Q125</f>
        <v>8.8854944751987699E-2</v>
      </c>
      <c r="AE9" s="38">
        <f>IntelvsQY265_offline_superfast!R125</f>
        <v>-8.3238884804713448E-3</v>
      </c>
      <c r="AF9" s="38">
        <f>IntelvsQY265_offline_superfast!S125</f>
        <v>-1.443464133818252E-2</v>
      </c>
      <c r="AG9" s="38">
        <f>IntelvsQY265_offline_superfast!T125</f>
        <v>6.9311561824669299E-2</v>
      </c>
      <c r="AH9" s="39">
        <f>IntelvsQY265_offline_superfast!U125</f>
        <v>0.83934729145134124</v>
      </c>
    </row>
    <row r="10" spans="1:34" ht="16.5" thickBot="1" x14ac:dyDescent="0.3">
      <c r="A10" s="55" t="s">
        <v>75</v>
      </c>
      <c r="B10" s="37" t="s">
        <v>35</v>
      </c>
      <c r="C10" s="38">
        <f>AVERAGE(X264vsQY265_offline_superfast!Q131:Q138)</f>
        <v>-0.43671906474743838</v>
      </c>
      <c r="D10" s="38">
        <f>AVERAGE(X264vsQY265_offline_superfast!R131:R138)</f>
        <v>-0.53366283172619988</v>
      </c>
      <c r="E10" s="38">
        <f>AVERAGE(X264vsQY265_offline_superfast!S131:S138)</f>
        <v>-0.59715749144173302</v>
      </c>
      <c r="F10" s="38">
        <f>AVERAGE(X264vsQY265_offline_superfast!T131:T138)</f>
        <v>-0.45560238336045683</v>
      </c>
      <c r="G10" s="39">
        <f>AVERAGE(X264vsQY265_offline_superfast!U131:U138)</f>
        <v>-1.3671462218388254E-2</v>
      </c>
      <c r="H10" s="40"/>
      <c r="J10" s="55" t="s">
        <v>75</v>
      </c>
      <c r="K10" s="37" t="s">
        <v>35</v>
      </c>
      <c r="L10" s="38">
        <f>AVERAGE(X265vsQY265_offline_superfast!Q131:Q138)</f>
        <v>-0.12378711814126114</v>
      </c>
      <c r="M10" s="38">
        <f>AVERAGE(X265vsQY265_offline_superfast!R131:R138)</f>
        <v>-0.44781848208180425</v>
      </c>
      <c r="N10" s="38">
        <f>AVERAGE(X265vsQY265_offline_superfast!S131:S138)</f>
        <v>-0.44327010898101893</v>
      </c>
      <c r="O10" s="38">
        <f>AVERAGE(X265vsQY265_offline_superfast!T131:T138)</f>
        <v>-0.17557111777693885</v>
      </c>
      <c r="P10" s="39">
        <f>AVERAGE(X265vsQY265_offline_superfast!U131:U138)</f>
        <v>1.6745859136841754</v>
      </c>
      <c r="S10" s="55" t="s">
        <v>75</v>
      </c>
      <c r="T10" s="37" t="s">
        <v>35</v>
      </c>
      <c r="U10" s="38">
        <f>AVERAGE(VP9vsQY265_offline_superfast!Q131:Q138)</f>
        <v>-0.26177552498363238</v>
      </c>
      <c r="V10" s="38">
        <f>AVERAGE(VP9vsQY265_offline_superfast!R131:R138)</f>
        <v>-0.46248687434790237</v>
      </c>
      <c r="W10" s="38">
        <f>AVERAGE(VP9vsQY265_offline_superfast!S131:S138)</f>
        <v>-0.47345478537542518</v>
      </c>
      <c r="X10" s="38">
        <f>AVERAGE(VP9vsQY265_offline_superfast!T131:T138)</f>
        <v>-0.29190073430652402</v>
      </c>
      <c r="Y10" s="39">
        <f>AVERAGE(VP9vsQY265_offline_superfast!U131:U138)</f>
        <v>0.72898149935029466</v>
      </c>
      <c r="AB10" s="58" t="s">
        <v>143</v>
      </c>
      <c r="AC10" s="59"/>
      <c r="AD10" s="59"/>
      <c r="AE10" s="59"/>
      <c r="AF10" s="59"/>
      <c r="AG10" s="59"/>
      <c r="AH10" s="60"/>
    </row>
    <row r="11" spans="1:34" ht="16.5" thickBot="1" x14ac:dyDescent="0.3">
      <c r="A11" s="56"/>
      <c r="B11" s="37" t="s">
        <v>37</v>
      </c>
      <c r="C11" s="38">
        <f>AVERAGE(X264vsQY265_offline_superfast!Q139:Q158)</f>
        <v>-0.52684218068262534</v>
      </c>
      <c r="D11" s="38">
        <f>AVERAGE(X264vsQY265_offline_superfast!R139:R158)</f>
        <v>-0.58365779795474904</v>
      </c>
      <c r="E11" s="38">
        <f>AVERAGE(X264vsQY265_offline_superfast!S139:S158)</f>
        <v>-0.5988619526452964</v>
      </c>
      <c r="F11" s="38">
        <f>AVERAGE(X264vsQY265_offline_superfast!T139:T158)</f>
        <v>-0.53785165477582753</v>
      </c>
      <c r="G11" s="39">
        <f>AVERAGE(X264vsQY265_offline_superfast!U139:U158)</f>
        <v>0.20851485544135348</v>
      </c>
      <c r="H11" s="40"/>
      <c r="J11" s="56"/>
      <c r="K11" s="37" t="s">
        <v>37</v>
      </c>
      <c r="L11" s="38">
        <f>AVERAGE(X265vsQY265_offline_superfast!Q139:Q158)</f>
        <v>-0.19456797118860325</v>
      </c>
      <c r="M11" s="38">
        <f>AVERAGE(X265vsQY265_offline_superfast!R139:R158)</f>
        <v>-0.43899934092294818</v>
      </c>
      <c r="N11" s="38">
        <f>AVERAGE(X265vsQY265_offline_superfast!S139:S158)</f>
        <v>-0.43138472098350655</v>
      </c>
      <c r="O11" s="38">
        <f>AVERAGE(X265vsQY265_offline_superfast!T139:T158)</f>
        <v>-0.23716751645633546</v>
      </c>
      <c r="P11" s="39">
        <f>AVERAGE(X265vsQY265_offline_superfast!U139:U158)</f>
        <v>2.1787787847306204</v>
      </c>
      <c r="S11" s="56"/>
      <c r="T11" s="37" t="s">
        <v>37</v>
      </c>
      <c r="U11" s="38">
        <f>AVERAGE(VP9vsQY265_offline_superfast!Q139:Q158)</f>
        <v>-0.3648781217240849</v>
      </c>
      <c r="V11" s="38">
        <f>AVERAGE(VP9vsQY265_offline_superfast!R139:R158)</f>
        <v>-0.47551041940926453</v>
      </c>
      <c r="W11" s="38">
        <f>AVERAGE(VP9vsQY265_offline_superfast!S139:S158)</f>
        <v>-0.49124009371222588</v>
      </c>
      <c r="X11" s="38">
        <f>AVERAGE(VP9vsQY265_offline_superfast!T139:T158)</f>
        <v>-0.38887569663489552</v>
      </c>
      <c r="Y11" s="39">
        <f>AVERAGE(VP9vsQY265_offline_superfast!U139:U158)</f>
        <v>1.0299493040629208</v>
      </c>
      <c r="AB11" s="37" t="s">
        <v>115</v>
      </c>
      <c r="AC11" s="37" t="s">
        <v>72</v>
      </c>
      <c r="AD11" s="37" t="s">
        <v>68</v>
      </c>
      <c r="AE11" s="37" t="s">
        <v>69</v>
      </c>
      <c r="AF11" s="37" t="s">
        <v>70</v>
      </c>
      <c r="AG11" s="37" t="s">
        <v>71</v>
      </c>
      <c r="AH11" s="37" t="s">
        <v>74</v>
      </c>
    </row>
    <row r="12" spans="1:34" ht="16.5" thickBot="1" x14ac:dyDescent="0.3">
      <c r="A12" s="56"/>
      <c r="B12" s="37" t="s">
        <v>39</v>
      </c>
      <c r="C12" s="38">
        <f>AVERAGE(X264vsQY265_offline_superfast!Q159:Q174)</f>
        <v>-0.43358995311858056</v>
      </c>
      <c r="D12" s="38">
        <f>AVERAGE(X264vsQY265_offline_superfast!R159:R174)</f>
        <v>-0.52538848370928259</v>
      </c>
      <c r="E12" s="38">
        <f>AVERAGE(X264vsQY265_offline_superfast!S159:S174)</f>
        <v>-0.50718237519930587</v>
      </c>
      <c r="F12" s="38">
        <f>AVERAGE(X264vsQY265_offline_superfast!T159:T174)</f>
        <v>-0.44845404906778596</v>
      </c>
      <c r="G12" s="39">
        <f>AVERAGE(X264vsQY265_offline_superfast!U159:U174)</f>
        <v>-0.22272675406122536</v>
      </c>
      <c r="H12" s="40"/>
      <c r="J12" s="56"/>
      <c r="K12" s="37" t="s">
        <v>39</v>
      </c>
      <c r="L12" s="38">
        <f>AVERAGE(X265vsQY265_offline_superfast!Q159:Q174)</f>
        <v>-0.2075595704521464</v>
      </c>
      <c r="M12" s="38">
        <f>AVERAGE(X265vsQY265_offline_superfast!R159:R174)</f>
        <v>-0.40873456921031714</v>
      </c>
      <c r="N12" s="38">
        <f>AVERAGE(X265vsQY265_offline_superfast!S159:S174)</f>
        <v>-0.38993204595880104</v>
      </c>
      <c r="O12" s="38">
        <f>AVERAGE(X265vsQY265_offline_superfast!T159:T174)</f>
        <v>-0.24409736712831231</v>
      </c>
      <c r="P12" s="39">
        <f>AVERAGE(X265vsQY265_offline_superfast!U159:U174)</f>
        <v>2.0608753383300149</v>
      </c>
      <c r="S12" s="56"/>
      <c r="T12" s="37" t="s">
        <v>39</v>
      </c>
      <c r="U12" s="38">
        <f>AVERAGE(VP9vsQY265_offline_superfast!Q159:Q174)</f>
        <v>-0.25833797612481779</v>
      </c>
      <c r="V12" s="38">
        <f>AVERAGE(VP9vsQY265_offline_superfast!R159:R174)</f>
        <v>-0.41648398395700847</v>
      </c>
      <c r="W12" s="38">
        <f>AVERAGE(VP9vsQY265_offline_superfast!S159:S174)</f>
        <v>-0.42729017431260541</v>
      </c>
      <c r="X12" s="38">
        <f>AVERAGE(VP9vsQY265_offline_superfast!T159:T174)</f>
        <v>-0.29477213574508815</v>
      </c>
      <c r="Y12" s="39">
        <f>AVERAGE(VP9vsQY265_offline_superfast!U159:U174)</f>
        <v>1.9648460961919136</v>
      </c>
      <c r="AB12" s="55" t="s">
        <v>75</v>
      </c>
      <c r="AC12" s="37" t="s">
        <v>35</v>
      </c>
      <c r="AD12" s="38">
        <f>AVERAGE(IntelvsQY265_offline_veryfast!Q9:Q16)</f>
        <v>-5.2441765561140052E-2</v>
      </c>
      <c r="AE12" s="38">
        <f>AVERAGE(IntelvsQY265_offline_veryfast!R9:R16)</f>
        <v>-9.1769788452558509E-2</v>
      </c>
      <c r="AF12" s="38">
        <f>AVERAGE(IntelvsQY265_offline_veryfast!S9:S16)</f>
        <v>-9.0058550823487127E-2</v>
      </c>
      <c r="AG12" s="38">
        <f>AVERAGE(IntelvsQY265_offline_veryfast!T9:T16)</f>
        <v>-5.7429493110928487E-2</v>
      </c>
      <c r="AH12" s="39">
        <f>AVERAGE(IntelvsQY265_offline_veryfast!U9:U16)</f>
        <v>0.11223286474999999</v>
      </c>
    </row>
    <row r="13" spans="1:34" ht="16.5" thickBot="1" x14ac:dyDescent="0.3">
      <c r="A13" s="56"/>
      <c r="B13" s="37" t="s">
        <v>41</v>
      </c>
      <c r="C13" s="38">
        <f>AVERAGE(X264vsQY265_offline_superfast!Q175:Q190)</f>
        <v>-0.38916956715517653</v>
      </c>
      <c r="D13" s="38">
        <f>AVERAGE(X264vsQY265_offline_superfast!R175:R190)</f>
        <v>-0.56104521387245376</v>
      </c>
      <c r="E13" s="38">
        <f>AVERAGE(X264vsQY265_offline_superfast!S175:S190)</f>
        <v>-0.54982839773375314</v>
      </c>
      <c r="F13" s="38">
        <f>AVERAGE(X264vsQY265_offline_superfast!T175:T190)</f>
        <v>-0.41939438011452801</v>
      </c>
      <c r="G13" s="39">
        <f>AVERAGE(X264vsQY265_offline_superfast!U175:U190)</f>
        <v>-0.51151151152537877</v>
      </c>
      <c r="H13" s="40"/>
      <c r="J13" s="56"/>
      <c r="K13" s="37" t="s">
        <v>41</v>
      </c>
      <c r="L13" s="38">
        <f>AVERAGE(X265vsQY265_offline_superfast!Q175:Q190)</f>
        <v>-0.27463767471022577</v>
      </c>
      <c r="M13" s="38">
        <f>AVERAGE(X265vsQY265_offline_superfast!R175:R190)</f>
        <v>-0.46628566580802133</v>
      </c>
      <c r="N13" s="38">
        <f>AVERAGE(X265vsQY265_offline_superfast!S175:S190)</f>
        <v>-0.45448829931875895</v>
      </c>
      <c r="O13" s="38">
        <f>AVERAGE(X265vsQY265_offline_superfast!T175:T190)</f>
        <v>-0.31062694369170585</v>
      </c>
      <c r="P13" s="39">
        <f>AVERAGE(X265vsQY265_offline_superfast!U175:U190)</f>
        <v>1.3146280051804469</v>
      </c>
      <c r="S13" s="56"/>
      <c r="T13" s="37" t="s">
        <v>41</v>
      </c>
      <c r="U13" s="38">
        <f>AVERAGE(VP9vsQY265_offline_superfast!Q175:Q190)</f>
        <v>-0.33282515257381534</v>
      </c>
      <c r="V13" s="38">
        <f>AVERAGE(VP9vsQY265_offline_superfast!R175:R190)</f>
        <v>-0.41854961038506155</v>
      </c>
      <c r="W13" s="38">
        <f>AVERAGE(VP9vsQY265_offline_superfast!S175:S190)</f>
        <v>-0.4454132063592034</v>
      </c>
      <c r="X13" s="38">
        <f>AVERAGE(VP9vsQY265_offline_superfast!T175:T190)</f>
        <v>-0.36008309492812868</v>
      </c>
      <c r="Y13" s="39">
        <f>AVERAGE(VP9vsQY265_offline_superfast!U175:U190)</f>
        <v>2.8878241249600243</v>
      </c>
      <c r="AB13" s="56"/>
      <c r="AC13" s="37" t="s">
        <v>37</v>
      </c>
      <c r="AD13" s="38">
        <f>AVERAGE(IntelvsQY265_offline_veryfast!Q17:Q36)</f>
        <v>-9.1656925092207901E-3</v>
      </c>
      <c r="AE13" s="38">
        <f>AVERAGE(IntelvsQY265_offline_veryfast!R17:R36)</f>
        <v>-7.2102523690650469E-2</v>
      </c>
      <c r="AF13" s="38">
        <f>AVERAGE(IntelvsQY265_offline_veryfast!S17:S36)</f>
        <v>-8.2807539732442009E-2</v>
      </c>
      <c r="AG13" s="38">
        <f>AVERAGE(IntelvsQY265_offline_veryfast!T17:T36)</f>
        <v>-2.0369448269909229E-2</v>
      </c>
      <c r="AH13" s="39">
        <f>AVERAGE(IntelvsQY265_offline_veryfast!U17:U36)</f>
        <v>0.14446903793500004</v>
      </c>
    </row>
    <row r="14" spans="1:34" ht="16.5" thickBot="1" x14ac:dyDescent="0.3">
      <c r="A14" s="56"/>
      <c r="B14" s="37" t="s">
        <v>43</v>
      </c>
      <c r="C14" s="38">
        <f>AVERAGE(X264vsQY265_offline_superfast!Q191:Q202)</f>
        <v>-0.50715634216688044</v>
      </c>
      <c r="D14" s="38">
        <f>AVERAGE(X264vsQY265_offline_superfast!R191:R202)</f>
        <v>-0.65572047852916071</v>
      </c>
      <c r="E14" s="38">
        <f>AVERAGE(X264vsQY265_offline_superfast!S191:S202)</f>
        <v>-0.6565892458233592</v>
      </c>
      <c r="F14" s="38">
        <f>AVERAGE(X264vsQY265_offline_superfast!T191:T202)</f>
        <v>-0.54342036233724</v>
      </c>
      <c r="G14" s="39">
        <f>AVERAGE(X264vsQY265_offline_superfast!U191:U202)</f>
        <v>-8.3003044905632553E-2</v>
      </c>
      <c r="H14" s="40"/>
      <c r="J14" s="56"/>
      <c r="K14" s="37" t="s">
        <v>43</v>
      </c>
      <c r="L14" s="38">
        <f>AVERAGE(X265vsQY265_offline_superfast!Q191:Q202)</f>
        <v>-0.35278083321588016</v>
      </c>
      <c r="M14" s="38">
        <f>AVERAGE(X265vsQY265_offline_superfast!R191:R202)</f>
        <v>-0.46919078706664119</v>
      </c>
      <c r="N14" s="38">
        <f>AVERAGE(X265vsQY265_offline_superfast!S191:S202)</f>
        <v>-0.45662932163901826</v>
      </c>
      <c r="O14" s="38">
        <f>AVERAGE(X265vsQY265_offline_superfast!T191:T202)</f>
        <v>-0.37716949320380183</v>
      </c>
      <c r="P14" s="39">
        <f>AVERAGE(X265vsQY265_offline_superfast!U191:U202)</f>
        <v>2.3483456688545608</v>
      </c>
      <c r="S14" s="56"/>
      <c r="T14" s="37" t="s">
        <v>43</v>
      </c>
      <c r="U14" s="38">
        <f>AVERAGE(VP9vsQY265_offline_superfast!Q191:Q202)</f>
        <v>-0.3672646173871324</v>
      </c>
      <c r="V14" s="38">
        <f>AVERAGE(VP9vsQY265_offline_superfast!R191:R202)</f>
        <v>-0.22811163932110409</v>
      </c>
      <c r="W14" s="38">
        <f>AVERAGE(VP9vsQY265_offline_superfast!S191:S202)</f>
        <v>-0.22661191547338191</v>
      </c>
      <c r="X14" s="38">
        <f>AVERAGE(VP9vsQY265_offline_superfast!T191:T202)</f>
        <v>-0.33926759289319763</v>
      </c>
      <c r="Y14" s="39">
        <f>AVERAGE(VP9vsQY265_offline_superfast!U191:U202)</f>
        <v>1.041659715586027</v>
      </c>
      <c r="AB14" s="56"/>
      <c r="AC14" s="37" t="s">
        <v>39</v>
      </c>
      <c r="AD14" s="38">
        <f>AVERAGE(IntelvsQY265_offline_veryfast!Q37:Q52)</f>
        <v>-2.2288529421568115E-2</v>
      </c>
      <c r="AE14" s="38">
        <f>AVERAGE(IntelvsQY265_offline_veryfast!R37:R52)</f>
        <v>-9.4043425162256583E-2</v>
      </c>
      <c r="AF14" s="38">
        <f>AVERAGE(IntelvsQY265_offline_veryfast!S37:S52)</f>
        <v>-9.7423776287879377E-2</v>
      </c>
      <c r="AG14" s="38">
        <f>AVERAGE(IntelvsQY265_offline_veryfast!T37:T52)</f>
        <v>-3.5341121290309613E-2</v>
      </c>
      <c r="AH14" s="39">
        <f>AVERAGE(IntelvsQY265_offline_veryfast!U37:U52)</f>
        <v>0.27610624412500001</v>
      </c>
    </row>
    <row r="15" spans="1:34" ht="16.5" thickBot="1" x14ac:dyDescent="0.3">
      <c r="A15" s="56"/>
      <c r="B15" s="41" t="s">
        <v>106</v>
      </c>
      <c r="C15" s="38">
        <f>AVERAGE(X264vsQY265_offline_superfast!Q203:Q246)</f>
        <v>-0.38784710425581681</v>
      </c>
      <c r="D15" s="38">
        <f>AVERAGE(X264vsQY265_offline_superfast!R203:R246)</f>
        <v>-0.43409866301926159</v>
      </c>
      <c r="E15" s="38">
        <f>AVERAGE(X264vsQY265_offline_superfast!S203:S246)</f>
        <v>-0.41306631058650894</v>
      </c>
      <c r="F15" s="38">
        <f>AVERAGE(X264vsQY265_offline_superfast!T203:T246)</f>
        <v>-0.39741489752096459</v>
      </c>
      <c r="G15" s="39">
        <f>AVERAGE(X264vsQY265_offline_superfast!U203:U246)</f>
        <v>-5.3892128546235825E-2</v>
      </c>
      <c r="H15" s="40"/>
      <c r="J15" s="56"/>
      <c r="K15" s="41" t="s">
        <v>106</v>
      </c>
      <c r="L15" s="38">
        <f>AVERAGE(X265vsQY265_offline_superfast!Q203:Q246)</f>
        <v>-0.26893806721375424</v>
      </c>
      <c r="M15" s="38">
        <f>AVERAGE(X265vsQY265_offline_superfast!R203:R246)</f>
        <v>-0.38604805644015805</v>
      </c>
      <c r="N15" s="38">
        <f>AVERAGE(X265vsQY265_offline_superfast!S203:S246)</f>
        <v>-0.37791733735698385</v>
      </c>
      <c r="O15" s="38">
        <f>AVERAGE(X265vsQY265_offline_superfast!T203:T246)</f>
        <v>-0.29324492385980011</v>
      </c>
      <c r="P15" s="39">
        <f>AVERAGE(X265vsQY265_offline_superfast!U203:U246)</f>
        <v>2.0362562093577963</v>
      </c>
      <c r="S15" s="56"/>
      <c r="T15" s="41" t="s">
        <v>106</v>
      </c>
      <c r="U15" s="38">
        <f>AVERAGE(VP9vsQY265_offline_superfast!Q203:Q246)</f>
        <v>-0.25908751472918085</v>
      </c>
      <c r="V15" s="38">
        <f>AVERAGE(VP9vsQY265_offline_superfast!R203:R246)</f>
        <v>-0.39541562114927514</v>
      </c>
      <c r="W15" s="38">
        <f>AVERAGE(VP9vsQY265_offline_superfast!S203:S246)</f>
        <v>-0.38602822137232468</v>
      </c>
      <c r="X15" s="38">
        <f>AVERAGE(VP9vsQY265_offline_superfast!T203:T246)</f>
        <v>-0.28933988102581509</v>
      </c>
      <c r="Y15" s="39">
        <f>AVERAGE(VP9vsQY265_offline_superfast!U203:U246)</f>
        <v>0.84539175126552157</v>
      </c>
      <c r="AB15" s="56"/>
      <c r="AC15" s="37" t="s">
        <v>41</v>
      </c>
      <c r="AD15" s="38">
        <f>AVERAGE(IntelvsQY265_offline_veryfast!Q53:Q68)</f>
        <v>1.6622995442352656E-2</v>
      </c>
      <c r="AE15" s="38">
        <f>AVERAGE(IntelvsQY265_offline_veryfast!R53:R68)</f>
        <v>-7.6090738978633193E-2</v>
      </c>
      <c r="AF15" s="38">
        <f>AVERAGE(IntelvsQY265_offline_veryfast!S53:S68)</f>
        <v>-7.2445655525471442E-2</v>
      </c>
      <c r="AG15" s="38">
        <f>AVERAGE(IntelvsQY265_offline_veryfast!T53:T68)</f>
        <v>7.1724486788735109E-4</v>
      </c>
      <c r="AH15" s="39">
        <f>AVERAGE(IntelvsQY265_offline_veryfast!U53:U68)</f>
        <v>0.67657628478333343</v>
      </c>
    </row>
    <row r="16" spans="1:34" ht="15.75" customHeight="1" thickBot="1" x14ac:dyDescent="0.3">
      <c r="A16" s="57"/>
      <c r="B16" s="37" t="s">
        <v>76</v>
      </c>
      <c r="C16" s="38">
        <f>X264vsQY265_offline_superfast!Q247</f>
        <v>-0.43401635473509165</v>
      </c>
      <c r="D16" s="38">
        <f>X264vsQY265_offline_superfast!R247</f>
        <v>-0.51977917835698106</v>
      </c>
      <c r="E16" s="38">
        <f>X264vsQY265_offline_superfast!S247</f>
        <v>-0.51483327557806424</v>
      </c>
      <c r="F16" s="38">
        <f>X264vsQY265_offline_superfast!T247</f>
        <v>-0.45081661093350472</v>
      </c>
      <c r="G16" s="39">
        <f>X264vsQY265_offline_superfast!U247</f>
        <v>-9.5294629596617775E-2</v>
      </c>
      <c r="H16" s="40"/>
      <c r="J16" s="57"/>
      <c r="K16" s="37" t="s">
        <v>76</v>
      </c>
      <c r="L16" s="38">
        <f>X265vsQY265_offline_superfast!Q247</f>
        <v>-0.24709876937496428</v>
      </c>
      <c r="M16" s="38">
        <f>X265vsQY265_offline_superfast!R247</f>
        <v>-0.42223502037563321</v>
      </c>
      <c r="N16" s="38">
        <f>X265vsQY265_offline_superfast!S247</f>
        <v>-0.41200427171840309</v>
      </c>
      <c r="O16" s="38">
        <f>X265vsQY265_offline_superfast!T247</f>
        <v>-0.27976136907533916</v>
      </c>
      <c r="P16" s="39">
        <f>X265vsQY265_offline_superfast!U247</f>
        <v>1.9720322218814732</v>
      </c>
      <c r="S16" s="57"/>
      <c r="T16" s="37" t="s">
        <v>76</v>
      </c>
      <c r="U16" s="38">
        <f>VP9vsQY265_offline_superfast!Q247</f>
        <v>-0.29877071336429684</v>
      </c>
      <c r="V16" s="38">
        <f>VP9vsQY265_offline_superfast!R247</f>
        <v>-0.40264024047295677</v>
      </c>
      <c r="W16" s="38">
        <f>VP9vsQY265_offline_superfast!S247</f>
        <v>-0.40758861184534245</v>
      </c>
      <c r="X16" s="38">
        <f>VP9vsQY265_offline_superfast!T247</f>
        <v>-0.32234973601530875</v>
      </c>
      <c r="Y16" s="39">
        <f>VP9vsQY265_offline_superfast!U247</f>
        <v>1.3256096142862683</v>
      </c>
      <c r="AB16" s="56"/>
      <c r="AC16" s="37" t="s">
        <v>43</v>
      </c>
      <c r="AD16" s="38">
        <f>AVERAGE(IntelvsQY265_offline_veryfast!Q69:Q80)</f>
        <v>-9.3123608633991564E-2</v>
      </c>
      <c r="AE16" s="38">
        <f>AVERAGE(IntelvsQY265_offline_veryfast!R69:R80)</f>
        <v>-0.25292593405455971</v>
      </c>
      <c r="AF16" s="38">
        <f>AVERAGE(IntelvsQY265_offline_veryfast!S69:S80)</f>
        <v>-0.2739162625772244</v>
      </c>
      <c r="AG16" s="38">
        <f>AVERAGE(IntelvsQY265_offline_veryfast!T69:T80)</f>
        <v>-0.13598509658631627</v>
      </c>
      <c r="AH16" s="39">
        <f>AVERAGE(IntelvsQY265_offline_veryfast!U69:U80)</f>
        <v>0.25950901881944433</v>
      </c>
    </row>
    <row r="17" spans="1:34" ht="16.5" thickBot="1" x14ac:dyDescent="0.3">
      <c r="A17" s="58" t="s">
        <v>212</v>
      </c>
      <c r="B17" s="59"/>
      <c r="C17" s="59"/>
      <c r="D17" s="59"/>
      <c r="E17" s="59"/>
      <c r="F17" s="59"/>
      <c r="G17" s="60"/>
      <c r="H17" s="40"/>
      <c r="J17" s="58" t="s">
        <v>215</v>
      </c>
      <c r="K17" s="59"/>
      <c r="L17" s="59"/>
      <c r="M17" s="59"/>
      <c r="N17" s="59"/>
      <c r="O17" s="59"/>
      <c r="P17" s="60"/>
      <c r="S17" s="58" t="s">
        <v>217</v>
      </c>
      <c r="T17" s="59"/>
      <c r="U17" s="59"/>
      <c r="V17" s="59"/>
      <c r="W17" s="59"/>
      <c r="X17" s="59"/>
      <c r="Y17" s="60"/>
      <c r="AB17" s="56"/>
      <c r="AC17" s="41" t="s">
        <v>106</v>
      </c>
      <c r="AD17" s="38">
        <f>AVERAGE(IntelvsQY265_offline_veryfast!Q81:Q124)</f>
        <v>3.8011608555320237E-2</v>
      </c>
      <c r="AE17" s="38">
        <f>AVERAGE(IntelvsQY265_offline_veryfast!R81:R124)</f>
        <v>-7.5339263585939648E-2</v>
      </c>
      <c r="AF17" s="38">
        <f>AVERAGE(IntelvsQY265_offline_veryfast!S81:S124)</f>
        <v>-8.078634989950062E-2</v>
      </c>
      <c r="AG17" s="38">
        <f>AVERAGE(IntelvsQY265_offline_veryfast!T81:T124)</f>
        <v>1.2473491330149673E-2</v>
      </c>
      <c r="AH17" s="39">
        <f>AVERAGE(IntelvsQY265_offline_veryfast!U81:U124)</f>
        <v>0.23409401020959589</v>
      </c>
    </row>
    <row r="18" spans="1:34" ht="16.5" thickBot="1" x14ac:dyDescent="0.3">
      <c r="A18" s="37" t="s">
        <v>73</v>
      </c>
      <c r="B18" s="37" t="s">
        <v>72</v>
      </c>
      <c r="C18" s="37" t="s">
        <v>68</v>
      </c>
      <c r="D18" s="37" t="s">
        <v>69</v>
      </c>
      <c r="E18" s="37" t="s">
        <v>70</v>
      </c>
      <c r="F18" s="37" t="s">
        <v>71</v>
      </c>
      <c r="G18" s="37" t="s">
        <v>74</v>
      </c>
      <c r="H18" s="40"/>
      <c r="J18" s="37" t="s">
        <v>73</v>
      </c>
      <c r="K18" s="37" t="s">
        <v>72</v>
      </c>
      <c r="L18" s="37" t="s">
        <v>68</v>
      </c>
      <c r="M18" s="37" t="s">
        <v>69</v>
      </c>
      <c r="N18" s="37" t="s">
        <v>70</v>
      </c>
      <c r="O18" s="37" t="s">
        <v>71</v>
      </c>
      <c r="P18" s="37" t="s">
        <v>74</v>
      </c>
      <c r="S18" s="37" t="s">
        <v>115</v>
      </c>
      <c r="T18" s="37" t="s">
        <v>72</v>
      </c>
      <c r="U18" s="37" t="s">
        <v>68</v>
      </c>
      <c r="V18" s="37" t="s">
        <v>69</v>
      </c>
      <c r="W18" s="37" t="s">
        <v>70</v>
      </c>
      <c r="X18" s="37" t="s">
        <v>71</v>
      </c>
      <c r="Y18" s="37" t="s">
        <v>74</v>
      </c>
      <c r="AB18" s="57"/>
      <c r="AC18" s="37" t="s">
        <v>76</v>
      </c>
      <c r="AD18" s="38">
        <f>IntelvsQY265_offline_veryfast!Q125</f>
        <v>-1.1936986682309664E-3</v>
      </c>
      <c r="AE18" s="38">
        <f>IntelvsQY265_offline_veryfast!R125</f>
        <v>-9.6968915638998052E-2</v>
      </c>
      <c r="AF18" s="38">
        <f>IntelvsQY265_offline_veryfast!S125</f>
        <v>-0.10289762635133683</v>
      </c>
      <c r="AG18" s="38">
        <f>IntelvsQY265_offline_veryfast!T125</f>
        <v>-2.1584435116841192E-2</v>
      </c>
      <c r="AH18" s="39">
        <f>IntelvsQY265_offline_veryfast!U125</f>
        <v>0.27969317943352501</v>
      </c>
    </row>
    <row r="19" spans="1:34" ht="16.5" thickBot="1" x14ac:dyDescent="0.3">
      <c r="A19" s="55">
        <v>1</v>
      </c>
      <c r="B19" s="37" t="s">
        <v>35</v>
      </c>
      <c r="C19" s="38">
        <f>AVERAGE(X264vsQY265_offline_veryfast!Q9:Q16)</f>
        <v>-0.43562073438546922</v>
      </c>
      <c r="D19" s="38">
        <f>AVERAGE(X264vsQY265_offline_veryfast!R9:R16)</f>
        <v>-0.41738283329457926</v>
      </c>
      <c r="E19" s="38">
        <f>AVERAGE(X264vsQY265_offline_veryfast!S9:S16)</f>
        <v>-0.44973375001694865</v>
      </c>
      <c r="F19" s="38">
        <f>AVERAGE(X264vsQY265_offline_veryfast!T9:T16)</f>
        <v>-0.43661824374323049</v>
      </c>
      <c r="G19" s="39">
        <f>AVERAGE(X264vsQY265_offline_veryfast!U9:U16)</f>
        <v>8.4355820666034281E-2</v>
      </c>
      <c r="H19" s="40"/>
      <c r="J19" s="55">
        <v>1</v>
      </c>
      <c r="K19" s="37" t="s">
        <v>35</v>
      </c>
      <c r="L19" s="38">
        <f>AVERAGE(X265vsQY265_offline_veryfast!Q9:Q16)</f>
        <v>-0.19476468398104696</v>
      </c>
      <c r="M19" s="38">
        <f>AVERAGE(X265vsQY265_offline_veryfast!R9:R16)</f>
        <v>-0.47139683102511681</v>
      </c>
      <c r="N19" s="38">
        <f>AVERAGE(X265vsQY265_offline_veryfast!S9:S16)</f>
        <v>-0.47295053250366764</v>
      </c>
      <c r="O19" s="38">
        <f>AVERAGE(X265vsQY265_offline_veryfast!T9:T16)</f>
        <v>-0.23954775632838243</v>
      </c>
      <c r="P19" s="39">
        <f>AVERAGE(X265vsQY265_offline_veryfast!U9:U16)</f>
        <v>0.60091363612014714</v>
      </c>
      <c r="S19" s="55">
        <v>1</v>
      </c>
      <c r="T19" s="37" t="s">
        <v>35</v>
      </c>
      <c r="U19" s="38">
        <f>AVERAGE(VP9vsQY265_offline_veryfast!Q9:Q16)</f>
        <v>-0.34573950738685449</v>
      </c>
      <c r="V19" s="38">
        <f>AVERAGE(VP9vsQY265_offline_veryfast!R9:R16)</f>
        <v>-0.49845441673040825</v>
      </c>
      <c r="W19" s="38">
        <f>AVERAGE(VP9vsQY265_offline_veryfast!S9:S16)</f>
        <v>-0.5083947046588988</v>
      </c>
      <c r="X19" s="38">
        <f>AVERAGE(VP9vsQY265_offline_veryfast!T9:T16)</f>
        <v>-0.36914859893304974</v>
      </c>
      <c r="Y19" s="39">
        <f>AVERAGE(VP9vsQY265_offline_veryfast!U9:U16)</f>
        <v>0.19627376792075629</v>
      </c>
      <c r="AB19" s="58" t="s">
        <v>144</v>
      </c>
      <c r="AC19" s="59"/>
      <c r="AD19" s="59"/>
      <c r="AE19" s="59"/>
      <c r="AF19" s="59"/>
      <c r="AG19" s="59"/>
      <c r="AH19" s="60"/>
    </row>
    <row r="20" spans="1:34" ht="16.5" thickBot="1" x14ac:dyDescent="0.3">
      <c r="A20" s="56"/>
      <c r="B20" s="37" t="s">
        <v>37</v>
      </c>
      <c r="C20" s="38">
        <f>AVERAGE(X264vsQY265_offline_veryfast!Q17:Q36)</f>
        <v>-0.50996093053607994</v>
      </c>
      <c r="D20" s="38">
        <f>AVERAGE(X264vsQY265_offline_veryfast!R17:R36)</f>
        <v>-0.55565710261757983</v>
      </c>
      <c r="E20" s="38">
        <f>AVERAGE(X264vsQY265_offline_veryfast!S17:S36)</f>
        <v>-0.56386881755037621</v>
      </c>
      <c r="F20" s="38">
        <f>AVERAGE(X264vsQY265_offline_veryfast!T17:T36)</f>
        <v>-0.5186133275434438</v>
      </c>
      <c r="G20" s="39">
        <f>AVERAGE(X264vsQY265_offline_veryfast!U17:U36)</f>
        <v>0.35078448402687135</v>
      </c>
      <c r="H20" s="40"/>
      <c r="J20" s="56"/>
      <c r="K20" s="37" t="s">
        <v>37</v>
      </c>
      <c r="L20" s="38">
        <f>AVERAGE(X265vsQY265_offline_veryfast!Q17:Q36)</f>
        <v>-0.24082507539930137</v>
      </c>
      <c r="M20" s="38">
        <f>AVERAGE(X265vsQY265_offline_veryfast!R17:R36)</f>
        <v>-0.47495563044399675</v>
      </c>
      <c r="N20" s="38">
        <f>AVERAGE(X265vsQY265_offline_veryfast!S17:S36)</f>
        <v>-0.45689065803099338</v>
      </c>
      <c r="O20" s="38">
        <f>AVERAGE(X265vsQY265_offline_veryfast!T17:T36)</f>
        <v>-0.2808824901844244</v>
      </c>
      <c r="P20" s="39">
        <f>AVERAGE(X265vsQY265_offline_veryfast!U17:U36)</f>
        <v>0.86858332802560712</v>
      </c>
      <c r="S20" s="56"/>
      <c r="T20" s="37" t="s">
        <v>37</v>
      </c>
      <c r="U20" s="38">
        <f>AVERAGE(VP9vsQY265_offline_veryfast!Q17:Q36)</f>
        <v>-0.43118266313923037</v>
      </c>
      <c r="V20" s="38">
        <f>AVERAGE(VP9vsQY265_offline_veryfast!R17:R36)</f>
        <v>-0.51244400919026023</v>
      </c>
      <c r="W20" s="38">
        <f>AVERAGE(VP9vsQY265_offline_veryfast!S17:S36)</f>
        <v>-0.52077526600509683</v>
      </c>
      <c r="X20" s="38">
        <f>AVERAGE(VP9vsQY265_offline_veryfast!T17:T36)</f>
        <v>-0.44844344588545465</v>
      </c>
      <c r="Y20" s="39">
        <f>AVERAGE(VP9vsQY265_offline_veryfast!U17:U36)</f>
        <v>0.38237265002377691</v>
      </c>
      <c r="AB20" s="37" t="s">
        <v>115</v>
      </c>
      <c r="AC20" s="37" t="s">
        <v>72</v>
      </c>
      <c r="AD20" s="37" t="s">
        <v>68</v>
      </c>
      <c r="AE20" s="37" t="s">
        <v>69</v>
      </c>
      <c r="AF20" s="37" t="s">
        <v>70</v>
      </c>
      <c r="AG20" s="37" t="s">
        <v>71</v>
      </c>
      <c r="AH20" s="37" t="s">
        <v>74</v>
      </c>
    </row>
    <row r="21" spans="1:34" ht="16.5" thickBot="1" x14ac:dyDescent="0.3">
      <c r="A21" s="56"/>
      <c r="B21" s="37" t="s">
        <v>39</v>
      </c>
      <c r="C21" s="38">
        <f>AVERAGE(X264vsQY265_offline_veryfast!Q37:Q52)</f>
        <v>-0.38191167068485876</v>
      </c>
      <c r="D21" s="38">
        <f>AVERAGE(X264vsQY265_offline_veryfast!R37:R52)</f>
        <v>-0.4975532428942292</v>
      </c>
      <c r="E21" s="38">
        <f>AVERAGE(X264vsQY265_offline_veryfast!S37:S52)</f>
        <v>-0.49452037529280973</v>
      </c>
      <c r="F21" s="38">
        <f>AVERAGE(X264vsQY265_offline_veryfast!T37:T52)</f>
        <v>-0.40262764300555703</v>
      </c>
      <c r="G21" s="39">
        <f>AVERAGE(X264vsQY265_offline_veryfast!U37:U52)</f>
        <v>1.5568373870781421E-2</v>
      </c>
      <c r="H21" s="40"/>
      <c r="J21" s="56"/>
      <c r="K21" s="37" t="s">
        <v>39</v>
      </c>
      <c r="L21" s="38">
        <f>AVERAGE(X265vsQY265_offline_veryfast!Q37:Q52)</f>
        <v>-0.27920536616628255</v>
      </c>
      <c r="M21" s="38">
        <f>AVERAGE(X265vsQY265_offline_veryfast!R37:R52)</f>
        <v>-0.46798489360961071</v>
      </c>
      <c r="N21" s="38">
        <f>AVERAGE(X265vsQY265_offline_veryfast!S37:S52)</f>
        <v>-0.45559765646200806</v>
      </c>
      <c r="O21" s="38">
        <f>AVERAGE(X265vsQY265_offline_veryfast!T37:T52)</f>
        <v>-0.31480115562638544</v>
      </c>
      <c r="P21" s="39">
        <f>AVERAGE(X265vsQY265_offline_veryfast!U37:U52)</f>
        <v>0.82737354926335938</v>
      </c>
      <c r="S21" s="56"/>
      <c r="T21" s="37" t="s">
        <v>39</v>
      </c>
      <c r="U21" s="38">
        <f>AVERAGE(VP9vsQY265_offline_veryfast!Q37:Q52)</f>
        <v>-0.35475187585014989</v>
      </c>
      <c r="V21" s="38">
        <f>AVERAGE(VP9vsQY265_offline_veryfast!R37:R52)</f>
        <v>-0.48518913606172109</v>
      </c>
      <c r="W21" s="38">
        <f>AVERAGE(VP9vsQY265_offline_veryfast!S37:S52)</f>
        <v>-0.49969573781472454</v>
      </c>
      <c r="X21" s="38">
        <f>AVERAGE(VP9vsQY265_offline_veryfast!T37:T52)</f>
        <v>-0.38477568065084744</v>
      </c>
      <c r="Y21" s="39">
        <f>AVERAGE(VP9vsQY265_offline_veryfast!U37:U52)</f>
        <v>0.12162682537345199</v>
      </c>
      <c r="AB21" s="55" t="s">
        <v>75</v>
      </c>
      <c r="AC21" s="37" t="s">
        <v>35</v>
      </c>
      <c r="AD21" s="38">
        <f>AVERAGE(IntelvsQY265_offline_slow!Q9:Q16)</f>
        <v>-0.11295781424531498</v>
      </c>
      <c r="AE21" s="38">
        <f>AVERAGE(IntelvsQY265_offline_slow!R9:R16)</f>
        <v>-0.40485118357717698</v>
      </c>
      <c r="AF21" s="38">
        <f>AVERAGE(IntelvsQY265_offline_slow!S9:S16)</f>
        <v>-0.41984884196778455</v>
      </c>
      <c r="AG21" s="38">
        <f>AVERAGE(IntelvsQY265_offline_slow!T9:T16)</f>
        <v>-0.1658941466666598</v>
      </c>
      <c r="AH21" s="39">
        <f>AVERAGE(IntelvsQY265_offline_slow!U9:U16)</f>
        <v>-0.41659708808333334</v>
      </c>
    </row>
    <row r="22" spans="1:34" ht="16.5" thickBot="1" x14ac:dyDescent="0.3">
      <c r="A22" s="56"/>
      <c r="B22" s="37" t="s">
        <v>41</v>
      </c>
      <c r="C22" s="38">
        <f>AVERAGE(X264vsQY265_offline_veryfast!Q53:Q68)</f>
        <v>-0.31496342103323904</v>
      </c>
      <c r="D22" s="38">
        <f>AVERAGE(X264vsQY265_offline_veryfast!R53:R68)</f>
        <v>-0.5148145676871454</v>
      </c>
      <c r="E22" s="38">
        <f>AVERAGE(X264vsQY265_offline_veryfast!S53:S68)</f>
        <v>-0.50821486191487342</v>
      </c>
      <c r="F22" s="38">
        <f>AVERAGE(X264vsQY265_offline_veryfast!T53:T68)</f>
        <v>-0.35069718069350098</v>
      </c>
      <c r="G22" s="39">
        <f>AVERAGE(X264vsQY265_offline_veryfast!U53:U68)</f>
        <v>-0.1516844862684168</v>
      </c>
      <c r="H22" s="40"/>
      <c r="J22" s="56"/>
      <c r="K22" s="37" t="s">
        <v>41</v>
      </c>
      <c r="L22" s="38">
        <f>AVERAGE(X265vsQY265_offline_veryfast!Q53:Q68)</f>
        <v>-0.32513957447943354</v>
      </c>
      <c r="M22" s="38">
        <f>AVERAGE(X265vsQY265_offline_veryfast!R53:R68)</f>
        <v>-0.50575930353224208</v>
      </c>
      <c r="N22" s="38">
        <f>AVERAGE(X265vsQY265_offline_veryfast!S53:S68)</f>
        <v>-0.48546735938120134</v>
      </c>
      <c r="O22" s="38">
        <f>AVERAGE(X265vsQY265_offline_veryfast!T53:T68)</f>
        <v>-0.35842841918433088</v>
      </c>
      <c r="P22" s="39">
        <f>AVERAGE(X265vsQY265_offline_veryfast!U53:U68)</f>
        <v>0.62272833953788953</v>
      </c>
      <c r="S22" s="56"/>
      <c r="T22" s="37" t="s">
        <v>41</v>
      </c>
      <c r="U22" s="38">
        <f>AVERAGE(VP9vsQY265_offline_veryfast!Q53:Q68)</f>
        <v>-0.4060094772894754</v>
      </c>
      <c r="V22" s="38">
        <f>AVERAGE(VP9vsQY265_offline_veryfast!R53:R68)</f>
        <v>-0.47159035916411551</v>
      </c>
      <c r="W22" s="38">
        <f>AVERAGE(VP9vsQY265_offline_veryfast!S53:S68)</f>
        <v>-0.49093752075250169</v>
      </c>
      <c r="X22" s="38">
        <f>AVERAGE(VP9vsQY265_offline_veryfast!T53:T68)</f>
        <v>-0.42851834069413364</v>
      </c>
      <c r="Y22" s="39">
        <f>AVERAGE(VP9vsQY265_offline_veryfast!U53:U68)</f>
        <v>6.5027014249035148E-2</v>
      </c>
      <c r="AB22" s="56"/>
      <c r="AC22" s="37" t="s">
        <v>37</v>
      </c>
      <c r="AD22" s="38">
        <f>AVERAGE(IntelvsQY265_offline_slow!Q17:Q36)</f>
        <v>-9.5805223943750489E-2</v>
      </c>
      <c r="AE22" s="38">
        <f>AVERAGE(IntelvsQY265_offline_slow!R17:R36)</f>
        <v>-0.32600687251186933</v>
      </c>
      <c r="AF22" s="38">
        <f>AVERAGE(IntelvsQY265_offline_slow!S17:S36)</f>
        <v>-0.33748845992641774</v>
      </c>
      <c r="AG22" s="38">
        <f>AVERAGE(IntelvsQY265_offline_slow!T17:T36)</f>
        <v>-0.13717529040351231</v>
      </c>
      <c r="AH22" s="39">
        <f>AVERAGE(IntelvsQY265_offline_slow!U17:U36)</f>
        <v>-0.2898687326208334</v>
      </c>
    </row>
    <row r="23" spans="1:34" ht="16.5" thickBot="1" x14ac:dyDescent="0.3">
      <c r="A23" s="56"/>
      <c r="B23" s="37" t="s">
        <v>43</v>
      </c>
      <c r="C23" s="38">
        <f>AVERAGE(X264vsQY265_offline_veryfast!Q69:Q80)</f>
        <v>-0.47995798043429055</v>
      </c>
      <c r="D23" s="38">
        <f>AVERAGE(X264vsQY265_offline_veryfast!R69:R80)</f>
        <v>-0.61461385382329503</v>
      </c>
      <c r="E23" s="38">
        <f>AVERAGE(X264vsQY265_offline_veryfast!S69:S80)</f>
        <v>-0.63929218960588607</v>
      </c>
      <c r="F23" s="38">
        <f>AVERAGE(X264vsQY265_offline_veryfast!T69:T80)</f>
        <v>-0.51724895570788032</v>
      </c>
      <c r="G23" s="39">
        <f>AVERAGE(X264vsQY265_offline_veryfast!U69:U80)</f>
        <v>0.47031669733021392</v>
      </c>
      <c r="H23" s="40"/>
      <c r="J23" s="56"/>
      <c r="K23" s="37" t="s">
        <v>43</v>
      </c>
      <c r="L23" s="38">
        <f>AVERAGE(X265vsQY265_offline_veryfast!Q69:Q80)</f>
        <v>-0.38446344135578059</v>
      </c>
      <c r="M23" s="38">
        <f>AVERAGE(X265vsQY265_offline_veryfast!R69:R80)</f>
        <v>-0.47219841151015701</v>
      </c>
      <c r="N23" s="38">
        <f>AVERAGE(X265vsQY265_offline_veryfast!S69:S80)</f>
        <v>-0.47696965635886429</v>
      </c>
      <c r="O23" s="38">
        <f>AVERAGE(X265vsQY265_offline_veryfast!T69:T80)</f>
        <v>-0.40529517338309579</v>
      </c>
      <c r="P23" s="39">
        <f>AVERAGE(X265vsQY265_offline_veryfast!U69:U80)</f>
        <v>0.93040128263555089</v>
      </c>
      <c r="S23" s="56"/>
      <c r="T23" s="37" t="s">
        <v>43</v>
      </c>
      <c r="U23" s="38">
        <f>AVERAGE(VP9vsQY265_offline_veryfast!Q69:Q80)</f>
        <v>-0.43838958462717775</v>
      </c>
      <c r="V23" s="38">
        <f>AVERAGE(VP9vsQY265_offline_veryfast!R69:R80)</f>
        <v>-0.27874302926118838</v>
      </c>
      <c r="W23" s="38">
        <f>AVERAGE(VP9vsQY265_offline_veryfast!S69:S80)</f>
        <v>-0.2886645097298125</v>
      </c>
      <c r="X23" s="38">
        <f>AVERAGE(VP9vsQY265_offline_veryfast!T69:T80)</f>
        <v>-0.40716825370322801</v>
      </c>
      <c r="Y23" s="39">
        <f>AVERAGE(VP9vsQY265_offline_veryfast!U69:U80)</f>
        <v>0.31887152008828151</v>
      </c>
      <c r="AB23" s="56"/>
      <c r="AC23" s="37" t="s">
        <v>39</v>
      </c>
      <c r="AD23" s="38">
        <f>AVERAGE(IntelvsQY265_offline_slow!Q37:Q52)</f>
        <v>-0.13651439394976872</v>
      </c>
      <c r="AE23" s="38">
        <f>AVERAGE(IntelvsQY265_offline_slow!R37:R52)</f>
        <v>-0.33978640270112431</v>
      </c>
      <c r="AF23" s="38">
        <f>AVERAGE(IntelvsQY265_offline_slow!S37:S52)</f>
        <v>-0.32986947312079606</v>
      </c>
      <c r="AG23" s="38">
        <f>AVERAGE(IntelvsQY265_offline_slow!T37:T52)</f>
        <v>-0.17392897328183499</v>
      </c>
      <c r="AH23" s="39">
        <f>AVERAGE(IntelvsQY265_offline_slow!U37:U52)</f>
        <v>-0.17517793933124998</v>
      </c>
    </row>
    <row r="24" spans="1:34" ht="16.5" thickBot="1" x14ac:dyDescent="0.3">
      <c r="A24" s="56"/>
      <c r="B24" s="41" t="s">
        <v>106</v>
      </c>
      <c r="C24" s="38">
        <f>AVERAGE(X264vsQY265_offline_veryfast!Q81:Q124)</f>
        <v>-0.364375708068926</v>
      </c>
      <c r="D24" s="38">
        <f>AVERAGE(X264vsQY265_offline_veryfast!R81:R124)</f>
        <v>-0.43704014746808695</v>
      </c>
      <c r="E24" s="38">
        <f>AVERAGE(X264vsQY265_offline_veryfast!S81:S124)</f>
        <v>-0.4251212648045582</v>
      </c>
      <c r="F24" s="38">
        <f>AVERAGE(X264vsQY265_offline_veryfast!T81:T124)</f>
        <v>-0.37971074512290753</v>
      </c>
      <c r="G24" s="39">
        <f>AVERAGE(X264vsQY265_offline_veryfast!U81:U124)</f>
        <v>9.310017835373717E-2</v>
      </c>
      <c r="H24" s="40"/>
      <c r="J24" s="56"/>
      <c r="K24" s="41" t="s">
        <v>106</v>
      </c>
      <c r="L24" s="38">
        <f>AVERAGE(X265vsQY265_offline_veryfast!Q81:Q124)</f>
        <v>-0.32801683344902149</v>
      </c>
      <c r="M24" s="38">
        <f>AVERAGE(X265vsQY265_offline_veryfast!R81:R124)</f>
        <v>-0.44864048481103436</v>
      </c>
      <c r="N24" s="38">
        <f>AVERAGE(X265vsQY265_offline_veryfast!S81:S124)</f>
        <v>-0.44575072870793375</v>
      </c>
      <c r="O24" s="38">
        <f>AVERAGE(X265vsQY265_offline_veryfast!T81:T124)</f>
        <v>-0.35432104468219433</v>
      </c>
      <c r="P24" s="39">
        <f>AVERAGE(X265vsQY265_offline_veryfast!U81:U124)</f>
        <v>0.86034693027884479</v>
      </c>
      <c r="S24" s="56"/>
      <c r="T24" s="41" t="s">
        <v>106</v>
      </c>
      <c r="U24" s="38">
        <f>AVERAGE(VP9vsQY265_offline_veryfast!Q81:Q124)</f>
        <v>-0.34273666947621462</v>
      </c>
      <c r="V24" s="38">
        <f>AVERAGE(VP9vsQY265_offline_veryfast!R81:R124)</f>
        <v>-0.46717598278004274</v>
      </c>
      <c r="W24" s="38">
        <f>AVERAGE(VP9vsQY265_offline_veryfast!S81:S124)</f>
        <v>-0.46199638685714767</v>
      </c>
      <c r="X24" s="38">
        <f>AVERAGE(VP9vsQY265_offline_veryfast!T81:T124)</f>
        <v>-0.37190513493785105</v>
      </c>
      <c r="Y24" s="39">
        <f>AVERAGE(VP9vsQY265_offline_veryfast!U81:U124)</f>
        <v>9.1809828102621407E-2</v>
      </c>
      <c r="AB24" s="56"/>
      <c r="AC24" s="37" t="s">
        <v>41</v>
      </c>
      <c r="AD24" s="38">
        <f>AVERAGE(IntelvsQY265_offline_slow!Q53:Q68)</f>
        <v>-2.6714575759376913E-2</v>
      </c>
      <c r="AE24" s="38">
        <f>AVERAGE(IntelvsQY265_offline_slow!R53:R68)</f>
        <v>-0.24877227471134611</v>
      </c>
      <c r="AF24" s="38">
        <f>AVERAGE(IntelvsQY265_offline_slow!S53:S68)</f>
        <v>-0.23825082725717192</v>
      </c>
      <c r="AG24" s="38">
        <f>AVERAGE(IntelvsQY265_offline_slow!T53:T68)</f>
        <v>-6.7068046213358573E-2</v>
      </c>
      <c r="AH24" s="39">
        <f>AVERAGE(IntelvsQY265_offline_slow!U53:U68)</f>
        <v>0.6171862059020834</v>
      </c>
    </row>
    <row r="25" spans="1:34" ht="16.5" thickBot="1" x14ac:dyDescent="0.3">
      <c r="A25" s="57"/>
      <c r="B25" s="37" t="s">
        <v>76</v>
      </c>
      <c r="C25" s="38">
        <f>X264vsQY265_offline_veryfast!Q125</f>
        <v>-0.4019501109787858</v>
      </c>
      <c r="D25" s="38">
        <f>X264vsQY265_offline_veryfast!R125</f>
        <v>-0.49357950364211706</v>
      </c>
      <c r="E25" s="38">
        <f>X264vsQY265_offline_veryfast!S125</f>
        <v>-0.49392975925118304</v>
      </c>
      <c r="F25" s="38">
        <f>X264vsQY265_offline_veryfast!T125</f>
        <v>-0.42097129253363913</v>
      </c>
      <c r="G25" s="39">
        <f>X264vsQY265_offline_veryfast!U125</f>
        <v>0.13149040226750464</v>
      </c>
      <c r="H25" s="40"/>
      <c r="J25" s="57"/>
      <c r="K25" s="37" t="s">
        <v>76</v>
      </c>
      <c r="L25" s="38">
        <f>X265vsQY265_offline_veryfast!Q125</f>
        <v>-0.30250379308786352</v>
      </c>
      <c r="M25" s="38">
        <f>X265vsQY265_offline_veryfast!R125</f>
        <v>-0.46773066104446476</v>
      </c>
      <c r="N25" s="38">
        <f>X265vsQY265_offline_veryfast!S125</f>
        <v>-0.45961315184134499</v>
      </c>
      <c r="O25" s="38">
        <f>X265vsQY265_offline_veryfast!T125</f>
        <v>-0.33413252670604066</v>
      </c>
      <c r="P25" s="39">
        <f>X265vsQY265_offline_veryfast!U125</f>
        <v>0.81379901891542283</v>
      </c>
      <c r="S25" s="57"/>
      <c r="T25" s="37" t="s">
        <v>76</v>
      </c>
      <c r="U25" s="38">
        <f>VP9vsQY265_offline_veryfast!Q125</f>
        <v>-0.37847275383269846</v>
      </c>
      <c r="V25" s="38">
        <f>VP9vsQY265_offline_veryfast!R125</f>
        <v>-0.46073833650618973</v>
      </c>
      <c r="W25" s="38">
        <f>VP9vsQY265_offline_veryfast!S125</f>
        <v>-0.46659146752518105</v>
      </c>
      <c r="X25" s="38">
        <f>VP9vsQY265_offline_veryfast!T125</f>
        <v>-0.39814316407239109</v>
      </c>
      <c r="Y25" s="39">
        <f>VP9vsQY265_offline_veryfast!U125</f>
        <v>0.17301892461531115</v>
      </c>
      <c r="AB25" s="56"/>
      <c r="AC25" s="37" t="s">
        <v>43</v>
      </c>
      <c r="AD25" s="38">
        <f>AVERAGE(IntelvsQY265_offline_slow!Q69:Q80)</f>
        <v>-0.18434597364097807</v>
      </c>
      <c r="AE25" s="38">
        <f>AVERAGE(IntelvsQY265_offline_slow!R69:R80)</f>
        <v>-0.33331009171358078</v>
      </c>
      <c r="AF25" s="38">
        <f>AVERAGE(IntelvsQY265_offline_slow!S69:S80)</f>
        <v>-0.32795466319914079</v>
      </c>
      <c r="AG25" s="38">
        <f>AVERAGE(IntelvsQY265_offline_slow!T69:T80)</f>
        <v>-0.22002643716615325</v>
      </c>
      <c r="AH25" s="39">
        <f>AVERAGE(IntelvsQY265_offline_slow!U69:U80)</f>
        <v>-0.10130702770833337</v>
      </c>
    </row>
    <row r="26" spans="1:34" ht="16.5" thickBot="1" x14ac:dyDescent="0.3">
      <c r="A26" s="55" t="s">
        <v>75</v>
      </c>
      <c r="B26" s="37" t="s">
        <v>35</v>
      </c>
      <c r="C26" s="38">
        <f>AVERAGE(X264vsQY265_offline_veryfast!Q131:Q138)</f>
        <v>-0.44440524671886084</v>
      </c>
      <c r="D26" s="38">
        <f>AVERAGE(X264vsQY265_offline_veryfast!R131:R138)</f>
        <v>-0.43123268888227745</v>
      </c>
      <c r="E26" s="38">
        <f>AVERAGE(X264vsQY265_offline_veryfast!S131:S138)</f>
        <v>-0.45771879337099214</v>
      </c>
      <c r="F26" s="38">
        <f>AVERAGE(X264vsQY265_offline_veryfast!T131:T138)</f>
        <v>-0.44551157375909223</v>
      </c>
      <c r="G26" s="39">
        <f>AVERAGE(X264vsQY265_offline_veryfast!U131:U138)</f>
        <v>4.1856267071943495E-2</v>
      </c>
      <c r="H26" s="40"/>
      <c r="J26" s="55" t="s">
        <v>75</v>
      </c>
      <c r="K26" s="37" t="s">
        <v>35</v>
      </c>
      <c r="L26" s="38">
        <f>AVERAGE(X265vsQY265_offline_veryfast!Q131:Q138)</f>
        <v>-0.20872604493720232</v>
      </c>
      <c r="M26" s="38">
        <f>AVERAGE(X265vsQY265_offline_veryfast!R131:R138)</f>
        <v>-0.48402799106221917</v>
      </c>
      <c r="N26" s="38">
        <f>AVERAGE(X265vsQY265_offline_veryfast!S131:S138)</f>
        <v>-0.47987240575494422</v>
      </c>
      <c r="O26" s="38">
        <f>AVERAGE(X265vsQY265_offline_veryfast!T131:T138)</f>
        <v>-0.25269415737646489</v>
      </c>
      <c r="P26" s="39">
        <f>AVERAGE(X265vsQY265_offline_veryfast!U131:U138)</f>
        <v>0.96577334864948894</v>
      </c>
      <c r="S26" s="55" t="s">
        <v>75</v>
      </c>
      <c r="T26" s="37" t="s">
        <v>35</v>
      </c>
      <c r="U26" s="38">
        <f>AVERAGE(VP9vsQY265_offline_veryfast!Q131:Q138)</f>
        <v>-0.33186990201371197</v>
      </c>
      <c r="V26" s="38">
        <f>AVERAGE(VP9vsQY265_offline_veryfast!R131:R138)</f>
        <v>-0.49261826114666429</v>
      </c>
      <c r="W26" s="38">
        <f>AVERAGE(VP9vsQY265_offline_veryfast!S131:S138)</f>
        <v>-0.50160206920013106</v>
      </c>
      <c r="X26" s="38">
        <f>AVERAGE(VP9vsQY265_offline_veryfast!T131:T138)</f>
        <v>-0.35665316089812454</v>
      </c>
      <c r="Y26" s="39">
        <f>AVERAGE(VP9vsQY265_offline_veryfast!U131:U138)</f>
        <v>0.27160680169769741</v>
      </c>
      <c r="AB26" s="56"/>
      <c r="AC26" s="41" t="s">
        <v>106</v>
      </c>
      <c r="AD26" s="38">
        <f>AVERAGE(IntelvsQY265_offline_slow!Q81:Q124)</f>
        <v>-0.11126929780702698</v>
      </c>
      <c r="AE26" s="38">
        <f>AVERAGE(IntelvsQY265_offline_slow!R81:R124)</f>
        <v>-0.26402842869510335</v>
      </c>
      <c r="AF26" s="38">
        <f>AVERAGE(IntelvsQY265_offline_slow!S81:S124)</f>
        <v>-0.26077437249108365</v>
      </c>
      <c r="AG26" s="38">
        <f>AVERAGE(IntelvsQY265_offline_slow!T81:T124)</f>
        <v>-0.14314868167511152</v>
      </c>
      <c r="AH26" s="39">
        <f>AVERAGE(IntelvsQY265_offline_slow!U81:U124)</f>
        <v>-0.14582178058585862</v>
      </c>
    </row>
    <row r="27" spans="1:34" ht="16.5" thickBot="1" x14ac:dyDescent="0.3">
      <c r="A27" s="56"/>
      <c r="B27" s="37" t="s">
        <v>37</v>
      </c>
      <c r="C27" s="38">
        <f>AVERAGE(X264vsQY265_offline_veryfast!Q139:Q158)</f>
        <v>-0.49959371845786016</v>
      </c>
      <c r="D27" s="38">
        <f>AVERAGE(X264vsQY265_offline_veryfast!R139:R158)</f>
        <v>-0.54890577050936096</v>
      </c>
      <c r="E27" s="38">
        <f>AVERAGE(X264vsQY265_offline_veryfast!S139:S158)</f>
        <v>-0.55583548139059658</v>
      </c>
      <c r="F27" s="38">
        <f>AVERAGE(X264vsQY265_offline_veryfast!T139:T158)</f>
        <v>-0.50866222355890867</v>
      </c>
      <c r="G27" s="39">
        <f>AVERAGE(X264vsQY265_offline_veryfast!U139:U158)</f>
        <v>0.26861179379983219</v>
      </c>
      <c r="H27" s="40"/>
      <c r="J27" s="56"/>
      <c r="K27" s="37" t="s">
        <v>37</v>
      </c>
      <c r="L27" s="38">
        <f>AVERAGE(X265vsQY265_offline_veryfast!Q139:Q158)</f>
        <v>-0.25946099770421754</v>
      </c>
      <c r="M27" s="38">
        <f>AVERAGE(X265vsQY265_offline_veryfast!R139:R158)</f>
        <v>-0.47955433517717055</v>
      </c>
      <c r="N27" s="38">
        <f>AVERAGE(X265vsQY265_offline_veryfast!S139:S158)</f>
        <v>-0.46694181216458774</v>
      </c>
      <c r="O27" s="38">
        <f>AVERAGE(X265vsQY265_offline_veryfast!T139:T158)</f>
        <v>-0.29709815452604499</v>
      </c>
      <c r="P27" s="39">
        <f>AVERAGE(X265vsQY265_offline_veryfast!U139:U158)</f>
        <v>1.433528924571559</v>
      </c>
      <c r="S27" s="56"/>
      <c r="T27" s="37" t="s">
        <v>37</v>
      </c>
      <c r="U27" s="38">
        <f>AVERAGE(VP9vsQY265_offline_veryfast!Q139:Q158)</f>
        <v>-0.41418745265905865</v>
      </c>
      <c r="V27" s="38">
        <f>AVERAGE(VP9vsQY265_offline_veryfast!R139:R158)</f>
        <v>-0.50428875384956162</v>
      </c>
      <c r="W27" s="38">
        <f>AVERAGE(VP9vsQY265_offline_veryfast!S139:S158)</f>
        <v>-0.51404448969380778</v>
      </c>
      <c r="X27" s="38">
        <f>AVERAGE(VP9vsQY265_offline_veryfast!T139:T158)</f>
        <v>-0.43330302976485574</v>
      </c>
      <c r="Y27" s="39">
        <f>AVERAGE(VP9vsQY265_offline_veryfast!U139:U158)</f>
        <v>0.5592957705056244</v>
      </c>
      <c r="AB27" s="57"/>
      <c r="AC27" s="37" t="s">
        <v>76</v>
      </c>
      <c r="AD27" s="38">
        <f>IntelvsQY265_offline_slow!Q125</f>
        <v>-0.10809854564986884</v>
      </c>
      <c r="AE27" s="38">
        <f>IntelvsQY265_offline_slow!R125</f>
        <v>-0.29993842862587805</v>
      </c>
      <c r="AF27" s="38">
        <f>IntelvsQY265_offline_slow!S125</f>
        <v>-0.29834494041651283</v>
      </c>
      <c r="AG27" s="38">
        <f>IntelvsQY265_offline_slow!T125</f>
        <v>-0.14539198735366698</v>
      </c>
      <c r="AH27" s="39">
        <f>IntelvsQY265_offline_slow!U125</f>
        <v>-8.35332911226533E-2</v>
      </c>
    </row>
    <row r="28" spans="1:34" ht="16.5" thickBot="1" x14ac:dyDescent="0.3">
      <c r="A28" s="56"/>
      <c r="B28" s="37" t="s">
        <v>39</v>
      </c>
      <c r="C28" s="38">
        <f>AVERAGE(X264vsQY265_offline_veryfast!Q159:Q174)</f>
        <v>-0.37119986171109887</v>
      </c>
      <c r="D28" s="38">
        <f>AVERAGE(X264vsQY265_offline_veryfast!R159:R174)</f>
        <v>-0.48816654990812786</v>
      </c>
      <c r="E28" s="38">
        <f>AVERAGE(X264vsQY265_offline_veryfast!S159:S174)</f>
        <v>-0.47561289476070823</v>
      </c>
      <c r="F28" s="38">
        <f>AVERAGE(X264vsQY265_offline_veryfast!T159:T174)</f>
        <v>-0.39152669501166343</v>
      </c>
      <c r="G28" s="39">
        <f>AVERAGE(X264vsQY265_offline_veryfast!U159:U174)</f>
        <v>-2.3808439156058056E-2</v>
      </c>
      <c r="H28" s="40"/>
      <c r="J28" s="56"/>
      <c r="K28" s="37" t="s">
        <v>39</v>
      </c>
      <c r="L28" s="38">
        <f>AVERAGE(X265vsQY265_offline_veryfast!Q159:Q174)</f>
        <v>-0.28839601968563139</v>
      </c>
      <c r="M28" s="38">
        <f>AVERAGE(X265vsQY265_offline_veryfast!R159:R174)</f>
        <v>-0.47531354431316397</v>
      </c>
      <c r="N28" s="38">
        <f>AVERAGE(X265vsQY265_offline_veryfast!S159:S174)</f>
        <v>-0.4529191562551218</v>
      </c>
      <c r="O28" s="38">
        <f>AVERAGE(X265vsQY265_offline_veryfast!T159:T174)</f>
        <v>-0.32214824864278324</v>
      </c>
      <c r="P28" s="39">
        <f>AVERAGE(X265vsQY265_offline_veryfast!U159:U174)</f>
        <v>1.1998182214420203</v>
      </c>
      <c r="S28" s="56"/>
      <c r="T28" s="37" t="s">
        <v>39</v>
      </c>
      <c r="U28" s="38">
        <f>AVERAGE(VP9vsQY265_offline_veryfast!Q159:Q174)</f>
        <v>-0.33292419227026837</v>
      </c>
      <c r="V28" s="38">
        <f>AVERAGE(VP9vsQY265_offline_veryfast!R159:R174)</f>
        <v>-0.47477761013274061</v>
      </c>
      <c r="W28" s="38">
        <f>AVERAGE(VP9vsQY265_offline_veryfast!S159:S174)</f>
        <v>-0.48050737351118811</v>
      </c>
      <c r="X28" s="38">
        <f>AVERAGE(VP9vsQY265_offline_veryfast!T159:T174)</f>
        <v>-0.36468992004366851</v>
      </c>
      <c r="Y28" s="39">
        <f>AVERAGE(VP9vsQY265_offline_veryfast!U159:U174)</f>
        <v>1.1377464414466187</v>
      </c>
      <c r="AB28" s="58" t="s">
        <v>145</v>
      </c>
      <c r="AC28" s="59"/>
      <c r="AD28" s="59"/>
      <c r="AE28" s="59"/>
      <c r="AF28" s="59"/>
      <c r="AG28" s="59"/>
      <c r="AH28" s="60"/>
    </row>
    <row r="29" spans="1:34" ht="16.5" thickBot="1" x14ac:dyDescent="0.3">
      <c r="A29" s="56"/>
      <c r="B29" s="37" t="s">
        <v>41</v>
      </c>
      <c r="C29" s="38">
        <f>AVERAGE(X264vsQY265_offline_veryfast!Q175:Q190)</f>
        <v>-0.30233997832003179</v>
      </c>
      <c r="D29" s="38">
        <f>AVERAGE(X264vsQY265_offline_veryfast!R175:R190)</f>
        <v>-0.50035419964204708</v>
      </c>
      <c r="E29" s="38">
        <f>AVERAGE(X264vsQY265_offline_veryfast!S175:S190)</f>
        <v>-0.50055751792707937</v>
      </c>
      <c r="F29" s="38">
        <f>AVERAGE(X264vsQY265_offline_veryfast!T175:T190)</f>
        <v>-0.3382544374456804</v>
      </c>
      <c r="G29" s="39">
        <f>AVERAGE(X264vsQY265_offline_veryfast!U175:U190)</f>
        <v>-7.9528973504712479E-3</v>
      </c>
      <c r="H29" s="40"/>
      <c r="J29" s="56"/>
      <c r="K29" s="37" t="s">
        <v>41</v>
      </c>
      <c r="L29" s="38">
        <f>AVERAGE(X265vsQY265_offline_veryfast!Q175:Q190)</f>
        <v>-0.33577974760344176</v>
      </c>
      <c r="M29" s="38">
        <f>AVERAGE(X265vsQY265_offline_veryfast!R175:R190)</f>
        <v>-0.51141281429447061</v>
      </c>
      <c r="N29" s="38">
        <f>AVERAGE(X265vsQY265_offline_veryfast!S175:S190)</f>
        <v>-0.49823155435730676</v>
      </c>
      <c r="O29" s="38">
        <f>AVERAGE(X265vsQY265_offline_veryfast!T175:T190)</f>
        <v>-0.36873506535027933</v>
      </c>
      <c r="P29" s="39">
        <f>AVERAGE(X265vsQY265_offline_veryfast!U175:U190)</f>
        <v>0.80227741322338197</v>
      </c>
      <c r="S29" s="56"/>
      <c r="T29" s="37" t="s">
        <v>41</v>
      </c>
      <c r="U29" s="38">
        <f>AVERAGE(VP9vsQY265_offline_veryfast!Q175:Q190)</f>
        <v>-0.38961199700743343</v>
      </c>
      <c r="V29" s="38">
        <f>AVERAGE(VP9vsQY265_offline_veryfast!R175:R190)</f>
        <v>-0.45906527570628897</v>
      </c>
      <c r="W29" s="38">
        <f>AVERAGE(VP9vsQY265_offline_veryfast!S175:S190)</f>
        <v>-0.48198616924652848</v>
      </c>
      <c r="X29" s="38">
        <f>AVERAGE(VP9vsQY265_offline_veryfast!T175:T190)</f>
        <v>-0.41339278746224389</v>
      </c>
      <c r="Y29" s="39">
        <f>AVERAGE(VP9vsQY265_offline_veryfast!U175:U190)</f>
        <v>2.0364543949131662</v>
      </c>
      <c r="AB29" s="37" t="s">
        <v>115</v>
      </c>
      <c r="AC29" s="37" t="s">
        <v>72</v>
      </c>
      <c r="AD29" s="37" t="s">
        <v>68</v>
      </c>
      <c r="AE29" s="37" t="s">
        <v>69</v>
      </c>
      <c r="AF29" s="37" t="s">
        <v>70</v>
      </c>
      <c r="AG29" s="37" t="s">
        <v>71</v>
      </c>
      <c r="AH29" s="37" t="s">
        <v>74</v>
      </c>
    </row>
    <row r="30" spans="1:34" ht="16.5" thickBot="1" x14ac:dyDescent="0.3">
      <c r="A30" s="56"/>
      <c r="B30" s="37" t="s">
        <v>43</v>
      </c>
      <c r="C30" s="38">
        <f>AVERAGE(X264vsQY265_offline_veryfast!Q191:Q202)</f>
        <v>-0.46392927409674822</v>
      </c>
      <c r="D30" s="38">
        <f>AVERAGE(X264vsQY265_offline_veryfast!R191:R202)</f>
        <v>-0.60123292911324355</v>
      </c>
      <c r="E30" s="38">
        <f>AVERAGE(X264vsQY265_offline_veryfast!S191:S202)</f>
        <v>-0.62237893212378392</v>
      </c>
      <c r="F30" s="38">
        <f>AVERAGE(X264vsQY265_offline_veryfast!T191:T202)</f>
        <v>-0.50083410209104551</v>
      </c>
      <c r="G30" s="39">
        <f>AVERAGE(X264vsQY265_offline_veryfast!U191:U202)</f>
        <v>0.35357476978096608</v>
      </c>
      <c r="H30" s="40"/>
      <c r="J30" s="56"/>
      <c r="K30" s="37" t="s">
        <v>43</v>
      </c>
      <c r="L30" s="38">
        <f>AVERAGE(X265vsQY265_offline_veryfast!Q191:Q202)</f>
        <v>-0.39825718232549329</v>
      </c>
      <c r="M30" s="38">
        <f>AVERAGE(X265vsQY265_offline_veryfast!R191:R202)</f>
        <v>-0.47499470424727824</v>
      </c>
      <c r="N30" s="38">
        <f>AVERAGE(X265vsQY265_offline_veryfast!S191:S202)</f>
        <v>-0.4719277968870858</v>
      </c>
      <c r="O30" s="38">
        <f>AVERAGE(X265vsQY265_offline_veryfast!T191:T202)</f>
        <v>-0.41553824873723905</v>
      </c>
      <c r="P30" s="39">
        <f>AVERAGE(X265vsQY265_offline_veryfast!U191:U202)</f>
        <v>1.6353780688417139</v>
      </c>
      <c r="S30" s="56"/>
      <c r="T30" s="37" t="s">
        <v>43</v>
      </c>
      <c r="U30" s="38">
        <f>AVERAGE(VP9vsQY265_offline_veryfast!Q191:Q202)</f>
        <v>-0.41028969398473064</v>
      </c>
      <c r="V30" s="38">
        <f>AVERAGE(VP9vsQY265_offline_veryfast!R191:R202)</f>
        <v>-0.25235022362157816</v>
      </c>
      <c r="W30" s="38">
        <f>AVERAGE(VP9vsQY265_offline_veryfast!S191:S202)</f>
        <v>-0.26328338337351814</v>
      </c>
      <c r="X30" s="38">
        <f>AVERAGE(VP9vsQY265_offline_veryfast!T191:T202)</f>
        <v>-0.37952415054838678</v>
      </c>
      <c r="Y30" s="39">
        <f>AVERAGE(VP9vsQY265_offline_veryfast!U191:U202)</f>
        <v>0.6095890981504023</v>
      </c>
      <c r="AB30" s="55" t="s">
        <v>75</v>
      </c>
      <c r="AC30" s="37" t="s">
        <v>35</v>
      </c>
      <c r="AD30" s="38">
        <f>AVERAGE(IntelvsQY265_offline_veryslow!Q9:Q16)</f>
        <v>4.7898243249162975E-2</v>
      </c>
      <c r="AE30" s="38">
        <f>AVERAGE(IntelvsQY265_offline_veryslow!R9:R16)</f>
        <v>-0.28510651458375291</v>
      </c>
      <c r="AF30" s="38">
        <f>AVERAGE(IntelvsQY265_offline_veryslow!S9:S16)</f>
        <v>-0.30321277306961147</v>
      </c>
      <c r="AG30" s="38">
        <f>AVERAGE(IntelvsQY265_offline_veryslow!T9:T16)</f>
        <v>-1.031986991296413E-2</v>
      </c>
      <c r="AH30" s="39">
        <f>AVERAGE(IntelvsQY265_offline_veryslow!U9:U16)</f>
        <v>-0.32237730483333332</v>
      </c>
    </row>
    <row r="31" spans="1:34" ht="16.5" thickBot="1" x14ac:dyDescent="0.3">
      <c r="A31" s="56"/>
      <c r="B31" s="41" t="s">
        <v>106</v>
      </c>
      <c r="C31" s="38">
        <f>AVERAGE(X264vsQY265_offline_veryfast!Q203:Q246)</f>
        <v>-0.35525826527899107</v>
      </c>
      <c r="D31" s="38">
        <f>AVERAGE(X264vsQY265_offline_veryfast!R203:R246)</f>
        <v>-0.42755726156134072</v>
      </c>
      <c r="E31" s="38">
        <f>AVERAGE(X264vsQY265_offline_veryfast!S203:S246)</f>
        <v>-0.41449204284180491</v>
      </c>
      <c r="F31" s="38">
        <f>AVERAGE(X264vsQY265_offline_veryfast!T203:T246)</f>
        <v>-0.37071221134797533</v>
      </c>
      <c r="G31" s="39">
        <f>AVERAGE(X264vsQY265_offline_veryfast!U203:U246)</f>
        <v>2.0660561664777741E-2</v>
      </c>
      <c r="H31" s="40"/>
      <c r="J31" s="56"/>
      <c r="K31" s="41" t="s">
        <v>106</v>
      </c>
      <c r="L31" s="38">
        <f>AVERAGE(X265vsQY265_offline_veryfast!Q203:Q246)</f>
        <v>-0.33840662719333053</v>
      </c>
      <c r="M31" s="38">
        <f>AVERAGE(X265vsQY265_offline_veryfast!R203:R246)</f>
        <v>-0.45615290663684038</v>
      </c>
      <c r="N31" s="38">
        <f>AVERAGE(X265vsQY265_offline_veryfast!S203:S246)</f>
        <v>-0.44825834863104908</v>
      </c>
      <c r="O31" s="38">
        <f>AVERAGE(X265vsQY265_offline_veryfast!T203:T246)</f>
        <v>-0.36320594811627488</v>
      </c>
      <c r="P31" s="39">
        <f>AVERAGE(X265vsQY265_offline_veryfast!U203:U246)</f>
        <v>1.2478130406306269</v>
      </c>
      <c r="S31" s="56"/>
      <c r="T31" s="41" t="s">
        <v>106</v>
      </c>
      <c r="U31" s="38">
        <f>AVERAGE(VP9vsQY265_offline_veryfast!Q203:Q246)</f>
        <v>-0.32381835255680991</v>
      </c>
      <c r="V31" s="38">
        <f>AVERAGE(VP9vsQY265_offline_veryfast!R203:R246)</f>
        <v>-0.45526628900866872</v>
      </c>
      <c r="W31" s="38">
        <f>AVERAGE(VP9vsQY265_offline_veryfast!S203:S246)</f>
        <v>-0.44731042073407395</v>
      </c>
      <c r="X31" s="38">
        <f>AVERAGE(VP9vsQY265_offline_veryfast!T203:T246)</f>
        <v>-0.35418026808811948</v>
      </c>
      <c r="Y31" s="39">
        <f>AVERAGE(VP9vsQY265_offline_veryfast!U203:U246)</f>
        <v>0.36660842816332961</v>
      </c>
      <c r="AB31" s="56"/>
      <c r="AC31" s="37" t="s">
        <v>37</v>
      </c>
      <c r="AD31" s="38">
        <f>AVERAGE(IntelvsQY265_offline_veryslow!Q17:Q36)</f>
        <v>-1.2052899641825853E-2</v>
      </c>
      <c r="AE31" s="38">
        <f>AVERAGE(IntelvsQY265_offline_veryslow!R17:R36)</f>
        <v>-0.26905236702246826</v>
      </c>
      <c r="AF31" s="38">
        <f>AVERAGE(IntelvsQY265_offline_veryslow!S17:S36)</f>
        <v>-0.26900442375261502</v>
      </c>
      <c r="AG31" s="38">
        <f>AVERAGE(IntelvsQY265_offline_veryslow!T17:T36)</f>
        <v>-5.6612211480784616E-2</v>
      </c>
      <c r="AH31" s="39">
        <f>AVERAGE(IntelvsQY265_offline_veryslow!U17:U36)</f>
        <v>-0.33636601270666672</v>
      </c>
    </row>
    <row r="32" spans="1:34" ht="15.75" customHeight="1" thickBot="1" x14ac:dyDescent="0.3">
      <c r="A32" s="57"/>
      <c r="B32" s="37" t="s">
        <v>76</v>
      </c>
      <c r="C32" s="38">
        <f>X264vsQY265_offline_veryfast!Q247</f>
        <v>-0.39243335124864454</v>
      </c>
      <c r="D32" s="38">
        <f>X264vsQY265_offline_veryfast!R247</f>
        <v>-0.4851002032078115</v>
      </c>
      <c r="E32" s="38">
        <f>X264vsQY265_offline_veryfast!S247</f>
        <v>-0.48364985903714908</v>
      </c>
      <c r="F32" s="38">
        <f>X264vsQY265_offline_veryfast!T247</f>
        <v>-0.41151018711182652</v>
      </c>
      <c r="G32" s="39">
        <f>X264vsQY265_offline_veryfast!U247</f>
        <v>8.9231608440427018E-2</v>
      </c>
      <c r="H32" s="40"/>
      <c r="J32" s="57"/>
      <c r="K32" s="37" t="s">
        <v>76</v>
      </c>
      <c r="L32" s="38">
        <f>X265vsQY265_offline_veryfast!Q247</f>
        <v>-0.31478291702258282</v>
      </c>
      <c r="M32" s="38">
        <f>X265vsQY265_offline_veryfast!R247</f>
        <v>-0.47432410959268639</v>
      </c>
      <c r="N32" s="38">
        <f>X265vsQY265_offline_veryfast!S247</f>
        <v>-0.46364420484087376</v>
      </c>
      <c r="O32" s="38">
        <f>X265vsQY265_offline_veryfast!T247</f>
        <v>-0.34469974202917741</v>
      </c>
      <c r="P32" s="39">
        <f>X265vsQY265_offline_veryfast!U247</f>
        <v>1.2324017762855319</v>
      </c>
      <c r="S32" s="57"/>
      <c r="T32" s="37" t="s">
        <v>76</v>
      </c>
      <c r="U32" s="38">
        <f>VP9vsQY265_offline_veryfast!Q247</f>
        <v>-0.35923078567284916</v>
      </c>
      <c r="V32" s="38">
        <f>VP9vsQY265_offline_veryfast!R247</f>
        <v>-0.44851833396059804</v>
      </c>
      <c r="W32" s="38">
        <f>VP9vsQY265_offline_veryfast!S247</f>
        <v>-0.45288501848605295</v>
      </c>
      <c r="X32" s="38">
        <f>VP9vsQY265_offline_veryfast!T247</f>
        <v>-0.38023130004340172</v>
      </c>
      <c r="Y32" s="39">
        <f>VP9vsQY265_offline_veryfast!U247</f>
        <v>0.75510192433139622</v>
      </c>
      <c r="AB32" s="56"/>
      <c r="AC32" s="37" t="s">
        <v>39</v>
      </c>
      <c r="AD32" s="38">
        <f>AVERAGE(IntelvsQY265_offline_veryslow!Q37:Q52)</f>
        <v>-4.4137683926175564E-2</v>
      </c>
      <c r="AE32" s="38">
        <f>AVERAGE(IntelvsQY265_offline_veryslow!R37:R52)</f>
        <v>-0.25258489795409167</v>
      </c>
      <c r="AF32" s="38">
        <f>AVERAGE(IntelvsQY265_offline_veryslow!S37:S52)</f>
        <v>-0.23604784048585409</v>
      </c>
      <c r="AG32" s="38">
        <f>AVERAGE(IntelvsQY265_offline_veryslow!T37:T52)</f>
        <v>-8.1626008587730836E-2</v>
      </c>
      <c r="AH32" s="39">
        <f>AVERAGE(IntelvsQY265_offline_veryslow!U37:U52)</f>
        <v>-0.33987220927916678</v>
      </c>
    </row>
    <row r="33" spans="1:34" ht="16.5" thickBot="1" x14ac:dyDescent="0.3">
      <c r="A33" s="58" t="s">
        <v>165</v>
      </c>
      <c r="B33" s="59"/>
      <c r="C33" s="59"/>
      <c r="D33" s="59"/>
      <c r="E33" s="59"/>
      <c r="F33" s="59"/>
      <c r="G33" s="60"/>
      <c r="J33" s="58" t="s">
        <v>110</v>
      </c>
      <c r="K33" s="59"/>
      <c r="L33" s="59"/>
      <c r="M33" s="59"/>
      <c r="N33" s="59"/>
      <c r="O33" s="59"/>
      <c r="P33" s="60"/>
      <c r="S33" s="58" t="s">
        <v>218</v>
      </c>
      <c r="T33" s="59"/>
      <c r="U33" s="59"/>
      <c r="V33" s="59"/>
      <c r="W33" s="59"/>
      <c r="X33" s="59"/>
      <c r="Y33" s="60"/>
      <c r="AB33" s="56"/>
      <c r="AC33" s="37" t="s">
        <v>41</v>
      </c>
      <c r="AD33" s="38">
        <f>AVERAGE(IntelvsQY265_offline_veryslow!Q53:Q68)</f>
        <v>1.4355237929155468E-2</v>
      </c>
      <c r="AE33" s="38">
        <f>AVERAGE(IntelvsQY265_offline_veryslow!R53:R68)</f>
        <v>-0.15543796765442872</v>
      </c>
      <c r="AF33" s="38">
        <f>AVERAGE(IntelvsQY265_offline_veryslow!S53:S68)</f>
        <v>-0.14598549235385594</v>
      </c>
      <c r="AG33" s="38">
        <f>AVERAGE(IntelvsQY265_offline_veryslow!T53:T68)</f>
        <v>-1.5594477445564026E-2</v>
      </c>
      <c r="AH33" s="39">
        <f>AVERAGE(IntelvsQY265_offline_veryslow!U53:U68)</f>
        <v>-0.3927898326166665</v>
      </c>
    </row>
    <row r="34" spans="1:34" ht="16.5" thickBot="1" x14ac:dyDescent="0.3">
      <c r="A34" s="37" t="s">
        <v>73</v>
      </c>
      <c r="B34" s="37" t="s">
        <v>72</v>
      </c>
      <c r="C34" s="37" t="s">
        <v>68</v>
      </c>
      <c r="D34" s="37" t="s">
        <v>69</v>
      </c>
      <c r="E34" s="37" t="s">
        <v>70</v>
      </c>
      <c r="F34" s="37" t="s">
        <v>71</v>
      </c>
      <c r="G34" s="37" t="s">
        <v>74</v>
      </c>
      <c r="J34" s="37" t="s">
        <v>73</v>
      </c>
      <c r="K34" s="37" t="s">
        <v>72</v>
      </c>
      <c r="L34" s="37" t="s">
        <v>68</v>
      </c>
      <c r="M34" s="37" t="s">
        <v>69</v>
      </c>
      <c r="N34" s="37" t="s">
        <v>70</v>
      </c>
      <c r="O34" s="37" t="s">
        <v>71</v>
      </c>
      <c r="P34" s="37" t="s">
        <v>74</v>
      </c>
      <c r="S34" s="37" t="s">
        <v>115</v>
      </c>
      <c r="T34" s="37" t="s">
        <v>72</v>
      </c>
      <c r="U34" s="37" t="s">
        <v>68</v>
      </c>
      <c r="V34" s="37" t="s">
        <v>69</v>
      </c>
      <c r="W34" s="37" t="s">
        <v>70</v>
      </c>
      <c r="X34" s="37" t="s">
        <v>71</v>
      </c>
      <c r="Y34" s="37" t="s">
        <v>74</v>
      </c>
      <c r="AB34" s="56"/>
      <c r="AC34" s="37" t="s">
        <v>43</v>
      </c>
      <c r="AD34" s="38">
        <f>AVERAGE(IntelvsQY265_offline_veryslow!Q69:Q80)</f>
        <v>-4.6758556587659074E-2</v>
      </c>
      <c r="AE34" s="38">
        <f>AVERAGE(IntelvsQY265_offline_veryslow!R69:R80)</f>
        <v>-0.21061257598897301</v>
      </c>
      <c r="AF34" s="38">
        <f>AVERAGE(IntelvsQY265_offline_veryslow!S69:S80)</f>
        <v>-0.170924908219662</v>
      </c>
      <c r="AG34" s="38">
        <f>AVERAGE(IntelvsQY265_offline_veryslow!T69:T80)</f>
        <v>-8.1385591610766236E-2</v>
      </c>
      <c r="AH34" s="39">
        <f>AVERAGE(IntelvsQY265_offline_veryslow!U69:U80)</f>
        <v>-0.38763703913888886</v>
      </c>
    </row>
    <row r="35" spans="1:34" ht="16.5" thickBot="1" x14ac:dyDescent="0.3">
      <c r="A35" s="55">
        <v>1</v>
      </c>
      <c r="B35" s="37" t="s">
        <v>35</v>
      </c>
      <c r="C35" s="38">
        <f>AVERAGE(X264vsQY265_offline_slow!Q9:Q16)</f>
        <v>-0.33936175697419618</v>
      </c>
      <c r="D35" s="38">
        <f>AVERAGE(X264vsQY265_offline_slow!R9:R16)</f>
        <v>-0.57352187650674402</v>
      </c>
      <c r="E35" s="38">
        <f>AVERAGE(X264vsQY265_offline_slow!S9:S16)</f>
        <v>-0.60181747778029171</v>
      </c>
      <c r="F35" s="38">
        <f>AVERAGE(X264vsQY265_offline_slow!T9:T16)</f>
        <v>-0.37759152452623368</v>
      </c>
      <c r="G35" s="39">
        <f>AVERAGE(X264vsQY265_offline_slow!U9:U16)</f>
        <v>-0.13143265882574423</v>
      </c>
      <c r="J35" s="55">
        <v>1</v>
      </c>
      <c r="K35" s="37" t="s">
        <v>35</v>
      </c>
      <c r="L35" s="38">
        <f>AVERAGE(X265vsQY265_offline_slow!Q9:Q16)</f>
        <v>-0.13054587134331297</v>
      </c>
      <c r="M35" s="38">
        <f>AVERAGE(X265vsQY265_offline_slow!R9:R16)</f>
        <v>-0.58827976377934932</v>
      </c>
      <c r="N35" s="38">
        <f>AVERAGE(X265vsQY265_offline_slow!S9:S16)</f>
        <v>-0.25665491470252055</v>
      </c>
      <c r="O35" s="38">
        <f>AVERAGE(X265vsQY265_offline_slow!T9:T16)</f>
        <v>-0.2194193655261778</v>
      </c>
      <c r="P35" s="39">
        <f>AVERAGE(X265vsQY265_offline_slow!U9:U16)</f>
        <v>0.23068399070649837</v>
      </c>
      <c r="S35" s="55">
        <v>1</v>
      </c>
      <c r="T35" s="37" t="s">
        <v>35</v>
      </c>
      <c r="U35" s="38">
        <f>AVERAGE(VP9vsQY265_offline_slow!Q9:Q16)</f>
        <v>-0.32001198930958979</v>
      </c>
      <c r="V35" s="38">
        <f>AVERAGE(VP9vsQY265_offline_slow!R9:R16)</f>
        <v>-0.55113198894654425</v>
      </c>
      <c r="W35" s="38">
        <f>AVERAGE(VP9vsQY265_offline_slow!S9:S16)</f>
        <v>-0.54951423313718462</v>
      </c>
      <c r="X35" s="38">
        <f>AVERAGE(VP9vsQY265_offline_slow!T9:T16)</f>
        <v>-0.36360159202135256</v>
      </c>
      <c r="Y35" s="39">
        <f>AVERAGE(VP9vsQY265_offline_slow!U9:U16)</f>
        <v>0.61236483554373966</v>
      </c>
      <c r="AB35" s="56"/>
      <c r="AC35" s="41" t="s">
        <v>106</v>
      </c>
      <c r="AD35" s="38">
        <f>AVERAGE(IntelvsQY265_offline_veryslow!Q81:Q124)</f>
        <v>-6.3244533535621983E-2</v>
      </c>
      <c r="AE35" s="38">
        <f>AVERAGE(IntelvsQY265_offline_veryslow!R81:R124)</f>
        <v>-0.22105994778673485</v>
      </c>
      <c r="AF35" s="38">
        <f>AVERAGE(IntelvsQY265_offline_veryslow!S81:S124)</f>
        <v>-0.21347936621601923</v>
      </c>
      <c r="AG35" s="38">
        <f>AVERAGE(IntelvsQY265_offline_veryslow!T81:T124)</f>
        <v>-9.4877997654644733E-2</v>
      </c>
      <c r="AH35" s="39">
        <f>AVERAGE(IntelvsQY265_offline_veryslow!U81:U124)</f>
        <v>-0.34126413472222233</v>
      </c>
    </row>
    <row r="36" spans="1:34" ht="16.5" thickBot="1" x14ac:dyDescent="0.3">
      <c r="A36" s="56"/>
      <c r="B36" s="37" t="s">
        <v>37</v>
      </c>
      <c r="C36" s="38">
        <f>AVERAGE(X264vsQY265_offline_slow!Q17:Q36)</f>
        <v>-0.43084078544292764</v>
      </c>
      <c r="D36" s="38">
        <f>AVERAGE(X264vsQY265_offline_slow!R17:R36)</f>
        <v>-0.6339457378218063</v>
      </c>
      <c r="E36" s="38">
        <f>AVERAGE(X264vsQY265_offline_slow!S17:S36)</f>
        <v>-0.63781616017819531</v>
      </c>
      <c r="F36" s="38">
        <f>AVERAGE(X264vsQY265_offline_slow!T17:T36)</f>
        <v>-0.46724152540288727</v>
      </c>
      <c r="G36" s="39">
        <f>AVERAGE(X264vsQY265_offline_slow!U17:U36)</f>
        <v>8.518389017455659E-2</v>
      </c>
      <c r="J36" s="56"/>
      <c r="K36" s="37" t="s">
        <v>37</v>
      </c>
      <c r="L36" s="38">
        <f>AVERAGE(X265vsQY265_offline_slow!Q17:Q36)</f>
        <v>-0.14088611482830116</v>
      </c>
      <c r="M36" s="38">
        <f>AVERAGE(X265vsQY265_offline_slow!R17:R36)</f>
        <v>-0.54056964092568915</v>
      </c>
      <c r="N36" s="38">
        <f>AVERAGE(X265vsQY265_offline_slow!S17:S36)</f>
        <v>-0.53455136059117669</v>
      </c>
      <c r="O36" s="38">
        <f>AVERAGE(X265vsQY265_offline_slow!T17:T36)</f>
        <v>-0.21984792118507984</v>
      </c>
      <c r="P36" s="39">
        <f>AVERAGE(X265vsQY265_offline_slow!U17:U36)</f>
        <v>0.41394359408876247</v>
      </c>
      <c r="S36" s="56"/>
      <c r="T36" s="37" t="s">
        <v>37</v>
      </c>
      <c r="U36" s="38">
        <f>AVERAGE(VP9vsQY265_offline_slow!Q17:Q36)</f>
        <v>-0.36802652867930774</v>
      </c>
      <c r="V36" s="38">
        <f>AVERAGE(VP9vsQY265_offline_slow!R17:R36)</f>
        <v>-0.58066256333759436</v>
      </c>
      <c r="W36" s="38">
        <f>AVERAGE(VP9vsQY265_offline_slow!S17:S36)</f>
        <v>-0.58169602677020649</v>
      </c>
      <c r="X36" s="38">
        <f>AVERAGE(VP9vsQY265_offline_slow!T17:T36)</f>
        <v>-0.41136053367340375</v>
      </c>
      <c r="Y36" s="39">
        <f>AVERAGE(VP9vsQY265_offline_slow!U17:U36)</f>
        <v>0.61392950950548497</v>
      </c>
      <c r="AB36" s="57"/>
      <c r="AC36" s="37" t="s">
        <v>76</v>
      </c>
      <c r="AD36" s="38">
        <f>IntelvsQY265_offline_veryslow!Q125</f>
        <v>-3.1709080494955265E-2</v>
      </c>
      <c r="AE36" s="38">
        <f>IntelvsQY265_offline_veryslow!R125</f>
        <v>-0.22796770621844592</v>
      </c>
      <c r="AF36" s="38">
        <f>IntelvsQY265_offline_veryslow!S125</f>
        <v>-0.21864237066539086</v>
      </c>
      <c r="AG36" s="38">
        <f>IntelvsQY265_offline_veryslow!T125</f>
        <v>-6.8289568634359366E-2</v>
      </c>
      <c r="AH36" s="39">
        <f>IntelvsQY265_offline_veryslow!U125</f>
        <v>-0.3508292910394637</v>
      </c>
    </row>
    <row r="37" spans="1:34" ht="16.5" thickBot="1" x14ac:dyDescent="0.3">
      <c r="A37" s="56"/>
      <c r="B37" s="37" t="s">
        <v>39</v>
      </c>
      <c r="C37" s="38">
        <f>AVERAGE(X264vsQY265_offline_slow!Q37:Q52)</f>
        <v>-0.31268095346958652</v>
      </c>
      <c r="D37" s="38">
        <f>AVERAGE(X264vsQY265_offline_slow!R37:R52)</f>
        <v>-0.58948074777957826</v>
      </c>
      <c r="E37" s="38">
        <f>AVERAGE(X264vsQY265_offline_slow!S37:S52)</f>
        <v>-0.57973744668594485</v>
      </c>
      <c r="F37" s="38">
        <f>AVERAGE(X264vsQY265_offline_slow!T37:T52)</f>
        <v>-0.36494070909111942</v>
      </c>
      <c r="G37" s="39">
        <f>AVERAGE(X264vsQY265_offline_slow!U37:U52)</f>
        <v>-0.19247394445917457</v>
      </c>
      <c r="J37" s="56"/>
      <c r="K37" s="37" t="s">
        <v>39</v>
      </c>
      <c r="L37" s="38">
        <f>AVERAGE(X265vsQY265_offline_slow!Q37:Q52)</f>
        <v>-0.15996413104668664</v>
      </c>
      <c r="M37" s="38">
        <f>AVERAGE(X265vsQY265_offline_slow!R37:R52)</f>
        <v>-0.539158876262955</v>
      </c>
      <c r="N37" s="38">
        <f>AVERAGE(X265vsQY265_offline_slow!S37:S52)</f>
        <v>-0.52917567990284931</v>
      </c>
      <c r="O37" s="38">
        <f>AVERAGE(X265vsQY265_offline_slow!T37:T52)</f>
        <v>-0.24183488343660242</v>
      </c>
      <c r="P37" s="39">
        <f>AVERAGE(X265vsQY265_offline_slow!U37:U52)</f>
        <v>2.7944386361268465E-2</v>
      </c>
      <c r="S37" s="56"/>
      <c r="T37" s="37" t="s">
        <v>39</v>
      </c>
      <c r="U37" s="38">
        <f>AVERAGE(VP9vsQY265_offline_slow!Q37:Q52)</f>
        <v>-0.24577570251137348</v>
      </c>
      <c r="V37" s="38">
        <f>AVERAGE(VP9vsQY265_offline_slow!R37:R52)</f>
        <v>-0.46970049467324504</v>
      </c>
      <c r="W37" s="38">
        <f>AVERAGE(VP9vsQY265_offline_slow!S37:S52)</f>
        <v>-0.4770345924003595</v>
      </c>
      <c r="X37" s="38">
        <f>AVERAGE(VP9vsQY265_offline_slow!T37:T52)</f>
        <v>-0.29793083139633791</v>
      </c>
      <c r="Y37" s="39">
        <f>AVERAGE(VP9vsQY265_offline_slow!U37:U52)</f>
        <v>0.51945857755181446</v>
      </c>
    </row>
    <row r="38" spans="1:34" ht="16.5" thickBot="1" x14ac:dyDescent="0.3">
      <c r="A38" s="56"/>
      <c r="B38" s="37" t="s">
        <v>41</v>
      </c>
      <c r="C38" s="38">
        <f>AVERAGE(X264vsQY265_offline_slow!Q53:Q68)</f>
        <v>-0.21612060725910773</v>
      </c>
      <c r="D38" s="38">
        <f>AVERAGE(X264vsQY265_offline_slow!R53:R68)</f>
        <v>-0.56865569766207236</v>
      </c>
      <c r="E38" s="38">
        <f>AVERAGE(X264vsQY265_offline_slow!S53:S68)</f>
        <v>-0.57017370571348658</v>
      </c>
      <c r="F38" s="38">
        <f>AVERAGE(X264vsQY265_offline_slow!T53:T68)</f>
        <v>-0.28643265001070517</v>
      </c>
      <c r="G38" s="39">
        <f>AVERAGE(X264vsQY265_offline_slow!U53:U68)</f>
        <v>-0.14041498895748619</v>
      </c>
      <c r="J38" s="56"/>
      <c r="K38" s="37" t="s">
        <v>41</v>
      </c>
      <c r="L38" s="38">
        <f>AVERAGE(X265vsQY265_offline_slow!Q53:Q68)</f>
        <v>-0.11975543949105003</v>
      </c>
      <c r="M38" s="38">
        <f>AVERAGE(X265vsQY265_offline_slow!R53:R68)</f>
        <v>-0.47368912248899464</v>
      </c>
      <c r="N38" s="38">
        <f>AVERAGE(X265vsQY265_offline_slow!S53:S68)</f>
        <v>-0.47512054547465421</v>
      </c>
      <c r="O38" s="38">
        <f>AVERAGE(X265vsQY265_offline_slow!T53:T68)</f>
        <v>-0.19729574932051311</v>
      </c>
      <c r="P38" s="39">
        <f>AVERAGE(X265vsQY265_offline_slow!U53:U68)</f>
        <v>6.6350808063240813E-2</v>
      </c>
      <c r="S38" s="56"/>
      <c r="T38" s="37" t="s">
        <v>41</v>
      </c>
      <c r="U38" s="38">
        <f>AVERAGE(VP9vsQY265_offline_slow!Q53:Q68)</f>
        <v>-0.29864241972379907</v>
      </c>
      <c r="V38" s="38">
        <f>AVERAGE(VP9vsQY265_offline_slow!R53:R68)</f>
        <v>-0.48290210278960899</v>
      </c>
      <c r="W38" s="38">
        <f>AVERAGE(VP9vsQY265_offline_slow!S53:S68)</f>
        <v>-0.48133534002382938</v>
      </c>
      <c r="X38" s="38">
        <f>AVERAGE(VP9vsQY265_offline_slow!T53:T68)</f>
        <v>-0.34062498076835818</v>
      </c>
      <c r="Y38" s="39">
        <f>AVERAGE(VP9vsQY265_offline_slow!U53:U68)</f>
        <v>0.97534847644738387</v>
      </c>
    </row>
    <row r="39" spans="1:34" ht="16.5" thickBot="1" x14ac:dyDescent="0.3">
      <c r="A39" s="56"/>
      <c r="B39" s="37" t="s">
        <v>43</v>
      </c>
      <c r="C39" s="38">
        <f>AVERAGE(X264vsQY265_offline_slow!Q69:Q80)</f>
        <v>-0.46283450636548196</v>
      </c>
      <c r="D39" s="38">
        <f>AVERAGE(X264vsQY265_offline_slow!R69:R80)</f>
        <v>-0.67788077850544914</v>
      </c>
      <c r="E39" s="38">
        <f>AVERAGE(X264vsQY265_offline_slow!S69:S80)</f>
        <v>-0.69767063048102973</v>
      </c>
      <c r="F39" s="38">
        <f>AVERAGE(X264vsQY265_offline_slow!T69:T80)</f>
        <v>-0.52720312834787542</v>
      </c>
      <c r="G39" s="39">
        <f>AVERAGE(X264vsQY265_offline_slow!U69:U80)</f>
        <v>0.35380863524764222</v>
      </c>
      <c r="J39" s="56"/>
      <c r="K39" s="37" t="s">
        <v>43</v>
      </c>
      <c r="L39" s="38">
        <f>AVERAGE(X265vsQY265_offline_slow!Q69:Q80)</f>
        <v>-0.19771326368541209</v>
      </c>
      <c r="M39" s="38">
        <f>AVERAGE(X265vsQY265_offline_slow!R69:R80)</f>
        <v>-0.47990262604685413</v>
      </c>
      <c r="N39" s="38">
        <f>AVERAGE(X265vsQY265_offline_slow!S69:S80)</f>
        <v>-0.4534967281796578</v>
      </c>
      <c r="O39" s="38">
        <f>AVERAGE(X265vsQY265_offline_slow!T69:T80)</f>
        <v>-0.27002449678852858</v>
      </c>
      <c r="P39" s="39">
        <f>AVERAGE(X265vsQY265_offline_slow!U69:U80)</f>
        <v>0.53894298923142947</v>
      </c>
      <c r="S39" s="56"/>
      <c r="T39" s="37" t="s">
        <v>43</v>
      </c>
      <c r="U39" s="38">
        <f>AVERAGE(VP9vsQY265_offline_slow!Q69:Q80)</f>
        <v>-0.44643786428573273</v>
      </c>
      <c r="V39" s="38">
        <f>AVERAGE(VP9vsQY265_offline_slow!R69:R80)</f>
        <v>-0.46686801688058216</v>
      </c>
      <c r="W39" s="38">
        <f>AVERAGE(VP9vsQY265_offline_slow!S69:S80)</f>
        <v>-0.45411595959551471</v>
      </c>
      <c r="X39" s="38">
        <f>AVERAGE(VP9vsQY265_offline_slow!T69:T80)</f>
        <v>-0.4495125045739119</v>
      </c>
      <c r="Y39" s="39">
        <f>AVERAGE(VP9vsQY265_offline_slow!U69:U80)</f>
        <v>1.661014593944742</v>
      </c>
    </row>
    <row r="40" spans="1:34" ht="16.5" thickBot="1" x14ac:dyDescent="0.3">
      <c r="A40" s="56"/>
      <c r="B40" s="41" t="s">
        <v>106</v>
      </c>
      <c r="C40" s="38">
        <f>AVERAGE(X264vsQY265_offline_slow!Q81:Q124)</f>
        <v>-0.28357746801670042</v>
      </c>
      <c r="D40" s="38">
        <f>AVERAGE(X264vsQY265_offline_slow!R81:R124)</f>
        <v>-0.47997764430389173</v>
      </c>
      <c r="E40" s="38">
        <f>AVERAGE(X264vsQY265_offline_slow!S81:S124)</f>
        <v>-0.46941731723516628</v>
      </c>
      <c r="F40" s="38">
        <f>AVERAGE(X264vsQY265_offline_slow!T81:T124)</f>
        <v>-0.32566084100677739</v>
      </c>
      <c r="G40" s="39">
        <f>AVERAGE(X264vsQY265_offline_slow!U81:U124)</f>
        <v>-8.1668609844179729E-2</v>
      </c>
      <c r="J40" s="56"/>
      <c r="K40" s="41" t="s">
        <v>106</v>
      </c>
      <c r="L40" s="38">
        <f>AVERAGE(X265vsQY265_offline_slow!Q81:Q124)</f>
        <v>-0.1974918624831643</v>
      </c>
      <c r="M40" s="38">
        <f>AVERAGE(X265vsQY265_offline_slow!R81:R124)</f>
        <v>-0.44902440585616482</v>
      </c>
      <c r="N40" s="38">
        <f>AVERAGE(X265vsQY265_offline_slow!S81:S124)</f>
        <v>-0.44018854780451339</v>
      </c>
      <c r="O40" s="38">
        <f>AVERAGE(X265vsQY265_offline_slow!T81:T124)</f>
        <v>-0.25585367863593711</v>
      </c>
      <c r="P40" s="39">
        <f>AVERAGE(X265vsQY265_offline_slow!U81:U124)</f>
        <v>0.23269549033021419</v>
      </c>
      <c r="S40" s="56"/>
      <c r="T40" s="41" t="s">
        <v>106</v>
      </c>
      <c r="U40" s="38">
        <f>AVERAGE(VP9vsQY265_offline_slow!Q81:Q124)</f>
        <v>-0.27144377624264832</v>
      </c>
      <c r="V40" s="38">
        <f>AVERAGE(VP9vsQY265_offline_slow!R81:R124)</f>
        <v>-0.42064406112918729</v>
      </c>
      <c r="W40" s="38">
        <f>AVERAGE(VP9vsQY265_offline_slow!S81:S124)</f>
        <v>-0.41899104478313343</v>
      </c>
      <c r="X40" s="38">
        <f>AVERAGE(VP9vsQY265_offline_slow!T81:T124)</f>
        <v>-0.30706863791238181</v>
      </c>
      <c r="Y40" s="39">
        <f>AVERAGE(VP9vsQY265_offline_slow!U81:U124)</f>
        <v>0.44611556226940546</v>
      </c>
    </row>
    <row r="41" spans="1:34" ht="16.5" thickBot="1" x14ac:dyDescent="0.3">
      <c r="A41" s="57"/>
      <c r="B41" s="37" t="s">
        <v>76</v>
      </c>
      <c r="C41" s="38">
        <f>X264vsQY265_offline_slow!Q125</f>
        <v>-0.32606859832268814</v>
      </c>
      <c r="D41" s="38">
        <f>X264vsQY265_offline_slow!R125</f>
        <v>-0.56078326368097509</v>
      </c>
      <c r="E41" s="38">
        <f>X264vsQY265_offline_slow!S125</f>
        <v>-0.56030906024411042</v>
      </c>
      <c r="F41" s="38">
        <f>X264vsQY265_offline_slow!T125</f>
        <v>-0.37450906029628894</v>
      </c>
      <c r="G41" s="39">
        <f>X264vsQY265_offline_slow!U125</f>
        <v>-3.4670013896151701E-2</v>
      </c>
      <c r="J41" s="57"/>
      <c r="K41" s="37" t="s">
        <v>76</v>
      </c>
      <c r="L41" s="38">
        <f>X265vsQY265_offline_slow!Q125</f>
        <v>-0.16723968542586629</v>
      </c>
      <c r="M41" s="38">
        <f>X265vsQY265_offline_slow!R125</f>
        <v>-0.49344055412942472</v>
      </c>
      <c r="N41" s="38">
        <f>X265vsQY265_offline_slow!S125</f>
        <v>-0.46226950842274345</v>
      </c>
      <c r="O41" s="38">
        <f>X265vsQY265_offline_slow!T125</f>
        <v>-0.2385884421850728</v>
      </c>
      <c r="P41" s="39">
        <f>X265vsQY265_offline_slow!U125</f>
        <v>0.24430158934074109</v>
      </c>
      <c r="S41" s="57"/>
      <c r="T41" s="37" t="s">
        <v>76</v>
      </c>
      <c r="U41" s="38">
        <f>VP9vsQY265_offline_slow!Q125</f>
        <v>-0.30975945663733573</v>
      </c>
      <c r="V41" s="38">
        <f>VP9vsQY265_offline_slow!R125</f>
        <v>-0.47736813474121675</v>
      </c>
      <c r="W41" s="38">
        <f>VP9vsQY265_offline_slow!S125</f>
        <v>-0.47628405866286788</v>
      </c>
      <c r="X41" s="38">
        <f>VP9vsQY265_offline_slow!T125</f>
        <v>-0.34705247006298084</v>
      </c>
      <c r="Y41" s="39">
        <f>VP9vsQY265_offline_slow!U125</f>
        <v>0.69530760004859971</v>
      </c>
    </row>
    <row r="42" spans="1:34" ht="16.5" thickBot="1" x14ac:dyDescent="0.3">
      <c r="A42" s="55" t="s">
        <v>75</v>
      </c>
      <c r="B42" s="37" t="s">
        <v>35</v>
      </c>
      <c r="C42" s="38">
        <f>AVERAGE(X264vsQY265_offline_slow!Q131:Q138)</f>
        <v>-0.34205440144091659</v>
      </c>
      <c r="D42" s="38">
        <f>AVERAGE(X264vsQY265_offline_slow!R131:R138)</f>
        <v>-0.58532037979230156</v>
      </c>
      <c r="E42" s="38">
        <f>AVERAGE(X264vsQY265_offline_slow!S131:S138)</f>
        <v>-0.61321405745460233</v>
      </c>
      <c r="F42" s="38">
        <f>AVERAGE(X264vsQY265_offline_slow!T131:T138)</f>
        <v>-0.38212860107862789</v>
      </c>
      <c r="G42" s="39">
        <f>AVERAGE(X264vsQY265_offline_slow!U131:U138)</f>
        <v>-3.110035784442015E-2</v>
      </c>
      <c r="J42" s="55" t="s">
        <v>75</v>
      </c>
      <c r="K42" s="37" t="s">
        <v>35</v>
      </c>
      <c r="L42" s="38">
        <f>AVERAGE(X265vsQY265_offline_slow!Q131:Q138)</f>
        <v>-0.12548361852972517</v>
      </c>
      <c r="M42" s="38">
        <f>AVERAGE(X265vsQY265_offline_slow!R131:R138)</f>
        <v>-0.26851424089796355</v>
      </c>
      <c r="N42" s="38">
        <f>AVERAGE(X265vsQY265_offline_slow!S131:S138)</f>
        <v>-0.26336919707785261</v>
      </c>
      <c r="O42" s="38">
        <f>AVERAGE(X265vsQY265_offline_slow!T131:T138)</f>
        <v>-0.21748461252290346</v>
      </c>
      <c r="P42" s="39">
        <f>AVERAGE(X265vsQY265_offline_slow!U131:U138)</f>
        <v>0.35268909373598245</v>
      </c>
      <c r="S42" s="55" t="s">
        <v>75</v>
      </c>
      <c r="T42" s="37" t="s">
        <v>35</v>
      </c>
      <c r="U42" s="38">
        <f>AVERAGE(VP9vsQY265_offline_slow!Q131:Q138)</f>
        <v>-0.30003930487239189</v>
      </c>
      <c r="V42" s="38">
        <f>AVERAGE(VP9vsQY265_offline_slow!R131:R138)</f>
        <v>-0.55164833274486713</v>
      </c>
      <c r="W42" s="38">
        <f>AVERAGE(VP9vsQY265_offline_slow!S131:S138)</f>
        <v>-0.55200546464456157</v>
      </c>
      <c r="X42" s="38">
        <f>AVERAGE(VP9vsQY265_offline_slow!T131:T138)</f>
        <v>-0.34851349292007144</v>
      </c>
      <c r="Y42" s="39">
        <f>AVERAGE(VP9vsQY265_offline_slow!U131:U138)</f>
        <v>0.84803164774841799</v>
      </c>
    </row>
    <row r="43" spans="1:34" ht="16.5" thickBot="1" x14ac:dyDescent="0.3">
      <c r="A43" s="56"/>
      <c r="B43" s="37" t="s">
        <v>37</v>
      </c>
      <c r="C43" s="38">
        <f>AVERAGE(X264vsQY265_offline_slow!Q139:Q158)</f>
        <v>-0.41790196317072431</v>
      </c>
      <c r="D43" s="38">
        <f>AVERAGE(X264vsQY265_offline_slow!R139:R158)</f>
        <v>-0.63252688748327146</v>
      </c>
      <c r="E43" s="38">
        <f>AVERAGE(X264vsQY265_offline_slow!S139:S158)</f>
        <v>-0.63421757236912235</v>
      </c>
      <c r="F43" s="38">
        <f>AVERAGE(X264vsQY265_offline_slow!T139:T158)</f>
        <v>-0.45614761334842291</v>
      </c>
      <c r="G43" s="39">
        <f>AVERAGE(X264vsQY265_offline_slow!U139:U158)</f>
        <v>0.1183111869749222</v>
      </c>
      <c r="J43" s="56"/>
      <c r="K43" s="37" t="s">
        <v>37</v>
      </c>
      <c r="L43" s="38">
        <f>AVERAGE(X265vsQY265_offline_slow!Q139:Q158)</f>
        <v>-0.1416925142599012</v>
      </c>
      <c r="M43" s="38">
        <f>AVERAGE(X265vsQY265_offline_slow!R139:R158)</f>
        <v>-0.54217143324474493</v>
      </c>
      <c r="N43" s="38">
        <f>AVERAGE(X265vsQY265_offline_slow!S139:S158)</f>
        <v>-0.53368966407608975</v>
      </c>
      <c r="O43" s="38">
        <f>AVERAGE(X265vsQY265_offline_slow!T139:T158)</f>
        <v>-0.22016180438102309</v>
      </c>
      <c r="P43" s="39">
        <f>AVERAGE(X265vsQY265_offline_slow!U139:U158)</f>
        <v>0.63340699545113721</v>
      </c>
      <c r="S43" s="56"/>
      <c r="T43" s="37" t="s">
        <v>37</v>
      </c>
      <c r="U43" s="38">
        <f>AVERAGE(VP9vsQY265_offline_slow!Q139:Q158)</f>
        <v>-0.34439648253312483</v>
      </c>
      <c r="V43" s="38">
        <f>AVERAGE(VP9vsQY265_offline_slow!R139:R158)</f>
        <v>-0.57535546344171873</v>
      </c>
      <c r="W43" s="38">
        <f>AVERAGE(VP9vsQY265_offline_slow!S139:S158)</f>
        <v>-0.57529878285329594</v>
      </c>
      <c r="X43" s="38">
        <f>AVERAGE(VP9vsQY265_offline_slow!T139:T158)</f>
        <v>-0.39119410039639613</v>
      </c>
      <c r="Y43" s="39">
        <f>AVERAGE(VP9vsQY265_offline_slow!U139:U158)</f>
        <v>1.1645773713773147</v>
      </c>
    </row>
    <row r="44" spans="1:34" ht="16.5" thickBot="1" x14ac:dyDescent="0.3">
      <c r="A44" s="56"/>
      <c r="B44" s="37" t="s">
        <v>39</v>
      </c>
      <c r="C44" s="38">
        <f>AVERAGE(X264vsQY265_offline_slow!Q159:Q174)</f>
        <v>-0.30394965797615409</v>
      </c>
      <c r="D44" s="38">
        <f>AVERAGE(X264vsQY265_offline_slow!R159:R174)</f>
        <v>-0.58727049622668948</v>
      </c>
      <c r="E44" s="38">
        <f>AVERAGE(X264vsQY265_offline_slow!S159:S174)</f>
        <v>-0.57789640252904451</v>
      </c>
      <c r="F44" s="38">
        <f>AVERAGE(X264vsQY265_offline_slow!T159:T174)</f>
        <v>-0.35811159901748374</v>
      </c>
      <c r="G44" s="39">
        <f>AVERAGE(X264vsQY265_offline_slow!U159:U174)</f>
        <v>-0.21059316748397774</v>
      </c>
      <c r="J44" s="56"/>
      <c r="K44" s="37" t="s">
        <v>39</v>
      </c>
      <c r="L44" s="38">
        <f>AVERAGE(X265vsQY265_offline_slow!Q159:Q174)</f>
        <v>-0.1646961895627779</v>
      </c>
      <c r="M44" s="38">
        <f>AVERAGE(X265vsQY265_offline_slow!R159:R174)</f>
        <v>-0.54534104747293621</v>
      </c>
      <c r="N44" s="38">
        <f>AVERAGE(X265vsQY265_offline_slow!S159:S174)</f>
        <v>-0.53808343679006676</v>
      </c>
      <c r="O44" s="38">
        <f>AVERAGE(X265vsQY265_offline_slow!T159:T174)</f>
        <v>-0.24739411621121929</v>
      </c>
      <c r="P44" s="39">
        <f>AVERAGE(X265vsQY265_offline_slow!U159:U174)</f>
        <v>0.227761212144972</v>
      </c>
      <c r="S44" s="56"/>
      <c r="T44" s="37" t="s">
        <v>39</v>
      </c>
      <c r="U44" s="38">
        <f>AVERAGE(VP9vsQY265_offline_slow!Q159:Q174)</f>
        <v>-0.22915253805466296</v>
      </c>
      <c r="V44" s="38">
        <f>AVERAGE(VP9vsQY265_offline_slow!R159:R174)</f>
        <v>-0.47155688015561931</v>
      </c>
      <c r="W44" s="38">
        <f>AVERAGE(VP9vsQY265_offline_slow!S159:S174)</f>
        <v>-0.48065596265848887</v>
      </c>
      <c r="X44" s="38">
        <f>AVERAGE(VP9vsQY265_offline_slow!T159:T174)</f>
        <v>-0.28591397164225762</v>
      </c>
      <c r="Y44" s="39">
        <f>AVERAGE(VP9vsQY265_offline_slow!U159:U174)</f>
        <v>2.1284028815565756</v>
      </c>
    </row>
    <row r="45" spans="1:34" ht="16.5" thickBot="1" x14ac:dyDescent="0.3">
      <c r="A45" s="56"/>
      <c r="B45" s="37" t="s">
        <v>41</v>
      </c>
      <c r="C45" s="38">
        <f>AVERAGE(X264vsQY265_offline_slow!Q175:Q190)</f>
        <v>-0.19917570803499118</v>
      </c>
      <c r="D45" s="38">
        <f>AVERAGE(X264vsQY265_offline_slow!R175:R190)</f>
        <v>-0.56832231308773706</v>
      </c>
      <c r="E45" s="38">
        <f>AVERAGE(X264vsQY265_offline_slow!S175:S190)</f>
        <v>-0.56854174701168403</v>
      </c>
      <c r="F45" s="38">
        <f>AVERAGE(X264vsQY265_offline_slow!T175:T190)</f>
        <v>-0.27308167112538506</v>
      </c>
      <c r="G45" s="39">
        <f>AVERAGE(X264vsQY265_offline_slow!U175:U190)</f>
        <v>-0.22657101572000324</v>
      </c>
      <c r="J45" s="56"/>
      <c r="K45" s="37" t="s">
        <v>41</v>
      </c>
      <c r="L45" s="38">
        <f>AVERAGE(X265vsQY265_offline_slow!Q175:Q190)</f>
        <v>-0.11588129577761644</v>
      </c>
      <c r="M45" s="38">
        <f>AVERAGE(X265vsQY265_offline_slow!R175:R190)</f>
        <v>-0.48429499473012949</v>
      </c>
      <c r="N45" s="38">
        <f>AVERAGE(X265vsQY265_offline_slow!S175:S190)</f>
        <v>-0.48438764685020341</v>
      </c>
      <c r="O45" s="38">
        <f>AVERAGE(X265vsQY265_offline_slow!T175:T190)</f>
        <v>-0.19561506830999797</v>
      </c>
      <c r="P45" s="39">
        <f>AVERAGE(X265vsQY265_offline_slow!U175:U190)</f>
        <v>0.68909581111179674</v>
      </c>
      <c r="S45" s="56"/>
      <c r="T45" s="37" t="s">
        <v>41</v>
      </c>
      <c r="U45" s="38">
        <f>AVERAGE(VP9vsQY265_offline_slow!Q175:Q190)</f>
        <v>-0.27812469025679937</v>
      </c>
      <c r="V45" s="38">
        <f>AVERAGE(VP9vsQY265_offline_slow!R175:R190)</f>
        <v>-0.48432863070962906</v>
      </c>
      <c r="W45" s="38">
        <f>AVERAGE(VP9vsQY265_offline_slow!S175:S190)</f>
        <v>-0.4815442015482434</v>
      </c>
      <c r="X45" s="38">
        <f>AVERAGE(VP9vsQY265_offline_slow!T175:T190)</f>
        <v>-0.32536477816035048</v>
      </c>
      <c r="Y45" s="39">
        <f>AVERAGE(VP9vsQY265_offline_slow!U175:U190)</f>
        <v>4.6730671376344555</v>
      </c>
    </row>
    <row r="46" spans="1:34" ht="16.5" thickBot="1" x14ac:dyDescent="0.3">
      <c r="A46" s="56"/>
      <c r="B46" s="37" t="s">
        <v>43</v>
      </c>
      <c r="C46" s="38">
        <f>AVERAGE(X264vsQY265_offline_slow!Q191:Q202)</f>
        <v>-0.43826702091785236</v>
      </c>
      <c r="D46" s="38">
        <f>AVERAGE(X264vsQY265_offline_slow!R191:R202)</f>
        <v>-0.65769488991665848</v>
      </c>
      <c r="E46" s="38">
        <f>AVERAGE(X264vsQY265_offline_slow!S191:S202)</f>
        <v>-0.67866699803972352</v>
      </c>
      <c r="F46" s="38">
        <f>AVERAGE(X264vsQY265_offline_slow!T191:T202)</f>
        <v>-0.50297759700562439</v>
      </c>
      <c r="G46" s="39">
        <f>AVERAGE(X264vsQY265_offline_slow!U191:U202)</f>
        <v>0.24066711361933776</v>
      </c>
      <c r="J46" s="56"/>
      <c r="K46" s="37" t="s">
        <v>43</v>
      </c>
      <c r="L46" s="38">
        <f>AVERAGE(X265vsQY265_offline_slow!Q191:Q202)</f>
        <v>-0.19369505657039329</v>
      </c>
      <c r="M46" s="38">
        <f>AVERAGE(X265vsQY265_offline_slow!R191:R202)</f>
        <v>-0.46777140117432364</v>
      </c>
      <c r="N46" s="38">
        <f>AVERAGE(X265vsQY265_offline_slow!S191:S202)</f>
        <v>-0.45270175753783054</v>
      </c>
      <c r="O46" s="38">
        <f>AVERAGE(X265vsQY265_offline_slow!T191:T202)</f>
        <v>-0.26392239767334696</v>
      </c>
      <c r="P46" s="39">
        <f>AVERAGE(X265vsQY265_offline_slow!U191:U202)</f>
        <v>0.71934328224004884</v>
      </c>
      <c r="S46" s="56"/>
      <c r="T46" s="37" t="s">
        <v>43</v>
      </c>
      <c r="U46" s="38">
        <f>AVERAGE(VP9vsQY265_offline_slow!Q191:Q202)</f>
        <v>-0.40927612177669198</v>
      </c>
      <c r="V46" s="38">
        <f>AVERAGE(VP9vsQY265_offline_slow!R191:R202)</f>
        <v>-0.42947659680564448</v>
      </c>
      <c r="W46" s="38">
        <f>AVERAGE(VP9vsQY265_offline_slow!S191:S202)</f>
        <v>-0.42052608117061946</v>
      </c>
      <c r="X46" s="38">
        <f>AVERAGE(VP9vsQY265_offline_slow!T191:T202)</f>
        <v>-0.41267353281007807</v>
      </c>
      <c r="Y46" s="39">
        <f>AVERAGE(VP9vsQY265_offline_slow!U191:U202)</f>
        <v>2.1869508646675579</v>
      </c>
    </row>
    <row r="47" spans="1:34" ht="16.5" thickBot="1" x14ac:dyDescent="0.3">
      <c r="A47" s="56"/>
      <c r="B47" s="41" t="s">
        <v>106</v>
      </c>
      <c r="C47" s="38">
        <f>AVERAGE(X264vsQY265_offline_slow!Q203:Q246)</f>
        <v>-0.26810965280290572</v>
      </c>
      <c r="D47" s="38">
        <f>AVERAGE(X264vsQY265_offline_slow!R203:R246)</f>
        <v>-0.46875719981285646</v>
      </c>
      <c r="E47" s="38">
        <f>AVERAGE(X264vsQY265_offline_slow!S203:S246)</f>
        <v>-0.45657184572267084</v>
      </c>
      <c r="F47" s="38">
        <f>AVERAGE(X264vsQY265_offline_slow!T203:T246)</f>
        <v>-0.31106768841999483</v>
      </c>
      <c r="G47" s="39">
        <f>AVERAGE(X264vsQY265_offline_slow!U203:U246)</f>
        <v>-9.0493599446170095E-2</v>
      </c>
      <c r="J47" s="56"/>
      <c r="K47" s="41" t="s">
        <v>106</v>
      </c>
      <c r="L47" s="38">
        <f>AVERAGE(X265vsQY265_offline_slow!Q203:Q246)</f>
        <v>-0.19453602916081925</v>
      </c>
      <c r="M47" s="38">
        <f>AVERAGE(X265vsQY265_offline_slow!R203:R246)</f>
        <v>-0.44833958785440003</v>
      </c>
      <c r="N47" s="38">
        <f>AVERAGE(X265vsQY265_offline_slow!S203:S246)</f>
        <v>-0.43703659462551897</v>
      </c>
      <c r="O47" s="38">
        <f>AVERAGE(X265vsQY265_offline_slow!T203:T246)</f>
        <v>-0.25305107058582688</v>
      </c>
      <c r="P47" s="39">
        <f>AVERAGE(X265vsQY265_offline_slow!U203:U246)</f>
        <v>0.36967779922392069</v>
      </c>
      <c r="S47" s="56"/>
      <c r="T47" s="41" t="s">
        <v>106</v>
      </c>
      <c r="U47" s="38">
        <f>AVERAGE(VP9vsQY265_offline_slow!Q203:Q246)</f>
        <v>-0.24643048274478527</v>
      </c>
      <c r="V47" s="38">
        <f>AVERAGE(VP9vsQY265_offline_slow!R203:R246)</f>
        <v>-0.4032504137380799</v>
      </c>
      <c r="W47" s="38">
        <f>AVERAGE(VP9vsQY265_offline_slow!S203:S246)</f>
        <v>-0.3995906490007386</v>
      </c>
      <c r="X47" s="38">
        <f>AVERAGE(VP9vsQY265_offline_slow!T203:T246)</f>
        <v>-0.28383685825638472</v>
      </c>
      <c r="Y47" s="39">
        <f>AVERAGE(VP9vsQY265_offline_slow!U203:U246)</f>
        <v>0.96552646345555426</v>
      </c>
    </row>
    <row r="48" spans="1:34" ht="16.5" thickBot="1" x14ac:dyDescent="0.3">
      <c r="A48" s="57"/>
      <c r="B48" s="37" t="s">
        <v>76</v>
      </c>
      <c r="C48" s="38">
        <f>X264vsQY265_offline_slow!Q247</f>
        <v>-0.31207335608157083</v>
      </c>
      <c r="D48" s="38">
        <f>X264vsQY265_offline_slow!R247</f>
        <v>-0.55465725179138148</v>
      </c>
      <c r="E48" s="38">
        <f>X264vsQY265_offline_slow!S247</f>
        <v>-0.55315723696504426</v>
      </c>
      <c r="F48" s="38">
        <f>X264vsQY265_offline_slow!T247</f>
        <v>-0.36208433493474695</v>
      </c>
      <c r="G48" s="39">
        <f>X264vsQY265_offline_slow!U247</f>
        <v>-5.1473440230345169E-2</v>
      </c>
      <c r="J48" s="57"/>
      <c r="K48" s="37" t="s">
        <v>76</v>
      </c>
      <c r="L48" s="38">
        <f>X265vsQY265_offline_slow!Q247</f>
        <v>-0.16561107724830088</v>
      </c>
      <c r="M48" s="38">
        <f>X265vsQY265_offline_slow!R247</f>
        <v>-0.4724648098880444</v>
      </c>
      <c r="N48" s="38">
        <f>X265vsQY265_offline_slow!S247</f>
        <v>-0.46381306422729096</v>
      </c>
      <c r="O48" s="38">
        <f>X265vsQY265_offline_slow!T247</f>
        <v>-0.23734979153448024</v>
      </c>
      <c r="P48" s="39">
        <f>X265vsQY265_offline_slow!U247</f>
        <v>0.47463196192889662</v>
      </c>
      <c r="S48" s="57"/>
      <c r="T48" s="37" t="s">
        <v>76</v>
      </c>
      <c r="U48" s="38">
        <f>VP9vsQY265_offline_slow!Q247</f>
        <v>-0.28585288314410245</v>
      </c>
      <c r="V48" s="38">
        <f>VP9vsQY265_offline_slow!R247</f>
        <v>-0.46647587474810814</v>
      </c>
      <c r="W48" s="38">
        <f>VP9vsQY265_offline_slow!S247</f>
        <v>-0.46504761665181077</v>
      </c>
      <c r="X48" s="38">
        <f>VP9vsQY265_offline_slow!T247</f>
        <v>-0.32614960435458695</v>
      </c>
      <c r="Y48" s="39">
        <f>VP9vsQY265_offline_slow!U247</f>
        <v>1.7898784110745283</v>
      </c>
    </row>
    <row r="49" spans="1:25" ht="16.5" thickBot="1" x14ac:dyDescent="0.3">
      <c r="A49" s="58" t="s">
        <v>107</v>
      </c>
      <c r="B49" s="59"/>
      <c r="C49" s="59"/>
      <c r="D49" s="59"/>
      <c r="E49" s="59"/>
      <c r="F49" s="59"/>
      <c r="G49" s="60"/>
      <c r="J49" s="58" t="s">
        <v>108</v>
      </c>
      <c r="K49" s="59"/>
      <c r="L49" s="59"/>
      <c r="M49" s="59"/>
      <c r="N49" s="59"/>
      <c r="O49" s="59"/>
      <c r="P49" s="60"/>
      <c r="S49" s="58" t="s">
        <v>219</v>
      </c>
      <c r="T49" s="59"/>
      <c r="U49" s="59"/>
      <c r="V49" s="59"/>
      <c r="W49" s="59"/>
      <c r="X49" s="59"/>
      <c r="Y49" s="60"/>
    </row>
    <row r="50" spans="1:25" ht="16.5" thickBot="1" x14ac:dyDescent="0.3">
      <c r="A50" s="37" t="s">
        <v>73</v>
      </c>
      <c r="B50" s="37" t="s">
        <v>72</v>
      </c>
      <c r="C50" s="37" t="s">
        <v>68</v>
      </c>
      <c r="D50" s="37" t="s">
        <v>69</v>
      </c>
      <c r="E50" s="37" t="s">
        <v>70</v>
      </c>
      <c r="F50" s="37" t="s">
        <v>71</v>
      </c>
      <c r="G50" s="37" t="s">
        <v>74</v>
      </c>
      <c r="J50" s="37" t="s">
        <v>73</v>
      </c>
      <c r="K50" s="37" t="s">
        <v>72</v>
      </c>
      <c r="L50" s="37" t="s">
        <v>68</v>
      </c>
      <c r="M50" s="37" t="s">
        <v>69</v>
      </c>
      <c r="N50" s="37" t="s">
        <v>70</v>
      </c>
      <c r="O50" s="37" t="s">
        <v>71</v>
      </c>
      <c r="P50" s="37" t="s">
        <v>74</v>
      </c>
      <c r="S50" s="37" t="s">
        <v>115</v>
      </c>
      <c r="T50" s="37" t="s">
        <v>72</v>
      </c>
      <c r="U50" s="37" t="s">
        <v>68</v>
      </c>
      <c r="V50" s="37" t="s">
        <v>69</v>
      </c>
      <c r="W50" s="37" t="s">
        <v>70</v>
      </c>
      <c r="X50" s="37" t="s">
        <v>71</v>
      </c>
      <c r="Y50" s="37" t="s">
        <v>74</v>
      </c>
    </row>
    <row r="51" spans="1:25" ht="16.5" thickBot="1" x14ac:dyDescent="0.3">
      <c r="A51" s="55" t="s">
        <v>75</v>
      </c>
      <c r="B51" s="37" t="s">
        <v>35</v>
      </c>
      <c r="C51" s="38">
        <f>AVERAGE(X264vsQY265_offline_placebo!Q9:Q16)</f>
        <v>-0.30760322294165537</v>
      </c>
      <c r="D51" s="38">
        <f>AVERAGE(X264vsQY265_offline_placebo!R9:R16)</f>
        <v>-0.51253587480565888</v>
      </c>
      <c r="E51" s="38">
        <f>AVERAGE(X264vsQY265_offline_placebo!S9:S16)</f>
        <v>-0.55253730323434991</v>
      </c>
      <c r="F51" s="38">
        <f>AVERAGE(X264vsQY265_offline_placebo!T9:T16)</f>
        <v>-0.34157182062361446</v>
      </c>
      <c r="G51" s="39">
        <f>AVERAGE(X264vsQY265_offline_placebo!U9:U16)</f>
        <v>1.007601686938691</v>
      </c>
      <c r="J51" s="55" t="s">
        <v>75</v>
      </c>
      <c r="K51" s="37" t="s">
        <v>35</v>
      </c>
      <c r="L51" s="38">
        <f>AVERAGE(X265vsQY265_offline_veryslow!Q9:Q16)</f>
        <v>4.99782633599129E-2</v>
      </c>
      <c r="M51" s="38">
        <f>AVERAGE(X265vsQY265_offline_veryslow!R9:R16)</f>
        <v>-0.52400490503213926</v>
      </c>
      <c r="N51" s="38">
        <f>AVERAGE(X265vsQY265_offline_veryslow!S9:S16)</f>
        <v>-0.52767693220712353</v>
      </c>
      <c r="O51" s="38">
        <f>AVERAGE(X265vsQY265_offline_veryslow!T9:T16)</f>
        <v>-5.7219908655980645E-2</v>
      </c>
      <c r="P51" s="39">
        <f>AVERAGE(X265vsQY265_offline_veryslow!U9:U16)</f>
        <v>0.73498583509870685</v>
      </c>
      <c r="S51" s="55" t="s">
        <v>75</v>
      </c>
      <c r="T51" s="37" t="s">
        <v>35</v>
      </c>
      <c r="U51" s="38">
        <f>AVERAGE(VP9vsQY265_offline_veryslow!Q9:Q16)</f>
        <v>-0.14615168061062844</v>
      </c>
      <c r="V51" s="38">
        <f>AVERAGE(VP9vsQY265_offline_veryslow!R9:R16)</f>
        <v>-0.48580597855078039</v>
      </c>
      <c r="W51" s="38">
        <f>AVERAGE(VP9vsQY265_offline_veryslow!S9:S16)</f>
        <v>-0.49854508688327476</v>
      </c>
      <c r="X51" s="38">
        <f>AVERAGE(VP9vsQY265_offline_veryslow!T9:T16)</f>
        <v>-0.20873448993122662</v>
      </c>
      <c r="Y51" s="39">
        <f>AVERAGE(VP9vsQY265_offline_veryslow!U9:U16)</f>
        <v>6.9881594469127366</v>
      </c>
    </row>
    <row r="52" spans="1:25" ht="16.5" thickBot="1" x14ac:dyDescent="0.3">
      <c r="A52" s="56"/>
      <c r="B52" s="37" t="s">
        <v>37</v>
      </c>
      <c r="C52" s="38">
        <f>AVERAGE(X264vsQY265_offline_placebo!Q17:Q36)</f>
        <v>-0.39369513735588119</v>
      </c>
      <c r="D52" s="38">
        <f>AVERAGE(X264vsQY265_offline_placebo!R17:R36)</f>
        <v>-0.62239381711738784</v>
      </c>
      <c r="E52" s="38">
        <f>AVERAGE(X264vsQY265_offline_placebo!S17:S36)</f>
        <v>-0.6252787765111304</v>
      </c>
      <c r="F52" s="38">
        <f>AVERAGE(X264vsQY265_offline_placebo!T17:T36)</f>
        <v>-0.43564231244108137</v>
      </c>
      <c r="G52" s="39">
        <f>AVERAGE(X264vsQY265_offline_placebo!U17:U36)</f>
        <v>1.6426813396885642</v>
      </c>
      <c r="J52" s="56"/>
      <c r="K52" s="37" t="s">
        <v>37</v>
      </c>
      <c r="L52" s="38">
        <f>AVERAGE(X265vsQY265_offline_veryslow!Q17:Q36)</f>
        <v>-3.2793986337563696E-3</v>
      </c>
      <c r="M52" s="38">
        <f>AVERAGE(X265vsQY265_offline_veryslow!R17:R36)</f>
        <v>-0.45143134933846057</v>
      </c>
      <c r="N52" s="38">
        <f>AVERAGE(X265vsQY265_offline_veryslow!S17:S36)</f>
        <v>-0.4305699833865182</v>
      </c>
      <c r="O52" s="38">
        <f>AVERAGE(X265vsQY265_offline_veryslow!T17:T36)</f>
        <v>-9.1954730710644708E-2</v>
      </c>
      <c r="P52" s="39">
        <f>AVERAGE(X265vsQY265_offline_veryslow!U17:U36)</f>
        <v>0.92745733349242965</v>
      </c>
      <c r="S52" s="56"/>
      <c r="T52" s="37" t="s">
        <v>37</v>
      </c>
      <c r="U52" s="38">
        <f>AVERAGE(VP9vsQY265_offline_veryslow!Q17:Q36)</f>
        <v>-0.24941223565614781</v>
      </c>
      <c r="V52" s="38">
        <f>AVERAGE(VP9vsQY265_offline_veryslow!R17:R36)</f>
        <v>-0.51932450209139569</v>
      </c>
      <c r="W52" s="38">
        <f>AVERAGE(VP9vsQY265_offline_veryslow!S17:S36)</f>
        <v>-0.51512687367993193</v>
      </c>
      <c r="X52" s="38">
        <f>AVERAGE(VP9vsQY265_offline_veryslow!T17:T36)</f>
        <v>-0.30337438017447083</v>
      </c>
      <c r="Y52" s="39">
        <f>AVERAGE(VP9vsQY265_offline_veryslow!U17:U36)</f>
        <v>9.001868816677387</v>
      </c>
    </row>
    <row r="53" spans="1:25" ht="16.5" thickBot="1" x14ac:dyDescent="0.3">
      <c r="A53" s="56"/>
      <c r="B53" s="37" t="s">
        <v>39</v>
      </c>
      <c r="C53" s="38">
        <f>AVERAGE(X264vsQY265_offline_placebo!Q37:Q52)</f>
        <v>-0.30047848183860804</v>
      </c>
      <c r="D53" s="38">
        <f>AVERAGE(X264vsQY265_offline_placebo!R37:R52)</f>
        <v>-0.58190574713945564</v>
      </c>
      <c r="E53" s="38">
        <f>AVERAGE(X264vsQY265_offline_placebo!S37:S52)</f>
        <v>-0.57465598934310336</v>
      </c>
      <c r="F53" s="38">
        <f>AVERAGE(X264vsQY265_offline_placebo!T37:T52)</f>
        <v>-0.35456984249097029</v>
      </c>
      <c r="G53" s="39">
        <f>AVERAGE(X264vsQY265_offline_placebo!U37:U52)</f>
        <v>0.77117652534399606</v>
      </c>
      <c r="J53" s="56"/>
      <c r="K53" s="37" t="s">
        <v>39</v>
      </c>
      <c r="L53" s="38">
        <f>AVERAGE(X265vsQY265_offline_veryslow!Q37:Q52)</f>
        <v>-4.8298764219987522E-2</v>
      </c>
      <c r="M53" s="38">
        <f>AVERAGE(X265vsQY265_offline_veryslow!R37:R52)</f>
        <v>-0.44462715755006277</v>
      </c>
      <c r="N53" s="38">
        <f>AVERAGE(X265vsQY265_offline_veryslow!S37:S52)</f>
        <v>-0.41941153803140319</v>
      </c>
      <c r="O53" s="38">
        <f>AVERAGE(X265vsQY265_offline_veryslow!T37:T52)</f>
        <v>-0.12981373120044315</v>
      </c>
      <c r="P53" s="39">
        <f>AVERAGE(X265vsQY265_offline_veryslow!U37:U52)</f>
        <v>0.76615607599421232</v>
      </c>
      <c r="S53" s="56"/>
      <c r="T53" s="37" t="s">
        <v>39</v>
      </c>
      <c r="U53" s="38">
        <f>AVERAGE(VP9vsQY265_offline_veryslow!Q37:Q52)</f>
        <v>-0.14999386034070689</v>
      </c>
      <c r="V53" s="38">
        <f>AVERAGE(VP9vsQY265_offline_veryslow!R37:R52)</f>
        <v>-0.40604654488965997</v>
      </c>
      <c r="W53" s="38">
        <f>AVERAGE(VP9vsQY265_offline_veryslow!S37:S52)</f>
        <v>-0.41258163145716054</v>
      </c>
      <c r="X53" s="38">
        <f>AVERAGE(VP9vsQY265_offline_veryslow!T37:T52)</f>
        <v>-0.20705682507490589</v>
      </c>
      <c r="Y53" s="39">
        <f>AVERAGE(VP9vsQY265_offline_veryslow!U37:U52)</f>
        <v>10.651405951987186</v>
      </c>
    </row>
    <row r="54" spans="1:25" ht="16.5" thickBot="1" x14ac:dyDescent="0.3">
      <c r="A54" s="56"/>
      <c r="B54" s="37" t="s">
        <v>41</v>
      </c>
      <c r="C54" s="38">
        <f>AVERAGE(X264vsQY265_offline_placebo!Q53:Q68)</f>
        <v>-0.23498208872377085</v>
      </c>
      <c r="D54" s="38">
        <f>AVERAGE(X264vsQY265_offline_placebo!R53:R68)</f>
        <v>-0.5715654795951739</v>
      </c>
      <c r="E54" s="38">
        <f>AVERAGE(X264vsQY265_offline_placebo!S53:S68)</f>
        <v>-0.56611570552907553</v>
      </c>
      <c r="F54" s="38">
        <f>AVERAGE(X264vsQY265_offline_placebo!T53:T68)</f>
        <v>-0.30180945460181707</v>
      </c>
      <c r="G54" s="39">
        <f>AVERAGE(X264vsQY265_offline_placebo!U53:U68)</f>
        <v>0.282484516788993</v>
      </c>
      <c r="J54" s="56"/>
      <c r="K54" s="37" t="s">
        <v>41</v>
      </c>
      <c r="L54" s="38">
        <f>AVERAGE(X265vsQY265_offline_veryslow!Q53:Q68)</f>
        <v>-1.8088365951158786E-2</v>
      </c>
      <c r="M54" s="38">
        <f>AVERAGE(X265vsQY265_offline_veryslow!R53:R68)</f>
        <v>-0.39292573464065711</v>
      </c>
      <c r="N54" s="38">
        <f>AVERAGE(X265vsQY265_offline_veryslow!S53:S68)</f>
        <v>-0.37783575655726742</v>
      </c>
      <c r="O54" s="38">
        <f>AVERAGE(X265vsQY265_offline_veryslow!T53:T68)</f>
        <v>-9.5294296100377901E-2</v>
      </c>
      <c r="P54" s="39">
        <f>AVERAGE(X265vsQY265_offline_veryslow!U53:U68)</f>
        <v>1.5623828319772881</v>
      </c>
      <c r="S54" s="56"/>
      <c r="T54" s="37" t="s">
        <v>41</v>
      </c>
      <c r="U54" s="38">
        <f>AVERAGE(VP9vsQY265_offline_veryslow!Q53:Q68)</f>
        <v>-0.22745891260525639</v>
      </c>
      <c r="V54" s="38">
        <f>AVERAGE(VP9vsQY265_offline_veryslow!R53:R68)</f>
        <v>-0.42688771995545283</v>
      </c>
      <c r="W54" s="38">
        <f>AVERAGE(VP9vsQY265_offline_veryslow!S53:S68)</f>
        <v>-0.42205418464510203</v>
      </c>
      <c r="X54" s="38">
        <f>AVERAGE(VP9vsQY265_offline_veryslow!T53:T68)</f>
        <v>-0.27155161418108908</v>
      </c>
      <c r="Y54" s="39">
        <f>AVERAGE(VP9vsQY265_offline_veryslow!U53:U68)</f>
        <v>15.790720902673756</v>
      </c>
    </row>
    <row r="55" spans="1:25" ht="16.5" thickBot="1" x14ac:dyDescent="0.3">
      <c r="A55" s="56"/>
      <c r="B55" s="37" t="s">
        <v>43</v>
      </c>
      <c r="C55" s="38">
        <f>AVERAGE(X264vsQY265_offline_placebo!Q69:Q80)</f>
        <v>-0.38974081524196963</v>
      </c>
      <c r="D55" s="38">
        <f>AVERAGE(X264vsQY265_offline_placebo!R69:R80)</f>
        <v>-0.59468281123708799</v>
      </c>
      <c r="E55" s="38">
        <f>AVERAGE(X264vsQY265_offline_placebo!S69:S80)</f>
        <v>-0.61828795025897054</v>
      </c>
      <c r="F55" s="38">
        <f>AVERAGE(X264vsQY265_offline_placebo!T69:T80)</f>
        <v>-0.45071289630932049</v>
      </c>
      <c r="G55" s="39">
        <f>AVERAGE(X264vsQY265_offline_placebo!U69:U80)</f>
        <v>1.4329576079301625</v>
      </c>
      <c r="J55" s="56"/>
      <c r="K55" s="37" t="s">
        <v>43</v>
      </c>
      <c r="L55" s="38">
        <f>AVERAGE(X265vsQY265_offline_veryslow!Q69:Q80)</f>
        <v>-8.5203637993605461E-2</v>
      </c>
      <c r="M55" s="38">
        <f>AVERAGE(X265vsQY265_offline_veryslow!R69:R80)</f>
        <v>-0.34729692166720905</v>
      </c>
      <c r="N55" s="38">
        <f>AVERAGE(X265vsQY265_offline_veryslow!S69:S80)</f>
        <v>-0.33354675348323087</v>
      </c>
      <c r="O55" s="38">
        <f>AVERAGE(X265vsQY265_offline_veryslow!T69:T80)</f>
        <v>-0.15092357430005779</v>
      </c>
      <c r="P55" s="39">
        <f>AVERAGE(X265vsQY265_offline_veryslow!U69:U80)</f>
        <v>0.78291527060137855</v>
      </c>
      <c r="S55" s="56"/>
      <c r="T55" s="37" t="s">
        <v>43</v>
      </c>
      <c r="U55" s="38">
        <f>AVERAGE(VP9vsQY265_offline_veryslow!Q69:Q80)</f>
        <v>-0.32377569102320636</v>
      </c>
      <c r="V55" s="38">
        <f>AVERAGE(VP9vsQY265_offline_veryslow!R69:R80)</f>
        <v>-0.35821271221462797</v>
      </c>
      <c r="W55" s="38">
        <f>AVERAGE(VP9vsQY265_offline_veryslow!S69:S80)</f>
        <v>-0.34909525404122527</v>
      </c>
      <c r="X55" s="38">
        <f>AVERAGE(VP9vsQY265_offline_veryslow!T69:T80)</f>
        <v>-0.33054697191913468</v>
      </c>
      <c r="Y55" s="39">
        <f>AVERAGE(VP9vsQY265_offline_veryslow!U69:U80)</f>
        <v>5.4773075299018865</v>
      </c>
    </row>
    <row r="56" spans="1:25" ht="16.5" thickBot="1" x14ac:dyDescent="0.3">
      <c r="A56" s="56"/>
      <c r="B56" s="41" t="s">
        <v>106</v>
      </c>
      <c r="C56" s="38">
        <f>AVERAGE(X264vsQY265_offline_placebo!Q81:Q124)</f>
        <v>-0.27030066492739313</v>
      </c>
      <c r="D56" s="38">
        <f>AVERAGE(X264vsQY265_offline_placebo!R81:R124)</f>
        <v>-0.4542461219818536</v>
      </c>
      <c r="E56" s="38">
        <f>AVERAGE(X264vsQY265_offline_placebo!S81:S124)</f>
        <v>-0.44502375096107583</v>
      </c>
      <c r="F56" s="38">
        <f>AVERAGE(X264vsQY265_offline_placebo!T81:T124)</f>
        <v>-0.30929267039007385</v>
      </c>
      <c r="G56" s="39">
        <f>AVERAGE(X264vsQY265_offline_placebo!U81:U124)</f>
        <v>0.49159569210795728</v>
      </c>
      <c r="J56" s="56"/>
      <c r="K56" s="41" t="s">
        <v>106</v>
      </c>
      <c r="L56" s="38">
        <f>AVERAGE(X265vsQY265_offline_veryslow!Q81:Q124)</f>
        <v>-5.4865113824431405E-2</v>
      </c>
      <c r="M56" s="38">
        <f>AVERAGE(X265vsQY265_offline_veryslow!R81:R124)</f>
        <v>-0.31023118630561952</v>
      </c>
      <c r="N56" s="38">
        <f>AVERAGE(X265vsQY265_offline_veryslow!S81:S124)</f>
        <v>-0.29641041174240867</v>
      </c>
      <c r="O56" s="38">
        <f>AVERAGE(X265vsQY265_offline_veryslow!T81:T124)</f>
        <v>-0.11131523458299443</v>
      </c>
      <c r="P56" s="39">
        <f>AVERAGE(X265vsQY265_offline_veryslow!U81:U124)</f>
        <v>0.6017292677594045</v>
      </c>
      <c r="S56" s="56"/>
      <c r="T56" s="41" t="s">
        <v>106</v>
      </c>
      <c r="U56" s="38">
        <f>AVERAGE(VP9vsQY265_offline_veryslow!Q81:Q124)</f>
        <v>-0.12412234637916632</v>
      </c>
      <c r="V56" s="38">
        <f>AVERAGE(VP9vsQY265_offline_veryslow!R81:R124)</f>
        <v>-0.31831867999635205</v>
      </c>
      <c r="W56" s="38">
        <f>AVERAGE(VP9vsQY265_offline_veryslow!S81:S124)</f>
        <v>-0.30799453394943149</v>
      </c>
      <c r="X56" s="38">
        <f>AVERAGE(VP9vsQY265_offline_veryslow!T81:T124)</f>
        <v>-0.16853919834984527</v>
      </c>
      <c r="Y56" s="39">
        <f>AVERAGE(VP9vsQY265_offline_veryslow!U81:U124)</f>
        <v>4.0398503719565531</v>
      </c>
    </row>
    <row r="57" spans="1:25" ht="16.5" thickBot="1" x14ac:dyDescent="0.3">
      <c r="A57" s="57"/>
      <c r="B57" s="37" t="s">
        <v>76</v>
      </c>
      <c r="C57" s="38">
        <f>X264vsQY265_offline_placebo!Q125</f>
        <v>-0.30579497154618845</v>
      </c>
      <c r="D57" s="38">
        <f>X264vsQY265_offline_placebo!R125</f>
        <v>-0.53557522474649744</v>
      </c>
      <c r="E57" s="38">
        <f>X264vsQY265_offline_placebo!S125</f>
        <v>-0.53602346137454537</v>
      </c>
      <c r="F57" s="38">
        <f>X264vsQY265_offline_placebo!T125</f>
        <v>-0.35314587776008821</v>
      </c>
      <c r="G57" s="39">
        <f>X264vsQY265_offline_placebo!U125</f>
        <v>0.83274757509759245</v>
      </c>
      <c r="J57" s="57"/>
      <c r="K57" s="37" t="s">
        <v>76</v>
      </c>
      <c r="L57" s="38">
        <f>X265vsQY265_offline_veryslow!Q125</f>
        <v>-3.59005570063139E-2</v>
      </c>
      <c r="M57" s="38">
        <f>X265vsQY265_offline_veryslow!R125</f>
        <v>-0.38309696344423794</v>
      </c>
      <c r="N57" s="38">
        <f>X265vsQY265_offline_veryslow!S125</f>
        <v>-0.36752923273509336</v>
      </c>
      <c r="O57" s="38">
        <f>X265vsQY265_offline_veryslow!T125</f>
        <v>-0.108685651151089</v>
      </c>
      <c r="P57" s="39">
        <f>X265vsQY265_offline_veryslow!U125</f>
        <v>0.84100626643803966</v>
      </c>
      <c r="S57" s="57"/>
      <c r="T57" s="37" t="s">
        <v>76</v>
      </c>
      <c r="U57" s="38">
        <f>VP9vsQY265_offline_veryslow!Q125</f>
        <v>-0.18571891429401027</v>
      </c>
      <c r="V57" s="38">
        <f>VP9vsQY265_offline_veryslow!R125</f>
        <v>-0.39572810839802569</v>
      </c>
      <c r="W57" s="38">
        <f>VP9vsQY265_offline_veryslow!S125</f>
        <v>-0.39125839455664424</v>
      </c>
      <c r="X57" s="38">
        <f>VP9vsQY265_offline_veryslow!T125</f>
        <v>-0.23083954259877557</v>
      </c>
      <c r="Y57" s="39">
        <f>VP9vsQY265_offline_veryslow!U125</f>
        <v>7.7801533474856521</v>
      </c>
    </row>
  </sheetData>
  <mergeCells count="41">
    <mergeCell ref="A10:A16"/>
    <mergeCell ref="J10:J16"/>
    <mergeCell ref="S10:S16"/>
    <mergeCell ref="A1:G1"/>
    <mergeCell ref="J1:P1"/>
    <mergeCell ref="S1:Y1"/>
    <mergeCell ref="A3:A9"/>
    <mergeCell ref="J3:J9"/>
    <mergeCell ref="S3:S9"/>
    <mergeCell ref="S49:Y49"/>
    <mergeCell ref="S51:S57"/>
    <mergeCell ref="AB1:AH1"/>
    <mergeCell ref="AB3:AB9"/>
    <mergeCell ref="AB28:AH28"/>
    <mergeCell ref="AB30:AB36"/>
    <mergeCell ref="AB10:AH10"/>
    <mergeCell ref="AB19:AH19"/>
    <mergeCell ref="AB21:AB27"/>
    <mergeCell ref="AB12:AB18"/>
    <mergeCell ref="S33:Y33"/>
    <mergeCell ref="S35:S41"/>
    <mergeCell ref="S42:S48"/>
    <mergeCell ref="S17:Y17"/>
    <mergeCell ref="S19:S25"/>
    <mergeCell ref="S26:S32"/>
    <mergeCell ref="J51:J57"/>
    <mergeCell ref="A17:G17"/>
    <mergeCell ref="J17:P17"/>
    <mergeCell ref="J26:J32"/>
    <mergeCell ref="J33:P33"/>
    <mergeCell ref="J35:J41"/>
    <mergeCell ref="A51:A57"/>
    <mergeCell ref="A19:A25"/>
    <mergeCell ref="A42:A48"/>
    <mergeCell ref="J42:J48"/>
    <mergeCell ref="J49:P49"/>
    <mergeCell ref="A33:G33"/>
    <mergeCell ref="A35:A41"/>
    <mergeCell ref="A49:G49"/>
    <mergeCell ref="A26:A32"/>
    <mergeCell ref="J19:J25"/>
  </mergeCells>
  <phoneticPr fontId="5" type="noConversion"/>
  <conditionalFormatting sqref="C19:F19">
    <cfRule type="cellIs" dxfId="1361" priority="5281" operator="greaterThan">
      <formula>0.03</formula>
    </cfRule>
    <cfRule type="cellIs" dxfId="1360" priority="5282" stopIfTrue="1" operator="lessThan">
      <formula>-0.03</formula>
    </cfRule>
  </conditionalFormatting>
  <conditionalFormatting sqref="C25:F25">
    <cfRule type="cellIs" dxfId="1359" priority="5279" operator="greaterThan">
      <formula>0.03</formula>
    </cfRule>
    <cfRule type="cellIs" dxfId="1358" priority="5280" stopIfTrue="1" operator="lessThan">
      <formula>-0.03</formula>
    </cfRule>
  </conditionalFormatting>
  <conditionalFormatting sqref="C20:F23">
    <cfRule type="cellIs" dxfId="1357" priority="5277" operator="greaterThan">
      <formula>0.03</formula>
    </cfRule>
    <cfRule type="cellIs" dxfId="1356" priority="5278" stopIfTrue="1" operator="lessThan">
      <formula>-0.03</formula>
    </cfRule>
  </conditionalFormatting>
  <conditionalFormatting sqref="C26:F26">
    <cfRule type="cellIs" dxfId="1355" priority="5269" operator="greaterThan">
      <formula>0.03</formula>
    </cfRule>
    <cfRule type="cellIs" dxfId="1354" priority="5270" stopIfTrue="1" operator="lessThan">
      <formula>-0.03</formula>
    </cfRule>
  </conditionalFormatting>
  <conditionalFormatting sqref="C32:F32">
    <cfRule type="cellIs" dxfId="1353" priority="5267" operator="greaterThan">
      <formula>0.03</formula>
    </cfRule>
    <cfRule type="cellIs" dxfId="1352" priority="5268" stopIfTrue="1" operator="lessThan">
      <formula>-0.03</formula>
    </cfRule>
  </conditionalFormatting>
  <conditionalFormatting sqref="C27:F30">
    <cfRule type="cellIs" dxfId="1351" priority="5265" operator="greaterThan">
      <formula>0.03</formula>
    </cfRule>
    <cfRule type="cellIs" dxfId="1350" priority="5266" stopIfTrue="1" operator="lessThan">
      <formula>-0.03</formula>
    </cfRule>
  </conditionalFormatting>
  <conditionalFormatting sqref="C35:F35">
    <cfRule type="cellIs" dxfId="1349" priority="5245" operator="greaterThan">
      <formula>0.03</formula>
    </cfRule>
    <cfRule type="cellIs" dxfId="1348" priority="5246" stopIfTrue="1" operator="lessThan">
      <formula>-0.03</formula>
    </cfRule>
  </conditionalFormatting>
  <conditionalFormatting sqref="C41:F41">
    <cfRule type="cellIs" dxfId="1347" priority="5243" operator="greaterThan">
      <formula>0.03</formula>
    </cfRule>
    <cfRule type="cellIs" dxfId="1346" priority="5244" stopIfTrue="1" operator="lessThan">
      <formula>-0.03</formula>
    </cfRule>
  </conditionalFormatting>
  <conditionalFormatting sqref="C36:F39">
    <cfRule type="cellIs" dxfId="1345" priority="5241" operator="greaterThan">
      <formula>0.03</formula>
    </cfRule>
    <cfRule type="cellIs" dxfId="1344" priority="5242" stopIfTrue="1" operator="lessThan">
      <formula>-0.03</formula>
    </cfRule>
  </conditionalFormatting>
  <conditionalFormatting sqref="C42:F42">
    <cfRule type="cellIs" dxfId="1343" priority="5233" operator="greaterThan">
      <formula>0.03</formula>
    </cfRule>
    <cfRule type="cellIs" dxfId="1342" priority="5234" stopIfTrue="1" operator="lessThan">
      <formula>-0.03</formula>
    </cfRule>
  </conditionalFormatting>
  <conditionalFormatting sqref="C48:F48">
    <cfRule type="cellIs" dxfId="1341" priority="5231" operator="greaterThan">
      <formula>0.03</formula>
    </cfRule>
    <cfRule type="cellIs" dxfId="1340" priority="5232" stopIfTrue="1" operator="lessThan">
      <formula>-0.03</formula>
    </cfRule>
  </conditionalFormatting>
  <conditionalFormatting sqref="C43:F46">
    <cfRule type="cellIs" dxfId="1339" priority="5229" operator="greaterThan">
      <formula>0.03</formula>
    </cfRule>
    <cfRule type="cellIs" dxfId="1338" priority="5230" stopIfTrue="1" operator="lessThan">
      <formula>-0.03</formula>
    </cfRule>
  </conditionalFormatting>
  <conditionalFormatting sqref="L19:O19">
    <cfRule type="cellIs" dxfId="1337" priority="2061" operator="greaterThan">
      <formula>0.03</formula>
    </cfRule>
    <cfRule type="cellIs" dxfId="1336" priority="2062" stopIfTrue="1" operator="lessThan">
      <formula>-0.03</formula>
    </cfRule>
  </conditionalFormatting>
  <conditionalFormatting sqref="L25:O25">
    <cfRule type="cellIs" dxfId="1335" priority="2059" operator="greaterThan">
      <formula>0.03</formula>
    </cfRule>
    <cfRule type="cellIs" dxfId="1334" priority="2060" stopIfTrue="1" operator="lessThan">
      <formula>-0.03</formula>
    </cfRule>
  </conditionalFormatting>
  <conditionalFormatting sqref="L20:O23">
    <cfRule type="cellIs" dxfId="1333" priority="2057" operator="greaterThan">
      <formula>0.03</formula>
    </cfRule>
    <cfRule type="cellIs" dxfId="1332" priority="2058" stopIfTrue="1" operator="lessThan">
      <formula>-0.03</formula>
    </cfRule>
  </conditionalFormatting>
  <conditionalFormatting sqref="L26:O26">
    <cfRule type="cellIs" dxfId="1331" priority="2049" operator="greaterThan">
      <formula>0.03</formula>
    </cfRule>
    <cfRule type="cellIs" dxfId="1330" priority="2050" stopIfTrue="1" operator="lessThan">
      <formula>-0.03</formula>
    </cfRule>
  </conditionalFormatting>
  <conditionalFormatting sqref="L32:O32">
    <cfRule type="cellIs" dxfId="1329" priority="2047" operator="greaterThan">
      <formula>0.03</formula>
    </cfRule>
    <cfRule type="cellIs" dxfId="1328" priority="2048" stopIfTrue="1" operator="lessThan">
      <formula>-0.03</formula>
    </cfRule>
  </conditionalFormatting>
  <conditionalFormatting sqref="L27:O30">
    <cfRule type="cellIs" dxfId="1327" priority="2045" operator="greaterThan">
      <formula>0.03</formula>
    </cfRule>
    <cfRule type="cellIs" dxfId="1326" priority="2046" stopIfTrue="1" operator="lessThan">
      <formula>-0.03</formula>
    </cfRule>
  </conditionalFormatting>
  <conditionalFormatting sqref="L35:O35">
    <cfRule type="cellIs" dxfId="1325" priority="2025" operator="greaterThan">
      <formula>0.03</formula>
    </cfRule>
    <cfRule type="cellIs" dxfId="1324" priority="2026" stopIfTrue="1" operator="lessThan">
      <formula>-0.03</formula>
    </cfRule>
  </conditionalFormatting>
  <conditionalFormatting sqref="L41:O41">
    <cfRule type="cellIs" dxfId="1323" priority="2023" operator="greaterThan">
      <formula>0.03</formula>
    </cfRule>
    <cfRule type="cellIs" dxfId="1322" priority="2024" stopIfTrue="1" operator="lessThan">
      <formula>-0.03</formula>
    </cfRule>
  </conditionalFormatting>
  <conditionalFormatting sqref="L36:O39">
    <cfRule type="cellIs" dxfId="1321" priority="2021" operator="greaterThan">
      <formula>0.03</formula>
    </cfRule>
    <cfRule type="cellIs" dxfId="1320" priority="2022" stopIfTrue="1" operator="lessThan">
      <formula>-0.03</formula>
    </cfRule>
  </conditionalFormatting>
  <conditionalFormatting sqref="L42:O42">
    <cfRule type="cellIs" dxfId="1319" priority="2013" operator="greaterThan">
      <formula>0.03</formula>
    </cfRule>
    <cfRule type="cellIs" dxfId="1318" priority="2014" stopIfTrue="1" operator="lessThan">
      <formula>-0.03</formula>
    </cfRule>
  </conditionalFormatting>
  <conditionalFormatting sqref="L48:O48">
    <cfRule type="cellIs" dxfId="1317" priority="2011" operator="greaterThan">
      <formula>0.03</formula>
    </cfRule>
    <cfRule type="cellIs" dxfId="1316" priority="2012" stopIfTrue="1" operator="lessThan">
      <formula>-0.03</formula>
    </cfRule>
  </conditionalFormatting>
  <conditionalFormatting sqref="L43:O46">
    <cfRule type="cellIs" dxfId="1315" priority="2009" operator="greaterThan">
      <formula>0.03</formula>
    </cfRule>
    <cfRule type="cellIs" dxfId="1314" priority="2010" stopIfTrue="1" operator="lessThan">
      <formula>-0.03</formula>
    </cfRule>
  </conditionalFormatting>
  <conditionalFormatting sqref="L51:O51">
    <cfRule type="cellIs" dxfId="1313" priority="1601" operator="greaterThan">
      <formula>0.03</formula>
    </cfRule>
    <cfRule type="cellIs" dxfId="1312" priority="1602" stopIfTrue="1" operator="lessThan">
      <formula>-0.03</formula>
    </cfRule>
  </conditionalFormatting>
  <conditionalFormatting sqref="L57:O57">
    <cfRule type="cellIs" dxfId="1311" priority="1599" operator="greaterThan">
      <formula>0.03</formula>
    </cfRule>
    <cfRule type="cellIs" dxfId="1310" priority="1600" stopIfTrue="1" operator="lessThan">
      <formula>-0.03</formula>
    </cfRule>
  </conditionalFormatting>
  <conditionalFormatting sqref="L52:O55">
    <cfRule type="cellIs" dxfId="1309" priority="1597" operator="greaterThan">
      <formula>0.03</formula>
    </cfRule>
    <cfRule type="cellIs" dxfId="1308" priority="1598" stopIfTrue="1" operator="lessThan">
      <formula>-0.03</formula>
    </cfRule>
  </conditionalFormatting>
  <conditionalFormatting sqref="C24">
    <cfRule type="cellIs" dxfId="1307" priority="875" operator="greaterThan">
      <formula>0.03</formula>
    </cfRule>
    <cfRule type="cellIs" dxfId="1306" priority="876" stopIfTrue="1" operator="lessThan">
      <formula>-0.03</formula>
    </cfRule>
  </conditionalFormatting>
  <conditionalFormatting sqref="D24">
    <cfRule type="cellIs" dxfId="1305" priority="873" operator="greaterThan">
      <formula>0.03</formula>
    </cfRule>
    <cfRule type="cellIs" dxfId="1304" priority="874" stopIfTrue="1" operator="lessThan">
      <formula>-0.03</formula>
    </cfRule>
  </conditionalFormatting>
  <conditionalFormatting sqref="E24">
    <cfRule type="cellIs" dxfId="1303" priority="871" operator="greaterThan">
      <formula>0.03</formula>
    </cfRule>
    <cfRule type="cellIs" dxfId="1302" priority="872" stopIfTrue="1" operator="lessThan">
      <formula>-0.03</formula>
    </cfRule>
  </conditionalFormatting>
  <conditionalFormatting sqref="F24">
    <cfRule type="cellIs" dxfId="1301" priority="869" operator="greaterThan">
      <formula>0.03</formula>
    </cfRule>
    <cfRule type="cellIs" dxfId="1300" priority="870" stopIfTrue="1" operator="lessThan">
      <formula>-0.03</formula>
    </cfRule>
  </conditionalFormatting>
  <conditionalFormatting sqref="L24">
    <cfRule type="cellIs" dxfId="1299" priority="867" operator="greaterThan">
      <formula>0.03</formula>
    </cfRule>
    <cfRule type="cellIs" dxfId="1298" priority="868" stopIfTrue="1" operator="lessThan">
      <formula>-0.03</formula>
    </cfRule>
  </conditionalFormatting>
  <conditionalFormatting sqref="M24">
    <cfRule type="cellIs" dxfId="1297" priority="865" operator="greaterThan">
      <formula>0.03</formula>
    </cfRule>
    <cfRule type="cellIs" dxfId="1296" priority="866" stopIfTrue="1" operator="lessThan">
      <formula>-0.03</formula>
    </cfRule>
  </conditionalFormatting>
  <conditionalFormatting sqref="N24">
    <cfRule type="cellIs" dxfId="1295" priority="863" operator="greaterThan">
      <formula>0.03</formula>
    </cfRule>
    <cfRule type="cellIs" dxfId="1294" priority="864" stopIfTrue="1" operator="lessThan">
      <formula>-0.03</formula>
    </cfRule>
  </conditionalFormatting>
  <conditionalFormatting sqref="O24">
    <cfRule type="cellIs" dxfId="1293" priority="861" operator="greaterThan">
      <formula>0.03</formula>
    </cfRule>
    <cfRule type="cellIs" dxfId="1292" priority="862" stopIfTrue="1" operator="lessThan">
      <formula>-0.03</formula>
    </cfRule>
  </conditionalFormatting>
  <conditionalFormatting sqref="C31">
    <cfRule type="cellIs" dxfId="1291" priority="827" operator="greaterThan">
      <formula>0.03</formula>
    </cfRule>
    <cfRule type="cellIs" dxfId="1290" priority="828" stopIfTrue="1" operator="lessThan">
      <formula>-0.03</formula>
    </cfRule>
  </conditionalFormatting>
  <conditionalFormatting sqref="D31">
    <cfRule type="cellIs" dxfId="1289" priority="825" operator="greaterThan">
      <formula>0.03</formula>
    </cfRule>
    <cfRule type="cellIs" dxfId="1288" priority="826" stopIfTrue="1" operator="lessThan">
      <formula>-0.03</formula>
    </cfRule>
  </conditionalFormatting>
  <conditionalFormatting sqref="E31">
    <cfRule type="cellIs" dxfId="1287" priority="823" operator="greaterThan">
      <formula>0.03</formula>
    </cfRule>
    <cfRule type="cellIs" dxfId="1286" priority="824" stopIfTrue="1" operator="lessThan">
      <formula>-0.03</formula>
    </cfRule>
  </conditionalFormatting>
  <conditionalFormatting sqref="F31">
    <cfRule type="cellIs" dxfId="1285" priority="821" operator="greaterThan">
      <formula>0.03</formula>
    </cfRule>
    <cfRule type="cellIs" dxfId="1284" priority="822" stopIfTrue="1" operator="lessThan">
      <formula>-0.03</formula>
    </cfRule>
  </conditionalFormatting>
  <conditionalFormatting sqref="L31">
    <cfRule type="cellIs" dxfId="1283" priority="819" operator="greaterThan">
      <formula>0.03</formula>
    </cfRule>
    <cfRule type="cellIs" dxfId="1282" priority="820" stopIfTrue="1" operator="lessThan">
      <formula>-0.03</formula>
    </cfRule>
  </conditionalFormatting>
  <conditionalFormatting sqref="M31">
    <cfRule type="cellIs" dxfId="1281" priority="817" operator="greaterThan">
      <formula>0.03</formula>
    </cfRule>
    <cfRule type="cellIs" dxfId="1280" priority="818" stopIfTrue="1" operator="lessThan">
      <formula>-0.03</formula>
    </cfRule>
  </conditionalFormatting>
  <conditionalFormatting sqref="N31">
    <cfRule type="cellIs" dxfId="1279" priority="815" operator="greaterThan">
      <formula>0.03</formula>
    </cfRule>
    <cfRule type="cellIs" dxfId="1278" priority="816" stopIfTrue="1" operator="lessThan">
      <formula>-0.03</formula>
    </cfRule>
  </conditionalFormatting>
  <conditionalFormatting sqref="O31">
    <cfRule type="cellIs" dxfId="1277" priority="813" operator="greaterThan">
      <formula>0.03</formula>
    </cfRule>
    <cfRule type="cellIs" dxfId="1276" priority="814" stopIfTrue="1" operator="lessThan">
      <formula>-0.03</formula>
    </cfRule>
  </conditionalFormatting>
  <conditionalFormatting sqref="L40">
    <cfRule type="cellIs" dxfId="1275" priority="587" operator="greaterThan">
      <formula>0.03</formula>
    </cfRule>
    <cfRule type="cellIs" dxfId="1274" priority="588" stopIfTrue="1" operator="lessThan">
      <formula>-0.03</formula>
    </cfRule>
  </conditionalFormatting>
  <conditionalFormatting sqref="M40">
    <cfRule type="cellIs" dxfId="1273" priority="585" operator="greaterThan">
      <formula>0.03</formula>
    </cfRule>
    <cfRule type="cellIs" dxfId="1272" priority="586" stopIfTrue="1" operator="lessThan">
      <formula>-0.03</formula>
    </cfRule>
  </conditionalFormatting>
  <conditionalFormatting sqref="N40">
    <cfRule type="cellIs" dxfId="1271" priority="583" operator="greaterThan">
      <formula>0.03</formula>
    </cfRule>
    <cfRule type="cellIs" dxfId="1270" priority="584" stopIfTrue="1" operator="lessThan">
      <formula>-0.03</formula>
    </cfRule>
  </conditionalFormatting>
  <conditionalFormatting sqref="O40">
    <cfRule type="cellIs" dxfId="1269" priority="581" operator="greaterThan">
      <formula>0.03</formula>
    </cfRule>
    <cfRule type="cellIs" dxfId="1268" priority="582" stopIfTrue="1" operator="lessThan">
      <formula>-0.03</formula>
    </cfRule>
  </conditionalFormatting>
  <conditionalFormatting sqref="C40">
    <cfRule type="cellIs" dxfId="1267" priority="579" operator="greaterThan">
      <formula>0.03</formula>
    </cfRule>
    <cfRule type="cellIs" dxfId="1266" priority="580" stopIfTrue="1" operator="lessThan">
      <formula>-0.03</formula>
    </cfRule>
  </conditionalFormatting>
  <conditionalFormatting sqref="D40">
    <cfRule type="cellIs" dxfId="1265" priority="577" operator="greaterThan">
      <formula>0.03</formula>
    </cfRule>
    <cfRule type="cellIs" dxfId="1264" priority="578" stopIfTrue="1" operator="lessThan">
      <formula>-0.03</formula>
    </cfRule>
  </conditionalFormatting>
  <conditionalFormatting sqref="E40">
    <cfRule type="cellIs" dxfId="1263" priority="575" operator="greaterThan">
      <formula>0.03</formula>
    </cfRule>
    <cfRule type="cellIs" dxfId="1262" priority="576" stopIfTrue="1" operator="lessThan">
      <formula>-0.03</formula>
    </cfRule>
  </conditionalFormatting>
  <conditionalFormatting sqref="F40">
    <cfRule type="cellIs" dxfId="1261" priority="573" operator="greaterThan">
      <formula>0.03</formula>
    </cfRule>
    <cfRule type="cellIs" dxfId="1260" priority="574" stopIfTrue="1" operator="lessThan">
      <formula>-0.03</formula>
    </cfRule>
  </conditionalFormatting>
  <conditionalFormatting sqref="L47">
    <cfRule type="cellIs" dxfId="1259" priority="539" operator="greaterThan">
      <formula>0.03</formula>
    </cfRule>
    <cfRule type="cellIs" dxfId="1258" priority="540" stopIfTrue="1" operator="lessThan">
      <formula>-0.03</formula>
    </cfRule>
  </conditionalFormatting>
  <conditionalFormatting sqref="M47">
    <cfRule type="cellIs" dxfId="1257" priority="537" operator="greaterThan">
      <formula>0.03</formula>
    </cfRule>
    <cfRule type="cellIs" dxfId="1256" priority="538" stopIfTrue="1" operator="lessThan">
      <formula>-0.03</formula>
    </cfRule>
  </conditionalFormatting>
  <conditionalFormatting sqref="N47">
    <cfRule type="cellIs" dxfId="1255" priority="535" operator="greaterThan">
      <formula>0.03</formula>
    </cfRule>
    <cfRule type="cellIs" dxfId="1254" priority="536" stopIfTrue="1" operator="lessThan">
      <formula>-0.03</formula>
    </cfRule>
  </conditionalFormatting>
  <conditionalFormatting sqref="O47">
    <cfRule type="cellIs" dxfId="1253" priority="533" operator="greaterThan">
      <formula>0.03</formula>
    </cfRule>
    <cfRule type="cellIs" dxfId="1252" priority="534" stopIfTrue="1" operator="lessThan">
      <formula>-0.03</formula>
    </cfRule>
  </conditionalFormatting>
  <conditionalFormatting sqref="C47">
    <cfRule type="cellIs" dxfId="1251" priority="531" operator="greaterThan">
      <formula>0.03</formula>
    </cfRule>
    <cfRule type="cellIs" dxfId="1250" priority="532" stopIfTrue="1" operator="lessThan">
      <formula>-0.03</formula>
    </cfRule>
  </conditionalFormatting>
  <conditionalFormatting sqref="D47">
    <cfRule type="cellIs" dxfId="1249" priority="529" operator="greaterThan">
      <formula>0.03</formula>
    </cfRule>
    <cfRule type="cellIs" dxfId="1248" priority="530" stopIfTrue="1" operator="lessThan">
      <formula>-0.03</formula>
    </cfRule>
  </conditionalFormatting>
  <conditionalFormatting sqref="E47">
    <cfRule type="cellIs" dxfId="1247" priority="527" operator="greaterThan">
      <formula>0.03</formula>
    </cfRule>
    <cfRule type="cellIs" dxfId="1246" priority="528" stopIfTrue="1" operator="lessThan">
      <formula>-0.03</formula>
    </cfRule>
  </conditionalFormatting>
  <conditionalFormatting sqref="F47">
    <cfRule type="cellIs" dxfId="1245" priority="525" operator="greaterThan">
      <formula>0.03</formula>
    </cfRule>
    <cfRule type="cellIs" dxfId="1244" priority="526" stopIfTrue="1" operator="lessThan">
      <formula>-0.03</formula>
    </cfRule>
  </conditionalFormatting>
  <conditionalFormatting sqref="L56">
    <cfRule type="cellIs" dxfId="1243" priority="491" operator="greaterThan">
      <formula>0.03</formula>
    </cfRule>
    <cfRule type="cellIs" dxfId="1242" priority="492" stopIfTrue="1" operator="lessThan">
      <formula>-0.03</formula>
    </cfRule>
  </conditionalFormatting>
  <conditionalFormatting sqref="M56">
    <cfRule type="cellIs" dxfId="1241" priority="489" operator="greaterThan">
      <formula>0.03</formula>
    </cfRule>
    <cfRule type="cellIs" dxfId="1240" priority="490" stopIfTrue="1" operator="lessThan">
      <formula>-0.03</formula>
    </cfRule>
  </conditionalFormatting>
  <conditionalFormatting sqref="N56">
    <cfRule type="cellIs" dxfId="1239" priority="487" operator="greaterThan">
      <formula>0.03</formula>
    </cfRule>
    <cfRule type="cellIs" dxfId="1238" priority="488" stopIfTrue="1" operator="lessThan">
      <formula>-0.03</formula>
    </cfRule>
  </conditionalFormatting>
  <conditionalFormatting sqref="O56">
    <cfRule type="cellIs" dxfId="1237" priority="485" operator="greaterThan">
      <formula>0.03</formula>
    </cfRule>
    <cfRule type="cellIs" dxfId="1236" priority="486" stopIfTrue="1" operator="lessThan">
      <formula>-0.03</formula>
    </cfRule>
  </conditionalFormatting>
  <conditionalFormatting sqref="U19:X19">
    <cfRule type="cellIs" dxfId="1235" priority="475" operator="greaterThan">
      <formula>0.03</formula>
    </cfRule>
    <cfRule type="cellIs" dxfId="1234" priority="476" stopIfTrue="1" operator="lessThan">
      <formula>-0.03</formula>
    </cfRule>
  </conditionalFormatting>
  <conditionalFormatting sqref="U25:X25">
    <cfRule type="cellIs" dxfId="1233" priority="473" operator="greaterThan">
      <formula>0.03</formula>
    </cfRule>
    <cfRule type="cellIs" dxfId="1232" priority="474" stopIfTrue="1" operator="lessThan">
      <formula>-0.03</formula>
    </cfRule>
  </conditionalFormatting>
  <conditionalFormatting sqref="U20:X23">
    <cfRule type="cellIs" dxfId="1231" priority="471" operator="greaterThan">
      <formula>0.03</formula>
    </cfRule>
    <cfRule type="cellIs" dxfId="1230" priority="472" stopIfTrue="1" operator="lessThan">
      <formula>-0.03</formula>
    </cfRule>
  </conditionalFormatting>
  <conditionalFormatting sqref="U26:X26">
    <cfRule type="cellIs" dxfId="1229" priority="469" operator="greaterThan">
      <formula>0.03</formula>
    </cfRule>
    <cfRule type="cellIs" dxfId="1228" priority="470" stopIfTrue="1" operator="lessThan">
      <formula>-0.03</formula>
    </cfRule>
  </conditionalFormatting>
  <conditionalFormatting sqref="U32:X32">
    <cfRule type="cellIs" dxfId="1227" priority="467" operator="greaterThan">
      <formula>0.03</formula>
    </cfRule>
    <cfRule type="cellIs" dxfId="1226" priority="468" stopIfTrue="1" operator="lessThan">
      <formula>-0.03</formula>
    </cfRule>
  </conditionalFormatting>
  <conditionalFormatting sqref="U27:X30">
    <cfRule type="cellIs" dxfId="1225" priority="465" operator="greaterThan">
      <formula>0.03</formula>
    </cfRule>
    <cfRule type="cellIs" dxfId="1224" priority="466" stopIfTrue="1" operator="lessThan">
      <formula>-0.03</formula>
    </cfRule>
  </conditionalFormatting>
  <conditionalFormatting sqref="U35:X35">
    <cfRule type="cellIs" dxfId="1223" priority="463" operator="greaterThan">
      <formula>0.03</formula>
    </cfRule>
    <cfRule type="cellIs" dxfId="1222" priority="464" stopIfTrue="1" operator="lessThan">
      <formula>-0.03</formula>
    </cfRule>
  </conditionalFormatting>
  <conditionalFormatting sqref="U41:X41">
    <cfRule type="cellIs" dxfId="1221" priority="461" operator="greaterThan">
      <formula>0.03</formula>
    </cfRule>
    <cfRule type="cellIs" dxfId="1220" priority="462" stopIfTrue="1" operator="lessThan">
      <formula>-0.03</formula>
    </cfRule>
  </conditionalFormatting>
  <conditionalFormatting sqref="U36:X39">
    <cfRule type="cellIs" dxfId="1219" priority="459" operator="greaterThan">
      <formula>0.03</formula>
    </cfRule>
    <cfRule type="cellIs" dxfId="1218" priority="460" stopIfTrue="1" operator="lessThan">
      <formula>-0.03</formula>
    </cfRule>
  </conditionalFormatting>
  <conditionalFormatting sqref="U42:X42">
    <cfRule type="cellIs" dxfId="1217" priority="457" operator="greaterThan">
      <formula>0.03</formula>
    </cfRule>
    <cfRule type="cellIs" dxfId="1216" priority="458" stopIfTrue="1" operator="lessThan">
      <formula>-0.03</formula>
    </cfRule>
  </conditionalFormatting>
  <conditionalFormatting sqref="U48:X48">
    <cfRule type="cellIs" dxfId="1215" priority="455" operator="greaterThan">
      <formula>0.03</formula>
    </cfRule>
    <cfRule type="cellIs" dxfId="1214" priority="456" stopIfTrue="1" operator="lessThan">
      <formula>-0.03</formula>
    </cfRule>
  </conditionalFormatting>
  <conditionalFormatting sqref="U43:X46">
    <cfRule type="cellIs" dxfId="1213" priority="453" operator="greaterThan">
      <formula>0.03</formula>
    </cfRule>
    <cfRule type="cellIs" dxfId="1212" priority="454" stopIfTrue="1" operator="lessThan">
      <formula>-0.03</formula>
    </cfRule>
  </conditionalFormatting>
  <conditionalFormatting sqref="U51:X51">
    <cfRule type="cellIs" dxfId="1211" priority="451" operator="greaterThan">
      <formula>0.03</formula>
    </cfRule>
    <cfRule type="cellIs" dxfId="1210" priority="452" stopIfTrue="1" operator="lessThan">
      <formula>-0.03</formula>
    </cfRule>
  </conditionalFormatting>
  <conditionalFormatting sqref="U57:X57">
    <cfRule type="cellIs" dxfId="1209" priority="449" operator="greaterThan">
      <formula>0.03</formula>
    </cfRule>
    <cfRule type="cellIs" dxfId="1208" priority="450" stopIfTrue="1" operator="lessThan">
      <formula>-0.03</formula>
    </cfRule>
  </conditionalFormatting>
  <conditionalFormatting sqref="U52:X55">
    <cfRule type="cellIs" dxfId="1207" priority="447" operator="greaterThan">
      <formula>0.03</formula>
    </cfRule>
    <cfRule type="cellIs" dxfId="1206" priority="448" stopIfTrue="1" operator="lessThan">
      <formula>-0.03</formula>
    </cfRule>
  </conditionalFormatting>
  <conditionalFormatting sqref="U24">
    <cfRule type="cellIs" dxfId="1205" priority="445" operator="greaterThan">
      <formula>0.03</formula>
    </cfRule>
    <cfRule type="cellIs" dxfId="1204" priority="446" stopIfTrue="1" operator="lessThan">
      <formula>-0.03</formula>
    </cfRule>
  </conditionalFormatting>
  <conditionalFormatting sqref="V24">
    <cfRule type="cellIs" dxfId="1203" priority="443" operator="greaterThan">
      <formula>0.03</formula>
    </cfRule>
    <cfRule type="cellIs" dxfId="1202" priority="444" stopIfTrue="1" operator="lessThan">
      <formula>-0.03</formula>
    </cfRule>
  </conditionalFormatting>
  <conditionalFormatting sqref="W24">
    <cfRule type="cellIs" dxfId="1201" priority="441" operator="greaterThan">
      <formula>0.03</formula>
    </cfRule>
    <cfRule type="cellIs" dxfId="1200" priority="442" stopIfTrue="1" operator="lessThan">
      <formula>-0.03</formula>
    </cfRule>
  </conditionalFormatting>
  <conditionalFormatting sqref="X24">
    <cfRule type="cellIs" dxfId="1199" priority="439" operator="greaterThan">
      <formula>0.03</formula>
    </cfRule>
    <cfRule type="cellIs" dxfId="1198" priority="440" stopIfTrue="1" operator="lessThan">
      <formula>-0.03</formula>
    </cfRule>
  </conditionalFormatting>
  <conditionalFormatting sqref="U31">
    <cfRule type="cellIs" dxfId="1197" priority="437" operator="greaterThan">
      <formula>0.03</formula>
    </cfRule>
    <cfRule type="cellIs" dxfId="1196" priority="438" stopIfTrue="1" operator="lessThan">
      <formula>-0.03</formula>
    </cfRule>
  </conditionalFormatting>
  <conditionalFormatting sqref="V31">
    <cfRule type="cellIs" dxfId="1195" priority="435" operator="greaterThan">
      <formula>0.03</formula>
    </cfRule>
    <cfRule type="cellIs" dxfId="1194" priority="436" stopIfTrue="1" operator="lessThan">
      <formula>-0.03</formula>
    </cfRule>
  </conditionalFormatting>
  <conditionalFormatting sqref="W31">
    <cfRule type="cellIs" dxfId="1193" priority="433" operator="greaterThan">
      <formula>0.03</formula>
    </cfRule>
    <cfRule type="cellIs" dxfId="1192" priority="434" stopIfTrue="1" operator="lessThan">
      <formula>-0.03</formula>
    </cfRule>
  </conditionalFormatting>
  <conditionalFormatting sqref="X31">
    <cfRule type="cellIs" dxfId="1191" priority="431" operator="greaterThan">
      <formula>0.03</formula>
    </cfRule>
    <cfRule type="cellIs" dxfId="1190" priority="432" stopIfTrue="1" operator="lessThan">
      <formula>-0.03</formula>
    </cfRule>
  </conditionalFormatting>
  <conditionalFormatting sqref="U40">
    <cfRule type="cellIs" dxfId="1189" priority="429" operator="greaterThan">
      <formula>0.03</formula>
    </cfRule>
    <cfRule type="cellIs" dxfId="1188" priority="430" stopIfTrue="1" operator="lessThan">
      <formula>-0.03</formula>
    </cfRule>
  </conditionalFormatting>
  <conditionalFormatting sqref="V40">
    <cfRule type="cellIs" dxfId="1187" priority="427" operator="greaterThan">
      <formula>0.03</formula>
    </cfRule>
    <cfRule type="cellIs" dxfId="1186" priority="428" stopIfTrue="1" operator="lessThan">
      <formula>-0.03</formula>
    </cfRule>
  </conditionalFormatting>
  <conditionalFormatting sqref="W40">
    <cfRule type="cellIs" dxfId="1185" priority="425" operator="greaterThan">
      <formula>0.03</formula>
    </cfRule>
    <cfRule type="cellIs" dxfId="1184" priority="426" stopIfTrue="1" operator="lessThan">
      <formula>-0.03</formula>
    </cfRule>
  </conditionalFormatting>
  <conditionalFormatting sqref="X40">
    <cfRule type="cellIs" dxfId="1183" priority="423" operator="greaterThan">
      <formula>0.03</formula>
    </cfRule>
    <cfRule type="cellIs" dxfId="1182" priority="424" stopIfTrue="1" operator="lessThan">
      <formula>-0.03</formula>
    </cfRule>
  </conditionalFormatting>
  <conditionalFormatting sqref="U47">
    <cfRule type="cellIs" dxfId="1181" priority="421" operator="greaterThan">
      <formula>0.03</formula>
    </cfRule>
    <cfRule type="cellIs" dxfId="1180" priority="422" stopIfTrue="1" operator="lessThan">
      <formula>-0.03</formula>
    </cfRule>
  </conditionalFormatting>
  <conditionalFormatting sqref="V47">
    <cfRule type="cellIs" dxfId="1179" priority="419" operator="greaterThan">
      <formula>0.03</formula>
    </cfRule>
    <cfRule type="cellIs" dxfId="1178" priority="420" stopIfTrue="1" operator="lessThan">
      <formula>-0.03</formula>
    </cfRule>
  </conditionalFormatting>
  <conditionalFormatting sqref="W47">
    <cfRule type="cellIs" dxfId="1177" priority="417" operator="greaterThan">
      <formula>0.03</formula>
    </cfRule>
    <cfRule type="cellIs" dxfId="1176" priority="418" stopIfTrue="1" operator="lessThan">
      <formula>-0.03</formula>
    </cfRule>
  </conditionalFormatting>
  <conditionalFormatting sqref="X47">
    <cfRule type="cellIs" dxfId="1175" priority="415" operator="greaterThan">
      <formula>0.03</formula>
    </cfRule>
    <cfRule type="cellIs" dxfId="1174" priority="416" stopIfTrue="1" operator="lessThan">
      <formula>-0.03</formula>
    </cfRule>
  </conditionalFormatting>
  <conditionalFormatting sqref="U56">
    <cfRule type="cellIs" dxfId="1173" priority="413" operator="greaterThan">
      <formula>0.03</formula>
    </cfRule>
    <cfRule type="cellIs" dxfId="1172" priority="414" stopIfTrue="1" operator="lessThan">
      <formula>-0.03</formula>
    </cfRule>
  </conditionalFormatting>
  <conditionalFormatting sqref="V56">
    <cfRule type="cellIs" dxfId="1171" priority="411" operator="greaterThan">
      <formula>0.03</formula>
    </cfRule>
    <cfRule type="cellIs" dxfId="1170" priority="412" stopIfTrue="1" operator="lessThan">
      <formula>-0.03</formula>
    </cfRule>
  </conditionalFormatting>
  <conditionalFormatting sqref="W56">
    <cfRule type="cellIs" dxfId="1169" priority="409" operator="greaterThan">
      <formula>0.03</formula>
    </cfRule>
    <cfRule type="cellIs" dxfId="1168" priority="410" stopIfTrue="1" operator="lessThan">
      <formula>-0.03</formula>
    </cfRule>
  </conditionalFormatting>
  <conditionalFormatting sqref="X56">
    <cfRule type="cellIs" dxfId="1167" priority="407" operator="greaterThan">
      <formula>0.03</formula>
    </cfRule>
    <cfRule type="cellIs" dxfId="1166" priority="408" stopIfTrue="1" operator="lessThan">
      <formula>-0.03</formula>
    </cfRule>
  </conditionalFormatting>
  <conditionalFormatting sqref="C3:F3">
    <cfRule type="cellIs" dxfId="1165" priority="405" operator="greaterThan">
      <formula>0.03</formula>
    </cfRule>
    <cfRule type="cellIs" dxfId="1164" priority="406" stopIfTrue="1" operator="lessThan">
      <formula>-0.03</formula>
    </cfRule>
  </conditionalFormatting>
  <conditionalFormatting sqref="C9:F9">
    <cfRule type="cellIs" dxfId="1163" priority="403" operator="greaterThan">
      <formula>0.03</formula>
    </cfRule>
    <cfRule type="cellIs" dxfId="1162" priority="404" stopIfTrue="1" operator="lessThan">
      <formula>-0.03</formula>
    </cfRule>
  </conditionalFormatting>
  <conditionalFormatting sqref="C4:F7">
    <cfRule type="cellIs" dxfId="1161" priority="401" operator="greaterThan">
      <formula>0.03</formula>
    </cfRule>
    <cfRule type="cellIs" dxfId="1160" priority="402" stopIfTrue="1" operator="lessThan">
      <formula>-0.03</formula>
    </cfRule>
  </conditionalFormatting>
  <conditionalFormatting sqref="C10:F10">
    <cfRule type="cellIs" dxfId="1159" priority="399" operator="greaterThan">
      <formula>0.03</formula>
    </cfRule>
    <cfRule type="cellIs" dxfId="1158" priority="400" stopIfTrue="1" operator="lessThan">
      <formula>-0.03</formula>
    </cfRule>
  </conditionalFormatting>
  <conditionalFormatting sqref="C16:F16">
    <cfRule type="cellIs" dxfId="1157" priority="397" operator="greaterThan">
      <formula>0.03</formula>
    </cfRule>
    <cfRule type="cellIs" dxfId="1156" priority="398" stopIfTrue="1" operator="lessThan">
      <formula>-0.03</formula>
    </cfRule>
  </conditionalFormatting>
  <conditionalFormatting sqref="C11:F14">
    <cfRule type="cellIs" dxfId="1155" priority="395" operator="greaterThan">
      <formula>0.03</formula>
    </cfRule>
    <cfRule type="cellIs" dxfId="1154" priority="396" stopIfTrue="1" operator="lessThan">
      <formula>-0.03</formula>
    </cfRule>
  </conditionalFormatting>
  <conditionalFormatting sqref="L3:O3">
    <cfRule type="cellIs" dxfId="1153" priority="393" operator="greaterThan">
      <formula>0.03</formula>
    </cfRule>
    <cfRule type="cellIs" dxfId="1152" priority="394" stopIfTrue="1" operator="lessThan">
      <formula>-0.03</formula>
    </cfRule>
  </conditionalFormatting>
  <conditionalFormatting sqref="L9:O9">
    <cfRule type="cellIs" dxfId="1151" priority="391" operator="greaterThan">
      <formula>0.03</formula>
    </cfRule>
    <cfRule type="cellIs" dxfId="1150" priority="392" stopIfTrue="1" operator="lessThan">
      <formula>-0.03</formula>
    </cfRule>
  </conditionalFormatting>
  <conditionalFormatting sqref="L4:O7">
    <cfRule type="cellIs" dxfId="1149" priority="389" operator="greaterThan">
      <formula>0.03</formula>
    </cfRule>
    <cfRule type="cellIs" dxfId="1148" priority="390" stopIfTrue="1" operator="lessThan">
      <formula>-0.03</formula>
    </cfRule>
  </conditionalFormatting>
  <conditionalFormatting sqref="L10:O10">
    <cfRule type="cellIs" dxfId="1147" priority="387" operator="greaterThan">
      <formula>0.03</formula>
    </cfRule>
    <cfRule type="cellIs" dxfId="1146" priority="388" stopIfTrue="1" operator="lessThan">
      <formula>-0.03</formula>
    </cfRule>
  </conditionalFormatting>
  <conditionalFormatting sqref="L16:O16">
    <cfRule type="cellIs" dxfId="1145" priority="385" operator="greaterThan">
      <formula>0.03</formula>
    </cfRule>
    <cfRule type="cellIs" dxfId="1144" priority="386" stopIfTrue="1" operator="lessThan">
      <formula>-0.03</formula>
    </cfRule>
  </conditionalFormatting>
  <conditionalFormatting sqref="L11:O14">
    <cfRule type="cellIs" dxfId="1143" priority="383" operator="greaterThan">
      <formula>0.03</formula>
    </cfRule>
    <cfRule type="cellIs" dxfId="1142" priority="384" stopIfTrue="1" operator="lessThan">
      <formula>-0.03</formula>
    </cfRule>
  </conditionalFormatting>
  <conditionalFormatting sqref="C8">
    <cfRule type="cellIs" dxfId="1141" priority="381" operator="greaterThan">
      <formula>0.03</formula>
    </cfRule>
    <cfRule type="cellIs" dxfId="1140" priority="382" stopIfTrue="1" operator="lessThan">
      <formula>-0.03</formula>
    </cfRule>
  </conditionalFormatting>
  <conditionalFormatting sqref="D8">
    <cfRule type="cellIs" dxfId="1139" priority="379" operator="greaterThan">
      <formula>0.03</formula>
    </cfRule>
    <cfRule type="cellIs" dxfId="1138" priority="380" stopIfTrue="1" operator="lessThan">
      <formula>-0.03</formula>
    </cfRule>
  </conditionalFormatting>
  <conditionalFormatting sqref="E8">
    <cfRule type="cellIs" dxfId="1137" priority="377" operator="greaterThan">
      <formula>0.03</formula>
    </cfRule>
    <cfRule type="cellIs" dxfId="1136" priority="378" stopIfTrue="1" operator="lessThan">
      <formula>-0.03</formula>
    </cfRule>
  </conditionalFormatting>
  <conditionalFormatting sqref="F8">
    <cfRule type="cellIs" dxfId="1135" priority="375" operator="greaterThan">
      <formula>0.03</formula>
    </cfRule>
    <cfRule type="cellIs" dxfId="1134" priority="376" stopIfTrue="1" operator="lessThan">
      <formula>-0.03</formula>
    </cfRule>
  </conditionalFormatting>
  <conditionalFormatting sqref="L8">
    <cfRule type="cellIs" dxfId="1133" priority="373" operator="greaterThan">
      <formula>0.03</formula>
    </cfRule>
    <cfRule type="cellIs" dxfId="1132" priority="374" stopIfTrue="1" operator="lessThan">
      <formula>-0.03</formula>
    </cfRule>
  </conditionalFormatting>
  <conditionalFormatting sqref="M8">
    <cfRule type="cellIs" dxfId="1131" priority="371" operator="greaterThan">
      <formula>0.03</formula>
    </cfRule>
    <cfRule type="cellIs" dxfId="1130" priority="372" stopIfTrue="1" operator="lessThan">
      <formula>-0.03</formula>
    </cfRule>
  </conditionalFormatting>
  <conditionalFormatting sqref="N8">
    <cfRule type="cellIs" dxfId="1129" priority="369" operator="greaterThan">
      <formula>0.03</formula>
    </cfRule>
    <cfRule type="cellIs" dxfId="1128" priority="370" stopIfTrue="1" operator="lessThan">
      <formula>-0.03</formula>
    </cfRule>
  </conditionalFormatting>
  <conditionalFormatting sqref="O8">
    <cfRule type="cellIs" dxfId="1127" priority="367" operator="greaterThan">
      <formula>0.03</formula>
    </cfRule>
    <cfRule type="cellIs" dxfId="1126" priority="368" stopIfTrue="1" operator="lessThan">
      <formula>-0.03</formula>
    </cfRule>
  </conditionalFormatting>
  <conditionalFormatting sqref="C15">
    <cfRule type="cellIs" dxfId="1125" priority="365" operator="greaterThan">
      <formula>0.03</formula>
    </cfRule>
    <cfRule type="cellIs" dxfId="1124" priority="366" stopIfTrue="1" operator="lessThan">
      <formula>-0.03</formula>
    </cfRule>
  </conditionalFormatting>
  <conditionalFormatting sqref="D15">
    <cfRule type="cellIs" dxfId="1123" priority="363" operator="greaterThan">
      <formula>0.03</formula>
    </cfRule>
    <cfRule type="cellIs" dxfId="1122" priority="364" stopIfTrue="1" operator="lessThan">
      <formula>-0.03</formula>
    </cfRule>
  </conditionalFormatting>
  <conditionalFormatting sqref="E15">
    <cfRule type="cellIs" dxfId="1121" priority="361" operator="greaterThan">
      <formula>0.03</formula>
    </cfRule>
    <cfRule type="cellIs" dxfId="1120" priority="362" stopIfTrue="1" operator="lessThan">
      <formula>-0.03</formula>
    </cfRule>
  </conditionalFormatting>
  <conditionalFormatting sqref="F15">
    <cfRule type="cellIs" dxfId="1119" priority="359" operator="greaterThan">
      <formula>0.03</formula>
    </cfRule>
    <cfRule type="cellIs" dxfId="1118" priority="360" stopIfTrue="1" operator="lessThan">
      <formula>-0.03</formula>
    </cfRule>
  </conditionalFormatting>
  <conditionalFormatting sqref="L15">
    <cfRule type="cellIs" dxfId="1117" priority="357" operator="greaterThan">
      <formula>0.03</formula>
    </cfRule>
    <cfRule type="cellIs" dxfId="1116" priority="358" stopIfTrue="1" operator="lessThan">
      <formula>-0.03</formula>
    </cfRule>
  </conditionalFormatting>
  <conditionalFormatting sqref="M15">
    <cfRule type="cellIs" dxfId="1115" priority="355" operator="greaterThan">
      <formula>0.03</formula>
    </cfRule>
    <cfRule type="cellIs" dxfId="1114" priority="356" stopIfTrue="1" operator="lessThan">
      <formula>-0.03</formula>
    </cfRule>
  </conditionalFormatting>
  <conditionalFormatting sqref="N15">
    <cfRule type="cellIs" dxfId="1113" priority="353" operator="greaterThan">
      <formula>0.03</formula>
    </cfRule>
    <cfRule type="cellIs" dxfId="1112" priority="354" stopIfTrue="1" operator="lessThan">
      <formula>-0.03</formula>
    </cfRule>
  </conditionalFormatting>
  <conditionalFormatting sqref="O15">
    <cfRule type="cellIs" dxfId="1111" priority="351" operator="greaterThan">
      <formula>0.03</formula>
    </cfRule>
    <cfRule type="cellIs" dxfId="1110" priority="352" stopIfTrue="1" operator="lessThan">
      <formula>-0.03</formula>
    </cfRule>
  </conditionalFormatting>
  <conditionalFormatting sqref="U3:X3">
    <cfRule type="cellIs" dxfId="1109" priority="349" operator="greaterThan">
      <formula>0.03</formula>
    </cfRule>
    <cfRule type="cellIs" dxfId="1108" priority="350" stopIfTrue="1" operator="lessThan">
      <formula>-0.03</formula>
    </cfRule>
  </conditionalFormatting>
  <conditionalFormatting sqref="U9:X9">
    <cfRule type="cellIs" dxfId="1107" priority="347" operator="greaterThan">
      <formula>0.03</formula>
    </cfRule>
    <cfRule type="cellIs" dxfId="1106" priority="348" stopIfTrue="1" operator="lessThan">
      <formula>-0.03</formula>
    </cfRule>
  </conditionalFormatting>
  <conditionalFormatting sqref="U4:X7">
    <cfRule type="cellIs" dxfId="1105" priority="345" operator="greaterThan">
      <formula>0.03</formula>
    </cfRule>
    <cfRule type="cellIs" dxfId="1104" priority="346" stopIfTrue="1" operator="lessThan">
      <formula>-0.03</formula>
    </cfRule>
  </conditionalFormatting>
  <conditionalFormatting sqref="U10:X10">
    <cfRule type="cellIs" dxfId="1103" priority="343" operator="greaterThan">
      <formula>0.03</formula>
    </cfRule>
    <cfRule type="cellIs" dxfId="1102" priority="344" stopIfTrue="1" operator="lessThan">
      <formula>-0.03</formula>
    </cfRule>
  </conditionalFormatting>
  <conditionalFormatting sqref="U16:X16">
    <cfRule type="cellIs" dxfId="1101" priority="341" operator="greaterThan">
      <formula>0.03</formula>
    </cfRule>
    <cfRule type="cellIs" dxfId="1100" priority="342" stopIfTrue="1" operator="lessThan">
      <formula>-0.03</formula>
    </cfRule>
  </conditionalFormatting>
  <conditionalFormatting sqref="U11:X14">
    <cfRule type="cellIs" dxfId="1099" priority="339" operator="greaterThan">
      <formula>0.03</formula>
    </cfRule>
    <cfRule type="cellIs" dxfId="1098" priority="340" stopIfTrue="1" operator="lessThan">
      <formula>-0.03</formula>
    </cfRule>
  </conditionalFormatting>
  <conditionalFormatting sqref="U8">
    <cfRule type="cellIs" dxfId="1097" priority="337" operator="greaterThan">
      <formula>0.03</formula>
    </cfRule>
    <cfRule type="cellIs" dxfId="1096" priority="338" stopIfTrue="1" operator="lessThan">
      <formula>-0.03</formula>
    </cfRule>
  </conditionalFormatting>
  <conditionalFormatting sqref="V8">
    <cfRule type="cellIs" dxfId="1095" priority="335" operator="greaterThan">
      <formula>0.03</formula>
    </cfRule>
    <cfRule type="cellIs" dxfId="1094" priority="336" stopIfTrue="1" operator="lessThan">
      <formula>-0.03</formula>
    </cfRule>
  </conditionalFormatting>
  <conditionalFormatting sqref="W8">
    <cfRule type="cellIs" dxfId="1093" priority="333" operator="greaterThan">
      <formula>0.03</formula>
    </cfRule>
    <cfRule type="cellIs" dxfId="1092" priority="334" stopIfTrue="1" operator="lessThan">
      <formula>-0.03</formula>
    </cfRule>
  </conditionalFormatting>
  <conditionalFormatting sqref="X8">
    <cfRule type="cellIs" dxfId="1091" priority="331" operator="greaterThan">
      <formula>0.03</formula>
    </cfRule>
    <cfRule type="cellIs" dxfId="1090" priority="332" stopIfTrue="1" operator="lessThan">
      <formula>-0.03</formula>
    </cfRule>
  </conditionalFormatting>
  <conditionalFormatting sqref="U15">
    <cfRule type="cellIs" dxfId="1089" priority="329" operator="greaterThan">
      <formula>0.03</formula>
    </cfRule>
    <cfRule type="cellIs" dxfId="1088" priority="330" stopIfTrue="1" operator="lessThan">
      <formula>-0.03</formula>
    </cfRule>
  </conditionalFormatting>
  <conditionalFormatting sqref="V15">
    <cfRule type="cellIs" dxfId="1087" priority="327" operator="greaterThan">
      <formula>0.03</formula>
    </cfRule>
    <cfRule type="cellIs" dxfId="1086" priority="328" stopIfTrue="1" operator="lessThan">
      <formula>-0.03</formula>
    </cfRule>
  </conditionalFormatting>
  <conditionalFormatting sqref="W15">
    <cfRule type="cellIs" dxfId="1085" priority="325" operator="greaterThan">
      <formula>0.03</formula>
    </cfRule>
    <cfRule type="cellIs" dxfId="1084" priority="326" stopIfTrue="1" operator="lessThan">
      <formula>-0.03</formula>
    </cfRule>
  </conditionalFormatting>
  <conditionalFormatting sqref="X15">
    <cfRule type="cellIs" dxfId="1083" priority="323" operator="greaterThan">
      <formula>0.03</formula>
    </cfRule>
    <cfRule type="cellIs" dxfId="1082" priority="324" stopIfTrue="1" operator="lessThan">
      <formula>-0.03</formula>
    </cfRule>
  </conditionalFormatting>
  <conditionalFormatting sqref="AD12:AG12">
    <cfRule type="cellIs" dxfId="1081" priority="223" operator="greaterThan">
      <formula>0.03</formula>
    </cfRule>
    <cfRule type="cellIs" dxfId="1080" priority="224" stopIfTrue="1" operator="lessThan">
      <formula>-0.03</formula>
    </cfRule>
  </conditionalFormatting>
  <conditionalFormatting sqref="AD18:AG18">
    <cfRule type="cellIs" dxfId="1079" priority="221" operator="greaterThan">
      <formula>0.03</formula>
    </cfRule>
    <cfRule type="cellIs" dxfId="1078" priority="222" stopIfTrue="1" operator="lessThan">
      <formula>-0.03</formula>
    </cfRule>
  </conditionalFormatting>
  <conditionalFormatting sqref="AD13:AG16">
    <cfRule type="cellIs" dxfId="1077" priority="219" operator="greaterThan">
      <formula>0.03</formula>
    </cfRule>
    <cfRule type="cellIs" dxfId="1076" priority="220" stopIfTrue="1" operator="lessThan">
      <formula>-0.03</formula>
    </cfRule>
  </conditionalFormatting>
  <conditionalFormatting sqref="AD21:AG21">
    <cfRule type="cellIs" dxfId="1075" priority="211" operator="greaterThan">
      <formula>0.03</formula>
    </cfRule>
    <cfRule type="cellIs" dxfId="1074" priority="212" stopIfTrue="1" operator="lessThan">
      <formula>-0.03</formula>
    </cfRule>
  </conditionalFormatting>
  <conditionalFormatting sqref="AD27:AG27">
    <cfRule type="cellIs" dxfId="1073" priority="209" operator="greaterThan">
      <formula>0.03</formula>
    </cfRule>
    <cfRule type="cellIs" dxfId="1072" priority="210" stopIfTrue="1" operator="lessThan">
      <formula>-0.03</formula>
    </cfRule>
  </conditionalFormatting>
  <conditionalFormatting sqref="AD22:AG25">
    <cfRule type="cellIs" dxfId="1071" priority="207" operator="greaterThan">
      <formula>0.03</formula>
    </cfRule>
    <cfRule type="cellIs" dxfId="1070" priority="208" stopIfTrue="1" operator="lessThan">
      <formula>-0.03</formula>
    </cfRule>
  </conditionalFormatting>
  <conditionalFormatting sqref="AD30:AG30">
    <cfRule type="cellIs" dxfId="1069" priority="199" operator="greaterThan">
      <formula>0.03</formula>
    </cfRule>
    <cfRule type="cellIs" dxfId="1068" priority="200" stopIfTrue="1" operator="lessThan">
      <formula>-0.03</formula>
    </cfRule>
  </conditionalFormatting>
  <conditionalFormatting sqref="AD36:AG36">
    <cfRule type="cellIs" dxfId="1067" priority="197" operator="greaterThan">
      <formula>0.03</formula>
    </cfRule>
    <cfRule type="cellIs" dxfId="1066" priority="198" stopIfTrue="1" operator="lessThan">
      <formula>-0.03</formula>
    </cfRule>
  </conditionalFormatting>
  <conditionalFormatting sqref="AD31:AG34">
    <cfRule type="cellIs" dxfId="1065" priority="195" operator="greaterThan">
      <formula>0.03</formula>
    </cfRule>
    <cfRule type="cellIs" dxfId="1064" priority="196" stopIfTrue="1" operator="lessThan">
      <formula>-0.03</formula>
    </cfRule>
  </conditionalFormatting>
  <conditionalFormatting sqref="AD17">
    <cfRule type="cellIs" dxfId="1063" priority="193" operator="greaterThan">
      <formula>0.03</formula>
    </cfRule>
    <cfRule type="cellIs" dxfId="1062" priority="194" stopIfTrue="1" operator="lessThan">
      <formula>-0.03</formula>
    </cfRule>
  </conditionalFormatting>
  <conditionalFormatting sqref="AE17">
    <cfRule type="cellIs" dxfId="1061" priority="191" operator="greaterThan">
      <formula>0.03</formula>
    </cfRule>
    <cfRule type="cellIs" dxfId="1060" priority="192" stopIfTrue="1" operator="lessThan">
      <formula>-0.03</formula>
    </cfRule>
  </conditionalFormatting>
  <conditionalFormatting sqref="AF17">
    <cfRule type="cellIs" dxfId="1059" priority="189" operator="greaterThan">
      <formula>0.03</formula>
    </cfRule>
    <cfRule type="cellIs" dxfId="1058" priority="190" stopIfTrue="1" operator="lessThan">
      <formula>-0.03</formula>
    </cfRule>
  </conditionalFormatting>
  <conditionalFormatting sqref="AG17">
    <cfRule type="cellIs" dxfId="1057" priority="187" operator="greaterThan">
      <formula>0.03</formula>
    </cfRule>
    <cfRule type="cellIs" dxfId="1056" priority="188" stopIfTrue="1" operator="lessThan">
      <formula>-0.03</formula>
    </cfRule>
  </conditionalFormatting>
  <conditionalFormatting sqref="AD26">
    <cfRule type="cellIs" dxfId="1055" priority="177" operator="greaterThan">
      <formula>0.03</formula>
    </cfRule>
    <cfRule type="cellIs" dxfId="1054" priority="178" stopIfTrue="1" operator="lessThan">
      <formula>-0.03</formula>
    </cfRule>
  </conditionalFormatting>
  <conditionalFormatting sqref="AE26">
    <cfRule type="cellIs" dxfId="1053" priority="175" operator="greaterThan">
      <formula>0.03</formula>
    </cfRule>
    <cfRule type="cellIs" dxfId="1052" priority="176" stopIfTrue="1" operator="lessThan">
      <formula>-0.03</formula>
    </cfRule>
  </conditionalFormatting>
  <conditionalFormatting sqref="AF26">
    <cfRule type="cellIs" dxfId="1051" priority="173" operator="greaterThan">
      <formula>0.03</formula>
    </cfRule>
    <cfRule type="cellIs" dxfId="1050" priority="174" stopIfTrue="1" operator="lessThan">
      <formula>-0.03</formula>
    </cfRule>
  </conditionalFormatting>
  <conditionalFormatting sqref="AG26">
    <cfRule type="cellIs" dxfId="1049" priority="171" operator="greaterThan">
      <formula>0.03</formula>
    </cfRule>
    <cfRule type="cellIs" dxfId="1048" priority="172" stopIfTrue="1" operator="lessThan">
      <formula>-0.03</formula>
    </cfRule>
  </conditionalFormatting>
  <conditionalFormatting sqref="AD35">
    <cfRule type="cellIs" dxfId="1047" priority="161" operator="greaterThan">
      <formula>0.03</formula>
    </cfRule>
    <cfRule type="cellIs" dxfId="1046" priority="162" stopIfTrue="1" operator="lessThan">
      <formula>-0.03</formula>
    </cfRule>
  </conditionalFormatting>
  <conditionalFormatting sqref="AE35">
    <cfRule type="cellIs" dxfId="1045" priority="159" operator="greaterThan">
      <formula>0.03</formula>
    </cfRule>
    <cfRule type="cellIs" dxfId="1044" priority="160" stopIfTrue="1" operator="lessThan">
      <formula>-0.03</formula>
    </cfRule>
  </conditionalFormatting>
  <conditionalFormatting sqref="AF35">
    <cfRule type="cellIs" dxfId="1043" priority="157" operator="greaterThan">
      <formula>0.03</formula>
    </cfRule>
    <cfRule type="cellIs" dxfId="1042" priority="158" stopIfTrue="1" operator="lessThan">
      <formula>-0.03</formula>
    </cfRule>
  </conditionalFormatting>
  <conditionalFormatting sqref="AG35">
    <cfRule type="cellIs" dxfId="1041" priority="155" operator="greaterThan">
      <formula>0.03</formula>
    </cfRule>
    <cfRule type="cellIs" dxfId="1040" priority="156" stopIfTrue="1" operator="lessThan">
      <formula>-0.03</formula>
    </cfRule>
  </conditionalFormatting>
  <conditionalFormatting sqref="AD3:AG3">
    <cfRule type="cellIs" dxfId="1039" priority="153" operator="greaterThan">
      <formula>0.03</formula>
    </cfRule>
    <cfRule type="cellIs" dxfId="1038" priority="154" stopIfTrue="1" operator="lessThan">
      <formula>-0.03</formula>
    </cfRule>
  </conditionalFormatting>
  <conditionalFormatting sqref="AD9:AG9">
    <cfRule type="cellIs" dxfId="1037" priority="151" operator="greaterThan">
      <formula>0.03</formula>
    </cfRule>
    <cfRule type="cellIs" dxfId="1036" priority="152" stopIfTrue="1" operator="lessThan">
      <formula>-0.03</formula>
    </cfRule>
  </conditionalFormatting>
  <conditionalFormatting sqref="AD4:AG7">
    <cfRule type="cellIs" dxfId="1035" priority="149" operator="greaterThan">
      <formula>0.03</formula>
    </cfRule>
    <cfRule type="cellIs" dxfId="1034" priority="150" stopIfTrue="1" operator="lessThan">
      <formula>-0.03</formula>
    </cfRule>
  </conditionalFormatting>
  <conditionalFormatting sqref="AD8">
    <cfRule type="cellIs" dxfId="1033" priority="141" operator="greaterThan">
      <formula>0.03</formula>
    </cfRule>
    <cfRule type="cellIs" dxfId="1032" priority="142" stopIfTrue="1" operator="lessThan">
      <formula>-0.03</formula>
    </cfRule>
  </conditionalFormatting>
  <conditionalFormatting sqref="AE8">
    <cfRule type="cellIs" dxfId="1031" priority="139" operator="greaterThan">
      <formula>0.03</formula>
    </cfRule>
    <cfRule type="cellIs" dxfId="1030" priority="140" stopIfTrue="1" operator="lessThan">
      <formula>-0.03</formula>
    </cfRule>
  </conditionalFormatting>
  <conditionalFormatting sqref="AF8">
    <cfRule type="cellIs" dxfId="1029" priority="137" operator="greaterThan">
      <formula>0.03</formula>
    </cfRule>
    <cfRule type="cellIs" dxfId="1028" priority="138" stopIfTrue="1" operator="lessThan">
      <formula>-0.03</formula>
    </cfRule>
  </conditionalFormatting>
  <conditionalFormatting sqref="AG8">
    <cfRule type="cellIs" dxfId="1027" priority="135" operator="greaterThan">
      <formula>0.03</formula>
    </cfRule>
    <cfRule type="cellIs" dxfId="1026" priority="136" stopIfTrue="1" operator="lessThan">
      <formula>-0.03</formula>
    </cfRule>
  </conditionalFormatting>
  <conditionalFormatting sqref="C51:F51">
    <cfRule type="cellIs" dxfId="1025" priority="125" operator="greaterThan">
      <formula>0.03</formula>
    </cfRule>
    <cfRule type="cellIs" dxfId="1024" priority="126" stopIfTrue="1" operator="lessThan">
      <formula>-0.03</formula>
    </cfRule>
  </conditionalFormatting>
  <conditionalFormatting sqref="C57:F57">
    <cfRule type="cellIs" dxfId="1023" priority="123" operator="greaterThan">
      <formula>0.03</formula>
    </cfRule>
    <cfRule type="cellIs" dxfId="1022" priority="124" stopIfTrue="1" operator="lessThan">
      <formula>-0.03</formula>
    </cfRule>
  </conditionalFormatting>
  <conditionalFormatting sqref="C52:F55">
    <cfRule type="cellIs" dxfId="1021" priority="121" operator="greaterThan">
      <formula>0.03</formula>
    </cfRule>
    <cfRule type="cellIs" dxfId="1020" priority="122" stopIfTrue="1" operator="lessThan">
      <formula>-0.03</formula>
    </cfRule>
  </conditionalFormatting>
  <conditionalFormatting sqref="C56">
    <cfRule type="cellIs" dxfId="1019" priority="119" operator="greaterThan">
      <formula>0.03</formula>
    </cfRule>
    <cfRule type="cellIs" dxfId="1018" priority="120" stopIfTrue="1" operator="lessThan">
      <formula>-0.03</formula>
    </cfRule>
  </conditionalFormatting>
  <conditionalFormatting sqref="D56">
    <cfRule type="cellIs" dxfId="1017" priority="117" operator="greaterThan">
      <formula>0.03</formula>
    </cfRule>
    <cfRule type="cellIs" dxfId="1016" priority="118" stopIfTrue="1" operator="lessThan">
      <formula>-0.03</formula>
    </cfRule>
  </conditionalFormatting>
  <conditionalFormatting sqref="E56">
    <cfRule type="cellIs" dxfId="1015" priority="115" operator="greaterThan">
      <formula>0.03</formula>
    </cfRule>
    <cfRule type="cellIs" dxfId="1014" priority="116" stopIfTrue="1" operator="lessThan">
      <formula>-0.03</formula>
    </cfRule>
  </conditionalFormatting>
  <conditionalFormatting sqref="F56">
    <cfRule type="cellIs" dxfId="1013" priority="113" operator="greaterThan">
      <formula>0.03</formula>
    </cfRule>
    <cfRule type="cellIs" dxfId="1012" priority="114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zoomScaleNormal="100"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121</v>
      </c>
    </row>
    <row r="2" spans="1:21" x14ac:dyDescent="0.25">
      <c r="A2" t="s">
        <v>82</v>
      </c>
    </row>
    <row r="3" spans="1:21" x14ac:dyDescent="0.25">
      <c r="A3" t="s">
        <v>122</v>
      </c>
    </row>
    <row r="4" spans="1:21" x14ac:dyDescent="0.25">
      <c r="A4" t="s">
        <v>81</v>
      </c>
    </row>
    <row r="5" spans="1:21" s="35" customFormat="1" ht="15.75" customHeight="1" x14ac:dyDescent="0.25">
      <c r="B5" s="61" t="s">
        <v>29</v>
      </c>
      <c r="C5" s="63" t="s">
        <v>188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123</v>
      </c>
      <c r="D7" s="70"/>
      <c r="E7" s="70"/>
      <c r="F7" s="70"/>
      <c r="G7" s="70"/>
      <c r="H7" s="70"/>
      <c r="I7" s="5"/>
      <c r="J7" s="69" t="s">
        <v>177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5947.59</v>
      </c>
      <c r="D9" s="16">
        <v>36.289000000000001</v>
      </c>
      <c r="E9" s="16">
        <v>37.979999999999997</v>
      </c>
      <c r="F9" s="16">
        <v>40.145000000000003</v>
      </c>
      <c r="G9" s="16">
        <v>31.94</v>
      </c>
      <c r="H9" s="16">
        <f t="shared" ref="H9:H80" si="0">(6*D9+E9+F9)/8</f>
        <v>36.982374999999998</v>
      </c>
      <c r="I9" s="5"/>
      <c r="J9" s="15">
        <v>4058.9823999999999</v>
      </c>
      <c r="K9" s="16">
        <v>37.585500000000003</v>
      </c>
      <c r="L9" s="16">
        <v>39.415700000000001</v>
      </c>
      <c r="M9" s="16">
        <v>41.8825</v>
      </c>
      <c r="N9" s="16">
        <v>25.7776</v>
      </c>
      <c r="O9" s="16">
        <f t="shared" ref="O9:O80" si="1">(6*K9+L9+M9)/8</f>
        <v>38.351400000000005</v>
      </c>
      <c r="P9" s="7"/>
      <c r="Q9" s="8">
        <f>bdrate(C9:C12,D9:D12,J9:J12,K9:K12)</f>
        <v>-0.54271698800223467</v>
      </c>
      <c r="R9" s="8">
        <f>bdrate(C9:C12,E9:E12,J9:J12,L9:L12)</f>
        <v>-0.67700218811031698</v>
      </c>
      <c r="S9" s="8">
        <f>bdrate(C9:C12,F9:F12,J9:J12,M9:M12)</f>
        <v>-0.69322191900830055</v>
      </c>
      <c r="T9" s="25">
        <f>bdrate(C9:C12,H9:H12,J9:J12,O9:O12)</f>
        <v>-0.56436033185803147</v>
      </c>
      <c r="U9" s="28">
        <f t="shared" ref="U9:U72" si="2">(N9-G9)/G9</f>
        <v>-0.19293675641828434</v>
      </c>
    </row>
    <row r="10" spans="1:21" x14ac:dyDescent="0.25">
      <c r="A10" s="9" t="s">
        <v>36</v>
      </c>
      <c r="B10" s="9"/>
      <c r="C10" s="17">
        <v>4417.33</v>
      </c>
      <c r="D10" s="18">
        <v>35.293999999999997</v>
      </c>
      <c r="E10" s="18">
        <v>37.686</v>
      </c>
      <c r="F10" s="18">
        <v>39.865000000000002</v>
      </c>
      <c r="G10" s="18">
        <v>33.86</v>
      </c>
      <c r="H10" s="18">
        <f t="shared" si="0"/>
        <v>36.164375</v>
      </c>
      <c r="I10" s="5"/>
      <c r="J10" s="17">
        <v>2921.9151999999999</v>
      </c>
      <c r="K10" s="18">
        <v>36.564300000000003</v>
      </c>
      <c r="L10" s="18">
        <v>38.825800000000001</v>
      </c>
      <c r="M10" s="18">
        <v>41.169600000000003</v>
      </c>
      <c r="N10" s="18">
        <v>28.9575</v>
      </c>
      <c r="O10" s="18">
        <f t="shared" si="1"/>
        <v>37.422650000000004</v>
      </c>
      <c r="P10" s="7"/>
      <c r="Q10" s="10"/>
      <c r="R10" s="11"/>
      <c r="S10" s="11"/>
      <c r="T10" s="26"/>
      <c r="U10" s="28">
        <f t="shared" si="2"/>
        <v>-0.14478735971647963</v>
      </c>
    </row>
    <row r="11" spans="1:21" x14ac:dyDescent="0.25">
      <c r="B11" s="9"/>
      <c r="C11" s="17">
        <v>2886.13</v>
      </c>
      <c r="D11" s="18">
        <v>33.499000000000002</v>
      </c>
      <c r="E11" s="18">
        <v>36.847000000000001</v>
      </c>
      <c r="F11" s="18">
        <v>39.002000000000002</v>
      </c>
      <c r="G11" s="18">
        <v>35.75</v>
      </c>
      <c r="H11" s="18">
        <f t="shared" si="0"/>
        <v>34.605375000000002</v>
      </c>
      <c r="I11" s="5"/>
      <c r="J11" s="17">
        <v>1945.9232</v>
      </c>
      <c r="K11" s="18">
        <v>35.019199999999998</v>
      </c>
      <c r="L11" s="18">
        <v>38.162199999999999</v>
      </c>
      <c r="M11" s="18">
        <v>40.474600000000002</v>
      </c>
      <c r="N11" s="18">
        <v>33.982799999999997</v>
      </c>
      <c r="O11" s="18">
        <f t="shared" si="1"/>
        <v>36.094000000000001</v>
      </c>
      <c r="P11" s="7"/>
      <c r="Q11" s="10"/>
      <c r="R11" s="11"/>
      <c r="S11" s="11"/>
      <c r="T11" s="26"/>
      <c r="U11" s="28">
        <f t="shared" si="2"/>
        <v>-4.9432167832167903E-2</v>
      </c>
    </row>
    <row r="12" spans="1:21" ht="16.5" thickBot="1" x14ac:dyDescent="0.3">
      <c r="B12" s="12"/>
      <c r="C12" s="19">
        <v>1389.53</v>
      </c>
      <c r="D12" s="20">
        <v>30.010999999999999</v>
      </c>
      <c r="E12" s="20">
        <v>35.805</v>
      </c>
      <c r="F12" s="20">
        <v>37.808999999999997</v>
      </c>
      <c r="G12" s="20">
        <v>38.619999999999997</v>
      </c>
      <c r="H12" s="20">
        <f t="shared" si="0"/>
        <v>31.71</v>
      </c>
      <c r="I12" s="5"/>
      <c r="J12" s="19">
        <v>916.40319999999997</v>
      </c>
      <c r="K12" s="20">
        <v>32.1372</v>
      </c>
      <c r="L12" s="20">
        <v>36.864800000000002</v>
      </c>
      <c r="M12" s="20">
        <v>39.103999999999999</v>
      </c>
      <c r="N12" s="20">
        <v>44.313099999999999</v>
      </c>
      <c r="O12" s="20">
        <f t="shared" si="1"/>
        <v>33.598999999999997</v>
      </c>
      <c r="P12" s="7"/>
      <c r="Q12" s="13"/>
      <c r="R12" s="14"/>
      <c r="S12" s="14"/>
      <c r="T12" s="27"/>
      <c r="U12" s="28">
        <f t="shared" si="2"/>
        <v>0.1474132573795961</v>
      </c>
    </row>
    <row r="13" spans="1:21" x14ac:dyDescent="0.25">
      <c r="B13" s="6" t="s">
        <v>47</v>
      </c>
      <c r="C13" s="15">
        <v>6160.74</v>
      </c>
      <c r="D13" s="16">
        <v>29.271000000000001</v>
      </c>
      <c r="E13" s="16">
        <v>39.027999999999999</v>
      </c>
      <c r="F13" s="16">
        <v>39.76</v>
      </c>
      <c r="G13" s="16">
        <v>26.49</v>
      </c>
      <c r="H13" s="16">
        <f t="shared" si="0"/>
        <v>31.801749999999998</v>
      </c>
      <c r="I13" s="5"/>
      <c r="J13" s="15">
        <v>4065.6080000000002</v>
      </c>
      <c r="K13" s="16">
        <v>29.096</v>
      </c>
      <c r="L13" s="16">
        <v>39.217300000000002</v>
      </c>
      <c r="M13" s="16">
        <v>40.177199999999999</v>
      </c>
      <c r="N13" s="16">
        <v>19.040400000000002</v>
      </c>
      <c r="O13" s="16">
        <f t="shared" si="1"/>
        <v>31.746312499999998</v>
      </c>
      <c r="P13" s="7"/>
      <c r="Q13" s="8">
        <f>bdrate(C13:C16,D13:D16,J13:J16,K13:K16)</f>
        <v>-0.36128618524716438</v>
      </c>
      <c r="R13" s="8">
        <f>bdrate(C13:C16,E13:E16,J13:J16,L13:L16)</f>
        <v>-0.41232930599192708</v>
      </c>
      <c r="S13" s="8">
        <f>bdrate(C13:C16,F13:F16,J13:J16,M13:M16)</f>
        <v>-0.52688762009781476</v>
      </c>
      <c r="T13" s="25">
        <f>bdrate(C13:C16,H13:H16,J13:J16,O13:O16)</f>
        <v>-0.37602745635846091</v>
      </c>
      <c r="U13" s="28">
        <f t="shared" si="2"/>
        <v>-0.28122310305775755</v>
      </c>
    </row>
    <row r="14" spans="1:21" x14ac:dyDescent="0.25">
      <c r="B14" s="9"/>
      <c r="C14" s="17">
        <v>4608.3</v>
      </c>
      <c r="D14" s="18">
        <v>27.821000000000002</v>
      </c>
      <c r="E14" s="18">
        <v>38.503</v>
      </c>
      <c r="F14" s="18">
        <v>39.195</v>
      </c>
      <c r="G14" s="18">
        <v>27.87</v>
      </c>
      <c r="H14" s="18">
        <f t="shared" si="0"/>
        <v>30.578000000000003</v>
      </c>
      <c r="I14" s="5"/>
      <c r="J14" s="17">
        <v>3037.0992000000001</v>
      </c>
      <c r="K14" s="18">
        <v>27.774699999999999</v>
      </c>
      <c r="L14" s="18">
        <v>38.736600000000003</v>
      </c>
      <c r="M14" s="18">
        <v>39.744399999999999</v>
      </c>
      <c r="N14" s="18">
        <v>22.055599999999998</v>
      </c>
      <c r="O14" s="18">
        <f t="shared" si="1"/>
        <v>30.641150000000003</v>
      </c>
      <c r="P14" s="7"/>
      <c r="Q14" s="10"/>
      <c r="R14" s="11"/>
      <c r="S14" s="11"/>
      <c r="T14" s="26"/>
      <c r="U14" s="28">
        <f t="shared" si="2"/>
        <v>-0.20862576246860431</v>
      </c>
    </row>
    <row r="15" spans="1:21" x14ac:dyDescent="0.25">
      <c r="B15" s="9"/>
      <c r="C15" s="17">
        <v>3048.3</v>
      </c>
      <c r="D15" s="18">
        <v>25.879000000000001</v>
      </c>
      <c r="E15" s="18">
        <v>37.722999999999999</v>
      </c>
      <c r="F15" s="18">
        <v>38.42</v>
      </c>
      <c r="G15" s="18">
        <v>29.96</v>
      </c>
      <c r="H15" s="18">
        <f t="shared" si="0"/>
        <v>28.927125000000004</v>
      </c>
      <c r="I15" s="5"/>
      <c r="J15" s="17">
        <v>2015.5568000000001</v>
      </c>
      <c r="K15" s="18">
        <v>25.9907</v>
      </c>
      <c r="L15" s="18">
        <v>38.021700000000003</v>
      </c>
      <c r="M15" s="18">
        <v>39.135399999999997</v>
      </c>
      <c r="N15" s="18">
        <v>28.2805</v>
      </c>
      <c r="O15" s="18">
        <f t="shared" si="1"/>
        <v>29.137662500000001</v>
      </c>
      <c r="P15" s="7"/>
      <c r="Q15" s="10"/>
      <c r="R15" s="11"/>
      <c r="S15" s="11"/>
      <c r="T15" s="26"/>
      <c r="U15" s="28">
        <f t="shared" si="2"/>
        <v>-5.6058077436582136E-2</v>
      </c>
    </row>
    <row r="16" spans="1:21" ht="16.5" thickBot="1" x14ac:dyDescent="0.3">
      <c r="B16" s="12"/>
      <c r="C16" s="19">
        <v>1545.22</v>
      </c>
      <c r="D16" s="20">
        <v>22.443000000000001</v>
      </c>
      <c r="E16" s="20">
        <v>36.201000000000001</v>
      </c>
      <c r="F16" s="20">
        <v>37.042999999999999</v>
      </c>
      <c r="G16" s="20">
        <v>32.049999999999997</v>
      </c>
      <c r="H16" s="20">
        <f t="shared" si="0"/>
        <v>25.987750000000002</v>
      </c>
      <c r="I16" s="5"/>
      <c r="J16" s="19">
        <v>1122.6976</v>
      </c>
      <c r="K16" s="20">
        <v>23.915800000000001</v>
      </c>
      <c r="L16" s="20">
        <v>36.488799999999998</v>
      </c>
      <c r="M16" s="20">
        <v>37.700400000000002</v>
      </c>
      <c r="N16" s="20">
        <v>36.014400000000002</v>
      </c>
      <c r="O16" s="20">
        <f t="shared" si="1"/>
        <v>27.2105</v>
      </c>
      <c r="P16" s="7"/>
      <c r="Q16" s="13"/>
      <c r="R16" s="14"/>
      <c r="S16" s="14"/>
      <c r="T16" s="27"/>
      <c r="U16" s="28">
        <f t="shared" si="2"/>
        <v>0.12369422776911093</v>
      </c>
    </row>
    <row r="17" spans="1:21" x14ac:dyDescent="0.25">
      <c r="A17" s="6" t="s">
        <v>37</v>
      </c>
      <c r="B17" s="6" t="s">
        <v>48</v>
      </c>
      <c r="C17" s="15">
        <v>3280.15</v>
      </c>
      <c r="D17" s="16">
        <v>38.264000000000003</v>
      </c>
      <c r="E17" s="16">
        <v>41.412999999999997</v>
      </c>
      <c r="F17" s="16">
        <v>42.372</v>
      </c>
      <c r="G17" s="16">
        <v>50.61</v>
      </c>
      <c r="H17" s="16">
        <f t="shared" si="0"/>
        <v>39.171125000000004</v>
      </c>
      <c r="I17" s="5"/>
      <c r="J17" s="15">
        <v>2377.9312</v>
      </c>
      <c r="K17" s="16">
        <v>38.9178</v>
      </c>
      <c r="L17" s="16">
        <v>41.872100000000003</v>
      </c>
      <c r="M17" s="16">
        <v>43.188899999999997</v>
      </c>
      <c r="N17" s="16">
        <v>50.282800000000002</v>
      </c>
      <c r="O17" s="16">
        <f t="shared" si="1"/>
        <v>39.820974999999997</v>
      </c>
      <c r="P17" s="7"/>
      <c r="Q17" s="8">
        <f>bdrate(C17:C20,D17:D20,J17:J20,K17:K20)</f>
        <v>-0.45914039729279588</v>
      </c>
      <c r="R17" s="8">
        <f>bdrate(C17:C20,E17:E20,J17:J20,L17:L20)</f>
        <v>-0.42698329727878681</v>
      </c>
      <c r="S17" s="8">
        <f>bdrate(C17:C20,F17:F20,J17:J20,M17:M20)</f>
        <v>-0.52153394503746697</v>
      </c>
      <c r="T17" s="25">
        <f>bdrate(C17:C20,H17:H20,J17:J20,O17:O20)</f>
        <v>-0.46186512800267321</v>
      </c>
      <c r="U17" s="28">
        <f t="shared" si="2"/>
        <v>-6.4651254692748017E-3</v>
      </c>
    </row>
    <row r="18" spans="1:21" x14ac:dyDescent="0.25">
      <c r="A18" s="9" t="s">
        <v>38</v>
      </c>
      <c r="B18" s="9"/>
      <c r="C18" s="17">
        <v>2157.23</v>
      </c>
      <c r="D18" s="18">
        <v>36.789000000000001</v>
      </c>
      <c r="E18" s="18">
        <v>40.814</v>
      </c>
      <c r="F18" s="18">
        <v>41.734999999999999</v>
      </c>
      <c r="G18" s="18">
        <v>54.74</v>
      </c>
      <c r="H18" s="18">
        <f t="shared" si="0"/>
        <v>37.910375000000002</v>
      </c>
      <c r="I18" s="5"/>
      <c r="J18" s="17">
        <v>1572.5976000000001</v>
      </c>
      <c r="K18" s="18">
        <v>37.6785</v>
      </c>
      <c r="L18" s="18">
        <v>41.195300000000003</v>
      </c>
      <c r="M18" s="18">
        <v>42.41</v>
      </c>
      <c r="N18" s="18">
        <v>56.153500000000001</v>
      </c>
      <c r="O18" s="18">
        <f t="shared" si="1"/>
        <v>38.709537499999996</v>
      </c>
      <c r="P18" s="7"/>
      <c r="Q18" s="10"/>
      <c r="R18" s="11"/>
      <c r="S18" s="11"/>
      <c r="T18" s="26"/>
      <c r="U18" s="28">
        <f t="shared" si="2"/>
        <v>2.5822067957617812E-2</v>
      </c>
    </row>
    <row r="19" spans="1:21" x14ac:dyDescent="0.25">
      <c r="B19" s="9"/>
      <c r="C19" s="17">
        <v>1322.5</v>
      </c>
      <c r="D19" s="18">
        <v>34.915999999999997</v>
      </c>
      <c r="E19" s="18">
        <v>40.057000000000002</v>
      </c>
      <c r="F19" s="18">
        <v>40.9</v>
      </c>
      <c r="G19" s="18">
        <v>59.63</v>
      </c>
      <c r="H19" s="18">
        <f t="shared" si="0"/>
        <v>36.306624999999997</v>
      </c>
      <c r="I19" s="5"/>
      <c r="J19" s="17">
        <v>962.66639999999995</v>
      </c>
      <c r="K19" s="18">
        <v>36.082700000000003</v>
      </c>
      <c r="L19" s="18">
        <v>40.391800000000003</v>
      </c>
      <c r="M19" s="18">
        <v>41.5623</v>
      </c>
      <c r="N19" s="18">
        <v>64.360399999999998</v>
      </c>
      <c r="O19" s="18">
        <f t="shared" si="1"/>
        <v>37.306287500000003</v>
      </c>
      <c r="P19" s="7"/>
      <c r="Q19" s="10"/>
      <c r="R19" s="11"/>
      <c r="S19" s="11"/>
      <c r="T19" s="26"/>
      <c r="U19" s="28">
        <f t="shared" si="2"/>
        <v>7.9329196713063821E-2</v>
      </c>
    </row>
    <row r="20" spans="1:21" ht="16.5" thickBot="1" x14ac:dyDescent="0.3">
      <c r="B20" s="12"/>
      <c r="C20" s="19">
        <v>781.26</v>
      </c>
      <c r="D20" s="20">
        <v>32.710999999999999</v>
      </c>
      <c r="E20" s="20">
        <v>39.207999999999998</v>
      </c>
      <c r="F20" s="20">
        <v>40.195999999999998</v>
      </c>
      <c r="G20" s="20">
        <v>64.66</v>
      </c>
      <c r="H20" s="20">
        <f t="shared" si="0"/>
        <v>34.458749999999995</v>
      </c>
      <c r="I20" s="5"/>
      <c r="J20" s="19">
        <v>560.93280000000004</v>
      </c>
      <c r="K20" s="20">
        <v>34.255299999999998</v>
      </c>
      <c r="L20" s="20">
        <v>39.650500000000001</v>
      </c>
      <c r="M20" s="20">
        <v>40.861400000000003</v>
      </c>
      <c r="N20" s="20">
        <v>78.482699999999994</v>
      </c>
      <c r="O20" s="20">
        <f t="shared" si="1"/>
        <v>35.755462499999993</v>
      </c>
      <c r="P20" s="7"/>
      <c r="Q20" s="13"/>
      <c r="R20" s="14"/>
      <c r="S20" s="14"/>
      <c r="T20" s="27"/>
      <c r="U20" s="28">
        <f t="shared" si="2"/>
        <v>0.2137751314568512</v>
      </c>
    </row>
    <row r="21" spans="1:21" x14ac:dyDescent="0.25">
      <c r="B21" s="6" t="s">
        <v>49</v>
      </c>
      <c r="C21" s="15">
        <v>3534.08</v>
      </c>
      <c r="D21" s="16">
        <v>35.198</v>
      </c>
      <c r="E21" s="16">
        <v>38.511000000000003</v>
      </c>
      <c r="F21" s="16">
        <v>39.713000000000001</v>
      </c>
      <c r="G21" s="16">
        <v>53.79</v>
      </c>
      <c r="H21" s="16">
        <f t="shared" si="0"/>
        <v>36.176499999999997</v>
      </c>
      <c r="I21" s="5"/>
      <c r="J21" s="15">
        <v>2442.8368</v>
      </c>
      <c r="K21" s="16">
        <v>35.7211</v>
      </c>
      <c r="L21" s="16">
        <v>39.8065</v>
      </c>
      <c r="M21" s="16">
        <v>41.0351</v>
      </c>
      <c r="N21" s="16">
        <v>44.8598</v>
      </c>
      <c r="O21" s="16">
        <f t="shared" si="1"/>
        <v>36.896024999999995</v>
      </c>
      <c r="P21" s="7"/>
      <c r="Q21" s="8">
        <f>bdrate(C21:C24,D21:D24,J21:J24,K21:K24)</f>
        <v>-0.45597453380836583</v>
      </c>
      <c r="R21" s="8">
        <f>bdrate(C21:C24,E21:E24,J21:J24,L21:L24)</f>
        <v>-0.61343467100380189</v>
      </c>
      <c r="S21" s="8">
        <f>bdrate(C21:C24,F21:F24,J21:J24,M21:M24)</f>
        <v>-0.62535820883828808</v>
      </c>
      <c r="T21" s="25">
        <f>bdrate(C21:C24,H21:H24,J21:J24,O21:O24)</f>
        <v>-0.48343134263361831</v>
      </c>
      <c r="U21" s="28">
        <f t="shared" si="2"/>
        <v>-0.16601970626510504</v>
      </c>
    </row>
    <row r="22" spans="1:21" x14ac:dyDescent="0.25">
      <c r="B22" s="9"/>
      <c r="C22" s="17">
        <v>2336.2800000000002</v>
      </c>
      <c r="D22" s="18">
        <v>33.816000000000003</v>
      </c>
      <c r="E22" s="18">
        <v>37.972999999999999</v>
      </c>
      <c r="F22" s="18">
        <v>39.313000000000002</v>
      </c>
      <c r="G22" s="18">
        <v>59.17</v>
      </c>
      <c r="H22" s="18">
        <f t="shared" si="0"/>
        <v>35.022750000000002</v>
      </c>
      <c r="I22" s="5"/>
      <c r="J22" s="17">
        <v>1662.2144000000001</v>
      </c>
      <c r="K22" s="18">
        <v>34.493000000000002</v>
      </c>
      <c r="L22" s="18">
        <v>39.086300000000001</v>
      </c>
      <c r="M22" s="18">
        <v>40.338000000000001</v>
      </c>
      <c r="N22" s="18">
        <v>52.504899999999999</v>
      </c>
      <c r="O22" s="18">
        <f t="shared" si="1"/>
        <v>35.797787500000005</v>
      </c>
      <c r="P22" s="7"/>
      <c r="Q22" s="10"/>
      <c r="R22" s="11"/>
      <c r="S22" s="11"/>
      <c r="T22" s="26"/>
      <c r="U22" s="28">
        <f t="shared" si="2"/>
        <v>-0.11264323136724695</v>
      </c>
    </row>
    <row r="23" spans="1:21" x14ac:dyDescent="0.25">
      <c r="B23" s="9"/>
      <c r="C23" s="17">
        <v>1455.94</v>
      </c>
      <c r="D23" s="18">
        <v>32.082999999999998</v>
      </c>
      <c r="E23" s="18">
        <v>37.307000000000002</v>
      </c>
      <c r="F23" s="18">
        <v>38.752000000000002</v>
      </c>
      <c r="G23" s="18">
        <v>63.58</v>
      </c>
      <c r="H23" s="18">
        <f t="shared" si="0"/>
        <v>33.569625000000002</v>
      </c>
      <c r="I23" s="5"/>
      <c r="J23" s="17">
        <v>1005.8712</v>
      </c>
      <c r="K23" s="18">
        <v>33.011400000000002</v>
      </c>
      <c r="L23" s="18">
        <v>38.168799999999997</v>
      </c>
      <c r="M23" s="18">
        <v>39.502899999999997</v>
      </c>
      <c r="N23" s="18">
        <v>62.7943</v>
      </c>
      <c r="O23" s="18">
        <f t="shared" si="1"/>
        <v>34.467512499999998</v>
      </c>
      <c r="P23" s="7"/>
      <c r="Q23" s="10"/>
      <c r="R23" s="11"/>
      <c r="S23" s="11"/>
      <c r="T23" s="26"/>
      <c r="U23" s="28">
        <f t="shared" si="2"/>
        <v>-1.2357659641396642E-2</v>
      </c>
    </row>
    <row r="24" spans="1:21" ht="16.5" thickBot="1" x14ac:dyDescent="0.3">
      <c r="B24" s="12"/>
      <c r="C24" s="19">
        <v>868.81</v>
      </c>
      <c r="D24" s="20">
        <v>30.295000000000002</v>
      </c>
      <c r="E24" s="20">
        <v>36.68</v>
      </c>
      <c r="F24" s="20">
        <v>38.223999999999997</v>
      </c>
      <c r="G24" s="20">
        <v>68.38</v>
      </c>
      <c r="H24" s="20">
        <f t="shared" si="0"/>
        <v>32.084250000000004</v>
      </c>
      <c r="I24" s="5"/>
      <c r="J24" s="19">
        <v>585.22559999999999</v>
      </c>
      <c r="K24" s="20">
        <v>31.407499999999999</v>
      </c>
      <c r="L24" s="20">
        <v>37.2425</v>
      </c>
      <c r="M24" s="20">
        <v>38.762700000000002</v>
      </c>
      <c r="N24" s="20">
        <v>75.781499999999994</v>
      </c>
      <c r="O24" s="20">
        <f t="shared" si="1"/>
        <v>33.056274999999999</v>
      </c>
      <c r="P24" s="7"/>
      <c r="Q24" s="13"/>
      <c r="R24" s="14"/>
      <c r="S24" s="14"/>
      <c r="T24" s="27"/>
      <c r="U24" s="28">
        <f t="shared" si="2"/>
        <v>0.10824071365896459</v>
      </c>
    </row>
    <row r="25" spans="1:21" x14ac:dyDescent="0.25">
      <c r="B25" s="6" t="s">
        <v>50</v>
      </c>
      <c r="C25" s="15">
        <v>3632.74</v>
      </c>
      <c r="D25" s="16">
        <v>32.847000000000001</v>
      </c>
      <c r="E25" s="16">
        <v>37.277999999999999</v>
      </c>
      <c r="F25" s="16">
        <v>38.484999999999999</v>
      </c>
      <c r="G25" s="16">
        <v>63.09</v>
      </c>
      <c r="H25" s="16">
        <f t="shared" si="0"/>
        <v>34.105624999999996</v>
      </c>
      <c r="I25" s="5"/>
      <c r="J25" s="15">
        <v>2409.7224000000001</v>
      </c>
      <c r="K25" s="16">
        <v>33.836300000000001</v>
      </c>
      <c r="L25" s="16">
        <v>38.1267</v>
      </c>
      <c r="M25" s="16">
        <v>40.048400000000001</v>
      </c>
      <c r="N25" s="16">
        <v>62.484400000000001</v>
      </c>
      <c r="O25" s="16">
        <f t="shared" si="1"/>
        <v>35.149112500000001</v>
      </c>
      <c r="P25" s="7"/>
      <c r="Q25" s="8">
        <f>bdrate(C25:C28,D25:D28,J25:J28,K25:K28)</f>
        <v>-0.55027099738802265</v>
      </c>
      <c r="R25" s="8">
        <f>bdrate(C25:C28,E25:E28,J25:J28,L25:L28)</f>
        <v>-0.64625018891264419</v>
      </c>
      <c r="S25" s="8">
        <f>bdrate(C25:C28,F25:F28,J25:J28,M25:M28)</f>
        <v>-0.66720992239021504</v>
      </c>
      <c r="T25" s="25">
        <f>bdrate(C25:C28,H25:H28,J25:J28,O25:O28)</f>
        <v>-0.56744667498803558</v>
      </c>
      <c r="U25" s="28">
        <f t="shared" si="2"/>
        <v>-9.5989855761610798E-3</v>
      </c>
    </row>
    <row r="26" spans="1:21" x14ac:dyDescent="0.25">
      <c r="B26" s="9"/>
      <c r="C26" s="17">
        <v>2394.54</v>
      </c>
      <c r="D26" s="18">
        <v>31.265999999999998</v>
      </c>
      <c r="E26" s="18">
        <v>36.814999999999998</v>
      </c>
      <c r="F26" s="18">
        <v>37.688000000000002</v>
      </c>
      <c r="G26" s="18">
        <v>65.95</v>
      </c>
      <c r="H26" s="18">
        <f t="shared" si="0"/>
        <v>32.762374999999999</v>
      </c>
      <c r="I26" s="5"/>
      <c r="J26" s="17">
        <v>1606.556</v>
      </c>
      <c r="K26" s="18">
        <v>32.605499999999999</v>
      </c>
      <c r="L26" s="18">
        <v>37.658799999999999</v>
      </c>
      <c r="M26" s="18">
        <v>39.224499999999999</v>
      </c>
      <c r="N26" s="18">
        <v>73.844300000000004</v>
      </c>
      <c r="O26" s="18">
        <f t="shared" si="1"/>
        <v>34.064537499999993</v>
      </c>
      <c r="P26" s="7"/>
      <c r="Q26" s="10"/>
      <c r="R26" s="11"/>
      <c r="S26" s="11"/>
      <c r="T26" s="26"/>
      <c r="U26" s="28">
        <f t="shared" si="2"/>
        <v>0.11970128885519334</v>
      </c>
    </row>
    <row r="27" spans="1:21" x14ac:dyDescent="0.25">
      <c r="B27" s="9"/>
      <c r="C27" s="17">
        <v>1499.34</v>
      </c>
      <c r="D27" s="18">
        <v>29.401</v>
      </c>
      <c r="E27" s="18">
        <v>36.17</v>
      </c>
      <c r="F27" s="18">
        <v>36.712000000000003</v>
      </c>
      <c r="G27" s="18">
        <v>68.48</v>
      </c>
      <c r="H27" s="18">
        <f t="shared" si="0"/>
        <v>31.161000000000001</v>
      </c>
      <c r="I27" s="5"/>
      <c r="J27" s="17">
        <v>1002.6904</v>
      </c>
      <c r="K27" s="18">
        <v>30.9574</v>
      </c>
      <c r="L27" s="18">
        <v>37.004100000000001</v>
      </c>
      <c r="M27" s="18">
        <v>38.144599999999997</v>
      </c>
      <c r="N27" s="18">
        <v>88.043700000000001</v>
      </c>
      <c r="O27" s="18">
        <f t="shared" si="1"/>
        <v>32.611637500000001</v>
      </c>
      <c r="P27" s="7"/>
      <c r="Q27" s="10"/>
      <c r="R27" s="11"/>
      <c r="S27" s="11"/>
      <c r="T27" s="26"/>
      <c r="U27" s="28">
        <f t="shared" si="2"/>
        <v>0.28568487149532706</v>
      </c>
    </row>
    <row r="28" spans="1:21" ht="16.5" thickBot="1" x14ac:dyDescent="0.3">
      <c r="B28" s="12"/>
      <c r="C28" s="19">
        <v>885.69</v>
      </c>
      <c r="D28" s="20">
        <v>27.241</v>
      </c>
      <c r="E28" s="20">
        <v>35.734999999999999</v>
      </c>
      <c r="F28" s="20">
        <v>35.905999999999999</v>
      </c>
      <c r="G28" s="20">
        <v>73.34</v>
      </c>
      <c r="H28" s="20">
        <f t="shared" si="0"/>
        <v>29.385874999999999</v>
      </c>
      <c r="I28" s="5"/>
      <c r="J28" s="19">
        <v>597.01520000000005</v>
      </c>
      <c r="K28" s="20">
        <v>29.245200000000001</v>
      </c>
      <c r="L28" s="20">
        <v>36.348300000000002</v>
      </c>
      <c r="M28" s="20">
        <v>37.083100000000002</v>
      </c>
      <c r="N28" s="20">
        <v>105.08620000000001</v>
      </c>
      <c r="O28" s="20">
        <f t="shared" si="1"/>
        <v>31.112825000000001</v>
      </c>
      <c r="P28" s="7"/>
      <c r="Q28" s="13"/>
      <c r="R28" s="14"/>
      <c r="S28" s="14"/>
      <c r="T28" s="27"/>
      <c r="U28" s="28">
        <f t="shared" si="2"/>
        <v>0.43286337605672209</v>
      </c>
    </row>
    <row r="29" spans="1:21" x14ac:dyDescent="0.25">
      <c r="B29" s="6" t="s">
        <v>51</v>
      </c>
      <c r="C29" s="29">
        <v>3627.65</v>
      </c>
      <c r="D29" s="30">
        <v>32.786999999999999</v>
      </c>
      <c r="E29" s="30">
        <v>39.344000000000001</v>
      </c>
      <c r="F29" s="30">
        <v>38.944000000000003</v>
      </c>
      <c r="G29" s="16">
        <v>57.14</v>
      </c>
      <c r="H29" s="16">
        <f t="shared" si="0"/>
        <v>34.376249999999999</v>
      </c>
      <c r="I29" s="5"/>
      <c r="J29" s="29">
        <v>2417.5832</v>
      </c>
      <c r="K29" s="30">
        <v>33.792400000000001</v>
      </c>
      <c r="L29" s="30">
        <v>40.195399999999999</v>
      </c>
      <c r="M29" s="30">
        <v>39.774000000000001</v>
      </c>
      <c r="N29" s="16">
        <v>54.5137</v>
      </c>
      <c r="O29" s="16">
        <f t="shared" si="1"/>
        <v>35.340474999999998</v>
      </c>
      <c r="P29" s="7"/>
      <c r="Q29" s="8">
        <f>bdrate(C29:C32,D29:D32,J29:J32,K29:K32)</f>
        <v>-0.56935731322708594</v>
      </c>
      <c r="R29" s="8">
        <f>bdrate(C29:C32,E29:E32,J29:J32,L29:L32)</f>
        <v>-0.56546087721354676</v>
      </c>
      <c r="S29" s="8">
        <f>bdrate(C29:C32,F29:F32,J29:J32,M29:M32)</f>
        <v>-0.48070343358451195</v>
      </c>
      <c r="T29" s="25">
        <f>bdrate(C29:C32,H29:H32,J29:J32,O29:O32)</f>
        <v>-0.5659126338176792</v>
      </c>
      <c r="U29" s="28">
        <f t="shared" si="2"/>
        <v>-4.5962548127406376E-2</v>
      </c>
    </row>
    <row r="30" spans="1:21" x14ac:dyDescent="0.25">
      <c r="B30" s="9"/>
      <c r="C30" s="31">
        <v>2390.29</v>
      </c>
      <c r="D30" s="32">
        <v>30.844999999999999</v>
      </c>
      <c r="E30" s="32">
        <v>38.515000000000001</v>
      </c>
      <c r="F30" s="32">
        <v>38.070999999999998</v>
      </c>
      <c r="G30" s="18">
        <v>60.36</v>
      </c>
      <c r="H30" s="18">
        <f t="shared" si="0"/>
        <v>32.706999999999994</v>
      </c>
      <c r="I30" s="5"/>
      <c r="J30" s="31">
        <v>1607.204</v>
      </c>
      <c r="K30" s="32">
        <v>32.406799999999997</v>
      </c>
      <c r="L30" s="32">
        <v>39.451999999999998</v>
      </c>
      <c r="M30" s="32">
        <v>38.789499999999997</v>
      </c>
      <c r="N30" s="18">
        <v>62.964399999999998</v>
      </c>
      <c r="O30" s="18">
        <f t="shared" si="1"/>
        <v>34.085287499999993</v>
      </c>
      <c r="P30" s="7"/>
      <c r="Q30" s="10"/>
      <c r="R30" s="11"/>
      <c r="S30" s="11"/>
      <c r="T30" s="26"/>
      <c r="U30" s="28">
        <f t="shared" si="2"/>
        <v>4.3147779986746161E-2</v>
      </c>
    </row>
    <row r="31" spans="1:21" x14ac:dyDescent="0.25">
      <c r="B31" s="9"/>
      <c r="C31" s="31">
        <v>1472.28</v>
      </c>
      <c r="D31" s="32">
        <v>28.085000000000001</v>
      </c>
      <c r="E31" s="32">
        <v>37.468000000000004</v>
      </c>
      <c r="F31" s="32">
        <v>36.954000000000001</v>
      </c>
      <c r="G31" s="18">
        <v>64.489999999999995</v>
      </c>
      <c r="H31" s="18">
        <f t="shared" si="0"/>
        <v>30.366500000000002</v>
      </c>
      <c r="I31" s="5"/>
      <c r="J31" s="31">
        <v>1002.6224</v>
      </c>
      <c r="K31" s="32">
        <v>30.676300000000001</v>
      </c>
      <c r="L31" s="32">
        <v>38.503300000000003</v>
      </c>
      <c r="M31" s="32">
        <v>37.6128</v>
      </c>
      <c r="N31" s="18">
        <v>76.675399999999996</v>
      </c>
      <c r="O31" s="18">
        <f t="shared" si="1"/>
        <v>32.5217375</v>
      </c>
      <c r="P31" s="7"/>
      <c r="Q31" s="10"/>
      <c r="R31" s="11"/>
      <c r="S31" s="11"/>
      <c r="T31" s="26"/>
      <c r="U31" s="28">
        <f t="shared" si="2"/>
        <v>0.18895022484106067</v>
      </c>
    </row>
    <row r="32" spans="1:21" ht="16.5" thickBot="1" x14ac:dyDescent="0.3">
      <c r="B32" s="12"/>
      <c r="C32" s="33">
        <v>852.77</v>
      </c>
      <c r="D32" s="34">
        <v>24.24</v>
      </c>
      <c r="E32" s="34">
        <v>35.555999999999997</v>
      </c>
      <c r="F32" s="34">
        <v>34.896000000000001</v>
      </c>
      <c r="G32" s="20">
        <v>68.05</v>
      </c>
      <c r="H32" s="20">
        <f t="shared" si="0"/>
        <v>26.986499999999999</v>
      </c>
      <c r="I32" s="5"/>
      <c r="J32" s="33">
        <v>589.32719999999995</v>
      </c>
      <c r="K32" s="34">
        <v>28.7759</v>
      </c>
      <c r="L32" s="34">
        <v>37.069000000000003</v>
      </c>
      <c r="M32" s="34">
        <v>35.953699999999998</v>
      </c>
      <c r="N32" s="20">
        <v>91.844200000000001</v>
      </c>
      <c r="O32" s="20">
        <f t="shared" si="1"/>
        <v>30.7097625</v>
      </c>
      <c r="P32" s="7"/>
      <c r="Q32" s="13"/>
      <c r="R32" s="14"/>
      <c r="S32" s="14"/>
      <c r="T32" s="27"/>
      <c r="U32" s="28">
        <f t="shared" si="2"/>
        <v>0.34965760470242474</v>
      </c>
    </row>
    <row r="33" spans="1:21" x14ac:dyDescent="0.25">
      <c r="B33" s="6" t="s">
        <v>52</v>
      </c>
      <c r="C33" s="15">
        <v>3551.52</v>
      </c>
      <c r="D33" s="16">
        <v>32.023000000000003</v>
      </c>
      <c r="E33" s="16">
        <v>38.466999999999999</v>
      </c>
      <c r="F33" s="16">
        <v>41.023000000000003</v>
      </c>
      <c r="G33" s="16">
        <v>64.86</v>
      </c>
      <c r="H33" s="16">
        <f t="shared" si="0"/>
        <v>33.953500000000005</v>
      </c>
      <c r="I33" s="5"/>
      <c r="J33" s="15">
        <v>2425.6648</v>
      </c>
      <c r="K33" s="16">
        <v>33.364600000000003</v>
      </c>
      <c r="L33" s="16">
        <v>39.7517</v>
      </c>
      <c r="M33" s="16">
        <v>42.264699999999998</v>
      </c>
      <c r="N33" s="16">
        <v>69.052800000000005</v>
      </c>
      <c r="O33" s="16">
        <f t="shared" si="1"/>
        <v>35.275500000000001</v>
      </c>
      <c r="P33" s="7"/>
      <c r="Q33" s="8">
        <f>bdrate(C33:C36,D33:D36,J33:J36,K33:K36)</f>
        <v>-0.6658229228080117</v>
      </c>
      <c r="R33" s="8">
        <f>bdrate(C33:C36,E33:E36,J33:J36,L33:L36)</f>
        <v>-0.72157053303901453</v>
      </c>
      <c r="S33" s="8">
        <f>bdrate(C33:C36,F33:F36,J33:J36,M33:M36)</f>
        <v>-0.73810911266929546</v>
      </c>
      <c r="T33" s="25">
        <f>bdrate(C33:C36,H33:H36,J33:J36,O33:O36)</f>
        <v>-0.67360062330587622</v>
      </c>
      <c r="U33" s="28">
        <f t="shared" si="2"/>
        <v>6.4643848288621727E-2</v>
      </c>
    </row>
    <row r="34" spans="1:21" x14ac:dyDescent="0.25">
      <c r="B34" s="9"/>
      <c r="C34" s="17">
        <v>2336.5</v>
      </c>
      <c r="D34" s="18">
        <v>30.79</v>
      </c>
      <c r="E34" s="18">
        <v>38.124000000000002</v>
      </c>
      <c r="F34" s="18">
        <v>40.607999999999997</v>
      </c>
      <c r="G34" s="18">
        <v>67.959999999999994</v>
      </c>
      <c r="H34" s="18">
        <f t="shared" si="0"/>
        <v>32.933999999999997</v>
      </c>
      <c r="I34" s="5"/>
      <c r="J34" s="17">
        <v>1628.7840000000001</v>
      </c>
      <c r="K34" s="18">
        <v>32.6753</v>
      </c>
      <c r="L34" s="18">
        <v>39.288899999999998</v>
      </c>
      <c r="M34" s="18">
        <v>41.832799999999999</v>
      </c>
      <c r="N34" s="18">
        <v>76.923100000000005</v>
      </c>
      <c r="O34" s="18">
        <f t="shared" si="1"/>
        <v>34.646687500000006</v>
      </c>
      <c r="P34" s="7"/>
      <c r="Q34" s="10"/>
      <c r="R34" s="11"/>
      <c r="S34" s="11"/>
      <c r="T34" s="26"/>
      <c r="U34" s="28">
        <f t="shared" si="2"/>
        <v>0.13188787522071824</v>
      </c>
    </row>
    <row r="35" spans="1:21" x14ac:dyDescent="0.25">
      <c r="B35" s="9"/>
      <c r="C35" s="17">
        <v>1440.74</v>
      </c>
      <c r="D35" s="18">
        <v>29.169</v>
      </c>
      <c r="E35" s="18">
        <v>37.597000000000001</v>
      </c>
      <c r="F35" s="18">
        <v>39.914999999999999</v>
      </c>
      <c r="G35" s="18">
        <v>70.83</v>
      </c>
      <c r="H35" s="18">
        <f t="shared" si="0"/>
        <v>31.565750000000001</v>
      </c>
      <c r="I35" s="5"/>
      <c r="J35" s="17">
        <v>1027.5047999999999</v>
      </c>
      <c r="K35" s="18">
        <v>31.555299999999999</v>
      </c>
      <c r="L35" s="18">
        <v>38.597099999999998</v>
      </c>
      <c r="M35" s="18">
        <v>41.156700000000001</v>
      </c>
      <c r="N35" s="18">
        <v>88.823099999999997</v>
      </c>
      <c r="O35" s="18">
        <f t="shared" si="1"/>
        <v>33.6357</v>
      </c>
      <c r="P35" s="7"/>
      <c r="Q35" s="10"/>
      <c r="R35" s="11"/>
      <c r="S35" s="11"/>
      <c r="T35" s="26"/>
      <c r="U35" s="28">
        <f t="shared" si="2"/>
        <v>0.25403218975010589</v>
      </c>
    </row>
    <row r="36" spans="1:21" ht="16.5" thickBot="1" x14ac:dyDescent="0.3">
      <c r="B36" s="12"/>
      <c r="C36" s="19">
        <v>830.13</v>
      </c>
      <c r="D36" s="20">
        <v>26.957000000000001</v>
      </c>
      <c r="E36" s="20">
        <v>37.01</v>
      </c>
      <c r="F36" s="20">
        <v>39.158999999999999</v>
      </c>
      <c r="G36" s="20">
        <v>74.11</v>
      </c>
      <c r="H36" s="20">
        <f t="shared" si="0"/>
        <v>29.738875</v>
      </c>
      <c r="I36" s="5"/>
      <c r="J36" s="19">
        <v>605.79999999999995</v>
      </c>
      <c r="K36" s="20">
        <v>30.087499999999999</v>
      </c>
      <c r="L36" s="20">
        <v>38.028100000000002</v>
      </c>
      <c r="M36" s="20">
        <v>40.616999999999997</v>
      </c>
      <c r="N36" s="20">
        <v>101.7467</v>
      </c>
      <c r="O36" s="20">
        <f t="shared" si="1"/>
        <v>32.396262499999999</v>
      </c>
      <c r="P36" s="7"/>
      <c r="Q36" s="13"/>
      <c r="R36" s="14"/>
      <c r="S36" s="14"/>
      <c r="T36" s="27"/>
      <c r="U36" s="28">
        <f t="shared" si="2"/>
        <v>0.37291458642558367</v>
      </c>
    </row>
    <row r="37" spans="1:21" x14ac:dyDescent="0.25">
      <c r="A37" s="6" t="s">
        <v>39</v>
      </c>
      <c r="B37" s="6" t="s">
        <v>53</v>
      </c>
      <c r="C37" s="15">
        <v>1582.18</v>
      </c>
      <c r="D37" s="16">
        <v>33.198</v>
      </c>
      <c r="E37" s="16">
        <v>36.735999999999997</v>
      </c>
      <c r="F37" s="16">
        <v>36.576000000000001</v>
      </c>
      <c r="G37" s="16">
        <v>323.83</v>
      </c>
      <c r="H37" s="16">
        <f t="shared" si="0"/>
        <v>34.0625</v>
      </c>
      <c r="I37" s="5"/>
      <c r="J37" s="15">
        <v>1215.5944</v>
      </c>
      <c r="K37" s="16">
        <v>34.619100000000003</v>
      </c>
      <c r="L37" s="16">
        <v>38.746499999999997</v>
      </c>
      <c r="M37" s="16">
        <v>38.545999999999999</v>
      </c>
      <c r="N37" s="16">
        <v>212.22409999999999</v>
      </c>
      <c r="O37" s="16">
        <f t="shared" si="1"/>
        <v>35.625887500000005</v>
      </c>
      <c r="P37" s="7"/>
      <c r="Q37" s="8">
        <f>bdrate(C37:C40,D37:D40,J37:J40,K37:K40)</f>
        <v>-0.47912320398592712</v>
      </c>
      <c r="R37" s="8">
        <f>bdrate(C37:C40,E37:E40,J37:J40,L37:L40)</f>
        <v>-0.59786806279923621</v>
      </c>
      <c r="S37" s="8">
        <f>bdrate(C37:C40,F37:F40,J37:J40,M37:M40)</f>
        <v>-0.56760240069615397</v>
      </c>
      <c r="T37" s="25">
        <f>bdrate(C37:C40,H37:H40,J37:J40,O37:O40)</f>
        <v>-0.49907376418793659</v>
      </c>
      <c r="U37" s="28">
        <f t="shared" si="2"/>
        <v>-0.34464348577957571</v>
      </c>
    </row>
    <row r="38" spans="1:21" x14ac:dyDescent="0.25">
      <c r="A38" s="9" t="s">
        <v>40</v>
      </c>
      <c r="B38" s="9"/>
      <c r="C38" s="17">
        <v>1068.6099999999999</v>
      </c>
      <c r="D38" s="18">
        <v>31.686</v>
      </c>
      <c r="E38" s="18">
        <v>35.929000000000002</v>
      </c>
      <c r="F38" s="18">
        <v>35.631999999999998</v>
      </c>
      <c r="G38" s="18">
        <v>344.59</v>
      </c>
      <c r="H38" s="18">
        <f t="shared" si="0"/>
        <v>32.709624999999996</v>
      </c>
      <c r="I38" s="5"/>
      <c r="J38" s="17">
        <v>812.40239999999994</v>
      </c>
      <c r="K38" s="18">
        <v>33.1036</v>
      </c>
      <c r="L38" s="18">
        <v>37.655099999999997</v>
      </c>
      <c r="M38" s="18">
        <v>37.3232</v>
      </c>
      <c r="N38" s="18">
        <v>252.39779999999999</v>
      </c>
      <c r="O38" s="18">
        <f t="shared" si="1"/>
        <v>34.199987499999999</v>
      </c>
      <c r="P38" s="7"/>
      <c r="Q38" s="10"/>
      <c r="R38" s="11"/>
      <c r="S38" s="11"/>
      <c r="T38" s="26"/>
      <c r="U38" s="28">
        <f t="shared" si="2"/>
        <v>-0.26754171624249107</v>
      </c>
    </row>
    <row r="39" spans="1:21" x14ac:dyDescent="0.25">
      <c r="B39" s="9"/>
      <c r="C39" s="17">
        <v>662.34</v>
      </c>
      <c r="D39" s="18">
        <v>29.792000000000002</v>
      </c>
      <c r="E39" s="18">
        <v>35.052999999999997</v>
      </c>
      <c r="F39" s="18">
        <v>34.627000000000002</v>
      </c>
      <c r="G39" s="18">
        <v>377.07</v>
      </c>
      <c r="H39" s="18">
        <f t="shared" si="0"/>
        <v>31.054000000000002</v>
      </c>
      <c r="I39" s="5"/>
      <c r="J39" s="17">
        <v>506.31920000000002</v>
      </c>
      <c r="K39" s="18">
        <v>31.317499999999999</v>
      </c>
      <c r="L39" s="18">
        <v>36.363999999999997</v>
      </c>
      <c r="M39" s="18">
        <v>35.918300000000002</v>
      </c>
      <c r="N39" s="18">
        <v>311.1388</v>
      </c>
      <c r="O39" s="18">
        <f t="shared" si="1"/>
        <v>32.523412499999999</v>
      </c>
      <c r="P39" s="7"/>
      <c r="Q39" s="10"/>
      <c r="R39" s="11"/>
      <c r="S39" s="11"/>
      <c r="T39" s="26"/>
      <c r="U39" s="28">
        <f t="shared" si="2"/>
        <v>-0.17485135386002595</v>
      </c>
    </row>
    <row r="40" spans="1:21" ht="16.5" thickBot="1" x14ac:dyDescent="0.3">
      <c r="B40" s="12"/>
      <c r="C40" s="19">
        <v>404.11</v>
      </c>
      <c r="D40" s="20">
        <v>27.571000000000002</v>
      </c>
      <c r="E40" s="20">
        <v>34.311999999999998</v>
      </c>
      <c r="F40" s="20">
        <v>33.840000000000003</v>
      </c>
      <c r="G40" s="20">
        <v>405.84</v>
      </c>
      <c r="H40" s="20">
        <f t="shared" si="0"/>
        <v>29.19725</v>
      </c>
      <c r="I40" s="5"/>
      <c r="J40" s="19">
        <v>305.87119999999999</v>
      </c>
      <c r="K40" s="20">
        <v>29.3581</v>
      </c>
      <c r="L40" s="20">
        <v>35.102800000000002</v>
      </c>
      <c r="M40" s="20">
        <v>34.552999999999997</v>
      </c>
      <c r="N40" s="20">
        <v>390.93040000000002</v>
      </c>
      <c r="O40" s="20">
        <f t="shared" si="1"/>
        <v>30.725549999999998</v>
      </c>
      <c r="P40" s="7"/>
      <c r="Q40" s="13"/>
      <c r="R40" s="14"/>
      <c r="S40" s="14"/>
      <c r="T40" s="27"/>
      <c r="U40" s="28">
        <f t="shared" si="2"/>
        <v>-3.6737630593337164E-2</v>
      </c>
    </row>
    <row r="41" spans="1:21" x14ac:dyDescent="0.25">
      <c r="B41" s="6" t="s">
        <v>54</v>
      </c>
      <c r="C41" s="15">
        <v>1574.36</v>
      </c>
      <c r="D41" s="16">
        <v>33.628999999999998</v>
      </c>
      <c r="E41" s="16">
        <v>38.847999999999999</v>
      </c>
      <c r="F41" s="16">
        <v>39.625999999999998</v>
      </c>
      <c r="G41" s="16">
        <v>317.97000000000003</v>
      </c>
      <c r="H41" s="16">
        <f t="shared" si="0"/>
        <v>35.030999999999999</v>
      </c>
      <c r="I41" s="5"/>
      <c r="J41" s="15">
        <v>1245.2159999999999</v>
      </c>
      <c r="K41" s="16">
        <v>34.869100000000003</v>
      </c>
      <c r="L41" s="16">
        <v>40.353999999999999</v>
      </c>
      <c r="M41" s="16">
        <v>41.1907</v>
      </c>
      <c r="N41" s="16">
        <v>216.06049999999999</v>
      </c>
      <c r="O41" s="16">
        <f t="shared" si="1"/>
        <v>36.3449125</v>
      </c>
      <c r="P41" s="7"/>
      <c r="Q41" s="8">
        <f>bdrate(C41:C44,D41:D44,J41:J44,K41:K44)</f>
        <v>-0.47090073986724679</v>
      </c>
      <c r="R41" s="8">
        <f>bdrate(C41:C44,E41:E44,J41:J44,L41:L44)</f>
        <v>-0.57175098436219629</v>
      </c>
      <c r="S41" s="8">
        <f>bdrate(C41:C44,F41:F44,J41:J44,M41:M44)</f>
        <v>-0.53694725789999365</v>
      </c>
      <c r="T41" s="25">
        <f>bdrate(C41:C44,H41:H44,J41:J44,O41:O44)</f>
        <v>-0.48474211164714787</v>
      </c>
      <c r="U41" s="28">
        <f t="shared" si="2"/>
        <v>-0.32050036166933998</v>
      </c>
    </row>
    <row r="42" spans="1:21" x14ac:dyDescent="0.25">
      <c r="B42" s="9"/>
      <c r="C42" s="17">
        <v>1067.43</v>
      </c>
      <c r="D42" s="18">
        <v>31.881</v>
      </c>
      <c r="E42" s="18">
        <v>38.119</v>
      </c>
      <c r="F42" s="18">
        <v>38.835999999999999</v>
      </c>
      <c r="G42" s="18">
        <v>340.33</v>
      </c>
      <c r="H42" s="18">
        <f t="shared" si="0"/>
        <v>33.530124999999998</v>
      </c>
      <c r="I42" s="5"/>
      <c r="J42" s="17">
        <v>830.2192</v>
      </c>
      <c r="K42" s="18">
        <v>33.331899999999997</v>
      </c>
      <c r="L42" s="18">
        <v>39.404499999999999</v>
      </c>
      <c r="M42" s="18">
        <v>40.1327</v>
      </c>
      <c r="N42" s="18">
        <v>254.66890000000001</v>
      </c>
      <c r="O42" s="18">
        <f t="shared" si="1"/>
        <v>34.941074999999998</v>
      </c>
      <c r="P42" s="7"/>
      <c r="Q42" s="10"/>
      <c r="R42" s="11"/>
      <c r="S42" s="11"/>
      <c r="T42" s="26"/>
      <c r="U42" s="28">
        <f t="shared" si="2"/>
        <v>-0.25170011459465808</v>
      </c>
    </row>
    <row r="43" spans="1:21" x14ac:dyDescent="0.25">
      <c r="B43" s="9"/>
      <c r="C43" s="17">
        <v>662.24</v>
      </c>
      <c r="D43" s="18">
        <v>29.686</v>
      </c>
      <c r="E43" s="18">
        <v>37.29</v>
      </c>
      <c r="F43" s="18">
        <v>37.908999999999999</v>
      </c>
      <c r="G43" s="18">
        <v>362.76</v>
      </c>
      <c r="H43" s="18">
        <f t="shared" si="0"/>
        <v>31.664374999999996</v>
      </c>
      <c r="I43" s="5"/>
      <c r="J43" s="17">
        <v>518.36959999999999</v>
      </c>
      <c r="K43" s="18">
        <v>31.500900000000001</v>
      </c>
      <c r="L43" s="18">
        <v>38.388199999999998</v>
      </c>
      <c r="M43" s="18">
        <v>38.982300000000002</v>
      </c>
      <c r="N43" s="18">
        <v>312.6628</v>
      </c>
      <c r="O43" s="18">
        <f t="shared" si="1"/>
        <v>33.2969875</v>
      </c>
      <c r="P43" s="7"/>
      <c r="Q43" s="10"/>
      <c r="R43" s="11"/>
      <c r="S43" s="11"/>
      <c r="T43" s="26"/>
      <c r="U43" s="28">
        <f t="shared" si="2"/>
        <v>-0.13810012129231444</v>
      </c>
    </row>
    <row r="44" spans="1:21" ht="16.5" thickBot="1" x14ac:dyDescent="0.3">
      <c r="B44" s="12"/>
      <c r="C44" s="19">
        <v>407.69</v>
      </c>
      <c r="D44" s="20">
        <v>27.35</v>
      </c>
      <c r="E44" s="20">
        <v>36.542000000000002</v>
      </c>
      <c r="F44" s="20">
        <v>37.085000000000001</v>
      </c>
      <c r="G44" s="20">
        <v>388.6</v>
      </c>
      <c r="H44" s="20">
        <f t="shared" si="0"/>
        <v>29.715875000000004</v>
      </c>
      <c r="I44" s="5"/>
      <c r="J44" s="19">
        <v>310.99759999999998</v>
      </c>
      <c r="K44" s="20">
        <v>29.470300000000002</v>
      </c>
      <c r="L44" s="20">
        <v>37.348100000000002</v>
      </c>
      <c r="M44" s="20">
        <v>37.773699999999998</v>
      </c>
      <c r="N44" s="20">
        <v>400.80160000000001</v>
      </c>
      <c r="O44" s="20">
        <f t="shared" si="1"/>
        <v>31.492949999999997</v>
      </c>
      <c r="P44" s="7"/>
      <c r="Q44" s="13"/>
      <c r="R44" s="14"/>
      <c r="S44" s="14"/>
      <c r="T44" s="27"/>
      <c r="U44" s="28">
        <f t="shared" si="2"/>
        <v>3.1398867730313904E-2</v>
      </c>
    </row>
    <row r="45" spans="1:21" x14ac:dyDescent="0.25">
      <c r="B45" s="6" t="s">
        <v>55</v>
      </c>
      <c r="C45" s="15">
        <v>1472.98</v>
      </c>
      <c r="D45" s="16">
        <v>28.138000000000002</v>
      </c>
      <c r="E45" s="16">
        <v>34.823999999999998</v>
      </c>
      <c r="F45" s="16">
        <v>35.500999999999998</v>
      </c>
      <c r="G45" s="16">
        <v>320.51</v>
      </c>
      <c r="H45" s="16">
        <f t="shared" si="0"/>
        <v>29.894124999999999</v>
      </c>
      <c r="I45" s="5"/>
      <c r="J45" s="15">
        <v>1224.4248</v>
      </c>
      <c r="K45" s="16">
        <v>29.975300000000001</v>
      </c>
      <c r="L45" s="16">
        <v>36.5321</v>
      </c>
      <c r="M45" s="16">
        <v>37.310099999999998</v>
      </c>
      <c r="N45" s="16">
        <v>189.68129999999999</v>
      </c>
      <c r="O45" s="16">
        <f t="shared" si="1"/>
        <v>31.711749999999999</v>
      </c>
      <c r="P45" s="7"/>
      <c r="Q45" s="8">
        <f>bdrate(C45:C48,D45:D48,J45:J48,K45:K48)</f>
        <v>-0.54891131177261743</v>
      </c>
      <c r="R45" s="8">
        <f>bdrate(C45:C48,E45:E48,J45:J48,L45:L48)</f>
        <v>-0.67242207407123511</v>
      </c>
      <c r="S45" s="8">
        <f>bdrate(C45:C48,F45:F48,J45:J48,M45:M48)</f>
        <v>-0.65561349634457122</v>
      </c>
      <c r="T45" s="25">
        <f>bdrate(C45:C48,H45:H48,J45:J48,O45:O48)</f>
        <v>-0.56666954308136686</v>
      </c>
      <c r="U45" s="28">
        <f t="shared" si="2"/>
        <v>-0.40818913606439738</v>
      </c>
    </row>
    <row r="46" spans="1:21" x14ac:dyDescent="0.25">
      <c r="B46" s="9"/>
      <c r="C46" s="17">
        <v>998.96</v>
      </c>
      <c r="D46" s="18">
        <v>26.815000000000001</v>
      </c>
      <c r="E46" s="18">
        <v>34.354999999999997</v>
      </c>
      <c r="F46" s="18">
        <v>35.061</v>
      </c>
      <c r="G46" s="18">
        <v>352.11</v>
      </c>
      <c r="H46" s="18">
        <f t="shared" si="0"/>
        <v>28.788250000000001</v>
      </c>
      <c r="I46" s="5"/>
      <c r="J46" s="17">
        <v>818.68960000000004</v>
      </c>
      <c r="K46" s="18">
        <v>28.6708</v>
      </c>
      <c r="L46" s="18">
        <v>35.812600000000003</v>
      </c>
      <c r="M46" s="18">
        <v>36.571599999999997</v>
      </c>
      <c r="N46" s="18">
        <v>228.93770000000001</v>
      </c>
      <c r="O46" s="18">
        <f t="shared" si="1"/>
        <v>30.551124999999999</v>
      </c>
      <c r="P46" s="7"/>
      <c r="Q46" s="10"/>
      <c r="R46" s="11"/>
      <c r="S46" s="11"/>
      <c r="T46" s="26"/>
      <c r="U46" s="28">
        <f t="shared" si="2"/>
        <v>-0.34981199057112833</v>
      </c>
    </row>
    <row r="47" spans="1:21" x14ac:dyDescent="0.25">
      <c r="B47" s="9"/>
      <c r="C47" s="17">
        <v>616.37</v>
      </c>
      <c r="D47" s="18">
        <v>25.308</v>
      </c>
      <c r="E47" s="18">
        <v>33.936</v>
      </c>
      <c r="F47" s="18">
        <v>34.645000000000003</v>
      </c>
      <c r="G47" s="18">
        <v>372.86</v>
      </c>
      <c r="H47" s="18">
        <f t="shared" si="0"/>
        <v>27.553625000000004</v>
      </c>
      <c r="I47" s="5"/>
      <c r="J47" s="17">
        <v>514.62959999999998</v>
      </c>
      <c r="K47" s="18">
        <v>27.2212</v>
      </c>
      <c r="L47" s="18">
        <v>34.994</v>
      </c>
      <c r="M47" s="18">
        <v>35.689700000000002</v>
      </c>
      <c r="N47" s="18">
        <v>286.20490000000001</v>
      </c>
      <c r="O47" s="18">
        <f t="shared" si="1"/>
        <v>29.251362499999999</v>
      </c>
      <c r="P47" s="7"/>
      <c r="Q47" s="10"/>
      <c r="R47" s="11"/>
      <c r="S47" s="11"/>
      <c r="T47" s="26"/>
      <c r="U47" s="28">
        <f t="shared" si="2"/>
        <v>-0.23240653328326985</v>
      </c>
    </row>
    <row r="48" spans="1:21" ht="16.5" thickBot="1" x14ac:dyDescent="0.3">
      <c r="B48" s="12"/>
      <c r="C48" s="19">
        <v>381.9</v>
      </c>
      <c r="D48" s="20">
        <v>23.951000000000001</v>
      </c>
      <c r="E48" s="20">
        <v>33.581000000000003</v>
      </c>
      <c r="F48" s="20">
        <v>34.292000000000002</v>
      </c>
      <c r="G48" s="20">
        <v>405.52</v>
      </c>
      <c r="H48" s="20">
        <f t="shared" si="0"/>
        <v>26.447375000000005</v>
      </c>
      <c r="I48" s="5"/>
      <c r="J48" s="19">
        <v>309.48320000000001</v>
      </c>
      <c r="K48" s="20">
        <v>25.7592</v>
      </c>
      <c r="L48" s="20">
        <v>34.229100000000003</v>
      </c>
      <c r="M48" s="20">
        <v>34.843299999999999</v>
      </c>
      <c r="N48" s="20">
        <v>368.45979999999997</v>
      </c>
      <c r="O48" s="20">
        <f t="shared" si="1"/>
        <v>27.953450000000004</v>
      </c>
      <c r="P48" s="7"/>
      <c r="Q48" s="13"/>
      <c r="R48" s="14"/>
      <c r="S48" s="14"/>
      <c r="T48" s="27"/>
      <c r="U48" s="28">
        <f t="shared" si="2"/>
        <v>-9.1389327283487892E-2</v>
      </c>
    </row>
    <row r="49" spans="1:21" x14ac:dyDescent="0.25">
      <c r="B49" s="6" t="s">
        <v>56</v>
      </c>
      <c r="C49" s="15">
        <v>1485.08</v>
      </c>
      <c r="D49" s="16">
        <v>31.797999999999998</v>
      </c>
      <c r="E49" s="16">
        <v>36.058</v>
      </c>
      <c r="F49" s="16">
        <v>37.652000000000001</v>
      </c>
      <c r="G49" s="16">
        <v>243.51</v>
      </c>
      <c r="H49" s="16">
        <f t="shared" si="0"/>
        <v>33.062249999999999</v>
      </c>
      <c r="I49" s="5"/>
      <c r="J49" s="15">
        <v>1213.9552000000001</v>
      </c>
      <c r="K49" s="16">
        <v>31.970500000000001</v>
      </c>
      <c r="L49" s="16">
        <v>36.679499999999997</v>
      </c>
      <c r="M49" s="16">
        <v>38.245699999999999</v>
      </c>
      <c r="N49" s="16">
        <v>138.37639999999999</v>
      </c>
      <c r="O49" s="16">
        <f t="shared" si="1"/>
        <v>33.343525</v>
      </c>
      <c r="P49" s="7"/>
      <c r="Q49" s="8">
        <f>bdrate(C49:C52,D49:D52,J49:J52,K49:K52)</f>
        <v>-0.29211578717330899</v>
      </c>
      <c r="R49" s="8">
        <f>bdrate(C49:C52,E49:E52,J49:J52,L49:L52)</f>
        <v>-0.34456266932046953</v>
      </c>
      <c r="S49" s="8">
        <f>bdrate(C49:C52,F49:F52,J49:J52,M49:M52)</f>
        <v>-0.33981557930828965</v>
      </c>
      <c r="T49" s="25">
        <f>bdrate(C49:C52,H49:H52,J49:J52,O49:O52)</f>
        <v>-0.30169954752817951</v>
      </c>
      <c r="U49" s="28">
        <f t="shared" si="2"/>
        <v>-0.4317424335756232</v>
      </c>
    </row>
    <row r="50" spans="1:21" x14ac:dyDescent="0.25">
      <c r="B50" s="9"/>
      <c r="C50" s="17">
        <v>1017.76</v>
      </c>
      <c r="D50" s="18">
        <v>30.228000000000002</v>
      </c>
      <c r="E50" s="18">
        <v>35.399000000000001</v>
      </c>
      <c r="F50" s="18">
        <v>36.981999999999999</v>
      </c>
      <c r="G50" s="18">
        <v>256.41000000000003</v>
      </c>
      <c r="H50" s="18">
        <f t="shared" si="0"/>
        <v>31.718624999999999</v>
      </c>
      <c r="I50" s="5"/>
      <c r="J50" s="17">
        <v>807.64400000000001</v>
      </c>
      <c r="K50" s="18">
        <v>30.496300000000002</v>
      </c>
      <c r="L50" s="18">
        <v>35.790100000000002</v>
      </c>
      <c r="M50" s="18">
        <v>37.3596</v>
      </c>
      <c r="N50" s="18">
        <v>167.22409999999999</v>
      </c>
      <c r="O50" s="18">
        <f t="shared" si="1"/>
        <v>32.0159375</v>
      </c>
      <c r="P50" s="7"/>
      <c r="Q50" s="10"/>
      <c r="R50" s="11"/>
      <c r="S50" s="11"/>
      <c r="T50" s="26"/>
      <c r="U50" s="28">
        <f t="shared" si="2"/>
        <v>-0.34782535782535789</v>
      </c>
    </row>
    <row r="51" spans="1:21" x14ac:dyDescent="0.25">
      <c r="B51" s="9"/>
      <c r="C51" s="17">
        <v>643.45000000000005</v>
      </c>
      <c r="D51" s="18">
        <v>28.407</v>
      </c>
      <c r="E51" s="18">
        <v>34.667999999999999</v>
      </c>
      <c r="F51" s="18">
        <v>36.182000000000002</v>
      </c>
      <c r="G51" s="18">
        <v>282.75</v>
      </c>
      <c r="H51" s="18">
        <f t="shared" si="0"/>
        <v>30.161500000000004</v>
      </c>
      <c r="I51" s="5"/>
      <c r="J51" s="17">
        <v>504.81439999999998</v>
      </c>
      <c r="K51" s="18">
        <v>28.904299999999999</v>
      </c>
      <c r="L51" s="18">
        <v>34.956299999999999</v>
      </c>
      <c r="M51" s="18">
        <v>36.482300000000002</v>
      </c>
      <c r="N51" s="18">
        <v>209.0592</v>
      </c>
      <c r="O51" s="18">
        <f t="shared" si="1"/>
        <v>30.608049999999999</v>
      </c>
      <c r="P51" s="7"/>
      <c r="Q51" s="10"/>
      <c r="R51" s="11"/>
      <c r="S51" s="11"/>
      <c r="T51" s="26"/>
      <c r="U51" s="28">
        <f t="shared" si="2"/>
        <v>-0.26062175066312998</v>
      </c>
    </row>
    <row r="52" spans="1:21" ht="16.5" thickBot="1" x14ac:dyDescent="0.3">
      <c r="B52" s="12"/>
      <c r="C52" s="19">
        <v>401.54</v>
      </c>
      <c r="D52" s="20">
        <v>26.640999999999998</v>
      </c>
      <c r="E52" s="20">
        <v>33.94</v>
      </c>
      <c r="F52" s="20">
        <v>35.371000000000002</v>
      </c>
      <c r="G52" s="20">
        <v>305.19</v>
      </c>
      <c r="H52" s="20">
        <f t="shared" si="0"/>
        <v>28.644625000000001</v>
      </c>
      <c r="I52" s="5"/>
      <c r="J52" s="19">
        <v>302.53039999999999</v>
      </c>
      <c r="K52" s="20">
        <v>27.377500000000001</v>
      </c>
      <c r="L52" s="20">
        <v>34.039299999999997</v>
      </c>
      <c r="M52" s="20">
        <v>35.508400000000002</v>
      </c>
      <c r="N52" s="20">
        <v>270.75810000000001</v>
      </c>
      <c r="O52" s="20">
        <f t="shared" si="1"/>
        <v>29.226587500000001</v>
      </c>
      <c r="P52" s="7"/>
      <c r="Q52" s="13"/>
      <c r="R52" s="14"/>
      <c r="S52" s="14"/>
      <c r="T52" s="27"/>
      <c r="U52" s="28">
        <f t="shared" si="2"/>
        <v>-0.11282119335495916</v>
      </c>
    </row>
    <row r="53" spans="1:21" x14ac:dyDescent="0.25">
      <c r="A53" s="6" t="s">
        <v>41</v>
      </c>
      <c r="B53" s="6" t="s">
        <v>57</v>
      </c>
      <c r="C53" s="15">
        <v>836.08</v>
      </c>
      <c r="D53" s="16">
        <v>33.886000000000003</v>
      </c>
      <c r="E53" s="16">
        <v>38.359000000000002</v>
      </c>
      <c r="F53" s="16">
        <v>37.24</v>
      </c>
      <c r="G53" s="16">
        <v>1106.19</v>
      </c>
      <c r="H53" s="16">
        <f t="shared" si="0"/>
        <v>34.864375000000003</v>
      </c>
      <c r="I53" s="5"/>
      <c r="J53" s="15">
        <v>607.45680000000004</v>
      </c>
      <c r="K53" s="16">
        <v>34.095399999999998</v>
      </c>
      <c r="L53" s="16">
        <v>39.463200000000001</v>
      </c>
      <c r="M53" s="16">
        <v>37.921799999999998</v>
      </c>
      <c r="N53" s="16">
        <v>508.64699999999999</v>
      </c>
      <c r="O53" s="16">
        <f t="shared" si="1"/>
        <v>35.244675000000001</v>
      </c>
      <c r="P53" s="7"/>
      <c r="Q53" s="8">
        <f>bdrate(C53:C56,D53:D56,J53:J56,K53:K56)</f>
        <v>-0.33281455319252562</v>
      </c>
      <c r="R53" s="8">
        <f>bdrate(C53:C56,E53:E56,J53:J56,L53:L56)</f>
        <v>-0.48583603873602288</v>
      </c>
      <c r="S53" s="8">
        <f>bdrate(C53:C56,F53:F56,J53:J56,M53:M56)</f>
        <v>-0.37201934031309103</v>
      </c>
      <c r="T53" s="25">
        <f>bdrate(C53:C56,H53:H56,J53:J56,O53:O56)</f>
        <v>-0.34968904248212063</v>
      </c>
      <c r="U53" s="28">
        <f t="shared" si="2"/>
        <v>-0.54018116236812852</v>
      </c>
    </row>
    <row r="54" spans="1:21" x14ac:dyDescent="0.25">
      <c r="A54" s="9" t="s">
        <v>42</v>
      </c>
      <c r="B54" s="9"/>
      <c r="C54" s="17">
        <v>523.47</v>
      </c>
      <c r="D54" s="18">
        <v>31.718</v>
      </c>
      <c r="E54" s="18">
        <v>37.320999999999998</v>
      </c>
      <c r="F54" s="18">
        <v>35.981999999999999</v>
      </c>
      <c r="G54" s="18">
        <v>1184.83</v>
      </c>
      <c r="H54" s="18">
        <f t="shared" si="0"/>
        <v>32.951374999999999</v>
      </c>
      <c r="I54" s="5"/>
      <c r="J54" s="17">
        <v>404.95119999999997</v>
      </c>
      <c r="K54" s="18">
        <v>32.276699999999998</v>
      </c>
      <c r="L54" s="18">
        <v>38.339599999999997</v>
      </c>
      <c r="M54" s="18">
        <v>36.672600000000003</v>
      </c>
      <c r="N54" s="18">
        <v>604.59490000000005</v>
      </c>
      <c r="O54" s="18">
        <f t="shared" si="1"/>
        <v>33.584049999999998</v>
      </c>
      <c r="P54" s="7"/>
      <c r="Q54" s="10"/>
      <c r="R54" s="11"/>
      <c r="S54" s="11"/>
      <c r="T54" s="26"/>
      <c r="U54" s="28">
        <f t="shared" si="2"/>
        <v>-0.48972012862604752</v>
      </c>
    </row>
    <row r="55" spans="1:21" x14ac:dyDescent="0.25">
      <c r="B55" s="9"/>
      <c r="C55" s="17">
        <v>315.85000000000002</v>
      </c>
      <c r="D55" s="18">
        <v>29.585999999999999</v>
      </c>
      <c r="E55" s="18">
        <v>36.363</v>
      </c>
      <c r="F55" s="18">
        <v>34.837000000000003</v>
      </c>
      <c r="G55" s="18">
        <v>1282.05</v>
      </c>
      <c r="H55" s="18">
        <f t="shared" si="0"/>
        <v>31.089500000000001</v>
      </c>
      <c r="I55" s="5"/>
      <c r="J55" s="17">
        <v>254.876</v>
      </c>
      <c r="K55" s="18">
        <v>30.368500000000001</v>
      </c>
      <c r="L55" s="18">
        <v>37.269300000000001</v>
      </c>
      <c r="M55" s="18">
        <v>35.477400000000003</v>
      </c>
      <c r="N55" s="18">
        <v>763.35879999999997</v>
      </c>
      <c r="O55" s="18">
        <f t="shared" si="1"/>
        <v>31.869712499999999</v>
      </c>
      <c r="P55" s="7"/>
      <c r="Q55" s="10"/>
      <c r="R55" s="11"/>
      <c r="S55" s="11"/>
      <c r="T55" s="26"/>
      <c r="U55" s="28">
        <f t="shared" si="2"/>
        <v>-0.4045795405795406</v>
      </c>
    </row>
    <row r="56" spans="1:21" ht="16.5" thickBot="1" x14ac:dyDescent="0.3">
      <c r="B56" s="12"/>
      <c r="C56" s="19">
        <v>161.69</v>
      </c>
      <c r="D56" s="20">
        <v>26.765999999999998</v>
      </c>
      <c r="E56" s="20">
        <v>35.307000000000002</v>
      </c>
      <c r="F56" s="20">
        <v>33.606999999999999</v>
      </c>
      <c r="G56" s="20">
        <v>1457.73</v>
      </c>
      <c r="H56" s="20">
        <f t="shared" si="0"/>
        <v>28.688750000000002</v>
      </c>
      <c r="I56" s="5"/>
      <c r="J56" s="19">
        <v>122.82080000000001</v>
      </c>
      <c r="K56" s="20">
        <v>27.605399999999999</v>
      </c>
      <c r="L56" s="20">
        <v>35.7102</v>
      </c>
      <c r="M56" s="20">
        <v>33.566699999999997</v>
      </c>
      <c r="N56" s="20">
        <v>1103.7528</v>
      </c>
      <c r="O56" s="20">
        <f t="shared" si="1"/>
        <v>29.3636625</v>
      </c>
      <c r="P56" s="7"/>
      <c r="Q56" s="13"/>
      <c r="R56" s="14"/>
      <c r="S56" s="14"/>
      <c r="T56" s="27"/>
      <c r="U56" s="28">
        <f t="shared" si="2"/>
        <v>-0.24282768413903813</v>
      </c>
    </row>
    <row r="57" spans="1:21" x14ac:dyDescent="0.25">
      <c r="B57" s="6" t="s">
        <v>58</v>
      </c>
      <c r="C57" s="15">
        <v>778.86</v>
      </c>
      <c r="D57" s="16">
        <v>30.888999999999999</v>
      </c>
      <c r="E57" s="16">
        <v>38.753999999999998</v>
      </c>
      <c r="F57" s="16">
        <v>39.256</v>
      </c>
      <c r="G57" s="16">
        <v>1282.05</v>
      </c>
      <c r="H57" s="16">
        <f t="shared" si="0"/>
        <v>32.917999999999999</v>
      </c>
      <c r="I57" s="5"/>
      <c r="J57" s="15">
        <v>605.34640000000002</v>
      </c>
      <c r="K57" s="16">
        <v>33.275500000000001</v>
      </c>
      <c r="L57" s="16">
        <v>41.145800000000001</v>
      </c>
      <c r="M57" s="16">
        <v>41.970199999999998</v>
      </c>
      <c r="N57" s="16">
        <v>620.47569999999996</v>
      </c>
      <c r="O57" s="16">
        <f t="shared" si="1"/>
        <v>35.346125000000001</v>
      </c>
      <c r="P57" s="7"/>
      <c r="Q57" s="8">
        <f>bdrate(C57:C60,D57:D60,J57:J60,K57:K60)</f>
        <v>-0.62684332985500602</v>
      </c>
      <c r="R57" s="8">
        <f>bdrate(C57:C60,E57:E60,J57:J60,L57:L60)</f>
        <v>-0.7533088340118661</v>
      </c>
      <c r="S57" s="8">
        <f>bdrate(C57:C60,F57:F60,J57:J60,M57:M60)</f>
        <v>-0.77859827324345099</v>
      </c>
      <c r="T57" s="25">
        <f>bdrate(C57:C60,H57:H60,J57:J60,O57:O60)</f>
        <v>-0.64806270626570184</v>
      </c>
      <c r="U57" s="28">
        <f t="shared" si="2"/>
        <v>-0.51602847002847008</v>
      </c>
    </row>
    <row r="58" spans="1:21" x14ac:dyDescent="0.25">
      <c r="B58" s="9"/>
      <c r="C58" s="17">
        <v>481.55</v>
      </c>
      <c r="D58" s="18">
        <v>29.331</v>
      </c>
      <c r="E58" s="18">
        <v>38.325000000000003</v>
      </c>
      <c r="F58" s="18">
        <v>38.542000000000002</v>
      </c>
      <c r="G58" s="18">
        <v>1373</v>
      </c>
      <c r="H58" s="18">
        <f t="shared" si="0"/>
        <v>31.606624999999998</v>
      </c>
      <c r="I58" s="5"/>
      <c r="J58" s="17">
        <v>402.61279999999999</v>
      </c>
      <c r="K58" s="18">
        <v>32.0017</v>
      </c>
      <c r="L58" s="18">
        <v>40.324100000000001</v>
      </c>
      <c r="M58" s="18">
        <v>41.129199999999997</v>
      </c>
      <c r="N58" s="18">
        <v>753.76880000000006</v>
      </c>
      <c r="O58" s="18">
        <f t="shared" si="1"/>
        <v>34.182937499999994</v>
      </c>
      <c r="P58" s="7"/>
      <c r="Q58" s="10"/>
      <c r="R58" s="11"/>
      <c r="S58" s="11"/>
      <c r="T58" s="26"/>
      <c r="U58" s="28">
        <f t="shared" si="2"/>
        <v>-0.45100597232337941</v>
      </c>
    </row>
    <row r="59" spans="1:21" x14ac:dyDescent="0.25">
      <c r="B59" s="9"/>
      <c r="C59" s="17">
        <v>287.12</v>
      </c>
      <c r="D59" s="18">
        <v>27.666</v>
      </c>
      <c r="E59" s="18">
        <v>37.851999999999997</v>
      </c>
      <c r="F59" s="18">
        <v>38.167000000000002</v>
      </c>
      <c r="G59" s="18">
        <v>1538.46</v>
      </c>
      <c r="H59" s="18">
        <f t="shared" si="0"/>
        <v>30.251875000000002</v>
      </c>
      <c r="I59" s="5"/>
      <c r="J59" s="17">
        <v>252.16800000000001</v>
      </c>
      <c r="K59" s="18">
        <v>30.473700000000001</v>
      </c>
      <c r="L59" s="18">
        <v>39.392800000000001</v>
      </c>
      <c r="M59" s="18">
        <v>40.111199999999997</v>
      </c>
      <c r="N59" s="18">
        <v>961.5385</v>
      </c>
      <c r="O59" s="18">
        <f t="shared" si="1"/>
        <v>32.793274999999994</v>
      </c>
      <c r="P59" s="7"/>
      <c r="Q59" s="10"/>
      <c r="R59" s="11"/>
      <c r="S59" s="11"/>
      <c r="T59" s="26"/>
      <c r="U59" s="28">
        <f t="shared" si="2"/>
        <v>-0.37499934999935003</v>
      </c>
    </row>
    <row r="60" spans="1:21" ht="16.5" thickBot="1" x14ac:dyDescent="0.3">
      <c r="B60" s="12"/>
      <c r="C60" s="19">
        <v>141.72</v>
      </c>
      <c r="D60" s="20">
        <v>25.577000000000002</v>
      </c>
      <c r="E60" s="20">
        <v>37.33</v>
      </c>
      <c r="F60" s="20">
        <v>37.36</v>
      </c>
      <c r="G60" s="20">
        <v>1749.27</v>
      </c>
      <c r="H60" s="20">
        <f t="shared" si="0"/>
        <v>28.519000000000005</v>
      </c>
      <c r="I60" s="5"/>
      <c r="J60" s="19">
        <v>121.27679999999999</v>
      </c>
      <c r="K60" s="20">
        <v>27.9711</v>
      </c>
      <c r="L60" s="20">
        <v>38.247300000000003</v>
      </c>
      <c r="M60" s="20">
        <v>38.568300000000001</v>
      </c>
      <c r="N60" s="20">
        <v>1239.6694</v>
      </c>
      <c r="O60" s="20">
        <f t="shared" si="1"/>
        <v>30.580274999999997</v>
      </c>
      <c r="P60" s="7"/>
      <c r="Q60" s="13"/>
      <c r="R60" s="14"/>
      <c r="S60" s="14"/>
      <c r="T60" s="27"/>
      <c r="U60" s="28">
        <f t="shared" si="2"/>
        <v>-0.29132186569254603</v>
      </c>
    </row>
    <row r="61" spans="1:21" x14ac:dyDescent="0.25">
      <c r="B61" s="6" t="s">
        <v>59</v>
      </c>
      <c r="C61" s="29">
        <v>845.98</v>
      </c>
      <c r="D61" s="30">
        <v>32.125</v>
      </c>
      <c r="E61" s="30">
        <v>36.029000000000003</v>
      </c>
      <c r="F61" s="30">
        <v>36.432000000000002</v>
      </c>
      <c r="G61" s="16">
        <v>1187.6500000000001</v>
      </c>
      <c r="H61" s="16">
        <f t="shared" si="0"/>
        <v>33.151375000000002</v>
      </c>
      <c r="I61" s="5"/>
      <c r="J61" s="29">
        <v>644.10080000000005</v>
      </c>
      <c r="K61" s="30">
        <v>32.893000000000001</v>
      </c>
      <c r="L61" s="30">
        <v>38.021799999999999</v>
      </c>
      <c r="M61" s="30">
        <v>38.760599999999997</v>
      </c>
      <c r="N61" s="16">
        <v>552.48620000000005</v>
      </c>
      <c r="O61" s="16">
        <f t="shared" si="1"/>
        <v>34.26755</v>
      </c>
      <c r="P61" s="7"/>
      <c r="Q61" s="8">
        <f>bdrate(C61:C64,D61:D64,J61:J64,K61:K64)</f>
        <v>-0.41152278602670544</v>
      </c>
      <c r="R61" s="8">
        <f>bdrate(C61:C64,E61:E64,J61:J64,L61:L64)</f>
        <v>-0.66108402660072219</v>
      </c>
      <c r="S61" s="8">
        <f>bdrate(C61:C64,F61:F64,J61:J64,M61:M64)</f>
        <v>-0.70228806651748132</v>
      </c>
      <c r="T61" s="25">
        <f>bdrate(C61:C64,H61:H64,J61:J64,O61:O64)</f>
        <v>-0.46581191774701969</v>
      </c>
      <c r="U61" s="28">
        <f t="shared" si="2"/>
        <v>-0.53480722435060835</v>
      </c>
    </row>
    <row r="62" spans="1:21" x14ac:dyDescent="0.25">
      <c r="B62" s="9"/>
      <c r="C62" s="31">
        <v>527.01</v>
      </c>
      <c r="D62" s="32">
        <v>30.254999999999999</v>
      </c>
      <c r="E62" s="32">
        <v>35.048999999999999</v>
      </c>
      <c r="F62" s="32">
        <v>35.506</v>
      </c>
      <c r="G62" s="18">
        <v>1336.9</v>
      </c>
      <c r="H62" s="18">
        <f t="shared" si="0"/>
        <v>31.510625000000001</v>
      </c>
      <c r="I62" s="5"/>
      <c r="J62" s="31">
        <v>426.93360000000001</v>
      </c>
      <c r="K62" s="32">
        <v>31.354900000000001</v>
      </c>
      <c r="L62" s="32">
        <v>36.994100000000003</v>
      </c>
      <c r="M62" s="32">
        <v>37.695900000000002</v>
      </c>
      <c r="N62" s="18">
        <v>667.55669999999998</v>
      </c>
      <c r="O62" s="18">
        <f t="shared" si="1"/>
        <v>32.852425000000004</v>
      </c>
      <c r="P62" s="7"/>
      <c r="Q62" s="10"/>
      <c r="R62" s="11"/>
      <c r="S62" s="11"/>
      <c r="T62" s="26"/>
      <c r="U62" s="28">
        <f t="shared" si="2"/>
        <v>-0.50066818759817489</v>
      </c>
    </row>
    <row r="63" spans="1:21" x14ac:dyDescent="0.25">
      <c r="B63" s="9"/>
      <c r="C63" s="31">
        <v>314.72000000000003</v>
      </c>
      <c r="D63" s="32">
        <v>28.390999999999998</v>
      </c>
      <c r="E63" s="32">
        <v>34.220999999999997</v>
      </c>
      <c r="F63" s="32">
        <v>34.715000000000003</v>
      </c>
      <c r="G63" s="18">
        <v>1453.49</v>
      </c>
      <c r="H63" s="18">
        <f t="shared" si="0"/>
        <v>29.910250000000001</v>
      </c>
      <c r="I63" s="5"/>
      <c r="J63" s="31">
        <v>266.40640000000002</v>
      </c>
      <c r="K63" s="32">
        <v>29.711099999999998</v>
      </c>
      <c r="L63" s="32">
        <v>35.935299999999998</v>
      </c>
      <c r="M63" s="32">
        <v>36.619100000000003</v>
      </c>
      <c r="N63" s="18">
        <v>843.1703</v>
      </c>
      <c r="O63" s="18">
        <f t="shared" si="1"/>
        <v>31.352624999999996</v>
      </c>
      <c r="P63" s="7"/>
      <c r="Q63" s="10"/>
      <c r="R63" s="11"/>
      <c r="S63" s="11"/>
      <c r="T63" s="26"/>
      <c r="U63" s="28">
        <f t="shared" si="2"/>
        <v>-0.4198994833125787</v>
      </c>
    </row>
    <row r="64" spans="1:21" ht="16.5" thickBot="1" x14ac:dyDescent="0.3">
      <c r="B64" s="12"/>
      <c r="C64" s="33">
        <v>154.56</v>
      </c>
      <c r="D64" s="34">
        <v>26.161999999999999</v>
      </c>
      <c r="E64" s="34">
        <v>33.451999999999998</v>
      </c>
      <c r="F64" s="34">
        <v>33.99</v>
      </c>
      <c r="G64" s="20">
        <v>1689.19</v>
      </c>
      <c r="H64" s="20">
        <f t="shared" si="0"/>
        <v>28.051749999999998</v>
      </c>
      <c r="I64" s="5"/>
      <c r="J64" s="33">
        <v>129.35599999999999</v>
      </c>
      <c r="K64" s="34">
        <v>27.313300000000002</v>
      </c>
      <c r="L64" s="34">
        <v>34.354100000000003</v>
      </c>
      <c r="M64" s="34">
        <v>35.078000000000003</v>
      </c>
      <c r="N64" s="20">
        <v>1282.0513000000001</v>
      </c>
      <c r="O64" s="20">
        <f t="shared" si="1"/>
        <v>29.163987500000001</v>
      </c>
      <c r="P64" s="7"/>
      <c r="Q64" s="13"/>
      <c r="R64" s="14"/>
      <c r="S64" s="14"/>
      <c r="T64" s="27"/>
      <c r="U64" s="28">
        <f t="shared" si="2"/>
        <v>-0.24102599470752251</v>
      </c>
    </row>
    <row r="65" spans="1:21" x14ac:dyDescent="0.25">
      <c r="B65" s="6" t="s">
        <v>60</v>
      </c>
      <c r="C65" s="15">
        <v>793.93</v>
      </c>
      <c r="D65" s="16">
        <v>33.686</v>
      </c>
      <c r="E65" s="16">
        <v>36.637999999999998</v>
      </c>
      <c r="F65" s="16">
        <v>37.703000000000003</v>
      </c>
      <c r="G65" s="16">
        <v>874.64</v>
      </c>
      <c r="H65" s="16">
        <f t="shared" si="0"/>
        <v>34.557124999999999</v>
      </c>
      <c r="I65" s="5"/>
      <c r="J65" s="15">
        <v>607.76400000000001</v>
      </c>
      <c r="K65" s="16">
        <v>33.5899</v>
      </c>
      <c r="L65" s="16">
        <v>37.471499999999999</v>
      </c>
      <c r="M65" s="16">
        <v>38.566800000000001</v>
      </c>
      <c r="N65" s="16">
        <v>355.87189999999998</v>
      </c>
      <c r="O65" s="16">
        <f t="shared" si="1"/>
        <v>34.697212499999999</v>
      </c>
      <c r="P65" s="7"/>
      <c r="Q65" s="8">
        <f>bdrate(C65:C68,D65:D68,J65:J68,K65:K68)</f>
        <v>-0.2307353198302039</v>
      </c>
      <c r="R65" s="8">
        <f>bdrate(C65:C68,E65:E68,J65:J68,L65:L68)</f>
        <v>-0.41087541503837088</v>
      </c>
      <c r="S65" s="8">
        <f>bdrate(C65:C68,F65:F68,J65:J68,M65:M68)</f>
        <v>-0.39971515651337797</v>
      </c>
      <c r="T65" s="25">
        <f>bdrate(C65:C68,H65:H68,J65:J68,O65:O68)</f>
        <v>-0.26155970730928724</v>
      </c>
      <c r="U65" s="28">
        <f t="shared" si="2"/>
        <v>-0.59312185584926369</v>
      </c>
    </row>
    <row r="66" spans="1:21" x14ac:dyDescent="0.25">
      <c r="B66" s="9"/>
      <c r="C66" s="17">
        <v>498.75</v>
      </c>
      <c r="D66" s="18">
        <v>31.574999999999999</v>
      </c>
      <c r="E66" s="18">
        <v>35.472999999999999</v>
      </c>
      <c r="F66" s="18">
        <v>36.533999999999999</v>
      </c>
      <c r="G66" s="18">
        <v>961.54</v>
      </c>
      <c r="H66" s="18">
        <f t="shared" si="0"/>
        <v>32.682124999999999</v>
      </c>
      <c r="I66" s="5"/>
      <c r="J66" s="17">
        <v>404.29680000000002</v>
      </c>
      <c r="K66" s="18">
        <v>31.689599999999999</v>
      </c>
      <c r="L66" s="18">
        <v>36.379899999999999</v>
      </c>
      <c r="M66" s="18">
        <v>37.455399999999997</v>
      </c>
      <c r="N66" s="18">
        <v>427.35039999999998</v>
      </c>
      <c r="O66" s="18">
        <f t="shared" si="1"/>
        <v>32.996612499999998</v>
      </c>
      <c r="P66" s="7"/>
      <c r="Q66" s="10"/>
      <c r="R66" s="11"/>
      <c r="S66" s="11"/>
      <c r="T66" s="26"/>
      <c r="U66" s="28">
        <f t="shared" si="2"/>
        <v>-0.55555629510992777</v>
      </c>
    </row>
    <row r="67" spans="1:21" x14ac:dyDescent="0.25">
      <c r="B67" s="9"/>
      <c r="C67" s="17">
        <v>301.5</v>
      </c>
      <c r="D67" s="18">
        <v>29.53</v>
      </c>
      <c r="E67" s="18">
        <v>34.514000000000003</v>
      </c>
      <c r="F67" s="18">
        <v>35.545999999999999</v>
      </c>
      <c r="G67" s="18">
        <v>1127.82</v>
      </c>
      <c r="H67" s="18">
        <f t="shared" si="0"/>
        <v>30.905000000000001</v>
      </c>
      <c r="I67" s="5"/>
      <c r="J67" s="17">
        <v>253.34479999999999</v>
      </c>
      <c r="K67" s="18">
        <v>29.872199999999999</v>
      </c>
      <c r="L67" s="18">
        <v>35.190100000000001</v>
      </c>
      <c r="M67" s="18">
        <v>36.2239</v>
      </c>
      <c r="N67" s="18">
        <v>564.97180000000003</v>
      </c>
      <c r="O67" s="18">
        <f t="shared" si="1"/>
        <v>31.3309</v>
      </c>
      <c r="P67" s="7"/>
      <c r="Q67" s="10"/>
      <c r="R67" s="11"/>
      <c r="S67" s="11"/>
      <c r="T67" s="26"/>
      <c r="U67" s="28">
        <f t="shared" si="2"/>
        <v>-0.4990585377099182</v>
      </c>
    </row>
    <row r="68" spans="1:21" ht="16.5" thickBot="1" x14ac:dyDescent="0.3">
      <c r="B68" s="12"/>
      <c r="C68" s="19">
        <v>151.78</v>
      </c>
      <c r="D68" s="20">
        <v>26.992999999999999</v>
      </c>
      <c r="E68" s="20">
        <v>33.393000000000001</v>
      </c>
      <c r="F68" s="20">
        <v>34.384</v>
      </c>
      <c r="G68" s="20">
        <v>1200</v>
      </c>
      <c r="H68" s="20">
        <f t="shared" si="0"/>
        <v>28.716875000000002</v>
      </c>
      <c r="I68" s="5"/>
      <c r="J68" s="19">
        <v>122.276</v>
      </c>
      <c r="K68" s="20">
        <v>27.390699999999999</v>
      </c>
      <c r="L68" s="20">
        <v>33.728099999999998</v>
      </c>
      <c r="M68" s="20">
        <v>34.632599999999996</v>
      </c>
      <c r="N68" s="20">
        <v>835.65459999999996</v>
      </c>
      <c r="O68" s="20">
        <f t="shared" si="1"/>
        <v>29.088112499999998</v>
      </c>
      <c r="P68" s="7"/>
      <c r="Q68" s="13"/>
      <c r="R68" s="14"/>
      <c r="S68" s="14"/>
      <c r="T68" s="27"/>
      <c r="U68" s="28">
        <f t="shared" si="2"/>
        <v>-0.30362116666666672</v>
      </c>
    </row>
    <row r="69" spans="1:21" x14ac:dyDescent="0.25">
      <c r="A69" s="6" t="s">
        <v>43</v>
      </c>
      <c r="B69" s="6" t="s">
        <v>61</v>
      </c>
      <c r="C69" s="15">
        <v>1966.57</v>
      </c>
      <c r="D69" s="16">
        <v>40.256999999999998</v>
      </c>
      <c r="E69" s="16">
        <v>44.073999999999998</v>
      </c>
      <c r="F69" s="16">
        <v>45.186</v>
      </c>
      <c r="G69" s="16">
        <v>183.15</v>
      </c>
      <c r="H69" s="16">
        <f t="shared" si="0"/>
        <v>41.350249999999996</v>
      </c>
      <c r="I69" s="5"/>
      <c r="J69" s="15">
        <v>1497.2016000000001</v>
      </c>
      <c r="K69" s="16">
        <v>41.1479</v>
      </c>
      <c r="L69" s="16">
        <v>45.6875</v>
      </c>
      <c r="M69" s="16">
        <v>46.848300000000002</v>
      </c>
      <c r="N69" s="16">
        <v>170.9402</v>
      </c>
      <c r="O69" s="16">
        <f t="shared" si="1"/>
        <v>42.427900000000001</v>
      </c>
      <c r="P69" s="7"/>
      <c r="Q69" s="8">
        <f>bdrate(C69:C72,D69:D72,J69:J72,K69:K72)</f>
        <v>-0.48734266752170152</v>
      </c>
      <c r="R69" s="8">
        <f>bdrate(C69:C72,E69:E72,J69:J72,L69:L72)</f>
        <v>-0.61280238680888499</v>
      </c>
      <c r="S69" s="8">
        <f>bdrate(C69:C72,F69:F72,J69:J72,M69:M72)</f>
        <v>-0.59798303811280751</v>
      </c>
      <c r="T69" s="25">
        <f>bdrate(C69:C72,H69:H72,J69:J72,O69:O72)</f>
        <v>-0.51055825027891566</v>
      </c>
      <c r="U69" s="28">
        <f t="shared" si="2"/>
        <v>-6.666557466557467E-2</v>
      </c>
    </row>
    <row r="70" spans="1:21" x14ac:dyDescent="0.25">
      <c r="A70" s="9" t="s">
        <v>44</v>
      </c>
      <c r="B70" s="9"/>
      <c r="C70" s="17">
        <v>1289.44</v>
      </c>
      <c r="D70" s="18">
        <v>38.726999999999997</v>
      </c>
      <c r="E70" s="18">
        <v>42.945</v>
      </c>
      <c r="F70" s="18">
        <v>44.14</v>
      </c>
      <c r="G70" s="18">
        <v>193.3</v>
      </c>
      <c r="H70" s="18">
        <f t="shared" si="0"/>
        <v>39.930874999999993</v>
      </c>
      <c r="I70" s="5"/>
      <c r="J70" s="17">
        <v>992.70960000000002</v>
      </c>
      <c r="K70" s="18">
        <v>40.046100000000003</v>
      </c>
      <c r="L70" s="18">
        <v>44.819200000000002</v>
      </c>
      <c r="M70" s="18">
        <v>45.955199999999998</v>
      </c>
      <c r="N70" s="18">
        <v>192.30770000000001</v>
      </c>
      <c r="O70" s="18">
        <f t="shared" si="1"/>
        <v>41.381375000000006</v>
      </c>
      <c r="P70" s="7"/>
      <c r="Q70" s="10"/>
      <c r="R70" s="11"/>
      <c r="S70" s="11"/>
      <c r="T70" s="26"/>
      <c r="U70" s="28">
        <f t="shared" si="2"/>
        <v>-5.1334712881531304E-3</v>
      </c>
    </row>
    <row r="71" spans="1:21" x14ac:dyDescent="0.25">
      <c r="B71" s="9"/>
      <c r="C71" s="17">
        <v>768.76</v>
      </c>
      <c r="D71" s="18">
        <v>36.409999999999997</v>
      </c>
      <c r="E71" s="18">
        <v>41.768999999999998</v>
      </c>
      <c r="F71" s="18">
        <v>42.798000000000002</v>
      </c>
      <c r="G71" s="18">
        <v>204.57</v>
      </c>
      <c r="H71" s="18">
        <f t="shared" si="0"/>
        <v>37.878374999999998</v>
      </c>
      <c r="I71" s="5"/>
      <c r="J71" s="17">
        <v>574.35360000000003</v>
      </c>
      <c r="K71" s="18">
        <v>38.080100000000002</v>
      </c>
      <c r="L71" s="18">
        <v>43.377099999999999</v>
      </c>
      <c r="M71" s="18">
        <v>44.4358</v>
      </c>
      <c r="N71" s="18">
        <v>223.63030000000001</v>
      </c>
      <c r="O71" s="18">
        <f t="shared" si="1"/>
        <v>39.536687499999999</v>
      </c>
      <c r="P71" s="7"/>
      <c r="Q71" s="10"/>
      <c r="R71" s="11"/>
      <c r="S71" s="11"/>
      <c r="T71" s="26"/>
      <c r="U71" s="28">
        <f t="shared" si="2"/>
        <v>9.31725081879064E-2</v>
      </c>
    </row>
    <row r="72" spans="1:21" ht="16.5" thickBot="1" x14ac:dyDescent="0.3">
      <c r="B72" s="12"/>
      <c r="C72" s="19">
        <v>352.38</v>
      </c>
      <c r="D72" s="20">
        <v>32.46</v>
      </c>
      <c r="E72" s="20">
        <v>39.758000000000003</v>
      </c>
      <c r="F72" s="20">
        <v>40.549999999999997</v>
      </c>
      <c r="G72" s="20">
        <v>212.54</v>
      </c>
      <c r="H72" s="20">
        <f t="shared" si="0"/>
        <v>34.383499999999998</v>
      </c>
      <c r="I72" s="5"/>
      <c r="J72" s="19">
        <v>279.38159999999999</v>
      </c>
      <c r="K72" s="20">
        <v>34.951999999999998</v>
      </c>
      <c r="L72" s="20">
        <v>41.464100000000002</v>
      </c>
      <c r="M72" s="20">
        <v>42.446100000000001</v>
      </c>
      <c r="N72" s="20">
        <v>276.62520000000001</v>
      </c>
      <c r="O72" s="20">
        <f t="shared" si="1"/>
        <v>36.702775000000003</v>
      </c>
      <c r="P72" s="7"/>
      <c r="Q72" s="13"/>
      <c r="R72" s="14"/>
      <c r="S72" s="14"/>
      <c r="T72" s="27"/>
      <c r="U72" s="28">
        <f t="shared" si="2"/>
        <v>0.30152065493554164</v>
      </c>
    </row>
    <row r="73" spans="1:21" x14ac:dyDescent="0.25">
      <c r="B73" s="6" t="s">
        <v>62</v>
      </c>
      <c r="C73" s="15">
        <v>2030.16</v>
      </c>
      <c r="D73" s="16">
        <v>41.901000000000003</v>
      </c>
      <c r="E73" s="16">
        <v>46.41</v>
      </c>
      <c r="F73" s="16">
        <v>46.835000000000001</v>
      </c>
      <c r="G73" s="16">
        <v>176.42</v>
      </c>
      <c r="H73" s="16">
        <f t="shared" si="0"/>
        <v>43.081375000000001</v>
      </c>
      <c r="I73" s="5"/>
      <c r="J73" s="15">
        <v>1490.6304</v>
      </c>
      <c r="K73" s="16">
        <v>42.461799999999997</v>
      </c>
      <c r="L73" s="16">
        <v>47.7027</v>
      </c>
      <c r="M73" s="16">
        <v>48.408900000000003</v>
      </c>
      <c r="N73" s="16">
        <v>190.3553</v>
      </c>
      <c r="O73" s="16">
        <f t="shared" si="1"/>
        <v>43.860300000000002</v>
      </c>
      <c r="P73" s="7"/>
      <c r="Q73" s="8">
        <f>bdrate(C73:C76,D73:D76,J73:J76,K73:K76)</f>
        <v>-0.53248584506435248</v>
      </c>
      <c r="R73" s="8">
        <f>bdrate(C73:C76,E73:E76,J73:J76,L73:L76)</f>
        <v>-0.70278501806649007</v>
      </c>
      <c r="S73" s="8">
        <f>bdrate(C73:C76,F73:F76,J73:J76,M73:M76)</f>
        <v>-0.72914096905161263</v>
      </c>
      <c r="T73" s="25">
        <f>bdrate(C73:C76,H73:H76,J73:J76,O73:O76)</f>
        <v>-0.58369068727766993</v>
      </c>
      <c r="U73" s="28">
        <f t="shared" ref="U73:U124" si="3">(N73-G73)/G73</f>
        <v>7.8989343611835461E-2</v>
      </c>
    </row>
    <row r="74" spans="1:21" x14ac:dyDescent="0.25">
      <c r="B74" s="9"/>
      <c r="C74" s="17">
        <v>1335.55</v>
      </c>
      <c r="D74" s="18">
        <v>41.145000000000003</v>
      </c>
      <c r="E74" s="18">
        <v>45.548999999999999</v>
      </c>
      <c r="F74" s="18">
        <v>46.027000000000001</v>
      </c>
      <c r="G74" s="18">
        <v>185.82</v>
      </c>
      <c r="H74" s="18">
        <f t="shared" si="0"/>
        <v>42.305749999999996</v>
      </c>
      <c r="I74" s="5"/>
      <c r="J74" s="17">
        <v>982.048</v>
      </c>
      <c r="K74" s="18">
        <v>41.911499999999997</v>
      </c>
      <c r="L74" s="18">
        <v>47.215000000000003</v>
      </c>
      <c r="M74" s="18">
        <v>47.922699999999999</v>
      </c>
      <c r="N74" s="18">
        <v>217.3126</v>
      </c>
      <c r="O74" s="18">
        <f t="shared" si="1"/>
        <v>43.325837499999999</v>
      </c>
      <c r="P74" s="7"/>
      <c r="Q74" s="10"/>
      <c r="R74" s="11"/>
      <c r="S74" s="11"/>
      <c r="T74" s="26"/>
      <c r="U74" s="28">
        <f t="shared" si="3"/>
        <v>0.16947906576256599</v>
      </c>
    </row>
    <row r="75" spans="1:21" x14ac:dyDescent="0.25">
      <c r="B75" s="9"/>
      <c r="C75" s="17">
        <v>790.36</v>
      </c>
      <c r="D75" s="18">
        <v>39.89</v>
      </c>
      <c r="E75" s="18">
        <v>44.481999999999999</v>
      </c>
      <c r="F75" s="18">
        <v>44.932000000000002</v>
      </c>
      <c r="G75" s="18">
        <v>197.24</v>
      </c>
      <c r="H75" s="18">
        <f t="shared" si="0"/>
        <v>41.094250000000002</v>
      </c>
      <c r="I75" s="5"/>
      <c r="J75" s="17">
        <v>583.5856</v>
      </c>
      <c r="K75" s="18">
        <v>40.972799999999999</v>
      </c>
      <c r="L75" s="18">
        <v>46.360999999999997</v>
      </c>
      <c r="M75" s="18">
        <v>47.037100000000002</v>
      </c>
      <c r="N75" s="18">
        <v>248.13900000000001</v>
      </c>
      <c r="O75" s="18">
        <f t="shared" si="1"/>
        <v>42.404362499999998</v>
      </c>
      <c r="P75" s="7"/>
      <c r="Q75" s="10"/>
      <c r="R75" s="11"/>
      <c r="S75" s="11"/>
      <c r="T75" s="26"/>
      <c r="U75" s="28">
        <f t="shared" si="3"/>
        <v>0.2580561752180085</v>
      </c>
    </row>
    <row r="76" spans="1:21" ht="16.5" thickBot="1" x14ac:dyDescent="0.3">
      <c r="B76" s="12"/>
      <c r="C76" s="19">
        <v>349</v>
      </c>
      <c r="D76" s="20">
        <v>37.057000000000002</v>
      </c>
      <c r="E76" s="20">
        <v>42.356999999999999</v>
      </c>
      <c r="F76" s="20">
        <v>43.21</v>
      </c>
      <c r="G76" s="20">
        <v>206.75</v>
      </c>
      <c r="H76" s="20">
        <f t="shared" si="0"/>
        <v>38.488624999999999</v>
      </c>
      <c r="I76" s="5"/>
      <c r="J76" s="19">
        <v>283.17759999999998</v>
      </c>
      <c r="K76" s="20">
        <v>39.186700000000002</v>
      </c>
      <c r="L76" s="20">
        <v>44.7455</v>
      </c>
      <c r="M76" s="20">
        <v>45.388800000000003</v>
      </c>
      <c r="N76" s="20">
        <v>291.26209999999998</v>
      </c>
      <c r="O76" s="20">
        <f t="shared" si="1"/>
        <v>40.656812500000001</v>
      </c>
      <c r="P76" s="7"/>
      <c r="Q76" s="13"/>
      <c r="R76" s="14"/>
      <c r="S76" s="14"/>
      <c r="T76" s="27"/>
      <c r="U76" s="28">
        <f t="shared" si="3"/>
        <v>0.40876469165658996</v>
      </c>
    </row>
    <row r="77" spans="1:21" x14ac:dyDescent="0.25">
      <c r="B77" s="6" t="s">
        <v>63</v>
      </c>
      <c r="C77" s="15">
        <v>2119.08</v>
      </c>
      <c r="D77" s="16">
        <v>41.582000000000001</v>
      </c>
      <c r="E77" s="16">
        <v>45.225000000000001</v>
      </c>
      <c r="F77" s="16">
        <v>46.009</v>
      </c>
      <c r="G77" s="16">
        <v>170.94</v>
      </c>
      <c r="H77" s="16">
        <f t="shared" si="0"/>
        <v>42.590750000000007</v>
      </c>
      <c r="I77" s="5"/>
      <c r="J77" s="15">
        <v>1543.652</v>
      </c>
      <c r="K77" s="16">
        <v>42.3125</v>
      </c>
      <c r="L77" s="16">
        <v>46.7699</v>
      </c>
      <c r="M77" s="16">
        <v>47.611899999999999</v>
      </c>
      <c r="N77" s="16">
        <v>163.6661</v>
      </c>
      <c r="O77" s="16">
        <f t="shared" si="1"/>
        <v>43.5321</v>
      </c>
      <c r="P77" s="7"/>
      <c r="Q77" s="8">
        <f>bdrate(C77:C80,D77:D80,J77:J80,K77:K80)</f>
        <v>-0.52121311587048469</v>
      </c>
      <c r="R77" s="8">
        <f>bdrate(C77:C80,E77:E80,J77:J80,L77:L80)</f>
        <v>-0.66561403413592646</v>
      </c>
      <c r="S77" s="8">
        <f>bdrate(C77:C80,F77:F80,J77:J80,M77:M80)</f>
        <v>-0.65842598198018654</v>
      </c>
      <c r="T77" s="25">
        <f>bdrate(C77:C80,H77:H80,J77:J80,O77:O80)</f>
        <v>-0.55517198643849675</v>
      </c>
      <c r="U77" s="28">
        <f t="shared" si="3"/>
        <v>-4.2552357552357541E-2</v>
      </c>
    </row>
    <row r="78" spans="1:21" x14ac:dyDescent="0.25">
      <c r="B78" s="9"/>
      <c r="C78" s="17">
        <v>1398.96</v>
      </c>
      <c r="D78" s="18">
        <v>40.439</v>
      </c>
      <c r="E78" s="18">
        <v>44.198999999999998</v>
      </c>
      <c r="F78" s="18">
        <v>45.048999999999999</v>
      </c>
      <c r="G78" s="18">
        <v>182.26</v>
      </c>
      <c r="H78" s="18">
        <f t="shared" si="0"/>
        <v>41.485250000000001</v>
      </c>
      <c r="I78" s="5"/>
      <c r="J78" s="17">
        <v>1017.9968</v>
      </c>
      <c r="K78" s="18">
        <v>41.445099999999996</v>
      </c>
      <c r="L78" s="18">
        <v>46.0137</v>
      </c>
      <c r="M78" s="18">
        <v>46.835299999999997</v>
      </c>
      <c r="N78" s="18">
        <v>188.5607</v>
      </c>
      <c r="O78" s="18">
        <f t="shared" si="1"/>
        <v>42.689950000000003</v>
      </c>
      <c r="P78" s="7"/>
      <c r="Q78" s="10"/>
      <c r="R78" s="11"/>
      <c r="S78" s="11"/>
      <c r="T78" s="26"/>
      <c r="U78" s="28">
        <f t="shared" si="3"/>
        <v>3.4569845275979408E-2</v>
      </c>
    </row>
    <row r="79" spans="1:21" x14ac:dyDescent="0.25">
      <c r="B79" s="9"/>
      <c r="C79" s="17">
        <v>835.78</v>
      </c>
      <c r="D79" s="18">
        <v>38.548999999999999</v>
      </c>
      <c r="E79" s="18">
        <v>42.7</v>
      </c>
      <c r="F79" s="18">
        <v>43.613999999999997</v>
      </c>
      <c r="G79" s="18">
        <v>192.31</v>
      </c>
      <c r="H79" s="18">
        <f t="shared" si="0"/>
        <v>39.700999999999993</v>
      </c>
      <c r="I79" s="5"/>
      <c r="J79" s="17">
        <v>607.8048</v>
      </c>
      <c r="K79" s="18">
        <v>40.066099999999999</v>
      </c>
      <c r="L79" s="18">
        <v>44.863799999999998</v>
      </c>
      <c r="M79" s="18">
        <v>45.670900000000003</v>
      </c>
      <c r="N79" s="18">
        <v>219.78020000000001</v>
      </c>
      <c r="O79" s="18">
        <f t="shared" si="1"/>
        <v>41.366412500000003</v>
      </c>
      <c r="P79" s="7"/>
      <c r="Q79" s="10"/>
      <c r="R79" s="11"/>
      <c r="S79" s="11"/>
      <c r="T79" s="26"/>
      <c r="U79" s="28">
        <f t="shared" si="3"/>
        <v>0.14284332588008947</v>
      </c>
    </row>
    <row r="80" spans="1:21" ht="16.5" thickBot="1" x14ac:dyDescent="0.3">
      <c r="B80" s="12"/>
      <c r="C80" s="19">
        <v>381.41</v>
      </c>
      <c r="D80" s="20">
        <v>35.103999999999999</v>
      </c>
      <c r="E80" s="20">
        <v>40.652000000000001</v>
      </c>
      <c r="F80" s="20">
        <v>41.494999999999997</v>
      </c>
      <c r="G80" s="20">
        <v>206.75</v>
      </c>
      <c r="H80" s="20">
        <f t="shared" si="0"/>
        <v>36.596375000000002</v>
      </c>
      <c r="I80" s="5"/>
      <c r="J80" s="19">
        <v>297.49119999999999</v>
      </c>
      <c r="K80" s="20">
        <v>37.478900000000003</v>
      </c>
      <c r="L80" s="20">
        <v>42.852499999999999</v>
      </c>
      <c r="M80" s="20">
        <v>43.639299999999999</v>
      </c>
      <c r="N80" s="20">
        <v>267.02269999999999</v>
      </c>
      <c r="O80" s="20">
        <f t="shared" si="1"/>
        <v>38.920650000000002</v>
      </c>
      <c r="P80" s="7"/>
      <c r="Q80" s="13"/>
      <c r="R80" s="14"/>
      <c r="S80" s="14"/>
      <c r="T80" s="27"/>
      <c r="U80" s="28">
        <f t="shared" si="3"/>
        <v>0.29152454655380888</v>
      </c>
    </row>
    <row r="81" spans="1:21" x14ac:dyDescent="0.25">
      <c r="A81" s="6" t="s">
        <v>94</v>
      </c>
      <c r="B81" s="6" t="s">
        <v>95</v>
      </c>
      <c r="C81" s="15">
        <v>1668.34</v>
      </c>
      <c r="D81" s="16">
        <v>41.878</v>
      </c>
      <c r="E81" s="16">
        <v>46.823</v>
      </c>
      <c r="F81" s="16">
        <v>48.651000000000003</v>
      </c>
      <c r="G81" s="16">
        <v>129.79</v>
      </c>
      <c r="H81" s="16">
        <f t="shared" ref="H81:H124" si="4">(6*D81+E81+F81)/8</f>
        <v>43.342750000000002</v>
      </c>
      <c r="I81" s="5"/>
      <c r="J81" s="15">
        <v>1285.7333000000001</v>
      </c>
      <c r="K81" s="16">
        <v>42.965899999999998</v>
      </c>
      <c r="L81" s="16">
        <v>48.388500000000001</v>
      </c>
      <c r="M81" s="16">
        <v>49.6584</v>
      </c>
      <c r="N81" s="16">
        <v>103.02200000000001</v>
      </c>
      <c r="O81" s="16">
        <f t="shared" ref="O81:O124" si="5">(6*K81+L81+M81)/8</f>
        <v>44.480287500000003</v>
      </c>
      <c r="P81" s="7"/>
      <c r="Q81" s="8">
        <f>bdrate(C81:C84,D81:D84,J81:J84,K81:K84)</f>
        <v>-0.47510929961475834</v>
      </c>
      <c r="R81" s="8">
        <f>bdrate(C81:C84,E81:E84,J81:J84,L81:L84)</f>
        <v>-0.57853519911309259</v>
      </c>
      <c r="S81" s="8">
        <f>bdrate(C81:C84,F81:F84,J81:J84,M81:M84)</f>
        <v>-0.44327975840810985</v>
      </c>
      <c r="T81" s="25">
        <f>bdrate(C81:C84,H81:H84,J81:J84,O81:O84)</f>
        <v>-0.48273395423932242</v>
      </c>
      <c r="U81" s="28">
        <f t="shared" si="3"/>
        <v>-0.20624085060482308</v>
      </c>
    </row>
    <row r="82" spans="1:21" x14ac:dyDescent="0.25">
      <c r="A82" s="9" t="s">
        <v>77</v>
      </c>
      <c r="B82" s="9"/>
      <c r="C82" s="17">
        <v>1118.1600000000001</v>
      </c>
      <c r="D82" s="18">
        <v>39.433999999999997</v>
      </c>
      <c r="E82" s="18">
        <v>45.505000000000003</v>
      </c>
      <c r="F82" s="18">
        <v>47.289000000000001</v>
      </c>
      <c r="G82" s="18">
        <v>137.85</v>
      </c>
      <c r="H82" s="18">
        <f t="shared" si="4"/>
        <v>41.174749999999996</v>
      </c>
      <c r="I82" s="5"/>
      <c r="J82" s="17">
        <v>878.8184</v>
      </c>
      <c r="K82" s="18">
        <v>41.3354</v>
      </c>
      <c r="L82" s="18">
        <v>47.233600000000003</v>
      </c>
      <c r="M82" s="18">
        <v>48.520800000000001</v>
      </c>
      <c r="N82" s="18">
        <v>119.8163</v>
      </c>
      <c r="O82" s="18">
        <f t="shared" si="5"/>
        <v>42.970850000000006</v>
      </c>
      <c r="P82" s="7"/>
      <c r="Q82" s="10"/>
      <c r="R82" s="11"/>
      <c r="S82" s="11"/>
      <c r="T82" s="26"/>
      <c r="U82" s="28">
        <f t="shared" si="3"/>
        <v>-0.13082118244468624</v>
      </c>
    </row>
    <row r="83" spans="1:21" x14ac:dyDescent="0.25">
      <c r="B83" s="9"/>
      <c r="C83" s="17">
        <v>683.94</v>
      </c>
      <c r="D83" s="18">
        <v>36.789000000000001</v>
      </c>
      <c r="E83" s="18">
        <v>43.838000000000001</v>
      </c>
      <c r="F83" s="18">
        <v>45.783000000000001</v>
      </c>
      <c r="G83" s="18">
        <v>146.99</v>
      </c>
      <c r="H83" s="18">
        <f t="shared" si="4"/>
        <v>38.794375000000002</v>
      </c>
      <c r="I83" s="5"/>
      <c r="J83" s="17">
        <v>542.01160000000004</v>
      </c>
      <c r="K83" s="18">
        <v>38.988599999999998</v>
      </c>
      <c r="L83" s="18">
        <v>46.0456</v>
      </c>
      <c r="M83" s="18">
        <v>46.8369</v>
      </c>
      <c r="N83" s="18">
        <v>148.11160000000001</v>
      </c>
      <c r="O83" s="18">
        <f t="shared" si="5"/>
        <v>40.8517625</v>
      </c>
      <c r="P83" s="7"/>
      <c r="Q83" s="10"/>
      <c r="R83" s="11"/>
      <c r="S83" s="11"/>
      <c r="T83" s="26"/>
      <c r="U83" s="28">
        <f t="shared" si="3"/>
        <v>7.6304510510919162E-3</v>
      </c>
    </row>
    <row r="84" spans="1:21" ht="16.5" thickBot="1" x14ac:dyDescent="0.3">
      <c r="B84" s="12"/>
      <c r="C84" s="19">
        <v>325.45999999999998</v>
      </c>
      <c r="D84" s="20">
        <v>32.531999999999996</v>
      </c>
      <c r="E84" s="20">
        <v>42.02</v>
      </c>
      <c r="F84" s="20">
        <v>43.529000000000003</v>
      </c>
      <c r="G84" s="20">
        <v>163.21</v>
      </c>
      <c r="H84" s="20">
        <f t="shared" si="4"/>
        <v>35.092624999999998</v>
      </c>
      <c r="I84" s="5"/>
      <c r="J84" s="19">
        <v>279.7919</v>
      </c>
      <c r="K84" s="20">
        <v>36.0428</v>
      </c>
      <c r="L84" s="20">
        <v>43.412500000000001</v>
      </c>
      <c r="M84" s="20">
        <v>44.834899999999998</v>
      </c>
      <c r="N84" s="20">
        <v>194.91069999999999</v>
      </c>
      <c r="O84" s="20">
        <f t="shared" si="5"/>
        <v>38.063025000000003</v>
      </c>
      <c r="P84" s="7"/>
      <c r="Q84" s="13"/>
      <c r="R84" s="14"/>
      <c r="S84" s="14"/>
      <c r="T84" s="27"/>
      <c r="U84" s="28">
        <f t="shared" si="3"/>
        <v>0.19423258378775798</v>
      </c>
    </row>
    <row r="85" spans="1:21" x14ac:dyDescent="0.25">
      <c r="B85" s="6" t="s">
        <v>96</v>
      </c>
      <c r="C85" s="15">
        <v>2023</v>
      </c>
      <c r="D85" s="16">
        <v>51.963000000000001</v>
      </c>
      <c r="E85" s="16">
        <v>52.295000000000002</v>
      </c>
      <c r="F85" s="16">
        <v>52.734999999999999</v>
      </c>
      <c r="G85" s="16">
        <v>202.43</v>
      </c>
      <c r="H85" s="16">
        <f t="shared" si="4"/>
        <v>52.101000000000006</v>
      </c>
      <c r="I85" s="5"/>
      <c r="J85" s="15">
        <v>1426.7552000000001</v>
      </c>
      <c r="K85" s="16">
        <v>51.106000000000002</v>
      </c>
      <c r="L85" s="16">
        <v>51.646799999999999</v>
      </c>
      <c r="M85" s="16">
        <v>52.105899999999998</v>
      </c>
      <c r="N85" s="16">
        <v>174.0307</v>
      </c>
      <c r="O85" s="16">
        <f t="shared" si="5"/>
        <v>51.298587500000004</v>
      </c>
      <c r="P85" s="7"/>
      <c r="Q85" s="8">
        <f>bdrate(C85:C88,D85:D88,J85:J88,K85:K88)</f>
        <v>-0.29794026433980303</v>
      </c>
      <c r="R85" s="8">
        <f>bdrate(C85:C88,E85:E88,J85:J88,L85:L88)</f>
        <v>-0.34438957703090245</v>
      </c>
      <c r="S85" s="8">
        <f>bdrate(C85:C88,F85:F88,J85:J88,M85:M88)</f>
        <v>-0.34045042955887372</v>
      </c>
      <c r="T85" s="25">
        <f>bdrate(C85:C88,H85:H88,J85:J88,O85:O88)</f>
        <v>-0.30845993206889011</v>
      </c>
      <c r="U85" s="28">
        <f t="shared" si="3"/>
        <v>-0.14029195277379841</v>
      </c>
    </row>
    <row r="86" spans="1:21" x14ac:dyDescent="0.25">
      <c r="B86" s="9"/>
      <c r="C86" s="17">
        <v>1352.53</v>
      </c>
      <c r="D86" s="18">
        <v>49.139000000000003</v>
      </c>
      <c r="E86" s="18">
        <v>49.777999999999999</v>
      </c>
      <c r="F86" s="18">
        <v>50.287999999999997</v>
      </c>
      <c r="G86" s="18">
        <v>214.08</v>
      </c>
      <c r="H86" s="18">
        <f t="shared" si="4"/>
        <v>49.362500000000004</v>
      </c>
      <c r="I86" s="5"/>
      <c r="J86" s="17">
        <v>966.60590000000002</v>
      </c>
      <c r="K86" s="18">
        <v>49.014000000000003</v>
      </c>
      <c r="L86" s="18">
        <v>49.827599999999997</v>
      </c>
      <c r="M86" s="18">
        <v>50.333599999999997</v>
      </c>
      <c r="N86" s="18">
        <v>218.12889999999999</v>
      </c>
      <c r="O86" s="18">
        <f t="shared" si="5"/>
        <v>49.280650000000001</v>
      </c>
      <c r="P86" s="7"/>
      <c r="Q86" s="10"/>
      <c r="R86" s="11"/>
      <c r="S86" s="11"/>
      <c r="T86" s="26"/>
      <c r="U86" s="28">
        <f t="shared" si="3"/>
        <v>1.8913023168908701E-2</v>
      </c>
    </row>
    <row r="87" spans="1:21" x14ac:dyDescent="0.25">
      <c r="B87" s="9"/>
      <c r="C87" s="17">
        <v>822.26</v>
      </c>
      <c r="D87" s="18">
        <v>45.906999999999996</v>
      </c>
      <c r="E87" s="18">
        <v>46.664000000000001</v>
      </c>
      <c r="F87" s="18">
        <v>47.255000000000003</v>
      </c>
      <c r="G87" s="18">
        <v>220.18</v>
      </c>
      <c r="H87" s="18">
        <f t="shared" si="4"/>
        <v>46.170124999999999</v>
      </c>
      <c r="I87" s="5"/>
      <c r="J87" s="17">
        <v>588.99990000000003</v>
      </c>
      <c r="K87" s="18">
        <v>46.1599</v>
      </c>
      <c r="L87" s="18">
        <v>47.439399999999999</v>
      </c>
      <c r="M87" s="18">
        <v>47.96</v>
      </c>
      <c r="N87" s="18">
        <v>252.45439999999999</v>
      </c>
      <c r="O87" s="18">
        <f t="shared" si="5"/>
        <v>46.544849999999997</v>
      </c>
      <c r="P87" s="7"/>
      <c r="Q87" s="10"/>
      <c r="R87" s="11"/>
      <c r="S87" s="11"/>
      <c r="T87" s="26"/>
      <c r="U87" s="28">
        <f t="shared" si="3"/>
        <v>0.14658188754655274</v>
      </c>
    </row>
    <row r="88" spans="1:21" ht="16.5" thickBot="1" x14ac:dyDescent="0.3">
      <c r="B88" s="12"/>
      <c r="C88" s="19">
        <v>388.76</v>
      </c>
      <c r="D88" s="20">
        <v>41.176000000000002</v>
      </c>
      <c r="E88" s="20">
        <v>42.569000000000003</v>
      </c>
      <c r="F88" s="20">
        <v>43.122999999999998</v>
      </c>
      <c r="G88" s="20">
        <v>238.89</v>
      </c>
      <c r="H88" s="20">
        <f t="shared" si="4"/>
        <v>41.593499999999999</v>
      </c>
      <c r="I88" s="5"/>
      <c r="J88" s="19">
        <v>298.38200000000001</v>
      </c>
      <c r="K88" s="20">
        <v>42.095100000000002</v>
      </c>
      <c r="L88" s="20">
        <v>43.802</v>
      </c>
      <c r="M88" s="20">
        <v>44.325000000000003</v>
      </c>
      <c r="N88" s="20">
        <v>290.60379999999998</v>
      </c>
      <c r="O88" s="20">
        <f t="shared" si="5"/>
        <v>42.587200000000003</v>
      </c>
      <c r="P88" s="7"/>
      <c r="Q88" s="13"/>
      <c r="R88" s="14"/>
      <c r="S88" s="14"/>
      <c r="T88" s="27"/>
      <c r="U88" s="28">
        <f t="shared" si="3"/>
        <v>0.21647536523085936</v>
      </c>
    </row>
    <row r="89" spans="1:21" x14ac:dyDescent="0.25">
      <c r="B89" s="6" t="s">
        <v>97</v>
      </c>
      <c r="C89" s="15">
        <v>2188.48</v>
      </c>
      <c r="D89" s="16">
        <v>42.005000000000003</v>
      </c>
      <c r="E89" s="16">
        <v>43.941000000000003</v>
      </c>
      <c r="F89" s="16">
        <v>44.475999999999999</v>
      </c>
      <c r="G89" s="16">
        <v>145.13999999999999</v>
      </c>
      <c r="H89" s="16">
        <f t="shared" si="4"/>
        <v>42.555875</v>
      </c>
      <c r="I89" s="5"/>
      <c r="J89" s="15">
        <v>1478.2372</v>
      </c>
      <c r="K89" s="16">
        <v>42.093000000000004</v>
      </c>
      <c r="L89" s="16">
        <v>44.513399999999997</v>
      </c>
      <c r="M89" s="16">
        <v>44.914999999999999</v>
      </c>
      <c r="N89" s="16">
        <v>127.07380000000001</v>
      </c>
      <c r="O89" s="16">
        <f t="shared" si="5"/>
        <v>42.748300000000008</v>
      </c>
      <c r="P89" s="7"/>
      <c r="Q89" s="8">
        <f>bdrate(C89:C92,D89:D92,J89:J92,K89:K92)</f>
        <v>-0.42532324977298397</v>
      </c>
      <c r="R89" s="8">
        <f>bdrate(C89:C92,E89:E92,J89:J92,L89:L92)</f>
        <v>-0.47701710911042572</v>
      </c>
      <c r="S89" s="8">
        <f>bdrate(C89:C92,F89:F92,J89:J92,M89:M92)</f>
        <v>-0.44470647361817472</v>
      </c>
      <c r="T89" s="25">
        <f>bdrate(C89:C92,H89:H92,J89:J92,O89:O92)</f>
        <v>-0.43220887658880913</v>
      </c>
      <c r="U89" s="28">
        <f t="shared" si="3"/>
        <v>-0.12447430067521002</v>
      </c>
    </row>
    <row r="90" spans="1:21" x14ac:dyDescent="0.25">
      <c r="B90" s="9"/>
      <c r="C90" s="17">
        <v>1459.95</v>
      </c>
      <c r="D90" s="18">
        <v>39.604999999999997</v>
      </c>
      <c r="E90" s="18">
        <v>42.273000000000003</v>
      </c>
      <c r="F90" s="18">
        <v>42.835000000000001</v>
      </c>
      <c r="G90" s="18">
        <v>153.04</v>
      </c>
      <c r="H90" s="18">
        <f t="shared" si="4"/>
        <v>40.34225</v>
      </c>
      <c r="I90" s="5"/>
      <c r="J90" s="17">
        <v>983.27970000000005</v>
      </c>
      <c r="K90" s="18">
        <v>40.1021</v>
      </c>
      <c r="L90" s="18">
        <v>43.085099999999997</v>
      </c>
      <c r="M90" s="18">
        <v>43.496600000000001</v>
      </c>
      <c r="N90" s="18">
        <v>149.08070000000001</v>
      </c>
      <c r="O90" s="18">
        <f t="shared" si="5"/>
        <v>40.8992875</v>
      </c>
      <c r="P90" s="7"/>
      <c r="Q90" s="10"/>
      <c r="R90" s="11"/>
      <c r="S90" s="11"/>
      <c r="T90" s="26"/>
      <c r="U90" s="28">
        <f t="shared" si="3"/>
        <v>-2.5871014113957036E-2</v>
      </c>
    </row>
    <row r="91" spans="1:21" x14ac:dyDescent="0.25">
      <c r="B91" s="9"/>
      <c r="C91" s="17">
        <v>890.31</v>
      </c>
      <c r="D91" s="18">
        <v>36.494</v>
      </c>
      <c r="E91" s="18">
        <v>40.311999999999998</v>
      </c>
      <c r="F91" s="18">
        <v>41.024999999999999</v>
      </c>
      <c r="G91" s="18">
        <v>167.22</v>
      </c>
      <c r="H91" s="18">
        <f t="shared" si="4"/>
        <v>37.537624999999998</v>
      </c>
      <c r="I91" s="5"/>
      <c r="J91" s="17">
        <v>589.28599999999994</v>
      </c>
      <c r="K91" s="18">
        <v>37.483199999999997</v>
      </c>
      <c r="L91" s="18">
        <v>41.260800000000003</v>
      </c>
      <c r="M91" s="18">
        <v>41.676600000000001</v>
      </c>
      <c r="N91" s="18">
        <v>178.0592</v>
      </c>
      <c r="O91" s="18">
        <f t="shared" si="5"/>
        <v>38.479574999999997</v>
      </c>
      <c r="P91" s="7"/>
      <c r="Q91" s="10"/>
      <c r="R91" s="11"/>
      <c r="S91" s="11"/>
      <c r="T91" s="26"/>
      <c r="U91" s="28">
        <f t="shared" si="3"/>
        <v>6.481999760794166E-2</v>
      </c>
    </row>
    <row r="92" spans="1:21" ht="16.5" thickBot="1" x14ac:dyDescent="0.3">
      <c r="B92" s="12"/>
      <c r="C92" s="19">
        <v>425.28</v>
      </c>
      <c r="D92" s="20">
        <v>31.861999999999998</v>
      </c>
      <c r="E92" s="20">
        <v>37.972999999999999</v>
      </c>
      <c r="F92" s="20">
        <v>38.737000000000002</v>
      </c>
      <c r="G92" s="20">
        <v>181.14</v>
      </c>
      <c r="H92" s="20">
        <f t="shared" si="4"/>
        <v>33.485250000000001</v>
      </c>
      <c r="I92" s="5"/>
      <c r="J92" s="19">
        <v>295.38069999999999</v>
      </c>
      <c r="K92" s="20">
        <v>34.029600000000002</v>
      </c>
      <c r="L92" s="20">
        <v>38.995899999999999</v>
      </c>
      <c r="M92" s="20">
        <v>39.485599999999998</v>
      </c>
      <c r="N92" s="20">
        <v>219.78020000000001</v>
      </c>
      <c r="O92" s="20">
        <f t="shared" si="5"/>
        <v>35.332387500000003</v>
      </c>
      <c r="P92" s="7"/>
      <c r="Q92" s="13"/>
      <c r="R92" s="14"/>
      <c r="S92" s="14"/>
      <c r="T92" s="27"/>
      <c r="U92" s="28">
        <f t="shared" si="3"/>
        <v>0.21331677155791115</v>
      </c>
    </row>
    <row r="93" spans="1:21" x14ac:dyDescent="0.25">
      <c r="B93" s="6" t="s">
        <v>98</v>
      </c>
      <c r="C93" s="29">
        <v>2091.34</v>
      </c>
      <c r="D93" s="30">
        <v>38.244999999999997</v>
      </c>
      <c r="E93" s="30">
        <v>42.761000000000003</v>
      </c>
      <c r="F93" s="30">
        <v>42.680999999999997</v>
      </c>
      <c r="G93" s="16">
        <v>125.46</v>
      </c>
      <c r="H93" s="16">
        <f t="shared" si="4"/>
        <v>39.363999999999997</v>
      </c>
      <c r="I93" s="5"/>
      <c r="J93" s="29">
        <v>1508.1143</v>
      </c>
      <c r="K93" s="30">
        <v>38.5608</v>
      </c>
      <c r="L93" s="30">
        <v>43.139499999999998</v>
      </c>
      <c r="M93" s="30">
        <v>43.120199999999997</v>
      </c>
      <c r="N93" s="16">
        <v>107.6362</v>
      </c>
      <c r="O93" s="16">
        <f t="shared" si="5"/>
        <v>39.703062500000001</v>
      </c>
      <c r="P93" s="7"/>
      <c r="Q93" s="8">
        <f>bdrate(C93:C96,D93:D96,J93:J96,K93:K96)</f>
        <v>-0.41455001753070941</v>
      </c>
      <c r="R93" s="8">
        <f>bdrate(C93:C96,E93:E96,J93:J96,L93:L96)</f>
        <v>-0.39137395437202671</v>
      </c>
      <c r="S93" s="8">
        <f>bdrate(C93:C96,F93:F96,J93:J96,M93:M96)</f>
        <v>-0.42367846686926847</v>
      </c>
      <c r="T93" s="25">
        <f>bdrate(C93:C96,H93:H96,J93:J96,O93:O96)</f>
        <v>-0.41448206417381539</v>
      </c>
      <c r="U93" s="28">
        <f t="shared" si="3"/>
        <v>-0.14206759126414786</v>
      </c>
    </row>
    <row r="94" spans="1:21" x14ac:dyDescent="0.25">
      <c r="B94" s="9"/>
      <c r="C94" s="31">
        <v>1396.37</v>
      </c>
      <c r="D94" s="32">
        <v>36.058999999999997</v>
      </c>
      <c r="E94" s="32">
        <v>41.411000000000001</v>
      </c>
      <c r="F94" s="32">
        <v>41.262</v>
      </c>
      <c r="G94" s="18">
        <v>138.03</v>
      </c>
      <c r="H94" s="18">
        <f t="shared" si="4"/>
        <v>37.378374999999998</v>
      </c>
      <c r="I94" s="5"/>
      <c r="J94" s="31">
        <v>1004.4443</v>
      </c>
      <c r="K94" s="32">
        <v>36.725900000000003</v>
      </c>
      <c r="L94" s="32">
        <v>41.955100000000002</v>
      </c>
      <c r="M94" s="32">
        <v>41.9146</v>
      </c>
      <c r="N94" s="18">
        <v>125.1477</v>
      </c>
      <c r="O94" s="18">
        <f t="shared" si="5"/>
        <v>38.028137500000007</v>
      </c>
      <c r="P94" s="7"/>
      <c r="Q94" s="10"/>
      <c r="R94" s="11"/>
      <c r="S94" s="11"/>
      <c r="T94" s="26"/>
      <c r="U94" s="28">
        <f t="shared" si="3"/>
        <v>-9.332971093240601E-2</v>
      </c>
    </row>
    <row r="95" spans="1:21" x14ac:dyDescent="0.25">
      <c r="B95" s="9"/>
      <c r="C95" s="31">
        <v>851.27</v>
      </c>
      <c r="D95" s="32">
        <v>33.353000000000002</v>
      </c>
      <c r="E95" s="32">
        <v>40.03</v>
      </c>
      <c r="F95" s="32">
        <v>39.780999999999999</v>
      </c>
      <c r="G95" s="18">
        <v>149.44999999999999</v>
      </c>
      <c r="H95" s="18">
        <f t="shared" si="4"/>
        <v>34.991124999999997</v>
      </c>
      <c r="I95" s="5"/>
      <c r="J95" s="31">
        <v>601.63570000000004</v>
      </c>
      <c r="K95" s="32">
        <v>34.442300000000003</v>
      </c>
      <c r="L95" s="32">
        <v>40.430999999999997</v>
      </c>
      <c r="M95" s="32">
        <v>40.424700000000001</v>
      </c>
      <c r="N95" s="18">
        <v>151.63</v>
      </c>
      <c r="O95" s="18">
        <f t="shared" si="5"/>
        <v>35.9386875</v>
      </c>
      <c r="P95" s="7"/>
      <c r="Q95" s="10"/>
      <c r="R95" s="11"/>
      <c r="S95" s="11"/>
      <c r="T95" s="26"/>
      <c r="U95" s="28">
        <f t="shared" si="3"/>
        <v>1.458681833389098E-2</v>
      </c>
    </row>
    <row r="96" spans="1:21" ht="16.5" thickBot="1" x14ac:dyDescent="0.3">
      <c r="B96" s="12"/>
      <c r="C96" s="33">
        <v>405.74</v>
      </c>
      <c r="D96" s="34">
        <v>28.934999999999999</v>
      </c>
      <c r="E96" s="34">
        <v>38.103999999999999</v>
      </c>
      <c r="F96" s="34">
        <v>37.868000000000002</v>
      </c>
      <c r="G96" s="20">
        <v>161.16</v>
      </c>
      <c r="H96" s="20">
        <f t="shared" si="4"/>
        <v>31.197749999999999</v>
      </c>
      <c r="I96" s="5"/>
      <c r="J96" s="33">
        <v>302.55849999999998</v>
      </c>
      <c r="K96" s="34">
        <v>31.496500000000001</v>
      </c>
      <c r="L96" s="34">
        <v>38.6342</v>
      </c>
      <c r="M96" s="34">
        <v>38.514099999999999</v>
      </c>
      <c r="N96" s="20">
        <v>195.88640000000001</v>
      </c>
      <c r="O96" s="20">
        <f t="shared" si="5"/>
        <v>33.265912499999999</v>
      </c>
      <c r="P96" s="7"/>
      <c r="Q96" s="13"/>
      <c r="R96" s="14"/>
      <c r="S96" s="14"/>
      <c r="T96" s="27"/>
      <c r="U96" s="28">
        <f t="shared" si="3"/>
        <v>0.21547778605112938</v>
      </c>
    </row>
    <row r="97" spans="2:21" x14ac:dyDescent="0.25">
      <c r="B97" s="6" t="s">
        <v>99</v>
      </c>
      <c r="C97" s="15">
        <v>2133.17</v>
      </c>
      <c r="D97" s="16">
        <v>36.222999999999999</v>
      </c>
      <c r="E97" s="16">
        <v>39.723999999999997</v>
      </c>
      <c r="F97" s="16">
        <v>40.276000000000003</v>
      </c>
      <c r="G97" s="16">
        <v>147.36000000000001</v>
      </c>
      <c r="H97" s="16">
        <f t="shared" si="4"/>
        <v>37.167250000000003</v>
      </c>
      <c r="I97" s="5"/>
      <c r="J97" s="15">
        <v>1491.3096</v>
      </c>
      <c r="K97" s="16">
        <v>36.406399999999998</v>
      </c>
      <c r="L97" s="16">
        <v>41.079900000000002</v>
      </c>
      <c r="M97" s="16">
        <v>41.643099999999997</v>
      </c>
      <c r="N97" s="16">
        <v>109.5757</v>
      </c>
      <c r="O97" s="16">
        <f t="shared" si="5"/>
        <v>37.645175000000002</v>
      </c>
      <c r="P97" s="7"/>
      <c r="Q97" s="8">
        <f>bdrate(C97:C100,D97:D100,J97:J100,K97:K100)</f>
        <v>-0.39526874189963712</v>
      </c>
      <c r="R97" s="8">
        <f>bdrate(C97:C100,E97:E100,J97:J100,L97:L100)</f>
        <v>-0.53241653078968676</v>
      </c>
      <c r="S97" s="8">
        <f>bdrate(C97:C100,F97:F100,J97:J100,M97:M100)</f>
        <v>-0.5353579292053593</v>
      </c>
      <c r="T97" s="25">
        <f>bdrate(C97:C100,H97:H100,J97:J100,O97:O100)</f>
        <v>-0.42165967468479948</v>
      </c>
      <c r="U97" s="28">
        <f t="shared" si="3"/>
        <v>-0.25640811617806741</v>
      </c>
    </row>
    <row r="98" spans="2:21" x14ac:dyDescent="0.25">
      <c r="B98" s="9"/>
      <c r="C98" s="17">
        <v>1422.55</v>
      </c>
      <c r="D98" s="18">
        <v>33.973999999999997</v>
      </c>
      <c r="E98" s="18">
        <v>38.31</v>
      </c>
      <c r="F98" s="18">
        <v>38.94</v>
      </c>
      <c r="G98" s="18">
        <v>156.56</v>
      </c>
      <c r="H98" s="18">
        <f t="shared" si="4"/>
        <v>35.136749999999999</v>
      </c>
      <c r="I98" s="5"/>
      <c r="J98" s="17">
        <v>992.35839999999996</v>
      </c>
      <c r="K98" s="18">
        <v>34.438099999999999</v>
      </c>
      <c r="L98" s="18">
        <v>39.679099999999998</v>
      </c>
      <c r="M98" s="18">
        <v>40.286499999999997</v>
      </c>
      <c r="N98" s="18">
        <v>127.49679999999999</v>
      </c>
      <c r="O98" s="18">
        <f t="shared" si="5"/>
        <v>35.824275</v>
      </c>
      <c r="P98" s="7"/>
      <c r="Q98" s="10"/>
      <c r="R98" s="11"/>
      <c r="S98" s="11"/>
      <c r="T98" s="26"/>
      <c r="U98" s="28">
        <f t="shared" si="3"/>
        <v>-0.18563617782319883</v>
      </c>
    </row>
    <row r="99" spans="2:21" x14ac:dyDescent="0.25">
      <c r="B99" s="9"/>
      <c r="C99" s="17">
        <v>864.38</v>
      </c>
      <c r="D99" s="18">
        <v>31.382999999999999</v>
      </c>
      <c r="E99" s="18">
        <v>36.941000000000003</v>
      </c>
      <c r="F99" s="18">
        <v>37.628999999999998</v>
      </c>
      <c r="G99" s="18">
        <v>165.78</v>
      </c>
      <c r="H99" s="18">
        <f t="shared" si="4"/>
        <v>32.858499999999999</v>
      </c>
      <c r="I99" s="5"/>
      <c r="J99" s="17">
        <v>596.18889999999999</v>
      </c>
      <c r="K99" s="18">
        <v>32.132800000000003</v>
      </c>
      <c r="L99" s="18">
        <v>38.054499999999997</v>
      </c>
      <c r="M99" s="18">
        <v>38.705300000000001</v>
      </c>
      <c r="N99" s="18">
        <v>153.43960000000001</v>
      </c>
      <c r="O99" s="18">
        <f t="shared" si="5"/>
        <v>33.694575</v>
      </c>
      <c r="P99" s="7"/>
      <c r="Q99" s="10"/>
      <c r="R99" s="11"/>
      <c r="S99" s="11"/>
      <c r="T99" s="26"/>
      <c r="U99" s="28">
        <f t="shared" si="3"/>
        <v>-7.4438412353721728E-2</v>
      </c>
    </row>
    <row r="100" spans="2:21" ht="16.5" thickBot="1" x14ac:dyDescent="0.3">
      <c r="B100" s="12"/>
      <c r="C100" s="19">
        <v>406.68</v>
      </c>
      <c r="D100" s="20">
        <v>27.334</v>
      </c>
      <c r="E100" s="20">
        <v>35.231000000000002</v>
      </c>
      <c r="F100" s="20">
        <v>35.969000000000001</v>
      </c>
      <c r="G100" s="20">
        <v>180.58</v>
      </c>
      <c r="H100" s="20">
        <f t="shared" si="4"/>
        <v>29.400499999999997</v>
      </c>
      <c r="I100" s="5"/>
      <c r="J100" s="19">
        <v>299.27870000000001</v>
      </c>
      <c r="K100" s="20">
        <v>29.0626</v>
      </c>
      <c r="L100" s="20">
        <v>36.046999999999997</v>
      </c>
      <c r="M100" s="20">
        <v>36.786799999999999</v>
      </c>
      <c r="N100" s="20">
        <v>197.93270000000001</v>
      </c>
      <c r="O100" s="20">
        <f t="shared" si="5"/>
        <v>30.901174999999999</v>
      </c>
      <c r="P100" s="7"/>
      <c r="Q100" s="13"/>
      <c r="R100" s="14"/>
      <c r="S100" s="14"/>
      <c r="T100" s="27"/>
      <c r="U100" s="28">
        <f t="shared" si="3"/>
        <v>9.6094251855133442E-2</v>
      </c>
    </row>
    <row r="101" spans="2:21" x14ac:dyDescent="0.25">
      <c r="B101" s="6" t="s">
        <v>100</v>
      </c>
      <c r="C101" s="15">
        <v>2136.71</v>
      </c>
      <c r="D101" s="16">
        <v>36.92</v>
      </c>
      <c r="E101" s="16">
        <v>42.08</v>
      </c>
      <c r="F101" s="16">
        <v>43.726999999999997</v>
      </c>
      <c r="G101" s="16">
        <v>121.84</v>
      </c>
      <c r="H101" s="16">
        <f t="shared" si="4"/>
        <v>38.415875</v>
      </c>
      <c r="I101" s="5"/>
      <c r="J101" s="15">
        <v>1511.3155999999999</v>
      </c>
      <c r="K101" s="16">
        <v>36.775599999999997</v>
      </c>
      <c r="L101" s="16">
        <v>42.8</v>
      </c>
      <c r="M101" s="16">
        <v>44.199399999999997</v>
      </c>
      <c r="N101" s="16">
        <v>105.27549999999999</v>
      </c>
      <c r="O101" s="16">
        <f t="shared" si="5"/>
        <v>38.456625000000003</v>
      </c>
      <c r="P101" s="7"/>
      <c r="Q101" s="8">
        <f>bdrate(C101:C104,D101:D104,J101:J104,K101:K104)</f>
        <v>-0.39592554139274816</v>
      </c>
      <c r="R101" s="8">
        <f>bdrate(C101:C104,E101:E104,J101:J104,L101:L104)</f>
        <v>-0.55815734358313185</v>
      </c>
      <c r="S101" s="8">
        <f>bdrate(C101:C104,F101:F104,J101:J104,M101:M104)</f>
        <v>-0.45897662591622235</v>
      </c>
      <c r="T101" s="25">
        <f>bdrate(C101:C104,H101:H104,J101:J104,O101:O104)</f>
        <v>-0.4165702835706574</v>
      </c>
      <c r="U101" s="28">
        <f t="shared" si="3"/>
        <v>-0.13595288903479982</v>
      </c>
    </row>
    <row r="102" spans="2:21" x14ac:dyDescent="0.25">
      <c r="B102" s="9"/>
      <c r="C102" s="17">
        <v>1424.89</v>
      </c>
      <c r="D102" s="18">
        <v>35.143999999999998</v>
      </c>
      <c r="E102" s="18">
        <v>40.9</v>
      </c>
      <c r="F102" s="18">
        <v>42.537999999999997</v>
      </c>
      <c r="G102" s="18">
        <v>131.41999999999999</v>
      </c>
      <c r="H102" s="18">
        <f t="shared" si="4"/>
        <v>36.787749999999996</v>
      </c>
      <c r="I102" s="5"/>
      <c r="J102" s="17">
        <v>1005.9118999999999</v>
      </c>
      <c r="K102" s="18">
        <v>35.424799999999998</v>
      </c>
      <c r="L102" s="18">
        <v>41.923900000000003</v>
      </c>
      <c r="M102" s="18">
        <v>43.1967</v>
      </c>
      <c r="N102" s="18">
        <v>121.71210000000001</v>
      </c>
      <c r="O102" s="18">
        <f t="shared" si="5"/>
        <v>37.208674999999999</v>
      </c>
      <c r="P102" s="7"/>
      <c r="Q102" s="10"/>
      <c r="R102" s="11"/>
      <c r="S102" s="11"/>
      <c r="T102" s="26"/>
      <c r="U102" s="28">
        <f t="shared" si="3"/>
        <v>-7.386927408309224E-2</v>
      </c>
    </row>
    <row r="103" spans="2:21" x14ac:dyDescent="0.25">
      <c r="B103" s="9"/>
      <c r="C103" s="17">
        <v>866.24</v>
      </c>
      <c r="D103" s="18">
        <v>33.109000000000002</v>
      </c>
      <c r="E103" s="18">
        <v>39.688000000000002</v>
      </c>
      <c r="F103" s="18">
        <v>41.231000000000002</v>
      </c>
      <c r="G103" s="18">
        <v>143.52000000000001</v>
      </c>
      <c r="H103" s="18">
        <f t="shared" si="4"/>
        <v>34.946624999999997</v>
      </c>
      <c r="I103" s="5"/>
      <c r="J103" s="17">
        <v>603.5779</v>
      </c>
      <c r="K103" s="18">
        <v>33.816699999999997</v>
      </c>
      <c r="L103" s="18">
        <v>40.7789</v>
      </c>
      <c r="M103" s="18">
        <v>41.908200000000001</v>
      </c>
      <c r="N103" s="18">
        <v>146.2345</v>
      </c>
      <c r="O103" s="18">
        <f t="shared" si="5"/>
        <v>35.698412499999996</v>
      </c>
      <c r="P103" s="7"/>
      <c r="Q103" s="10"/>
      <c r="R103" s="11"/>
      <c r="S103" s="11"/>
      <c r="T103" s="26"/>
      <c r="U103" s="28">
        <f t="shared" si="3"/>
        <v>1.8913740245261892E-2</v>
      </c>
    </row>
    <row r="104" spans="2:21" ht="16.5" thickBot="1" x14ac:dyDescent="0.3">
      <c r="B104" s="12"/>
      <c r="C104" s="19">
        <v>409.7</v>
      </c>
      <c r="D104" s="20">
        <v>30.475999999999999</v>
      </c>
      <c r="E104" s="20">
        <v>38.268999999999998</v>
      </c>
      <c r="F104" s="20">
        <v>39.478999999999999</v>
      </c>
      <c r="G104" s="20">
        <v>162.28</v>
      </c>
      <c r="H104" s="20">
        <f t="shared" si="4"/>
        <v>32.575499999999998</v>
      </c>
      <c r="I104" s="5"/>
      <c r="J104" s="19">
        <v>301.2928</v>
      </c>
      <c r="K104" s="20">
        <v>31.775600000000001</v>
      </c>
      <c r="L104" s="20">
        <v>39.428199999999997</v>
      </c>
      <c r="M104" s="20">
        <v>40.234299999999998</v>
      </c>
      <c r="N104" s="20">
        <v>189.77330000000001</v>
      </c>
      <c r="O104" s="20">
        <f t="shared" si="5"/>
        <v>33.789512500000001</v>
      </c>
      <c r="P104" s="7"/>
      <c r="Q104" s="13"/>
      <c r="R104" s="14"/>
      <c r="S104" s="14"/>
      <c r="T104" s="27"/>
      <c r="U104" s="28">
        <f t="shared" si="3"/>
        <v>0.16941890559526745</v>
      </c>
    </row>
    <row r="105" spans="2:21" x14ac:dyDescent="0.25">
      <c r="B105" s="6" t="s">
        <v>101</v>
      </c>
      <c r="C105" s="15">
        <v>2206.29</v>
      </c>
      <c r="D105" s="16">
        <v>47.158000000000001</v>
      </c>
      <c r="E105" s="16">
        <v>51.439</v>
      </c>
      <c r="F105" s="16">
        <v>52.643999999999998</v>
      </c>
      <c r="G105" s="16">
        <v>134.88</v>
      </c>
      <c r="H105" s="16">
        <f t="shared" si="4"/>
        <v>48.378875000000001</v>
      </c>
      <c r="I105" s="5"/>
      <c r="J105" s="15">
        <v>1500.8197</v>
      </c>
      <c r="K105" s="16">
        <v>46.777000000000001</v>
      </c>
      <c r="L105" s="16">
        <v>51.483699999999999</v>
      </c>
      <c r="M105" s="16">
        <v>53.000300000000003</v>
      </c>
      <c r="N105" s="16">
        <v>127.426</v>
      </c>
      <c r="O105" s="16">
        <f t="shared" si="5"/>
        <v>48.143250000000002</v>
      </c>
      <c r="P105" s="7"/>
      <c r="Q105" s="8">
        <f>bdrate(C105:C108,D105:D108,J105:J108,K105:K108)</f>
        <v>-0.39388988694155036</v>
      </c>
      <c r="R105" s="8">
        <f>bdrate(C105:C108,E105:E108,J105:J108,L105:L108)</f>
        <v>-0.51287352852968426</v>
      </c>
      <c r="S105" s="8">
        <f>bdrate(C105:C108,F105:F108,J105:J108,M105:M108)</f>
        <v>-0.52958127811990363</v>
      </c>
      <c r="T105" s="25">
        <f>bdrate(C105:C108,H105:H108,J105:J108,O105:O108)</f>
        <v>-0.42530517103434196</v>
      </c>
      <c r="U105" s="28">
        <f t="shared" si="3"/>
        <v>-5.526393831553969E-2</v>
      </c>
    </row>
    <row r="106" spans="2:21" x14ac:dyDescent="0.25">
      <c r="B106" s="9"/>
      <c r="C106" s="17">
        <v>1467.9</v>
      </c>
      <c r="D106" s="18">
        <v>44.710999999999999</v>
      </c>
      <c r="E106" s="18">
        <v>49.036999999999999</v>
      </c>
      <c r="F106" s="18">
        <v>50.389000000000003</v>
      </c>
      <c r="G106" s="18">
        <v>146.91</v>
      </c>
      <c r="H106" s="18">
        <f t="shared" si="4"/>
        <v>45.961499999999994</v>
      </c>
      <c r="I106" s="5"/>
      <c r="J106" s="17">
        <v>1001.8855</v>
      </c>
      <c r="K106" s="18">
        <v>45.042700000000004</v>
      </c>
      <c r="L106" s="18">
        <v>50.261899999999997</v>
      </c>
      <c r="M106" s="18">
        <v>51.763199999999998</v>
      </c>
      <c r="N106" s="18">
        <v>149.76689999999999</v>
      </c>
      <c r="O106" s="18">
        <f t="shared" si="5"/>
        <v>46.535162499999998</v>
      </c>
      <c r="P106" s="7"/>
      <c r="Q106" s="10"/>
      <c r="R106" s="11"/>
      <c r="S106" s="11"/>
      <c r="T106" s="26"/>
      <c r="U106" s="28">
        <f t="shared" si="3"/>
        <v>1.9446599959158643E-2</v>
      </c>
    </row>
    <row r="107" spans="2:21" x14ac:dyDescent="0.25">
      <c r="B107" s="9"/>
      <c r="C107" s="17">
        <v>887.62</v>
      </c>
      <c r="D107" s="18">
        <v>41.917999999999999</v>
      </c>
      <c r="E107" s="18">
        <v>46.587000000000003</v>
      </c>
      <c r="F107" s="18">
        <v>47.991</v>
      </c>
      <c r="G107" s="18">
        <v>163.58000000000001</v>
      </c>
      <c r="H107" s="18">
        <f t="shared" si="4"/>
        <v>43.260749999999994</v>
      </c>
      <c r="I107" s="5"/>
      <c r="J107" s="17">
        <v>603.56899999999996</v>
      </c>
      <c r="K107" s="18">
        <v>42.811199999999999</v>
      </c>
      <c r="L107" s="18">
        <v>48.3947</v>
      </c>
      <c r="M107" s="18">
        <v>49.890599999999999</v>
      </c>
      <c r="N107" s="18">
        <v>181.04060000000001</v>
      </c>
      <c r="O107" s="18">
        <f t="shared" si="5"/>
        <v>44.394062500000004</v>
      </c>
      <c r="P107" s="7"/>
      <c r="Q107" s="10"/>
      <c r="R107" s="11"/>
      <c r="S107" s="11"/>
      <c r="T107" s="26"/>
      <c r="U107" s="28">
        <f t="shared" si="3"/>
        <v>0.10674043281574763</v>
      </c>
    </row>
    <row r="108" spans="2:21" ht="16.5" thickBot="1" x14ac:dyDescent="0.3">
      <c r="B108" s="12"/>
      <c r="C108" s="19">
        <v>424.69</v>
      </c>
      <c r="D108" s="20">
        <v>39.091000000000001</v>
      </c>
      <c r="E108" s="20">
        <v>43.991</v>
      </c>
      <c r="F108" s="20">
        <v>45.472999999999999</v>
      </c>
      <c r="G108" s="20">
        <v>180.77</v>
      </c>
      <c r="H108" s="20">
        <f t="shared" si="4"/>
        <v>40.501249999999999</v>
      </c>
      <c r="I108" s="5"/>
      <c r="J108" s="19">
        <v>300.81139999999999</v>
      </c>
      <c r="K108" s="20">
        <v>39.618499999999997</v>
      </c>
      <c r="L108" s="20">
        <v>45.633000000000003</v>
      </c>
      <c r="M108" s="20">
        <v>46.873399999999997</v>
      </c>
      <c r="N108" s="20">
        <v>230.19829999999999</v>
      </c>
      <c r="O108" s="20">
        <f t="shared" si="5"/>
        <v>41.277175</v>
      </c>
      <c r="P108" s="7"/>
      <c r="Q108" s="13"/>
      <c r="R108" s="14"/>
      <c r="S108" s="14"/>
      <c r="T108" s="27"/>
      <c r="U108" s="28">
        <f t="shared" si="3"/>
        <v>0.27343198539580671</v>
      </c>
    </row>
    <row r="109" spans="2:21" x14ac:dyDescent="0.25">
      <c r="B109" s="6" t="s">
        <v>102</v>
      </c>
      <c r="C109" s="15">
        <v>2071.79</v>
      </c>
      <c r="D109" s="16">
        <v>30.757000000000001</v>
      </c>
      <c r="E109" s="16">
        <v>39.433</v>
      </c>
      <c r="F109" s="16">
        <v>38.85</v>
      </c>
      <c r="G109" s="16">
        <v>115.61</v>
      </c>
      <c r="H109" s="16">
        <f t="shared" si="4"/>
        <v>32.853124999999999</v>
      </c>
      <c r="I109" s="5"/>
      <c r="J109" s="15">
        <v>1496.6699000000001</v>
      </c>
      <c r="K109" s="16">
        <v>31.395</v>
      </c>
      <c r="L109" s="16">
        <v>39.9499</v>
      </c>
      <c r="M109" s="16">
        <v>39.327599999999997</v>
      </c>
      <c r="N109" s="16">
        <v>82.591499999999996</v>
      </c>
      <c r="O109" s="16">
        <f t="shared" si="5"/>
        <v>33.455937500000005</v>
      </c>
      <c r="P109" s="7"/>
      <c r="Q109" s="8">
        <f>bdrate(C109:C112,D109:D112,J109:J112,K109:K112)</f>
        <v>-0.45704015309548551</v>
      </c>
      <c r="R109" s="8">
        <f>bdrate(C109:C112,E109:E112,J109:J112,L109:L112)</f>
        <v>-0.35410964386799904</v>
      </c>
      <c r="S109" s="8">
        <f>bdrate(C109:C112,F109:F112,J109:J112,M109:M112)</f>
        <v>-0.34059015246072044</v>
      </c>
      <c r="T109" s="25">
        <f>bdrate(C109:C112,H109:H112,J109:J112,O109:O112)</f>
        <v>-0.44365826818941512</v>
      </c>
      <c r="U109" s="28">
        <f t="shared" si="3"/>
        <v>-0.28560245653490185</v>
      </c>
    </row>
    <row r="110" spans="2:21" x14ac:dyDescent="0.25">
      <c r="B110" s="9"/>
      <c r="C110" s="17">
        <v>1381.53</v>
      </c>
      <c r="D110" s="18">
        <v>28.715</v>
      </c>
      <c r="E110" s="18">
        <v>38.508000000000003</v>
      </c>
      <c r="F110" s="18">
        <v>37.939</v>
      </c>
      <c r="G110" s="18">
        <v>120.82</v>
      </c>
      <c r="H110" s="18">
        <f t="shared" si="4"/>
        <v>31.092124999999999</v>
      </c>
      <c r="I110" s="5"/>
      <c r="J110" s="17">
        <v>996.2396</v>
      </c>
      <c r="K110" s="18">
        <v>29.677800000000001</v>
      </c>
      <c r="L110" s="18">
        <v>38.986199999999997</v>
      </c>
      <c r="M110" s="18">
        <v>38.3123</v>
      </c>
      <c r="N110" s="18">
        <v>99.557500000000005</v>
      </c>
      <c r="O110" s="18">
        <f t="shared" si="5"/>
        <v>31.920662499999999</v>
      </c>
      <c r="P110" s="7"/>
      <c r="Q110" s="10"/>
      <c r="R110" s="11"/>
      <c r="S110" s="11"/>
      <c r="T110" s="26"/>
      <c r="U110" s="28">
        <f t="shared" si="3"/>
        <v>-0.17598493626882958</v>
      </c>
    </row>
    <row r="111" spans="2:21" x14ac:dyDescent="0.25">
      <c r="B111" s="9"/>
      <c r="C111" s="17">
        <v>839.73</v>
      </c>
      <c r="D111" s="18">
        <v>26.181000000000001</v>
      </c>
      <c r="E111" s="18">
        <v>37.475999999999999</v>
      </c>
      <c r="F111" s="18">
        <v>36.884999999999998</v>
      </c>
      <c r="G111" s="18">
        <v>132.47</v>
      </c>
      <c r="H111" s="18">
        <f t="shared" si="4"/>
        <v>28.930875</v>
      </c>
      <c r="I111" s="5"/>
      <c r="J111" s="17">
        <v>598.98270000000002</v>
      </c>
      <c r="K111" s="18">
        <v>27.579899999999999</v>
      </c>
      <c r="L111" s="18">
        <v>37.607900000000001</v>
      </c>
      <c r="M111" s="18">
        <v>36.9328</v>
      </c>
      <c r="N111" s="18">
        <v>127.0827</v>
      </c>
      <c r="O111" s="18">
        <f t="shared" si="5"/>
        <v>30.002512500000002</v>
      </c>
      <c r="P111" s="7"/>
      <c r="Q111" s="10"/>
      <c r="R111" s="11"/>
      <c r="S111" s="11"/>
      <c r="T111" s="26"/>
      <c r="U111" s="28">
        <f t="shared" si="3"/>
        <v>-4.0668075790745044E-2</v>
      </c>
    </row>
    <row r="112" spans="2:21" ht="16.5" thickBot="1" x14ac:dyDescent="0.3">
      <c r="B112" s="12"/>
      <c r="C112" s="19">
        <v>389.92</v>
      </c>
      <c r="D112" s="20">
        <v>21.925000000000001</v>
      </c>
      <c r="E112" s="20">
        <v>33.948999999999998</v>
      </c>
      <c r="F112" s="20">
        <v>33.445999999999998</v>
      </c>
      <c r="G112" s="20">
        <v>145.31</v>
      </c>
      <c r="H112" s="20">
        <f t="shared" si="4"/>
        <v>24.868125000000003</v>
      </c>
      <c r="I112" s="5"/>
      <c r="J112" s="19">
        <v>299.82029999999997</v>
      </c>
      <c r="K112" s="20">
        <v>24.9481</v>
      </c>
      <c r="L112" s="20">
        <v>35.313499999999998</v>
      </c>
      <c r="M112" s="20">
        <v>34.821300000000001</v>
      </c>
      <c r="N112" s="20">
        <v>170.4384</v>
      </c>
      <c r="O112" s="20">
        <f t="shared" si="5"/>
        <v>27.477925000000003</v>
      </c>
      <c r="P112" s="7"/>
      <c r="Q112" s="13"/>
      <c r="R112" s="14"/>
      <c r="S112" s="14"/>
      <c r="T112" s="27"/>
      <c r="U112" s="28">
        <f t="shared" si="3"/>
        <v>0.17292959878879635</v>
      </c>
    </row>
    <row r="113" spans="2:21" x14ac:dyDescent="0.25">
      <c r="B113" s="6" t="s">
        <v>103</v>
      </c>
      <c r="C113" s="15">
        <v>2319.35</v>
      </c>
      <c r="D113" s="16">
        <v>45.526000000000003</v>
      </c>
      <c r="E113" s="16">
        <v>45.994</v>
      </c>
      <c r="F113" s="16">
        <v>45.77</v>
      </c>
      <c r="G113" s="16">
        <v>149.07</v>
      </c>
      <c r="H113" s="16">
        <f t="shared" si="4"/>
        <v>45.614999999999995</v>
      </c>
      <c r="I113" s="5"/>
      <c r="J113" s="15">
        <v>1377.2832000000001</v>
      </c>
      <c r="K113" s="16">
        <v>44.1813</v>
      </c>
      <c r="L113" s="16">
        <v>45.3245</v>
      </c>
      <c r="M113" s="16">
        <v>45.203499999999998</v>
      </c>
      <c r="N113" s="16">
        <v>109.7829</v>
      </c>
      <c r="O113" s="16">
        <f t="shared" si="5"/>
        <v>44.451975000000004</v>
      </c>
      <c r="P113" s="7"/>
      <c r="Q113" s="8">
        <f>bdrate(C113:C116,D113:D116,J113:J116,K113:K116)</f>
        <v>-0.33123203790596123</v>
      </c>
      <c r="R113" s="8">
        <f>bdrate(C113:C116,E113:E116,J113:J116,L113:L116)</f>
        <v>-0.37837918557709682</v>
      </c>
      <c r="S113" s="8">
        <f>bdrate(C113:C116,F113:F116,J113:J116,M113:M116)</f>
        <v>-0.40172514585254337</v>
      </c>
      <c r="T113" s="25">
        <f>bdrate(C113:C116,H113:H116,J113:J116,O113:O116)</f>
        <v>-0.34374299710764245</v>
      </c>
      <c r="U113" s="28">
        <f t="shared" si="3"/>
        <v>-0.26354799758502717</v>
      </c>
    </row>
    <row r="114" spans="2:21" x14ac:dyDescent="0.25">
      <c r="B114" s="9"/>
      <c r="C114" s="17">
        <v>1542.92</v>
      </c>
      <c r="D114" s="18">
        <v>42.966999999999999</v>
      </c>
      <c r="E114" s="18">
        <v>43.826000000000001</v>
      </c>
      <c r="F114" s="18">
        <v>43.555999999999997</v>
      </c>
      <c r="G114" s="18">
        <v>158.49</v>
      </c>
      <c r="H114" s="18">
        <f t="shared" si="4"/>
        <v>43.148000000000003</v>
      </c>
      <c r="I114" s="5"/>
      <c r="J114" s="17">
        <v>939.96730000000002</v>
      </c>
      <c r="K114" s="18">
        <v>42.176099999999998</v>
      </c>
      <c r="L114" s="18">
        <v>43.6982</v>
      </c>
      <c r="M114" s="18">
        <v>43.582099999999997</v>
      </c>
      <c r="N114" s="18">
        <v>142.982</v>
      </c>
      <c r="O114" s="18">
        <f t="shared" si="5"/>
        <v>42.542112500000002</v>
      </c>
      <c r="P114" s="7"/>
      <c r="Q114" s="10"/>
      <c r="R114" s="11"/>
      <c r="S114" s="11"/>
      <c r="T114" s="26"/>
      <c r="U114" s="28">
        <f t="shared" si="3"/>
        <v>-9.7848444696826353E-2</v>
      </c>
    </row>
    <row r="115" spans="2:21" x14ac:dyDescent="0.25">
      <c r="B115" s="9"/>
      <c r="C115" s="17">
        <v>937.39</v>
      </c>
      <c r="D115" s="18">
        <v>39.709000000000003</v>
      </c>
      <c r="E115" s="18">
        <v>41.276000000000003</v>
      </c>
      <c r="F115" s="18">
        <v>40.904000000000003</v>
      </c>
      <c r="G115" s="18">
        <v>171.44</v>
      </c>
      <c r="H115" s="18">
        <f t="shared" si="4"/>
        <v>40.054250000000003</v>
      </c>
      <c r="I115" s="5"/>
      <c r="J115" s="17">
        <v>576.96590000000003</v>
      </c>
      <c r="K115" s="18">
        <v>39.164000000000001</v>
      </c>
      <c r="L115" s="18">
        <v>41.330800000000004</v>
      </c>
      <c r="M115" s="18">
        <v>41.183799999999998</v>
      </c>
      <c r="N115" s="18">
        <v>180</v>
      </c>
      <c r="O115" s="18">
        <f t="shared" si="5"/>
        <v>39.687325000000001</v>
      </c>
      <c r="P115" s="7"/>
      <c r="Q115" s="10"/>
      <c r="R115" s="11"/>
      <c r="S115" s="11"/>
      <c r="T115" s="26"/>
      <c r="U115" s="28">
        <f t="shared" si="3"/>
        <v>4.9930004666355589E-2</v>
      </c>
    </row>
    <row r="116" spans="2:21" ht="16.5" thickBot="1" x14ac:dyDescent="0.3">
      <c r="B116" s="12"/>
      <c r="C116" s="19">
        <v>440.63</v>
      </c>
      <c r="D116" s="20">
        <v>34.436</v>
      </c>
      <c r="E116" s="20">
        <v>37.936999999999998</v>
      </c>
      <c r="F116" s="20">
        <v>37.445999999999998</v>
      </c>
      <c r="G116" s="20">
        <v>183.43</v>
      </c>
      <c r="H116" s="20">
        <f t="shared" si="4"/>
        <v>35.249875000000003</v>
      </c>
      <c r="I116" s="5"/>
      <c r="J116" s="19">
        <v>292.42110000000002</v>
      </c>
      <c r="K116" s="20">
        <v>34.941000000000003</v>
      </c>
      <c r="L116" s="20">
        <v>38.1312</v>
      </c>
      <c r="M116" s="20">
        <v>37.821199999999997</v>
      </c>
      <c r="N116" s="20">
        <v>223.1866</v>
      </c>
      <c r="O116" s="20">
        <f t="shared" si="5"/>
        <v>35.699800000000003</v>
      </c>
      <c r="P116" s="7"/>
      <c r="Q116" s="13"/>
      <c r="R116" s="14"/>
      <c r="S116" s="14"/>
      <c r="T116" s="27"/>
      <c r="U116" s="28">
        <f t="shared" si="3"/>
        <v>0.21673990077958888</v>
      </c>
    </row>
    <row r="117" spans="2:21" x14ac:dyDescent="0.25">
      <c r="B117" s="6" t="s">
        <v>104</v>
      </c>
      <c r="C117" s="15">
        <v>2553.14</v>
      </c>
      <c r="D117" s="16">
        <v>47.216999999999999</v>
      </c>
      <c r="E117" s="16">
        <v>48.898000000000003</v>
      </c>
      <c r="F117" s="16">
        <v>49.048000000000002</v>
      </c>
      <c r="G117" s="16">
        <v>154.04</v>
      </c>
      <c r="H117" s="16">
        <f t="shared" si="4"/>
        <v>47.656000000000006</v>
      </c>
      <c r="I117" s="5"/>
      <c r="J117" s="15">
        <v>1355.0355999999999</v>
      </c>
      <c r="K117" s="16">
        <v>45.404699999999998</v>
      </c>
      <c r="L117" s="16">
        <v>47.719200000000001</v>
      </c>
      <c r="M117" s="16">
        <v>47.954999999999998</v>
      </c>
      <c r="N117" s="16">
        <v>105.9571</v>
      </c>
      <c r="O117" s="16">
        <f t="shared" si="5"/>
        <v>46.012799999999999</v>
      </c>
      <c r="P117" s="7"/>
      <c r="Q117" s="8">
        <f>bdrate(C117:C120,D117:D120,J117:J120,K117:K120)</f>
        <v>-0.40045140568070381</v>
      </c>
      <c r="R117" s="8">
        <f>bdrate(C117:C120,E117:E120,J117:J120,L117:L120)</f>
        <v>-0.44838684126363415</v>
      </c>
      <c r="S117" s="8">
        <f>bdrate(C117:C120,F117:F120,J117:J120,M117:M120)</f>
        <v>-0.45202497739965031</v>
      </c>
      <c r="T117" s="25">
        <f>bdrate(C117:C120,H117:H120,J117:J120,O117:O120)</f>
        <v>-0.4117766065219276</v>
      </c>
      <c r="U117" s="28">
        <f t="shared" si="3"/>
        <v>-0.31214554661126981</v>
      </c>
    </row>
    <row r="118" spans="2:21" x14ac:dyDescent="0.25">
      <c r="B118" s="9"/>
      <c r="C118" s="17">
        <v>1690.87</v>
      </c>
      <c r="D118" s="18">
        <v>44.283999999999999</v>
      </c>
      <c r="E118" s="18">
        <v>46.228000000000002</v>
      </c>
      <c r="F118" s="18">
        <v>46.408999999999999</v>
      </c>
      <c r="G118" s="18">
        <v>166.98</v>
      </c>
      <c r="H118" s="18">
        <f t="shared" si="4"/>
        <v>44.792625000000001</v>
      </c>
      <c r="I118" s="5"/>
      <c r="J118" s="17">
        <v>950.48649999999998</v>
      </c>
      <c r="K118" s="18">
        <v>43.885899999999999</v>
      </c>
      <c r="L118" s="18">
        <v>46.4298</v>
      </c>
      <c r="M118" s="18">
        <v>46.652099999999997</v>
      </c>
      <c r="N118" s="18">
        <v>118.4678</v>
      </c>
      <c r="O118" s="18">
        <f t="shared" si="5"/>
        <v>44.549662500000004</v>
      </c>
      <c r="P118" s="7"/>
      <c r="Q118" s="10"/>
      <c r="R118" s="11"/>
      <c r="S118" s="11"/>
      <c r="T118" s="26"/>
      <c r="U118" s="28">
        <f t="shared" si="3"/>
        <v>-0.29052700922266139</v>
      </c>
    </row>
    <row r="119" spans="2:21" x14ac:dyDescent="0.25">
      <c r="B119" s="9"/>
      <c r="C119" s="17">
        <v>1015.39</v>
      </c>
      <c r="D119" s="18">
        <v>40.764000000000003</v>
      </c>
      <c r="E119" s="18">
        <v>43.186999999999998</v>
      </c>
      <c r="F119" s="18">
        <v>43.393000000000001</v>
      </c>
      <c r="G119" s="18">
        <v>176.97</v>
      </c>
      <c r="H119" s="18">
        <f t="shared" si="4"/>
        <v>41.395499999999998</v>
      </c>
      <c r="I119" s="5"/>
      <c r="J119" s="17">
        <v>628.11749999999995</v>
      </c>
      <c r="K119" s="18">
        <v>41.026400000000002</v>
      </c>
      <c r="L119" s="18">
        <v>43.908499999999997</v>
      </c>
      <c r="M119" s="18">
        <v>44.134399999999999</v>
      </c>
      <c r="N119" s="18">
        <v>130.97579999999999</v>
      </c>
      <c r="O119" s="18">
        <f t="shared" si="5"/>
        <v>41.775162500000008</v>
      </c>
      <c r="P119" s="7"/>
      <c r="Q119" s="10"/>
      <c r="R119" s="11"/>
      <c r="S119" s="11"/>
      <c r="T119" s="26"/>
      <c r="U119" s="28">
        <f t="shared" si="3"/>
        <v>-0.25989828784539754</v>
      </c>
    </row>
    <row r="120" spans="2:21" ht="16.5" thickBot="1" x14ac:dyDescent="0.3">
      <c r="B120" s="12"/>
      <c r="C120" s="19">
        <v>474.5</v>
      </c>
      <c r="D120" s="20">
        <v>36.046999999999997</v>
      </c>
      <c r="E120" s="20">
        <v>39.520000000000003</v>
      </c>
      <c r="F120" s="20">
        <v>39.728999999999999</v>
      </c>
      <c r="G120" s="20">
        <v>199.96</v>
      </c>
      <c r="H120" s="20">
        <f t="shared" si="4"/>
        <v>36.941375000000001</v>
      </c>
      <c r="I120" s="5"/>
      <c r="J120" s="19">
        <v>347.30919999999998</v>
      </c>
      <c r="K120" s="20">
        <v>37.266800000000003</v>
      </c>
      <c r="L120" s="20">
        <v>40.6905</v>
      </c>
      <c r="M120" s="20">
        <v>40.959899999999998</v>
      </c>
      <c r="N120" s="20">
        <v>201.3648</v>
      </c>
      <c r="O120" s="20">
        <f t="shared" si="5"/>
        <v>38.156400000000005</v>
      </c>
      <c r="P120" s="7"/>
      <c r="Q120" s="13"/>
      <c r="R120" s="14"/>
      <c r="S120" s="14"/>
      <c r="T120" s="27"/>
      <c r="U120" s="28">
        <f t="shared" si="3"/>
        <v>7.0254050810161757E-3</v>
      </c>
    </row>
    <row r="121" spans="2:21" x14ac:dyDescent="0.25">
      <c r="B121" s="6" t="s">
        <v>105</v>
      </c>
      <c r="C121" s="29">
        <v>2123.7800000000002</v>
      </c>
      <c r="D121" s="30">
        <v>31.716000000000001</v>
      </c>
      <c r="E121" s="30">
        <v>35.801000000000002</v>
      </c>
      <c r="F121" s="30">
        <v>34.817999999999998</v>
      </c>
      <c r="G121" s="16">
        <v>132.63</v>
      </c>
      <c r="H121" s="16">
        <f t="shared" si="4"/>
        <v>32.614374999999995</v>
      </c>
      <c r="I121" s="5"/>
      <c r="J121" s="29">
        <v>1504.3878999999999</v>
      </c>
      <c r="K121" s="30">
        <v>31.8871</v>
      </c>
      <c r="L121" s="30">
        <v>36.294600000000003</v>
      </c>
      <c r="M121" s="30">
        <v>35.179099999999998</v>
      </c>
      <c r="N121" s="16">
        <v>94.652199999999993</v>
      </c>
      <c r="O121" s="16">
        <f t="shared" si="5"/>
        <v>32.849537499999997</v>
      </c>
      <c r="P121" s="7"/>
      <c r="Q121" s="8">
        <f>bdrate(C121:C124,D121:D124,J121:J124,K121:K124)</f>
        <v>-0.40397640542028246</v>
      </c>
      <c r="R121" s="8">
        <f>bdrate(C121:C124,E121:E124,J121:J124,L121:L124)</f>
        <v>-0.36205434234322253</v>
      </c>
      <c r="S121" s="8">
        <f>bdrate(C121:C124,F121:F124,J121:J124,M121:M124)</f>
        <v>-0.30912880312317159</v>
      </c>
      <c r="T121" s="25">
        <f>bdrate(C121:C124,H121:H124,J121:J124,O121:O124)</f>
        <v>-0.39826579090832159</v>
      </c>
      <c r="U121" s="28">
        <f t="shared" si="3"/>
        <v>-0.28634396441227478</v>
      </c>
    </row>
    <row r="122" spans="2:21" x14ac:dyDescent="0.25">
      <c r="B122" s="9"/>
      <c r="C122" s="31">
        <v>1408.16</v>
      </c>
      <c r="D122" s="32">
        <v>29.574000000000002</v>
      </c>
      <c r="E122" s="32">
        <v>34.847000000000001</v>
      </c>
      <c r="F122" s="32">
        <v>33.808</v>
      </c>
      <c r="G122" s="18">
        <v>141.41</v>
      </c>
      <c r="H122" s="18">
        <f t="shared" si="4"/>
        <v>30.762375000000002</v>
      </c>
      <c r="I122" s="5"/>
      <c r="J122" s="31">
        <v>1005.8521</v>
      </c>
      <c r="K122" s="32">
        <v>30.0501</v>
      </c>
      <c r="L122" s="32">
        <v>35.277700000000003</v>
      </c>
      <c r="M122" s="32">
        <v>34.100099999999998</v>
      </c>
      <c r="N122" s="18">
        <v>113.4573</v>
      </c>
      <c r="O122" s="18">
        <f t="shared" si="5"/>
        <v>31.209800000000001</v>
      </c>
      <c r="P122" s="7"/>
      <c r="Q122" s="10"/>
      <c r="R122" s="11"/>
      <c r="S122" s="11"/>
      <c r="T122" s="26"/>
      <c r="U122" s="28">
        <f t="shared" si="3"/>
        <v>-0.19767131037408947</v>
      </c>
    </row>
    <row r="123" spans="2:21" x14ac:dyDescent="0.25">
      <c r="B123" s="9"/>
      <c r="C123" s="31">
        <v>846.39</v>
      </c>
      <c r="D123" s="32">
        <v>26.975000000000001</v>
      </c>
      <c r="E123" s="32">
        <v>33.948</v>
      </c>
      <c r="F123" s="32">
        <v>32.874000000000002</v>
      </c>
      <c r="G123" s="18">
        <v>151.82</v>
      </c>
      <c r="H123" s="18">
        <f t="shared" si="4"/>
        <v>28.584000000000003</v>
      </c>
      <c r="I123" s="5"/>
      <c r="J123" s="31">
        <v>602.41010000000006</v>
      </c>
      <c r="K123" s="32">
        <v>27.962900000000001</v>
      </c>
      <c r="L123" s="32">
        <v>34.071899999999999</v>
      </c>
      <c r="M123" s="32">
        <v>32.792900000000003</v>
      </c>
      <c r="N123" s="18">
        <v>142.61940000000001</v>
      </c>
      <c r="O123" s="18">
        <f t="shared" si="5"/>
        <v>29.330275</v>
      </c>
      <c r="P123" s="7"/>
      <c r="Q123" s="10"/>
      <c r="R123" s="11"/>
      <c r="S123" s="11"/>
      <c r="T123" s="26"/>
      <c r="U123" s="28">
        <f t="shared" si="3"/>
        <v>-6.0602028718218813E-2</v>
      </c>
    </row>
    <row r="124" spans="2:21" ht="16.5" thickBot="1" x14ac:dyDescent="0.3">
      <c r="B124" s="12"/>
      <c r="C124" s="33">
        <v>374.7</v>
      </c>
      <c r="D124" s="34">
        <v>22.73</v>
      </c>
      <c r="E124" s="34">
        <v>31.263999999999999</v>
      </c>
      <c r="F124" s="34">
        <v>30.097000000000001</v>
      </c>
      <c r="G124" s="20">
        <v>163.89</v>
      </c>
      <c r="H124" s="20">
        <f t="shared" si="4"/>
        <v>24.717625000000002</v>
      </c>
      <c r="I124" s="5"/>
      <c r="J124" s="33">
        <v>302.86649999999997</v>
      </c>
      <c r="K124" s="34">
        <v>25.5425</v>
      </c>
      <c r="L124" s="34">
        <v>32.329700000000003</v>
      </c>
      <c r="M124" s="34">
        <v>30.927299999999999</v>
      </c>
      <c r="N124" s="20">
        <v>193.9237</v>
      </c>
      <c r="O124" s="20">
        <f t="shared" si="5"/>
        <v>27.064</v>
      </c>
      <c r="P124" s="7"/>
      <c r="Q124" s="13"/>
      <c r="R124" s="14"/>
      <c r="S124" s="14"/>
      <c r="T124" s="27"/>
      <c r="U124" s="28">
        <f t="shared" si="3"/>
        <v>0.18325523216791759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-0.44583741384580633</v>
      </c>
      <c r="R125" s="21">
        <f>AVERAGE(R9:R124)</f>
        <v>-0.53378047796835737</v>
      </c>
      <c r="S125" s="21">
        <f>AVERAGE(S9:S124)</f>
        <v>-0.52657495731513482</v>
      </c>
      <c r="T125" s="21">
        <f>AVERAGE(T9:T124)</f>
        <v>-0.46269783014814342</v>
      </c>
      <c r="U125" s="21">
        <f>AVERAGE(U9:U124)</f>
        <v>-7.6596851501707336E-2</v>
      </c>
    </row>
    <row r="127" spans="2:21" s="35" customFormat="1" ht="15.75" customHeight="1" x14ac:dyDescent="0.25">
      <c r="B127" s="61" t="s">
        <v>29</v>
      </c>
      <c r="C127" s="63" t="s">
        <v>189</v>
      </c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5"/>
    </row>
    <row r="128" spans="2:21" s="35" customFormat="1" x14ac:dyDescent="0.25">
      <c r="B128" s="62"/>
      <c r="C128" s="66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8"/>
    </row>
    <row r="129" spans="1:21" ht="16.5" customHeight="1" thickBot="1" x14ac:dyDescent="0.3">
      <c r="C129" s="69" t="s">
        <v>124</v>
      </c>
      <c r="D129" s="70"/>
      <c r="E129" s="70"/>
      <c r="F129" s="70"/>
      <c r="G129" s="70"/>
      <c r="H129" s="70"/>
      <c r="I129" s="5"/>
      <c r="J129" s="69" t="s">
        <v>178</v>
      </c>
      <c r="K129" s="70"/>
      <c r="L129" s="70"/>
      <c r="M129" s="70"/>
      <c r="N129" s="70"/>
      <c r="O129" s="70"/>
      <c r="Q129" s="69" t="s">
        <v>7</v>
      </c>
      <c r="R129" s="70"/>
      <c r="S129" s="71"/>
      <c r="T129" s="36"/>
      <c r="U129" s="7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2"/>
    </row>
    <row r="131" spans="1:21" x14ac:dyDescent="0.25">
      <c r="A131" s="6" t="s">
        <v>35</v>
      </c>
      <c r="B131" s="6" t="s">
        <v>46</v>
      </c>
      <c r="C131" s="15">
        <v>5935.42</v>
      </c>
      <c r="D131" s="16">
        <v>36.351999999999997</v>
      </c>
      <c r="E131" s="16">
        <v>37.973999999999997</v>
      </c>
      <c r="F131" s="16">
        <v>40.14</v>
      </c>
      <c r="G131" s="16">
        <v>100.13</v>
      </c>
      <c r="H131" s="16">
        <f t="shared" ref="H131:H202" si="6">(6*D131+E131+F131)/8</f>
        <v>37.028249999999993</v>
      </c>
      <c r="I131" s="5"/>
      <c r="J131" s="15">
        <v>4024.36</v>
      </c>
      <c r="K131" s="16">
        <v>37.527299999999997</v>
      </c>
      <c r="L131" s="16">
        <v>39.407800000000002</v>
      </c>
      <c r="M131" s="16">
        <v>41.864400000000003</v>
      </c>
      <c r="N131" s="16">
        <v>76.923100000000005</v>
      </c>
      <c r="O131" s="16">
        <f t="shared" ref="O131:O202" si="7">(6*K131+L131+M131)/8</f>
        <v>38.304499999999997</v>
      </c>
      <c r="P131" s="7"/>
      <c r="Q131" s="8">
        <f>bdrate(C131:C134,D131:D134,J131:J134,K131:K134)</f>
        <v>-0.52769111326313545</v>
      </c>
      <c r="R131" s="8">
        <f>bdrate(C131:C134,E131:E134,J131:J134,L131:L134)</f>
        <v>-0.67128724146524066</v>
      </c>
      <c r="S131" s="8">
        <f>bdrate(C131:C134,F131:F134,J131:J134,M131:M134)</f>
        <v>-0.68225157393725167</v>
      </c>
      <c r="T131" s="25">
        <f>bdrate(C131:C134,H131:H134,J131:J134,O131:O134)</f>
        <v>-0.55030641894224797</v>
      </c>
      <c r="U131" s="28">
        <f t="shared" ref="U131:U194" si="8">(N131-G131)/G131</f>
        <v>-0.23176770198741628</v>
      </c>
    </row>
    <row r="132" spans="1:21" x14ac:dyDescent="0.25">
      <c r="A132" s="9" t="s">
        <v>36</v>
      </c>
      <c r="B132" s="9"/>
      <c r="C132" s="17">
        <v>4369.8500000000004</v>
      </c>
      <c r="D132" s="18">
        <v>35.341999999999999</v>
      </c>
      <c r="E132" s="18">
        <v>37.665999999999997</v>
      </c>
      <c r="F132" s="18">
        <v>39.856999999999999</v>
      </c>
      <c r="G132" s="18">
        <v>102.32</v>
      </c>
      <c r="H132" s="18">
        <f t="shared" si="6"/>
        <v>36.196874999999999</v>
      </c>
      <c r="I132" s="5"/>
      <c r="J132" s="17">
        <v>2919.1392000000001</v>
      </c>
      <c r="K132" s="18">
        <v>36.499499999999998</v>
      </c>
      <c r="L132" s="18">
        <v>38.811900000000001</v>
      </c>
      <c r="M132" s="18">
        <v>41.1633</v>
      </c>
      <c r="N132" s="18">
        <v>83.611999999999995</v>
      </c>
      <c r="O132" s="18">
        <f t="shared" si="7"/>
        <v>37.371524999999998</v>
      </c>
      <c r="P132" s="7"/>
      <c r="Q132" s="10"/>
      <c r="R132" s="11"/>
      <c r="S132" s="11"/>
      <c r="T132" s="26"/>
      <c r="U132" s="28">
        <f t="shared" si="8"/>
        <v>-0.18283815480844409</v>
      </c>
    </row>
    <row r="133" spans="1:21" x14ac:dyDescent="0.25">
      <c r="B133" s="9"/>
      <c r="C133" s="17">
        <v>2875.17</v>
      </c>
      <c r="D133" s="18">
        <v>33.494999999999997</v>
      </c>
      <c r="E133" s="18">
        <v>36.838999999999999</v>
      </c>
      <c r="F133" s="18">
        <v>38.994</v>
      </c>
      <c r="G133" s="18">
        <v>101.21</v>
      </c>
      <c r="H133" s="18">
        <f t="shared" si="6"/>
        <v>34.600375</v>
      </c>
      <c r="I133" s="5"/>
      <c r="J133" s="17">
        <v>1931.9567999999999</v>
      </c>
      <c r="K133" s="18">
        <v>34.9253</v>
      </c>
      <c r="L133" s="18">
        <v>38.128100000000003</v>
      </c>
      <c r="M133" s="18">
        <v>40.421599999999998</v>
      </c>
      <c r="N133" s="18">
        <v>95.177700000000002</v>
      </c>
      <c r="O133" s="18">
        <f t="shared" si="7"/>
        <v>36.012687500000006</v>
      </c>
      <c r="P133" s="7"/>
      <c r="Q133" s="10"/>
      <c r="R133" s="11"/>
      <c r="S133" s="11"/>
      <c r="T133" s="26"/>
      <c r="U133" s="28">
        <f t="shared" si="8"/>
        <v>-5.9601818002173623E-2</v>
      </c>
    </row>
    <row r="134" spans="1:21" ht="16.5" thickBot="1" x14ac:dyDescent="0.3">
      <c r="B134" s="12"/>
      <c r="C134" s="19">
        <v>1400.28</v>
      </c>
      <c r="D134" s="20">
        <v>30.085999999999999</v>
      </c>
      <c r="E134" s="20">
        <v>35.81</v>
      </c>
      <c r="F134" s="20">
        <v>37.819000000000003</v>
      </c>
      <c r="G134" s="20">
        <v>102.25</v>
      </c>
      <c r="H134" s="20">
        <f t="shared" si="6"/>
        <v>31.768124999999998</v>
      </c>
      <c r="I134" s="5"/>
      <c r="J134" s="19">
        <v>923.01760000000002</v>
      </c>
      <c r="K134" s="20">
        <v>32.016800000000003</v>
      </c>
      <c r="L134" s="20">
        <v>36.833100000000002</v>
      </c>
      <c r="M134" s="20">
        <v>39.053600000000003</v>
      </c>
      <c r="N134" s="20">
        <v>114.5038</v>
      </c>
      <c r="O134" s="20">
        <f t="shared" si="7"/>
        <v>33.498437500000001</v>
      </c>
      <c r="P134" s="7"/>
      <c r="Q134" s="13"/>
      <c r="R134" s="14"/>
      <c r="S134" s="14"/>
      <c r="T134" s="27"/>
      <c r="U134" s="28">
        <f t="shared" si="8"/>
        <v>0.11984156479217602</v>
      </c>
    </row>
    <row r="135" spans="1:21" x14ac:dyDescent="0.25">
      <c r="B135" s="6" t="s">
        <v>47</v>
      </c>
      <c r="C135" s="15">
        <v>6224.44</v>
      </c>
      <c r="D135" s="16">
        <v>29.282</v>
      </c>
      <c r="E135" s="16">
        <v>38.978000000000002</v>
      </c>
      <c r="F135" s="16">
        <v>39.731000000000002</v>
      </c>
      <c r="G135" s="16">
        <v>72.849999999999994</v>
      </c>
      <c r="H135" s="16">
        <f t="shared" si="6"/>
        <v>31.800125000000001</v>
      </c>
      <c r="I135" s="5"/>
      <c r="J135" s="15">
        <v>4044.6640000000002</v>
      </c>
      <c r="K135" s="16">
        <v>28.979600000000001</v>
      </c>
      <c r="L135" s="16">
        <v>39.219900000000003</v>
      </c>
      <c r="M135" s="16">
        <v>40.175800000000002</v>
      </c>
      <c r="N135" s="16">
        <v>61.627000000000002</v>
      </c>
      <c r="O135" s="16">
        <f t="shared" si="7"/>
        <v>31.659162500000001</v>
      </c>
      <c r="P135" s="7"/>
      <c r="Q135" s="8">
        <f>bdrate(C135:C138,D135:D138,J135:J138,K135:K138)</f>
        <v>-0.34574701623174131</v>
      </c>
      <c r="R135" s="8">
        <f>bdrate(C135:C138,E135:E138,J135:J138,L135:L138)</f>
        <v>-0.39603842198715911</v>
      </c>
      <c r="S135" s="8">
        <f>bdrate(C135:C138,F135:F138,J135:J138,M135:M138)</f>
        <v>-0.51206340894621438</v>
      </c>
      <c r="T135" s="25">
        <f>bdrate(C135:C138,H135:H138,J135:J138,O135:O138)</f>
        <v>-0.3608983477786657</v>
      </c>
      <c r="U135" s="28">
        <f t="shared" si="8"/>
        <v>-0.15405628002745358</v>
      </c>
    </row>
    <row r="136" spans="1:21" x14ac:dyDescent="0.25">
      <c r="B136" s="9"/>
      <c r="C136" s="17">
        <v>4631.1099999999997</v>
      </c>
      <c r="D136" s="18">
        <v>27.867000000000001</v>
      </c>
      <c r="E136" s="18">
        <v>38.509</v>
      </c>
      <c r="F136" s="18">
        <v>39.226999999999997</v>
      </c>
      <c r="G136" s="18">
        <v>72.849999999999994</v>
      </c>
      <c r="H136" s="18">
        <f t="shared" si="6"/>
        <v>30.617250000000002</v>
      </c>
      <c r="I136" s="5"/>
      <c r="J136" s="17">
        <v>3036.0128</v>
      </c>
      <c r="K136" s="18">
        <v>27.6752</v>
      </c>
      <c r="L136" s="18">
        <v>38.726199999999999</v>
      </c>
      <c r="M136" s="18">
        <v>39.721400000000003</v>
      </c>
      <c r="N136" s="18">
        <v>68.681299999999993</v>
      </c>
      <c r="O136" s="18">
        <f t="shared" si="7"/>
        <v>30.562350000000002</v>
      </c>
      <c r="P136" s="7"/>
      <c r="Q136" s="10"/>
      <c r="R136" s="11"/>
      <c r="S136" s="11"/>
      <c r="T136" s="26"/>
      <c r="U136" s="28">
        <f t="shared" si="8"/>
        <v>-5.722306108442006E-2</v>
      </c>
    </row>
    <row r="137" spans="1:21" x14ac:dyDescent="0.25">
      <c r="B137" s="9"/>
      <c r="C137" s="17">
        <v>3064.82</v>
      </c>
      <c r="D137" s="18">
        <v>25.908999999999999</v>
      </c>
      <c r="E137" s="18">
        <v>37.74</v>
      </c>
      <c r="F137" s="18">
        <v>38.441000000000003</v>
      </c>
      <c r="G137" s="18">
        <v>73.39</v>
      </c>
      <c r="H137" s="18">
        <f t="shared" si="6"/>
        <v>28.954375000000002</v>
      </c>
      <c r="I137" s="5"/>
      <c r="J137" s="17">
        <v>2009.9952000000001</v>
      </c>
      <c r="K137" s="18">
        <v>25.883199999999999</v>
      </c>
      <c r="L137" s="18">
        <v>37.955599999999997</v>
      </c>
      <c r="M137" s="18">
        <v>39.076599999999999</v>
      </c>
      <c r="N137" s="18">
        <v>82.918700000000001</v>
      </c>
      <c r="O137" s="18">
        <f t="shared" si="7"/>
        <v>29.041424999999997</v>
      </c>
      <c r="P137" s="7"/>
      <c r="Q137" s="10"/>
      <c r="R137" s="11"/>
      <c r="S137" s="11"/>
      <c r="T137" s="26"/>
      <c r="U137" s="28">
        <f t="shared" si="8"/>
        <v>0.1298364899850116</v>
      </c>
    </row>
    <row r="138" spans="1:21" ht="16.5" thickBot="1" x14ac:dyDescent="0.3">
      <c r="B138" s="12"/>
      <c r="C138" s="19">
        <v>1578.55</v>
      </c>
      <c r="D138" s="20">
        <v>22.552</v>
      </c>
      <c r="E138" s="20">
        <v>36.323</v>
      </c>
      <c r="F138" s="20">
        <v>37.122999999999998</v>
      </c>
      <c r="G138" s="20">
        <v>73.959999999999994</v>
      </c>
      <c r="H138" s="20">
        <f t="shared" si="6"/>
        <v>26.094750000000001</v>
      </c>
      <c r="I138" s="5"/>
      <c r="J138" s="19">
        <v>1155.0784000000001</v>
      </c>
      <c r="K138" s="20">
        <v>23.900700000000001</v>
      </c>
      <c r="L138" s="20">
        <v>36.508200000000002</v>
      </c>
      <c r="M138" s="20">
        <v>37.731499999999997</v>
      </c>
      <c r="N138" s="20">
        <v>98.103300000000004</v>
      </c>
      <c r="O138" s="20">
        <f t="shared" si="7"/>
        <v>27.205487499999997</v>
      </c>
      <c r="P138" s="7"/>
      <c r="Q138" s="13"/>
      <c r="R138" s="14"/>
      <c r="S138" s="14"/>
      <c r="T138" s="27"/>
      <c r="U138" s="28">
        <f t="shared" si="8"/>
        <v>0.32643726338561402</v>
      </c>
    </row>
    <row r="139" spans="1:21" x14ac:dyDescent="0.25">
      <c r="A139" s="6" t="s">
        <v>37</v>
      </c>
      <c r="B139" s="6" t="s">
        <v>48</v>
      </c>
      <c r="C139" s="15">
        <v>3260.12</v>
      </c>
      <c r="D139" s="16">
        <v>38.261000000000003</v>
      </c>
      <c r="E139" s="16">
        <v>41.406999999999996</v>
      </c>
      <c r="F139" s="16">
        <v>42.363</v>
      </c>
      <c r="G139" s="16">
        <v>155.34</v>
      </c>
      <c r="H139" s="16">
        <f t="shared" si="6"/>
        <v>39.167000000000002</v>
      </c>
      <c r="I139" s="5"/>
      <c r="J139" s="15">
        <v>2397.1215999999999</v>
      </c>
      <c r="K139" s="16">
        <v>38.895600000000002</v>
      </c>
      <c r="L139" s="16">
        <v>41.8797</v>
      </c>
      <c r="M139" s="16">
        <v>43.189900000000002</v>
      </c>
      <c r="N139" s="16">
        <v>155.44040000000001</v>
      </c>
      <c r="O139" s="16">
        <f t="shared" si="7"/>
        <v>39.805400000000006</v>
      </c>
      <c r="P139" s="7"/>
      <c r="Q139" s="8">
        <f>bdrate(C139:C142,D139:D142,J139:J142,K139:K142)</f>
        <v>-0.44952255304244015</v>
      </c>
      <c r="R139" s="8">
        <f>bdrate(C139:C142,E139:E142,J139:J142,L139:L142)</f>
        <v>-0.42822625554909821</v>
      </c>
      <c r="S139" s="8">
        <f>bdrate(C139:C142,F139:F142,J139:J142,M139:M142)</f>
        <v>-0.52352292234966968</v>
      </c>
      <c r="T139" s="25">
        <f>bdrate(C139:C142,H139:H142,J139:J142,O139:O142)</f>
        <v>-0.45381414176440527</v>
      </c>
      <c r="U139" s="28">
        <f t="shared" si="8"/>
        <v>6.463241920948088E-4</v>
      </c>
    </row>
    <row r="140" spans="1:21" x14ac:dyDescent="0.25">
      <c r="A140" s="9" t="s">
        <v>38</v>
      </c>
      <c r="B140" s="9"/>
      <c r="C140" s="17">
        <v>2132.33</v>
      </c>
      <c r="D140" s="18">
        <v>36.777000000000001</v>
      </c>
      <c r="E140" s="18">
        <v>40.795999999999999</v>
      </c>
      <c r="F140" s="18">
        <v>41.725000000000001</v>
      </c>
      <c r="G140" s="18">
        <v>156.97</v>
      </c>
      <c r="H140" s="18">
        <f t="shared" si="6"/>
        <v>37.897875000000006</v>
      </c>
      <c r="I140" s="5"/>
      <c r="J140" s="17">
        <v>1566.6120000000001</v>
      </c>
      <c r="K140" s="18">
        <v>37.6342</v>
      </c>
      <c r="L140" s="18">
        <v>41.1798</v>
      </c>
      <c r="M140" s="18">
        <v>42.404600000000002</v>
      </c>
      <c r="N140" s="18">
        <v>169.13319999999999</v>
      </c>
      <c r="O140" s="18">
        <f t="shared" si="7"/>
        <v>38.673700000000004</v>
      </c>
      <c r="P140" s="7"/>
      <c r="Q140" s="10"/>
      <c r="R140" s="11"/>
      <c r="S140" s="11"/>
      <c r="T140" s="26"/>
      <c r="U140" s="28">
        <f t="shared" si="8"/>
        <v>7.748741797795751E-2</v>
      </c>
    </row>
    <row r="141" spans="1:21" x14ac:dyDescent="0.25">
      <c r="B141" s="9"/>
      <c r="C141" s="17">
        <v>1313.46</v>
      </c>
      <c r="D141" s="18">
        <v>34.924999999999997</v>
      </c>
      <c r="E141" s="18">
        <v>40.051000000000002</v>
      </c>
      <c r="F141" s="18">
        <v>40.89</v>
      </c>
      <c r="G141" s="18">
        <v>157.07</v>
      </c>
      <c r="H141" s="18">
        <f t="shared" si="6"/>
        <v>36.311374999999998</v>
      </c>
      <c r="I141" s="5"/>
      <c r="J141" s="17">
        <v>953.86080000000004</v>
      </c>
      <c r="K141" s="18">
        <v>36.024500000000003</v>
      </c>
      <c r="L141" s="18">
        <v>40.404400000000003</v>
      </c>
      <c r="M141" s="18">
        <v>41.578699999999998</v>
      </c>
      <c r="N141" s="18">
        <v>192.30770000000001</v>
      </c>
      <c r="O141" s="18">
        <f t="shared" si="7"/>
        <v>37.266262499999996</v>
      </c>
      <c r="P141" s="7"/>
      <c r="Q141" s="10"/>
      <c r="R141" s="11"/>
      <c r="S141" s="11"/>
      <c r="T141" s="26"/>
      <c r="U141" s="28">
        <f t="shared" si="8"/>
        <v>0.22434392309161533</v>
      </c>
    </row>
    <row r="142" spans="1:21" ht="16.5" thickBot="1" x14ac:dyDescent="0.3">
      <c r="B142" s="12"/>
      <c r="C142" s="19">
        <v>775.52</v>
      </c>
      <c r="D142" s="20">
        <v>32.746000000000002</v>
      </c>
      <c r="E142" s="20">
        <v>39.216000000000001</v>
      </c>
      <c r="F142" s="20">
        <v>40.176000000000002</v>
      </c>
      <c r="G142" s="20">
        <v>156.97</v>
      </c>
      <c r="H142" s="20">
        <f t="shared" si="6"/>
        <v>34.483499999999999</v>
      </c>
      <c r="I142" s="5"/>
      <c r="J142" s="19">
        <v>559.24080000000004</v>
      </c>
      <c r="K142" s="20">
        <v>34.1755</v>
      </c>
      <c r="L142" s="20">
        <v>39.612900000000003</v>
      </c>
      <c r="M142" s="20">
        <v>40.8048</v>
      </c>
      <c r="N142" s="20">
        <v>213.7133</v>
      </c>
      <c r="O142" s="20">
        <f t="shared" si="7"/>
        <v>35.683837499999996</v>
      </c>
      <c r="P142" s="7"/>
      <c r="Q142" s="13"/>
      <c r="R142" s="14"/>
      <c r="S142" s="14"/>
      <c r="T142" s="27"/>
      <c r="U142" s="28">
        <f t="shared" si="8"/>
        <v>0.3614913677772823</v>
      </c>
    </row>
    <row r="143" spans="1:21" x14ac:dyDescent="0.25">
      <c r="B143" s="6" t="s">
        <v>49</v>
      </c>
      <c r="C143" s="15">
        <v>3519</v>
      </c>
      <c r="D143" s="16">
        <v>35.24</v>
      </c>
      <c r="E143" s="16">
        <v>38.515999999999998</v>
      </c>
      <c r="F143" s="16">
        <v>39.715000000000003</v>
      </c>
      <c r="G143" s="16">
        <v>174.93</v>
      </c>
      <c r="H143" s="16">
        <f t="shared" si="6"/>
        <v>36.208874999999999</v>
      </c>
      <c r="I143" s="5"/>
      <c r="J143" s="15">
        <v>2447.3488000000002</v>
      </c>
      <c r="K143" s="16">
        <v>35.699399999999997</v>
      </c>
      <c r="L143" s="16">
        <v>39.798999999999999</v>
      </c>
      <c r="M143" s="16">
        <v>41.032899999999998</v>
      </c>
      <c r="N143" s="16">
        <v>139.86009999999999</v>
      </c>
      <c r="O143" s="16">
        <f t="shared" si="7"/>
        <v>36.8785375</v>
      </c>
      <c r="P143" s="7"/>
      <c r="Q143" s="8">
        <f>bdrate(C143:C146,D143:D146,J143:J146,K143:K146)</f>
        <v>-0.43728595241224821</v>
      </c>
      <c r="R143" s="8">
        <f>bdrate(C143:C146,E143:E146,J143:J146,L143:L146)</f>
        <v>-0.59870854362488402</v>
      </c>
      <c r="S143" s="8">
        <f>bdrate(C143:C146,F143:F146,J143:J146,M143:M146)</f>
        <v>-0.62017203564367362</v>
      </c>
      <c r="T143" s="25">
        <f>bdrate(C143:C146,H143:H146,J143:J146,O143:O146)</f>
        <v>-0.46599927126880381</v>
      </c>
      <c r="U143" s="28">
        <f t="shared" si="8"/>
        <v>-0.20047962041959649</v>
      </c>
    </row>
    <row r="144" spans="1:21" x14ac:dyDescent="0.25">
      <c r="B144" s="9"/>
      <c r="C144" s="17">
        <v>2330.4</v>
      </c>
      <c r="D144" s="18">
        <v>33.853000000000002</v>
      </c>
      <c r="E144" s="18">
        <v>37.966000000000001</v>
      </c>
      <c r="F144" s="18">
        <v>39.305</v>
      </c>
      <c r="G144" s="18">
        <v>174.93</v>
      </c>
      <c r="H144" s="18">
        <f t="shared" si="6"/>
        <v>35.048625000000001</v>
      </c>
      <c r="I144" s="5"/>
      <c r="J144" s="17">
        <v>1645.7944</v>
      </c>
      <c r="K144" s="18">
        <v>34.451500000000003</v>
      </c>
      <c r="L144" s="18">
        <v>39.058799999999998</v>
      </c>
      <c r="M144" s="18">
        <v>40.303899999999999</v>
      </c>
      <c r="N144" s="18">
        <v>150.8485</v>
      </c>
      <c r="O144" s="18">
        <f t="shared" si="7"/>
        <v>35.758962499999996</v>
      </c>
      <c r="P144" s="7"/>
      <c r="Q144" s="10"/>
      <c r="R144" s="11"/>
      <c r="S144" s="11"/>
      <c r="T144" s="26"/>
      <c r="U144" s="28">
        <f t="shared" si="8"/>
        <v>-0.13766363688332478</v>
      </c>
    </row>
    <row r="145" spans="1:21" x14ac:dyDescent="0.25">
      <c r="B145" s="9"/>
      <c r="C145" s="17">
        <v>1449.32</v>
      </c>
      <c r="D145" s="18">
        <v>32.124000000000002</v>
      </c>
      <c r="E145" s="18">
        <v>37.307000000000002</v>
      </c>
      <c r="F145" s="18">
        <v>38.744999999999997</v>
      </c>
      <c r="G145" s="18">
        <v>176.73</v>
      </c>
      <c r="H145" s="18">
        <f t="shared" si="6"/>
        <v>33.599500000000006</v>
      </c>
      <c r="I145" s="5"/>
      <c r="J145" s="17">
        <v>1020.8424</v>
      </c>
      <c r="K145" s="18">
        <v>32.962699999999998</v>
      </c>
      <c r="L145" s="18">
        <v>38.144599999999997</v>
      </c>
      <c r="M145" s="18">
        <v>39.506900000000002</v>
      </c>
      <c r="N145" s="18">
        <v>180.99549999999999</v>
      </c>
      <c r="O145" s="18">
        <f t="shared" si="7"/>
        <v>34.428462499999995</v>
      </c>
      <c r="P145" s="7"/>
      <c r="Q145" s="10"/>
      <c r="R145" s="11"/>
      <c r="S145" s="11"/>
      <c r="T145" s="26"/>
      <c r="U145" s="28">
        <f t="shared" si="8"/>
        <v>2.4135687206473168E-2</v>
      </c>
    </row>
    <row r="146" spans="1:21" ht="16.5" thickBot="1" x14ac:dyDescent="0.3">
      <c r="B146" s="12"/>
      <c r="C146" s="19">
        <v>864.33</v>
      </c>
      <c r="D146" s="20">
        <v>30.317</v>
      </c>
      <c r="E146" s="20">
        <v>36.680999999999997</v>
      </c>
      <c r="F146" s="20">
        <v>38.180999999999997</v>
      </c>
      <c r="G146" s="20">
        <v>178.97</v>
      </c>
      <c r="H146" s="20">
        <f t="shared" si="6"/>
        <v>32.095499999999994</v>
      </c>
      <c r="I146" s="5"/>
      <c r="J146" s="19">
        <v>584.19359999999995</v>
      </c>
      <c r="K146" s="20">
        <v>31.320599999999999</v>
      </c>
      <c r="L146" s="20">
        <v>37.175699999999999</v>
      </c>
      <c r="M146" s="20">
        <v>38.738599999999998</v>
      </c>
      <c r="N146" s="20">
        <v>205.12819999999999</v>
      </c>
      <c r="O146" s="20">
        <f t="shared" si="7"/>
        <v>32.979737499999999</v>
      </c>
      <c r="P146" s="7"/>
      <c r="Q146" s="13"/>
      <c r="R146" s="14"/>
      <c r="S146" s="14"/>
      <c r="T146" s="27"/>
      <c r="U146" s="28">
        <f t="shared" si="8"/>
        <v>0.14615969156841926</v>
      </c>
    </row>
    <row r="147" spans="1:21" x14ac:dyDescent="0.25">
      <c r="B147" s="6" t="s">
        <v>50</v>
      </c>
      <c r="C147" s="15">
        <v>3624.05</v>
      </c>
      <c r="D147" s="16">
        <v>32.845999999999997</v>
      </c>
      <c r="E147" s="16">
        <v>37.268999999999998</v>
      </c>
      <c r="F147" s="16">
        <v>38.478999999999999</v>
      </c>
      <c r="G147" s="16">
        <v>172.29</v>
      </c>
      <c r="H147" s="16">
        <f t="shared" si="6"/>
        <v>34.102999999999994</v>
      </c>
      <c r="I147" s="5"/>
      <c r="J147" s="15">
        <v>2407.6680000000001</v>
      </c>
      <c r="K147" s="16">
        <v>33.7667</v>
      </c>
      <c r="L147" s="16">
        <v>38.1066</v>
      </c>
      <c r="M147" s="16">
        <v>40.0246</v>
      </c>
      <c r="N147" s="16">
        <v>187.47659999999999</v>
      </c>
      <c r="O147" s="16">
        <f t="shared" si="7"/>
        <v>35.091425000000001</v>
      </c>
      <c r="P147" s="7"/>
      <c r="Q147" s="8">
        <f>bdrate(C147:C150,D147:D150,J147:J150,K147:K150)</f>
        <v>-0.54113803870448418</v>
      </c>
      <c r="R147" s="8">
        <f>bdrate(C147:C150,E147:E150,J147:J150,L147:L150)</f>
        <v>-0.64093973950029248</v>
      </c>
      <c r="S147" s="8">
        <f>bdrate(C147:C150,F147:F150,J147:J150,M147:M150)</f>
        <v>-0.66200173488544589</v>
      </c>
      <c r="T147" s="25">
        <f>bdrate(C147:C150,H147:H150,J147:J150,O147:O150)</f>
        <v>-0.55907600087797094</v>
      </c>
      <c r="U147" s="28">
        <f t="shared" si="8"/>
        <v>8.8145568518196063E-2</v>
      </c>
    </row>
    <row r="148" spans="1:21" x14ac:dyDescent="0.25">
      <c r="B148" s="9"/>
      <c r="C148" s="17">
        <v>2389.25</v>
      </c>
      <c r="D148" s="18">
        <v>31.274999999999999</v>
      </c>
      <c r="E148" s="18">
        <v>36.814</v>
      </c>
      <c r="F148" s="18">
        <v>37.674999999999997</v>
      </c>
      <c r="G148" s="18">
        <v>174.22</v>
      </c>
      <c r="H148" s="18">
        <f t="shared" si="6"/>
        <v>32.767374999999994</v>
      </c>
      <c r="I148" s="5"/>
      <c r="J148" s="17">
        <v>1605.7944</v>
      </c>
      <c r="K148" s="18">
        <v>32.541600000000003</v>
      </c>
      <c r="L148" s="18">
        <v>37.651000000000003</v>
      </c>
      <c r="M148" s="18">
        <v>39.1843</v>
      </c>
      <c r="N148" s="18">
        <v>204.16499999999999</v>
      </c>
      <c r="O148" s="18">
        <f t="shared" si="7"/>
        <v>34.010612500000001</v>
      </c>
      <c r="P148" s="7"/>
      <c r="Q148" s="10"/>
      <c r="R148" s="11"/>
      <c r="S148" s="11"/>
      <c r="T148" s="26"/>
      <c r="U148" s="28">
        <f t="shared" si="8"/>
        <v>0.17188038112731027</v>
      </c>
    </row>
    <row r="149" spans="1:21" x14ac:dyDescent="0.25">
      <c r="B149" s="9"/>
      <c r="C149" s="17">
        <v>1496.56</v>
      </c>
      <c r="D149" s="18">
        <v>29.404</v>
      </c>
      <c r="E149" s="18">
        <v>36.18</v>
      </c>
      <c r="F149" s="18">
        <v>36.712000000000003</v>
      </c>
      <c r="G149" s="18">
        <v>175.19</v>
      </c>
      <c r="H149" s="18">
        <f t="shared" si="6"/>
        <v>31.164500000000004</v>
      </c>
      <c r="I149" s="5"/>
      <c r="J149" s="17">
        <v>1001.5568</v>
      </c>
      <c r="K149" s="18">
        <v>30.919499999999999</v>
      </c>
      <c r="L149" s="18">
        <v>37.006100000000004</v>
      </c>
      <c r="M149" s="18">
        <v>38.143700000000003</v>
      </c>
      <c r="N149" s="18">
        <v>235.7379</v>
      </c>
      <c r="O149" s="18">
        <f t="shared" si="7"/>
        <v>32.583350000000003</v>
      </c>
      <c r="P149" s="7"/>
      <c r="Q149" s="10"/>
      <c r="R149" s="11"/>
      <c r="S149" s="11"/>
      <c r="T149" s="26"/>
      <c r="U149" s="28">
        <f t="shared" si="8"/>
        <v>0.34561276328557566</v>
      </c>
    </row>
    <row r="150" spans="1:21" ht="16.5" thickBot="1" x14ac:dyDescent="0.3">
      <c r="B150" s="12"/>
      <c r="C150" s="19">
        <v>888.15</v>
      </c>
      <c r="D150" s="20">
        <v>27.242999999999999</v>
      </c>
      <c r="E150" s="20">
        <v>35.746000000000002</v>
      </c>
      <c r="F150" s="20">
        <v>35.893000000000001</v>
      </c>
      <c r="G150" s="20">
        <v>175.13</v>
      </c>
      <c r="H150" s="20">
        <f t="shared" si="6"/>
        <v>29.387125000000001</v>
      </c>
      <c r="I150" s="5"/>
      <c r="J150" s="19">
        <v>600.10879999999997</v>
      </c>
      <c r="K150" s="20">
        <v>29.091000000000001</v>
      </c>
      <c r="L150" s="20">
        <v>36.284599999999998</v>
      </c>
      <c r="M150" s="20">
        <v>36.968800000000002</v>
      </c>
      <c r="N150" s="20">
        <v>262.74299999999999</v>
      </c>
      <c r="O150" s="20">
        <f t="shared" si="7"/>
        <v>30.974924999999999</v>
      </c>
      <c r="P150" s="7"/>
      <c r="Q150" s="13"/>
      <c r="R150" s="14"/>
      <c r="S150" s="14"/>
      <c r="T150" s="27"/>
      <c r="U150" s="28">
        <f t="shared" si="8"/>
        <v>0.50027408211043223</v>
      </c>
    </row>
    <row r="151" spans="1:21" x14ac:dyDescent="0.25">
      <c r="B151" s="6" t="s">
        <v>51</v>
      </c>
      <c r="C151" s="29">
        <v>3639.45</v>
      </c>
      <c r="D151" s="30">
        <v>32.805</v>
      </c>
      <c r="E151" s="30">
        <v>39.36</v>
      </c>
      <c r="F151" s="30">
        <v>38.960999999999999</v>
      </c>
      <c r="G151" s="16">
        <v>150.47</v>
      </c>
      <c r="H151" s="16">
        <f t="shared" si="6"/>
        <v>34.393875000000001</v>
      </c>
      <c r="I151" s="5"/>
      <c r="J151" s="29">
        <v>2416.1648</v>
      </c>
      <c r="K151" s="30">
        <v>33.7254</v>
      </c>
      <c r="L151" s="30">
        <v>40.179299999999998</v>
      </c>
      <c r="M151" s="30">
        <v>39.728000000000002</v>
      </c>
      <c r="N151" s="16">
        <v>165.18</v>
      </c>
      <c r="O151" s="16">
        <f t="shared" si="7"/>
        <v>35.282462500000001</v>
      </c>
      <c r="P151" s="7"/>
      <c r="Q151" s="8">
        <f>bdrate(C151:C154,D151:D154,J151:J154,K151:K154)</f>
        <v>-0.55312449451180901</v>
      </c>
      <c r="R151" s="8">
        <f>bdrate(C151:C154,E151:E154,J151:J154,L151:L154)</f>
        <v>-0.53408781935691751</v>
      </c>
      <c r="S151" s="8">
        <f>bdrate(C151:C154,F151:F154,J151:J154,M151:M154)</f>
        <v>-0.4591076766947938</v>
      </c>
      <c r="T151" s="25">
        <f>bdrate(C151:C154,H151:H154,J151:J154,O151:O154)</f>
        <v>-0.54874623516888055</v>
      </c>
      <c r="U151" s="28">
        <f t="shared" si="8"/>
        <v>9.7760350900511786E-2</v>
      </c>
    </row>
    <row r="152" spans="1:21" x14ac:dyDescent="0.25">
      <c r="B152" s="9"/>
      <c r="C152" s="31">
        <v>2392.46</v>
      </c>
      <c r="D152" s="32">
        <v>30.856000000000002</v>
      </c>
      <c r="E152" s="32">
        <v>38.536000000000001</v>
      </c>
      <c r="F152" s="32">
        <v>38.052</v>
      </c>
      <c r="G152" s="18">
        <v>151.19</v>
      </c>
      <c r="H152" s="18">
        <f t="shared" si="6"/>
        <v>32.715500000000006</v>
      </c>
      <c r="I152" s="5"/>
      <c r="J152" s="31">
        <v>1609.1464000000001</v>
      </c>
      <c r="K152" s="32">
        <v>32.299700000000001</v>
      </c>
      <c r="L152" s="32">
        <v>39.401600000000002</v>
      </c>
      <c r="M152" s="32">
        <v>38.732300000000002</v>
      </c>
      <c r="N152" s="18">
        <v>187.40629999999999</v>
      </c>
      <c r="O152" s="18">
        <f t="shared" si="7"/>
        <v>33.991512499999999</v>
      </c>
      <c r="P152" s="7"/>
      <c r="Q152" s="10"/>
      <c r="R152" s="11"/>
      <c r="S152" s="11"/>
      <c r="T152" s="26"/>
      <c r="U152" s="28">
        <f t="shared" si="8"/>
        <v>0.23954163635161049</v>
      </c>
    </row>
    <row r="153" spans="1:21" x14ac:dyDescent="0.25">
      <c r="B153" s="9"/>
      <c r="C153" s="31">
        <v>1484.02</v>
      </c>
      <c r="D153" s="32">
        <v>28.152999999999999</v>
      </c>
      <c r="E153" s="32">
        <v>37.524999999999999</v>
      </c>
      <c r="F153" s="32">
        <v>36.966000000000001</v>
      </c>
      <c r="G153" s="18">
        <v>151.93</v>
      </c>
      <c r="H153" s="18">
        <f t="shared" si="6"/>
        <v>30.426125000000003</v>
      </c>
      <c r="I153" s="5"/>
      <c r="J153" s="31">
        <v>1001.1752</v>
      </c>
      <c r="K153" s="32">
        <v>30.5182</v>
      </c>
      <c r="L153" s="32">
        <v>38.3553</v>
      </c>
      <c r="M153" s="32">
        <v>37.5075</v>
      </c>
      <c r="N153" s="18">
        <v>213.67519999999999</v>
      </c>
      <c r="O153" s="18">
        <f t="shared" si="7"/>
        <v>32.371499999999997</v>
      </c>
      <c r="P153" s="7"/>
      <c r="Q153" s="10"/>
      <c r="R153" s="11"/>
      <c r="S153" s="11"/>
      <c r="T153" s="26"/>
      <c r="U153" s="28">
        <f t="shared" si="8"/>
        <v>0.40640558151780409</v>
      </c>
    </row>
    <row r="154" spans="1:21" ht="16.5" thickBot="1" x14ac:dyDescent="0.3">
      <c r="B154" s="12"/>
      <c r="C154" s="33">
        <v>876.03</v>
      </c>
      <c r="D154" s="34">
        <v>24.497</v>
      </c>
      <c r="E154" s="34">
        <v>36.055</v>
      </c>
      <c r="F154" s="34">
        <v>35.299999999999997</v>
      </c>
      <c r="G154" s="20">
        <v>153.37</v>
      </c>
      <c r="H154" s="20">
        <f t="shared" si="6"/>
        <v>27.292124999999999</v>
      </c>
      <c r="I154" s="5"/>
      <c r="J154" s="33">
        <v>599.34400000000005</v>
      </c>
      <c r="K154" s="34">
        <v>28.6051</v>
      </c>
      <c r="L154" s="34">
        <v>36.97</v>
      </c>
      <c r="M154" s="34">
        <v>35.814500000000002</v>
      </c>
      <c r="N154" s="20">
        <v>240.9639</v>
      </c>
      <c r="O154" s="20">
        <f t="shared" si="7"/>
        <v>30.551887500000003</v>
      </c>
      <c r="P154" s="7"/>
      <c r="Q154" s="13"/>
      <c r="R154" s="14"/>
      <c r="S154" s="14"/>
      <c r="T154" s="27"/>
      <c r="U154" s="28">
        <f t="shared" si="8"/>
        <v>0.57112799113255519</v>
      </c>
    </row>
    <row r="155" spans="1:21" x14ac:dyDescent="0.25">
      <c r="B155" s="6" t="s">
        <v>52</v>
      </c>
      <c r="C155" s="15">
        <v>3540.58</v>
      </c>
      <c r="D155" s="16">
        <v>32.046999999999997</v>
      </c>
      <c r="E155" s="16">
        <v>38.481000000000002</v>
      </c>
      <c r="F155" s="16">
        <v>41.015000000000001</v>
      </c>
      <c r="G155" s="16">
        <v>171.67</v>
      </c>
      <c r="H155" s="16">
        <f t="shared" si="6"/>
        <v>33.972249999999995</v>
      </c>
      <c r="I155" s="5"/>
      <c r="J155" s="15">
        <v>2410.7559999999999</v>
      </c>
      <c r="K155" s="16">
        <v>33.329700000000003</v>
      </c>
      <c r="L155" s="16">
        <v>39.746600000000001</v>
      </c>
      <c r="M155" s="16">
        <v>42.285499999999999</v>
      </c>
      <c r="N155" s="16">
        <v>198.2816</v>
      </c>
      <c r="O155" s="16">
        <f t="shared" si="7"/>
        <v>35.251287500000004</v>
      </c>
      <c r="P155" s="7"/>
      <c r="Q155" s="8">
        <f>bdrate(C155:C158,D155:D158,J155:J158,K155:K158)</f>
        <v>-0.65313986474214547</v>
      </c>
      <c r="R155" s="8">
        <f>bdrate(C155:C158,E155:E158,J155:J158,L155:L158)</f>
        <v>-0.71632663174255318</v>
      </c>
      <c r="S155" s="8">
        <f>bdrate(C155:C158,F155:F158,J155:J158,M155:M158)</f>
        <v>-0.72950539365289868</v>
      </c>
      <c r="T155" s="25">
        <f>bdrate(C155:C158,H155:H158,J155:J158,O155:O158)</f>
        <v>-0.66162262479907674</v>
      </c>
      <c r="U155" s="28">
        <f t="shared" si="8"/>
        <v>0.15501601910642518</v>
      </c>
    </row>
    <row r="156" spans="1:21" x14ac:dyDescent="0.25">
      <c r="B156" s="9"/>
      <c r="C156" s="17">
        <v>2331.6799999999998</v>
      </c>
      <c r="D156" s="18">
        <v>30.821999999999999</v>
      </c>
      <c r="E156" s="18">
        <v>38.127000000000002</v>
      </c>
      <c r="F156" s="18">
        <v>40.58</v>
      </c>
      <c r="G156" s="18">
        <v>173.21</v>
      </c>
      <c r="H156" s="18">
        <f t="shared" si="6"/>
        <v>32.954875000000001</v>
      </c>
      <c r="I156" s="5"/>
      <c r="J156" s="17">
        <v>1610.8327999999999</v>
      </c>
      <c r="K156" s="18">
        <v>32.604900000000001</v>
      </c>
      <c r="L156" s="18">
        <v>39.2639</v>
      </c>
      <c r="M156" s="18">
        <v>41.827599999999997</v>
      </c>
      <c r="N156" s="18">
        <v>217.3126</v>
      </c>
      <c r="O156" s="18">
        <f t="shared" si="7"/>
        <v>34.590112500000004</v>
      </c>
      <c r="P156" s="7"/>
      <c r="Q156" s="10"/>
      <c r="R156" s="11"/>
      <c r="S156" s="11"/>
      <c r="T156" s="26"/>
      <c r="U156" s="28">
        <f t="shared" si="8"/>
        <v>0.2546192483112984</v>
      </c>
    </row>
    <row r="157" spans="1:21" x14ac:dyDescent="0.25">
      <c r="B157" s="9"/>
      <c r="C157" s="17">
        <v>1437.95</v>
      </c>
      <c r="D157" s="18">
        <v>29.196000000000002</v>
      </c>
      <c r="E157" s="18">
        <v>37.598999999999997</v>
      </c>
      <c r="F157" s="18">
        <v>39.914999999999999</v>
      </c>
      <c r="G157" s="18">
        <v>173.21</v>
      </c>
      <c r="H157" s="18">
        <f t="shared" si="6"/>
        <v>31.58625</v>
      </c>
      <c r="I157" s="5"/>
      <c r="J157" s="17">
        <v>1020.504</v>
      </c>
      <c r="K157" s="18">
        <v>31.482500000000002</v>
      </c>
      <c r="L157" s="18">
        <v>38.567399999999999</v>
      </c>
      <c r="M157" s="18">
        <v>41.113100000000003</v>
      </c>
      <c r="N157" s="18">
        <v>237.34180000000001</v>
      </c>
      <c r="O157" s="18">
        <f t="shared" si="7"/>
        <v>33.571937500000004</v>
      </c>
      <c r="P157" s="7"/>
      <c r="Q157" s="10"/>
      <c r="R157" s="11"/>
      <c r="S157" s="11"/>
      <c r="T157" s="26"/>
      <c r="U157" s="28">
        <f t="shared" si="8"/>
        <v>0.37025460423763057</v>
      </c>
    </row>
    <row r="158" spans="1:21" ht="16.5" thickBot="1" x14ac:dyDescent="0.3">
      <c r="B158" s="12"/>
      <c r="C158" s="19">
        <v>828.06</v>
      </c>
      <c r="D158" s="20">
        <v>26.966000000000001</v>
      </c>
      <c r="E158" s="20">
        <v>37.040999999999997</v>
      </c>
      <c r="F158" s="20">
        <v>39.154000000000003</v>
      </c>
      <c r="G158" s="20">
        <v>174.01</v>
      </c>
      <c r="H158" s="20">
        <f t="shared" si="6"/>
        <v>29.748874999999998</v>
      </c>
      <c r="I158" s="5"/>
      <c r="J158" s="19">
        <v>602.26800000000003</v>
      </c>
      <c r="K158" s="20">
        <v>29.941800000000001</v>
      </c>
      <c r="L158" s="20">
        <v>38.023099999999999</v>
      </c>
      <c r="M158" s="20">
        <v>40.5501</v>
      </c>
      <c r="N158" s="20">
        <v>256.41030000000001</v>
      </c>
      <c r="O158" s="20">
        <f t="shared" si="7"/>
        <v>32.277999999999999</v>
      </c>
      <c r="P158" s="7"/>
      <c r="Q158" s="13"/>
      <c r="R158" s="14"/>
      <c r="S158" s="14"/>
      <c r="T158" s="27"/>
      <c r="U158" s="28">
        <f t="shared" si="8"/>
        <v>0.47353772771679797</v>
      </c>
    </row>
    <row r="159" spans="1:21" x14ac:dyDescent="0.25">
      <c r="A159" s="6" t="s">
        <v>39</v>
      </c>
      <c r="B159" s="6" t="s">
        <v>53</v>
      </c>
      <c r="C159" s="15">
        <v>1582.18</v>
      </c>
      <c r="D159" s="16">
        <v>33.204000000000001</v>
      </c>
      <c r="E159" s="16">
        <v>36.718000000000004</v>
      </c>
      <c r="F159" s="16">
        <v>36.58</v>
      </c>
      <c r="G159" s="16">
        <v>1068.3800000000001</v>
      </c>
      <c r="H159" s="16">
        <f t="shared" si="6"/>
        <v>34.065249999999999</v>
      </c>
      <c r="I159" s="5"/>
      <c r="J159" s="15">
        <v>1208.4536000000001</v>
      </c>
      <c r="K159" s="16">
        <v>34.513199999999998</v>
      </c>
      <c r="L159" s="16">
        <v>38.640700000000002</v>
      </c>
      <c r="M159" s="16">
        <v>38.443800000000003</v>
      </c>
      <c r="N159" s="16">
        <v>696.37879999999996</v>
      </c>
      <c r="O159" s="16">
        <f t="shared" si="7"/>
        <v>35.520462500000001</v>
      </c>
      <c r="P159" s="7"/>
      <c r="Q159" s="8">
        <f>bdrate(C159:C162,D159:D162,J159:J162,K159:K162)</f>
        <v>-0.45826950964439006</v>
      </c>
      <c r="R159" s="8">
        <f>bdrate(C159:C162,E159:E162,J159:J162,L159:L162)</f>
        <v>-0.56675567737094412</v>
      </c>
      <c r="S159" s="8">
        <f>bdrate(C159:C162,F159:F162,J159:J162,M159:M162)</f>
        <v>-0.54388778400808024</v>
      </c>
      <c r="T159" s="25">
        <f>bdrate(C159:C162,H159:H162,J159:J162,O159:O162)</f>
        <v>-0.47738678455277583</v>
      </c>
      <c r="U159" s="28">
        <f t="shared" si="8"/>
        <v>-0.34819184185402208</v>
      </c>
    </row>
    <row r="160" spans="1:21" x14ac:dyDescent="0.25">
      <c r="A160" s="9" t="s">
        <v>40</v>
      </c>
      <c r="B160" s="9"/>
      <c r="C160" s="17">
        <v>1070.8599999999999</v>
      </c>
      <c r="D160" s="18">
        <v>31.696000000000002</v>
      </c>
      <c r="E160" s="18">
        <v>35.933999999999997</v>
      </c>
      <c r="F160" s="18">
        <v>35.649000000000001</v>
      </c>
      <c r="G160" s="18">
        <v>1103.75</v>
      </c>
      <c r="H160" s="18">
        <f t="shared" si="6"/>
        <v>32.719875000000002</v>
      </c>
      <c r="I160" s="5"/>
      <c r="J160" s="17">
        <v>806.63840000000005</v>
      </c>
      <c r="K160" s="18">
        <v>32.9739</v>
      </c>
      <c r="L160" s="18">
        <v>37.535800000000002</v>
      </c>
      <c r="M160" s="18">
        <v>37.231000000000002</v>
      </c>
      <c r="N160" s="18">
        <v>822.36839999999995</v>
      </c>
      <c r="O160" s="18">
        <f t="shared" si="7"/>
        <v>34.076275000000003</v>
      </c>
      <c r="P160" s="7"/>
      <c r="Q160" s="10"/>
      <c r="R160" s="11"/>
      <c r="S160" s="11"/>
      <c r="T160" s="26"/>
      <c r="U160" s="28">
        <f t="shared" si="8"/>
        <v>-0.25493236693091736</v>
      </c>
    </row>
    <row r="161" spans="1:21" x14ac:dyDescent="0.25">
      <c r="B161" s="9"/>
      <c r="C161" s="17">
        <v>662.88</v>
      </c>
      <c r="D161" s="18">
        <v>29.797999999999998</v>
      </c>
      <c r="E161" s="18">
        <v>35.085999999999999</v>
      </c>
      <c r="F161" s="18">
        <v>34.637999999999998</v>
      </c>
      <c r="G161" s="18">
        <v>1234.57</v>
      </c>
      <c r="H161" s="18">
        <f t="shared" si="6"/>
        <v>31.063999999999997</v>
      </c>
      <c r="I161" s="5"/>
      <c r="J161" s="17">
        <v>503.79039999999998</v>
      </c>
      <c r="K161" s="18">
        <v>31.144500000000001</v>
      </c>
      <c r="L161" s="18">
        <v>36.241999999999997</v>
      </c>
      <c r="M161" s="18">
        <v>35.840800000000002</v>
      </c>
      <c r="N161" s="18">
        <v>915.7509</v>
      </c>
      <c r="O161" s="18">
        <f t="shared" si="7"/>
        <v>32.368724999999998</v>
      </c>
      <c r="P161" s="7"/>
      <c r="Q161" s="10"/>
      <c r="R161" s="11"/>
      <c r="S161" s="11"/>
      <c r="T161" s="26"/>
      <c r="U161" s="28">
        <f t="shared" si="8"/>
        <v>-0.25824303198684556</v>
      </c>
    </row>
    <row r="162" spans="1:21" ht="16.5" thickBot="1" x14ac:dyDescent="0.3">
      <c r="B162" s="12"/>
      <c r="C162" s="19">
        <v>406.06</v>
      </c>
      <c r="D162" s="20">
        <v>27.608000000000001</v>
      </c>
      <c r="E162" s="20">
        <v>34.353999999999999</v>
      </c>
      <c r="F162" s="20">
        <v>33.850999999999999</v>
      </c>
      <c r="G162" s="20">
        <v>1187.6500000000001</v>
      </c>
      <c r="H162" s="20">
        <f t="shared" si="6"/>
        <v>29.231625000000001</v>
      </c>
      <c r="I162" s="5"/>
      <c r="J162" s="19">
        <v>303.29759999999999</v>
      </c>
      <c r="K162" s="20">
        <v>29.111999999999998</v>
      </c>
      <c r="L162" s="20">
        <v>34.8872</v>
      </c>
      <c r="M162" s="20">
        <v>34.334299999999999</v>
      </c>
      <c r="N162" s="20">
        <v>1144.1648</v>
      </c>
      <c r="O162" s="20">
        <f t="shared" si="7"/>
        <v>30.486687500000002</v>
      </c>
      <c r="P162" s="7"/>
      <c r="Q162" s="13"/>
      <c r="R162" s="14"/>
      <c r="S162" s="14"/>
      <c r="T162" s="27"/>
      <c r="U162" s="28">
        <f t="shared" si="8"/>
        <v>-3.6614490801162018E-2</v>
      </c>
    </row>
    <row r="163" spans="1:21" x14ac:dyDescent="0.25">
      <c r="B163" s="6" t="s">
        <v>54</v>
      </c>
      <c r="C163" s="15">
        <v>1575.57</v>
      </c>
      <c r="D163" s="16">
        <v>33.628</v>
      </c>
      <c r="E163" s="16">
        <v>38.835000000000001</v>
      </c>
      <c r="F163" s="16">
        <v>39.610999999999997</v>
      </c>
      <c r="G163" s="16">
        <v>1039.8599999999999</v>
      </c>
      <c r="H163" s="16">
        <f t="shared" si="6"/>
        <v>35.02675</v>
      </c>
      <c r="I163" s="5"/>
      <c r="J163" s="15">
        <v>1236.0871999999999</v>
      </c>
      <c r="K163" s="16">
        <v>34.782800000000002</v>
      </c>
      <c r="L163" s="16">
        <v>40.318399999999997</v>
      </c>
      <c r="M163" s="16">
        <v>41.155700000000003</v>
      </c>
      <c r="N163" s="16">
        <v>686.49890000000005</v>
      </c>
      <c r="O163" s="16">
        <f t="shared" si="7"/>
        <v>36.271362500000002</v>
      </c>
      <c r="P163" s="7"/>
      <c r="Q163" s="8">
        <f>bdrate(C163:C166,D163:D166,J163:J166,K163:K166)</f>
        <v>-0.45749609762853949</v>
      </c>
      <c r="R163" s="8">
        <f>bdrate(C163:C166,E163:E166,J163:J166,L163:L166)</f>
        <v>-0.56022074923030707</v>
      </c>
      <c r="S163" s="8">
        <f>bdrate(C163:C166,F163:F166,J163:J166,M163:M166)</f>
        <v>-0.53243121386773362</v>
      </c>
      <c r="T163" s="25">
        <f>bdrate(C163:C166,H163:H166,J163:J166,O163:O166)</f>
        <v>-0.47229525360424707</v>
      </c>
      <c r="U163" s="28">
        <f t="shared" si="8"/>
        <v>-0.33981603292750934</v>
      </c>
    </row>
    <row r="164" spans="1:21" x14ac:dyDescent="0.25">
      <c r="B164" s="9"/>
      <c r="C164" s="17">
        <v>1065.8399999999999</v>
      </c>
      <c r="D164" s="18">
        <v>31.891999999999999</v>
      </c>
      <c r="E164" s="18">
        <v>38.146999999999998</v>
      </c>
      <c r="F164" s="18">
        <v>38.844000000000001</v>
      </c>
      <c r="G164" s="18">
        <v>1069.52</v>
      </c>
      <c r="H164" s="18">
        <f t="shared" si="6"/>
        <v>33.542875000000002</v>
      </c>
      <c r="I164" s="5"/>
      <c r="J164" s="17">
        <v>824.68719999999996</v>
      </c>
      <c r="K164" s="18">
        <v>33.2453</v>
      </c>
      <c r="L164" s="18">
        <v>39.406799999999997</v>
      </c>
      <c r="M164" s="18">
        <v>40.116900000000001</v>
      </c>
      <c r="N164" s="18">
        <v>785.34029999999996</v>
      </c>
      <c r="O164" s="18">
        <f t="shared" si="7"/>
        <v>34.874437499999999</v>
      </c>
      <c r="P164" s="7"/>
      <c r="Q164" s="10"/>
      <c r="R164" s="11"/>
      <c r="S164" s="11"/>
      <c r="T164" s="26"/>
      <c r="U164" s="28">
        <f t="shared" si="8"/>
        <v>-0.26570770065075927</v>
      </c>
    </row>
    <row r="165" spans="1:21" x14ac:dyDescent="0.25">
      <c r="B165" s="9"/>
      <c r="C165" s="17">
        <v>661.84</v>
      </c>
      <c r="D165" s="18">
        <v>29.693000000000001</v>
      </c>
      <c r="E165" s="18">
        <v>37.331000000000003</v>
      </c>
      <c r="F165" s="18">
        <v>37.933</v>
      </c>
      <c r="G165" s="18">
        <v>1067.6199999999999</v>
      </c>
      <c r="H165" s="18">
        <f t="shared" si="6"/>
        <v>31.677750000000003</v>
      </c>
      <c r="I165" s="5"/>
      <c r="J165" s="17">
        <v>514.37279999999998</v>
      </c>
      <c r="K165" s="18">
        <v>31.360900000000001</v>
      </c>
      <c r="L165" s="18">
        <v>38.353000000000002</v>
      </c>
      <c r="M165" s="18">
        <v>38.955500000000001</v>
      </c>
      <c r="N165" s="18">
        <v>817.43870000000004</v>
      </c>
      <c r="O165" s="18">
        <f t="shared" si="7"/>
        <v>33.184237500000002</v>
      </c>
      <c r="P165" s="7"/>
      <c r="Q165" s="10"/>
      <c r="R165" s="11"/>
      <c r="S165" s="11"/>
      <c r="T165" s="26"/>
      <c r="U165" s="28">
        <f t="shared" si="8"/>
        <v>-0.23433553136883897</v>
      </c>
    </row>
    <row r="166" spans="1:21" ht="16.5" thickBot="1" x14ac:dyDescent="0.3">
      <c r="B166" s="12"/>
      <c r="C166" s="19">
        <v>408.76</v>
      </c>
      <c r="D166" s="20">
        <v>27.327000000000002</v>
      </c>
      <c r="E166" s="20">
        <v>36.576999999999998</v>
      </c>
      <c r="F166" s="20">
        <v>37.088999999999999</v>
      </c>
      <c r="G166" s="20">
        <v>1011.8</v>
      </c>
      <c r="H166" s="20">
        <f t="shared" si="6"/>
        <v>29.703500000000002</v>
      </c>
      <c r="I166" s="5"/>
      <c r="J166" s="19">
        <v>308.2072</v>
      </c>
      <c r="K166" s="20">
        <v>29.313800000000001</v>
      </c>
      <c r="L166" s="20">
        <v>37.307899999999997</v>
      </c>
      <c r="M166" s="20">
        <v>37.756100000000004</v>
      </c>
      <c r="N166" s="20">
        <v>1098.9011</v>
      </c>
      <c r="O166" s="20">
        <f t="shared" si="7"/>
        <v>31.36835</v>
      </c>
      <c r="P166" s="7"/>
      <c r="Q166" s="13"/>
      <c r="R166" s="14"/>
      <c r="S166" s="14"/>
      <c r="T166" s="27"/>
      <c r="U166" s="28">
        <f t="shared" si="8"/>
        <v>8.6085293536272076E-2</v>
      </c>
    </row>
    <row r="167" spans="1:21" x14ac:dyDescent="0.25">
      <c r="B167" s="6" t="s">
        <v>55</v>
      </c>
      <c r="C167" s="15">
        <v>1472.36</v>
      </c>
      <c r="D167" s="16">
        <v>28.135999999999999</v>
      </c>
      <c r="E167" s="16">
        <v>34.825000000000003</v>
      </c>
      <c r="F167" s="16">
        <v>35.500999999999998</v>
      </c>
      <c r="G167" s="16">
        <v>1103.75</v>
      </c>
      <c r="H167" s="16">
        <f t="shared" si="6"/>
        <v>29.892750000000003</v>
      </c>
      <c r="I167" s="5"/>
      <c r="J167" s="15">
        <v>1217.8096</v>
      </c>
      <c r="K167" s="16">
        <v>29.919799999999999</v>
      </c>
      <c r="L167" s="16">
        <v>36.532600000000002</v>
      </c>
      <c r="M167" s="16">
        <v>37.337600000000002</v>
      </c>
      <c r="N167" s="16">
        <v>616.52279999999996</v>
      </c>
      <c r="O167" s="16">
        <f t="shared" si="7"/>
        <v>31.673625000000001</v>
      </c>
      <c r="P167" s="7"/>
      <c r="Q167" s="8">
        <f>bdrate(C167:C170,D167:D170,J167:J170,K167:K170)</f>
        <v>-0.54232938202132075</v>
      </c>
      <c r="R167" s="8">
        <f>bdrate(C167:C170,E167:E170,J167:J170,L167:L170)</f>
        <v>-0.65204784743630517</v>
      </c>
      <c r="S167" s="8">
        <f>bdrate(C167:C170,F167:F170,J167:J170,M167:M170)</f>
        <v>-0.63450904062707836</v>
      </c>
      <c r="T167" s="25">
        <f>bdrate(C167:C170,H167:H170,J167:J170,O167:O170)</f>
        <v>-0.55872865207210332</v>
      </c>
      <c r="U167" s="28">
        <f t="shared" si="8"/>
        <v>-0.44142894677236699</v>
      </c>
    </row>
    <row r="168" spans="1:21" x14ac:dyDescent="0.25">
      <c r="B168" s="9"/>
      <c r="C168" s="17">
        <v>998.2</v>
      </c>
      <c r="D168" s="18">
        <v>26.809000000000001</v>
      </c>
      <c r="E168" s="18">
        <v>34.341999999999999</v>
      </c>
      <c r="F168" s="18">
        <v>35.058999999999997</v>
      </c>
      <c r="G168" s="18">
        <v>1146.79</v>
      </c>
      <c r="H168" s="18">
        <f t="shared" si="6"/>
        <v>28.781875000000003</v>
      </c>
      <c r="I168" s="5"/>
      <c r="J168" s="17">
        <v>809.85519999999997</v>
      </c>
      <c r="K168" s="18">
        <v>28.5776</v>
      </c>
      <c r="L168" s="18">
        <v>35.7577</v>
      </c>
      <c r="M168" s="18">
        <v>36.514200000000002</v>
      </c>
      <c r="N168" s="18">
        <v>745.15650000000005</v>
      </c>
      <c r="O168" s="18">
        <f t="shared" si="7"/>
        <v>30.467187500000001</v>
      </c>
      <c r="P168" s="7"/>
      <c r="Q168" s="10"/>
      <c r="R168" s="11"/>
      <c r="S168" s="11"/>
      <c r="T168" s="26"/>
      <c r="U168" s="28">
        <f t="shared" si="8"/>
        <v>-0.35022410380278857</v>
      </c>
    </row>
    <row r="169" spans="1:21" x14ac:dyDescent="0.25">
      <c r="B169" s="9"/>
      <c r="C169" s="17">
        <v>615.78</v>
      </c>
      <c r="D169" s="18">
        <v>25.317</v>
      </c>
      <c r="E169" s="18">
        <v>33.914999999999999</v>
      </c>
      <c r="F169" s="18">
        <v>34.67</v>
      </c>
      <c r="G169" s="18">
        <v>1106.19</v>
      </c>
      <c r="H169" s="18">
        <f t="shared" si="6"/>
        <v>27.560874999999996</v>
      </c>
      <c r="I169" s="5"/>
      <c r="J169" s="17">
        <v>508.80799999999999</v>
      </c>
      <c r="K169" s="18">
        <v>27.1465</v>
      </c>
      <c r="L169" s="18">
        <v>34.926400000000001</v>
      </c>
      <c r="M169" s="18">
        <v>35.624699999999997</v>
      </c>
      <c r="N169" s="18">
        <v>889.67970000000003</v>
      </c>
      <c r="O169" s="18">
        <f t="shared" si="7"/>
        <v>29.178762499999998</v>
      </c>
      <c r="P169" s="7"/>
      <c r="Q169" s="10"/>
      <c r="R169" s="11"/>
      <c r="S169" s="11"/>
      <c r="T169" s="26"/>
      <c r="U169" s="28">
        <f t="shared" si="8"/>
        <v>-0.19572614107883818</v>
      </c>
    </row>
    <row r="170" spans="1:21" ht="16.5" thickBot="1" x14ac:dyDescent="0.3">
      <c r="B170" s="12"/>
      <c r="C170" s="19">
        <v>381.83</v>
      </c>
      <c r="D170" s="20">
        <v>23.952000000000002</v>
      </c>
      <c r="E170" s="20">
        <v>33.594999999999999</v>
      </c>
      <c r="F170" s="20">
        <v>34.268000000000001</v>
      </c>
      <c r="G170" s="20">
        <v>1144.1600000000001</v>
      </c>
      <c r="H170" s="20">
        <f t="shared" si="6"/>
        <v>26.446875000000002</v>
      </c>
      <c r="I170" s="5"/>
      <c r="J170" s="19">
        <v>305.80239999999998</v>
      </c>
      <c r="K170" s="20">
        <v>25.6599</v>
      </c>
      <c r="L170" s="20">
        <v>34.107900000000001</v>
      </c>
      <c r="M170" s="20">
        <v>34.7517</v>
      </c>
      <c r="N170" s="20">
        <v>1068.3761</v>
      </c>
      <c r="O170" s="20">
        <f t="shared" si="7"/>
        <v>27.852375000000002</v>
      </c>
      <c r="P170" s="7"/>
      <c r="Q170" s="13"/>
      <c r="R170" s="14"/>
      <c r="S170" s="14"/>
      <c r="T170" s="27"/>
      <c r="U170" s="28">
        <f t="shared" si="8"/>
        <v>-6.6235404139281334E-2</v>
      </c>
    </row>
    <row r="171" spans="1:21" x14ac:dyDescent="0.25">
      <c r="B171" s="6" t="s">
        <v>56</v>
      </c>
      <c r="C171" s="15">
        <v>1493.33</v>
      </c>
      <c r="D171" s="16">
        <v>31.760999999999999</v>
      </c>
      <c r="E171" s="16">
        <v>36.057000000000002</v>
      </c>
      <c r="F171" s="16">
        <v>37.654000000000003</v>
      </c>
      <c r="G171" s="16">
        <v>835.65</v>
      </c>
      <c r="H171" s="16">
        <f t="shared" si="6"/>
        <v>33.034624999999998</v>
      </c>
      <c r="I171" s="5"/>
      <c r="J171" s="15">
        <v>1207.212</v>
      </c>
      <c r="K171" s="16">
        <v>31.835999999999999</v>
      </c>
      <c r="L171" s="16">
        <v>36.6038</v>
      </c>
      <c r="M171" s="16">
        <v>38.166200000000003</v>
      </c>
      <c r="N171" s="16">
        <v>480.76920000000001</v>
      </c>
      <c r="O171" s="16">
        <f t="shared" si="7"/>
        <v>33.22325</v>
      </c>
      <c r="P171" s="7"/>
      <c r="Q171" s="8">
        <f>bdrate(C171:C174,D171:D174,J171:J174,K171:K174)</f>
        <v>-0.27626482318007195</v>
      </c>
      <c r="R171" s="8">
        <f>bdrate(C171:C174,E171:E174,J171:J174,L171:L174)</f>
        <v>-0.32252966079957379</v>
      </c>
      <c r="S171" s="8">
        <f>bdrate(C171:C174,F171:F174,J171:J174,M171:M174)</f>
        <v>-0.31790146229433103</v>
      </c>
      <c r="T171" s="25">
        <f>bdrate(C171:C174,H171:H174,J171:J174,O171:O174)</f>
        <v>-0.28540550604201742</v>
      </c>
      <c r="U171" s="28">
        <f t="shared" si="8"/>
        <v>-0.42467635971997841</v>
      </c>
    </row>
    <row r="172" spans="1:21" x14ac:dyDescent="0.25">
      <c r="B172" s="9"/>
      <c r="C172" s="17">
        <v>1020.21</v>
      </c>
      <c r="D172" s="18">
        <v>30.192</v>
      </c>
      <c r="E172" s="18">
        <v>35.381</v>
      </c>
      <c r="F172" s="18">
        <v>36.951999999999998</v>
      </c>
      <c r="G172" s="18">
        <v>874.64</v>
      </c>
      <c r="H172" s="18">
        <f t="shared" si="6"/>
        <v>31.685624999999998</v>
      </c>
      <c r="I172" s="5"/>
      <c r="J172" s="17">
        <v>803.23599999999999</v>
      </c>
      <c r="K172" s="18">
        <v>30.3721</v>
      </c>
      <c r="L172" s="18">
        <v>35.762</v>
      </c>
      <c r="M172" s="18">
        <v>37.323999999999998</v>
      </c>
      <c r="N172" s="18">
        <v>582.52430000000004</v>
      </c>
      <c r="O172" s="18">
        <f t="shared" si="7"/>
        <v>31.914825</v>
      </c>
      <c r="P172" s="7"/>
      <c r="Q172" s="10"/>
      <c r="R172" s="11"/>
      <c r="S172" s="11"/>
      <c r="T172" s="26"/>
      <c r="U172" s="28">
        <f t="shared" si="8"/>
        <v>-0.3339839248147809</v>
      </c>
    </row>
    <row r="173" spans="1:21" x14ac:dyDescent="0.25">
      <c r="B173" s="9"/>
      <c r="C173" s="17">
        <v>642.36</v>
      </c>
      <c r="D173" s="18">
        <v>28.402000000000001</v>
      </c>
      <c r="E173" s="18">
        <v>34.679000000000002</v>
      </c>
      <c r="F173" s="18">
        <v>36.189</v>
      </c>
      <c r="G173" s="18">
        <v>802.14</v>
      </c>
      <c r="H173" s="18">
        <f t="shared" si="6"/>
        <v>30.16</v>
      </c>
      <c r="I173" s="5"/>
      <c r="J173" s="17">
        <v>501.7552</v>
      </c>
      <c r="K173" s="18">
        <v>28.7775</v>
      </c>
      <c r="L173" s="18">
        <v>34.881</v>
      </c>
      <c r="M173" s="18">
        <v>36.405299999999997</v>
      </c>
      <c r="N173" s="18">
        <v>686.49890000000005</v>
      </c>
      <c r="O173" s="18">
        <f t="shared" si="7"/>
        <v>30.4939125</v>
      </c>
      <c r="P173" s="7"/>
      <c r="Q173" s="10"/>
      <c r="R173" s="11"/>
      <c r="S173" s="11"/>
      <c r="T173" s="26"/>
      <c r="U173" s="28">
        <f t="shared" si="8"/>
        <v>-0.14416573166778859</v>
      </c>
    </row>
    <row r="174" spans="1:21" ht="16.5" thickBot="1" x14ac:dyDescent="0.3">
      <c r="B174" s="12"/>
      <c r="C174" s="19">
        <v>403.07</v>
      </c>
      <c r="D174" s="20">
        <v>26.661000000000001</v>
      </c>
      <c r="E174" s="20">
        <v>33.94</v>
      </c>
      <c r="F174" s="20">
        <v>35.387999999999998</v>
      </c>
      <c r="G174" s="20">
        <v>800</v>
      </c>
      <c r="H174" s="20">
        <f t="shared" si="6"/>
        <v>28.661750000000001</v>
      </c>
      <c r="I174" s="5"/>
      <c r="J174" s="19">
        <v>299.9504</v>
      </c>
      <c r="K174" s="20">
        <v>27.200800000000001</v>
      </c>
      <c r="L174" s="20">
        <v>33.913200000000003</v>
      </c>
      <c r="M174" s="20">
        <v>35.352699999999999</v>
      </c>
      <c r="N174" s="20">
        <v>835.65459999999996</v>
      </c>
      <c r="O174" s="20">
        <f t="shared" si="7"/>
        <v>29.058837499999999</v>
      </c>
      <c r="P174" s="7"/>
      <c r="Q174" s="13"/>
      <c r="R174" s="14"/>
      <c r="S174" s="14"/>
      <c r="T174" s="27"/>
      <c r="U174" s="28">
        <f t="shared" si="8"/>
        <v>4.4568249999999948E-2</v>
      </c>
    </row>
    <row r="175" spans="1:21" x14ac:dyDescent="0.25">
      <c r="A175" s="6" t="s">
        <v>41</v>
      </c>
      <c r="B175" s="6" t="s">
        <v>57</v>
      </c>
      <c r="C175" s="15">
        <v>835.37</v>
      </c>
      <c r="D175" s="16">
        <v>33.878</v>
      </c>
      <c r="E175" s="16">
        <v>38.328000000000003</v>
      </c>
      <c r="F175" s="16">
        <v>37.252000000000002</v>
      </c>
      <c r="G175" s="16">
        <v>3205.13</v>
      </c>
      <c r="H175" s="16">
        <f t="shared" si="6"/>
        <v>34.856000000000002</v>
      </c>
      <c r="I175" s="5"/>
      <c r="J175" s="15">
        <v>605.38080000000002</v>
      </c>
      <c r="K175" s="16">
        <v>34.012</v>
      </c>
      <c r="L175" s="16">
        <v>39.433300000000003</v>
      </c>
      <c r="M175" s="16">
        <v>37.883299999999998</v>
      </c>
      <c r="N175" s="16">
        <v>1457.7258999999999</v>
      </c>
      <c r="O175" s="16">
        <f t="shared" si="7"/>
        <v>35.173575</v>
      </c>
      <c r="P175" s="7"/>
      <c r="Q175" s="8">
        <f>bdrate(C175:C178,D175:D178,J175:J178,K175:K178)</f>
        <v>-0.31956178171343708</v>
      </c>
      <c r="R175" s="8">
        <f>bdrate(C175:C178,E175:E178,J175:J178,L175:L178)</f>
        <v>-0.47621408042309754</v>
      </c>
      <c r="S175" s="8">
        <f>bdrate(C175:C178,F175:F178,J175:J178,M175:M178)</f>
        <v>-0.3498427892377487</v>
      </c>
      <c r="T175" s="25">
        <f>bdrate(C175:C178,H175:H178,J175:J178,O175:O178)</f>
        <v>-0.33580239126902878</v>
      </c>
      <c r="U175" s="28">
        <f t="shared" si="8"/>
        <v>-0.54518977389372669</v>
      </c>
    </row>
    <row r="176" spans="1:21" x14ac:dyDescent="0.25">
      <c r="A176" s="9" t="s">
        <v>42</v>
      </c>
      <c r="B176" s="9"/>
      <c r="C176" s="17">
        <v>524.46</v>
      </c>
      <c r="D176" s="18">
        <v>31.73</v>
      </c>
      <c r="E176" s="18">
        <v>37.329000000000001</v>
      </c>
      <c r="F176" s="18">
        <v>36.005000000000003</v>
      </c>
      <c r="G176" s="18">
        <v>3546.1</v>
      </c>
      <c r="H176" s="18">
        <f t="shared" si="6"/>
        <v>32.96425</v>
      </c>
      <c r="I176" s="5"/>
      <c r="J176" s="17">
        <v>403.81599999999997</v>
      </c>
      <c r="K176" s="18">
        <v>32.216999999999999</v>
      </c>
      <c r="L176" s="18">
        <v>38.3127</v>
      </c>
      <c r="M176" s="18">
        <v>36.631799999999998</v>
      </c>
      <c r="N176" s="18">
        <v>1683.5017</v>
      </c>
      <c r="O176" s="18">
        <f t="shared" si="7"/>
        <v>33.530812499999996</v>
      </c>
      <c r="P176" s="7"/>
      <c r="Q176" s="10"/>
      <c r="R176" s="11"/>
      <c r="S176" s="11"/>
      <c r="T176" s="26"/>
      <c r="U176" s="28">
        <f t="shared" si="8"/>
        <v>-0.52525261554947689</v>
      </c>
    </row>
    <row r="177" spans="1:21" x14ac:dyDescent="0.25">
      <c r="B177" s="9"/>
      <c r="C177" s="17">
        <v>316.42</v>
      </c>
      <c r="D177" s="18">
        <v>29.597999999999999</v>
      </c>
      <c r="E177" s="18">
        <v>36.372999999999998</v>
      </c>
      <c r="F177" s="18">
        <v>34.866</v>
      </c>
      <c r="G177" s="18">
        <v>3571.43</v>
      </c>
      <c r="H177" s="18">
        <f t="shared" si="6"/>
        <v>31.103375</v>
      </c>
      <c r="I177" s="5"/>
      <c r="J177" s="17">
        <v>253.83760000000001</v>
      </c>
      <c r="K177" s="18">
        <v>30.267900000000001</v>
      </c>
      <c r="L177" s="18">
        <v>37.2318</v>
      </c>
      <c r="M177" s="18">
        <v>35.392200000000003</v>
      </c>
      <c r="N177" s="18">
        <v>2008.0320999999999</v>
      </c>
      <c r="O177" s="18">
        <f t="shared" si="7"/>
        <v>31.778925000000001</v>
      </c>
      <c r="P177" s="7"/>
      <c r="Q177" s="10"/>
      <c r="R177" s="11"/>
      <c r="S177" s="11"/>
      <c r="T177" s="26"/>
      <c r="U177" s="28">
        <f t="shared" si="8"/>
        <v>-0.43775123689950524</v>
      </c>
    </row>
    <row r="178" spans="1:21" ht="16.5" thickBot="1" x14ac:dyDescent="0.3">
      <c r="B178" s="12"/>
      <c r="C178" s="19">
        <v>161.88999999999999</v>
      </c>
      <c r="D178" s="20">
        <v>26.802</v>
      </c>
      <c r="E178" s="20">
        <v>35.262</v>
      </c>
      <c r="F178" s="20">
        <v>33.634</v>
      </c>
      <c r="G178" s="20">
        <v>4587.16</v>
      </c>
      <c r="H178" s="20">
        <f t="shared" si="6"/>
        <v>28.713500000000003</v>
      </c>
      <c r="I178" s="5"/>
      <c r="J178" s="19">
        <v>122.11839999999999</v>
      </c>
      <c r="K178" s="20">
        <v>27.457799999999999</v>
      </c>
      <c r="L178" s="20">
        <v>35.641599999999997</v>
      </c>
      <c r="M178" s="20">
        <v>33.434800000000003</v>
      </c>
      <c r="N178" s="20">
        <v>2906.9767000000002</v>
      </c>
      <c r="O178" s="20">
        <f t="shared" si="7"/>
        <v>29.227899999999998</v>
      </c>
      <c r="P178" s="7"/>
      <c r="Q178" s="13"/>
      <c r="R178" s="14"/>
      <c r="S178" s="14"/>
      <c r="T178" s="27"/>
      <c r="U178" s="28">
        <f t="shared" si="8"/>
        <v>-0.36627963707391931</v>
      </c>
    </row>
    <row r="179" spans="1:21" x14ac:dyDescent="0.25">
      <c r="B179" s="6" t="s">
        <v>58</v>
      </c>
      <c r="C179" s="15">
        <v>780.41</v>
      </c>
      <c r="D179" s="16">
        <v>30.885999999999999</v>
      </c>
      <c r="E179" s="16">
        <v>38.747999999999998</v>
      </c>
      <c r="F179" s="16">
        <v>39.286999999999999</v>
      </c>
      <c r="G179" s="16">
        <v>3846.15</v>
      </c>
      <c r="H179" s="16">
        <f t="shared" si="6"/>
        <v>32.918875</v>
      </c>
      <c r="I179" s="5"/>
      <c r="J179" s="15">
        <v>599.03520000000003</v>
      </c>
      <c r="K179" s="16">
        <v>33.218200000000003</v>
      </c>
      <c r="L179" s="16">
        <v>41.1678</v>
      </c>
      <c r="M179" s="16">
        <v>41.987900000000003</v>
      </c>
      <c r="N179" s="16">
        <v>1749.2710999999999</v>
      </c>
      <c r="O179" s="16">
        <f t="shared" si="7"/>
        <v>35.308112500000007</v>
      </c>
      <c r="P179" s="7"/>
      <c r="Q179" s="8">
        <f>bdrate(C179:C182,D179:D182,J179:J182,K179:K182)</f>
        <v>-0.61563214972698366</v>
      </c>
      <c r="R179" s="8">
        <f>bdrate(C179:C182,E179:E182,J179:J182,L179:L182)</f>
        <v>-0.71324597547408319</v>
      </c>
      <c r="S179" s="8">
        <f>bdrate(C179:C182,F179:F182,J179:J182,M179:M182)</f>
        <v>-0.7652421057266916</v>
      </c>
      <c r="T179" s="25">
        <f>bdrate(C179:C182,H179:H182,J179:J182,O179:O182)</f>
        <v>-0.63510768726823863</v>
      </c>
      <c r="U179" s="28">
        <f t="shared" si="8"/>
        <v>-0.54518905918905924</v>
      </c>
    </row>
    <row r="180" spans="1:21" x14ac:dyDescent="0.25">
      <c r="B180" s="9"/>
      <c r="C180" s="17">
        <v>482.97</v>
      </c>
      <c r="D180" s="18">
        <v>29.338000000000001</v>
      </c>
      <c r="E180" s="18">
        <v>38.363999999999997</v>
      </c>
      <c r="F180" s="18">
        <v>38.694000000000003</v>
      </c>
      <c r="G180" s="18">
        <v>4285.71</v>
      </c>
      <c r="H180" s="18">
        <f t="shared" si="6"/>
        <v>31.635750000000002</v>
      </c>
      <c r="I180" s="5"/>
      <c r="J180" s="17">
        <v>399.61200000000002</v>
      </c>
      <c r="K180" s="18">
        <v>31.918099999999999</v>
      </c>
      <c r="L180" s="18">
        <v>40.319899999999997</v>
      </c>
      <c r="M180" s="18">
        <v>41.1586</v>
      </c>
      <c r="N180" s="18">
        <v>2135.2312999999999</v>
      </c>
      <c r="O180" s="18">
        <f t="shared" si="7"/>
        <v>34.1233875</v>
      </c>
      <c r="P180" s="7"/>
      <c r="Q180" s="10"/>
      <c r="R180" s="11"/>
      <c r="S180" s="11"/>
      <c r="T180" s="26"/>
      <c r="U180" s="28">
        <f t="shared" si="8"/>
        <v>-0.50177886511219849</v>
      </c>
    </row>
    <row r="181" spans="1:21" x14ac:dyDescent="0.25">
      <c r="B181" s="9"/>
      <c r="C181" s="17">
        <v>286.44</v>
      </c>
      <c r="D181" s="18">
        <v>27.706</v>
      </c>
      <c r="E181" s="18">
        <v>37.912999999999997</v>
      </c>
      <c r="F181" s="18">
        <v>38.195</v>
      </c>
      <c r="G181" s="18">
        <v>4800</v>
      </c>
      <c r="H181" s="18">
        <f t="shared" si="6"/>
        <v>30.292999999999999</v>
      </c>
      <c r="I181" s="5"/>
      <c r="J181" s="17">
        <v>250.09119999999999</v>
      </c>
      <c r="K181" s="18">
        <v>30.372399999999999</v>
      </c>
      <c r="L181" s="18">
        <v>39.3339</v>
      </c>
      <c r="M181" s="18">
        <v>40.097200000000001</v>
      </c>
      <c r="N181" s="18">
        <v>2564.1026000000002</v>
      </c>
      <c r="O181" s="18">
        <f t="shared" si="7"/>
        <v>32.708187500000001</v>
      </c>
      <c r="P181" s="7"/>
      <c r="Q181" s="10"/>
      <c r="R181" s="11"/>
      <c r="S181" s="11"/>
      <c r="T181" s="26"/>
      <c r="U181" s="28">
        <f t="shared" si="8"/>
        <v>-0.46581195833333328</v>
      </c>
    </row>
    <row r="182" spans="1:21" ht="16.5" thickBot="1" x14ac:dyDescent="0.3">
      <c r="B182" s="12"/>
      <c r="C182" s="19">
        <v>140.85</v>
      </c>
      <c r="D182" s="20">
        <v>25.530999999999999</v>
      </c>
      <c r="E182" s="20">
        <v>37.31</v>
      </c>
      <c r="F182" s="20">
        <v>37.408999999999999</v>
      </c>
      <c r="G182" s="20">
        <v>5454.55</v>
      </c>
      <c r="H182" s="20">
        <f t="shared" si="6"/>
        <v>28.488124999999997</v>
      </c>
      <c r="I182" s="5"/>
      <c r="J182" s="19">
        <v>119.69759999999999</v>
      </c>
      <c r="K182" s="20">
        <v>27.811900000000001</v>
      </c>
      <c r="L182" s="20">
        <v>38.0779</v>
      </c>
      <c r="M182" s="20">
        <v>38.6357</v>
      </c>
      <c r="N182" s="20">
        <v>2955.665</v>
      </c>
      <c r="O182" s="20">
        <f t="shared" si="7"/>
        <v>30.448124999999997</v>
      </c>
      <c r="P182" s="7"/>
      <c r="Q182" s="13"/>
      <c r="R182" s="14"/>
      <c r="S182" s="14"/>
      <c r="T182" s="27"/>
      <c r="U182" s="28">
        <f t="shared" si="8"/>
        <v>-0.45812853489288763</v>
      </c>
    </row>
    <row r="183" spans="1:21" x14ac:dyDescent="0.25">
      <c r="B183" s="6" t="s">
        <v>59</v>
      </c>
      <c r="C183" s="29">
        <v>847.63</v>
      </c>
      <c r="D183" s="30">
        <v>32.155999999999999</v>
      </c>
      <c r="E183" s="30">
        <v>36.033000000000001</v>
      </c>
      <c r="F183" s="30">
        <v>36.475000000000001</v>
      </c>
      <c r="G183" s="16">
        <v>4000</v>
      </c>
      <c r="H183" s="16">
        <f t="shared" si="6"/>
        <v>33.180500000000002</v>
      </c>
      <c r="I183" s="5"/>
      <c r="J183" s="29">
        <v>642.44240000000002</v>
      </c>
      <c r="K183" s="30">
        <v>32.835799999999999</v>
      </c>
      <c r="L183" s="30">
        <v>37.982100000000003</v>
      </c>
      <c r="M183" s="30">
        <v>38.734299999999998</v>
      </c>
      <c r="N183" s="16">
        <v>1602.5641000000001</v>
      </c>
      <c r="O183" s="16">
        <f t="shared" si="7"/>
        <v>34.2164</v>
      </c>
      <c r="P183" s="7"/>
      <c r="Q183" s="8">
        <f>bdrate(C183:C186,D183:D186,J183:J186,K183:K186)</f>
        <v>-0.39882059495812827</v>
      </c>
      <c r="R183" s="8">
        <f>bdrate(C183:C186,E183:E186,J183:J186,L183:L186)</f>
        <v>-0.64952023541230186</v>
      </c>
      <c r="S183" s="8">
        <f>bdrate(C183:C186,F183:F186,J183:J186,M183:M186)</f>
        <v>-0.69522720262314419</v>
      </c>
      <c r="T183" s="25">
        <f>bdrate(C183:C186,H183:H186,J183:J186,O183:O186)</f>
        <v>-0.45316671550789722</v>
      </c>
      <c r="U183" s="28">
        <f t="shared" si="8"/>
        <v>-0.59935897500000002</v>
      </c>
    </row>
    <row r="184" spans="1:21" x14ac:dyDescent="0.25">
      <c r="B184" s="9"/>
      <c r="C184" s="31">
        <v>527.67999999999995</v>
      </c>
      <c r="D184" s="32">
        <v>30.26</v>
      </c>
      <c r="E184" s="32">
        <v>35.063000000000002</v>
      </c>
      <c r="F184" s="32">
        <v>35.493000000000002</v>
      </c>
      <c r="G184" s="18">
        <v>4545.45</v>
      </c>
      <c r="H184" s="18">
        <f t="shared" si="6"/>
        <v>31.514499999999998</v>
      </c>
      <c r="I184" s="5"/>
      <c r="J184" s="31">
        <v>426.2072</v>
      </c>
      <c r="K184" s="32">
        <v>31.2898</v>
      </c>
      <c r="L184" s="32">
        <v>36.943199999999997</v>
      </c>
      <c r="M184" s="32">
        <v>37.689900000000002</v>
      </c>
      <c r="N184" s="18">
        <v>1779.3594000000001</v>
      </c>
      <c r="O184" s="18">
        <f t="shared" si="7"/>
        <v>32.796487499999998</v>
      </c>
      <c r="P184" s="7"/>
      <c r="Q184" s="10"/>
      <c r="R184" s="11"/>
      <c r="S184" s="11"/>
      <c r="T184" s="26"/>
      <c r="U184" s="28">
        <f t="shared" si="8"/>
        <v>-0.60854054054054041</v>
      </c>
    </row>
    <row r="185" spans="1:21" x14ac:dyDescent="0.25">
      <c r="B185" s="9"/>
      <c r="C185" s="31">
        <v>315</v>
      </c>
      <c r="D185" s="32">
        <v>28.393000000000001</v>
      </c>
      <c r="E185" s="32">
        <v>34.24</v>
      </c>
      <c r="F185" s="32">
        <v>34.753999999999998</v>
      </c>
      <c r="G185" s="18">
        <v>4587.16</v>
      </c>
      <c r="H185" s="18">
        <f t="shared" si="6"/>
        <v>29.919</v>
      </c>
      <c r="I185" s="5"/>
      <c r="J185" s="31">
        <v>263.73039999999997</v>
      </c>
      <c r="K185" s="32">
        <v>29.601400000000002</v>
      </c>
      <c r="L185" s="32">
        <v>35.837200000000003</v>
      </c>
      <c r="M185" s="32">
        <v>36.569299999999998</v>
      </c>
      <c r="N185" s="18">
        <v>2136.7521000000002</v>
      </c>
      <c r="O185" s="18">
        <f t="shared" si="7"/>
        <v>31.251862500000001</v>
      </c>
      <c r="P185" s="7"/>
      <c r="Q185" s="10"/>
      <c r="R185" s="11"/>
      <c r="S185" s="11"/>
      <c r="T185" s="26"/>
      <c r="U185" s="28">
        <f t="shared" si="8"/>
        <v>-0.5341884521141621</v>
      </c>
    </row>
    <row r="186" spans="1:21" ht="16.5" thickBot="1" x14ac:dyDescent="0.3">
      <c r="B186" s="12"/>
      <c r="C186" s="33">
        <v>154.66</v>
      </c>
      <c r="D186" s="34">
        <v>26.143000000000001</v>
      </c>
      <c r="E186" s="34">
        <v>33.448999999999998</v>
      </c>
      <c r="F186" s="34">
        <v>34.01</v>
      </c>
      <c r="G186" s="20">
        <v>5376.34</v>
      </c>
      <c r="H186" s="20">
        <f t="shared" si="6"/>
        <v>28.039625000000001</v>
      </c>
      <c r="I186" s="5"/>
      <c r="J186" s="33">
        <v>128.33760000000001</v>
      </c>
      <c r="K186" s="34">
        <v>27.202999999999999</v>
      </c>
      <c r="L186" s="34">
        <v>34.322699999999998</v>
      </c>
      <c r="M186" s="34">
        <v>35.000900000000001</v>
      </c>
      <c r="N186" s="20">
        <v>2906.9767000000002</v>
      </c>
      <c r="O186" s="20">
        <f t="shared" si="7"/>
        <v>29.067699999999999</v>
      </c>
      <c r="P186" s="7"/>
      <c r="Q186" s="13"/>
      <c r="R186" s="14"/>
      <c r="S186" s="14"/>
      <c r="T186" s="27"/>
      <c r="U186" s="28">
        <f t="shared" si="8"/>
        <v>-0.45930192286946137</v>
      </c>
    </row>
    <row r="187" spans="1:21" x14ac:dyDescent="0.25">
      <c r="B187" s="6" t="s">
        <v>60</v>
      </c>
      <c r="C187" s="15">
        <v>799.76</v>
      </c>
      <c r="D187" s="16">
        <v>33.646000000000001</v>
      </c>
      <c r="E187" s="16">
        <v>36.613999999999997</v>
      </c>
      <c r="F187" s="16">
        <v>37.659999999999997</v>
      </c>
      <c r="G187" s="16">
        <v>3191.49</v>
      </c>
      <c r="H187" s="16">
        <f t="shared" si="6"/>
        <v>34.518749999999997</v>
      </c>
      <c r="I187" s="5"/>
      <c r="J187" s="15">
        <v>603.26800000000003</v>
      </c>
      <c r="K187" s="16">
        <v>33.445500000000003</v>
      </c>
      <c r="L187" s="16">
        <v>37.404299999999999</v>
      </c>
      <c r="M187" s="16">
        <v>38.442500000000003</v>
      </c>
      <c r="N187" s="16">
        <v>1067.6157000000001</v>
      </c>
      <c r="O187" s="16">
        <f t="shared" si="7"/>
        <v>34.564975000000004</v>
      </c>
      <c r="P187" s="7"/>
      <c r="Q187" s="8">
        <f>bdrate(C187:C190,D187:D190,J187:J190,K187:K190)</f>
        <v>-0.22266374222215712</v>
      </c>
      <c r="R187" s="8">
        <f>bdrate(C187:C190,E187:E190,J187:J190,L187:L190)</f>
        <v>-0.40520056418033223</v>
      </c>
      <c r="S187" s="8">
        <f>bdrate(C187:C190,F187:F190,J187:J190,M187:M190)</f>
        <v>-0.38900149334742817</v>
      </c>
      <c r="T187" s="25">
        <f>bdrate(C187:C190,H187:H190,J187:J190,O187:O190)</f>
        <v>-0.2535007264129473</v>
      </c>
      <c r="U187" s="28">
        <f t="shared" si="8"/>
        <v>-0.66548048090390366</v>
      </c>
    </row>
    <row r="188" spans="1:21" x14ac:dyDescent="0.25">
      <c r="B188" s="9"/>
      <c r="C188" s="17">
        <v>501.29</v>
      </c>
      <c r="D188" s="18">
        <v>31.536999999999999</v>
      </c>
      <c r="E188" s="18">
        <v>35.454999999999998</v>
      </c>
      <c r="F188" s="18">
        <v>36.503</v>
      </c>
      <c r="G188" s="18">
        <v>3191.49</v>
      </c>
      <c r="H188" s="18">
        <f t="shared" si="6"/>
        <v>32.647499999999994</v>
      </c>
      <c r="I188" s="5"/>
      <c r="J188" s="17">
        <v>400.8888</v>
      </c>
      <c r="K188" s="18">
        <v>31.555099999999999</v>
      </c>
      <c r="L188" s="18">
        <v>36.328099999999999</v>
      </c>
      <c r="M188" s="18">
        <v>37.392200000000003</v>
      </c>
      <c r="N188" s="18">
        <v>1282.0513000000001</v>
      </c>
      <c r="O188" s="18">
        <f t="shared" si="7"/>
        <v>32.881362500000002</v>
      </c>
      <c r="P188" s="7"/>
      <c r="Q188" s="10"/>
      <c r="R188" s="11"/>
      <c r="S188" s="11"/>
      <c r="T188" s="26"/>
      <c r="U188" s="28">
        <f t="shared" si="8"/>
        <v>-0.598290673008532</v>
      </c>
    </row>
    <row r="189" spans="1:21" x14ac:dyDescent="0.25">
      <c r="B189" s="9"/>
      <c r="C189" s="17">
        <v>301.44</v>
      </c>
      <c r="D189" s="18">
        <v>29.495000000000001</v>
      </c>
      <c r="E189" s="18">
        <v>34.502000000000002</v>
      </c>
      <c r="F189" s="18">
        <v>35.569000000000003</v>
      </c>
      <c r="G189" s="18">
        <v>3225.81</v>
      </c>
      <c r="H189" s="18">
        <f t="shared" si="6"/>
        <v>30.880125</v>
      </c>
      <c r="I189" s="5"/>
      <c r="J189" s="17">
        <v>251.4016</v>
      </c>
      <c r="K189" s="18">
        <v>29.766200000000001</v>
      </c>
      <c r="L189" s="18">
        <v>35.148499999999999</v>
      </c>
      <c r="M189" s="18">
        <v>36.180999999999997</v>
      </c>
      <c r="N189" s="18">
        <v>1604.2781</v>
      </c>
      <c r="O189" s="18">
        <f t="shared" si="7"/>
        <v>31.240837499999998</v>
      </c>
      <c r="P189" s="7"/>
      <c r="Q189" s="10"/>
      <c r="R189" s="11"/>
      <c r="S189" s="11"/>
      <c r="T189" s="26"/>
      <c r="U189" s="28">
        <f t="shared" si="8"/>
        <v>-0.50267433605823031</v>
      </c>
    </row>
    <row r="190" spans="1:21" ht="16.5" thickBot="1" x14ac:dyDescent="0.3">
      <c r="B190" s="12"/>
      <c r="C190" s="19">
        <v>150.62</v>
      </c>
      <c r="D190" s="20">
        <v>26.914999999999999</v>
      </c>
      <c r="E190" s="20">
        <v>33.377000000000002</v>
      </c>
      <c r="F190" s="20">
        <v>34.356000000000002</v>
      </c>
      <c r="G190" s="20">
        <v>3846.15</v>
      </c>
      <c r="H190" s="20">
        <f t="shared" si="6"/>
        <v>28.652875000000002</v>
      </c>
      <c r="I190" s="5"/>
      <c r="J190" s="19">
        <v>121.5056</v>
      </c>
      <c r="K190" s="20">
        <v>27.255800000000001</v>
      </c>
      <c r="L190" s="20">
        <v>33.641199999999998</v>
      </c>
      <c r="M190" s="20">
        <v>34.527500000000003</v>
      </c>
      <c r="N190" s="20">
        <v>2419.3548000000001</v>
      </c>
      <c r="O190" s="20">
        <f t="shared" si="7"/>
        <v>28.962937500000002</v>
      </c>
      <c r="P190" s="7"/>
      <c r="Q190" s="13"/>
      <c r="R190" s="14"/>
      <c r="S190" s="14"/>
      <c r="T190" s="27"/>
      <c r="U190" s="28">
        <f t="shared" si="8"/>
        <v>-0.37096712296712298</v>
      </c>
    </row>
    <row r="191" spans="1:21" x14ac:dyDescent="0.25">
      <c r="A191" s="6" t="s">
        <v>43</v>
      </c>
      <c r="B191" s="6" t="s">
        <v>61</v>
      </c>
      <c r="C191" s="15">
        <v>1958.15</v>
      </c>
      <c r="D191" s="16">
        <v>40.238</v>
      </c>
      <c r="E191" s="16">
        <v>44.073</v>
      </c>
      <c r="F191" s="16">
        <v>45.156999999999996</v>
      </c>
      <c r="G191" s="16">
        <v>601.20000000000005</v>
      </c>
      <c r="H191" s="16">
        <f t="shared" si="6"/>
        <v>41.332249999999995</v>
      </c>
      <c r="I191" s="5"/>
      <c r="J191" s="15">
        <v>1499.9151999999999</v>
      </c>
      <c r="K191" s="16">
        <v>41.126399999999997</v>
      </c>
      <c r="L191" s="16">
        <v>45.6751</v>
      </c>
      <c r="M191" s="16">
        <v>46.859200000000001</v>
      </c>
      <c r="N191" s="16">
        <v>436.99930000000001</v>
      </c>
      <c r="O191" s="16">
        <f t="shared" si="7"/>
        <v>42.411587499999996</v>
      </c>
      <c r="P191" s="7"/>
      <c r="Q191" s="8">
        <f>bdrate(C191:C194,D191:D194,J191:J194,K191:K194)</f>
        <v>-0.478686349521806</v>
      </c>
      <c r="R191" s="8">
        <f>bdrate(C191:C194,E191:E194,J191:J194,L191:L194)</f>
        <v>-0.6061298721899584</v>
      </c>
      <c r="S191" s="8">
        <f>bdrate(C191:C194,F191:F194,J191:J194,M191:M194)</f>
        <v>-0.598542988131333</v>
      </c>
      <c r="T191" s="25">
        <f>bdrate(C191:C194,H191:H194,J191:J194,O191:O194)</f>
        <v>-0.50257368800540481</v>
      </c>
      <c r="U191" s="28">
        <f t="shared" si="8"/>
        <v>-0.27312159015302734</v>
      </c>
    </row>
    <row r="192" spans="1:21" x14ac:dyDescent="0.25">
      <c r="A192" s="9" t="s">
        <v>44</v>
      </c>
      <c r="B192" s="9"/>
      <c r="C192" s="17">
        <v>1282.98</v>
      </c>
      <c r="D192" s="18">
        <v>38.667999999999999</v>
      </c>
      <c r="E192" s="18">
        <v>42.904000000000003</v>
      </c>
      <c r="F192" s="18">
        <v>44.064</v>
      </c>
      <c r="G192" s="18">
        <v>641.03</v>
      </c>
      <c r="H192" s="18">
        <f t="shared" si="6"/>
        <v>39.872</v>
      </c>
      <c r="I192" s="5"/>
      <c r="J192" s="17">
        <v>991.87519999999995</v>
      </c>
      <c r="K192" s="18">
        <v>39.963700000000003</v>
      </c>
      <c r="L192" s="18">
        <v>44.723700000000001</v>
      </c>
      <c r="M192" s="18">
        <v>45.8523</v>
      </c>
      <c r="N192" s="18">
        <v>493.01560000000001</v>
      </c>
      <c r="O192" s="18">
        <f t="shared" si="7"/>
        <v>41.294775000000001</v>
      </c>
      <c r="P192" s="7"/>
      <c r="Q192" s="10"/>
      <c r="R192" s="11"/>
      <c r="S192" s="11"/>
      <c r="T192" s="26"/>
      <c r="U192" s="28">
        <f t="shared" si="8"/>
        <v>-0.23090089387392163</v>
      </c>
    </row>
    <row r="193" spans="1:21" x14ac:dyDescent="0.25">
      <c r="B193" s="9"/>
      <c r="C193" s="17">
        <v>765.29</v>
      </c>
      <c r="D193" s="18">
        <v>36.353999999999999</v>
      </c>
      <c r="E193" s="18">
        <v>41.707999999999998</v>
      </c>
      <c r="F193" s="18">
        <v>42.744</v>
      </c>
      <c r="G193" s="18">
        <v>641.03</v>
      </c>
      <c r="H193" s="18">
        <f t="shared" si="6"/>
        <v>37.822000000000003</v>
      </c>
      <c r="I193" s="5"/>
      <c r="J193" s="17">
        <v>576.10479999999995</v>
      </c>
      <c r="K193" s="18">
        <v>38.019500000000001</v>
      </c>
      <c r="L193" s="18">
        <v>43.292400000000001</v>
      </c>
      <c r="M193" s="18">
        <v>44.410400000000003</v>
      </c>
      <c r="N193" s="18">
        <v>542.00540000000001</v>
      </c>
      <c r="O193" s="18">
        <f t="shared" si="7"/>
        <v>39.477474999999998</v>
      </c>
      <c r="P193" s="7"/>
      <c r="Q193" s="10"/>
      <c r="R193" s="11"/>
      <c r="S193" s="11"/>
      <c r="T193" s="26"/>
      <c r="U193" s="28">
        <f t="shared" si="8"/>
        <v>-0.1544773255541862</v>
      </c>
    </row>
    <row r="194" spans="1:21" ht="16.5" thickBot="1" x14ac:dyDescent="0.3">
      <c r="B194" s="12"/>
      <c r="C194" s="19">
        <v>351.85</v>
      </c>
      <c r="D194" s="20">
        <v>32.454999999999998</v>
      </c>
      <c r="E194" s="20">
        <v>39.734999999999999</v>
      </c>
      <c r="F194" s="20">
        <v>40.530999999999999</v>
      </c>
      <c r="G194" s="20">
        <v>641.03</v>
      </c>
      <c r="H194" s="20">
        <f t="shared" si="6"/>
        <v>34.374499999999998</v>
      </c>
      <c r="I194" s="5"/>
      <c r="J194" s="19">
        <v>283.01760000000002</v>
      </c>
      <c r="K194" s="20">
        <v>34.805700000000002</v>
      </c>
      <c r="L194" s="20">
        <v>41.462699999999998</v>
      </c>
      <c r="M194" s="20">
        <v>42.4</v>
      </c>
      <c r="N194" s="20">
        <v>630.25210000000004</v>
      </c>
      <c r="O194" s="20">
        <f t="shared" si="7"/>
        <v>36.587112499999996</v>
      </c>
      <c r="P194" s="7"/>
      <c r="Q194" s="13"/>
      <c r="R194" s="14"/>
      <c r="S194" s="14"/>
      <c r="T194" s="27"/>
      <c r="U194" s="28">
        <f t="shared" si="8"/>
        <v>-1.6813409668814144E-2</v>
      </c>
    </row>
    <row r="195" spans="1:21" x14ac:dyDescent="0.25">
      <c r="B195" s="6" t="s">
        <v>62</v>
      </c>
      <c r="C195" s="15">
        <v>2026.2</v>
      </c>
      <c r="D195" s="16">
        <v>41.892000000000003</v>
      </c>
      <c r="E195" s="16">
        <v>46.414000000000001</v>
      </c>
      <c r="F195" s="16">
        <v>46.816000000000003</v>
      </c>
      <c r="G195" s="16">
        <v>574.16</v>
      </c>
      <c r="H195" s="16">
        <f t="shared" si="6"/>
        <v>43.072749999999999</v>
      </c>
      <c r="I195" s="5"/>
      <c r="J195" s="15">
        <v>1492.9784</v>
      </c>
      <c r="K195" s="16">
        <v>42.447200000000002</v>
      </c>
      <c r="L195" s="16">
        <v>47.663600000000002</v>
      </c>
      <c r="M195" s="16">
        <v>48.304299999999998</v>
      </c>
      <c r="N195" s="16">
        <v>447.09390000000002</v>
      </c>
      <c r="O195" s="16">
        <f t="shared" si="7"/>
        <v>43.831387500000005</v>
      </c>
      <c r="P195" s="7"/>
      <c r="Q195" s="8">
        <f>bdrate(C195:C198,D195:D198,J195:J198,K195:K198)</f>
        <v>-0.52608894660007866</v>
      </c>
      <c r="R195" s="8">
        <f>bdrate(C195:C198,E195:E198,J195:J198,L195:L198)</f>
        <v>-0.69670406116005723</v>
      </c>
      <c r="S195" s="8">
        <f>bdrate(C195:C198,F195:F198,J195:J198,M195:M198)</f>
        <v>-0.71476821710386307</v>
      </c>
      <c r="T195" s="25">
        <f>bdrate(C195:C198,H195:H198,J195:J198,O195:O198)</f>
        <v>-0.57659771838715246</v>
      </c>
      <c r="U195" s="28">
        <f t="shared" ref="U195:U246" si="9">(N195-G195)/G195</f>
        <v>-0.22130782360317675</v>
      </c>
    </row>
    <row r="196" spans="1:21" x14ac:dyDescent="0.25">
      <c r="B196" s="9"/>
      <c r="C196" s="17">
        <v>1329.84</v>
      </c>
      <c r="D196" s="18">
        <v>41.128</v>
      </c>
      <c r="E196" s="18">
        <v>45.54</v>
      </c>
      <c r="F196" s="18">
        <v>45.991999999999997</v>
      </c>
      <c r="G196" s="18">
        <v>591.72</v>
      </c>
      <c r="H196" s="18">
        <f t="shared" si="6"/>
        <v>42.287500000000001</v>
      </c>
      <c r="I196" s="5"/>
      <c r="J196" s="17">
        <v>979.55920000000003</v>
      </c>
      <c r="K196" s="18">
        <v>41.871699999999997</v>
      </c>
      <c r="L196" s="18">
        <v>47.213299999999997</v>
      </c>
      <c r="M196" s="18">
        <v>47.8962</v>
      </c>
      <c r="N196" s="18">
        <v>557.62080000000003</v>
      </c>
      <c r="O196" s="18">
        <f t="shared" si="7"/>
        <v>43.292462499999999</v>
      </c>
      <c r="P196" s="7"/>
      <c r="Q196" s="10"/>
      <c r="R196" s="11"/>
      <c r="S196" s="11"/>
      <c r="T196" s="26"/>
      <c r="U196" s="28">
        <f t="shared" si="9"/>
        <v>-5.7627256134658272E-2</v>
      </c>
    </row>
    <row r="197" spans="1:21" x14ac:dyDescent="0.25">
      <c r="B197" s="9"/>
      <c r="C197" s="17">
        <v>785.22</v>
      </c>
      <c r="D197" s="18">
        <v>39.848999999999997</v>
      </c>
      <c r="E197" s="18">
        <v>44.445999999999998</v>
      </c>
      <c r="F197" s="18">
        <v>44.890999999999998</v>
      </c>
      <c r="G197" s="18">
        <v>541.52</v>
      </c>
      <c r="H197" s="18">
        <f t="shared" si="6"/>
        <v>41.053874999999998</v>
      </c>
      <c r="I197" s="5"/>
      <c r="J197" s="17">
        <v>580.14080000000001</v>
      </c>
      <c r="K197" s="18">
        <v>40.927799999999998</v>
      </c>
      <c r="L197" s="18">
        <v>46.344499999999996</v>
      </c>
      <c r="M197" s="18">
        <v>46.948999999999998</v>
      </c>
      <c r="N197" s="18">
        <v>610.37639999999999</v>
      </c>
      <c r="O197" s="18">
        <f t="shared" si="7"/>
        <v>42.357537499999999</v>
      </c>
      <c r="P197" s="7"/>
      <c r="Q197" s="10"/>
      <c r="R197" s="11"/>
      <c r="S197" s="11"/>
      <c r="T197" s="26"/>
      <c r="U197" s="28">
        <f t="shared" si="9"/>
        <v>0.12715393706603637</v>
      </c>
    </row>
    <row r="198" spans="1:21" ht="16.5" thickBot="1" x14ac:dyDescent="0.3">
      <c r="B198" s="12"/>
      <c r="C198" s="19">
        <v>347.81</v>
      </c>
      <c r="D198" s="20">
        <v>37.026000000000003</v>
      </c>
      <c r="E198" s="20">
        <v>42.345999999999997</v>
      </c>
      <c r="F198" s="20">
        <v>43.201000000000001</v>
      </c>
      <c r="G198" s="20">
        <v>591.72</v>
      </c>
      <c r="H198" s="20">
        <f t="shared" si="6"/>
        <v>38.462875000000004</v>
      </c>
      <c r="I198" s="5"/>
      <c r="J198" s="19">
        <v>281.8064</v>
      </c>
      <c r="K198" s="20">
        <v>39.0717</v>
      </c>
      <c r="L198" s="20">
        <v>44.629800000000003</v>
      </c>
      <c r="M198" s="20">
        <v>45.196800000000003</v>
      </c>
      <c r="N198" s="20">
        <v>674.15729999999996</v>
      </c>
      <c r="O198" s="20">
        <f t="shared" si="7"/>
        <v>40.5321</v>
      </c>
      <c r="P198" s="7"/>
      <c r="Q198" s="13"/>
      <c r="R198" s="14"/>
      <c r="S198" s="14"/>
      <c r="T198" s="27"/>
      <c r="U198" s="28">
        <f t="shared" si="9"/>
        <v>0.13931808963699036</v>
      </c>
    </row>
    <row r="199" spans="1:21" x14ac:dyDescent="0.25">
      <c r="B199" s="6" t="s">
        <v>63</v>
      </c>
      <c r="C199" s="15">
        <v>2114.39</v>
      </c>
      <c r="D199" s="16">
        <v>41.585000000000001</v>
      </c>
      <c r="E199" s="16">
        <v>45.195</v>
      </c>
      <c r="F199" s="16">
        <v>45.996000000000002</v>
      </c>
      <c r="G199" s="16">
        <v>565.5</v>
      </c>
      <c r="H199" s="16">
        <f t="shared" si="6"/>
        <v>42.587624999999996</v>
      </c>
      <c r="I199" s="5"/>
      <c r="J199" s="15">
        <v>1539.9416000000001</v>
      </c>
      <c r="K199" s="16">
        <v>42.294600000000003</v>
      </c>
      <c r="L199" s="16">
        <v>46.773099999999999</v>
      </c>
      <c r="M199" s="16">
        <v>47.639000000000003</v>
      </c>
      <c r="N199" s="16">
        <v>452.48869999999999</v>
      </c>
      <c r="O199" s="16">
        <f t="shared" si="7"/>
        <v>43.522462500000003</v>
      </c>
      <c r="P199" s="7"/>
      <c r="Q199" s="8">
        <f>bdrate(C199:C202,D199:D202,J199:J202,K199:K202)</f>
        <v>-0.51669373037875665</v>
      </c>
      <c r="R199" s="8">
        <f>bdrate(C199:C202,E199:E202,J199:J202,L199:L202)</f>
        <v>-0.66432750223746662</v>
      </c>
      <c r="S199" s="8">
        <f>bdrate(C199:C202,F199:F202,J199:J202,M199:M202)</f>
        <v>-0.65645653223488154</v>
      </c>
      <c r="T199" s="25">
        <f>bdrate(C199:C202,H199:H202,J199:J202,O199:O202)</f>
        <v>-0.55108968061916275</v>
      </c>
      <c r="U199" s="28">
        <f t="shared" si="9"/>
        <v>-0.19984314765694078</v>
      </c>
    </row>
    <row r="200" spans="1:21" x14ac:dyDescent="0.25">
      <c r="B200" s="9"/>
      <c r="C200" s="17">
        <v>1395.28</v>
      </c>
      <c r="D200" s="18">
        <v>40.386000000000003</v>
      </c>
      <c r="E200" s="18">
        <v>44.1</v>
      </c>
      <c r="F200" s="18">
        <v>44.99</v>
      </c>
      <c r="G200" s="18">
        <v>582.52</v>
      </c>
      <c r="H200" s="18">
        <f t="shared" si="6"/>
        <v>41.425750000000008</v>
      </c>
      <c r="I200" s="5"/>
      <c r="J200" s="17">
        <v>1015.0592</v>
      </c>
      <c r="K200" s="18">
        <v>41.413899999999998</v>
      </c>
      <c r="L200" s="18">
        <v>45.994500000000002</v>
      </c>
      <c r="M200" s="18">
        <v>46.821800000000003</v>
      </c>
      <c r="N200" s="18">
        <v>493.01560000000001</v>
      </c>
      <c r="O200" s="18">
        <f t="shared" si="7"/>
        <v>42.662462499999997</v>
      </c>
      <c r="P200" s="7"/>
      <c r="Q200" s="10"/>
      <c r="R200" s="11"/>
      <c r="S200" s="11"/>
      <c r="T200" s="26"/>
      <c r="U200" s="28">
        <f t="shared" si="9"/>
        <v>-0.15365034676920961</v>
      </c>
    </row>
    <row r="201" spans="1:21" x14ac:dyDescent="0.25">
      <c r="B201" s="9"/>
      <c r="C201" s="17">
        <v>832.87</v>
      </c>
      <c r="D201" s="18">
        <v>38.51</v>
      </c>
      <c r="E201" s="18">
        <v>42.698999999999998</v>
      </c>
      <c r="F201" s="18">
        <v>43.557000000000002</v>
      </c>
      <c r="G201" s="18">
        <v>565.5</v>
      </c>
      <c r="H201" s="18">
        <f t="shared" si="6"/>
        <v>39.664500000000004</v>
      </c>
      <c r="I201" s="5"/>
      <c r="J201" s="17">
        <v>601.57039999999995</v>
      </c>
      <c r="K201" s="18">
        <v>39.991599999999998</v>
      </c>
      <c r="L201" s="18">
        <v>44.791699999999999</v>
      </c>
      <c r="M201" s="18">
        <v>45.595799999999997</v>
      </c>
      <c r="N201" s="18">
        <v>534.28319999999997</v>
      </c>
      <c r="O201" s="18">
        <f t="shared" si="7"/>
        <v>41.292137499999995</v>
      </c>
      <c r="P201" s="7"/>
      <c r="Q201" s="10"/>
      <c r="R201" s="11"/>
      <c r="S201" s="11"/>
      <c r="T201" s="26"/>
      <c r="U201" s="28">
        <f t="shared" si="9"/>
        <v>-5.5202122015915178E-2</v>
      </c>
    </row>
    <row r="202" spans="1:21" ht="16.5" thickBot="1" x14ac:dyDescent="0.3">
      <c r="B202" s="12"/>
      <c r="C202" s="19">
        <v>381.67</v>
      </c>
      <c r="D202" s="20">
        <v>35.082000000000001</v>
      </c>
      <c r="E202" s="20">
        <v>40.643999999999998</v>
      </c>
      <c r="F202" s="20">
        <v>41.494999999999997</v>
      </c>
      <c r="G202" s="20">
        <v>582.52</v>
      </c>
      <c r="H202" s="20">
        <f t="shared" si="6"/>
        <v>36.578875000000004</v>
      </c>
      <c r="I202" s="5"/>
      <c r="J202" s="19">
        <v>298.04320000000001</v>
      </c>
      <c r="K202" s="20">
        <v>37.335900000000002</v>
      </c>
      <c r="L202" s="20">
        <v>42.754899999999999</v>
      </c>
      <c r="M202" s="20">
        <v>43.576799999999999</v>
      </c>
      <c r="N202" s="20">
        <v>641.02560000000005</v>
      </c>
      <c r="O202" s="20">
        <f t="shared" si="7"/>
        <v>38.793387500000001</v>
      </c>
      <c r="P202" s="7"/>
      <c r="Q202" s="13"/>
      <c r="R202" s="14"/>
      <c r="S202" s="14"/>
      <c r="T202" s="27"/>
      <c r="U202" s="28">
        <f t="shared" si="9"/>
        <v>0.10043534985923243</v>
      </c>
    </row>
    <row r="203" spans="1:21" x14ac:dyDescent="0.25">
      <c r="A203" s="6" t="s">
        <v>94</v>
      </c>
      <c r="B203" s="6" t="s">
        <v>95</v>
      </c>
      <c r="C203" s="15">
        <v>1669.57</v>
      </c>
      <c r="D203" s="16">
        <v>41.881999999999998</v>
      </c>
      <c r="E203" s="16">
        <v>46.771000000000001</v>
      </c>
      <c r="F203" s="16">
        <v>48.652000000000001</v>
      </c>
      <c r="G203" s="16">
        <v>395.17</v>
      </c>
      <c r="H203" s="16">
        <f t="shared" ref="H203:H246" si="10">(6*D203+E203+F203)/8</f>
        <v>43.339374999999997</v>
      </c>
      <c r="I203" s="5"/>
      <c r="J203" s="15">
        <v>1287.8276000000001</v>
      </c>
      <c r="K203" s="16">
        <v>43.029299999999999</v>
      </c>
      <c r="L203" s="16">
        <v>47.979599999999998</v>
      </c>
      <c r="M203" s="16">
        <v>49.533099999999997</v>
      </c>
      <c r="N203" s="16">
        <v>325.02710000000002</v>
      </c>
      <c r="O203" s="16">
        <f t="shared" ref="O203:O246" si="11">(6*K203+L203+M203)/8</f>
        <v>44.461062499999997</v>
      </c>
      <c r="P203" s="7"/>
      <c r="Q203" s="8">
        <f>bdrate(C203:C206,D203:D206,J203:J206,K203:K206)</f>
        <v>-0.46341437560785093</v>
      </c>
      <c r="R203" s="8">
        <f>bdrate(C203:C206,E203:E206,J203:J206,L203:L206)</f>
        <v>-0.54178610107859027</v>
      </c>
      <c r="S203" s="8">
        <f>bdrate(C203:C206,F203:F206,J203:J206,M203:M206)</f>
        <v>-0.44399501226708604</v>
      </c>
      <c r="T203" s="25">
        <f>bdrate(C203:C206,H203:H206,J203:J206,O203:O206)</f>
        <v>-0.46994916751549121</v>
      </c>
      <c r="U203" s="28">
        <f t="shared" si="9"/>
        <v>-0.17750056937520559</v>
      </c>
    </row>
    <row r="204" spans="1:21" x14ac:dyDescent="0.25">
      <c r="A204" s="9" t="s">
        <v>77</v>
      </c>
      <c r="B204" s="9"/>
      <c r="C204" s="17">
        <v>1118.04</v>
      </c>
      <c r="D204" s="18">
        <v>39.441000000000003</v>
      </c>
      <c r="E204" s="18">
        <v>45.511000000000003</v>
      </c>
      <c r="F204" s="18">
        <v>47.281999999999996</v>
      </c>
      <c r="G204" s="18">
        <v>396.56</v>
      </c>
      <c r="H204" s="18">
        <f t="shared" si="10"/>
        <v>41.179875000000003</v>
      </c>
      <c r="I204" s="5"/>
      <c r="J204" s="17">
        <v>876.29510000000005</v>
      </c>
      <c r="K204" s="18">
        <v>41.234699999999997</v>
      </c>
      <c r="L204" s="18">
        <v>47.253900000000002</v>
      </c>
      <c r="M204" s="18">
        <v>48.405799999999999</v>
      </c>
      <c r="N204" s="18">
        <v>369.83769999999998</v>
      </c>
      <c r="O204" s="18">
        <f t="shared" si="11"/>
        <v>42.883487499999994</v>
      </c>
      <c r="P204" s="7"/>
      <c r="Q204" s="10"/>
      <c r="R204" s="11"/>
      <c r="S204" s="11"/>
      <c r="T204" s="26"/>
      <c r="U204" s="28">
        <f t="shared" si="9"/>
        <v>-6.7385263264071057E-2</v>
      </c>
    </row>
    <row r="205" spans="1:21" x14ac:dyDescent="0.25">
      <c r="B205" s="9"/>
      <c r="C205" s="17">
        <v>684.12</v>
      </c>
      <c r="D205" s="18">
        <v>36.798000000000002</v>
      </c>
      <c r="E205" s="18">
        <v>43.893000000000001</v>
      </c>
      <c r="F205" s="18">
        <v>45.802</v>
      </c>
      <c r="G205" s="18">
        <v>399.2</v>
      </c>
      <c r="H205" s="18">
        <f t="shared" si="10"/>
        <v>38.810375000000008</v>
      </c>
      <c r="I205" s="5"/>
      <c r="J205" s="17">
        <v>542.11149999999998</v>
      </c>
      <c r="K205" s="18">
        <v>38.909500000000001</v>
      </c>
      <c r="L205" s="18">
        <v>45.695099999999996</v>
      </c>
      <c r="M205" s="18">
        <v>46.882800000000003</v>
      </c>
      <c r="N205" s="18">
        <v>436.99930000000001</v>
      </c>
      <c r="O205" s="18">
        <f t="shared" si="11"/>
        <v>40.754362499999999</v>
      </c>
      <c r="P205" s="7"/>
      <c r="Q205" s="10"/>
      <c r="R205" s="11"/>
      <c r="S205" s="11"/>
      <c r="T205" s="26"/>
      <c r="U205" s="28">
        <f t="shared" si="9"/>
        <v>9.4687625250501048E-2</v>
      </c>
    </row>
    <row r="206" spans="1:21" ht="16.5" thickBot="1" x14ac:dyDescent="0.3">
      <c r="B206" s="12"/>
      <c r="C206" s="19">
        <v>325.64</v>
      </c>
      <c r="D206" s="20">
        <v>32.54</v>
      </c>
      <c r="E206" s="20">
        <v>41.726999999999997</v>
      </c>
      <c r="F206" s="20">
        <v>43.558999999999997</v>
      </c>
      <c r="G206" s="20">
        <v>402.05</v>
      </c>
      <c r="H206" s="20">
        <f t="shared" si="10"/>
        <v>35.065750000000001</v>
      </c>
      <c r="I206" s="5"/>
      <c r="J206" s="19">
        <v>279.91879999999998</v>
      </c>
      <c r="K206" s="20">
        <v>35.8003</v>
      </c>
      <c r="L206" s="20">
        <v>43.443600000000004</v>
      </c>
      <c r="M206" s="20">
        <v>44.853000000000002</v>
      </c>
      <c r="N206" s="20">
        <v>536.67259999999999</v>
      </c>
      <c r="O206" s="20">
        <f t="shared" si="11"/>
        <v>37.887300000000003</v>
      </c>
      <c r="P206" s="7"/>
      <c r="Q206" s="13"/>
      <c r="R206" s="14"/>
      <c r="S206" s="14"/>
      <c r="T206" s="27"/>
      <c r="U206" s="28">
        <f t="shared" si="9"/>
        <v>0.33484044273100355</v>
      </c>
    </row>
    <row r="207" spans="1:21" x14ac:dyDescent="0.25">
      <c r="B207" s="6" t="s">
        <v>96</v>
      </c>
      <c r="C207" s="15">
        <v>2023.26</v>
      </c>
      <c r="D207" s="16">
        <v>51.948999999999998</v>
      </c>
      <c r="E207" s="16">
        <v>52.280999999999999</v>
      </c>
      <c r="F207" s="16">
        <v>52.720999999999997</v>
      </c>
      <c r="G207" s="16">
        <v>670.89</v>
      </c>
      <c r="H207" s="16">
        <f t="shared" si="10"/>
        <v>52.086999999999996</v>
      </c>
      <c r="I207" s="5"/>
      <c r="J207" s="15">
        <v>1425.0488</v>
      </c>
      <c r="K207" s="16">
        <v>51.102600000000002</v>
      </c>
      <c r="L207" s="16">
        <v>51.630899999999997</v>
      </c>
      <c r="M207" s="16">
        <v>52.079799999999999</v>
      </c>
      <c r="N207" s="16">
        <v>467.16840000000002</v>
      </c>
      <c r="O207" s="16">
        <f t="shared" si="11"/>
        <v>51.2907875</v>
      </c>
      <c r="P207" s="7"/>
      <c r="Q207" s="8">
        <f>bdrate(C207:C210,D207:D210,J207:J210,K207:K210)</f>
        <v>-0.29351792158639045</v>
      </c>
      <c r="R207" s="8">
        <f>bdrate(C207:C210,E207:E210,J207:J210,L207:L210)</f>
        <v>-0.33773632824816047</v>
      </c>
      <c r="S207" s="8">
        <f>bdrate(C207:C210,F207:F210,J207:J210,M207:M210)</f>
        <v>-0.33370404275828836</v>
      </c>
      <c r="T207" s="25">
        <f>bdrate(C207:C210,H207:H210,J207:J210,O207:O210)</f>
        <v>-0.3034364973116489</v>
      </c>
      <c r="U207" s="28">
        <f t="shared" si="9"/>
        <v>-0.30365872199615435</v>
      </c>
    </row>
    <row r="208" spans="1:21" x14ac:dyDescent="0.25">
      <c r="B208" s="9"/>
      <c r="C208" s="17">
        <v>1351.62</v>
      </c>
      <c r="D208" s="18">
        <v>49.139000000000003</v>
      </c>
      <c r="E208" s="18">
        <v>49.74</v>
      </c>
      <c r="F208" s="18">
        <v>50.261000000000003</v>
      </c>
      <c r="G208" s="18">
        <v>703.67</v>
      </c>
      <c r="H208" s="18">
        <f t="shared" si="10"/>
        <v>49.354375000000005</v>
      </c>
      <c r="I208" s="5"/>
      <c r="J208" s="17">
        <v>964.42359999999996</v>
      </c>
      <c r="K208" s="18">
        <v>48.961500000000001</v>
      </c>
      <c r="L208" s="18">
        <v>49.776200000000003</v>
      </c>
      <c r="M208" s="18">
        <v>50.2883</v>
      </c>
      <c r="N208" s="18">
        <v>552.1472</v>
      </c>
      <c r="O208" s="18">
        <f t="shared" si="11"/>
        <v>49.229187500000002</v>
      </c>
      <c r="P208" s="7"/>
      <c r="Q208" s="10"/>
      <c r="R208" s="11"/>
      <c r="S208" s="11"/>
      <c r="T208" s="26"/>
      <c r="U208" s="28">
        <f t="shared" si="9"/>
        <v>-0.2153321869626387</v>
      </c>
    </row>
    <row r="209" spans="2:21" x14ac:dyDescent="0.25">
      <c r="B209" s="9"/>
      <c r="C209" s="17">
        <v>822.18</v>
      </c>
      <c r="D209" s="18">
        <v>45.838000000000001</v>
      </c>
      <c r="E209" s="18">
        <v>46.636000000000003</v>
      </c>
      <c r="F209" s="18">
        <v>47.23</v>
      </c>
      <c r="G209" s="18">
        <v>721.15</v>
      </c>
      <c r="H209" s="18">
        <f t="shared" si="10"/>
        <v>46.111750000000008</v>
      </c>
      <c r="I209" s="5"/>
      <c r="J209" s="17">
        <v>589.29290000000003</v>
      </c>
      <c r="K209" s="18">
        <v>46.097000000000001</v>
      </c>
      <c r="L209" s="18">
        <v>47.368099999999998</v>
      </c>
      <c r="M209" s="18">
        <v>47.893599999999999</v>
      </c>
      <c r="N209" s="18">
        <v>610.37639999999999</v>
      </c>
      <c r="O209" s="18">
        <f t="shared" si="11"/>
        <v>46.480462500000002</v>
      </c>
      <c r="P209" s="7"/>
      <c r="Q209" s="10"/>
      <c r="R209" s="11"/>
      <c r="S209" s="11"/>
      <c r="T209" s="26"/>
      <c r="U209" s="28">
        <f t="shared" si="9"/>
        <v>-0.15360687790334882</v>
      </c>
    </row>
    <row r="210" spans="2:21" ht="16.5" thickBot="1" x14ac:dyDescent="0.3">
      <c r="B210" s="12"/>
      <c r="C210" s="19">
        <v>388.76</v>
      </c>
      <c r="D210" s="20">
        <v>41.143000000000001</v>
      </c>
      <c r="E210" s="20">
        <v>42.552</v>
      </c>
      <c r="F210" s="20">
        <v>43.031999999999996</v>
      </c>
      <c r="G210" s="20">
        <v>754.08</v>
      </c>
      <c r="H210" s="20">
        <f t="shared" si="10"/>
        <v>41.555250000000001</v>
      </c>
      <c r="I210" s="5"/>
      <c r="J210" s="19">
        <v>297.48079999999999</v>
      </c>
      <c r="K210" s="20">
        <v>41.841799999999999</v>
      </c>
      <c r="L210" s="20">
        <v>43.532899999999998</v>
      </c>
      <c r="M210" s="20">
        <v>44.0077</v>
      </c>
      <c r="N210" s="20">
        <v>663.22770000000003</v>
      </c>
      <c r="O210" s="20">
        <f t="shared" si="11"/>
        <v>42.323924999999996</v>
      </c>
      <c r="P210" s="7"/>
      <c r="Q210" s="13"/>
      <c r="R210" s="14"/>
      <c r="S210" s="14"/>
      <c r="T210" s="27"/>
      <c r="U210" s="28">
        <f t="shared" si="9"/>
        <v>-0.12048098345003184</v>
      </c>
    </row>
    <row r="211" spans="2:21" x14ac:dyDescent="0.25">
      <c r="B211" s="6" t="s">
        <v>97</v>
      </c>
      <c r="C211" s="15">
        <v>2188.5500000000002</v>
      </c>
      <c r="D211" s="16">
        <v>41.972000000000001</v>
      </c>
      <c r="E211" s="16">
        <v>43.908999999999999</v>
      </c>
      <c r="F211" s="16">
        <v>44.444000000000003</v>
      </c>
      <c r="G211" s="16">
        <v>476.82</v>
      </c>
      <c r="H211" s="16">
        <f t="shared" si="10"/>
        <v>42.523125</v>
      </c>
      <c r="I211" s="5"/>
      <c r="J211" s="15">
        <v>1474.924</v>
      </c>
      <c r="K211" s="16">
        <v>41.980200000000004</v>
      </c>
      <c r="L211" s="16">
        <v>44.412700000000001</v>
      </c>
      <c r="M211" s="16">
        <v>44.818399999999997</v>
      </c>
      <c r="N211" s="16">
        <v>356.15350000000001</v>
      </c>
      <c r="O211" s="16">
        <f t="shared" si="11"/>
        <v>42.639037500000001</v>
      </c>
      <c r="P211" s="7"/>
      <c r="Q211" s="8">
        <f>bdrate(C211:C214,D211:D214,J211:J214,K211:K214)</f>
        <v>-0.4149440526390461</v>
      </c>
      <c r="R211" s="8">
        <f>bdrate(C211:C214,E211:E214,J211:J214,L211:L214)</f>
        <v>-0.47038896564416266</v>
      </c>
      <c r="S211" s="8">
        <f>bdrate(C211:C214,F211:F214,J211:J214,M211:M214)</f>
        <v>-0.43688906261855309</v>
      </c>
      <c r="T211" s="25">
        <f>bdrate(C211:C214,H211:H214,J211:J214,O211:O214)</f>
        <v>-0.42226860014261869</v>
      </c>
      <c r="U211" s="28">
        <f t="shared" si="9"/>
        <v>-0.25306509794052262</v>
      </c>
    </row>
    <row r="212" spans="2:21" x14ac:dyDescent="0.25">
      <c r="B212" s="9"/>
      <c r="C212" s="17">
        <v>1460.97</v>
      </c>
      <c r="D212" s="18">
        <v>39.572000000000003</v>
      </c>
      <c r="E212" s="18">
        <v>42.223999999999997</v>
      </c>
      <c r="F212" s="18">
        <v>42.798999999999999</v>
      </c>
      <c r="G212" s="18">
        <v>486.88</v>
      </c>
      <c r="H212" s="18">
        <f t="shared" si="10"/>
        <v>40.306874999999998</v>
      </c>
      <c r="I212" s="5"/>
      <c r="J212" s="17">
        <v>986.20050000000003</v>
      </c>
      <c r="K212" s="18">
        <v>40.049999999999997</v>
      </c>
      <c r="L212" s="18">
        <v>43.056100000000001</v>
      </c>
      <c r="M212" s="18">
        <v>43.4544</v>
      </c>
      <c r="N212" s="18">
        <v>413.60289999999998</v>
      </c>
      <c r="O212" s="18">
        <f t="shared" si="11"/>
        <v>40.851312499999999</v>
      </c>
      <c r="P212" s="7"/>
      <c r="Q212" s="10"/>
      <c r="R212" s="11"/>
      <c r="S212" s="11"/>
      <c r="T212" s="26"/>
      <c r="U212" s="28">
        <f t="shared" si="9"/>
        <v>-0.15050340946434443</v>
      </c>
    </row>
    <row r="213" spans="2:21" x14ac:dyDescent="0.25">
      <c r="B213" s="9"/>
      <c r="C213" s="17">
        <v>890.59</v>
      </c>
      <c r="D213" s="18">
        <v>36.447000000000003</v>
      </c>
      <c r="E213" s="18">
        <v>40.289000000000001</v>
      </c>
      <c r="F213" s="18">
        <v>41.006999999999998</v>
      </c>
      <c r="G213" s="18">
        <v>503.78</v>
      </c>
      <c r="H213" s="18">
        <f t="shared" si="10"/>
        <v>37.497250000000001</v>
      </c>
      <c r="I213" s="5"/>
      <c r="J213" s="17">
        <v>591.0729</v>
      </c>
      <c r="K213" s="18">
        <v>37.339599999999997</v>
      </c>
      <c r="L213" s="18">
        <v>41.177199999999999</v>
      </c>
      <c r="M213" s="18">
        <v>41.601900000000001</v>
      </c>
      <c r="N213" s="18">
        <v>474.80880000000002</v>
      </c>
      <c r="O213" s="18">
        <f t="shared" si="11"/>
        <v>38.352087499999996</v>
      </c>
      <c r="P213" s="7"/>
      <c r="Q213" s="10"/>
      <c r="R213" s="11"/>
      <c r="S213" s="11"/>
      <c r="T213" s="26"/>
      <c r="U213" s="28">
        <f t="shared" si="9"/>
        <v>-5.7507642224780567E-2</v>
      </c>
    </row>
    <row r="214" spans="2:21" ht="16.5" thickBot="1" x14ac:dyDescent="0.3">
      <c r="B214" s="12"/>
      <c r="C214" s="19">
        <v>425.63</v>
      </c>
      <c r="D214" s="20">
        <v>31.86</v>
      </c>
      <c r="E214" s="20">
        <v>37.978000000000002</v>
      </c>
      <c r="F214" s="20">
        <v>38.759</v>
      </c>
      <c r="G214" s="20">
        <v>510.64</v>
      </c>
      <c r="H214" s="20">
        <f t="shared" si="10"/>
        <v>33.487124999999999</v>
      </c>
      <c r="I214" s="5"/>
      <c r="J214" s="19">
        <v>299.3775</v>
      </c>
      <c r="K214" s="20">
        <v>33.835299999999997</v>
      </c>
      <c r="L214" s="20">
        <v>38.9452</v>
      </c>
      <c r="M214" s="20">
        <v>39.460999999999999</v>
      </c>
      <c r="N214" s="20">
        <v>560.0498</v>
      </c>
      <c r="O214" s="20">
        <f t="shared" si="11"/>
        <v>35.177250000000001</v>
      </c>
      <c r="P214" s="7"/>
      <c r="Q214" s="13"/>
      <c r="R214" s="14"/>
      <c r="S214" s="14"/>
      <c r="T214" s="27"/>
      <c r="U214" s="28">
        <f t="shared" si="9"/>
        <v>9.6760535798214045E-2</v>
      </c>
    </row>
    <row r="215" spans="2:21" x14ac:dyDescent="0.25">
      <c r="B215" s="6" t="s">
        <v>98</v>
      </c>
      <c r="C215" s="29">
        <v>2094.02</v>
      </c>
      <c r="D215" s="30">
        <v>38.218000000000004</v>
      </c>
      <c r="E215" s="30">
        <v>42.738</v>
      </c>
      <c r="F215" s="30">
        <v>42.662999999999997</v>
      </c>
      <c r="G215" s="16">
        <v>400.62</v>
      </c>
      <c r="H215" s="16">
        <f t="shared" si="10"/>
        <v>39.338625000000008</v>
      </c>
      <c r="I215" s="5"/>
      <c r="J215" s="29">
        <v>1505.5669</v>
      </c>
      <c r="K215" s="30">
        <v>38.476100000000002</v>
      </c>
      <c r="L215" s="30">
        <v>43.099299999999999</v>
      </c>
      <c r="M215" s="30">
        <v>43.0794</v>
      </c>
      <c r="N215" s="16">
        <v>331.55279999999999</v>
      </c>
      <c r="O215" s="16">
        <f t="shared" si="11"/>
        <v>39.629412500000008</v>
      </c>
      <c r="P215" s="7"/>
      <c r="Q215" s="8">
        <f>bdrate(C215:C218,D215:D218,J215:J218,K215:K218)</f>
        <v>-0.40638129905740061</v>
      </c>
      <c r="R215" s="8">
        <f>bdrate(C215:C218,E215:E218,J215:J218,L215:L218)</f>
        <v>-0.38062326638936694</v>
      </c>
      <c r="S215" s="8">
        <f>bdrate(C215:C218,F215:F218,J215:J218,M215:M218)</f>
        <v>-0.40720541399424015</v>
      </c>
      <c r="T215" s="25">
        <f>bdrate(C215:C218,H215:H218,J215:J218,O215:O218)</f>
        <v>-0.40566592780747845</v>
      </c>
      <c r="U215" s="28">
        <f t="shared" si="9"/>
        <v>-0.17240077879287108</v>
      </c>
    </row>
    <row r="216" spans="2:21" x14ac:dyDescent="0.25">
      <c r="B216" s="9"/>
      <c r="C216" s="31">
        <v>1397.85</v>
      </c>
      <c r="D216" s="32">
        <v>36.036000000000001</v>
      </c>
      <c r="E216" s="32">
        <v>41.390999999999998</v>
      </c>
      <c r="F216" s="32">
        <v>41.241</v>
      </c>
      <c r="G216" s="18">
        <v>404.86</v>
      </c>
      <c r="H216" s="18">
        <f t="shared" si="10"/>
        <v>37.356000000000002</v>
      </c>
      <c r="I216" s="5"/>
      <c r="J216" s="31">
        <v>1002.7932</v>
      </c>
      <c r="K216" s="32">
        <v>36.642099999999999</v>
      </c>
      <c r="L216" s="32">
        <v>41.892899999999997</v>
      </c>
      <c r="M216" s="32">
        <v>41.846400000000003</v>
      </c>
      <c r="N216" s="18">
        <v>374.60980000000001</v>
      </c>
      <c r="O216" s="18">
        <f t="shared" si="11"/>
        <v>37.948987500000001</v>
      </c>
      <c r="P216" s="7"/>
      <c r="Q216" s="10"/>
      <c r="R216" s="11"/>
      <c r="S216" s="11"/>
      <c r="T216" s="26"/>
      <c r="U216" s="28">
        <f t="shared" si="9"/>
        <v>-7.4717680185743235E-2</v>
      </c>
    </row>
    <row r="217" spans="2:21" x14ac:dyDescent="0.25">
      <c r="B217" s="9"/>
      <c r="C217" s="31">
        <v>852.73</v>
      </c>
      <c r="D217" s="32">
        <v>33.344000000000001</v>
      </c>
      <c r="E217" s="32">
        <v>39.988999999999997</v>
      </c>
      <c r="F217" s="32">
        <v>39.765000000000001</v>
      </c>
      <c r="G217" s="18">
        <v>407.7</v>
      </c>
      <c r="H217" s="18">
        <f t="shared" si="10"/>
        <v>34.977250000000005</v>
      </c>
      <c r="I217" s="5"/>
      <c r="J217" s="31">
        <v>602.00189999999998</v>
      </c>
      <c r="K217" s="32">
        <v>34.349499999999999</v>
      </c>
      <c r="L217" s="32">
        <v>40.361699999999999</v>
      </c>
      <c r="M217" s="32">
        <v>40.3294</v>
      </c>
      <c r="N217" s="18">
        <v>438.70339999999999</v>
      </c>
      <c r="O217" s="18">
        <f t="shared" si="11"/>
        <v>35.848512499999998</v>
      </c>
      <c r="P217" s="7"/>
      <c r="Q217" s="10"/>
      <c r="R217" s="11"/>
      <c r="S217" s="11"/>
      <c r="T217" s="26"/>
      <c r="U217" s="28">
        <f t="shared" si="9"/>
        <v>7.6044640667157229E-2</v>
      </c>
    </row>
    <row r="218" spans="2:21" ht="16.5" thickBot="1" x14ac:dyDescent="0.3">
      <c r="B218" s="12"/>
      <c r="C218" s="33">
        <v>406.89</v>
      </c>
      <c r="D218" s="34">
        <v>28.937999999999999</v>
      </c>
      <c r="E218" s="34">
        <v>38.08</v>
      </c>
      <c r="F218" s="34">
        <v>37.862000000000002</v>
      </c>
      <c r="G218" s="20">
        <v>410.58</v>
      </c>
      <c r="H218" s="20">
        <f t="shared" si="10"/>
        <v>31.196249999999996</v>
      </c>
      <c r="I218" s="5"/>
      <c r="J218" s="33">
        <v>301.70679999999999</v>
      </c>
      <c r="K218" s="34">
        <v>31.29</v>
      </c>
      <c r="L218" s="34">
        <v>38.460700000000003</v>
      </c>
      <c r="M218" s="34">
        <v>38.323599999999999</v>
      </c>
      <c r="N218" s="20">
        <v>534.12459999999999</v>
      </c>
      <c r="O218" s="20">
        <f t="shared" si="11"/>
        <v>33.065537500000005</v>
      </c>
      <c r="P218" s="7"/>
      <c r="Q218" s="13"/>
      <c r="R218" s="14"/>
      <c r="S218" s="14"/>
      <c r="T218" s="27"/>
      <c r="U218" s="28">
        <f t="shared" si="9"/>
        <v>0.30090262555409425</v>
      </c>
    </row>
    <row r="219" spans="2:21" x14ac:dyDescent="0.25">
      <c r="B219" s="6" t="s">
        <v>99</v>
      </c>
      <c r="C219" s="15">
        <v>2133.37</v>
      </c>
      <c r="D219" s="16">
        <v>36.228000000000002</v>
      </c>
      <c r="E219" s="16">
        <v>39.718000000000004</v>
      </c>
      <c r="F219" s="16">
        <v>40.274999999999999</v>
      </c>
      <c r="G219" s="16">
        <v>482.83</v>
      </c>
      <c r="H219" s="16">
        <f t="shared" si="10"/>
        <v>37.170124999999999</v>
      </c>
      <c r="I219" s="5"/>
      <c r="J219" s="15">
        <v>1494.7057</v>
      </c>
      <c r="K219" s="16">
        <v>36.344000000000001</v>
      </c>
      <c r="L219" s="16">
        <v>41.052999999999997</v>
      </c>
      <c r="M219" s="16">
        <v>41.620899999999999</v>
      </c>
      <c r="N219" s="16">
        <v>336.38569999999999</v>
      </c>
      <c r="O219" s="16">
        <f t="shared" si="11"/>
        <v>37.592237500000003</v>
      </c>
      <c r="P219" s="7"/>
      <c r="Q219" s="8">
        <f>bdrate(C219:C222,D219:D222,J219:J222,K219:K222)</f>
        <v>-0.3792909344211276</v>
      </c>
      <c r="R219" s="8">
        <f>bdrate(C219:C222,E219:E222,J219:J222,L219:L222)</f>
        <v>-0.51876522569529526</v>
      </c>
      <c r="S219" s="8">
        <f>bdrate(C219:C222,F219:F222,J219:J222,M219:M222)</f>
        <v>-0.52615599691522719</v>
      </c>
      <c r="T219" s="25">
        <f>bdrate(C219:C222,H219:H222,J219:J222,O219:O222)</f>
        <v>-0.40661708985358702</v>
      </c>
      <c r="U219" s="28">
        <f t="shared" si="9"/>
        <v>-0.3033040614709111</v>
      </c>
    </row>
    <row r="220" spans="2:21" x14ac:dyDescent="0.25">
      <c r="B220" s="9"/>
      <c r="C220" s="17">
        <v>1423.2</v>
      </c>
      <c r="D220" s="18">
        <v>33.985999999999997</v>
      </c>
      <c r="E220" s="18">
        <v>38.311</v>
      </c>
      <c r="F220" s="18">
        <v>38.94</v>
      </c>
      <c r="G220" s="18">
        <v>491</v>
      </c>
      <c r="H220" s="18">
        <f t="shared" si="10"/>
        <v>35.145875000000004</v>
      </c>
      <c r="I220" s="5"/>
      <c r="J220" s="17">
        <v>992.49890000000005</v>
      </c>
      <c r="K220" s="18">
        <v>34.356099999999998</v>
      </c>
      <c r="L220" s="18">
        <v>39.619999999999997</v>
      </c>
      <c r="M220" s="18">
        <v>40.240499999999997</v>
      </c>
      <c r="N220" s="18">
        <v>385.9348</v>
      </c>
      <c r="O220" s="18">
        <f t="shared" si="11"/>
        <v>35.749637499999999</v>
      </c>
      <c r="P220" s="7"/>
      <c r="Q220" s="10"/>
      <c r="R220" s="11"/>
      <c r="S220" s="11"/>
      <c r="T220" s="26"/>
      <c r="U220" s="28">
        <f t="shared" si="9"/>
        <v>-0.21398207739307537</v>
      </c>
    </row>
    <row r="221" spans="2:21" x14ac:dyDescent="0.25">
      <c r="B221" s="9"/>
      <c r="C221" s="17">
        <v>864.82</v>
      </c>
      <c r="D221" s="18">
        <v>31.398</v>
      </c>
      <c r="E221" s="18">
        <v>36.941000000000003</v>
      </c>
      <c r="F221" s="18">
        <v>37.634</v>
      </c>
      <c r="G221" s="18">
        <v>493.02</v>
      </c>
      <c r="H221" s="18">
        <f t="shared" si="10"/>
        <v>32.870375000000003</v>
      </c>
      <c r="I221" s="5"/>
      <c r="J221" s="17">
        <v>594.57830000000001</v>
      </c>
      <c r="K221" s="18">
        <v>31.981000000000002</v>
      </c>
      <c r="L221" s="18">
        <v>37.986699999999999</v>
      </c>
      <c r="M221" s="18">
        <v>38.681199999999997</v>
      </c>
      <c r="N221" s="18">
        <v>427.35039999999998</v>
      </c>
      <c r="O221" s="18">
        <f t="shared" si="11"/>
        <v>33.5692375</v>
      </c>
      <c r="P221" s="7"/>
      <c r="Q221" s="10"/>
      <c r="R221" s="11"/>
      <c r="S221" s="11"/>
      <c r="T221" s="26"/>
      <c r="U221" s="28">
        <f t="shared" si="9"/>
        <v>-0.13319865319865321</v>
      </c>
    </row>
    <row r="222" spans="2:21" ht="16.5" thickBot="1" x14ac:dyDescent="0.3">
      <c r="B222" s="12"/>
      <c r="C222" s="19">
        <v>407.18</v>
      </c>
      <c r="D222" s="20">
        <v>27.346</v>
      </c>
      <c r="E222" s="20">
        <v>35.238</v>
      </c>
      <c r="F222" s="20">
        <v>35.978000000000002</v>
      </c>
      <c r="G222" s="20">
        <v>501.67</v>
      </c>
      <c r="H222" s="20">
        <f t="shared" si="10"/>
        <v>29.4115</v>
      </c>
      <c r="I222" s="5"/>
      <c r="J222" s="19">
        <v>298.43329999999997</v>
      </c>
      <c r="K222" s="20">
        <v>28.866499999999998</v>
      </c>
      <c r="L222" s="20">
        <v>35.898099999999999</v>
      </c>
      <c r="M222" s="20">
        <v>36.652500000000003</v>
      </c>
      <c r="N222" s="20">
        <v>536.67259999999999</v>
      </c>
      <c r="O222" s="20">
        <f t="shared" si="11"/>
        <v>30.718699999999998</v>
      </c>
      <c r="P222" s="7"/>
      <c r="Q222" s="13"/>
      <c r="R222" s="14"/>
      <c r="S222" s="14"/>
      <c r="T222" s="27"/>
      <c r="U222" s="28">
        <f t="shared" si="9"/>
        <v>6.9772160982319004E-2</v>
      </c>
    </row>
    <row r="223" spans="2:21" x14ac:dyDescent="0.25">
      <c r="B223" s="6" t="s">
        <v>100</v>
      </c>
      <c r="C223" s="15">
        <v>2136.7399999999998</v>
      </c>
      <c r="D223" s="16">
        <v>36.893000000000001</v>
      </c>
      <c r="E223" s="16">
        <v>42.058999999999997</v>
      </c>
      <c r="F223" s="16">
        <v>43.723999999999997</v>
      </c>
      <c r="G223" s="16">
        <v>382.08</v>
      </c>
      <c r="H223" s="16">
        <f t="shared" si="10"/>
        <v>38.392625000000002</v>
      </c>
      <c r="I223" s="5"/>
      <c r="J223" s="15">
        <v>1510.2439999999999</v>
      </c>
      <c r="K223" s="16">
        <v>36.758000000000003</v>
      </c>
      <c r="L223" s="16">
        <v>42.8309</v>
      </c>
      <c r="M223" s="16">
        <v>44.223500000000001</v>
      </c>
      <c r="N223" s="16">
        <v>318.69690000000003</v>
      </c>
      <c r="O223" s="16">
        <f t="shared" si="11"/>
        <v>38.450299999999999</v>
      </c>
      <c r="P223" s="7"/>
      <c r="Q223" s="8">
        <f>bdrate(C223:C226,D223:D226,J223:J226,K223:K226)</f>
        <v>-0.385452367087322</v>
      </c>
      <c r="R223" s="8">
        <f>bdrate(C223:C226,E223:E226,J223:J226,L223:L226)</f>
        <v>-0.54906169147677431</v>
      </c>
      <c r="S223" s="8">
        <f>bdrate(C223:C226,F223:F226,J223:J226,M223:M226)</f>
        <v>-0.44559085114534291</v>
      </c>
      <c r="T223" s="25">
        <f>bdrate(C223:C226,H223:H226,J223:J226,O223:O226)</f>
        <v>-0.40653870956877947</v>
      </c>
      <c r="U223" s="28">
        <f t="shared" si="9"/>
        <v>-0.16588960427135668</v>
      </c>
    </row>
    <row r="224" spans="2:21" x14ac:dyDescent="0.25">
      <c r="B224" s="9"/>
      <c r="C224" s="17">
        <v>1425.09</v>
      </c>
      <c r="D224" s="18">
        <v>35.116999999999997</v>
      </c>
      <c r="E224" s="18">
        <v>40.905999999999999</v>
      </c>
      <c r="F224" s="18">
        <v>42.564</v>
      </c>
      <c r="G224" s="18">
        <v>393.87</v>
      </c>
      <c r="H224" s="18">
        <f t="shared" si="10"/>
        <v>36.771500000000003</v>
      </c>
      <c r="I224" s="5"/>
      <c r="J224" s="17">
        <v>1008.3977</v>
      </c>
      <c r="K224" s="18">
        <v>35.377400000000002</v>
      </c>
      <c r="L224" s="18">
        <v>41.8947</v>
      </c>
      <c r="M224" s="18">
        <v>43.162500000000001</v>
      </c>
      <c r="N224" s="18">
        <v>372.20839999999998</v>
      </c>
      <c r="O224" s="18">
        <f t="shared" si="11"/>
        <v>37.165200000000006</v>
      </c>
      <c r="P224" s="7"/>
      <c r="Q224" s="10"/>
      <c r="R224" s="11"/>
      <c r="S224" s="11"/>
      <c r="T224" s="26"/>
      <c r="U224" s="28">
        <f t="shared" si="9"/>
        <v>-5.4996826364028792E-2</v>
      </c>
    </row>
    <row r="225" spans="2:21" x14ac:dyDescent="0.25">
      <c r="B225" s="9"/>
      <c r="C225" s="17">
        <v>865.78</v>
      </c>
      <c r="D225" s="18">
        <v>33.081000000000003</v>
      </c>
      <c r="E225" s="18">
        <v>39.656999999999996</v>
      </c>
      <c r="F225" s="18">
        <v>41.201000000000001</v>
      </c>
      <c r="G225" s="18">
        <v>395.08</v>
      </c>
      <c r="H225" s="18">
        <f t="shared" si="10"/>
        <v>34.918000000000006</v>
      </c>
      <c r="I225" s="5"/>
      <c r="J225" s="17">
        <v>603.4701</v>
      </c>
      <c r="K225" s="18">
        <v>33.707000000000001</v>
      </c>
      <c r="L225" s="18">
        <v>40.729500000000002</v>
      </c>
      <c r="M225" s="18">
        <v>41.848500000000001</v>
      </c>
      <c r="N225" s="18">
        <v>432.06909999999999</v>
      </c>
      <c r="O225" s="18">
        <f t="shared" si="11"/>
        <v>35.602500000000006</v>
      </c>
      <c r="P225" s="7"/>
      <c r="Q225" s="10"/>
      <c r="R225" s="11"/>
      <c r="S225" s="11"/>
      <c r="T225" s="26"/>
      <c r="U225" s="28">
        <f t="shared" si="9"/>
        <v>9.3624329249772223E-2</v>
      </c>
    </row>
    <row r="226" spans="2:21" ht="16.5" thickBot="1" x14ac:dyDescent="0.3">
      <c r="B226" s="12"/>
      <c r="C226" s="19">
        <v>410.21</v>
      </c>
      <c r="D226" s="20">
        <v>30.481999999999999</v>
      </c>
      <c r="E226" s="20">
        <v>38.271000000000001</v>
      </c>
      <c r="F226" s="20">
        <v>39.453000000000003</v>
      </c>
      <c r="G226" s="20">
        <v>400.71</v>
      </c>
      <c r="H226" s="20">
        <f t="shared" si="10"/>
        <v>32.576999999999998</v>
      </c>
      <c r="I226" s="5"/>
      <c r="J226" s="19">
        <v>301.30270000000002</v>
      </c>
      <c r="K226" s="20">
        <v>31.6248</v>
      </c>
      <c r="L226" s="20">
        <v>39.303100000000001</v>
      </c>
      <c r="M226" s="20">
        <v>40.093899999999998</v>
      </c>
      <c r="N226" s="20">
        <v>529.25609999999995</v>
      </c>
      <c r="O226" s="20">
        <f t="shared" si="11"/>
        <v>33.643225000000001</v>
      </c>
      <c r="P226" s="7"/>
      <c r="Q226" s="13"/>
      <c r="R226" s="14"/>
      <c r="S226" s="14"/>
      <c r="T226" s="27"/>
      <c r="U226" s="28">
        <f t="shared" si="9"/>
        <v>0.3207958373886351</v>
      </c>
    </row>
    <row r="227" spans="2:21" x14ac:dyDescent="0.25">
      <c r="B227" s="6" t="s">
        <v>101</v>
      </c>
      <c r="C227" s="15">
        <v>2208.39</v>
      </c>
      <c r="D227" s="16">
        <v>47.173999999999999</v>
      </c>
      <c r="E227" s="16">
        <v>51.457000000000001</v>
      </c>
      <c r="F227" s="16">
        <v>52.642000000000003</v>
      </c>
      <c r="G227" s="16">
        <v>422.4</v>
      </c>
      <c r="H227" s="16">
        <f t="shared" si="10"/>
        <v>48.392874999999997</v>
      </c>
      <c r="I227" s="5"/>
      <c r="J227" s="15">
        <v>1496.4305999999999</v>
      </c>
      <c r="K227" s="16">
        <v>46.7087</v>
      </c>
      <c r="L227" s="16">
        <v>51.449599999999997</v>
      </c>
      <c r="M227" s="16">
        <v>52.984499999999997</v>
      </c>
      <c r="N227" s="16">
        <v>378.1</v>
      </c>
      <c r="O227" s="16">
        <f t="shared" si="11"/>
        <v>48.085787499999995</v>
      </c>
      <c r="P227" s="7"/>
      <c r="Q227" s="8">
        <f>bdrate(C227:C230,D227:D230,J227:J230,K227:K230)</f>
        <v>-0.38010399064979083</v>
      </c>
      <c r="R227" s="8">
        <f>bdrate(C227:C230,E227:E230,J227:J230,L227:L230)</f>
        <v>-0.49926060846662967</v>
      </c>
      <c r="S227" s="8">
        <f>bdrate(C227:C230,F227:F230,J227:J230,M227:M230)</f>
        <v>-0.51541301513019344</v>
      </c>
      <c r="T227" s="25">
        <f>bdrate(C227:C230,H227:H230,J227:J230,O227:O230)</f>
        <v>-0.41177107528183521</v>
      </c>
      <c r="U227" s="28">
        <f t="shared" si="9"/>
        <v>-0.10487689393939384</v>
      </c>
    </row>
    <row r="228" spans="2:21" x14ac:dyDescent="0.25">
      <c r="B228" s="9"/>
      <c r="C228" s="17">
        <v>1468.37</v>
      </c>
      <c r="D228" s="18">
        <v>44.694000000000003</v>
      </c>
      <c r="E228" s="18">
        <v>49.024000000000001</v>
      </c>
      <c r="F228" s="18">
        <v>50.359000000000002</v>
      </c>
      <c r="G228" s="18">
        <v>423.99</v>
      </c>
      <c r="H228" s="18">
        <f t="shared" si="10"/>
        <v>45.943374999999996</v>
      </c>
      <c r="I228" s="5"/>
      <c r="J228" s="17">
        <v>1002.8758</v>
      </c>
      <c r="K228" s="18">
        <v>44.9604</v>
      </c>
      <c r="L228" s="18">
        <v>50.197400000000002</v>
      </c>
      <c r="M228" s="18">
        <v>51.683300000000003</v>
      </c>
      <c r="N228" s="18">
        <v>427.113</v>
      </c>
      <c r="O228" s="18">
        <f t="shared" si="11"/>
        <v>46.455387500000001</v>
      </c>
      <c r="P228" s="7"/>
      <c r="Q228" s="10"/>
      <c r="R228" s="11"/>
      <c r="S228" s="11"/>
      <c r="T228" s="26"/>
      <c r="U228" s="28">
        <f t="shared" si="9"/>
        <v>7.365739758013138E-3</v>
      </c>
    </row>
    <row r="229" spans="2:21" x14ac:dyDescent="0.25">
      <c r="B229" s="9"/>
      <c r="C229" s="17">
        <v>887.96</v>
      </c>
      <c r="D229" s="18">
        <v>41.908999999999999</v>
      </c>
      <c r="E229" s="18">
        <v>46.585999999999999</v>
      </c>
      <c r="F229" s="18">
        <v>47.99</v>
      </c>
      <c r="G229" s="18">
        <v>425.5</v>
      </c>
      <c r="H229" s="18">
        <f t="shared" si="10"/>
        <v>43.253750000000004</v>
      </c>
      <c r="I229" s="5"/>
      <c r="J229" s="17">
        <v>602.42430000000002</v>
      </c>
      <c r="K229" s="18">
        <v>42.708599999999997</v>
      </c>
      <c r="L229" s="18">
        <v>48.274799999999999</v>
      </c>
      <c r="M229" s="18">
        <v>49.750500000000002</v>
      </c>
      <c r="N229" s="18">
        <v>497.09859999999998</v>
      </c>
      <c r="O229" s="18">
        <f t="shared" si="11"/>
        <v>44.284612499999994</v>
      </c>
      <c r="P229" s="7"/>
      <c r="Q229" s="10"/>
      <c r="R229" s="11"/>
      <c r="S229" s="11"/>
      <c r="T229" s="26"/>
      <c r="U229" s="28">
        <f t="shared" si="9"/>
        <v>0.16826933019976492</v>
      </c>
    </row>
    <row r="230" spans="2:21" ht="16.5" thickBot="1" x14ac:dyDescent="0.3">
      <c r="B230" s="12"/>
      <c r="C230" s="19">
        <v>424.92</v>
      </c>
      <c r="D230" s="20">
        <v>39.064</v>
      </c>
      <c r="E230" s="20">
        <v>43.997999999999998</v>
      </c>
      <c r="F230" s="20">
        <v>45.448999999999998</v>
      </c>
      <c r="G230" s="20">
        <v>425.6</v>
      </c>
      <c r="H230" s="20">
        <f t="shared" si="10"/>
        <v>40.478875000000002</v>
      </c>
      <c r="I230" s="5"/>
      <c r="J230" s="19">
        <v>302.31459999999998</v>
      </c>
      <c r="K230" s="20">
        <v>39.363700000000001</v>
      </c>
      <c r="L230" s="20">
        <v>45.369799999999998</v>
      </c>
      <c r="M230" s="20">
        <v>46.660600000000002</v>
      </c>
      <c r="N230" s="20">
        <v>588.29300000000001</v>
      </c>
      <c r="O230" s="20">
        <f t="shared" si="11"/>
        <v>41.026575000000001</v>
      </c>
      <c r="P230" s="7"/>
      <c r="Q230" s="13"/>
      <c r="R230" s="14"/>
      <c r="S230" s="14"/>
      <c r="T230" s="27"/>
      <c r="U230" s="28">
        <f t="shared" si="9"/>
        <v>0.38226738721804504</v>
      </c>
    </row>
    <row r="231" spans="2:21" x14ac:dyDescent="0.25">
      <c r="B231" s="6" t="s">
        <v>102</v>
      </c>
      <c r="C231" s="15">
        <v>2072.4</v>
      </c>
      <c r="D231" s="16">
        <v>30.74</v>
      </c>
      <c r="E231" s="16">
        <v>39.42</v>
      </c>
      <c r="F231" s="16">
        <v>38.848999999999997</v>
      </c>
      <c r="G231" s="16">
        <v>349.65</v>
      </c>
      <c r="H231" s="16">
        <f t="shared" si="10"/>
        <v>32.838625</v>
      </c>
      <c r="I231" s="5"/>
      <c r="J231" s="15">
        <v>1497.8923</v>
      </c>
      <c r="K231" s="16">
        <v>31.343499999999999</v>
      </c>
      <c r="L231" s="16">
        <v>39.9283</v>
      </c>
      <c r="M231" s="16">
        <v>39.295000000000002</v>
      </c>
      <c r="N231" s="16">
        <v>276.66770000000002</v>
      </c>
      <c r="O231" s="16">
        <f t="shared" si="11"/>
        <v>33.410537499999997</v>
      </c>
      <c r="P231" s="7"/>
      <c r="Q231" s="8">
        <f>bdrate(C231:C234,D231:D234,J231:J234,K231:K234)</f>
        <v>-0.44744606618800753</v>
      </c>
      <c r="R231" s="8">
        <f>bdrate(C231:C234,E231:E234,J231:J234,L231:L234)</f>
        <v>-0.33769731367760414</v>
      </c>
      <c r="S231" s="8">
        <f>bdrate(C231:C234,F231:F234,J231:J234,M231:M234)</f>
        <v>-0.32126516797268079</v>
      </c>
      <c r="T231" s="25">
        <f>bdrate(C231:C234,H231:H234,J231:J234,O231:O234)</f>
        <v>-0.43273147727689132</v>
      </c>
      <c r="U231" s="28">
        <f t="shared" si="9"/>
        <v>-0.20872958672958661</v>
      </c>
    </row>
    <row r="232" spans="2:21" x14ac:dyDescent="0.25">
      <c r="B232" s="9"/>
      <c r="C232" s="17">
        <v>1381.92</v>
      </c>
      <c r="D232" s="18">
        <v>28.695</v>
      </c>
      <c r="E232" s="18">
        <v>38.51</v>
      </c>
      <c r="F232" s="18">
        <v>37.939</v>
      </c>
      <c r="G232" s="18">
        <v>351.77</v>
      </c>
      <c r="H232" s="18">
        <f t="shared" si="10"/>
        <v>31.077375</v>
      </c>
      <c r="I232" s="5"/>
      <c r="J232" s="17">
        <v>995.80759999999998</v>
      </c>
      <c r="K232" s="18">
        <v>29.587900000000001</v>
      </c>
      <c r="L232" s="18">
        <v>38.9358</v>
      </c>
      <c r="M232" s="18">
        <v>38.261800000000001</v>
      </c>
      <c r="N232" s="18">
        <v>326.85669999999999</v>
      </c>
      <c r="O232" s="18">
        <f t="shared" si="11"/>
        <v>31.840624999999999</v>
      </c>
      <c r="P232" s="7"/>
      <c r="Q232" s="10"/>
      <c r="R232" s="11"/>
      <c r="S232" s="11"/>
      <c r="T232" s="26"/>
      <c r="U232" s="28">
        <f t="shared" si="9"/>
        <v>-7.0822696648378189E-2</v>
      </c>
    </row>
    <row r="233" spans="2:21" x14ac:dyDescent="0.25">
      <c r="B233" s="9"/>
      <c r="C233" s="17">
        <v>839.89</v>
      </c>
      <c r="D233" s="18">
        <v>26.173999999999999</v>
      </c>
      <c r="E233" s="18">
        <v>37.462000000000003</v>
      </c>
      <c r="F233" s="18">
        <v>36.881999999999998</v>
      </c>
      <c r="G233" s="18">
        <v>352.8</v>
      </c>
      <c r="H233" s="18">
        <f t="shared" si="10"/>
        <v>28.923499999999997</v>
      </c>
      <c r="I233" s="5"/>
      <c r="J233" s="17">
        <v>598.83079999999995</v>
      </c>
      <c r="K233" s="18">
        <v>27.487100000000002</v>
      </c>
      <c r="L233" s="18">
        <v>37.522399999999998</v>
      </c>
      <c r="M233" s="18">
        <v>36.8508</v>
      </c>
      <c r="N233" s="18">
        <v>399.29020000000003</v>
      </c>
      <c r="O233" s="18">
        <f t="shared" si="11"/>
        <v>29.911975000000002</v>
      </c>
      <c r="P233" s="7"/>
      <c r="Q233" s="10"/>
      <c r="R233" s="11"/>
      <c r="S233" s="11"/>
      <c r="T233" s="26"/>
      <c r="U233" s="28">
        <f t="shared" si="9"/>
        <v>0.13177494331065764</v>
      </c>
    </row>
    <row r="234" spans="2:21" ht="16.5" thickBot="1" x14ac:dyDescent="0.3">
      <c r="B234" s="12"/>
      <c r="C234" s="19">
        <v>393.88</v>
      </c>
      <c r="D234" s="20">
        <v>21.946999999999999</v>
      </c>
      <c r="E234" s="20">
        <v>33.941000000000003</v>
      </c>
      <c r="F234" s="20">
        <v>33.451000000000001</v>
      </c>
      <c r="G234" s="20">
        <v>355.03</v>
      </c>
      <c r="H234" s="20">
        <f t="shared" si="10"/>
        <v>24.884249999999998</v>
      </c>
      <c r="I234" s="5"/>
      <c r="J234" s="19">
        <v>300.6139</v>
      </c>
      <c r="K234" s="20">
        <v>24.793199999999999</v>
      </c>
      <c r="L234" s="20">
        <v>35.160299999999999</v>
      </c>
      <c r="M234" s="20">
        <v>34.633400000000002</v>
      </c>
      <c r="N234" s="20">
        <v>499.44510000000002</v>
      </c>
      <c r="O234" s="20">
        <f t="shared" si="11"/>
        <v>27.319112499999999</v>
      </c>
      <c r="P234" s="7"/>
      <c r="Q234" s="13"/>
      <c r="R234" s="14"/>
      <c r="S234" s="14"/>
      <c r="T234" s="27"/>
      <c r="U234" s="28">
        <f t="shared" si="9"/>
        <v>0.40676872376982243</v>
      </c>
    </row>
    <row r="235" spans="2:21" x14ac:dyDescent="0.25">
      <c r="B235" s="6" t="s">
        <v>103</v>
      </c>
      <c r="C235" s="15">
        <v>2320.2199999999998</v>
      </c>
      <c r="D235" s="16">
        <v>45.539000000000001</v>
      </c>
      <c r="E235" s="16">
        <v>46.005000000000003</v>
      </c>
      <c r="F235" s="16">
        <v>45.780999999999999</v>
      </c>
      <c r="G235" s="16">
        <v>488.86</v>
      </c>
      <c r="H235" s="16">
        <f t="shared" si="10"/>
        <v>45.627500000000005</v>
      </c>
      <c r="I235" s="5"/>
      <c r="J235" s="15">
        <v>1377.7435</v>
      </c>
      <c r="K235" s="16">
        <v>44.129399999999997</v>
      </c>
      <c r="L235" s="16">
        <v>45.282800000000002</v>
      </c>
      <c r="M235" s="16">
        <v>45.168999999999997</v>
      </c>
      <c r="N235" s="16">
        <v>325.96890000000002</v>
      </c>
      <c r="O235" s="16">
        <f t="shared" si="11"/>
        <v>44.403524999999995</v>
      </c>
      <c r="P235" s="7"/>
      <c r="Q235" s="8">
        <f>bdrate(C235:C238,D235:D238,J235:J238,K235:K238)</f>
        <v>-0.30962287348214323</v>
      </c>
      <c r="R235" s="8">
        <f>bdrate(C235:C238,E235:E238,J235:J238,L235:L238)</f>
        <v>-0.35596406352230558</v>
      </c>
      <c r="S235" s="8">
        <f>bdrate(C235:C238,F235:F238,J235:J238,M235:M238)</f>
        <v>-0.37619486425476567</v>
      </c>
      <c r="T235" s="25">
        <f>bdrate(C235:C238,H235:H238,J235:J238,O235:O238)</f>
        <v>-0.32154379525371923</v>
      </c>
      <c r="U235" s="28">
        <f t="shared" si="9"/>
        <v>-0.33320603035633922</v>
      </c>
    </row>
    <row r="236" spans="2:21" x14ac:dyDescent="0.25">
      <c r="B236" s="9"/>
      <c r="C236" s="17">
        <v>1545.29</v>
      </c>
      <c r="D236" s="18">
        <v>42.994</v>
      </c>
      <c r="E236" s="18">
        <v>43.857999999999997</v>
      </c>
      <c r="F236" s="18">
        <v>43.584000000000003</v>
      </c>
      <c r="G236" s="18">
        <v>503.78</v>
      </c>
      <c r="H236" s="18">
        <f t="shared" si="10"/>
        <v>43.175750000000001</v>
      </c>
      <c r="I236" s="5"/>
      <c r="J236" s="17">
        <v>935.16129999999998</v>
      </c>
      <c r="K236" s="18">
        <v>42.047899999999998</v>
      </c>
      <c r="L236" s="18">
        <v>43.574300000000001</v>
      </c>
      <c r="M236" s="18">
        <v>43.459800000000001</v>
      </c>
      <c r="N236" s="18">
        <v>412.08789999999999</v>
      </c>
      <c r="O236" s="18">
        <f t="shared" si="11"/>
        <v>42.415187500000002</v>
      </c>
      <c r="P236" s="7"/>
      <c r="Q236" s="10"/>
      <c r="R236" s="11"/>
      <c r="S236" s="11"/>
      <c r="T236" s="26"/>
      <c r="U236" s="28">
        <f t="shared" si="9"/>
        <v>-0.18200821787288099</v>
      </c>
    </row>
    <row r="237" spans="2:21" x14ac:dyDescent="0.25">
      <c r="B237" s="9"/>
      <c r="C237" s="17">
        <v>938.17</v>
      </c>
      <c r="D237" s="18">
        <v>39.715000000000003</v>
      </c>
      <c r="E237" s="18">
        <v>41.280999999999999</v>
      </c>
      <c r="F237" s="18">
        <v>40.901000000000003</v>
      </c>
      <c r="G237" s="18">
        <v>515.16999999999996</v>
      </c>
      <c r="H237" s="18">
        <f t="shared" si="10"/>
        <v>40.059000000000005</v>
      </c>
      <c r="I237" s="5"/>
      <c r="J237" s="17">
        <v>577.86429999999996</v>
      </c>
      <c r="K237" s="18">
        <v>38.883200000000002</v>
      </c>
      <c r="L237" s="18">
        <v>41.102600000000002</v>
      </c>
      <c r="M237" s="18">
        <v>40.883400000000002</v>
      </c>
      <c r="N237" s="18">
        <v>484.78320000000002</v>
      </c>
      <c r="O237" s="18">
        <f t="shared" si="11"/>
        <v>39.410650000000004</v>
      </c>
      <c r="P237" s="7"/>
      <c r="Q237" s="10"/>
      <c r="R237" s="11"/>
      <c r="S237" s="11"/>
      <c r="T237" s="26"/>
      <c r="U237" s="28">
        <f t="shared" si="9"/>
        <v>-5.8984024690878621E-2</v>
      </c>
    </row>
    <row r="238" spans="2:21" ht="16.5" thickBot="1" x14ac:dyDescent="0.3">
      <c r="B238" s="12"/>
      <c r="C238" s="19">
        <v>441.25</v>
      </c>
      <c r="D238" s="20">
        <v>34.438000000000002</v>
      </c>
      <c r="E238" s="20">
        <v>37.923000000000002</v>
      </c>
      <c r="F238" s="20">
        <v>37.441000000000003</v>
      </c>
      <c r="G238" s="20">
        <v>529.26</v>
      </c>
      <c r="H238" s="20">
        <f t="shared" si="10"/>
        <v>35.249000000000002</v>
      </c>
      <c r="I238" s="5"/>
      <c r="J238" s="19">
        <v>290.69650000000001</v>
      </c>
      <c r="K238" s="20">
        <v>34.682899999999997</v>
      </c>
      <c r="L238" s="20">
        <v>37.974400000000003</v>
      </c>
      <c r="M238" s="20">
        <v>37.629899999999999</v>
      </c>
      <c r="N238" s="20">
        <v>573.9796</v>
      </c>
      <c r="O238" s="20">
        <f t="shared" si="11"/>
        <v>35.462712500000002</v>
      </c>
      <c r="P238" s="7"/>
      <c r="Q238" s="13"/>
      <c r="R238" s="14"/>
      <c r="S238" s="14"/>
      <c r="T238" s="27"/>
      <c r="U238" s="28">
        <f t="shared" si="9"/>
        <v>8.4494577334391446E-2</v>
      </c>
    </row>
    <row r="239" spans="2:21" x14ac:dyDescent="0.25">
      <c r="B239" s="6" t="s">
        <v>104</v>
      </c>
      <c r="C239" s="15">
        <v>2556.98</v>
      </c>
      <c r="D239" s="16">
        <v>47.180999999999997</v>
      </c>
      <c r="E239" s="16">
        <v>48.862000000000002</v>
      </c>
      <c r="F239" s="16">
        <v>49.015000000000001</v>
      </c>
      <c r="G239" s="16">
        <v>510.49</v>
      </c>
      <c r="H239" s="16">
        <f t="shared" si="10"/>
        <v>47.620375000000003</v>
      </c>
      <c r="I239" s="5"/>
      <c r="J239" s="15">
        <v>1354.8562999999999</v>
      </c>
      <c r="K239" s="16">
        <v>45.375300000000003</v>
      </c>
      <c r="L239" s="16">
        <v>47.697800000000001</v>
      </c>
      <c r="M239" s="16">
        <v>47.929400000000001</v>
      </c>
      <c r="N239" s="16">
        <v>334.44819999999999</v>
      </c>
      <c r="O239" s="16">
        <f t="shared" si="11"/>
        <v>45.984875000000002</v>
      </c>
      <c r="P239" s="7"/>
      <c r="Q239" s="8">
        <f>bdrate(C239:C242,D239:D242,J239:J242,K239:K242)</f>
        <v>-0.39439089347553402</v>
      </c>
      <c r="R239" s="8">
        <f>bdrate(C239:C242,E239:E242,J239:J242,L239:L242)</f>
        <v>-0.44345689311328595</v>
      </c>
      <c r="S239" s="8">
        <f>bdrate(C239:C242,F239:F242,J239:J242,M239:M242)</f>
        <v>-0.4481605846286657</v>
      </c>
      <c r="T239" s="25">
        <f>bdrate(C239:C242,H239:H242,J239:J242,O239:O242)</f>
        <v>-0.40614315346167262</v>
      </c>
      <c r="U239" s="28">
        <f t="shared" si="9"/>
        <v>-0.34484867480264064</v>
      </c>
    </row>
    <row r="240" spans="2:21" x14ac:dyDescent="0.25">
      <c r="B240" s="9"/>
      <c r="C240" s="17">
        <v>1691.01</v>
      </c>
      <c r="D240" s="18">
        <v>44.204000000000001</v>
      </c>
      <c r="E240" s="18">
        <v>46.155000000000001</v>
      </c>
      <c r="F240" s="18">
        <v>46.332000000000001</v>
      </c>
      <c r="G240" s="18">
        <v>536.66999999999996</v>
      </c>
      <c r="H240" s="18">
        <f t="shared" si="10"/>
        <v>44.713875000000002</v>
      </c>
      <c r="I240" s="5"/>
      <c r="J240" s="17">
        <v>951.19150000000002</v>
      </c>
      <c r="K240" s="18">
        <v>43.749000000000002</v>
      </c>
      <c r="L240" s="18">
        <v>46.32</v>
      </c>
      <c r="M240" s="18">
        <v>46.555100000000003</v>
      </c>
      <c r="N240" s="18">
        <v>361.73630000000003</v>
      </c>
      <c r="O240" s="18">
        <f t="shared" si="11"/>
        <v>44.4211375</v>
      </c>
      <c r="P240" s="7"/>
      <c r="Q240" s="10"/>
      <c r="R240" s="11"/>
      <c r="S240" s="11"/>
      <c r="T240" s="26"/>
      <c r="U240" s="28">
        <f t="shared" si="9"/>
        <v>-0.32596139154415177</v>
      </c>
    </row>
    <row r="241" spans="2:21" x14ac:dyDescent="0.25">
      <c r="B241" s="9"/>
      <c r="C241" s="17">
        <v>1018.44</v>
      </c>
      <c r="D241" s="18">
        <v>40.804000000000002</v>
      </c>
      <c r="E241" s="18">
        <v>43.207999999999998</v>
      </c>
      <c r="F241" s="18">
        <v>43.411000000000001</v>
      </c>
      <c r="G241" s="18">
        <v>554.70000000000005</v>
      </c>
      <c r="H241" s="18">
        <f t="shared" si="10"/>
        <v>41.430375000000005</v>
      </c>
      <c r="I241" s="5"/>
      <c r="J241" s="17">
        <v>627.25530000000003</v>
      </c>
      <c r="K241" s="18">
        <v>40.990600000000001</v>
      </c>
      <c r="L241" s="18">
        <v>43.888800000000003</v>
      </c>
      <c r="M241" s="18">
        <v>44.127099999999999</v>
      </c>
      <c r="N241" s="18">
        <v>385.85210000000001</v>
      </c>
      <c r="O241" s="18">
        <f t="shared" si="11"/>
        <v>41.744937499999999</v>
      </c>
      <c r="P241" s="7"/>
      <c r="Q241" s="10"/>
      <c r="R241" s="11"/>
      <c r="S241" s="11"/>
      <c r="T241" s="26"/>
      <c r="U241" s="28">
        <f t="shared" si="9"/>
        <v>-0.30439498828195427</v>
      </c>
    </row>
    <row r="242" spans="2:21" ht="16.5" thickBot="1" x14ac:dyDescent="0.3">
      <c r="B242" s="12"/>
      <c r="C242" s="19">
        <v>473.66</v>
      </c>
      <c r="D242" s="20">
        <v>35.881999999999998</v>
      </c>
      <c r="E242" s="20">
        <v>39.35</v>
      </c>
      <c r="F242" s="20">
        <v>39.557000000000002</v>
      </c>
      <c r="G242" s="20">
        <v>582.71</v>
      </c>
      <c r="H242" s="20">
        <f t="shared" si="10"/>
        <v>36.774874999999994</v>
      </c>
      <c r="I242" s="5"/>
      <c r="J242" s="19">
        <v>343.39679999999998</v>
      </c>
      <c r="K242" s="20">
        <v>36.985300000000002</v>
      </c>
      <c r="L242" s="20">
        <v>40.404600000000002</v>
      </c>
      <c r="M242" s="20">
        <v>40.662999999999997</v>
      </c>
      <c r="N242" s="20">
        <v>552.1472</v>
      </c>
      <c r="O242" s="20">
        <f t="shared" si="11"/>
        <v>37.872425000000007</v>
      </c>
      <c r="P242" s="7"/>
      <c r="Q242" s="13"/>
      <c r="R242" s="14"/>
      <c r="S242" s="14"/>
      <c r="T242" s="27"/>
      <c r="U242" s="28">
        <f t="shared" si="9"/>
        <v>-5.2449417377426227E-2</v>
      </c>
    </row>
    <row r="243" spans="2:21" x14ac:dyDescent="0.25">
      <c r="B243" s="6" t="s">
        <v>105</v>
      </c>
      <c r="C243" s="29">
        <v>2124.6999999999998</v>
      </c>
      <c r="D243" s="30">
        <v>31.713999999999999</v>
      </c>
      <c r="E243" s="30">
        <v>35.81</v>
      </c>
      <c r="F243" s="30">
        <v>34.826999999999998</v>
      </c>
      <c r="G243" s="16">
        <v>409.18</v>
      </c>
      <c r="H243" s="16">
        <f t="shared" si="10"/>
        <v>32.615124999999999</v>
      </c>
      <c r="I243" s="5"/>
      <c r="J243" s="29">
        <v>1510.1925000000001</v>
      </c>
      <c r="K243" s="30">
        <v>31.8276</v>
      </c>
      <c r="L243" s="30">
        <v>36.243600000000001</v>
      </c>
      <c r="M243" s="30">
        <v>35.136099999999999</v>
      </c>
      <c r="N243" s="16">
        <v>297.3732</v>
      </c>
      <c r="O243" s="16">
        <f t="shared" si="11"/>
        <v>32.793162500000001</v>
      </c>
      <c r="P243" s="7"/>
      <c r="Q243" s="8">
        <f>bdrate(C243:C246,D243:D246,J243:J246,K243:K246)</f>
        <v>-0.3917533726193716</v>
      </c>
      <c r="R243" s="8">
        <f>bdrate(C243:C246,E243:E246,J243:J246,L243:L246)</f>
        <v>-0.34034483589970255</v>
      </c>
      <c r="S243" s="8">
        <f>bdrate(C243:C246,F243:F246,J243:J246,M243:M246)</f>
        <v>-0.28915540476655532</v>
      </c>
      <c r="T243" s="25">
        <f>bdrate(C243:C246,H243:H246,J243:J246,O243:O246)</f>
        <v>-0.38489837925688819</v>
      </c>
      <c r="U243" s="28">
        <f t="shared" si="9"/>
        <v>-0.27324600420352901</v>
      </c>
    </row>
    <row r="244" spans="2:21" x14ac:dyDescent="0.25">
      <c r="B244" s="9"/>
      <c r="C244" s="31">
        <v>1408.39</v>
      </c>
      <c r="D244" s="32">
        <v>29.582999999999998</v>
      </c>
      <c r="E244" s="32">
        <v>34.853999999999999</v>
      </c>
      <c r="F244" s="32">
        <v>33.817</v>
      </c>
      <c r="G244" s="18">
        <v>433.73</v>
      </c>
      <c r="H244" s="18">
        <f t="shared" si="10"/>
        <v>30.771124999999998</v>
      </c>
      <c r="I244" s="5"/>
      <c r="J244" s="31">
        <v>1005.1581</v>
      </c>
      <c r="K244" s="32">
        <v>29.984300000000001</v>
      </c>
      <c r="L244" s="32">
        <v>35.228200000000001</v>
      </c>
      <c r="M244" s="32">
        <v>34.055399999999999</v>
      </c>
      <c r="N244" s="18">
        <v>346.48700000000002</v>
      </c>
      <c r="O244" s="18">
        <f t="shared" si="11"/>
        <v>31.148675000000001</v>
      </c>
      <c r="P244" s="7"/>
      <c r="Q244" s="10"/>
      <c r="R244" s="11"/>
      <c r="S244" s="11"/>
      <c r="T244" s="26"/>
      <c r="U244" s="28">
        <f t="shared" si="9"/>
        <v>-0.20114587416134461</v>
      </c>
    </row>
    <row r="245" spans="2:21" x14ac:dyDescent="0.25">
      <c r="B245" s="9"/>
      <c r="C245" s="31">
        <v>846.68</v>
      </c>
      <c r="D245" s="32">
        <v>26.974</v>
      </c>
      <c r="E245" s="32">
        <v>33.945</v>
      </c>
      <c r="F245" s="32">
        <v>32.875</v>
      </c>
      <c r="G245" s="18">
        <v>442.15</v>
      </c>
      <c r="H245" s="18">
        <f t="shared" si="10"/>
        <v>28.582999999999998</v>
      </c>
      <c r="I245" s="5"/>
      <c r="J245" s="31">
        <v>602.00009999999997</v>
      </c>
      <c r="K245" s="32">
        <v>27.848099999999999</v>
      </c>
      <c r="L245" s="32">
        <v>33.997999999999998</v>
      </c>
      <c r="M245" s="32">
        <v>32.7209</v>
      </c>
      <c r="N245" s="18">
        <v>418.11849999999998</v>
      </c>
      <c r="O245" s="18">
        <f t="shared" si="11"/>
        <v>29.225937499999997</v>
      </c>
      <c r="P245" s="7"/>
      <c r="Q245" s="10"/>
      <c r="R245" s="11"/>
      <c r="S245" s="11"/>
      <c r="T245" s="26"/>
      <c r="U245" s="28">
        <f t="shared" si="9"/>
        <v>-5.4351464435146435E-2</v>
      </c>
    </row>
    <row r="246" spans="2:21" ht="16.5" thickBot="1" x14ac:dyDescent="0.3">
      <c r="B246" s="12"/>
      <c r="C246" s="33">
        <v>375.65</v>
      </c>
      <c r="D246" s="34">
        <v>22.748000000000001</v>
      </c>
      <c r="E246" s="34">
        <v>31.277999999999999</v>
      </c>
      <c r="F246" s="34">
        <v>30.1</v>
      </c>
      <c r="G246" s="20">
        <v>443.79</v>
      </c>
      <c r="H246" s="20">
        <f t="shared" si="10"/>
        <v>24.733249999999998</v>
      </c>
      <c r="I246" s="5"/>
      <c r="J246" s="33">
        <v>302.60079999999999</v>
      </c>
      <c r="K246" s="34">
        <v>25.383299999999998</v>
      </c>
      <c r="L246" s="34">
        <v>32.163800000000002</v>
      </c>
      <c r="M246" s="34">
        <v>30.783000000000001</v>
      </c>
      <c r="N246" s="20">
        <v>529.41179999999997</v>
      </c>
      <c r="O246" s="20">
        <f t="shared" si="11"/>
        <v>26.905825</v>
      </c>
      <c r="P246" s="7"/>
      <c r="Q246" s="13"/>
      <c r="R246" s="14"/>
      <c r="S246" s="14"/>
      <c r="T246" s="27"/>
      <c r="U246" s="28">
        <f t="shared" si="9"/>
        <v>0.19293314405462031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-0.43401635473509165</v>
      </c>
      <c r="R247" s="21">
        <f>AVERAGE(R131:R246)</f>
        <v>-0.51977917835698106</v>
      </c>
      <c r="S247" s="21">
        <f>AVERAGE(S131:S246)</f>
        <v>-0.51483327557806424</v>
      </c>
      <c r="T247" s="21">
        <f>AVERAGE(T131:T246)</f>
        <v>-0.45081661093350472</v>
      </c>
      <c r="U247" s="21">
        <f>AVERAGE(U131:U246)</f>
        <v>-9.5294629596617775E-2</v>
      </c>
    </row>
  </sheetData>
  <mergeCells count="12">
    <mergeCell ref="B127:B128"/>
    <mergeCell ref="C127:U128"/>
    <mergeCell ref="C129:H129"/>
    <mergeCell ref="J129:O129"/>
    <mergeCell ref="Q129:S129"/>
    <mergeCell ref="U129:U130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1011" priority="85" operator="greaterThan">
      <formula>0.03</formula>
    </cfRule>
    <cfRule type="cellIs" dxfId="1010" priority="86" stopIfTrue="1" operator="lessThan">
      <formula>-0.03</formula>
    </cfRule>
  </conditionalFormatting>
  <conditionalFormatting sqref="Q33:T36">
    <cfRule type="cellIs" dxfId="1009" priority="83" operator="greaterThan">
      <formula>0.03</formula>
    </cfRule>
    <cfRule type="cellIs" dxfId="1008" priority="84" stopIfTrue="1" operator="lessThan">
      <formula>-0.03</formula>
    </cfRule>
  </conditionalFormatting>
  <conditionalFormatting sqref="Q46:T48 Q62:T64">
    <cfRule type="cellIs" dxfId="1007" priority="81" operator="greaterThan">
      <formula>0.03</formula>
    </cfRule>
    <cfRule type="cellIs" dxfId="1006" priority="82" stopIfTrue="1" operator="lessThan">
      <formula>-0.03</formula>
    </cfRule>
  </conditionalFormatting>
  <conditionalFormatting sqref="Q50:T52 Q54:T56 Q58:T60">
    <cfRule type="cellIs" dxfId="1005" priority="79" operator="greaterThan">
      <formula>0.03</formula>
    </cfRule>
    <cfRule type="cellIs" dxfId="1004" priority="80" stopIfTrue="1" operator="lessThan">
      <formula>-0.03</formula>
    </cfRule>
  </conditionalFormatting>
  <conditionalFormatting sqref="Q70:T72 Q74:T76">
    <cfRule type="cellIs" dxfId="1003" priority="77" operator="greaterThan">
      <formula>0.03</formula>
    </cfRule>
    <cfRule type="cellIs" dxfId="1002" priority="78" stopIfTrue="1" operator="lessThan">
      <formula>-0.03</formula>
    </cfRule>
  </conditionalFormatting>
  <conditionalFormatting sqref="Q66:T68">
    <cfRule type="cellIs" dxfId="1001" priority="75" operator="greaterThan">
      <formula>0.03</formula>
    </cfRule>
    <cfRule type="cellIs" dxfId="1000" priority="76" stopIfTrue="1" operator="lessThan">
      <formula>-0.03</formula>
    </cfRule>
  </conditionalFormatting>
  <conditionalFormatting sqref="Q78:T80">
    <cfRule type="cellIs" dxfId="999" priority="73" operator="greaterThan">
      <formula>0.03</formula>
    </cfRule>
    <cfRule type="cellIs" dxfId="998" priority="74" stopIfTrue="1" operator="lessThan">
      <formula>-0.03</formula>
    </cfRule>
  </conditionalFormatting>
  <conditionalFormatting sqref="Q21:T28">
    <cfRule type="cellIs" dxfId="997" priority="71" operator="greaterThan">
      <formula>0.03</formula>
    </cfRule>
    <cfRule type="cellIs" dxfId="996" priority="72" stopIfTrue="1" operator="lessThan">
      <formula>-0.03</formula>
    </cfRule>
  </conditionalFormatting>
  <conditionalFormatting sqref="Q151:T154 Q159:T166 Q131:T142">
    <cfRule type="cellIs" dxfId="995" priority="69" operator="greaterThan">
      <formula>0.03</formula>
    </cfRule>
    <cfRule type="cellIs" dxfId="994" priority="70" stopIfTrue="1" operator="lessThan">
      <formula>-0.03</formula>
    </cfRule>
  </conditionalFormatting>
  <conditionalFormatting sqref="Q155:T158">
    <cfRule type="cellIs" dxfId="993" priority="67" operator="greaterThan">
      <formula>0.03</formula>
    </cfRule>
    <cfRule type="cellIs" dxfId="992" priority="68" stopIfTrue="1" operator="lessThan">
      <formula>-0.03</formula>
    </cfRule>
  </conditionalFormatting>
  <conditionalFormatting sqref="Q167:T170 Q183:T186">
    <cfRule type="cellIs" dxfId="991" priority="65" operator="greaterThan">
      <formula>0.03</formula>
    </cfRule>
    <cfRule type="cellIs" dxfId="990" priority="66" stopIfTrue="1" operator="lessThan">
      <formula>-0.03</formula>
    </cfRule>
  </conditionalFormatting>
  <conditionalFormatting sqref="Q171:T182">
    <cfRule type="cellIs" dxfId="989" priority="63" operator="greaterThan">
      <formula>0.03</formula>
    </cfRule>
    <cfRule type="cellIs" dxfId="988" priority="64" stopIfTrue="1" operator="lessThan">
      <formula>-0.03</formula>
    </cfRule>
  </conditionalFormatting>
  <conditionalFormatting sqref="Q191:T198">
    <cfRule type="cellIs" dxfId="987" priority="61" operator="greaterThan">
      <formula>0.03</formula>
    </cfRule>
    <cfRule type="cellIs" dxfId="986" priority="62" stopIfTrue="1" operator="lessThan">
      <formula>-0.03</formula>
    </cfRule>
  </conditionalFormatting>
  <conditionalFormatting sqref="Q187:T190">
    <cfRule type="cellIs" dxfId="985" priority="59" operator="greaterThan">
      <formula>0.03</formula>
    </cfRule>
    <cfRule type="cellIs" dxfId="984" priority="60" stopIfTrue="1" operator="lessThan">
      <formula>-0.03</formula>
    </cfRule>
  </conditionalFormatting>
  <conditionalFormatting sqref="Q199:T202">
    <cfRule type="cellIs" dxfId="983" priority="57" operator="greaterThan">
      <formula>0.03</formula>
    </cfRule>
    <cfRule type="cellIs" dxfId="982" priority="58" stopIfTrue="1" operator="lessThan">
      <formula>-0.03</formula>
    </cfRule>
  </conditionalFormatting>
  <conditionalFormatting sqref="Q143:T150">
    <cfRule type="cellIs" dxfId="981" priority="55" operator="greaterThan">
      <formula>0.03</formula>
    </cfRule>
    <cfRule type="cellIs" dxfId="980" priority="56" stopIfTrue="1" operator="lessThan">
      <formula>-0.03</formula>
    </cfRule>
  </conditionalFormatting>
  <conditionalFormatting sqref="Q45:T45">
    <cfRule type="cellIs" dxfId="979" priority="53" operator="greaterThan">
      <formula>0.03</formula>
    </cfRule>
    <cfRule type="cellIs" dxfId="978" priority="54" stopIfTrue="1" operator="lessThan">
      <formula>-0.03</formula>
    </cfRule>
  </conditionalFormatting>
  <conditionalFormatting sqref="Q49:T49">
    <cfRule type="cellIs" dxfId="977" priority="51" operator="greaterThan">
      <formula>0.03</formula>
    </cfRule>
    <cfRule type="cellIs" dxfId="976" priority="52" stopIfTrue="1" operator="lessThan">
      <formula>-0.03</formula>
    </cfRule>
  </conditionalFormatting>
  <conditionalFormatting sqref="Q53:T53">
    <cfRule type="cellIs" dxfId="975" priority="49" operator="greaterThan">
      <formula>0.03</formula>
    </cfRule>
    <cfRule type="cellIs" dxfId="974" priority="50" stopIfTrue="1" operator="lessThan">
      <formula>-0.03</formula>
    </cfRule>
  </conditionalFormatting>
  <conditionalFormatting sqref="Q57:T57">
    <cfRule type="cellIs" dxfId="973" priority="47" operator="greaterThan">
      <formula>0.03</formula>
    </cfRule>
    <cfRule type="cellIs" dxfId="972" priority="48" stopIfTrue="1" operator="lessThan">
      <formula>-0.03</formula>
    </cfRule>
  </conditionalFormatting>
  <conditionalFormatting sqref="Q61:T61">
    <cfRule type="cellIs" dxfId="971" priority="45" operator="greaterThan">
      <formula>0.03</formula>
    </cfRule>
    <cfRule type="cellIs" dxfId="970" priority="46" stopIfTrue="1" operator="lessThan">
      <formula>-0.03</formula>
    </cfRule>
  </conditionalFormatting>
  <conditionalFormatting sqref="Q65:T65">
    <cfRule type="cellIs" dxfId="969" priority="43" operator="greaterThan">
      <formula>0.03</formula>
    </cfRule>
    <cfRule type="cellIs" dxfId="968" priority="44" stopIfTrue="1" operator="lessThan">
      <formula>-0.03</formula>
    </cfRule>
  </conditionalFormatting>
  <conditionalFormatting sqref="Q69:T69">
    <cfRule type="cellIs" dxfId="967" priority="41" operator="greaterThan">
      <formula>0.03</formula>
    </cfRule>
    <cfRule type="cellIs" dxfId="966" priority="42" stopIfTrue="1" operator="lessThan">
      <formula>-0.03</formula>
    </cfRule>
  </conditionalFormatting>
  <conditionalFormatting sqref="Q73:T73">
    <cfRule type="cellIs" dxfId="965" priority="39" operator="greaterThan">
      <formula>0.03</formula>
    </cfRule>
    <cfRule type="cellIs" dxfId="964" priority="40" stopIfTrue="1" operator="lessThan">
      <formula>-0.03</formula>
    </cfRule>
  </conditionalFormatting>
  <conditionalFormatting sqref="Q77:T77">
    <cfRule type="cellIs" dxfId="963" priority="37" operator="greaterThan">
      <formula>0.03</formula>
    </cfRule>
    <cfRule type="cellIs" dxfId="962" priority="38" stopIfTrue="1" operator="lessThan">
      <formula>-0.03</formula>
    </cfRule>
  </conditionalFormatting>
  <conditionalFormatting sqref="Q117:T117">
    <cfRule type="cellIs" dxfId="961" priority="21" operator="greaterThan">
      <formula>0.03</formula>
    </cfRule>
    <cfRule type="cellIs" dxfId="960" priority="22" stopIfTrue="1" operator="lessThan">
      <formula>-0.03</formula>
    </cfRule>
  </conditionalFormatting>
  <conditionalFormatting sqref="Q93:T96 Q101:T108 Q81:T84">
    <cfRule type="cellIs" dxfId="959" priority="35" operator="greaterThan">
      <formula>0.03</formula>
    </cfRule>
    <cfRule type="cellIs" dxfId="958" priority="36" stopIfTrue="1" operator="lessThan">
      <formula>-0.03</formula>
    </cfRule>
  </conditionalFormatting>
  <conditionalFormatting sqref="Q97:T100">
    <cfRule type="cellIs" dxfId="957" priority="33" operator="greaterThan">
      <formula>0.03</formula>
    </cfRule>
    <cfRule type="cellIs" dxfId="956" priority="34" stopIfTrue="1" operator="lessThan">
      <formula>-0.03</formula>
    </cfRule>
  </conditionalFormatting>
  <conditionalFormatting sqref="Q110:T112 Q122:T124">
    <cfRule type="cellIs" dxfId="955" priority="31" operator="greaterThan">
      <formula>0.03</formula>
    </cfRule>
    <cfRule type="cellIs" dxfId="954" priority="32" stopIfTrue="1" operator="lessThan">
      <formula>-0.03</formula>
    </cfRule>
  </conditionalFormatting>
  <conditionalFormatting sqref="Q114:T116 Q118:T120">
    <cfRule type="cellIs" dxfId="953" priority="29" operator="greaterThan">
      <formula>0.03</formula>
    </cfRule>
    <cfRule type="cellIs" dxfId="952" priority="30" stopIfTrue="1" operator="lessThan">
      <formula>-0.03</formula>
    </cfRule>
  </conditionalFormatting>
  <conditionalFormatting sqref="Q85:T92">
    <cfRule type="cellIs" dxfId="951" priority="27" operator="greaterThan">
      <formula>0.03</formula>
    </cfRule>
    <cfRule type="cellIs" dxfId="950" priority="28" stopIfTrue="1" operator="lessThan">
      <formula>-0.03</formula>
    </cfRule>
  </conditionalFormatting>
  <conditionalFormatting sqref="Q109:T109">
    <cfRule type="cellIs" dxfId="949" priority="25" operator="greaterThan">
      <formula>0.03</formula>
    </cfRule>
    <cfRule type="cellIs" dxfId="948" priority="26" stopIfTrue="1" operator="lessThan">
      <formula>-0.03</formula>
    </cfRule>
  </conditionalFormatting>
  <conditionalFormatting sqref="Q113:T113">
    <cfRule type="cellIs" dxfId="947" priority="23" operator="greaterThan">
      <formula>0.03</formula>
    </cfRule>
    <cfRule type="cellIs" dxfId="946" priority="24" stopIfTrue="1" operator="lessThan">
      <formula>-0.03</formula>
    </cfRule>
  </conditionalFormatting>
  <conditionalFormatting sqref="Q121:T121">
    <cfRule type="cellIs" dxfId="945" priority="19" operator="greaterThan">
      <formula>0.03</formula>
    </cfRule>
    <cfRule type="cellIs" dxfId="944" priority="20" stopIfTrue="1" operator="lessThan">
      <formula>-0.03</formula>
    </cfRule>
  </conditionalFormatting>
  <conditionalFormatting sqref="Q239:T239">
    <cfRule type="cellIs" dxfId="943" priority="3" operator="greaterThan">
      <formula>0.03</formula>
    </cfRule>
    <cfRule type="cellIs" dxfId="942" priority="4" stopIfTrue="1" operator="lessThan">
      <formula>-0.03</formula>
    </cfRule>
  </conditionalFormatting>
  <conditionalFormatting sqref="Q215:T218 Q223:T230 Q203:T206">
    <cfRule type="cellIs" dxfId="941" priority="17" operator="greaterThan">
      <formula>0.03</formula>
    </cfRule>
    <cfRule type="cellIs" dxfId="940" priority="18" stopIfTrue="1" operator="lessThan">
      <formula>-0.03</formula>
    </cfRule>
  </conditionalFormatting>
  <conditionalFormatting sqref="Q219:T222">
    <cfRule type="cellIs" dxfId="939" priority="15" operator="greaterThan">
      <formula>0.03</formula>
    </cfRule>
    <cfRule type="cellIs" dxfId="938" priority="16" stopIfTrue="1" operator="lessThan">
      <formula>-0.03</formula>
    </cfRule>
  </conditionalFormatting>
  <conditionalFormatting sqref="Q232:T234 Q244:T246">
    <cfRule type="cellIs" dxfId="937" priority="13" operator="greaterThan">
      <formula>0.03</formula>
    </cfRule>
    <cfRule type="cellIs" dxfId="936" priority="14" stopIfTrue="1" operator="lessThan">
      <formula>-0.03</formula>
    </cfRule>
  </conditionalFormatting>
  <conditionalFormatting sqref="Q236:T238 Q240:T242">
    <cfRule type="cellIs" dxfId="935" priority="11" operator="greaterThan">
      <formula>0.03</formula>
    </cfRule>
    <cfRule type="cellIs" dxfId="934" priority="12" stopIfTrue="1" operator="lessThan">
      <formula>-0.03</formula>
    </cfRule>
  </conditionalFormatting>
  <conditionalFormatting sqref="Q207:T214">
    <cfRule type="cellIs" dxfId="933" priority="9" operator="greaterThan">
      <formula>0.03</formula>
    </cfRule>
    <cfRule type="cellIs" dxfId="932" priority="10" stopIfTrue="1" operator="lessThan">
      <formula>-0.03</formula>
    </cfRule>
  </conditionalFormatting>
  <conditionalFormatting sqref="Q231:T231">
    <cfRule type="cellIs" dxfId="931" priority="7" operator="greaterThan">
      <formula>0.03</formula>
    </cfRule>
    <cfRule type="cellIs" dxfId="930" priority="8" stopIfTrue="1" operator="lessThan">
      <formula>-0.03</formula>
    </cfRule>
  </conditionalFormatting>
  <conditionalFormatting sqref="Q235:T235">
    <cfRule type="cellIs" dxfId="929" priority="5" operator="greaterThan">
      <formula>0.03</formula>
    </cfRule>
    <cfRule type="cellIs" dxfId="928" priority="6" stopIfTrue="1" operator="lessThan">
      <formula>-0.03</formula>
    </cfRule>
  </conditionalFormatting>
  <conditionalFormatting sqref="Q243:T243">
    <cfRule type="cellIs" dxfId="927" priority="1" operator="greaterThan">
      <formula>0.03</formula>
    </cfRule>
    <cfRule type="cellIs" dxfId="926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zoomScaleNormal="100"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93</v>
      </c>
    </row>
    <row r="2" spans="1:21" x14ac:dyDescent="0.25">
      <c r="A2" t="s">
        <v>82</v>
      </c>
    </row>
    <row r="3" spans="1:21" x14ac:dyDescent="0.25">
      <c r="A3" t="s">
        <v>85</v>
      </c>
    </row>
    <row r="4" spans="1:21" x14ac:dyDescent="0.25">
      <c r="A4" t="s">
        <v>84</v>
      </c>
    </row>
    <row r="5" spans="1:21" s="35" customFormat="1" ht="15.75" customHeight="1" x14ac:dyDescent="0.25">
      <c r="B5" s="61" t="s">
        <v>29</v>
      </c>
      <c r="C5" s="63" t="s">
        <v>190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65</v>
      </c>
      <c r="D7" s="70"/>
      <c r="E7" s="70"/>
      <c r="F7" s="70"/>
      <c r="G7" s="70"/>
      <c r="H7" s="70"/>
      <c r="I7" s="5"/>
      <c r="J7" s="69" t="s">
        <v>179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5840.19</v>
      </c>
      <c r="D9" s="16">
        <v>37.378</v>
      </c>
      <c r="E9" s="16">
        <v>38.862000000000002</v>
      </c>
      <c r="F9" s="16">
        <v>41.197000000000003</v>
      </c>
      <c r="G9" s="16">
        <v>17.91</v>
      </c>
      <c r="H9" s="16">
        <f t="shared" ref="H9:H80" si="0">(6*D9+E9+F9)/8</f>
        <v>38.040875</v>
      </c>
      <c r="I9" s="5"/>
      <c r="J9" s="15">
        <v>4022.6143999999999</v>
      </c>
      <c r="K9" s="16">
        <v>37.903100000000002</v>
      </c>
      <c r="L9" s="16">
        <v>39.505899999999997</v>
      </c>
      <c r="M9" s="16">
        <v>41.9831</v>
      </c>
      <c r="N9" s="16">
        <v>17.674099999999999</v>
      </c>
      <c r="O9" s="16">
        <f t="shared" ref="O9:O80" si="1">(6*K9+L9+M9)/8</f>
        <v>38.61345</v>
      </c>
      <c r="P9" s="7"/>
      <c r="Q9" s="8">
        <f>bdrate(C9:C12,D9:D12,J9:J12,K9:K12)</f>
        <v>-0.44429816746242345</v>
      </c>
      <c r="R9" s="8">
        <f>bdrate(C9:C12,E9:E12,J9:J12,L9:L12)</f>
        <v>-0.49044856851541485</v>
      </c>
      <c r="S9" s="8">
        <f>bdrate(C9:C12,F9:F12,J9:J12,M9:M12)</f>
        <v>-0.49330017735099918</v>
      </c>
      <c r="T9" s="25">
        <f>bdrate(C9:C12,H9:H12,J9:J12,O9:O12)</f>
        <v>-0.45123593058633149</v>
      </c>
      <c r="U9" s="28">
        <f t="shared" ref="U9:U40" si="2">(N9-G9)/G9</f>
        <v>-1.317141261864885E-2</v>
      </c>
    </row>
    <row r="10" spans="1:21" x14ac:dyDescent="0.25">
      <c r="A10" s="9" t="s">
        <v>36</v>
      </c>
      <c r="B10" s="9"/>
      <c r="C10" s="17">
        <v>4341.66</v>
      </c>
      <c r="D10" s="18">
        <v>36.302999999999997</v>
      </c>
      <c r="E10" s="18">
        <v>38.389000000000003</v>
      </c>
      <c r="F10" s="18">
        <v>40.698999999999998</v>
      </c>
      <c r="G10" s="18">
        <v>18.89</v>
      </c>
      <c r="H10" s="18">
        <f t="shared" si="0"/>
        <v>37.113250000000001</v>
      </c>
      <c r="I10" s="5"/>
      <c r="J10" s="17">
        <v>2943.9839999999999</v>
      </c>
      <c r="K10" s="18">
        <v>36.929400000000001</v>
      </c>
      <c r="L10" s="18">
        <v>38.935499999999998</v>
      </c>
      <c r="M10" s="18">
        <v>41.287199999999999</v>
      </c>
      <c r="N10" s="18">
        <v>19.7837</v>
      </c>
      <c r="O10" s="18">
        <f t="shared" si="1"/>
        <v>37.724887500000001</v>
      </c>
      <c r="P10" s="7"/>
      <c r="Q10" s="10"/>
      <c r="R10" s="11"/>
      <c r="S10" s="11"/>
      <c r="T10" s="26"/>
      <c r="U10" s="28">
        <f t="shared" si="2"/>
        <v>4.7310746426680733E-2</v>
      </c>
    </row>
    <row r="11" spans="1:21" x14ac:dyDescent="0.25">
      <c r="B11" s="9"/>
      <c r="C11" s="17">
        <v>2858.38</v>
      </c>
      <c r="D11" s="18">
        <v>34.639000000000003</v>
      </c>
      <c r="E11" s="18">
        <v>37.762999999999998</v>
      </c>
      <c r="F11" s="18">
        <v>40.027000000000001</v>
      </c>
      <c r="G11" s="18">
        <v>20.2</v>
      </c>
      <c r="H11" s="18">
        <f t="shared" si="0"/>
        <v>35.703000000000003</v>
      </c>
      <c r="I11" s="5"/>
      <c r="J11" s="17">
        <v>1941.8112000000001</v>
      </c>
      <c r="K11" s="18">
        <v>35.381900000000002</v>
      </c>
      <c r="L11" s="18">
        <v>38.250799999999998</v>
      </c>
      <c r="M11" s="18">
        <v>40.5593</v>
      </c>
      <c r="N11" s="18">
        <v>23.227</v>
      </c>
      <c r="O11" s="18">
        <f t="shared" si="1"/>
        <v>36.387687499999998</v>
      </c>
      <c r="P11" s="7"/>
      <c r="Q11" s="10"/>
      <c r="R11" s="11"/>
      <c r="S11" s="11"/>
      <c r="T11" s="26"/>
      <c r="U11" s="28">
        <f t="shared" si="2"/>
        <v>0.1498514851485149</v>
      </c>
    </row>
    <row r="12" spans="1:21" ht="16.5" thickBot="1" x14ac:dyDescent="0.3">
      <c r="B12" s="12"/>
      <c r="C12" s="19">
        <v>1388.53</v>
      </c>
      <c r="D12" s="20">
        <v>31.300999999999998</v>
      </c>
      <c r="E12" s="20">
        <v>36.662999999999997</v>
      </c>
      <c r="F12" s="20">
        <v>38.862000000000002</v>
      </c>
      <c r="G12" s="20">
        <v>22.26</v>
      </c>
      <c r="H12" s="20">
        <f t="shared" si="0"/>
        <v>32.916375000000002</v>
      </c>
      <c r="I12" s="5"/>
      <c r="J12" s="19">
        <v>924.39840000000004</v>
      </c>
      <c r="K12" s="20">
        <v>32.535400000000003</v>
      </c>
      <c r="L12" s="20">
        <v>36.930999999999997</v>
      </c>
      <c r="M12" s="20">
        <v>39.154299999999999</v>
      </c>
      <c r="N12" s="20">
        <v>29.492699999999999</v>
      </c>
      <c r="O12" s="20">
        <f t="shared" si="1"/>
        <v>33.912212499999995</v>
      </c>
      <c r="P12" s="7"/>
      <c r="Q12" s="13"/>
      <c r="R12" s="14"/>
      <c r="S12" s="14"/>
      <c r="T12" s="27"/>
      <c r="U12" s="28">
        <f t="shared" si="2"/>
        <v>0.32491913746630713</v>
      </c>
    </row>
    <row r="13" spans="1:21" x14ac:dyDescent="0.25">
      <c r="B13" s="6" t="s">
        <v>47</v>
      </c>
      <c r="C13" s="15">
        <v>6267.69</v>
      </c>
      <c r="D13" s="16">
        <v>29.478999999999999</v>
      </c>
      <c r="E13" s="16">
        <v>39.405000000000001</v>
      </c>
      <c r="F13" s="16">
        <v>40.243000000000002</v>
      </c>
      <c r="G13" s="16">
        <v>14.14</v>
      </c>
      <c r="H13" s="16">
        <f t="shared" si="0"/>
        <v>32.065249999999999</v>
      </c>
      <c r="I13" s="5"/>
      <c r="J13" s="15">
        <v>4056.4688000000001</v>
      </c>
      <c r="K13" s="16">
        <v>29.521999999999998</v>
      </c>
      <c r="L13" s="16">
        <v>39.341099999999997</v>
      </c>
      <c r="M13" s="16">
        <v>40.2699</v>
      </c>
      <c r="N13" s="16">
        <v>12.126099999999999</v>
      </c>
      <c r="O13" s="16">
        <f t="shared" si="1"/>
        <v>32.092874999999999</v>
      </c>
      <c r="P13" s="7"/>
      <c r="Q13" s="8">
        <f>bdrate(C13:C16,D13:D16,J13:J16,K13:K16)</f>
        <v>-0.42694330130851499</v>
      </c>
      <c r="R13" s="8">
        <f>bdrate(C13:C16,E13:E16,J13:J16,L13:L16)</f>
        <v>-0.34431709807374367</v>
      </c>
      <c r="S13" s="8">
        <f>bdrate(C13:C16,F13:F16,J13:J16,M13:M16)</f>
        <v>-0.40616732268289812</v>
      </c>
      <c r="T13" s="25">
        <f>bdrate(C13:C16,H13:H16,J13:J16,O13:O16)</f>
        <v>-0.4220005569001295</v>
      </c>
      <c r="U13" s="28">
        <f t="shared" si="2"/>
        <v>-0.14242574257425752</v>
      </c>
    </row>
    <row r="14" spans="1:21" x14ac:dyDescent="0.25">
      <c r="B14" s="9"/>
      <c r="C14" s="17">
        <v>4731.3900000000003</v>
      </c>
      <c r="D14" s="18">
        <v>27.943000000000001</v>
      </c>
      <c r="E14" s="18">
        <v>38.887999999999998</v>
      </c>
      <c r="F14" s="18">
        <v>39.747</v>
      </c>
      <c r="G14" s="18">
        <v>15.12</v>
      </c>
      <c r="H14" s="18">
        <f t="shared" si="0"/>
        <v>30.786625000000001</v>
      </c>
      <c r="I14" s="5"/>
      <c r="J14" s="17">
        <v>3049.3744000000002</v>
      </c>
      <c r="K14" s="18">
        <v>28.228300000000001</v>
      </c>
      <c r="L14" s="18">
        <v>38.856200000000001</v>
      </c>
      <c r="M14" s="18">
        <v>39.847900000000003</v>
      </c>
      <c r="N14" s="18">
        <v>14.724600000000001</v>
      </c>
      <c r="O14" s="18">
        <f t="shared" si="1"/>
        <v>31.009237500000001</v>
      </c>
      <c r="P14" s="7"/>
      <c r="Q14" s="10"/>
      <c r="R14" s="11"/>
      <c r="S14" s="11"/>
      <c r="T14" s="26"/>
      <c r="U14" s="28">
        <f t="shared" si="2"/>
        <v>-2.6150793650793563E-2</v>
      </c>
    </row>
    <row r="15" spans="1:21" x14ac:dyDescent="0.25">
      <c r="B15" s="9"/>
      <c r="C15" s="17">
        <v>3142.57</v>
      </c>
      <c r="D15" s="18">
        <v>25.832000000000001</v>
      </c>
      <c r="E15" s="18">
        <v>38.186</v>
      </c>
      <c r="F15" s="18">
        <v>39.061999999999998</v>
      </c>
      <c r="G15" s="18">
        <v>17.079999999999998</v>
      </c>
      <c r="H15" s="18">
        <f t="shared" si="0"/>
        <v>29.03</v>
      </c>
      <c r="I15" s="5"/>
      <c r="J15" s="17">
        <v>2013.3504</v>
      </c>
      <c r="K15" s="18">
        <v>26.4132</v>
      </c>
      <c r="L15" s="18">
        <v>38.150799999999997</v>
      </c>
      <c r="M15" s="18">
        <v>39.242899999999999</v>
      </c>
      <c r="N15" s="18">
        <v>18.454699999999999</v>
      </c>
      <c r="O15" s="18">
        <f t="shared" si="1"/>
        <v>29.484112499999998</v>
      </c>
      <c r="P15" s="7"/>
      <c r="Q15" s="10"/>
      <c r="R15" s="11"/>
      <c r="S15" s="11"/>
      <c r="T15" s="26"/>
      <c r="U15" s="28">
        <f t="shared" si="2"/>
        <v>8.0485948477751812E-2</v>
      </c>
    </row>
    <row r="16" spans="1:21" ht="16.5" thickBot="1" x14ac:dyDescent="0.3">
      <c r="B16" s="12"/>
      <c r="C16" s="19">
        <v>1733.27</v>
      </c>
      <c r="D16" s="20">
        <v>22.809000000000001</v>
      </c>
      <c r="E16" s="20">
        <v>36.719000000000001</v>
      </c>
      <c r="F16" s="20">
        <v>37.762999999999998</v>
      </c>
      <c r="G16" s="20">
        <v>19.12</v>
      </c>
      <c r="H16" s="20">
        <f t="shared" si="0"/>
        <v>26.417000000000002</v>
      </c>
      <c r="I16" s="5"/>
      <c r="J16" s="19">
        <v>1104.9680000000001</v>
      </c>
      <c r="K16" s="20">
        <v>24.195599999999999</v>
      </c>
      <c r="L16" s="20">
        <v>36.599800000000002</v>
      </c>
      <c r="M16" s="20">
        <v>37.86</v>
      </c>
      <c r="N16" s="20">
        <v>23.977</v>
      </c>
      <c r="O16" s="20">
        <f t="shared" si="1"/>
        <v>27.454174999999999</v>
      </c>
      <c r="P16" s="7"/>
      <c r="Q16" s="13"/>
      <c r="R16" s="14"/>
      <c r="S16" s="14"/>
      <c r="T16" s="27"/>
      <c r="U16" s="28">
        <f t="shared" si="2"/>
        <v>0.25402719665271961</v>
      </c>
    </row>
    <row r="17" spans="1:21" x14ac:dyDescent="0.25">
      <c r="A17" s="6" t="s">
        <v>37</v>
      </c>
      <c r="B17" s="6" t="s">
        <v>48</v>
      </c>
      <c r="C17" s="15">
        <v>3057.32</v>
      </c>
      <c r="D17" s="16">
        <v>38.256999999999998</v>
      </c>
      <c r="E17" s="16">
        <v>41.570999999999998</v>
      </c>
      <c r="F17" s="16">
        <v>42.597999999999999</v>
      </c>
      <c r="G17" s="16">
        <v>27.43</v>
      </c>
      <c r="H17" s="16">
        <f t="shared" si="0"/>
        <v>39.213874999999994</v>
      </c>
      <c r="I17" s="5"/>
      <c r="J17" s="15">
        <v>2379.4816000000001</v>
      </c>
      <c r="K17" s="16">
        <v>39.094499999999996</v>
      </c>
      <c r="L17" s="16">
        <v>41.933799999999998</v>
      </c>
      <c r="M17" s="16">
        <v>43.271299999999997</v>
      </c>
      <c r="N17" s="16">
        <v>34.261200000000002</v>
      </c>
      <c r="O17" s="16">
        <f t="shared" si="1"/>
        <v>39.971512499999996</v>
      </c>
      <c r="P17" s="7"/>
      <c r="Q17" s="8">
        <f>bdrate(C17:C20,D17:D20,J17:J20,K17:K20)</f>
        <v>-0.45667915968365569</v>
      </c>
      <c r="R17" s="8">
        <f>bdrate(C17:C20,E17:E20,J17:J20,L17:L20)</f>
        <v>-0.37400785165894068</v>
      </c>
      <c r="S17" s="8">
        <f>bdrate(C17:C20,F17:F20,J17:J20,M17:M20)</f>
        <v>-0.47196085047030012</v>
      </c>
      <c r="T17" s="25">
        <f>bdrate(C17:C20,H17:H20,J17:J20,O17:O20)</f>
        <v>-0.45278942001138744</v>
      </c>
      <c r="U17" s="28">
        <f t="shared" si="2"/>
        <v>0.24904119577105369</v>
      </c>
    </row>
    <row r="18" spans="1:21" x14ac:dyDescent="0.25">
      <c r="A18" s="9" t="s">
        <v>38</v>
      </c>
      <c r="B18" s="9"/>
      <c r="C18" s="17">
        <v>2020.12</v>
      </c>
      <c r="D18" s="18">
        <v>36.777000000000001</v>
      </c>
      <c r="E18" s="18">
        <v>40.884</v>
      </c>
      <c r="F18" s="18">
        <v>41.832000000000001</v>
      </c>
      <c r="G18" s="18">
        <v>30.35</v>
      </c>
      <c r="H18" s="18">
        <f t="shared" si="0"/>
        <v>37.922249999999998</v>
      </c>
      <c r="I18" s="5"/>
      <c r="J18" s="17">
        <v>1572.1016</v>
      </c>
      <c r="K18" s="18">
        <v>37.856200000000001</v>
      </c>
      <c r="L18" s="18">
        <v>41.245899999999999</v>
      </c>
      <c r="M18" s="18">
        <v>42.485599999999998</v>
      </c>
      <c r="N18" s="18">
        <v>38.369300000000003</v>
      </c>
      <c r="O18" s="18">
        <f t="shared" si="1"/>
        <v>38.858587499999999</v>
      </c>
      <c r="P18" s="7"/>
      <c r="Q18" s="10"/>
      <c r="R18" s="11"/>
      <c r="S18" s="11"/>
      <c r="T18" s="26"/>
      <c r="U18" s="28">
        <f t="shared" si="2"/>
        <v>0.26422734761120265</v>
      </c>
    </row>
    <row r="19" spans="1:21" x14ac:dyDescent="0.25">
      <c r="B19" s="9"/>
      <c r="C19" s="17">
        <v>1250.79</v>
      </c>
      <c r="D19" s="18">
        <v>34.872999999999998</v>
      </c>
      <c r="E19" s="18">
        <v>40.143999999999998</v>
      </c>
      <c r="F19" s="18">
        <v>40.996000000000002</v>
      </c>
      <c r="G19" s="18">
        <v>33.81</v>
      </c>
      <c r="H19" s="18">
        <f t="shared" si="0"/>
        <v>36.297249999999998</v>
      </c>
      <c r="I19" s="5"/>
      <c r="J19" s="17">
        <v>965.09839999999997</v>
      </c>
      <c r="K19" s="18">
        <v>36.272399999999998</v>
      </c>
      <c r="L19" s="18">
        <v>40.4358</v>
      </c>
      <c r="M19" s="18">
        <v>41.624699999999997</v>
      </c>
      <c r="N19" s="18">
        <v>45.1128</v>
      </c>
      <c r="O19" s="18">
        <f t="shared" si="1"/>
        <v>37.461862500000002</v>
      </c>
      <c r="P19" s="7"/>
      <c r="Q19" s="10"/>
      <c r="R19" s="11"/>
      <c r="S19" s="11"/>
      <c r="T19" s="26"/>
      <c r="U19" s="28">
        <f t="shared" si="2"/>
        <v>0.33430346051464055</v>
      </c>
    </row>
    <row r="20" spans="1:21" ht="16.5" thickBot="1" x14ac:dyDescent="0.3">
      <c r="B20" s="12"/>
      <c r="C20" s="19">
        <v>746.31</v>
      </c>
      <c r="D20" s="20">
        <v>32.597999999999999</v>
      </c>
      <c r="E20" s="20">
        <v>39.280999999999999</v>
      </c>
      <c r="F20" s="20">
        <v>40.238</v>
      </c>
      <c r="G20" s="20">
        <v>37.799999999999997</v>
      </c>
      <c r="H20" s="20">
        <f t="shared" si="0"/>
        <v>34.388374999999996</v>
      </c>
      <c r="I20" s="5"/>
      <c r="J20" s="19">
        <v>558.00319999999999</v>
      </c>
      <c r="K20" s="20">
        <v>34.451000000000001</v>
      </c>
      <c r="L20" s="20">
        <v>39.686399999999999</v>
      </c>
      <c r="M20" s="20">
        <v>40.898699999999998</v>
      </c>
      <c r="N20" s="20">
        <v>54.545499999999997</v>
      </c>
      <c r="O20" s="20">
        <f t="shared" si="1"/>
        <v>35.911387500000004</v>
      </c>
      <c r="P20" s="7"/>
      <c r="Q20" s="13"/>
      <c r="R20" s="14"/>
      <c r="S20" s="14"/>
      <c r="T20" s="27"/>
      <c r="U20" s="28">
        <f t="shared" si="2"/>
        <v>0.44300264550264551</v>
      </c>
    </row>
    <row r="21" spans="1:21" x14ac:dyDescent="0.25">
      <c r="B21" s="6" t="s">
        <v>49</v>
      </c>
      <c r="C21" s="15">
        <v>3448.04</v>
      </c>
      <c r="D21" s="16">
        <v>35.83</v>
      </c>
      <c r="E21" s="16">
        <v>38.99</v>
      </c>
      <c r="F21" s="16">
        <v>40.192</v>
      </c>
      <c r="G21" s="16">
        <v>31.34</v>
      </c>
      <c r="H21" s="16">
        <f t="shared" si="0"/>
        <v>36.770249999999997</v>
      </c>
      <c r="I21" s="5"/>
      <c r="J21" s="15">
        <v>2477.4872</v>
      </c>
      <c r="K21" s="16">
        <v>36.015999999999998</v>
      </c>
      <c r="L21" s="16">
        <v>39.965400000000002</v>
      </c>
      <c r="M21" s="16">
        <v>41.177399999999999</v>
      </c>
      <c r="N21" s="16">
        <v>31.08</v>
      </c>
      <c r="O21" s="16">
        <f t="shared" si="1"/>
        <v>37.154849999999996</v>
      </c>
      <c r="P21" s="7"/>
      <c r="Q21" s="8">
        <f>bdrate(C21:C24,D21:D24,J21:J24,K21:K24)</f>
        <v>-0.40096722127577478</v>
      </c>
      <c r="R21" s="8">
        <f>bdrate(C21:C24,E21:E24,J21:J24,L21:L24)</f>
        <v>-0.53310925855248992</v>
      </c>
      <c r="S21" s="8">
        <f>bdrate(C21:C24,F21:F24,J21:J24,M21:M24)</f>
        <v>-0.53623936395073413</v>
      </c>
      <c r="T21" s="25">
        <f>bdrate(C21:C24,H21:H24,J21:J24,O21:O24)</f>
        <v>-0.42380204831963475</v>
      </c>
      <c r="U21" s="28">
        <f t="shared" si="2"/>
        <v>-8.2961072112317027E-3</v>
      </c>
    </row>
    <row r="22" spans="1:21" x14ac:dyDescent="0.25">
      <c r="B22" s="9"/>
      <c r="C22" s="17">
        <v>2284.5300000000002</v>
      </c>
      <c r="D22" s="18">
        <v>34.274999999999999</v>
      </c>
      <c r="E22" s="18">
        <v>38.298999999999999</v>
      </c>
      <c r="F22" s="18">
        <v>39.606999999999999</v>
      </c>
      <c r="G22" s="18">
        <v>33.880000000000003</v>
      </c>
      <c r="H22" s="18">
        <f t="shared" si="0"/>
        <v>35.444499999999998</v>
      </c>
      <c r="I22" s="5"/>
      <c r="J22" s="17">
        <v>1634.6967999999999</v>
      </c>
      <c r="K22" s="18">
        <v>34.734900000000003</v>
      </c>
      <c r="L22" s="18">
        <v>39.170400000000001</v>
      </c>
      <c r="M22" s="18">
        <v>40.383800000000001</v>
      </c>
      <c r="N22" s="18">
        <v>36.985700000000001</v>
      </c>
      <c r="O22" s="18">
        <f t="shared" si="1"/>
        <v>35.995449999999998</v>
      </c>
      <c r="P22" s="7"/>
      <c r="Q22" s="10"/>
      <c r="R22" s="11"/>
      <c r="S22" s="11"/>
      <c r="T22" s="26"/>
      <c r="U22" s="28">
        <f t="shared" si="2"/>
        <v>9.1667650531286851E-2</v>
      </c>
    </row>
    <row r="23" spans="1:21" x14ac:dyDescent="0.25">
      <c r="B23" s="9"/>
      <c r="C23" s="17">
        <v>1424.43</v>
      </c>
      <c r="D23" s="18">
        <v>32.465000000000003</v>
      </c>
      <c r="E23" s="18">
        <v>37.548000000000002</v>
      </c>
      <c r="F23" s="18">
        <v>38.988</v>
      </c>
      <c r="G23" s="18">
        <v>36.799999999999997</v>
      </c>
      <c r="H23" s="18">
        <f t="shared" si="0"/>
        <v>33.915750000000003</v>
      </c>
      <c r="I23" s="5"/>
      <c r="J23" s="17">
        <v>1021.0544</v>
      </c>
      <c r="K23" s="18">
        <v>33.238</v>
      </c>
      <c r="L23" s="18">
        <v>38.230200000000004</v>
      </c>
      <c r="M23" s="18">
        <v>39.545200000000001</v>
      </c>
      <c r="N23" s="18">
        <v>44.460900000000002</v>
      </c>
      <c r="O23" s="18">
        <f t="shared" si="1"/>
        <v>34.650424999999998</v>
      </c>
      <c r="P23" s="7"/>
      <c r="Q23" s="10"/>
      <c r="R23" s="11"/>
      <c r="S23" s="11"/>
      <c r="T23" s="26"/>
      <c r="U23" s="28">
        <f t="shared" si="2"/>
        <v>0.20817663043478277</v>
      </c>
    </row>
    <row r="24" spans="1:21" ht="16.5" thickBot="1" x14ac:dyDescent="0.3">
      <c r="B24" s="12"/>
      <c r="C24" s="19">
        <v>849.94</v>
      </c>
      <c r="D24" s="20">
        <v>30.515000000000001</v>
      </c>
      <c r="E24" s="20">
        <v>36.884</v>
      </c>
      <c r="F24" s="20">
        <v>38.372999999999998</v>
      </c>
      <c r="G24" s="20">
        <v>40.28</v>
      </c>
      <c r="H24" s="20">
        <f t="shared" si="0"/>
        <v>32.293374999999997</v>
      </c>
      <c r="I24" s="5"/>
      <c r="J24" s="19">
        <v>597.27359999999999</v>
      </c>
      <c r="K24" s="20">
        <v>31.619199999999999</v>
      </c>
      <c r="L24" s="20">
        <v>37.292900000000003</v>
      </c>
      <c r="M24" s="20">
        <v>38.813600000000001</v>
      </c>
      <c r="N24" s="20">
        <v>53.981099999999998</v>
      </c>
      <c r="O24" s="20">
        <f t="shared" si="1"/>
        <v>33.227712499999996</v>
      </c>
      <c r="P24" s="7"/>
      <c r="Q24" s="13"/>
      <c r="R24" s="14"/>
      <c r="S24" s="14"/>
      <c r="T24" s="27"/>
      <c r="U24" s="28">
        <f t="shared" si="2"/>
        <v>0.34014647467725911</v>
      </c>
    </row>
    <row r="25" spans="1:21" x14ac:dyDescent="0.25">
      <c r="B25" s="6" t="s">
        <v>50</v>
      </c>
      <c r="C25" s="15">
        <v>3556.95</v>
      </c>
      <c r="D25" s="16">
        <v>33.72</v>
      </c>
      <c r="E25" s="16">
        <v>37.723999999999997</v>
      </c>
      <c r="F25" s="16">
        <v>39.15</v>
      </c>
      <c r="G25" s="16">
        <v>35.03</v>
      </c>
      <c r="H25" s="16">
        <f t="shared" si="0"/>
        <v>34.899249999999995</v>
      </c>
      <c r="I25" s="5"/>
      <c r="J25" s="15">
        <v>2413.9096</v>
      </c>
      <c r="K25" s="16">
        <v>34.110199999999999</v>
      </c>
      <c r="L25" s="16">
        <v>38.195900000000002</v>
      </c>
      <c r="M25" s="16">
        <v>40.166499999999999</v>
      </c>
      <c r="N25" s="16">
        <v>43.963799999999999</v>
      </c>
      <c r="O25" s="16">
        <f t="shared" si="1"/>
        <v>35.377949999999998</v>
      </c>
      <c r="P25" s="7"/>
      <c r="Q25" s="8">
        <f>bdrate(C25:C28,D25:D28,J25:J28,K25:K28)</f>
        <v>-0.47315161286210472</v>
      </c>
      <c r="R25" s="8">
        <f>bdrate(C25:C28,E25:E28,J25:J28,L25:L28)</f>
        <v>-0.54959376356872458</v>
      </c>
      <c r="S25" s="8">
        <f>bdrate(C25:C28,F25:F28,J25:J28,M25:M28)</f>
        <v>-0.58894092754958793</v>
      </c>
      <c r="T25" s="25">
        <f>bdrate(C25:C28,H25:H28,J25:J28,O25:O28)</f>
        <v>-0.4887188951454684</v>
      </c>
      <c r="U25" s="28">
        <f t="shared" si="2"/>
        <v>0.25503282900371105</v>
      </c>
    </row>
    <row r="26" spans="1:21" x14ac:dyDescent="0.25">
      <c r="B26" s="9"/>
      <c r="C26" s="17">
        <v>2373.69</v>
      </c>
      <c r="D26" s="18">
        <v>32.22</v>
      </c>
      <c r="E26" s="18">
        <v>37.222000000000001</v>
      </c>
      <c r="F26" s="18">
        <v>38.305999999999997</v>
      </c>
      <c r="G26" s="18">
        <v>37.270000000000003</v>
      </c>
      <c r="H26" s="18">
        <f t="shared" si="0"/>
        <v>33.606000000000002</v>
      </c>
      <c r="I26" s="5"/>
      <c r="J26" s="17">
        <v>1608.1744000000001</v>
      </c>
      <c r="K26" s="18">
        <v>32.920200000000001</v>
      </c>
      <c r="L26" s="18">
        <v>37.722999999999999</v>
      </c>
      <c r="M26" s="18">
        <v>39.359400000000001</v>
      </c>
      <c r="N26" s="18">
        <v>50.875100000000003</v>
      </c>
      <c r="O26" s="18">
        <f t="shared" si="1"/>
        <v>34.325450000000004</v>
      </c>
      <c r="P26" s="7"/>
      <c r="Q26" s="10"/>
      <c r="R26" s="11"/>
      <c r="S26" s="11"/>
      <c r="T26" s="26"/>
      <c r="U26" s="28">
        <f t="shared" si="2"/>
        <v>0.36504158840890794</v>
      </c>
    </row>
    <row r="27" spans="1:21" x14ac:dyDescent="0.25">
      <c r="B27" s="9"/>
      <c r="C27" s="17">
        <v>1476.23</v>
      </c>
      <c r="D27" s="18">
        <v>30.302</v>
      </c>
      <c r="E27" s="18">
        <v>36.609000000000002</v>
      </c>
      <c r="F27" s="18">
        <v>37.35</v>
      </c>
      <c r="G27" s="18">
        <v>40.020000000000003</v>
      </c>
      <c r="H27" s="18">
        <f t="shared" si="0"/>
        <v>31.971375000000002</v>
      </c>
      <c r="I27" s="5"/>
      <c r="J27" s="17">
        <v>996.95839999999998</v>
      </c>
      <c r="K27" s="18">
        <v>31.369399999999999</v>
      </c>
      <c r="L27" s="18">
        <v>37.124000000000002</v>
      </c>
      <c r="M27" s="18">
        <v>38.350700000000003</v>
      </c>
      <c r="N27" s="18">
        <v>60.5914</v>
      </c>
      <c r="O27" s="18">
        <f t="shared" si="1"/>
        <v>32.961387500000001</v>
      </c>
      <c r="P27" s="7"/>
      <c r="Q27" s="10"/>
      <c r="R27" s="11"/>
      <c r="S27" s="11"/>
      <c r="T27" s="26"/>
      <c r="U27" s="28">
        <f t="shared" si="2"/>
        <v>0.5140279860069964</v>
      </c>
    </row>
    <row r="28" spans="1:21" ht="16.5" thickBot="1" x14ac:dyDescent="0.3">
      <c r="B28" s="12"/>
      <c r="C28" s="19">
        <v>878.39</v>
      </c>
      <c r="D28" s="20">
        <v>28.013000000000002</v>
      </c>
      <c r="E28" s="20">
        <v>35.94</v>
      </c>
      <c r="F28" s="20">
        <v>36.418999999999997</v>
      </c>
      <c r="G28" s="20">
        <v>43.14</v>
      </c>
      <c r="H28" s="20">
        <f t="shared" si="0"/>
        <v>30.054625000000001</v>
      </c>
      <c r="I28" s="5"/>
      <c r="J28" s="19">
        <v>584.17600000000004</v>
      </c>
      <c r="K28" s="20">
        <v>29.616299999999999</v>
      </c>
      <c r="L28" s="20">
        <v>36.469900000000003</v>
      </c>
      <c r="M28" s="20">
        <v>37.256500000000003</v>
      </c>
      <c r="N28" s="20">
        <v>72.348399999999998</v>
      </c>
      <c r="O28" s="20">
        <f t="shared" si="1"/>
        <v>31.428024999999998</v>
      </c>
      <c r="P28" s="7"/>
      <c r="Q28" s="13"/>
      <c r="R28" s="14"/>
      <c r="S28" s="14"/>
      <c r="T28" s="27"/>
      <c r="U28" s="28">
        <f t="shared" si="2"/>
        <v>0.67706073249884091</v>
      </c>
    </row>
    <row r="29" spans="1:21" x14ac:dyDescent="0.25">
      <c r="B29" s="6" t="s">
        <v>51</v>
      </c>
      <c r="C29" s="29">
        <v>3587.09</v>
      </c>
      <c r="D29" s="30">
        <v>32.999000000000002</v>
      </c>
      <c r="E29" s="30">
        <v>39.423000000000002</v>
      </c>
      <c r="F29" s="30">
        <v>39.07</v>
      </c>
      <c r="G29" s="16">
        <v>31.77</v>
      </c>
      <c r="H29" s="16">
        <f t="shared" si="0"/>
        <v>34.560875000000003</v>
      </c>
      <c r="I29" s="5"/>
      <c r="J29" s="29">
        <v>2415.6855999999998</v>
      </c>
      <c r="K29" s="30">
        <v>34.043500000000002</v>
      </c>
      <c r="L29" s="30">
        <v>40.366199999999999</v>
      </c>
      <c r="M29" s="30">
        <v>39.964700000000001</v>
      </c>
      <c r="N29" s="16">
        <v>38.384799999999998</v>
      </c>
      <c r="O29" s="16">
        <f t="shared" si="1"/>
        <v>35.573987500000001</v>
      </c>
      <c r="P29" s="7"/>
      <c r="Q29" s="8">
        <f>bdrate(C29:C32,D29:D32,J29:J32,K29:K32)</f>
        <v>-0.58019038417617486</v>
      </c>
      <c r="R29" s="8">
        <f>bdrate(C29:C32,E29:E32,J29:J32,L29:L32)</f>
        <v>-0.62257813617624258</v>
      </c>
      <c r="S29" s="8">
        <f>bdrate(C29:C32,F29:F32,J29:J32,M29:M32)</f>
        <v>-0.53526727993823053</v>
      </c>
      <c r="T29" s="25">
        <f>bdrate(C29:C32,H29:H32,J29:J32,O29:O32)</f>
        <v>-0.58198430704856308</v>
      </c>
      <c r="U29" s="28">
        <f t="shared" si="2"/>
        <v>0.20820900220333646</v>
      </c>
    </row>
    <row r="30" spans="1:21" x14ac:dyDescent="0.25">
      <c r="B30" s="9"/>
      <c r="C30" s="31">
        <v>2374.3000000000002</v>
      </c>
      <c r="D30" s="32">
        <v>30.997</v>
      </c>
      <c r="E30" s="32">
        <v>38.569000000000003</v>
      </c>
      <c r="F30" s="32">
        <v>38.073</v>
      </c>
      <c r="G30" s="18">
        <v>34.32</v>
      </c>
      <c r="H30" s="18">
        <f t="shared" si="0"/>
        <v>32.827999999999996</v>
      </c>
      <c r="I30" s="5"/>
      <c r="J30" s="31">
        <v>1609.4952000000001</v>
      </c>
      <c r="K30" s="32">
        <v>32.690199999999997</v>
      </c>
      <c r="L30" s="32">
        <v>39.654200000000003</v>
      </c>
      <c r="M30" s="32">
        <v>39.034700000000001</v>
      </c>
      <c r="N30" s="18">
        <v>44.891399999999997</v>
      </c>
      <c r="O30" s="18">
        <f t="shared" si="1"/>
        <v>34.353762499999995</v>
      </c>
      <c r="P30" s="7"/>
      <c r="Q30" s="10"/>
      <c r="R30" s="11"/>
      <c r="S30" s="11"/>
      <c r="T30" s="26"/>
      <c r="U30" s="28">
        <f t="shared" si="2"/>
        <v>0.30802447552447543</v>
      </c>
    </row>
    <row r="31" spans="1:21" x14ac:dyDescent="0.25">
      <c r="B31" s="9"/>
      <c r="C31" s="31">
        <v>1470.96</v>
      </c>
      <c r="D31" s="32">
        <v>28.103999999999999</v>
      </c>
      <c r="E31" s="32">
        <v>37.405999999999999</v>
      </c>
      <c r="F31" s="32">
        <v>36.92</v>
      </c>
      <c r="G31" s="18">
        <v>37.14</v>
      </c>
      <c r="H31" s="18">
        <f t="shared" si="0"/>
        <v>30.368749999999999</v>
      </c>
      <c r="I31" s="5"/>
      <c r="J31" s="31">
        <v>1001.1888</v>
      </c>
      <c r="K31" s="32">
        <v>30.991800000000001</v>
      </c>
      <c r="L31" s="32">
        <v>38.807600000000001</v>
      </c>
      <c r="M31" s="32">
        <v>37.891100000000002</v>
      </c>
      <c r="N31" s="18">
        <v>54.048200000000001</v>
      </c>
      <c r="O31" s="18">
        <f t="shared" si="1"/>
        <v>32.831187500000006</v>
      </c>
      <c r="P31" s="7"/>
      <c r="Q31" s="10"/>
      <c r="R31" s="11"/>
      <c r="S31" s="11"/>
      <c r="T31" s="26"/>
      <c r="U31" s="28">
        <f t="shared" si="2"/>
        <v>0.45525578890683899</v>
      </c>
    </row>
    <row r="32" spans="1:21" ht="16.5" thickBot="1" x14ac:dyDescent="0.3">
      <c r="B32" s="12"/>
      <c r="C32" s="33">
        <v>871.5</v>
      </c>
      <c r="D32" s="34">
        <v>24.13</v>
      </c>
      <c r="E32" s="34">
        <v>35.674999999999997</v>
      </c>
      <c r="F32" s="34">
        <v>34.877000000000002</v>
      </c>
      <c r="G32" s="20">
        <v>40.22</v>
      </c>
      <c r="H32" s="20">
        <f t="shared" si="0"/>
        <v>26.916499999999999</v>
      </c>
      <c r="I32" s="5"/>
      <c r="J32" s="33">
        <v>594.51520000000005</v>
      </c>
      <c r="K32" s="34">
        <v>29.151900000000001</v>
      </c>
      <c r="L32" s="34">
        <v>37.622799999999998</v>
      </c>
      <c r="M32" s="34">
        <v>36.3752</v>
      </c>
      <c r="N32" s="20">
        <v>65.274199999999993</v>
      </c>
      <c r="O32" s="20">
        <f t="shared" si="1"/>
        <v>31.113675000000001</v>
      </c>
      <c r="P32" s="7"/>
      <c r="Q32" s="13"/>
      <c r="R32" s="14"/>
      <c r="S32" s="14"/>
      <c r="T32" s="27"/>
      <c r="U32" s="28">
        <f t="shared" si="2"/>
        <v>0.62292889109895566</v>
      </c>
    </row>
    <row r="33" spans="1:21" x14ac:dyDescent="0.25">
      <c r="B33" s="6" t="s">
        <v>52</v>
      </c>
      <c r="C33" s="15">
        <v>3592.44</v>
      </c>
      <c r="D33" s="16">
        <v>32.527999999999999</v>
      </c>
      <c r="E33" s="16">
        <v>38.725000000000001</v>
      </c>
      <c r="F33" s="16">
        <v>41.354999999999997</v>
      </c>
      <c r="G33" s="16">
        <v>38.5</v>
      </c>
      <c r="H33" s="16">
        <f t="shared" si="0"/>
        <v>34.405999999999999</v>
      </c>
      <c r="I33" s="5"/>
      <c r="J33" s="15">
        <v>2425.6632</v>
      </c>
      <c r="K33" s="16">
        <v>33.603000000000002</v>
      </c>
      <c r="L33" s="16">
        <v>39.814</v>
      </c>
      <c r="M33" s="16">
        <v>42.2928</v>
      </c>
      <c r="N33" s="16">
        <v>48.685499999999998</v>
      </c>
      <c r="O33" s="16">
        <f t="shared" si="1"/>
        <v>35.465599999999995</v>
      </c>
      <c r="P33" s="7"/>
      <c r="Q33" s="8">
        <f>bdrate(C33:C36,D33:D36,J33:J36,K33:K36)</f>
        <v>-0.63881627468268953</v>
      </c>
      <c r="R33" s="8">
        <f>bdrate(C33:C36,E33:E36,J33:J36,L33:L36)</f>
        <v>-0.69899650313150152</v>
      </c>
      <c r="S33" s="8">
        <f>bdrate(C33:C36,F33:F36,J33:J36,M33:M36)</f>
        <v>-0.68693566584302834</v>
      </c>
      <c r="T33" s="25">
        <f>bdrate(C33:C36,H33:H36,J33:J36,O33:O36)</f>
        <v>-0.6457719671921649</v>
      </c>
      <c r="U33" s="28">
        <f t="shared" si="2"/>
        <v>0.26455844155844149</v>
      </c>
    </row>
    <row r="34" spans="1:21" x14ac:dyDescent="0.25">
      <c r="B34" s="9"/>
      <c r="C34" s="17">
        <v>2359.67</v>
      </c>
      <c r="D34" s="18">
        <v>31.417999999999999</v>
      </c>
      <c r="E34" s="18">
        <v>38.256999999999998</v>
      </c>
      <c r="F34" s="18">
        <v>40.792999999999999</v>
      </c>
      <c r="G34" s="18">
        <v>40.659999999999997</v>
      </c>
      <c r="H34" s="18">
        <f t="shared" si="0"/>
        <v>33.444749999999999</v>
      </c>
      <c r="I34" s="5"/>
      <c r="J34" s="17">
        <v>1605.8664000000001</v>
      </c>
      <c r="K34" s="18">
        <v>32.902000000000001</v>
      </c>
      <c r="L34" s="18">
        <v>39.333500000000001</v>
      </c>
      <c r="M34" s="18">
        <v>41.871200000000002</v>
      </c>
      <c r="N34" s="18">
        <v>54.864699999999999</v>
      </c>
      <c r="O34" s="18">
        <f t="shared" si="1"/>
        <v>34.827087499999998</v>
      </c>
      <c r="P34" s="7"/>
      <c r="Q34" s="10"/>
      <c r="R34" s="11"/>
      <c r="S34" s="11"/>
      <c r="T34" s="26"/>
      <c r="U34" s="28">
        <f t="shared" si="2"/>
        <v>0.34935317265125437</v>
      </c>
    </row>
    <row r="35" spans="1:21" x14ac:dyDescent="0.25">
      <c r="B35" s="9"/>
      <c r="C35" s="17">
        <v>1445.22</v>
      </c>
      <c r="D35" s="18">
        <v>29.779</v>
      </c>
      <c r="E35" s="18">
        <v>37.728000000000002</v>
      </c>
      <c r="F35" s="18">
        <v>40.241</v>
      </c>
      <c r="G35" s="18">
        <v>42.78</v>
      </c>
      <c r="H35" s="18">
        <f t="shared" si="0"/>
        <v>32.080375000000004</v>
      </c>
      <c r="I35" s="5"/>
      <c r="J35" s="17">
        <v>1024.164</v>
      </c>
      <c r="K35" s="18">
        <v>31.872599999999998</v>
      </c>
      <c r="L35" s="18">
        <v>38.655099999999997</v>
      </c>
      <c r="M35" s="18">
        <v>41.165999999999997</v>
      </c>
      <c r="N35" s="18">
        <v>62.945900000000002</v>
      </c>
      <c r="O35" s="18">
        <f t="shared" si="1"/>
        <v>33.882087499999997</v>
      </c>
      <c r="P35" s="7"/>
      <c r="Q35" s="10"/>
      <c r="R35" s="11"/>
      <c r="S35" s="11"/>
      <c r="T35" s="26"/>
      <c r="U35" s="28">
        <f t="shared" si="2"/>
        <v>0.47138616175783077</v>
      </c>
    </row>
    <row r="36" spans="1:21" ht="16.5" thickBot="1" x14ac:dyDescent="0.3">
      <c r="B36" s="12"/>
      <c r="C36" s="19">
        <v>832.76</v>
      </c>
      <c r="D36" s="20">
        <v>27.443000000000001</v>
      </c>
      <c r="E36" s="20">
        <v>37.08</v>
      </c>
      <c r="F36" s="20">
        <v>39.360999999999997</v>
      </c>
      <c r="G36" s="20">
        <v>44.78</v>
      </c>
      <c r="H36" s="20">
        <f t="shared" si="0"/>
        <v>30.137374999999999</v>
      </c>
      <c r="I36" s="5"/>
      <c r="J36" s="19">
        <v>596.14800000000002</v>
      </c>
      <c r="K36" s="20">
        <v>30.4481</v>
      </c>
      <c r="L36" s="20">
        <v>38.105400000000003</v>
      </c>
      <c r="M36" s="20">
        <v>40.650700000000001</v>
      </c>
      <c r="N36" s="20">
        <v>71.761799999999994</v>
      </c>
      <c r="O36" s="20">
        <f t="shared" si="1"/>
        <v>32.680587500000001</v>
      </c>
      <c r="P36" s="7"/>
      <c r="Q36" s="13"/>
      <c r="R36" s="14"/>
      <c r="S36" s="14"/>
      <c r="T36" s="27"/>
      <c r="U36" s="28">
        <f t="shared" si="2"/>
        <v>0.60254131308619907</v>
      </c>
    </row>
    <row r="37" spans="1:21" x14ac:dyDescent="0.25">
      <c r="A37" s="6" t="s">
        <v>39</v>
      </c>
      <c r="B37" s="6" t="s">
        <v>53</v>
      </c>
      <c r="C37" s="15">
        <v>1558.51</v>
      </c>
      <c r="D37" s="16">
        <v>34.159999999999997</v>
      </c>
      <c r="E37" s="16">
        <v>37.454000000000001</v>
      </c>
      <c r="F37" s="16">
        <v>37.337000000000003</v>
      </c>
      <c r="G37" s="16">
        <v>159.44</v>
      </c>
      <c r="H37" s="16">
        <f t="shared" si="0"/>
        <v>34.968874999999997</v>
      </c>
      <c r="I37" s="5"/>
      <c r="J37" s="15">
        <v>1215.22</v>
      </c>
      <c r="K37" s="16">
        <v>35.049399999999999</v>
      </c>
      <c r="L37" s="16">
        <v>39.264200000000002</v>
      </c>
      <c r="M37" s="16">
        <v>39.177100000000003</v>
      </c>
      <c r="N37" s="16">
        <v>143.10249999999999</v>
      </c>
      <c r="O37" s="16">
        <f t="shared" si="1"/>
        <v>36.092212500000002</v>
      </c>
      <c r="P37" s="7"/>
      <c r="Q37" s="8">
        <f>bdrate(C37:C40,D37:D40,J37:J40,K37:K40)</f>
        <v>-0.40844995118340754</v>
      </c>
      <c r="R37" s="8">
        <f>bdrate(C37:C40,E37:E40,J37:J40,L37:L40)</f>
        <v>-0.57674516774171458</v>
      </c>
      <c r="S37" s="8">
        <f>bdrate(C37:C40,F37:F40,J37:J40,M37:M40)</f>
        <v>-0.54667328442894703</v>
      </c>
      <c r="T37" s="25">
        <f>bdrate(C37:C40,H37:H40,J37:J40,O37:O40)</f>
        <v>-0.43960225988218293</v>
      </c>
      <c r="U37" s="28">
        <f t="shared" si="2"/>
        <v>-0.10246801304565985</v>
      </c>
    </row>
    <row r="38" spans="1:21" x14ac:dyDescent="0.25">
      <c r="A38" s="9" t="s">
        <v>40</v>
      </c>
      <c r="B38" s="9"/>
      <c r="C38" s="17">
        <v>1052.2</v>
      </c>
      <c r="D38" s="18">
        <v>32.601999999999997</v>
      </c>
      <c r="E38" s="18">
        <v>36.481000000000002</v>
      </c>
      <c r="F38" s="18">
        <v>36.296999999999997</v>
      </c>
      <c r="G38" s="18">
        <v>173.25</v>
      </c>
      <c r="H38" s="18">
        <f t="shared" si="0"/>
        <v>33.548749999999998</v>
      </c>
      <c r="I38" s="5"/>
      <c r="J38" s="17">
        <v>810.69119999999998</v>
      </c>
      <c r="K38" s="18">
        <v>33.507300000000001</v>
      </c>
      <c r="L38" s="18">
        <v>38.052100000000003</v>
      </c>
      <c r="M38" s="18">
        <v>37.832599999999999</v>
      </c>
      <c r="N38" s="18">
        <v>169.54900000000001</v>
      </c>
      <c r="O38" s="18">
        <f t="shared" si="1"/>
        <v>34.616062499999998</v>
      </c>
      <c r="P38" s="7"/>
      <c r="Q38" s="10"/>
      <c r="R38" s="11"/>
      <c r="S38" s="11"/>
      <c r="T38" s="26"/>
      <c r="U38" s="28">
        <f t="shared" si="2"/>
        <v>-2.1362193362193325E-2</v>
      </c>
    </row>
    <row r="39" spans="1:21" x14ac:dyDescent="0.25">
      <c r="B39" s="9"/>
      <c r="C39" s="17">
        <v>651.04</v>
      </c>
      <c r="D39" s="18">
        <v>30.614999999999998</v>
      </c>
      <c r="E39" s="18">
        <v>35.442</v>
      </c>
      <c r="F39" s="18">
        <v>35.055999999999997</v>
      </c>
      <c r="G39" s="18">
        <v>189.68</v>
      </c>
      <c r="H39" s="18">
        <f t="shared" si="0"/>
        <v>31.773499999999999</v>
      </c>
      <c r="I39" s="5"/>
      <c r="J39" s="17">
        <v>506.96960000000001</v>
      </c>
      <c r="K39" s="18">
        <v>31.778500000000001</v>
      </c>
      <c r="L39" s="18">
        <v>36.831400000000002</v>
      </c>
      <c r="M39" s="18">
        <v>36.479199999999999</v>
      </c>
      <c r="N39" s="18">
        <v>209.46799999999999</v>
      </c>
      <c r="O39" s="18">
        <f t="shared" si="1"/>
        <v>32.997700000000002</v>
      </c>
      <c r="P39" s="7"/>
      <c r="Q39" s="10"/>
      <c r="R39" s="11"/>
      <c r="S39" s="11"/>
      <c r="T39" s="26"/>
      <c r="U39" s="28">
        <f t="shared" si="2"/>
        <v>0.10432307043441576</v>
      </c>
    </row>
    <row r="40" spans="1:21" ht="16.5" thickBot="1" x14ac:dyDescent="0.3">
      <c r="B40" s="12"/>
      <c r="C40" s="19">
        <v>397.15</v>
      </c>
      <c r="D40" s="20">
        <v>28.3</v>
      </c>
      <c r="E40" s="20">
        <v>34.500999999999998</v>
      </c>
      <c r="F40" s="20">
        <v>34.018999999999998</v>
      </c>
      <c r="G40" s="20">
        <v>206.78</v>
      </c>
      <c r="H40" s="20">
        <f t="shared" si="0"/>
        <v>29.790000000000003</v>
      </c>
      <c r="I40" s="5"/>
      <c r="J40" s="19">
        <v>303.30560000000003</v>
      </c>
      <c r="K40" s="20">
        <v>29.852599999999999</v>
      </c>
      <c r="L40" s="20">
        <v>35.532600000000002</v>
      </c>
      <c r="M40" s="20">
        <v>35.0274</v>
      </c>
      <c r="N40" s="20">
        <v>271.5915</v>
      </c>
      <c r="O40" s="20">
        <f t="shared" si="1"/>
        <v>31.20945</v>
      </c>
      <c r="P40" s="7"/>
      <c r="Q40" s="13"/>
      <c r="R40" s="14"/>
      <c r="S40" s="14"/>
      <c r="T40" s="27"/>
      <c r="U40" s="28">
        <f t="shared" si="2"/>
        <v>0.31343215011122932</v>
      </c>
    </row>
    <row r="41" spans="1:21" x14ac:dyDescent="0.25">
      <c r="B41" s="6" t="s">
        <v>54</v>
      </c>
      <c r="C41" s="15">
        <v>1561.54</v>
      </c>
      <c r="D41" s="16">
        <v>34.484000000000002</v>
      </c>
      <c r="E41" s="16">
        <v>39.29</v>
      </c>
      <c r="F41" s="16">
        <v>40.034999999999997</v>
      </c>
      <c r="G41" s="16">
        <v>163</v>
      </c>
      <c r="H41" s="16">
        <f t="shared" si="0"/>
        <v>35.778624999999998</v>
      </c>
      <c r="I41" s="5"/>
      <c r="J41" s="15">
        <v>1244.7023999999999</v>
      </c>
      <c r="K41" s="16">
        <v>35.2485</v>
      </c>
      <c r="L41" s="16">
        <v>40.559699999999999</v>
      </c>
      <c r="M41" s="16">
        <v>41.436799999999998</v>
      </c>
      <c r="N41" s="16">
        <v>150.8296</v>
      </c>
      <c r="O41" s="16">
        <f t="shared" si="1"/>
        <v>36.685937499999994</v>
      </c>
      <c r="P41" s="7"/>
      <c r="Q41" s="8">
        <f>bdrate(C41:C44,D41:D44,J41:J44,K41:K44)</f>
        <v>-0.41389780182674718</v>
      </c>
      <c r="R41" s="8">
        <f>bdrate(C41:C44,E41:E44,J41:J44,L41:L44)</f>
        <v>-0.50644331267354481</v>
      </c>
      <c r="S41" s="8">
        <f>bdrate(C41:C44,F41:F44,J41:J44,M41:M44)</f>
        <v>-0.50158870772910502</v>
      </c>
      <c r="T41" s="25">
        <f>bdrate(C41:C44,H41:H44,J41:J44,O41:O44)</f>
        <v>-0.42910518718196933</v>
      </c>
      <c r="U41" s="28">
        <f t="shared" ref="U41:U72" si="3">(N41-G41)/G41</f>
        <v>-7.466503067484663E-2</v>
      </c>
    </row>
    <row r="42" spans="1:21" x14ac:dyDescent="0.25">
      <c r="B42" s="9"/>
      <c r="C42" s="17">
        <v>1059.21</v>
      </c>
      <c r="D42" s="18">
        <v>32.68</v>
      </c>
      <c r="E42" s="18">
        <v>38.496000000000002</v>
      </c>
      <c r="F42" s="18">
        <v>39.162999999999997</v>
      </c>
      <c r="G42" s="18">
        <v>176.42</v>
      </c>
      <c r="H42" s="18">
        <f t="shared" si="0"/>
        <v>34.217374999999997</v>
      </c>
      <c r="I42" s="5"/>
      <c r="J42" s="17">
        <v>829.51440000000002</v>
      </c>
      <c r="K42" s="18">
        <v>33.689399999999999</v>
      </c>
      <c r="L42" s="18">
        <v>39.537300000000002</v>
      </c>
      <c r="M42" s="18">
        <v>40.2896</v>
      </c>
      <c r="N42" s="18">
        <v>178.04150000000001</v>
      </c>
      <c r="O42" s="18">
        <f t="shared" si="1"/>
        <v>35.2454125</v>
      </c>
      <c r="P42" s="7"/>
      <c r="Q42" s="10"/>
      <c r="R42" s="11"/>
      <c r="S42" s="11"/>
      <c r="T42" s="26"/>
      <c r="U42" s="28">
        <f t="shared" si="3"/>
        <v>9.191134791973846E-3</v>
      </c>
    </row>
    <row r="43" spans="1:21" x14ac:dyDescent="0.25">
      <c r="B43" s="9"/>
      <c r="C43" s="17">
        <v>653.88</v>
      </c>
      <c r="D43" s="18">
        <v>30.228999999999999</v>
      </c>
      <c r="E43" s="18">
        <v>37.581000000000003</v>
      </c>
      <c r="F43" s="18">
        <v>38.156999999999996</v>
      </c>
      <c r="G43" s="18">
        <v>189.45</v>
      </c>
      <c r="H43" s="18">
        <f t="shared" si="0"/>
        <v>32.138999999999996</v>
      </c>
      <c r="I43" s="5"/>
      <c r="J43" s="17">
        <v>518.21360000000004</v>
      </c>
      <c r="K43" s="18">
        <v>31.839500000000001</v>
      </c>
      <c r="L43" s="18">
        <v>38.480899999999998</v>
      </c>
      <c r="M43" s="18">
        <v>39.149700000000003</v>
      </c>
      <c r="N43" s="18">
        <v>218.49959999999999</v>
      </c>
      <c r="O43" s="18">
        <f t="shared" si="1"/>
        <v>33.583449999999999</v>
      </c>
      <c r="P43" s="7"/>
      <c r="Q43" s="10"/>
      <c r="R43" s="11"/>
      <c r="S43" s="11"/>
      <c r="T43" s="26"/>
      <c r="U43" s="28">
        <f t="shared" si="3"/>
        <v>0.15333650039588281</v>
      </c>
    </row>
    <row r="44" spans="1:21" ht="16.5" thickBot="1" x14ac:dyDescent="0.3">
      <c r="B44" s="12"/>
      <c r="C44" s="19">
        <v>401.77</v>
      </c>
      <c r="D44" s="20">
        <v>27.452000000000002</v>
      </c>
      <c r="E44" s="20">
        <v>36.646999999999998</v>
      </c>
      <c r="F44" s="20">
        <v>37.128999999999998</v>
      </c>
      <c r="G44" s="20">
        <v>202.43</v>
      </c>
      <c r="H44" s="20">
        <f t="shared" si="0"/>
        <v>29.811</v>
      </c>
      <c r="I44" s="5"/>
      <c r="J44" s="19">
        <v>310.65120000000002</v>
      </c>
      <c r="K44" s="20">
        <v>29.796700000000001</v>
      </c>
      <c r="L44" s="20">
        <v>37.474800000000002</v>
      </c>
      <c r="M44" s="20">
        <v>37.955199999999998</v>
      </c>
      <c r="N44" s="20">
        <v>265.25200000000001</v>
      </c>
      <c r="O44" s="20">
        <f t="shared" si="1"/>
        <v>31.776274999999998</v>
      </c>
      <c r="P44" s="7"/>
      <c r="Q44" s="13"/>
      <c r="R44" s="14"/>
      <c r="S44" s="14"/>
      <c r="T44" s="27"/>
      <c r="U44" s="28">
        <f t="shared" si="3"/>
        <v>0.31033937657461841</v>
      </c>
    </row>
    <row r="45" spans="1:21" x14ac:dyDescent="0.25">
      <c r="B45" s="6" t="s">
        <v>55</v>
      </c>
      <c r="C45" s="15">
        <v>1417.37</v>
      </c>
      <c r="D45" s="16">
        <v>28.957999999999998</v>
      </c>
      <c r="E45" s="16">
        <v>35.192999999999998</v>
      </c>
      <c r="F45" s="16">
        <v>35.871000000000002</v>
      </c>
      <c r="G45" s="16">
        <v>172.35</v>
      </c>
      <c r="H45" s="16">
        <f t="shared" si="0"/>
        <v>30.601499999999998</v>
      </c>
      <c r="I45" s="5"/>
      <c r="J45" s="15">
        <v>1223.0672</v>
      </c>
      <c r="K45" s="16">
        <v>30.351199999999999</v>
      </c>
      <c r="L45" s="16">
        <v>36.814300000000003</v>
      </c>
      <c r="M45" s="16">
        <v>37.619300000000003</v>
      </c>
      <c r="N45" s="16">
        <v>134.66200000000001</v>
      </c>
      <c r="O45" s="16">
        <f t="shared" si="1"/>
        <v>32.067599999999999</v>
      </c>
      <c r="P45" s="7"/>
      <c r="Q45" s="8">
        <f>bdrate(C45:C48,D45:D48,J45:J48,K45:K48)</f>
        <v>-0.4558387623888861</v>
      </c>
      <c r="R45" s="8">
        <f>bdrate(C45:C48,E45:E48,J45:J48,L45:L48)</f>
        <v>-0.59124740995768688</v>
      </c>
      <c r="S45" s="8">
        <f>bdrate(C45:C48,F45:F48,J45:J48,M45:M48)</f>
        <v>-0.60007809223488828</v>
      </c>
      <c r="T45" s="25">
        <f>bdrate(C45:C48,H45:H48,J45:J48,O45:O48)</f>
        <v>-0.47938181065456886</v>
      </c>
      <c r="U45" s="28">
        <f t="shared" si="3"/>
        <v>-0.21867130838410206</v>
      </c>
    </row>
    <row r="46" spans="1:21" x14ac:dyDescent="0.25">
      <c r="B46" s="9"/>
      <c r="C46" s="17">
        <v>963.02</v>
      </c>
      <c r="D46" s="18">
        <v>27.614000000000001</v>
      </c>
      <c r="E46" s="18">
        <v>34.698999999999998</v>
      </c>
      <c r="F46" s="18">
        <v>35.387</v>
      </c>
      <c r="G46" s="18">
        <v>187.48</v>
      </c>
      <c r="H46" s="18">
        <f t="shared" si="0"/>
        <v>29.471249999999998</v>
      </c>
      <c r="I46" s="5"/>
      <c r="J46" s="17">
        <v>818.59760000000006</v>
      </c>
      <c r="K46" s="18">
        <v>29.017900000000001</v>
      </c>
      <c r="L46" s="18">
        <v>36.0107</v>
      </c>
      <c r="M46" s="18">
        <v>36.7913</v>
      </c>
      <c r="N46" s="18">
        <v>162.70750000000001</v>
      </c>
      <c r="O46" s="18">
        <f t="shared" si="1"/>
        <v>30.863675000000004</v>
      </c>
      <c r="P46" s="7"/>
      <c r="Q46" s="10"/>
      <c r="R46" s="11"/>
      <c r="S46" s="11"/>
      <c r="T46" s="26"/>
      <c r="U46" s="28">
        <f t="shared" si="3"/>
        <v>-0.13213409430339226</v>
      </c>
    </row>
    <row r="47" spans="1:21" x14ac:dyDescent="0.25">
      <c r="B47" s="9"/>
      <c r="C47" s="17">
        <v>596.62</v>
      </c>
      <c r="D47" s="18">
        <v>26.045999999999999</v>
      </c>
      <c r="E47" s="18">
        <v>34.186</v>
      </c>
      <c r="F47" s="18">
        <v>34.893999999999998</v>
      </c>
      <c r="G47" s="18">
        <v>204.16</v>
      </c>
      <c r="H47" s="18">
        <f t="shared" si="0"/>
        <v>28.169500000000003</v>
      </c>
      <c r="I47" s="5"/>
      <c r="J47" s="17">
        <v>514.82000000000005</v>
      </c>
      <c r="K47" s="18">
        <v>27.557700000000001</v>
      </c>
      <c r="L47" s="18">
        <v>35.1843</v>
      </c>
      <c r="M47" s="18">
        <v>35.928800000000003</v>
      </c>
      <c r="N47" s="18">
        <v>205.42320000000001</v>
      </c>
      <c r="O47" s="18">
        <f t="shared" si="1"/>
        <v>29.557412500000002</v>
      </c>
      <c r="P47" s="7"/>
      <c r="Q47" s="10"/>
      <c r="R47" s="11"/>
      <c r="S47" s="11"/>
      <c r="T47" s="26"/>
      <c r="U47" s="28">
        <f t="shared" si="3"/>
        <v>6.1873040752351682E-3</v>
      </c>
    </row>
    <row r="48" spans="1:21" ht="16.5" thickBot="1" x14ac:dyDescent="0.3">
      <c r="B48" s="12"/>
      <c r="C48" s="19">
        <v>368.84</v>
      </c>
      <c r="D48" s="20">
        <v>24.567</v>
      </c>
      <c r="E48" s="20">
        <v>33.703000000000003</v>
      </c>
      <c r="F48" s="20">
        <v>34.378999999999998</v>
      </c>
      <c r="G48" s="20">
        <v>222.62</v>
      </c>
      <c r="H48" s="20">
        <f t="shared" si="0"/>
        <v>26.935499999999998</v>
      </c>
      <c r="I48" s="5"/>
      <c r="J48" s="19">
        <v>309.87520000000001</v>
      </c>
      <c r="K48" s="20">
        <v>25.994299999999999</v>
      </c>
      <c r="L48" s="20">
        <v>34.271099999999997</v>
      </c>
      <c r="M48" s="20">
        <v>34.9816</v>
      </c>
      <c r="N48" s="20">
        <v>250.37559999999999</v>
      </c>
      <c r="O48" s="20">
        <f t="shared" si="1"/>
        <v>28.152312500000001</v>
      </c>
      <c r="P48" s="7"/>
      <c r="Q48" s="13"/>
      <c r="R48" s="14"/>
      <c r="S48" s="14"/>
      <c r="T48" s="27"/>
      <c r="U48" s="28">
        <f t="shared" si="3"/>
        <v>0.12467702811966573</v>
      </c>
    </row>
    <row r="49" spans="1:21" x14ac:dyDescent="0.25">
      <c r="B49" s="6" t="s">
        <v>56</v>
      </c>
      <c r="C49" s="15">
        <v>1428.27</v>
      </c>
      <c r="D49" s="16">
        <v>32.380000000000003</v>
      </c>
      <c r="E49" s="16">
        <v>36.359000000000002</v>
      </c>
      <c r="F49" s="16">
        <v>37.927</v>
      </c>
      <c r="G49" s="16">
        <v>120.92</v>
      </c>
      <c r="H49" s="16">
        <f t="shared" si="0"/>
        <v>33.570750000000004</v>
      </c>
      <c r="I49" s="5"/>
      <c r="J49" s="15">
        <v>1210.7056</v>
      </c>
      <c r="K49" s="16">
        <v>32.445799999999998</v>
      </c>
      <c r="L49" s="16">
        <v>36.927599999999998</v>
      </c>
      <c r="M49" s="16">
        <v>38.525700000000001</v>
      </c>
      <c r="N49" s="16">
        <v>95.663300000000007</v>
      </c>
      <c r="O49" s="16">
        <f t="shared" si="1"/>
        <v>33.766012500000002</v>
      </c>
      <c r="P49" s="7"/>
      <c r="Q49" s="8">
        <f>bdrate(C49:C52,D49:D52,J49:J52,K49:K52)</f>
        <v>-0.24946016734039433</v>
      </c>
      <c r="R49" s="8">
        <f>bdrate(C49:C52,E49:E52,J49:J52,L49:L52)</f>
        <v>-0.31577708120397052</v>
      </c>
      <c r="S49" s="8">
        <f>bdrate(C49:C52,F49:F52,J49:J52,M49:M52)</f>
        <v>-0.3297414167782986</v>
      </c>
      <c r="T49" s="25">
        <f>bdrate(C49:C52,H49:H52,J49:J52,O49:O52)</f>
        <v>-0.26242131430350701</v>
      </c>
      <c r="U49" s="28">
        <f t="shared" si="3"/>
        <v>-0.20887115448230231</v>
      </c>
    </row>
    <row r="50" spans="1:21" x14ac:dyDescent="0.25">
      <c r="B50" s="9"/>
      <c r="C50" s="17">
        <v>976.96</v>
      </c>
      <c r="D50" s="18">
        <v>30.75</v>
      </c>
      <c r="E50" s="18">
        <v>35.637999999999998</v>
      </c>
      <c r="F50" s="18">
        <v>37.201000000000001</v>
      </c>
      <c r="G50" s="18">
        <v>132.63</v>
      </c>
      <c r="H50" s="18">
        <f t="shared" si="0"/>
        <v>32.167375</v>
      </c>
      <c r="I50" s="5"/>
      <c r="J50" s="17">
        <v>806.42560000000003</v>
      </c>
      <c r="K50" s="18">
        <v>30.911799999999999</v>
      </c>
      <c r="L50" s="18">
        <v>36.032800000000002</v>
      </c>
      <c r="M50" s="18">
        <v>37.619199999999999</v>
      </c>
      <c r="N50" s="18">
        <v>113.76560000000001</v>
      </c>
      <c r="O50" s="18">
        <f t="shared" si="1"/>
        <v>32.390349999999998</v>
      </c>
      <c r="P50" s="7"/>
      <c r="Q50" s="10"/>
      <c r="R50" s="11"/>
      <c r="S50" s="11"/>
      <c r="T50" s="26"/>
      <c r="U50" s="28">
        <f t="shared" si="3"/>
        <v>-0.14223328055492718</v>
      </c>
    </row>
    <row r="51" spans="1:21" x14ac:dyDescent="0.25">
      <c r="B51" s="9"/>
      <c r="C51" s="17">
        <v>616.1</v>
      </c>
      <c r="D51" s="18">
        <v>28.754000000000001</v>
      </c>
      <c r="E51" s="18">
        <v>34.838999999999999</v>
      </c>
      <c r="F51" s="18">
        <v>36.323</v>
      </c>
      <c r="G51" s="18">
        <v>144.65</v>
      </c>
      <c r="H51" s="18">
        <f t="shared" si="0"/>
        <v>30.460750000000001</v>
      </c>
      <c r="I51" s="5"/>
      <c r="J51" s="17">
        <v>504.0376</v>
      </c>
      <c r="K51" s="18">
        <v>29.257000000000001</v>
      </c>
      <c r="L51" s="18">
        <v>35.131999999999998</v>
      </c>
      <c r="M51" s="18">
        <v>36.702800000000003</v>
      </c>
      <c r="N51" s="18">
        <v>143.54069999999999</v>
      </c>
      <c r="O51" s="18">
        <f t="shared" si="1"/>
        <v>30.9221</v>
      </c>
      <c r="P51" s="7"/>
      <c r="Q51" s="10"/>
      <c r="R51" s="11"/>
      <c r="S51" s="11"/>
      <c r="T51" s="26"/>
      <c r="U51" s="28">
        <f t="shared" si="3"/>
        <v>-7.668855858970057E-3</v>
      </c>
    </row>
    <row r="52" spans="1:21" ht="16.5" thickBot="1" x14ac:dyDescent="0.3">
      <c r="B52" s="12"/>
      <c r="C52" s="19">
        <v>383.28</v>
      </c>
      <c r="D52" s="20">
        <v>26.713999999999999</v>
      </c>
      <c r="E52" s="20">
        <v>33.984999999999999</v>
      </c>
      <c r="F52" s="20">
        <v>35.372999999999998</v>
      </c>
      <c r="G52" s="20">
        <v>164.38</v>
      </c>
      <c r="H52" s="20">
        <f t="shared" si="0"/>
        <v>28.705249999999999</v>
      </c>
      <c r="I52" s="5"/>
      <c r="J52" s="19">
        <v>302.73439999999999</v>
      </c>
      <c r="K52" s="20">
        <v>27.650700000000001</v>
      </c>
      <c r="L52" s="20">
        <v>34.209099999999999</v>
      </c>
      <c r="M52" s="20">
        <v>35.683</v>
      </c>
      <c r="N52" s="20">
        <v>186.6833</v>
      </c>
      <c r="O52" s="20">
        <f t="shared" si="1"/>
        <v>29.4745375</v>
      </c>
      <c r="P52" s="7"/>
      <c r="Q52" s="13"/>
      <c r="R52" s="14"/>
      <c r="S52" s="14"/>
      <c r="T52" s="27"/>
      <c r="U52" s="28">
        <f t="shared" si="3"/>
        <v>0.13568134809587545</v>
      </c>
    </row>
    <row r="53" spans="1:21" x14ac:dyDescent="0.25">
      <c r="A53" s="6" t="s">
        <v>41</v>
      </c>
      <c r="B53" s="6" t="s">
        <v>57</v>
      </c>
      <c r="C53" s="15">
        <v>851.86</v>
      </c>
      <c r="D53" s="16">
        <v>34.866999999999997</v>
      </c>
      <c r="E53" s="16">
        <v>38.923000000000002</v>
      </c>
      <c r="F53" s="16">
        <v>37.783000000000001</v>
      </c>
      <c r="G53" s="16">
        <v>501</v>
      </c>
      <c r="H53" s="16">
        <f t="shared" si="0"/>
        <v>35.738500000000002</v>
      </c>
      <c r="I53" s="5"/>
      <c r="J53" s="15">
        <v>605.77279999999996</v>
      </c>
      <c r="K53" s="16">
        <v>34.363900000000001</v>
      </c>
      <c r="L53" s="16">
        <v>39.734200000000001</v>
      </c>
      <c r="M53" s="16">
        <v>38.252099999999999</v>
      </c>
      <c r="N53" s="16">
        <v>381.67939999999999</v>
      </c>
      <c r="O53" s="16">
        <f t="shared" si="1"/>
        <v>35.521212499999997</v>
      </c>
      <c r="P53" s="7"/>
      <c r="Q53" s="8">
        <f>bdrate(C53:C56,D53:D56,J53:J56,K53:K56)</f>
        <v>-0.26742726179435072</v>
      </c>
      <c r="R53" s="8">
        <f>bdrate(C53:C56,E53:E56,J53:J56,L53:L56)</f>
        <v>-0.43844861409307323</v>
      </c>
      <c r="S53" s="8">
        <f>bdrate(C53:C56,F53:F56,J53:J56,M53:M56)</f>
        <v>-0.35396678192982312</v>
      </c>
      <c r="T53" s="25">
        <f>bdrate(C53:C56,H53:H56,J53:J56,O53:O56)</f>
        <v>-0.28869897467169758</v>
      </c>
      <c r="U53" s="28">
        <f t="shared" si="3"/>
        <v>-0.23816487025948108</v>
      </c>
    </row>
    <row r="54" spans="1:21" x14ac:dyDescent="0.25">
      <c r="A54" s="9" t="s">
        <v>42</v>
      </c>
      <c r="B54" s="9"/>
      <c r="C54" s="17">
        <v>534.73</v>
      </c>
      <c r="D54" s="18">
        <v>32.631</v>
      </c>
      <c r="E54" s="18">
        <v>37.767000000000003</v>
      </c>
      <c r="F54" s="18">
        <v>36.387999999999998</v>
      </c>
      <c r="G54" s="18">
        <v>552.49</v>
      </c>
      <c r="H54" s="18">
        <f t="shared" si="0"/>
        <v>33.742624999999997</v>
      </c>
      <c r="I54" s="5"/>
      <c r="J54" s="17">
        <v>405.08479999999997</v>
      </c>
      <c r="K54" s="18">
        <v>32.584699999999998</v>
      </c>
      <c r="L54" s="18">
        <v>38.533799999999999</v>
      </c>
      <c r="M54" s="18">
        <v>36.893599999999999</v>
      </c>
      <c r="N54" s="18">
        <v>451.6712</v>
      </c>
      <c r="O54" s="18">
        <f t="shared" si="1"/>
        <v>33.866949999999996</v>
      </c>
      <c r="P54" s="7"/>
      <c r="Q54" s="10"/>
      <c r="R54" s="11"/>
      <c r="S54" s="11"/>
      <c r="T54" s="26"/>
      <c r="U54" s="28">
        <f t="shared" si="3"/>
        <v>-0.18248076888269474</v>
      </c>
    </row>
    <row r="55" spans="1:21" x14ac:dyDescent="0.25">
      <c r="B55" s="9"/>
      <c r="C55" s="17">
        <v>323.05</v>
      </c>
      <c r="D55" s="18">
        <v>30.327999999999999</v>
      </c>
      <c r="E55" s="18">
        <v>36.718000000000004</v>
      </c>
      <c r="F55" s="18">
        <v>35.137999999999998</v>
      </c>
      <c r="G55" s="18">
        <v>615.76</v>
      </c>
      <c r="H55" s="18">
        <f t="shared" si="0"/>
        <v>31.727999999999998</v>
      </c>
      <c r="I55" s="5"/>
      <c r="J55" s="17">
        <v>254.43360000000001</v>
      </c>
      <c r="K55" s="18">
        <v>30.656500000000001</v>
      </c>
      <c r="L55" s="18">
        <v>37.442300000000003</v>
      </c>
      <c r="M55" s="18">
        <v>35.664900000000003</v>
      </c>
      <c r="N55" s="18">
        <v>561.79780000000005</v>
      </c>
      <c r="O55" s="18">
        <f t="shared" si="1"/>
        <v>32.130775</v>
      </c>
      <c r="P55" s="7"/>
      <c r="Q55" s="10"/>
      <c r="R55" s="11"/>
      <c r="S55" s="11"/>
      <c r="T55" s="26"/>
      <c r="U55" s="28">
        <f t="shared" si="3"/>
        <v>-8.7635117578277147E-2</v>
      </c>
    </row>
    <row r="56" spans="1:21" ht="16.5" thickBot="1" x14ac:dyDescent="0.3">
      <c r="B56" s="12"/>
      <c r="C56" s="19">
        <v>164.76</v>
      </c>
      <c r="D56" s="20">
        <v>27.253</v>
      </c>
      <c r="E56" s="20">
        <v>35.49</v>
      </c>
      <c r="F56" s="20">
        <v>33.741</v>
      </c>
      <c r="G56" s="20">
        <v>727.8</v>
      </c>
      <c r="H56" s="20">
        <f t="shared" si="0"/>
        <v>29.093625000000003</v>
      </c>
      <c r="I56" s="5"/>
      <c r="J56" s="19">
        <v>122.996</v>
      </c>
      <c r="K56" s="20">
        <v>27.891400000000001</v>
      </c>
      <c r="L56" s="20">
        <v>35.864199999999997</v>
      </c>
      <c r="M56" s="20">
        <v>33.802599999999998</v>
      </c>
      <c r="N56" s="20">
        <v>781.25</v>
      </c>
      <c r="O56" s="20">
        <f t="shared" si="1"/>
        <v>29.626899999999999</v>
      </c>
      <c r="P56" s="7"/>
      <c r="Q56" s="13"/>
      <c r="R56" s="14"/>
      <c r="S56" s="14"/>
      <c r="T56" s="27"/>
      <c r="U56" s="28">
        <f t="shared" si="3"/>
        <v>7.3440505633415837E-2</v>
      </c>
    </row>
    <row r="57" spans="1:21" x14ac:dyDescent="0.25">
      <c r="B57" s="6" t="s">
        <v>58</v>
      </c>
      <c r="C57" s="15">
        <v>753.49</v>
      </c>
      <c r="D57" s="16">
        <v>31.821999999999999</v>
      </c>
      <c r="E57" s="16">
        <v>39.103999999999999</v>
      </c>
      <c r="F57" s="16">
        <v>39.720999999999997</v>
      </c>
      <c r="G57" s="16">
        <v>652.16999999999996</v>
      </c>
      <c r="H57" s="16">
        <f t="shared" si="0"/>
        <v>33.719625000000001</v>
      </c>
      <c r="I57" s="5"/>
      <c r="J57" s="15">
        <v>604.36559999999997</v>
      </c>
      <c r="K57" s="16">
        <v>33.636299999999999</v>
      </c>
      <c r="L57" s="16">
        <v>41.261499999999998</v>
      </c>
      <c r="M57" s="16">
        <v>42.127699999999997</v>
      </c>
      <c r="N57" s="16">
        <v>458.01530000000002</v>
      </c>
      <c r="O57" s="16">
        <f t="shared" si="1"/>
        <v>35.650874999999999</v>
      </c>
      <c r="P57" s="7"/>
      <c r="Q57" s="8">
        <f>bdrate(C57:C60,D57:D60,J57:J60,K57:K60)</f>
        <v>-0.55659532152758173</v>
      </c>
      <c r="R57" s="8">
        <f>bdrate(C57:C60,E57:E60,J57:J60,L57:L60)</f>
        <v>-0.68463775598885146</v>
      </c>
      <c r="S57" s="8">
        <f>bdrate(C57:C60,F57:F60,J57:J60,M57:M60)</f>
        <v>-0.70240249462708904</v>
      </c>
      <c r="T57" s="25">
        <f>bdrate(C57:C60,H57:H60,J57:J60,O57:O60)</f>
        <v>-0.57898246709608525</v>
      </c>
      <c r="U57" s="28">
        <f t="shared" si="3"/>
        <v>-0.29770565956729067</v>
      </c>
    </row>
    <row r="58" spans="1:21" x14ac:dyDescent="0.25">
      <c r="B58" s="9"/>
      <c r="C58" s="17">
        <v>464.08</v>
      </c>
      <c r="D58" s="18">
        <v>30.172999999999998</v>
      </c>
      <c r="E58" s="18">
        <v>38.682000000000002</v>
      </c>
      <c r="F58" s="18">
        <v>39.119999999999997</v>
      </c>
      <c r="G58" s="18">
        <v>753.77</v>
      </c>
      <c r="H58" s="18">
        <f t="shared" si="0"/>
        <v>32.354999999999997</v>
      </c>
      <c r="I58" s="5"/>
      <c r="J58" s="17">
        <v>403.83920000000001</v>
      </c>
      <c r="K58" s="18">
        <v>32.382399999999997</v>
      </c>
      <c r="L58" s="18">
        <v>40.468800000000002</v>
      </c>
      <c r="M58" s="18">
        <v>41.338299999999997</v>
      </c>
      <c r="N58" s="18">
        <v>573.61379999999997</v>
      </c>
      <c r="O58" s="18">
        <f t="shared" si="1"/>
        <v>34.512687499999998</v>
      </c>
      <c r="P58" s="7"/>
      <c r="Q58" s="10"/>
      <c r="R58" s="11"/>
      <c r="S58" s="11"/>
      <c r="T58" s="26"/>
      <c r="U58" s="28">
        <f t="shared" si="3"/>
        <v>-0.23900685885614978</v>
      </c>
    </row>
    <row r="59" spans="1:21" x14ac:dyDescent="0.25">
      <c r="B59" s="9"/>
      <c r="C59" s="17">
        <v>274.95999999999998</v>
      </c>
      <c r="D59" s="18">
        <v>28.382999999999999</v>
      </c>
      <c r="E59" s="18">
        <v>38.119</v>
      </c>
      <c r="F59" s="18">
        <v>38.475999999999999</v>
      </c>
      <c r="G59" s="18">
        <v>817.44</v>
      </c>
      <c r="H59" s="18">
        <f t="shared" si="0"/>
        <v>30.861625</v>
      </c>
      <c r="I59" s="5"/>
      <c r="J59" s="17">
        <v>252.4776</v>
      </c>
      <c r="K59" s="18">
        <v>30.860900000000001</v>
      </c>
      <c r="L59" s="18">
        <v>39.5244</v>
      </c>
      <c r="M59" s="18">
        <v>40.261000000000003</v>
      </c>
      <c r="N59" s="18">
        <v>725.51390000000004</v>
      </c>
      <c r="O59" s="18">
        <f t="shared" si="1"/>
        <v>33.118850000000002</v>
      </c>
      <c r="P59" s="7"/>
      <c r="Q59" s="10"/>
      <c r="R59" s="11"/>
      <c r="S59" s="11"/>
      <c r="T59" s="26"/>
      <c r="U59" s="28">
        <f t="shared" si="3"/>
        <v>-0.1124560824036015</v>
      </c>
    </row>
    <row r="60" spans="1:21" ht="16.5" thickBot="1" x14ac:dyDescent="0.3">
      <c r="B60" s="12"/>
      <c r="C60" s="19">
        <v>134.97999999999999</v>
      </c>
      <c r="D60" s="20">
        <v>26.076000000000001</v>
      </c>
      <c r="E60" s="20">
        <v>37.506</v>
      </c>
      <c r="F60" s="20">
        <v>37.807000000000002</v>
      </c>
      <c r="G60" s="20">
        <v>914.63</v>
      </c>
      <c r="H60" s="20">
        <f t="shared" si="0"/>
        <v>28.971125000000001</v>
      </c>
      <c r="I60" s="5"/>
      <c r="J60" s="19">
        <v>120.70959999999999</v>
      </c>
      <c r="K60" s="20">
        <v>28.351299999999998</v>
      </c>
      <c r="L60" s="20">
        <v>38.346200000000003</v>
      </c>
      <c r="M60" s="20">
        <v>38.786499999999997</v>
      </c>
      <c r="N60" s="20">
        <v>986.84209999999996</v>
      </c>
      <c r="O60" s="20">
        <f t="shared" si="1"/>
        <v>30.9050625</v>
      </c>
      <c r="P60" s="7"/>
      <c r="Q60" s="13"/>
      <c r="R60" s="14"/>
      <c r="S60" s="14"/>
      <c r="T60" s="27"/>
      <c r="U60" s="28">
        <f t="shared" si="3"/>
        <v>7.8952253916884388E-2</v>
      </c>
    </row>
    <row r="61" spans="1:21" x14ac:dyDescent="0.25">
      <c r="B61" s="6" t="s">
        <v>59</v>
      </c>
      <c r="C61" s="29">
        <v>835.4</v>
      </c>
      <c r="D61" s="30">
        <v>33.067999999999998</v>
      </c>
      <c r="E61" s="30">
        <v>36.613</v>
      </c>
      <c r="F61" s="30">
        <v>37.057000000000002</v>
      </c>
      <c r="G61" s="16">
        <v>605.33000000000004</v>
      </c>
      <c r="H61" s="16">
        <f t="shared" si="0"/>
        <v>34.009749999999997</v>
      </c>
      <c r="I61" s="5"/>
      <c r="J61" s="29">
        <v>643.15440000000001</v>
      </c>
      <c r="K61" s="30">
        <v>33.180500000000002</v>
      </c>
      <c r="L61" s="30">
        <v>38.228499999999997</v>
      </c>
      <c r="M61" s="30">
        <v>38.942100000000003</v>
      </c>
      <c r="N61" s="16">
        <v>411.18419999999998</v>
      </c>
      <c r="O61" s="16">
        <f t="shared" si="1"/>
        <v>34.531700000000001</v>
      </c>
      <c r="P61" s="7"/>
      <c r="Q61" s="8">
        <f>bdrate(C61:C64,D61:D64,J61:J64,K61:K64)</f>
        <v>-0.29435582806623262</v>
      </c>
      <c r="R61" s="8">
        <f>bdrate(C61:C64,E61:E64,J61:J64,L61:L64)</f>
        <v>-0.58883626171996339</v>
      </c>
      <c r="S61" s="8">
        <f>bdrate(C61:C64,F61:F64,J61:J64,M61:M64)</f>
        <v>-0.62671280103491123</v>
      </c>
      <c r="T61" s="25">
        <f>bdrate(C61:C64,H61:H64,J61:J64,O61:O64)</f>
        <v>-0.35862349113328651</v>
      </c>
      <c r="U61" s="28">
        <f t="shared" si="3"/>
        <v>-0.32072720664761378</v>
      </c>
    </row>
    <row r="62" spans="1:21" x14ac:dyDescent="0.25">
      <c r="B62" s="9"/>
      <c r="C62" s="31">
        <v>521.5</v>
      </c>
      <c r="D62" s="32">
        <v>31.14</v>
      </c>
      <c r="E62" s="32">
        <v>35.578000000000003</v>
      </c>
      <c r="F62" s="32">
        <v>36.021000000000001</v>
      </c>
      <c r="G62" s="18">
        <v>668.45</v>
      </c>
      <c r="H62" s="18">
        <f t="shared" si="0"/>
        <v>32.304875000000003</v>
      </c>
      <c r="I62" s="5"/>
      <c r="J62" s="31">
        <v>427.54719999999998</v>
      </c>
      <c r="K62" s="32">
        <v>31.614899999999999</v>
      </c>
      <c r="L62" s="32">
        <v>37.187399999999997</v>
      </c>
      <c r="M62" s="32">
        <v>37.8996</v>
      </c>
      <c r="N62" s="18">
        <v>501.00200000000001</v>
      </c>
      <c r="O62" s="18">
        <f t="shared" si="1"/>
        <v>33.097049999999996</v>
      </c>
      <c r="P62" s="7"/>
      <c r="Q62" s="10"/>
      <c r="R62" s="11"/>
      <c r="S62" s="11"/>
      <c r="T62" s="26"/>
      <c r="U62" s="28">
        <f t="shared" si="3"/>
        <v>-0.25050190739771117</v>
      </c>
    </row>
    <row r="63" spans="1:21" x14ac:dyDescent="0.25">
      <c r="B63" s="9"/>
      <c r="C63" s="31">
        <v>311.56</v>
      </c>
      <c r="D63" s="32">
        <v>29.212</v>
      </c>
      <c r="E63" s="32">
        <v>34.593000000000004</v>
      </c>
      <c r="F63" s="32">
        <v>35.085000000000001</v>
      </c>
      <c r="G63" s="18">
        <v>728.86</v>
      </c>
      <c r="H63" s="18">
        <f t="shared" si="0"/>
        <v>30.618750000000002</v>
      </c>
      <c r="I63" s="5"/>
      <c r="J63" s="31">
        <v>266.7056</v>
      </c>
      <c r="K63" s="32">
        <v>29.956299999999999</v>
      </c>
      <c r="L63" s="32">
        <v>36.056399999999996</v>
      </c>
      <c r="M63" s="32">
        <v>36.7361</v>
      </c>
      <c r="N63" s="18">
        <v>616.52279999999996</v>
      </c>
      <c r="O63" s="18">
        <f t="shared" si="1"/>
        <v>31.566287499999998</v>
      </c>
      <c r="P63" s="7"/>
      <c r="Q63" s="10"/>
      <c r="R63" s="11"/>
      <c r="S63" s="11"/>
      <c r="T63" s="26"/>
      <c r="U63" s="28">
        <f t="shared" si="3"/>
        <v>-0.15412726723925041</v>
      </c>
    </row>
    <row r="64" spans="1:21" ht="16.5" thickBot="1" x14ac:dyDescent="0.3">
      <c r="B64" s="12"/>
      <c r="C64" s="33">
        <v>153.27000000000001</v>
      </c>
      <c r="D64" s="34">
        <v>26.798999999999999</v>
      </c>
      <c r="E64" s="34">
        <v>33.654000000000003</v>
      </c>
      <c r="F64" s="34">
        <v>34.203000000000003</v>
      </c>
      <c r="G64" s="20">
        <v>843.17</v>
      </c>
      <c r="H64" s="20">
        <f t="shared" si="0"/>
        <v>28.581374999999998</v>
      </c>
      <c r="I64" s="5"/>
      <c r="J64" s="33">
        <v>127.91759999999999</v>
      </c>
      <c r="K64" s="34">
        <v>27.517499999999998</v>
      </c>
      <c r="L64" s="34">
        <v>34.535499999999999</v>
      </c>
      <c r="M64" s="34">
        <v>35.145400000000002</v>
      </c>
      <c r="N64" s="20">
        <v>891.26559999999995</v>
      </c>
      <c r="O64" s="20">
        <f t="shared" si="1"/>
        <v>29.348237499999996</v>
      </c>
      <c r="P64" s="7"/>
      <c r="Q64" s="13"/>
      <c r="R64" s="14"/>
      <c r="S64" s="14"/>
      <c r="T64" s="27"/>
      <c r="U64" s="28">
        <f t="shared" si="3"/>
        <v>5.7041403275733239E-2</v>
      </c>
    </row>
    <row r="65" spans="1:21" x14ac:dyDescent="0.25">
      <c r="B65" s="6" t="s">
        <v>60</v>
      </c>
      <c r="C65" s="15">
        <v>767.71</v>
      </c>
      <c r="D65" s="16">
        <v>34.631999999999998</v>
      </c>
      <c r="E65" s="16">
        <v>37.130000000000003</v>
      </c>
      <c r="F65" s="16">
        <v>38.189</v>
      </c>
      <c r="G65" s="16">
        <v>400.53</v>
      </c>
      <c r="H65" s="16">
        <f t="shared" si="0"/>
        <v>35.388874999999999</v>
      </c>
      <c r="I65" s="5"/>
      <c r="J65" s="15">
        <v>605.52719999999999</v>
      </c>
      <c r="K65" s="16">
        <v>33.870600000000003</v>
      </c>
      <c r="L65" s="16">
        <v>37.7288</v>
      </c>
      <c r="M65" s="16">
        <v>38.817599999999999</v>
      </c>
      <c r="N65" s="16">
        <v>278.81040000000002</v>
      </c>
      <c r="O65" s="16">
        <f t="shared" si="1"/>
        <v>34.971250000000005</v>
      </c>
      <c r="P65" s="7"/>
      <c r="Q65" s="8">
        <f>bdrate(C65:C68,D65:D68,J65:J68,K65:K68)</f>
        <v>-0.14147527274479088</v>
      </c>
      <c r="R65" s="8">
        <f>bdrate(C65:C68,E65:E68,J65:J68,L65:L68)</f>
        <v>-0.3473356389466935</v>
      </c>
      <c r="S65" s="8">
        <f>bdrate(C65:C68,F65:F68,J65:J68,M65:M68)</f>
        <v>-0.3497773700676704</v>
      </c>
      <c r="T65" s="25">
        <f>bdrate(C65:C68,H65:H68,J65:J68,O65:O68)</f>
        <v>-0.17648378987293456</v>
      </c>
      <c r="U65" s="28">
        <f t="shared" si="3"/>
        <v>-0.3038963373530072</v>
      </c>
    </row>
    <row r="66" spans="1:21" x14ac:dyDescent="0.25">
      <c r="B66" s="9"/>
      <c r="C66" s="17">
        <v>481.81</v>
      </c>
      <c r="D66" s="18">
        <v>32.378</v>
      </c>
      <c r="E66" s="18">
        <v>35.921999999999997</v>
      </c>
      <c r="F66" s="18">
        <v>36.988999999999997</v>
      </c>
      <c r="G66" s="18">
        <v>447.09</v>
      </c>
      <c r="H66" s="18">
        <f t="shared" si="0"/>
        <v>33.397374999999997</v>
      </c>
      <c r="I66" s="5"/>
      <c r="J66" s="17">
        <v>403.67599999999999</v>
      </c>
      <c r="K66" s="18">
        <v>32.028399999999998</v>
      </c>
      <c r="L66" s="18">
        <v>36.571199999999997</v>
      </c>
      <c r="M66" s="18">
        <v>37.690199999999997</v>
      </c>
      <c r="N66" s="18">
        <v>315.45740000000001</v>
      </c>
      <c r="O66" s="18">
        <f t="shared" si="1"/>
        <v>33.303974999999994</v>
      </c>
      <c r="P66" s="7"/>
      <c r="Q66" s="10"/>
      <c r="R66" s="11"/>
      <c r="S66" s="11"/>
      <c r="T66" s="26"/>
      <c r="U66" s="28">
        <f t="shared" si="3"/>
        <v>-0.2944208101277147</v>
      </c>
    </row>
    <row r="67" spans="1:21" x14ac:dyDescent="0.25">
      <c r="B67" s="9"/>
      <c r="C67" s="17">
        <v>290.63</v>
      </c>
      <c r="D67" s="18">
        <v>30.138000000000002</v>
      </c>
      <c r="E67" s="18">
        <v>34.805</v>
      </c>
      <c r="F67" s="18">
        <v>35.828000000000003</v>
      </c>
      <c r="G67" s="18">
        <v>505.9</v>
      </c>
      <c r="H67" s="18">
        <f t="shared" si="0"/>
        <v>31.432625000000002</v>
      </c>
      <c r="I67" s="5"/>
      <c r="J67" s="17">
        <v>252.88560000000001</v>
      </c>
      <c r="K67" s="18">
        <v>30.223700000000001</v>
      </c>
      <c r="L67" s="18">
        <v>35.4133</v>
      </c>
      <c r="M67" s="18">
        <v>36.466500000000003</v>
      </c>
      <c r="N67" s="18">
        <v>427.35039999999998</v>
      </c>
      <c r="O67" s="18">
        <f t="shared" si="1"/>
        <v>31.652749999999997</v>
      </c>
      <c r="P67" s="7"/>
      <c r="Q67" s="10"/>
      <c r="R67" s="11"/>
      <c r="S67" s="11"/>
      <c r="T67" s="26"/>
      <c r="U67" s="28">
        <f t="shared" si="3"/>
        <v>-0.15526704882387823</v>
      </c>
    </row>
    <row r="68" spans="1:21" ht="16.5" thickBot="1" x14ac:dyDescent="0.3">
      <c r="B68" s="12"/>
      <c r="C68" s="19">
        <v>145.13999999999999</v>
      </c>
      <c r="D68" s="20">
        <v>27.294</v>
      </c>
      <c r="E68" s="20">
        <v>33.539000000000001</v>
      </c>
      <c r="F68" s="20">
        <v>34.506999999999998</v>
      </c>
      <c r="G68" s="20">
        <v>601.20000000000005</v>
      </c>
      <c r="H68" s="20">
        <f t="shared" si="0"/>
        <v>28.97625</v>
      </c>
      <c r="I68" s="5"/>
      <c r="J68" s="19">
        <v>122.1144</v>
      </c>
      <c r="K68" s="20">
        <v>27.742799999999999</v>
      </c>
      <c r="L68" s="20">
        <v>33.941800000000001</v>
      </c>
      <c r="M68" s="20">
        <v>34.902099999999997</v>
      </c>
      <c r="N68" s="20">
        <v>601.20240000000001</v>
      </c>
      <c r="O68" s="20">
        <f t="shared" si="1"/>
        <v>29.412587499999997</v>
      </c>
      <c r="P68" s="7"/>
      <c r="Q68" s="13"/>
      <c r="R68" s="14"/>
      <c r="S68" s="14"/>
      <c r="T68" s="27"/>
      <c r="U68" s="28">
        <f t="shared" si="3"/>
        <v>3.9920159680072933E-6</v>
      </c>
    </row>
    <row r="69" spans="1:21" x14ac:dyDescent="0.25">
      <c r="A69" s="6" t="s">
        <v>43</v>
      </c>
      <c r="B69" s="6" t="s">
        <v>61</v>
      </c>
      <c r="C69" s="15">
        <v>1907</v>
      </c>
      <c r="D69" s="16">
        <v>40.887999999999998</v>
      </c>
      <c r="E69" s="16">
        <v>44.585999999999999</v>
      </c>
      <c r="F69" s="16">
        <v>45.676000000000002</v>
      </c>
      <c r="G69" s="16">
        <v>96.65</v>
      </c>
      <c r="H69" s="16">
        <f t="shared" si="0"/>
        <v>41.948749999999997</v>
      </c>
      <c r="I69" s="5"/>
      <c r="J69" s="15">
        <v>1494.3152</v>
      </c>
      <c r="K69" s="16">
        <v>41.3508</v>
      </c>
      <c r="L69" s="16">
        <v>45.814900000000002</v>
      </c>
      <c r="M69" s="16">
        <v>47.022599999999997</v>
      </c>
      <c r="N69" s="16">
        <v>115.1631</v>
      </c>
      <c r="O69" s="16">
        <f t="shared" si="1"/>
        <v>42.617787500000006</v>
      </c>
      <c r="P69" s="7"/>
      <c r="Q69" s="8">
        <f>bdrate(C69:C72,D69:D72,J69:J72,K69:K72)</f>
        <v>-0.40794927332921604</v>
      </c>
      <c r="R69" s="8">
        <f>bdrate(C69:C72,E69:E72,J69:J72,L69:L72)</f>
        <v>-0.54355348870925413</v>
      </c>
      <c r="S69" s="8">
        <f>bdrate(C69:C72,F69:F72,J69:J72,M69:M72)</f>
        <v>-0.56530365495727697</v>
      </c>
      <c r="T69" s="25">
        <f>bdrate(C69:C72,H69:H72,J69:J72,O69:O72)</f>
        <v>-0.4389906142875466</v>
      </c>
      <c r="U69" s="28">
        <f t="shared" si="3"/>
        <v>0.19154785307811684</v>
      </c>
    </row>
    <row r="70" spans="1:21" x14ac:dyDescent="0.25">
      <c r="A70" s="9" t="s">
        <v>44</v>
      </c>
      <c r="B70" s="9"/>
      <c r="C70" s="17">
        <v>1244.33</v>
      </c>
      <c r="D70" s="18">
        <v>39.487000000000002</v>
      </c>
      <c r="E70" s="18">
        <v>43.427999999999997</v>
      </c>
      <c r="F70" s="18">
        <v>44.392000000000003</v>
      </c>
      <c r="G70" s="18">
        <v>101.49</v>
      </c>
      <c r="H70" s="18">
        <f t="shared" si="0"/>
        <v>40.592750000000002</v>
      </c>
      <c r="I70" s="5"/>
      <c r="J70" s="17">
        <v>984.78319999999997</v>
      </c>
      <c r="K70" s="18">
        <v>40.255099999999999</v>
      </c>
      <c r="L70" s="18">
        <v>44.865600000000001</v>
      </c>
      <c r="M70" s="18">
        <v>46.0745</v>
      </c>
      <c r="N70" s="18">
        <v>129.50569999999999</v>
      </c>
      <c r="O70" s="18">
        <f t="shared" si="1"/>
        <v>41.558837500000003</v>
      </c>
      <c r="P70" s="7"/>
      <c r="Q70" s="10"/>
      <c r="R70" s="11"/>
      <c r="S70" s="11"/>
      <c r="T70" s="26"/>
      <c r="U70" s="28">
        <f t="shared" si="3"/>
        <v>0.27604394521627745</v>
      </c>
    </row>
    <row r="71" spans="1:21" x14ac:dyDescent="0.25">
      <c r="B71" s="9"/>
      <c r="C71" s="17">
        <v>742.46</v>
      </c>
      <c r="D71" s="18">
        <v>37.159999999999997</v>
      </c>
      <c r="E71" s="18">
        <v>41.898000000000003</v>
      </c>
      <c r="F71" s="18">
        <v>42.896000000000001</v>
      </c>
      <c r="G71" s="18">
        <v>106.84</v>
      </c>
      <c r="H71" s="18">
        <f t="shared" si="0"/>
        <v>38.469250000000002</v>
      </c>
      <c r="I71" s="5"/>
      <c r="J71" s="17">
        <v>574.80799999999999</v>
      </c>
      <c r="K71" s="18">
        <v>38.377200000000002</v>
      </c>
      <c r="L71" s="18">
        <v>43.377400000000002</v>
      </c>
      <c r="M71" s="18">
        <v>44.549300000000002</v>
      </c>
      <c r="N71" s="18">
        <v>150.8296</v>
      </c>
      <c r="O71" s="18">
        <f t="shared" si="1"/>
        <v>39.773737500000003</v>
      </c>
      <c r="P71" s="7"/>
      <c r="Q71" s="10"/>
      <c r="R71" s="11"/>
      <c r="S71" s="11"/>
      <c r="T71" s="26"/>
      <c r="U71" s="28">
        <f t="shared" si="3"/>
        <v>0.4117334331710969</v>
      </c>
    </row>
    <row r="72" spans="1:21" ht="16.5" thickBot="1" x14ac:dyDescent="0.3">
      <c r="B72" s="12"/>
      <c r="C72" s="19">
        <v>342.63</v>
      </c>
      <c r="D72" s="20">
        <v>32.902000000000001</v>
      </c>
      <c r="E72" s="20">
        <v>39.758000000000003</v>
      </c>
      <c r="F72" s="20">
        <v>40.564999999999998</v>
      </c>
      <c r="G72" s="20">
        <v>110.19</v>
      </c>
      <c r="H72" s="20">
        <f t="shared" si="0"/>
        <v>34.716875000000002</v>
      </c>
      <c r="I72" s="5"/>
      <c r="J72" s="19">
        <v>281.50319999999999</v>
      </c>
      <c r="K72" s="20">
        <v>35.328800000000001</v>
      </c>
      <c r="L72" s="20">
        <v>41.579799999999999</v>
      </c>
      <c r="M72" s="20">
        <v>42.572800000000001</v>
      </c>
      <c r="N72" s="20">
        <v>181.4333</v>
      </c>
      <c r="O72" s="20">
        <f t="shared" si="1"/>
        <v>37.015675000000002</v>
      </c>
      <c r="P72" s="7"/>
      <c r="Q72" s="13"/>
      <c r="R72" s="14"/>
      <c r="S72" s="14"/>
      <c r="T72" s="27"/>
      <c r="U72" s="28">
        <f t="shared" si="3"/>
        <v>0.64654959615210095</v>
      </c>
    </row>
    <row r="73" spans="1:21" x14ac:dyDescent="0.25">
      <c r="B73" s="6" t="s">
        <v>62</v>
      </c>
      <c r="C73" s="15">
        <v>1995.29</v>
      </c>
      <c r="D73" s="16">
        <v>42.082999999999998</v>
      </c>
      <c r="E73" s="16">
        <v>46.713999999999999</v>
      </c>
      <c r="F73" s="16">
        <v>47.18</v>
      </c>
      <c r="G73" s="16">
        <v>92.01</v>
      </c>
      <c r="H73" s="16">
        <f t="shared" si="0"/>
        <v>43.298999999999999</v>
      </c>
      <c r="I73" s="5"/>
      <c r="J73" s="15">
        <v>1477.9767999999999</v>
      </c>
      <c r="K73" s="16">
        <v>42.629199999999997</v>
      </c>
      <c r="L73" s="16">
        <v>47.865499999999997</v>
      </c>
      <c r="M73" s="16">
        <v>48.527700000000003</v>
      </c>
      <c r="N73" s="16">
        <v>129.50569999999999</v>
      </c>
      <c r="O73" s="16">
        <f t="shared" si="1"/>
        <v>44.021049999999995</v>
      </c>
      <c r="P73" s="7"/>
      <c r="Q73" s="8">
        <f>bdrate(C73:C76,D73:D76,J73:J76,K73:K76)</f>
        <v>-0.54401032825776063</v>
      </c>
      <c r="R73" s="8">
        <f>bdrate(C73:C76,E73:E76,J73:J76,L73:L76)</f>
        <v>-0.69128266036081909</v>
      </c>
      <c r="S73" s="8">
        <f>bdrate(C73:C76,F73:F76,J73:J76,M73:M76)</f>
        <v>-0.71667214441757676</v>
      </c>
      <c r="T73" s="25">
        <f>bdrate(C73:C76,H73:H76,J73:J76,O73:O76)</f>
        <v>-0.59083403046578031</v>
      </c>
      <c r="U73" s="28">
        <f t="shared" ref="U73:U80" si="4">(N73-G73)/G73</f>
        <v>0.40751766112379073</v>
      </c>
    </row>
    <row r="74" spans="1:21" x14ac:dyDescent="0.25">
      <c r="B74" s="9"/>
      <c r="C74" s="17">
        <v>1304.07</v>
      </c>
      <c r="D74" s="18">
        <v>41.314999999999998</v>
      </c>
      <c r="E74" s="18">
        <v>45.790999999999997</v>
      </c>
      <c r="F74" s="18">
        <v>46.18</v>
      </c>
      <c r="G74" s="18">
        <v>95.91</v>
      </c>
      <c r="H74" s="18">
        <f t="shared" si="0"/>
        <v>42.482624999999999</v>
      </c>
      <c r="I74" s="5"/>
      <c r="J74" s="17">
        <v>971.61120000000005</v>
      </c>
      <c r="K74" s="18">
        <v>42.067399999999999</v>
      </c>
      <c r="L74" s="18">
        <v>47.371000000000002</v>
      </c>
      <c r="M74" s="18">
        <v>47.998100000000001</v>
      </c>
      <c r="N74" s="18">
        <v>145.70179999999999</v>
      </c>
      <c r="O74" s="18">
        <f t="shared" si="1"/>
        <v>43.471687500000002</v>
      </c>
      <c r="P74" s="7"/>
      <c r="Q74" s="10"/>
      <c r="R74" s="11"/>
      <c r="S74" s="11"/>
      <c r="T74" s="26"/>
      <c r="U74" s="28">
        <f t="shared" si="4"/>
        <v>0.51915128766551977</v>
      </c>
    </row>
    <row r="75" spans="1:21" x14ac:dyDescent="0.25">
      <c r="B75" s="9"/>
      <c r="C75" s="17">
        <v>766.31</v>
      </c>
      <c r="D75" s="18">
        <v>39.975999999999999</v>
      </c>
      <c r="E75" s="18">
        <v>44.456000000000003</v>
      </c>
      <c r="F75" s="18">
        <v>44.889000000000003</v>
      </c>
      <c r="G75" s="18">
        <v>103.95</v>
      </c>
      <c r="H75" s="18">
        <f t="shared" si="0"/>
        <v>41.150125000000003</v>
      </c>
      <c r="I75" s="5"/>
      <c r="J75" s="17">
        <v>577.4384</v>
      </c>
      <c r="K75" s="18">
        <v>41.207999999999998</v>
      </c>
      <c r="L75" s="18">
        <v>46.568800000000003</v>
      </c>
      <c r="M75" s="18">
        <v>47.177500000000002</v>
      </c>
      <c r="N75" s="18">
        <v>166.48169999999999</v>
      </c>
      <c r="O75" s="18">
        <f t="shared" si="1"/>
        <v>42.624287500000001</v>
      </c>
      <c r="P75" s="7"/>
      <c r="Q75" s="10"/>
      <c r="R75" s="11"/>
      <c r="S75" s="11"/>
      <c r="T75" s="26"/>
      <c r="U75" s="28">
        <f t="shared" si="4"/>
        <v>0.6015555555555554</v>
      </c>
    </row>
    <row r="76" spans="1:21" ht="16.5" thickBot="1" x14ac:dyDescent="0.3">
      <c r="B76" s="12"/>
      <c r="C76" s="19">
        <v>340.83</v>
      </c>
      <c r="D76" s="20">
        <v>36.85</v>
      </c>
      <c r="E76" s="20">
        <v>42.024999999999999</v>
      </c>
      <c r="F76" s="20">
        <v>42.912999999999997</v>
      </c>
      <c r="G76" s="20">
        <v>111.15</v>
      </c>
      <c r="H76" s="20">
        <f t="shared" si="0"/>
        <v>38.254750000000001</v>
      </c>
      <c r="I76" s="5"/>
      <c r="J76" s="19">
        <v>281.16320000000002</v>
      </c>
      <c r="K76" s="20">
        <v>39.445900000000002</v>
      </c>
      <c r="L76" s="20">
        <v>44.796599999999998</v>
      </c>
      <c r="M76" s="20">
        <v>45.404800000000002</v>
      </c>
      <c r="N76" s="20">
        <v>194.23759999999999</v>
      </c>
      <c r="O76" s="20">
        <f t="shared" si="1"/>
        <v>40.859600000000007</v>
      </c>
      <c r="P76" s="7"/>
      <c r="Q76" s="13"/>
      <c r="R76" s="14"/>
      <c r="S76" s="14"/>
      <c r="T76" s="27"/>
      <c r="U76" s="28">
        <f t="shared" si="4"/>
        <v>0.74752676563202858</v>
      </c>
    </row>
    <row r="77" spans="1:21" x14ac:dyDescent="0.25">
      <c r="B77" s="6" t="s">
        <v>63</v>
      </c>
      <c r="C77" s="15">
        <v>2087.52</v>
      </c>
      <c r="D77" s="16">
        <v>41.981999999999999</v>
      </c>
      <c r="E77" s="16">
        <v>45.744</v>
      </c>
      <c r="F77" s="16">
        <v>46.470999999999997</v>
      </c>
      <c r="G77" s="16">
        <v>88.02</v>
      </c>
      <c r="H77" s="16">
        <f t="shared" si="0"/>
        <v>43.013374999999996</v>
      </c>
      <c r="I77" s="5"/>
      <c r="J77" s="15">
        <v>1542.1432</v>
      </c>
      <c r="K77" s="16">
        <v>42.494900000000001</v>
      </c>
      <c r="L77" s="16">
        <v>46.9236</v>
      </c>
      <c r="M77" s="16">
        <v>47.825899999999997</v>
      </c>
      <c r="N77" s="16">
        <v>114.81059999999999</v>
      </c>
      <c r="O77" s="16">
        <f t="shared" si="1"/>
        <v>43.714862500000002</v>
      </c>
      <c r="P77" s="7"/>
      <c r="Q77" s="8">
        <f>bdrate(C77:C80,D77:D80,J77:J80,K77:K80)</f>
        <v>-0.48791433971589493</v>
      </c>
      <c r="R77" s="8">
        <f>bdrate(C77:C80,E77:E80,J77:J80,L77:L80)</f>
        <v>-0.60900541239981187</v>
      </c>
      <c r="S77" s="8">
        <f>bdrate(C77:C80,F77:F80,J77:J80,M77:M80)</f>
        <v>-0.63590076944280449</v>
      </c>
      <c r="T77" s="25">
        <f>bdrate(C77:C80,H77:H80,J77:J80,O77:O80)</f>
        <v>-0.52192222237031416</v>
      </c>
      <c r="U77" s="28">
        <f t="shared" si="4"/>
        <v>0.30436946148602589</v>
      </c>
    </row>
    <row r="78" spans="1:21" x14ac:dyDescent="0.25">
      <c r="B78" s="9"/>
      <c r="C78" s="17">
        <v>1372.85</v>
      </c>
      <c r="D78" s="18">
        <v>40.860999999999997</v>
      </c>
      <c r="E78" s="18">
        <v>44.685000000000002</v>
      </c>
      <c r="F78" s="18">
        <v>45.350999999999999</v>
      </c>
      <c r="G78" s="18">
        <v>94.03</v>
      </c>
      <c r="H78" s="18">
        <f t="shared" si="0"/>
        <v>41.90025</v>
      </c>
      <c r="I78" s="5"/>
      <c r="J78" s="17">
        <v>1014.0768</v>
      </c>
      <c r="K78" s="18">
        <v>41.68</v>
      </c>
      <c r="L78" s="18">
        <v>46.207099999999997</v>
      </c>
      <c r="M78" s="18">
        <v>47.0777</v>
      </c>
      <c r="N78" s="18">
        <v>129.50569999999999</v>
      </c>
      <c r="O78" s="18">
        <f t="shared" si="1"/>
        <v>42.9206</v>
      </c>
      <c r="P78" s="7"/>
      <c r="Q78" s="10"/>
      <c r="R78" s="11"/>
      <c r="S78" s="11"/>
      <c r="T78" s="26"/>
      <c r="U78" s="28">
        <f t="shared" si="4"/>
        <v>0.37728065511007114</v>
      </c>
    </row>
    <row r="79" spans="1:21" x14ac:dyDescent="0.25">
      <c r="B79" s="9"/>
      <c r="C79" s="17">
        <v>818.02</v>
      </c>
      <c r="D79" s="18">
        <v>39.006</v>
      </c>
      <c r="E79" s="18">
        <v>43.055</v>
      </c>
      <c r="F79" s="18">
        <v>43.750999999999998</v>
      </c>
      <c r="G79" s="18">
        <v>100.17</v>
      </c>
      <c r="H79" s="18">
        <f t="shared" si="0"/>
        <v>40.105249999999998</v>
      </c>
      <c r="I79" s="5"/>
      <c r="J79" s="17">
        <v>605.58960000000002</v>
      </c>
      <c r="K79" s="18">
        <v>40.362699999999997</v>
      </c>
      <c r="L79" s="18">
        <v>45.003</v>
      </c>
      <c r="M79" s="18">
        <v>45.888100000000001</v>
      </c>
      <c r="N79" s="18">
        <v>149.66329999999999</v>
      </c>
      <c r="O79" s="18">
        <f t="shared" si="1"/>
        <v>41.633412499999999</v>
      </c>
      <c r="P79" s="7"/>
      <c r="Q79" s="10"/>
      <c r="R79" s="11"/>
      <c r="S79" s="11"/>
      <c r="T79" s="26"/>
      <c r="U79" s="28">
        <f t="shared" si="4"/>
        <v>0.4940930418288908</v>
      </c>
    </row>
    <row r="80" spans="1:21" ht="16.5" thickBot="1" x14ac:dyDescent="0.3">
      <c r="B80" s="12"/>
      <c r="C80" s="19">
        <v>374.44</v>
      </c>
      <c r="D80" s="20">
        <v>35.229999999999997</v>
      </c>
      <c r="E80" s="20">
        <v>40.76</v>
      </c>
      <c r="F80" s="20">
        <v>41.338999999999999</v>
      </c>
      <c r="G80" s="20">
        <v>106.84</v>
      </c>
      <c r="H80" s="20">
        <f t="shared" si="0"/>
        <v>36.684874999999998</v>
      </c>
      <c r="I80" s="5"/>
      <c r="J80" s="19">
        <v>305.24079999999998</v>
      </c>
      <c r="K80" s="20">
        <v>37.771900000000002</v>
      </c>
      <c r="L80" s="20">
        <v>42.838999999999999</v>
      </c>
      <c r="M80" s="20">
        <v>43.744900000000001</v>
      </c>
      <c r="N80" s="20">
        <v>178.04150000000001</v>
      </c>
      <c r="O80" s="20">
        <f t="shared" si="1"/>
        <v>39.151912500000009</v>
      </c>
      <c r="P80" s="7"/>
      <c r="Q80" s="13"/>
      <c r="R80" s="14"/>
      <c r="S80" s="14"/>
      <c r="T80" s="27"/>
      <c r="U80" s="28">
        <f t="shared" si="4"/>
        <v>0.66643111194309257</v>
      </c>
    </row>
    <row r="81" spans="1:21" x14ac:dyDescent="0.25">
      <c r="A81" s="6" t="s">
        <v>94</v>
      </c>
      <c r="B81" s="6" t="s">
        <v>95</v>
      </c>
      <c r="C81" s="15">
        <v>1611.18</v>
      </c>
      <c r="D81" s="16">
        <v>41.585999999999999</v>
      </c>
      <c r="E81" s="16">
        <v>46.32</v>
      </c>
      <c r="F81" s="16">
        <v>48.262</v>
      </c>
      <c r="G81" s="16">
        <v>71.53</v>
      </c>
      <c r="H81" s="16">
        <f t="shared" ref="H81:H91" si="5">(6*D81+E81+F81)/8</f>
        <v>43.012250000000002</v>
      </c>
      <c r="I81" s="5"/>
      <c r="J81" s="15">
        <v>1285.4259</v>
      </c>
      <c r="K81" s="16">
        <v>43.733699999999999</v>
      </c>
      <c r="L81" s="16">
        <v>49.466500000000003</v>
      </c>
      <c r="M81" s="16">
        <v>50.424100000000003</v>
      </c>
      <c r="N81" s="16">
        <v>66.123000000000005</v>
      </c>
      <c r="O81" s="16">
        <f t="shared" ref="O81:O91" si="6">(6*K81+L81+M81)/8</f>
        <v>45.2866</v>
      </c>
      <c r="P81" s="7"/>
      <c r="Q81" s="8">
        <f>bdrate(C81:C84,D81:D84,J81:J84,K81:K84)</f>
        <v>-0.55246312634544448</v>
      </c>
      <c r="R81" s="8">
        <f>bdrate(C81:C84,E81:E84,J81:J84,L81:L84)</f>
        <v>-0.66578146307124197</v>
      </c>
      <c r="S81" s="8">
        <f>bdrate(C81:C84,F81:F84,J81:J84,M81:M84)</f>
        <v>-0.61500859486983739</v>
      </c>
      <c r="T81" s="25">
        <f>bdrate(C81:C84,H81:H84,J81:J84,O81:O84)</f>
        <v>-0.57031429304988357</v>
      </c>
      <c r="U81" s="28">
        <f t="shared" ref="U81:U91" si="7">(N81-G81)/G81</f>
        <v>-7.5590661261009315E-2</v>
      </c>
    </row>
    <row r="82" spans="1:21" x14ac:dyDescent="0.25">
      <c r="A82" s="9" t="s">
        <v>77</v>
      </c>
      <c r="B82" s="9"/>
      <c r="C82" s="17">
        <v>1076.05</v>
      </c>
      <c r="D82" s="18">
        <v>39.170999999999999</v>
      </c>
      <c r="E82" s="18">
        <v>44.762999999999998</v>
      </c>
      <c r="F82" s="18">
        <v>46.572000000000003</v>
      </c>
      <c r="G82" s="18">
        <v>77.59</v>
      </c>
      <c r="H82" s="18">
        <f t="shared" si="5"/>
        <v>40.795124999999999</v>
      </c>
      <c r="I82" s="5"/>
      <c r="J82" s="17">
        <v>872.10630000000003</v>
      </c>
      <c r="K82" s="18">
        <v>42.0351</v>
      </c>
      <c r="L82" s="18">
        <v>48.264899999999997</v>
      </c>
      <c r="M82" s="18">
        <v>49.22</v>
      </c>
      <c r="N82" s="18">
        <v>73.918899999999994</v>
      </c>
      <c r="O82" s="18">
        <f t="shared" si="6"/>
        <v>43.711937500000005</v>
      </c>
      <c r="P82" s="7"/>
      <c r="Q82" s="10"/>
      <c r="R82" s="11"/>
      <c r="S82" s="11"/>
      <c r="T82" s="26"/>
      <c r="U82" s="28">
        <f t="shared" si="7"/>
        <v>-4.7314086866864412E-2</v>
      </c>
    </row>
    <row r="83" spans="1:21" x14ac:dyDescent="0.25">
      <c r="B83" s="9"/>
      <c r="C83" s="17">
        <v>655.33000000000004</v>
      </c>
      <c r="D83" s="18">
        <v>36.112000000000002</v>
      </c>
      <c r="E83" s="18">
        <v>42.993000000000002</v>
      </c>
      <c r="F83" s="18">
        <v>44.942</v>
      </c>
      <c r="G83" s="18">
        <v>85.41</v>
      </c>
      <c r="H83" s="18">
        <f t="shared" si="5"/>
        <v>38.075875000000003</v>
      </c>
      <c r="I83" s="5"/>
      <c r="J83" s="17">
        <v>535.25800000000004</v>
      </c>
      <c r="K83" s="18">
        <v>39.624000000000002</v>
      </c>
      <c r="L83" s="18">
        <v>46.189799999999998</v>
      </c>
      <c r="M83" s="18">
        <v>47.463799999999999</v>
      </c>
      <c r="N83" s="18">
        <v>95.278400000000005</v>
      </c>
      <c r="O83" s="18">
        <f t="shared" si="6"/>
        <v>41.424700000000001</v>
      </c>
      <c r="P83" s="7"/>
      <c r="Q83" s="10"/>
      <c r="R83" s="11"/>
      <c r="S83" s="11"/>
      <c r="T83" s="26"/>
      <c r="U83" s="28">
        <f t="shared" si="7"/>
        <v>0.11554150567849208</v>
      </c>
    </row>
    <row r="84" spans="1:21" ht="16.5" thickBot="1" x14ac:dyDescent="0.3">
      <c r="B84" s="12"/>
      <c r="C84" s="19">
        <v>309.55</v>
      </c>
      <c r="D84" s="20">
        <v>31.282</v>
      </c>
      <c r="E84" s="20">
        <v>40.143000000000001</v>
      </c>
      <c r="F84" s="20">
        <v>42.96</v>
      </c>
      <c r="G84" s="20">
        <v>98.53</v>
      </c>
      <c r="H84" s="20">
        <f t="shared" si="5"/>
        <v>33.849375000000002</v>
      </c>
      <c r="I84" s="5"/>
      <c r="J84" s="19">
        <v>274.5197</v>
      </c>
      <c r="K84" s="20">
        <v>36.4223</v>
      </c>
      <c r="L84" s="20">
        <v>43.944000000000003</v>
      </c>
      <c r="M84" s="20">
        <v>45.368299999999998</v>
      </c>
      <c r="N84" s="20">
        <v>127.2175</v>
      </c>
      <c r="O84" s="20">
        <f t="shared" si="6"/>
        <v>38.480762499999997</v>
      </c>
      <c r="P84" s="7"/>
      <c r="Q84" s="13"/>
      <c r="R84" s="14"/>
      <c r="S84" s="14"/>
      <c r="T84" s="27"/>
      <c r="U84" s="28">
        <f t="shared" si="7"/>
        <v>0.29115497817923475</v>
      </c>
    </row>
    <row r="85" spans="1:21" x14ac:dyDescent="0.25">
      <c r="B85" s="6" t="s">
        <v>96</v>
      </c>
      <c r="C85" s="15">
        <v>1988.85</v>
      </c>
      <c r="D85" s="16">
        <v>53.048000000000002</v>
      </c>
      <c r="E85" s="16">
        <v>53.326999999999998</v>
      </c>
      <c r="F85" s="16">
        <v>53.726999999999997</v>
      </c>
      <c r="G85" s="16">
        <v>142.63</v>
      </c>
      <c r="H85" s="16">
        <f t="shared" si="5"/>
        <v>53.167749999999998</v>
      </c>
      <c r="I85" s="5"/>
      <c r="J85" s="15">
        <v>1445.6994999999999</v>
      </c>
      <c r="K85" s="16">
        <v>51.702599999999997</v>
      </c>
      <c r="L85" s="16">
        <v>52.706299999999999</v>
      </c>
      <c r="M85" s="16">
        <v>53.203200000000002</v>
      </c>
      <c r="N85" s="16">
        <v>119.944</v>
      </c>
      <c r="O85" s="16">
        <f t="shared" si="6"/>
        <v>52.015637499999997</v>
      </c>
      <c r="P85" s="7"/>
      <c r="Q85" s="8">
        <f>bdrate(C85:C88,D85:D88,J85:J88,K85:K88)</f>
        <v>-0.1687728825905338</v>
      </c>
      <c r="R85" s="8">
        <f>bdrate(C85:C88,E85:E88,J85:J88,L85:L88)</f>
        <v>-0.25861979526184031</v>
      </c>
      <c r="S85" s="8">
        <f>bdrate(C85:C88,F85:F88,J85:J88,M85:M88)</f>
        <v>-0.2703521987487798</v>
      </c>
      <c r="T85" s="25">
        <f>bdrate(C85:C88,H85:H88,J85:J88,O85:O88)</f>
        <v>-0.19230889479496571</v>
      </c>
      <c r="U85" s="28">
        <f t="shared" si="7"/>
        <v>-0.15905489728668579</v>
      </c>
    </row>
    <row r="86" spans="1:21" x14ac:dyDescent="0.25">
      <c r="B86" s="9"/>
      <c r="C86" s="17">
        <v>1329.43</v>
      </c>
      <c r="D86" s="18">
        <v>50.37</v>
      </c>
      <c r="E86" s="18">
        <v>50.875999999999998</v>
      </c>
      <c r="F86" s="18">
        <v>51.334000000000003</v>
      </c>
      <c r="G86" s="18">
        <v>153.04</v>
      </c>
      <c r="H86" s="18">
        <f t="shared" si="5"/>
        <v>50.553749999999994</v>
      </c>
      <c r="I86" s="5"/>
      <c r="J86" s="17">
        <v>973.9511</v>
      </c>
      <c r="K86" s="18">
        <v>49.504199999999997</v>
      </c>
      <c r="L86" s="18">
        <v>50.674399999999999</v>
      </c>
      <c r="M86" s="18">
        <v>51.231000000000002</v>
      </c>
      <c r="N86" s="18">
        <v>146.2345</v>
      </c>
      <c r="O86" s="18">
        <f t="shared" si="6"/>
        <v>49.866324999999996</v>
      </c>
      <c r="P86" s="7"/>
      <c r="Q86" s="10"/>
      <c r="R86" s="11"/>
      <c r="S86" s="11"/>
      <c r="T86" s="26"/>
      <c r="U86" s="28">
        <f t="shared" si="7"/>
        <v>-4.4468766335598507E-2</v>
      </c>
    </row>
    <row r="87" spans="1:21" x14ac:dyDescent="0.25">
      <c r="B87" s="9"/>
      <c r="C87" s="17">
        <v>808.08</v>
      </c>
      <c r="D87" s="18">
        <v>47.253</v>
      </c>
      <c r="E87" s="18">
        <v>47.911000000000001</v>
      </c>
      <c r="F87" s="18">
        <v>48.396000000000001</v>
      </c>
      <c r="G87" s="18">
        <v>163.21</v>
      </c>
      <c r="H87" s="18">
        <f t="shared" si="5"/>
        <v>47.478125000000006</v>
      </c>
      <c r="I87" s="5"/>
      <c r="J87" s="17">
        <v>592.16800000000001</v>
      </c>
      <c r="K87" s="18">
        <v>46.430100000000003</v>
      </c>
      <c r="L87" s="18">
        <v>47.863199999999999</v>
      </c>
      <c r="M87" s="18">
        <v>48.459299999999999</v>
      </c>
      <c r="N87" s="18">
        <v>169.42769999999999</v>
      </c>
      <c r="O87" s="18">
        <f t="shared" si="6"/>
        <v>46.862887499999999</v>
      </c>
      <c r="P87" s="7"/>
      <c r="Q87" s="10"/>
      <c r="R87" s="11"/>
      <c r="S87" s="11"/>
      <c r="T87" s="26"/>
      <c r="U87" s="28">
        <f t="shared" si="7"/>
        <v>3.8096317627596223E-2</v>
      </c>
    </row>
    <row r="88" spans="1:21" ht="16.5" thickBot="1" x14ac:dyDescent="0.3">
      <c r="B88" s="12"/>
      <c r="C88" s="19">
        <v>382.05</v>
      </c>
      <c r="D88" s="20">
        <v>42.423999999999999</v>
      </c>
      <c r="E88" s="20">
        <v>43.55</v>
      </c>
      <c r="F88" s="20">
        <v>44.054000000000002</v>
      </c>
      <c r="G88" s="20">
        <v>171.18</v>
      </c>
      <c r="H88" s="20">
        <f t="shared" si="5"/>
        <v>42.768500000000003</v>
      </c>
      <c r="I88" s="5"/>
      <c r="J88" s="19">
        <v>300.18650000000002</v>
      </c>
      <c r="K88" s="20">
        <v>42.445300000000003</v>
      </c>
      <c r="L88" s="20">
        <v>44.286200000000001</v>
      </c>
      <c r="M88" s="20">
        <v>44.813499999999998</v>
      </c>
      <c r="N88" s="20">
        <v>192.6164</v>
      </c>
      <c r="O88" s="20">
        <f t="shared" si="6"/>
        <v>42.9714375</v>
      </c>
      <c r="P88" s="7"/>
      <c r="Q88" s="13"/>
      <c r="R88" s="14"/>
      <c r="S88" s="14"/>
      <c r="T88" s="27"/>
      <c r="U88" s="28">
        <f t="shared" si="7"/>
        <v>0.12522724617361836</v>
      </c>
    </row>
    <row r="89" spans="1:21" x14ac:dyDescent="0.25">
      <c r="B89" s="6" t="s">
        <v>97</v>
      </c>
      <c r="C89" s="15">
        <v>2176.6799999999998</v>
      </c>
      <c r="D89" s="16">
        <v>42.517000000000003</v>
      </c>
      <c r="E89" s="16">
        <v>44.250999999999998</v>
      </c>
      <c r="F89" s="16">
        <v>44.884</v>
      </c>
      <c r="G89" s="16">
        <v>85.79</v>
      </c>
      <c r="H89" s="16">
        <f t="shared" si="5"/>
        <v>43.029625000000003</v>
      </c>
      <c r="I89" s="5"/>
      <c r="J89" s="15">
        <v>1472.0864999999999</v>
      </c>
      <c r="K89" s="16">
        <v>42.637700000000002</v>
      </c>
      <c r="L89" s="16">
        <v>45.135599999999997</v>
      </c>
      <c r="M89" s="16">
        <v>45.5745</v>
      </c>
      <c r="N89" s="16">
        <v>86.364099999999993</v>
      </c>
      <c r="O89" s="16">
        <f t="shared" si="6"/>
        <v>43.317037500000005</v>
      </c>
      <c r="P89" s="7"/>
      <c r="Q89" s="8">
        <f>bdrate(C89:C92,D89:D92,J89:J92,K89:K92)</f>
        <v>-0.4354785079078074</v>
      </c>
      <c r="R89" s="8">
        <f>bdrate(C89:C92,E89:E92,J89:J92,L89:L92)</f>
        <v>-0.49636785689901175</v>
      </c>
      <c r="S89" s="8">
        <f>bdrate(C89:C92,F89:F92,J89:J92,M89:M92)</f>
        <v>-0.46448363673538251</v>
      </c>
      <c r="T89" s="25">
        <f>bdrate(C89:C92,H89:H92,J89:J92,O89:O92)</f>
        <v>-0.44486046540539936</v>
      </c>
      <c r="U89" s="28">
        <f t="shared" si="7"/>
        <v>6.6919221354468719E-3</v>
      </c>
    </row>
    <row r="90" spans="1:21" x14ac:dyDescent="0.25">
      <c r="B90" s="9"/>
      <c r="C90" s="17">
        <v>1449.06</v>
      </c>
      <c r="D90" s="18">
        <v>39.966999999999999</v>
      </c>
      <c r="E90" s="18">
        <v>42.531999999999996</v>
      </c>
      <c r="F90" s="18">
        <v>43.197000000000003</v>
      </c>
      <c r="G90" s="18">
        <v>92.31</v>
      </c>
      <c r="H90" s="18">
        <f t="shared" si="5"/>
        <v>40.691375000000001</v>
      </c>
      <c r="I90" s="5"/>
      <c r="J90" s="17">
        <v>983.68320000000006</v>
      </c>
      <c r="K90" s="18">
        <v>40.726900000000001</v>
      </c>
      <c r="L90" s="18">
        <v>43.666699999999999</v>
      </c>
      <c r="M90" s="18">
        <v>44.097299999999997</v>
      </c>
      <c r="N90" s="18">
        <v>101.0385</v>
      </c>
      <c r="O90" s="18">
        <f t="shared" si="6"/>
        <v>41.515675000000002</v>
      </c>
      <c r="P90" s="7"/>
      <c r="Q90" s="10"/>
      <c r="R90" s="11"/>
      <c r="S90" s="11"/>
      <c r="T90" s="26"/>
      <c r="U90" s="28">
        <f t="shared" si="7"/>
        <v>9.4556386090347708E-2</v>
      </c>
    </row>
    <row r="91" spans="1:21" x14ac:dyDescent="0.25">
      <c r="B91" s="9"/>
      <c r="C91" s="17">
        <v>882.69</v>
      </c>
      <c r="D91" s="18">
        <v>37.094999999999999</v>
      </c>
      <c r="E91" s="18">
        <v>40.704000000000001</v>
      </c>
      <c r="F91" s="18">
        <v>41.363</v>
      </c>
      <c r="G91" s="18">
        <v>99.3</v>
      </c>
      <c r="H91" s="18">
        <f t="shared" si="5"/>
        <v>38.079625</v>
      </c>
      <c r="I91" s="5"/>
      <c r="J91" s="17">
        <v>593.0163</v>
      </c>
      <c r="K91" s="18">
        <v>38.184100000000001</v>
      </c>
      <c r="L91" s="18">
        <v>41.814100000000003</v>
      </c>
      <c r="M91" s="18">
        <v>42.237299999999998</v>
      </c>
      <c r="N91" s="18">
        <v>118.71</v>
      </c>
      <c r="O91" s="18">
        <f t="shared" si="6"/>
        <v>39.144500000000001</v>
      </c>
      <c r="P91" s="7"/>
      <c r="Q91" s="10"/>
      <c r="R91" s="11"/>
      <c r="S91" s="11"/>
      <c r="T91" s="26"/>
      <c r="U91" s="28">
        <f t="shared" si="7"/>
        <v>0.1954682779456193</v>
      </c>
    </row>
    <row r="92" spans="1:21" ht="16.5" thickBot="1" x14ac:dyDescent="0.3">
      <c r="B92" s="12"/>
      <c r="C92" s="19">
        <v>421.02</v>
      </c>
      <c r="D92" s="20">
        <v>31.878</v>
      </c>
      <c r="E92" s="20">
        <v>38.127000000000002</v>
      </c>
      <c r="F92" s="20">
        <v>38.863</v>
      </c>
      <c r="G92" s="20">
        <v>109.89</v>
      </c>
      <c r="H92" s="20">
        <f t="shared" ref="H92:H124" si="8">(6*D92+E92+F92)/8</f>
        <v>33.532250000000005</v>
      </c>
      <c r="I92" s="5"/>
      <c r="J92" s="19">
        <v>295.83530000000002</v>
      </c>
      <c r="K92" s="20">
        <v>34.495399999999997</v>
      </c>
      <c r="L92" s="20">
        <v>39.202399999999997</v>
      </c>
      <c r="M92" s="20">
        <v>39.693100000000001</v>
      </c>
      <c r="N92" s="20">
        <v>146.79499999999999</v>
      </c>
      <c r="O92" s="20">
        <f t="shared" ref="O92:O124" si="9">(6*K92+L92+M92)/8</f>
        <v>35.733487500000003</v>
      </c>
      <c r="P92" s="7"/>
      <c r="Q92" s="13"/>
      <c r="R92" s="14"/>
      <c r="S92" s="14"/>
      <c r="T92" s="27"/>
      <c r="U92" s="28">
        <f t="shared" ref="U92:U124" si="10">(N92-G92)/G92</f>
        <v>0.33583583583583571</v>
      </c>
    </row>
    <row r="93" spans="1:21" x14ac:dyDescent="0.25">
      <c r="B93" s="6" t="s">
        <v>98</v>
      </c>
      <c r="C93" s="29">
        <v>2058.3200000000002</v>
      </c>
      <c r="D93" s="30">
        <v>38.978999999999999</v>
      </c>
      <c r="E93" s="30">
        <v>43.247</v>
      </c>
      <c r="F93" s="30">
        <v>43.216000000000001</v>
      </c>
      <c r="G93" s="16">
        <v>73.680000000000007</v>
      </c>
      <c r="H93" s="16">
        <f t="shared" si="8"/>
        <v>40.042124999999999</v>
      </c>
      <c r="I93" s="5"/>
      <c r="J93" s="29">
        <v>1497.3056999999999</v>
      </c>
      <c r="K93" s="30">
        <v>39.031799999999997</v>
      </c>
      <c r="L93" s="30">
        <v>43.633000000000003</v>
      </c>
      <c r="M93" s="30">
        <v>43.633499999999998</v>
      </c>
      <c r="N93" s="16">
        <v>74.202299999999994</v>
      </c>
      <c r="O93" s="16">
        <f t="shared" si="9"/>
        <v>40.18216249999999</v>
      </c>
      <c r="P93" s="7"/>
      <c r="Q93" s="8">
        <f>bdrate(C93:C96,D93:D96,J93:J96,K93:K96)</f>
        <v>-0.38166529829970575</v>
      </c>
      <c r="R93" s="8">
        <f>bdrate(C93:C96,E93:E96,J93:J96,L93:L96)</f>
        <v>-0.38556306349262293</v>
      </c>
      <c r="S93" s="8">
        <f>bdrate(C93:C96,F93:F96,J93:J96,M93:M96)</f>
        <v>-0.40072812792194468</v>
      </c>
      <c r="T93" s="25">
        <f>bdrate(C93:C96,H93:H96,J93:J96,O93:O96)</f>
        <v>-0.38468855799886981</v>
      </c>
      <c r="U93" s="28">
        <f t="shared" si="10"/>
        <v>7.0887622149835381E-3</v>
      </c>
    </row>
    <row r="94" spans="1:21" x14ac:dyDescent="0.25">
      <c r="B94" s="9"/>
      <c r="C94" s="31">
        <v>1377.93</v>
      </c>
      <c r="D94" s="32">
        <v>36.76</v>
      </c>
      <c r="E94" s="32">
        <v>41.854999999999997</v>
      </c>
      <c r="F94" s="32">
        <v>41.75</v>
      </c>
      <c r="G94" s="18">
        <v>79.25</v>
      </c>
      <c r="H94" s="18">
        <f t="shared" si="8"/>
        <v>38.020625000000003</v>
      </c>
      <c r="I94" s="5"/>
      <c r="J94" s="31">
        <v>999.99069999999995</v>
      </c>
      <c r="K94" s="32">
        <v>37.192</v>
      </c>
      <c r="L94" s="32">
        <v>42.327300000000001</v>
      </c>
      <c r="M94" s="32">
        <v>42.321800000000003</v>
      </c>
      <c r="N94" s="18">
        <v>85.409300000000002</v>
      </c>
      <c r="O94" s="18">
        <f t="shared" si="9"/>
        <v>38.475137499999995</v>
      </c>
      <c r="P94" s="7"/>
      <c r="Q94" s="10"/>
      <c r="R94" s="11"/>
      <c r="S94" s="11"/>
      <c r="T94" s="26"/>
      <c r="U94" s="28">
        <f t="shared" si="10"/>
        <v>7.7719873817034726E-2</v>
      </c>
    </row>
    <row r="95" spans="1:21" x14ac:dyDescent="0.25">
      <c r="B95" s="9"/>
      <c r="C95" s="31">
        <v>842</v>
      </c>
      <c r="D95" s="32">
        <v>34.021000000000001</v>
      </c>
      <c r="E95" s="32">
        <v>40.351999999999997</v>
      </c>
      <c r="F95" s="32">
        <v>40.197000000000003</v>
      </c>
      <c r="G95" s="18">
        <v>85.47</v>
      </c>
      <c r="H95" s="18">
        <f t="shared" si="8"/>
        <v>35.584375000000001</v>
      </c>
      <c r="I95" s="5"/>
      <c r="J95" s="31">
        <v>599.79920000000004</v>
      </c>
      <c r="K95" s="32">
        <v>34.899799999999999</v>
      </c>
      <c r="L95" s="32">
        <v>40.840699999999998</v>
      </c>
      <c r="M95" s="32">
        <v>40.751300000000001</v>
      </c>
      <c r="N95" s="18">
        <v>103.1164</v>
      </c>
      <c r="O95" s="18">
        <f t="shared" si="9"/>
        <v>36.373849999999997</v>
      </c>
      <c r="P95" s="7"/>
      <c r="Q95" s="10"/>
      <c r="R95" s="11"/>
      <c r="S95" s="11"/>
      <c r="T95" s="26"/>
      <c r="U95" s="28">
        <f t="shared" si="10"/>
        <v>0.20646308646308648</v>
      </c>
    </row>
    <row r="96" spans="1:21" ht="16.5" thickBot="1" x14ac:dyDescent="0.3">
      <c r="B96" s="12"/>
      <c r="C96" s="33">
        <v>401.81</v>
      </c>
      <c r="D96" s="34">
        <v>29.504000000000001</v>
      </c>
      <c r="E96" s="34">
        <v>38.331000000000003</v>
      </c>
      <c r="F96" s="34">
        <v>38.139000000000003</v>
      </c>
      <c r="G96" s="20">
        <v>95.83</v>
      </c>
      <c r="H96" s="20">
        <f t="shared" si="8"/>
        <v>31.686750000000004</v>
      </c>
      <c r="I96" s="5"/>
      <c r="J96" s="33">
        <v>300.69810000000001</v>
      </c>
      <c r="K96" s="34">
        <v>31.897400000000001</v>
      </c>
      <c r="L96" s="34">
        <v>38.866700000000002</v>
      </c>
      <c r="M96" s="34">
        <v>38.844999999999999</v>
      </c>
      <c r="N96" s="20">
        <v>132.7825</v>
      </c>
      <c r="O96" s="20">
        <f t="shared" si="9"/>
        <v>33.637012499999997</v>
      </c>
      <c r="P96" s="7"/>
      <c r="Q96" s="13"/>
      <c r="R96" s="14"/>
      <c r="S96" s="14"/>
      <c r="T96" s="27"/>
      <c r="U96" s="28">
        <f t="shared" si="10"/>
        <v>0.38560471668579777</v>
      </c>
    </row>
    <row r="97" spans="2:21" x14ac:dyDescent="0.25">
      <c r="B97" s="6" t="s">
        <v>99</v>
      </c>
      <c r="C97" s="15">
        <v>2126.62</v>
      </c>
      <c r="D97" s="16">
        <v>37.405000000000001</v>
      </c>
      <c r="E97" s="16">
        <v>40.542999999999999</v>
      </c>
      <c r="F97" s="16">
        <v>41.097999999999999</v>
      </c>
      <c r="G97" s="16">
        <v>82.36</v>
      </c>
      <c r="H97" s="16">
        <f t="shared" si="8"/>
        <v>38.258875000000003</v>
      </c>
      <c r="I97" s="5"/>
      <c r="J97" s="15">
        <v>1502.7127</v>
      </c>
      <c r="K97" s="16">
        <v>36.952100000000002</v>
      </c>
      <c r="L97" s="16">
        <v>41.564500000000002</v>
      </c>
      <c r="M97" s="16">
        <v>42.107100000000003</v>
      </c>
      <c r="N97" s="16">
        <v>74.297300000000007</v>
      </c>
      <c r="O97" s="16">
        <f t="shared" si="9"/>
        <v>38.173025000000003</v>
      </c>
      <c r="P97" s="7"/>
      <c r="Q97" s="8">
        <f>bdrate(C97:C100,D97:D100,J97:J100,K97:K100)</f>
        <v>-0.31787931231477762</v>
      </c>
      <c r="R97" s="8">
        <f>bdrate(C97:C100,E97:E100,J97:J100,L97:L100)</f>
        <v>-0.47743432605431535</v>
      </c>
      <c r="S97" s="8">
        <f>bdrate(C97:C100,F97:F100,J97:J100,M97:M100)</f>
        <v>-0.47688216734744782</v>
      </c>
      <c r="T97" s="25">
        <f>bdrate(C97:C100,H97:H100,J97:J100,O97:O100)</f>
        <v>-0.34629502584801986</v>
      </c>
      <c r="U97" s="28">
        <f t="shared" si="10"/>
        <v>-9.7895823215152902E-2</v>
      </c>
    </row>
    <row r="98" spans="2:21" x14ac:dyDescent="0.25">
      <c r="B98" s="9"/>
      <c r="C98" s="17">
        <v>1419.73</v>
      </c>
      <c r="D98" s="18">
        <v>35.177999999999997</v>
      </c>
      <c r="E98" s="18">
        <v>39.091999999999999</v>
      </c>
      <c r="F98" s="18">
        <v>39.722000000000001</v>
      </c>
      <c r="G98" s="18">
        <v>88.15</v>
      </c>
      <c r="H98" s="18">
        <f t="shared" si="8"/>
        <v>36.235249999999994</v>
      </c>
      <c r="I98" s="5"/>
      <c r="J98" s="17">
        <v>1003.7981</v>
      </c>
      <c r="K98" s="18">
        <v>35.0578</v>
      </c>
      <c r="L98" s="18">
        <v>40.175400000000003</v>
      </c>
      <c r="M98" s="18">
        <v>40.767400000000002</v>
      </c>
      <c r="N98" s="18">
        <v>85.596100000000007</v>
      </c>
      <c r="O98" s="18">
        <f t="shared" si="9"/>
        <v>36.411200000000001</v>
      </c>
      <c r="P98" s="7"/>
      <c r="Q98" s="10"/>
      <c r="R98" s="11"/>
      <c r="S98" s="11"/>
      <c r="T98" s="26"/>
      <c r="U98" s="28">
        <f t="shared" si="10"/>
        <v>-2.8972206466250691E-2</v>
      </c>
    </row>
    <row r="99" spans="2:21" x14ac:dyDescent="0.25">
      <c r="B99" s="9"/>
      <c r="C99" s="17">
        <v>862.94</v>
      </c>
      <c r="D99" s="18">
        <v>32.503</v>
      </c>
      <c r="E99" s="18">
        <v>37.564</v>
      </c>
      <c r="F99" s="18">
        <v>38.268000000000001</v>
      </c>
      <c r="G99" s="18">
        <v>95.52</v>
      </c>
      <c r="H99" s="18">
        <f t="shared" si="8"/>
        <v>33.856250000000003</v>
      </c>
      <c r="I99" s="5"/>
      <c r="J99" s="17">
        <v>604.43010000000004</v>
      </c>
      <c r="K99" s="18">
        <v>32.672699999999999</v>
      </c>
      <c r="L99" s="18">
        <v>38.453400000000002</v>
      </c>
      <c r="M99" s="18">
        <v>39.1126</v>
      </c>
      <c r="N99" s="18">
        <v>101.7467</v>
      </c>
      <c r="O99" s="18">
        <f t="shared" si="9"/>
        <v>34.200274999999998</v>
      </c>
      <c r="P99" s="7"/>
      <c r="Q99" s="10"/>
      <c r="R99" s="11"/>
      <c r="S99" s="11"/>
      <c r="T99" s="26"/>
      <c r="U99" s="28">
        <f t="shared" si="10"/>
        <v>6.5187395309882837E-2</v>
      </c>
    </row>
    <row r="100" spans="2:21" ht="16.5" thickBot="1" x14ac:dyDescent="0.3">
      <c r="B100" s="12"/>
      <c r="C100" s="19">
        <v>405.67</v>
      </c>
      <c r="D100" s="20">
        <v>28.189</v>
      </c>
      <c r="E100" s="20">
        <v>35.561999999999998</v>
      </c>
      <c r="F100" s="20">
        <v>36.345999999999997</v>
      </c>
      <c r="G100" s="20">
        <v>106.35</v>
      </c>
      <c r="H100" s="20">
        <f t="shared" si="8"/>
        <v>30.130250000000004</v>
      </c>
      <c r="I100" s="5"/>
      <c r="J100" s="19">
        <v>298.91129999999998</v>
      </c>
      <c r="K100" s="20">
        <v>29.5654</v>
      </c>
      <c r="L100" s="20">
        <v>36.362699999999997</v>
      </c>
      <c r="M100" s="20">
        <v>37.097099999999998</v>
      </c>
      <c r="N100" s="20">
        <v>129.3475</v>
      </c>
      <c r="O100" s="20">
        <f t="shared" si="9"/>
        <v>31.356524999999998</v>
      </c>
      <c r="P100" s="7"/>
      <c r="Q100" s="13"/>
      <c r="R100" s="14"/>
      <c r="S100" s="14"/>
      <c r="T100" s="27"/>
      <c r="U100" s="28">
        <f t="shared" si="10"/>
        <v>0.21624353549600378</v>
      </c>
    </row>
    <row r="101" spans="2:21" x14ac:dyDescent="0.25">
      <c r="B101" s="6" t="s">
        <v>100</v>
      </c>
      <c r="C101" s="15">
        <v>2124.1999999999998</v>
      </c>
      <c r="D101" s="16">
        <v>37.667999999999999</v>
      </c>
      <c r="E101" s="16">
        <v>42.78</v>
      </c>
      <c r="F101" s="16">
        <v>44.375</v>
      </c>
      <c r="G101" s="16">
        <v>66.16</v>
      </c>
      <c r="H101" s="16">
        <f t="shared" si="8"/>
        <v>39.145375000000001</v>
      </c>
      <c r="I101" s="5"/>
      <c r="J101" s="15">
        <v>1506.7999</v>
      </c>
      <c r="K101" s="16">
        <v>37.188699999999997</v>
      </c>
      <c r="L101" s="16">
        <v>43.180500000000002</v>
      </c>
      <c r="M101" s="16">
        <v>44.625300000000003</v>
      </c>
      <c r="N101" s="16">
        <v>70.7881</v>
      </c>
      <c r="O101" s="16">
        <f t="shared" si="9"/>
        <v>38.867249999999999</v>
      </c>
      <c r="P101" s="7"/>
      <c r="Q101" s="8">
        <f>bdrate(C101:C104,D101:D104,J101:J104,K101:K104)</f>
        <v>-0.34073620329421228</v>
      </c>
      <c r="R101" s="8">
        <f>bdrate(C101:C104,E101:E104,J101:J104,L101:L104)</f>
        <v>-0.48362543621061982</v>
      </c>
      <c r="S101" s="8">
        <f>bdrate(C101:C104,F101:F104,J101:J104,M101:M104)</f>
        <v>-0.42123233272572413</v>
      </c>
      <c r="T101" s="25">
        <f>bdrate(C101:C104,H101:H104,J101:J104,O101:O104)</f>
        <v>-0.36166231896317202</v>
      </c>
      <c r="U101" s="28">
        <f t="shared" si="10"/>
        <v>6.9953143893591349E-2</v>
      </c>
    </row>
    <row r="102" spans="2:21" x14ac:dyDescent="0.25">
      <c r="B102" s="9"/>
      <c r="C102" s="17">
        <v>1417.75</v>
      </c>
      <c r="D102" s="18">
        <v>35.85</v>
      </c>
      <c r="E102" s="18">
        <v>41.552</v>
      </c>
      <c r="F102" s="18">
        <v>43.128999999999998</v>
      </c>
      <c r="G102" s="18">
        <v>72.16</v>
      </c>
      <c r="H102" s="18">
        <f t="shared" si="8"/>
        <v>37.472625000000008</v>
      </c>
      <c r="I102" s="5"/>
      <c r="J102" s="17">
        <v>1007.7996000000001</v>
      </c>
      <c r="K102" s="18">
        <v>35.789000000000001</v>
      </c>
      <c r="L102" s="18">
        <v>42.189</v>
      </c>
      <c r="M102" s="18">
        <v>43.497999999999998</v>
      </c>
      <c r="N102" s="18">
        <v>82.004599999999996</v>
      </c>
      <c r="O102" s="18">
        <f t="shared" si="9"/>
        <v>37.552624999999999</v>
      </c>
      <c r="P102" s="7"/>
      <c r="Q102" s="10"/>
      <c r="R102" s="11"/>
      <c r="S102" s="11"/>
      <c r="T102" s="26"/>
      <c r="U102" s="28">
        <f t="shared" si="10"/>
        <v>0.13642738359201775</v>
      </c>
    </row>
    <row r="103" spans="2:21" x14ac:dyDescent="0.25">
      <c r="B103" s="9"/>
      <c r="C103" s="17">
        <v>862.15</v>
      </c>
      <c r="D103" s="18">
        <v>33.738</v>
      </c>
      <c r="E103" s="18">
        <v>40.176000000000002</v>
      </c>
      <c r="F103" s="18">
        <v>41.584000000000003</v>
      </c>
      <c r="G103" s="18">
        <v>80.8</v>
      </c>
      <c r="H103" s="18">
        <f t="shared" si="8"/>
        <v>35.523499999999999</v>
      </c>
      <c r="I103" s="5"/>
      <c r="J103" s="17">
        <v>604.84069999999997</v>
      </c>
      <c r="K103" s="18">
        <v>34.133000000000003</v>
      </c>
      <c r="L103" s="18">
        <v>41.045200000000001</v>
      </c>
      <c r="M103" s="18">
        <v>42.223500000000001</v>
      </c>
      <c r="N103" s="18">
        <v>98.787099999999995</v>
      </c>
      <c r="O103" s="18">
        <f t="shared" si="9"/>
        <v>36.008337499999996</v>
      </c>
      <c r="P103" s="7"/>
      <c r="Q103" s="10"/>
      <c r="R103" s="11"/>
      <c r="S103" s="11"/>
      <c r="T103" s="26"/>
      <c r="U103" s="28">
        <f t="shared" si="10"/>
        <v>0.22261262376237623</v>
      </c>
    </row>
    <row r="104" spans="2:21" ht="16.5" thickBot="1" x14ac:dyDescent="0.3">
      <c r="B104" s="12"/>
      <c r="C104" s="19">
        <v>408.06</v>
      </c>
      <c r="D104" s="20">
        <v>30.988</v>
      </c>
      <c r="E104" s="20">
        <v>38.468000000000004</v>
      </c>
      <c r="F104" s="20">
        <v>39.537999999999997</v>
      </c>
      <c r="G104" s="20">
        <v>94.12</v>
      </c>
      <c r="H104" s="20">
        <f t="shared" si="8"/>
        <v>32.991750000000003</v>
      </c>
      <c r="I104" s="5"/>
      <c r="J104" s="19">
        <v>302.68529999999998</v>
      </c>
      <c r="K104" s="20">
        <v>32.0916</v>
      </c>
      <c r="L104" s="20">
        <v>39.644199999999998</v>
      </c>
      <c r="M104" s="20">
        <v>40.593699999999998</v>
      </c>
      <c r="N104" s="20">
        <v>127.2085</v>
      </c>
      <c r="O104" s="20">
        <f t="shared" si="9"/>
        <v>34.098437500000003</v>
      </c>
      <c r="P104" s="7"/>
      <c r="Q104" s="13"/>
      <c r="R104" s="14"/>
      <c r="S104" s="14"/>
      <c r="T104" s="27"/>
      <c r="U104" s="28">
        <f t="shared" si="10"/>
        <v>0.35155652358691025</v>
      </c>
    </row>
    <row r="105" spans="2:21" x14ac:dyDescent="0.25">
      <c r="B105" s="6" t="s">
        <v>101</v>
      </c>
      <c r="C105" s="15">
        <v>2223.17</v>
      </c>
      <c r="D105" s="16">
        <v>47.793999999999997</v>
      </c>
      <c r="E105" s="16">
        <v>52.143999999999998</v>
      </c>
      <c r="F105" s="16">
        <v>53.389000000000003</v>
      </c>
      <c r="G105" s="16">
        <v>71.23</v>
      </c>
      <c r="H105" s="16">
        <f t="shared" si="8"/>
        <v>49.037125000000003</v>
      </c>
      <c r="I105" s="5"/>
      <c r="J105" s="15">
        <v>1499.3635999999999</v>
      </c>
      <c r="K105" s="16">
        <v>47.389499999999998</v>
      </c>
      <c r="L105" s="16">
        <v>53.001100000000001</v>
      </c>
      <c r="M105" s="16">
        <v>54.354799999999997</v>
      </c>
      <c r="N105" s="16">
        <v>87.897599999999997</v>
      </c>
      <c r="O105" s="16">
        <f t="shared" si="9"/>
        <v>48.961612500000001</v>
      </c>
      <c r="P105" s="7"/>
      <c r="Q105" s="8">
        <f>bdrate(C105:C108,D105:D108,J105:J108,K105:K108)</f>
        <v>-0.35484096488965455</v>
      </c>
      <c r="R105" s="8">
        <f>bdrate(C105:C108,E105:E108,J105:J108,L105:L108)</f>
        <v>-0.52930252690837087</v>
      </c>
      <c r="S105" s="8">
        <f>bdrate(C105:C108,F105:F108,J105:J108,M105:M108)</f>
        <v>-0.53204894968018124</v>
      </c>
      <c r="T105" s="25">
        <f>bdrate(C105:C108,H105:H108,J105:J108,O105:O108)</f>
        <v>-0.40099274233682969</v>
      </c>
      <c r="U105" s="28">
        <f t="shared" si="10"/>
        <v>0.23399691141373005</v>
      </c>
    </row>
    <row r="106" spans="2:21" x14ac:dyDescent="0.25">
      <c r="B106" s="9"/>
      <c r="C106" s="17">
        <v>1476.7</v>
      </c>
      <c r="D106" s="18">
        <v>45.427</v>
      </c>
      <c r="E106" s="18">
        <v>49.957000000000001</v>
      </c>
      <c r="F106" s="18">
        <v>51.313000000000002</v>
      </c>
      <c r="G106" s="18">
        <v>80.930000000000007</v>
      </c>
      <c r="H106" s="18">
        <f t="shared" si="8"/>
        <v>46.728999999999999</v>
      </c>
      <c r="I106" s="5"/>
      <c r="J106" s="17">
        <v>1001.5828</v>
      </c>
      <c r="K106" s="18">
        <v>45.580800000000004</v>
      </c>
      <c r="L106" s="18">
        <v>51.417000000000002</v>
      </c>
      <c r="M106" s="18">
        <v>52.7879</v>
      </c>
      <c r="N106" s="18">
        <v>103.4265</v>
      </c>
      <c r="O106" s="18">
        <f t="shared" si="9"/>
        <v>47.211212499999995</v>
      </c>
      <c r="P106" s="7"/>
      <c r="Q106" s="10"/>
      <c r="R106" s="11"/>
      <c r="S106" s="11"/>
      <c r="T106" s="26"/>
      <c r="U106" s="28">
        <f t="shared" si="10"/>
        <v>0.27797479303101441</v>
      </c>
    </row>
    <row r="107" spans="2:21" x14ac:dyDescent="0.25">
      <c r="B107" s="9"/>
      <c r="C107" s="17">
        <v>892.83</v>
      </c>
      <c r="D107" s="18">
        <v>42.79</v>
      </c>
      <c r="E107" s="18">
        <v>47.551000000000002</v>
      </c>
      <c r="F107" s="18">
        <v>48.948</v>
      </c>
      <c r="G107" s="18">
        <v>91.82</v>
      </c>
      <c r="H107" s="18">
        <f t="shared" si="8"/>
        <v>44.154874999999997</v>
      </c>
      <c r="I107" s="5"/>
      <c r="J107" s="17">
        <v>603.18269999999995</v>
      </c>
      <c r="K107" s="18">
        <v>43.337299999999999</v>
      </c>
      <c r="L107" s="18">
        <v>49.357399999999998</v>
      </c>
      <c r="M107" s="18">
        <v>50.732100000000003</v>
      </c>
      <c r="N107" s="18">
        <v>125.4795</v>
      </c>
      <c r="O107" s="18">
        <f t="shared" si="9"/>
        <v>45.014162499999998</v>
      </c>
      <c r="P107" s="7"/>
      <c r="Q107" s="10"/>
      <c r="R107" s="11"/>
      <c r="S107" s="11"/>
      <c r="T107" s="26"/>
      <c r="U107" s="28">
        <f t="shared" si="10"/>
        <v>0.36658135482465704</v>
      </c>
    </row>
    <row r="108" spans="2:21" ht="16.5" thickBot="1" x14ac:dyDescent="0.3">
      <c r="B108" s="12"/>
      <c r="C108" s="19">
        <v>426.13</v>
      </c>
      <c r="D108" s="20">
        <v>40.213000000000001</v>
      </c>
      <c r="E108" s="20">
        <v>44.744999999999997</v>
      </c>
      <c r="F108" s="20">
        <v>46.136000000000003</v>
      </c>
      <c r="G108" s="20">
        <v>102.23</v>
      </c>
      <c r="H108" s="20">
        <f t="shared" si="8"/>
        <v>41.519875000000006</v>
      </c>
      <c r="I108" s="5"/>
      <c r="J108" s="19">
        <v>302.9332</v>
      </c>
      <c r="K108" s="20">
        <v>40.121600000000001</v>
      </c>
      <c r="L108" s="20">
        <v>46.318199999999997</v>
      </c>
      <c r="M108" s="20">
        <v>47.703499999999998</v>
      </c>
      <c r="N108" s="20">
        <v>157.32400000000001</v>
      </c>
      <c r="O108" s="20">
        <f t="shared" si="9"/>
        <v>41.843912500000002</v>
      </c>
      <c r="P108" s="7"/>
      <c r="Q108" s="13"/>
      <c r="R108" s="14"/>
      <c r="S108" s="14"/>
      <c r="T108" s="27"/>
      <c r="U108" s="28">
        <f t="shared" si="10"/>
        <v>0.53892203854054588</v>
      </c>
    </row>
    <row r="109" spans="2:21" x14ac:dyDescent="0.25">
      <c r="B109" s="6" t="s">
        <v>102</v>
      </c>
      <c r="C109" s="15">
        <v>2043.49</v>
      </c>
      <c r="D109" s="16">
        <v>31.535</v>
      </c>
      <c r="E109" s="16">
        <v>39.808999999999997</v>
      </c>
      <c r="F109" s="16">
        <v>39.168999999999997</v>
      </c>
      <c r="G109" s="16">
        <v>59.63</v>
      </c>
      <c r="H109" s="16">
        <f t="shared" si="8"/>
        <v>33.523499999999999</v>
      </c>
      <c r="I109" s="5"/>
      <c r="J109" s="15">
        <v>1496.1239</v>
      </c>
      <c r="K109" s="16">
        <v>31.974599999999999</v>
      </c>
      <c r="L109" s="16">
        <v>40.315300000000001</v>
      </c>
      <c r="M109" s="16">
        <v>39.712699999999998</v>
      </c>
      <c r="N109" s="16">
        <v>53.270200000000003</v>
      </c>
      <c r="O109" s="16">
        <f t="shared" si="9"/>
        <v>33.984450000000002</v>
      </c>
      <c r="P109" s="7"/>
      <c r="Q109" s="8">
        <f>bdrate(C109:C112,D109:D112,J109:J112,K109:K112)</f>
        <v>-0.43447288681827856</v>
      </c>
      <c r="R109" s="8">
        <f>bdrate(C109:C112,E109:E112,J109:J112,L109:L112)</f>
        <v>-0.38376863449329757</v>
      </c>
      <c r="S109" s="8">
        <f>bdrate(C109:C112,F109:F112,J109:J112,M109:M112)</f>
        <v>-0.3769959377234634</v>
      </c>
      <c r="T109" s="25">
        <f>bdrate(C109:C112,H109:H112,J109:J112,O109:O112)</f>
        <v>-0.42877371202570536</v>
      </c>
      <c r="U109" s="28">
        <f t="shared" si="10"/>
        <v>-0.10665436860640616</v>
      </c>
    </row>
    <row r="110" spans="2:21" x14ac:dyDescent="0.25">
      <c r="B110" s="9"/>
      <c r="C110" s="17">
        <v>1361.61</v>
      </c>
      <c r="D110" s="18">
        <v>29.413</v>
      </c>
      <c r="E110" s="18">
        <v>38.798999999999999</v>
      </c>
      <c r="F110" s="18">
        <v>38.201999999999998</v>
      </c>
      <c r="G110" s="18">
        <v>64.930000000000007</v>
      </c>
      <c r="H110" s="18">
        <f t="shared" si="8"/>
        <v>31.684875000000002</v>
      </c>
      <c r="I110" s="5"/>
      <c r="J110" s="17">
        <v>996.12909999999999</v>
      </c>
      <c r="K110" s="18">
        <v>30.223400000000002</v>
      </c>
      <c r="L110" s="18">
        <v>39.313699999999997</v>
      </c>
      <c r="M110" s="18">
        <v>38.685600000000001</v>
      </c>
      <c r="N110" s="18">
        <v>63.572800000000001</v>
      </c>
      <c r="O110" s="18">
        <f t="shared" si="9"/>
        <v>32.417462500000006</v>
      </c>
      <c r="P110" s="7"/>
      <c r="Q110" s="10"/>
      <c r="R110" s="11"/>
      <c r="S110" s="11"/>
      <c r="T110" s="26"/>
      <c r="U110" s="28">
        <f t="shared" si="10"/>
        <v>-2.0902510395810963E-2</v>
      </c>
    </row>
    <row r="111" spans="2:21" x14ac:dyDescent="0.25">
      <c r="B111" s="9"/>
      <c r="C111" s="17">
        <v>827.24</v>
      </c>
      <c r="D111" s="18">
        <v>26.626000000000001</v>
      </c>
      <c r="E111" s="18">
        <v>37.652999999999999</v>
      </c>
      <c r="F111" s="18">
        <v>37.011000000000003</v>
      </c>
      <c r="G111" s="18">
        <v>71.98</v>
      </c>
      <c r="H111" s="18">
        <f t="shared" si="8"/>
        <v>29.302499999999998</v>
      </c>
      <c r="I111" s="5"/>
      <c r="J111" s="17">
        <v>598.29729999999995</v>
      </c>
      <c r="K111" s="18">
        <v>28.049600000000002</v>
      </c>
      <c r="L111" s="18">
        <v>37.989800000000002</v>
      </c>
      <c r="M111" s="18">
        <v>37.296100000000003</v>
      </c>
      <c r="N111" s="18">
        <v>80.238900000000001</v>
      </c>
      <c r="O111" s="18">
        <f t="shared" si="9"/>
        <v>30.447937500000002</v>
      </c>
      <c r="P111" s="7"/>
      <c r="Q111" s="10"/>
      <c r="R111" s="11"/>
      <c r="S111" s="11"/>
      <c r="T111" s="26"/>
      <c r="U111" s="28">
        <f t="shared" si="10"/>
        <v>0.11473881633787159</v>
      </c>
    </row>
    <row r="112" spans="2:21" ht="16.5" thickBot="1" x14ac:dyDescent="0.3">
      <c r="B112" s="12"/>
      <c r="C112" s="19">
        <v>385.67</v>
      </c>
      <c r="D112" s="20">
        <v>21.977</v>
      </c>
      <c r="E112" s="20">
        <v>33.756999999999998</v>
      </c>
      <c r="F112" s="20">
        <v>33.162999999999997</v>
      </c>
      <c r="G112" s="20">
        <v>83.86</v>
      </c>
      <c r="H112" s="20">
        <f t="shared" si="8"/>
        <v>24.847749999999998</v>
      </c>
      <c r="I112" s="5"/>
      <c r="J112" s="19">
        <v>299.09199999999998</v>
      </c>
      <c r="K112" s="20">
        <v>25.2942</v>
      </c>
      <c r="L112" s="20">
        <v>35.707799999999999</v>
      </c>
      <c r="M112" s="20">
        <v>35.117400000000004</v>
      </c>
      <c r="N112" s="20">
        <v>108.3424</v>
      </c>
      <c r="O112" s="20">
        <f t="shared" si="9"/>
        <v>27.823799999999999</v>
      </c>
      <c r="P112" s="7"/>
      <c r="Q112" s="13"/>
      <c r="R112" s="14"/>
      <c r="S112" s="14"/>
      <c r="T112" s="27"/>
      <c r="U112" s="28">
        <f t="shared" si="10"/>
        <v>0.2919437157166706</v>
      </c>
    </row>
    <row r="113" spans="2:21" x14ac:dyDescent="0.25">
      <c r="B113" s="6" t="s">
        <v>103</v>
      </c>
      <c r="C113" s="15">
        <v>2346.8000000000002</v>
      </c>
      <c r="D113" s="16">
        <v>46.210999999999999</v>
      </c>
      <c r="E113" s="16">
        <v>46.671999999999997</v>
      </c>
      <c r="F113" s="16">
        <v>46.392000000000003</v>
      </c>
      <c r="G113" s="16">
        <v>89.17</v>
      </c>
      <c r="H113" s="16">
        <f t="shared" si="8"/>
        <v>46.291249999999998</v>
      </c>
      <c r="I113" s="5"/>
      <c r="J113" s="15">
        <v>1403.1137000000001</v>
      </c>
      <c r="K113" s="16">
        <v>44.934100000000001</v>
      </c>
      <c r="L113" s="16">
        <v>46.1387</v>
      </c>
      <c r="M113" s="16">
        <v>46.026600000000002</v>
      </c>
      <c r="N113" s="16">
        <v>76.514300000000006</v>
      </c>
      <c r="O113" s="16">
        <f t="shared" si="9"/>
        <v>45.221237500000001</v>
      </c>
      <c r="P113" s="7"/>
      <c r="Q113" s="8">
        <f>bdrate(C113:C116,D113:D116,J113:J116,K113:K116)</f>
        <v>-0.30692757905692425</v>
      </c>
      <c r="R113" s="8">
        <f>bdrate(C113:C116,E113:E116,J113:J116,L113:L116)</f>
        <v>-0.36042877339480184</v>
      </c>
      <c r="S113" s="8">
        <f>bdrate(C113:C116,F113:F116,J113:J116,M113:M116)</f>
        <v>-0.38359427723087924</v>
      </c>
      <c r="T113" s="25">
        <f>bdrate(C113:C116,H113:H116,J113:J116,O113:O116)</f>
        <v>-0.32092388417333029</v>
      </c>
      <c r="U113" s="28">
        <f t="shared" si="10"/>
        <v>-0.14192777840080739</v>
      </c>
    </row>
    <row r="114" spans="2:21" x14ac:dyDescent="0.25">
      <c r="B114" s="9"/>
      <c r="C114" s="17">
        <v>1559.29</v>
      </c>
      <c r="D114" s="18">
        <v>43.935000000000002</v>
      </c>
      <c r="E114" s="18">
        <v>44.67</v>
      </c>
      <c r="F114" s="18">
        <v>44.341999999999999</v>
      </c>
      <c r="G114" s="18">
        <v>96.56</v>
      </c>
      <c r="H114" s="18">
        <f t="shared" si="8"/>
        <v>44.077750000000002</v>
      </c>
      <c r="I114" s="5"/>
      <c r="J114" s="17">
        <v>953.97749999999996</v>
      </c>
      <c r="K114" s="18">
        <v>43.059199999999997</v>
      </c>
      <c r="L114" s="18">
        <v>44.554099999999998</v>
      </c>
      <c r="M114" s="18">
        <v>44.394199999999998</v>
      </c>
      <c r="N114" s="18">
        <v>96.236099999999993</v>
      </c>
      <c r="O114" s="18">
        <f t="shared" si="9"/>
        <v>43.412937499999998</v>
      </c>
      <c r="P114" s="7"/>
      <c r="Q114" s="10"/>
      <c r="R114" s="11"/>
      <c r="S114" s="11"/>
      <c r="T114" s="26"/>
      <c r="U114" s="28">
        <f t="shared" si="10"/>
        <v>-3.3543910521956189E-3</v>
      </c>
    </row>
    <row r="115" spans="2:21" x14ac:dyDescent="0.25">
      <c r="B115" s="9"/>
      <c r="C115" s="17">
        <v>942.12</v>
      </c>
      <c r="D115" s="18">
        <v>40.814</v>
      </c>
      <c r="E115" s="18">
        <v>42.158999999999999</v>
      </c>
      <c r="F115" s="18">
        <v>41.756999999999998</v>
      </c>
      <c r="G115" s="18">
        <v>104.8</v>
      </c>
      <c r="H115" s="18">
        <f t="shared" si="8"/>
        <v>41.1</v>
      </c>
      <c r="I115" s="5"/>
      <c r="J115" s="17">
        <v>585.13329999999996</v>
      </c>
      <c r="K115" s="18">
        <v>40.0608</v>
      </c>
      <c r="L115" s="18">
        <v>42.039200000000001</v>
      </c>
      <c r="M115" s="18">
        <v>41.853700000000003</v>
      </c>
      <c r="N115" s="18">
        <v>117.9786</v>
      </c>
      <c r="O115" s="18">
        <f t="shared" si="9"/>
        <v>40.5322125</v>
      </c>
      <c r="P115" s="7"/>
      <c r="Q115" s="10"/>
      <c r="R115" s="11"/>
      <c r="S115" s="11"/>
      <c r="T115" s="26"/>
      <c r="U115" s="28">
        <f t="shared" si="10"/>
        <v>0.12575000000000003</v>
      </c>
    </row>
    <row r="116" spans="2:21" ht="16.5" thickBot="1" x14ac:dyDescent="0.3">
      <c r="B116" s="12"/>
      <c r="C116" s="19">
        <v>438.43</v>
      </c>
      <c r="D116" s="20">
        <v>35.188000000000002</v>
      </c>
      <c r="E116" s="20">
        <v>38.392000000000003</v>
      </c>
      <c r="F116" s="20">
        <v>37.993000000000002</v>
      </c>
      <c r="G116" s="20">
        <v>116.2</v>
      </c>
      <c r="H116" s="20">
        <f t="shared" si="8"/>
        <v>35.939125000000004</v>
      </c>
      <c r="I116" s="5"/>
      <c r="J116" s="19">
        <v>298.36720000000003</v>
      </c>
      <c r="K116" s="20">
        <v>35.584299999999999</v>
      </c>
      <c r="L116" s="20">
        <v>38.554499999999997</v>
      </c>
      <c r="M116" s="20">
        <v>38.272799999999997</v>
      </c>
      <c r="N116" s="20">
        <v>148.5026</v>
      </c>
      <c r="O116" s="20">
        <f t="shared" si="9"/>
        <v>36.2916375</v>
      </c>
      <c r="P116" s="7"/>
      <c r="Q116" s="13"/>
      <c r="R116" s="14"/>
      <c r="S116" s="14"/>
      <c r="T116" s="27"/>
      <c r="U116" s="28">
        <f t="shared" si="10"/>
        <v>0.27799139414802065</v>
      </c>
    </row>
    <row r="117" spans="2:21" x14ac:dyDescent="0.25">
      <c r="B117" s="6" t="s">
        <v>104</v>
      </c>
      <c r="C117" s="15">
        <v>2762.71</v>
      </c>
      <c r="D117" s="16">
        <v>47.213999999999999</v>
      </c>
      <c r="E117" s="16">
        <v>48.593000000000004</v>
      </c>
      <c r="F117" s="16">
        <v>48.819000000000003</v>
      </c>
      <c r="G117" s="16">
        <v>95.05</v>
      </c>
      <c r="H117" s="16">
        <f t="shared" si="8"/>
        <v>47.587000000000003</v>
      </c>
      <c r="I117" s="5"/>
      <c r="J117" s="15">
        <v>1355.6251</v>
      </c>
      <c r="K117" s="16">
        <v>45.491300000000003</v>
      </c>
      <c r="L117" s="16">
        <v>47.807000000000002</v>
      </c>
      <c r="M117" s="16">
        <v>48.050699999999999</v>
      </c>
      <c r="N117" s="16">
        <v>74.202299999999994</v>
      </c>
      <c r="O117" s="16">
        <f t="shared" si="9"/>
        <v>46.100687500000006</v>
      </c>
      <c r="P117" s="7"/>
      <c r="Q117" s="8">
        <f>bdrate(C117:C120,D117:D120,J117:J120,K117:K120)</f>
        <v>-0.38211021583919469</v>
      </c>
      <c r="R117" s="8">
        <f>bdrate(C117:C120,E117:E120,J117:J120,L117:L120)</f>
        <v>-0.43803088946831759</v>
      </c>
      <c r="S117" s="8">
        <f>bdrate(C117:C120,F117:F120,J117:J120,M117:M120)</f>
        <v>-0.44195606944893795</v>
      </c>
      <c r="T117" s="25">
        <f>bdrate(C117:C120,H117:H120,J117:J120,O117:O120)</f>
        <v>-0.39508003151461091</v>
      </c>
      <c r="U117" s="28">
        <f t="shared" si="10"/>
        <v>-0.21933403471856922</v>
      </c>
    </row>
    <row r="118" spans="2:21" x14ac:dyDescent="0.25">
      <c r="B118" s="9"/>
      <c r="C118" s="17">
        <v>1827.18</v>
      </c>
      <c r="D118" s="18">
        <v>44.530999999999999</v>
      </c>
      <c r="E118" s="18">
        <v>46.274999999999999</v>
      </c>
      <c r="F118" s="18">
        <v>46.517000000000003</v>
      </c>
      <c r="G118" s="18">
        <v>104.71</v>
      </c>
      <c r="H118" s="18">
        <f t="shared" si="8"/>
        <v>44.997249999999994</v>
      </c>
      <c r="I118" s="5"/>
      <c r="J118" s="17">
        <v>944.79769999999996</v>
      </c>
      <c r="K118" s="18">
        <v>43.870699999999999</v>
      </c>
      <c r="L118" s="18">
        <v>46.406399999999998</v>
      </c>
      <c r="M118" s="18">
        <v>46.650599999999997</v>
      </c>
      <c r="N118" s="18">
        <v>81.374300000000005</v>
      </c>
      <c r="O118" s="18">
        <f t="shared" si="9"/>
        <v>44.535150000000002</v>
      </c>
      <c r="P118" s="7"/>
      <c r="Q118" s="10"/>
      <c r="R118" s="11"/>
      <c r="S118" s="11"/>
      <c r="T118" s="26"/>
      <c r="U118" s="28">
        <f t="shared" si="10"/>
        <v>-0.22286028077547504</v>
      </c>
    </row>
    <row r="119" spans="2:21" x14ac:dyDescent="0.25">
      <c r="B119" s="9"/>
      <c r="C119" s="17">
        <v>1095.53</v>
      </c>
      <c r="D119" s="18">
        <v>41.71</v>
      </c>
      <c r="E119" s="18">
        <v>43.96</v>
      </c>
      <c r="F119" s="18">
        <v>44.18</v>
      </c>
      <c r="G119" s="18">
        <v>115.04</v>
      </c>
      <c r="H119" s="18">
        <f t="shared" si="8"/>
        <v>42.3</v>
      </c>
      <c r="I119" s="5"/>
      <c r="J119" s="17">
        <v>622.52329999999995</v>
      </c>
      <c r="K119" s="18">
        <v>41.222200000000001</v>
      </c>
      <c r="L119" s="18">
        <v>44.002200000000002</v>
      </c>
      <c r="M119" s="18">
        <v>44.274500000000003</v>
      </c>
      <c r="N119" s="18">
        <v>93.206299999999999</v>
      </c>
      <c r="O119" s="18">
        <f t="shared" si="9"/>
        <v>41.951237499999998</v>
      </c>
      <c r="P119" s="7"/>
      <c r="Q119" s="10"/>
      <c r="R119" s="11"/>
      <c r="S119" s="11"/>
      <c r="T119" s="26"/>
      <c r="U119" s="28">
        <f t="shared" si="10"/>
        <v>-0.18979224617524346</v>
      </c>
    </row>
    <row r="120" spans="2:21" ht="16.5" thickBot="1" x14ac:dyDescent="0.3">
      <c r="B120" s="12"/>
      <c r="C120" s="19">
        <v>510.21</v>
      </c>
      <c r="D120" s="20">
        <v>37.119</v>
      </c>
      <c r="E120" s="20">
        <v>40.329000000000001</v>
      </c>
      <c r="F120" s="20">
        <v>40.58</v>
      </c>
      <c r="G120" s="20">
        <v>129.5</v>
      </c>
      <c r="H120" s="20">
        <f t="shared" si="8"/>
        <v>37.952874999999999</v>
      </c>
      <c r="I120" s="5"/>
      <c r="J120" s="19">
        <v>339.50790000000001</v>
      </c>
      <c r="K120" s="20">
        <v>37.178699999999999</v>
      </c>
      <c r="L120" s="20">
        <v>40.481200000000001</v>
      </c>
      <c r="M120" s="20">
        <v>40.761699999999998</v>
      </c>
      <c r="N120" s="20">
        <v>145.87889999999999</v>
      </c>
      <c r="O120" s="20">
        <f t="shared" si="9"/>
        <v>38.039387500000004</v>
      </c>
      <c r="P120" s="7"/>
      <c r="Q120" s="13"/>
      <c r="R120" s="14"/>
      <c r="S120" s="14"/>
      <c r="T120" s="27"/>
      <c r="U120" s="28">
        <f t="shared" si="10"/>
        <v>0.12647799227799217</v>
      </c>
    </row>
    <row r="121" spans="2:21" x14ac:dyDescent="0.25">
      <c r="B121" s="6" t="s">
        <v>105</v>
      </c>
      <c r="C121" s="29">
        <v>2132.0700000000002</v>
      </c>
      <c r="D121" s="30">
        <v>32.912999999999997</v>
      </c>
      <c r="E121" s="30">
        <v>36.475999999999999</v>
      </c>
      <c r="F121" s="30">
        <v>35.470999999999997</v>
      </c>
      <c r="G121" s="16">
        <v>73.78</v>
      </c>
      <c r="H121" s="16">
        <f t="shared" si="8"/>
        <v>33.678124999999994</v>
      </c>
      <c r="I121" s="5"/>
      <c r="J121" s="29">
        <v>1504.7097000000001</v>
      </c>
      <c r="K121" s="30">
        <v>32.347299999999997</v>
      </c>
      <c r="L121" s="30">
        <v>36.641100000000002</v>
      </c>
      <c r="M121" s="30">
        <v>35.537399999999998</v>
      </c>
      <c r="N121" s="16">
        <v>64.317899999999995</v>
      </c>
      <c r="O121" s="16">
        <f t="shared" si="9"/>
        <v>33.282787499999998</v>
      </c>
      <c r="P121" s="7"/>
      <c r="Q121" s="8">
        <f>bdrate(C121:C124,D121:D124,J121:J124,K121:K124)</f>
        <v>-0.33278581140165264</v>
      </c>
      <c r="R121" s="8">
        <f>bdrate(C121:C124,E121:E124,J121:J124,L121:L124)</f>
        <v>-0.32851885689451643</v>
      </c>
      <c r="S121" s="8">
        <f>bdrate(C121:C124,F121:F124,J121:J124,M121:M124)</f>
        <v>-0.29305162041756239</v>
      </c>
      <c r="T121" s="25">
        <f>bdrate(C121:C124,H121:H124,J121:J124,O121:O124)</f>
        <v>-0.33091827024119591</v>
      </c>
      <c r="U121" s="28">
        <f t="shared" si="10"/>
        <v>-0.12824749254540535</v>
      </c>
    </row>
    <row r="122" spans="2:21" x14ac:dyDescent="0.25">
      <c r="B122" s="9"/>
      <c r="C122" s="31">
        <v>1414.68</v>
      </c>
      <c r="D122" s="32">
        <v>30.687000000000001</v>
      </c>
      <c r="E122" s="32">
        <v>35.375</v>
      </c>
      <c r="F122" s="32">
        <v>34.317</v>
      </c>
      <c r="G122" s="18">
        <v>79.63</v>
      </c>
      <c r="H122" s="18">
        <f t="shared" si="8"/>
        <v>31.726750000000003</v>
      </c>
      <c r="I122" s="5"/>
      <c r="J122" s="31">
        <v>1002.8028</v>
      </c>
      <c r="K122" s="32">
        <v>30.457699999999999</v>
      </c>
      <c r="L122" s="32">
        <v>35.551499999999997</v>
      </c>
      <c r="M122" s="32">
        <v>34.405000000000001</v>
      </c>
      <c r="N122" s="18">
        <v>75.4148</v>
      </c>
      <c r="O122" s="18">
        <f t="shared" si="9"/>
        <v>31.587837499999999</v>
      </c>
      <c r="P122" s="7"/>
      <c r="Q122" s="10"/>
      <c r="R122" s="11"/>
      <c r="S122" s="11"/>
      <c r="T122" s="26"/>
      <c r="U122" s="28">
        <f t="shared" si="10"/>
        <v>-5.2934823558960141E-2</v>
      </c>
    </row>
    <row r="123" spans="2:21" x14ac:dyDescent="0.25">
      <c r="B123" s="9"/>
      <c r="C123" s="31">
        <v>848.56</v>
      </c>
      <c r="D123" s="32">
        <v>27.866</v>
      </c>
      <c r="E123" s="32">
        <v>34.296999999999997</v>
      </c>
      <c r="F123" s="32">
        <v>33.213999999999999</v>
      </c>
      <c r="G123" s="18">
        <v>87.68</v>
      </c>
      <c r="H123" s="18">
        <f t="shared" si="8"/>
        <v>29.338374999999999</v>
      </c>
      <c r="I123" s="5"/>
      <c r="J123" s="31">
        <v>603.75559999999996</v>
      </c>
      <c r="K123" s="32">
        <v>28.366800000000001</v>
      </c>
      <c r="L123" s="32">
        <v>34.352400000000003</v>
      </c>
      <c r="M123" s="32">
        <v>33.118299999999998</v>
      </c>
      <c r="N123" s="18">
        <v>94.577600000000004</v>
      </c>
      <c r="O123" s="18">
        <f t="shared" si="9"/>
        <v>29.708937500000001</v>
      </c>
      <c r="P123" s="7"/>
      <c r="Q123" s="10"/>
      <c r="R123" s="11"/>
      <c r="S123" s="11"/>
      <c r="T123" s="26"/>
      <c r="U123" s="28">
        <f t="shared" si="10"/>
        <v>7.8667883211678793E-2</v>
      </c>
    </row>
    <row r="124" spans="2:21" ht="16.5" thickBot="1" x14ac:dyDescent="0.3">
      <c r="B124" s="12"/>
      <c r="C124" s="33">
        <v>380.16</v>
      </c>
      <c r="D124" s="34">
        <v>23.248999999999999</v>
      </c>
      <c r="E124" s="34">
        <v>31.652000000000001</v>
      </c>
      <c r="F124" s="34">
        <v>30.445</v>
      </c>
      <c r="G124" s="20">
        <v>100.42</v>
      </c>
      <c r="H124" s="20">
        <f t="shared" si="8"/>
        <v>25.198875000000001</v>
      </c>
      <c r="I124" s="5"/>
      <c r="J124" s="33">
        <v>303.1696</v>
      </c>
      <c r="K124" s="34">
        <v>25.8187</v>
      </c>
      <c r="L124" s="34">
        <v>32.5794</v>
      </c>
      <c r="M124" s="34">
        <v>31.2178</v>
      </c>
      <c r="N124" s="20">
        <v>126.65349999999999</v>
      </c>
      <c r="O124" s="20">
        <f t="shared" si="9"/>
        <v>27.338674999999999</v>
      </c>
      <c r="P124" s="7"/>
      <c r="Q124" s="13"/>
      <c r="R124" s="14"/>
      <c r="S124" s="14"/>
      <c r="T124" s="27"/>
      <c r="U124" s="28">
        <f t="shared" si="10"/>
        <v>0.26123780123481372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-0.4019501109787858</v>
      </c>
      <c r="R125" s="21">
        <f>AVERAGE(R9:R124)</f>
        <v>-0.49357950364211706</v>
      </c>
      <c r="S125" s="21">
        <f>AVERAGE(S9:S124)</f>
        <v>-0.49392975925118304</v>
      </c>
      <c r="T125" s="21">
        <f>AVERAGE(T9:T124)</f>
        <v>-0.42097129253363913</v>
      </c>
      <c r="U125" s="21">
        <f>AVERAGE(U9:U124)</f>
        <v>0.13149040226750464</v>
      </c>
    </row>
    <row r="127" spans="2:21" s="35" customFormat="1" ht="15.75" customHeight="1" x14ac:dyDescent="0.25">
      <c r="B127" s="61" t="s">
        <v>29</v>
      </c>
      <c r="C127" s="63" t="s">
        <v>191</v>
      </c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5"/>
    </row>
    <row r="128" spans="2:21" s="35" customFormat="1" x14ac:dyDescent="0.25">
      <c r="B128" s="62"/>
      <c r="C128" s="66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8"/>
    </row>
    <row r="129" spans="1:21" ht="16.5" customHeight="1" thickBot="1" x14ac:dyDescent="0.3">
      <c r="C129" s="69" t="s">
        <v>80</v>
      </c>
      <c r="D129" s="70"/>
      <c r="E129" s="70"/>
      <c r="F129" s="70"/>
      <c r="G129" s="70"/>
      <c r="H129" s="70"/>
      <c r="I129" s="5"/>
      <c r="J129" s="69" t="s">
        <v>180</v>
      </c>
      <c r="K129" s="70"/>
      <c r="L129" s="70"/>
      <c r="M129" s="70"/>
      <c r="N129" s="70"/>
      <c r="O129" s="70"/>
      <c r="Q129" s="69" t="s">
        <v>7</v>
      </c>
      <c r="R129" s="70"/>
      <c r="S129" s="71"/>
      <c r="T129" s="36"/>
      <c r="U129" s="7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2"/>
    </row>
    <row r="131" spans="1:21" x14ac:dyDescent="0.25">
      <c r="A131" s="6" t="s">
        <v>35</v>
      </c>
      <c r="B131" s="6" t="s">
        <v>46</v>
      </c>
      <c r="C131" s="15">
        <v>5792.44</v>
      </c>
      <c r="D131" s="16">
        <v>37.313000000000002</v>
      </c>
      <c r="E131" s="16">
        <v>38.831000000000003</v>
      </c>
      <c r="F131" s="16">
        <v>41.17</v>
      </c>
      <c r="G131" s="16">
        <v>60.85</v>
      </c>
      <c r="H131" s="16">
        <f t="shared" ref="H131:H202" si="11">(6*D131+E131+F131)/8</f>
        <v>37.984875000000002</v>
      </c>
      <c r="I131" s="5"/>
      <c r="J131" s="15">
        <v>3985.5632000000001</v>
      </c>
      <c r="K131" s="16">
        <v>37.829599999999999</v>
      </c>
      <c r="L131" s="16">
        <v>39.483199999999997</v>
      </c>
      <c r="M131" s="16">
        <v>41.954599999999999</v>
      </c>
      <c r="N131" s="16">
        <v>56.882800000000003</v>
      </c>
      <c r="O131" s="16">
        <f t="shared" ref="O131:O202" si="12">(6*K131+L131+M131)/8</f>
        <v>38.551924999999997</v>
      </c>
      <c r="P131" s="7"/>
      <c r="Q131" s="8">
        <f>bdrate(C131:C134,D131:D134,J131:J134,K131:K134)</f>
        <v>-0.43713329551340419</v>
      </c>
      <c r="R131" s="8">
        <f>bdrate(C131:C134,E131:E134,J131:J134,L131:L134)</f>
        <v>-0.49815512557521224</v>
      </c>
      <c r="S131" s="8">
        <f>bdrate(C131:C134,F131:F134,J131:J134,M131:M134)</f>
        <v>-0.4944662540732504</v>
      </c>
      <c r="T131" s="25">
        <f>bdrate(C131:C134,H131:H134,J131:J134,O131:O134)</f>
        <v>-0.44530903226405727</v>
      </c>
      <c r="U131" s="28">
        <f t="shared" ref="U131:U162" si="13">(N131-G131)/G131</f>
        <v>-6.5196384552177453E-2</v>
      </c>
    </row>
    <row r="132" spans="1:21" x14ac:dyDescent="0.25">
      <c r="A132" s="9" t="s">
        <v>36</v>
      </c>
      <c r="B132" s="9"/>
      <c r="C132" s="17">
        <v>4295.97</v>
      </c>
      <c r="D132" s="18">
        <v>36.235999999999997</v>
      </c>
      <c r="E132" s="18">
        <v>38.354999999999997</v>
      </c>
      <c r="F132" s="18">
        <v>40.661000000000001</v>
      </c>
      <c r="G132" s="18">
        <v>64.099999999999994</v>
      </c>
      <c r="H132" s="18">
        <f t="shared" si="11"/>
        <v>37.054000000000002</v>
      </c>
      <c r="I132" s="5"/>
      <c r="J132" s="17">
        <v>2974.7887999999998</v>
      </c>
      <c r="K132" s="18">
        <v>36.900700000000001</v>
      </c>
      <c r="L132" s="18">
        <v>38.922199999999997</v>
      </c>
      <c r="M132" s="18">
        <v>41.272500000000001</v>
      </c>
      <c r="N132" s="18">
        <v>62.448</v>
      </c>
      <c r="O132" s="18">
        <f t="shared" si="12"/>
        <v>37.699862499999995</v>
      </c>
      <c r="P132" s="7"/>
      <c r="Q132" s="10"/>
      <c r="R132" s="11"/>
      <c r="S132" s="11"/>
      <c r="T132" s="26"/>
      <c r="U132" s="28">
        <f t="shared" si="13"/>
        <v>-2.5772230889235477E-2</v>
      </c>
    </row>
    <row r="133" spans="1:21" x14ac:dyDescent="0.25">
      <c r="B133" s="9"/>
      <c r="C133" s="17">
        <v>2831.29</v>
      </c>
      <c r="D133" s="18">
        <v>34.582000000000001</v>
      </c>
      <c r="E133" s="18">
        <v>37.704000000000001</v>
      </c>
      <c r="F133" s="18">
        <v>39.987000000000002</v>
      </c>
      <c r="G133" s="18">
        <v>67.23</v>
      </c>
      <c r="H133" s="18">
        <f t="shared" si="11"/>
        <v>35.647875000000006</v>
      </c>
      <c r="I133" s="5"/>
      <c r="J133" s="17">
        <v>1925.2719999999999</v>
      </c>
      <c r="K133" s="18">
        <v>35.298200000000001</v>
      </c>
      <c r="L133" s="18">
        <v>38.231299999999997</v>
      </c>
      <c r="M133" s="18">
        <v>40.536299999999997</v>
      </c>
      <c r="N133" s="18">
        <v>70.688000000000002</v>
      </c>
      <c r="O133" s="18">
        <f t="shared" si="12"/>
        <v>36.319600000000001</v>
      </c>
      <c r="P133" s="7"/>
      <c r="Q133" s="10"/>
      <c r="R133" s="11"/>
      <c r="S133" s="11"/>
      <c r="T133" s="26"/>
      <c r="U133" s="28">
        <f t="shared" si="13"/>
        <v>5.143537111408595E-2</v>
      </c>
    </row>
    <row r="134" spans="1:21" ht="16.5" thickBot="1" x14ac:dyDescent="0.3">
      <c r="B134" s="12"/>
      <c r="C134" s="19">
        <v>1372.21</v>
      </c>
      <c r="D134" s="20">
        <v>31.27</v>
      </c>
      <c r="E134" s="20">
        <v>36.637</v>
      </c>
      <c r="F134" s="20">
        <v>38.843000000000004</v>
      </c>
      <c r="G134" s="20">
        <v>68.680000000000007</v>
      </c>
      <c r="H134" s="20">
        <f t="shared" si="11"/>
        <v>32.887500000000003</v>
      </c>
      <c r="I134" s="5"/>
      <c r="J134" s="19">
        <v>916.8048</v>
      </c>
      <c r="K134" s="20">
        <v>32.348999999999997</v>
      </c>
      <c r="L134" s="20">
        <v>36.9099</v>
      </c>
      <c r="M134" s="20">
        <v>39.110199999999999</v>
      </c>
      <c r="N134" s="20">
        <v>88.235299999999995</v>
      </c>
      <c r="O134" s="20">
        <f t="shared" si="12"/>
        <v>33.764262500000001</v>
      </c>
      <c r="P134" s="7"/>
      <c r="Q134" s="13"/>
      <c r="R134" s="14"/>
      <c r="S134" s="14"/>
      <c r="T134" s="27"/>
      <c r="U134" s="28">
        <f t="shared" si="13"/>
        <v>0.2847306348281885</v>
      </c>
    </row>
    <row r="135" spans="1:21" x14ac:dyDescent="0.25">
      <c r="B135" s="6" t="s">
        <v>47</v>
      </c>
      <c r="C135" s="15">
        <v>6490.35</v>
      </c>
      <c r="D135" s="16">
        <v>29.263000000000002</v>
      </c>
      <c r="E135" s="16">
        <v>39.356000000000002</v>
      </c>
      <c r="F135" s="16">
        <v>40.162999999999997</v>
      </c>
      <c r="G135" s="16">
        <v>49.31</v>
      </c>
      <c r="H135" s="16">
        <f t="shared" si="11"/>
        <v>31.887124999999997</v>
      </c>
      <c r="I135" s="5"/>
      <c r="J135" s="15">
        <v>4065.6992</v>
      </c>
      <c r="K135" s="16">
        <v>29.452100000000002</v>
      </c>
      <c r="L135" s="16">
        <v>39.308</v>
      </c>
      <c r="M135" s="16">
        <v>40.256999999999998</v>
      </c>
      <c r="N135" s="16">
        <v>43.516100000000002</v>
      </c>
      <c r="O135" s="16">
        <f t="shared" si="12"/>
        <v>32.034700000000001</v>
      </c>
      <c r="P135" s="7"/>
      <c r="Q135" s="8">
        <f>bdrate(C135:C138,D135:D138,J135:J138,K135:K138)</f>
        <v>-0.45167719792431749</v>
      </c>
      <c r="R135" s="8">
        <f>bdrate(C135:C138,E135:E138,J135:J138,L135:L138)</f>
        <v>-0.36431025218934265</v>
      </c>
      <c r="S135" s="8">
        <f>bdrate(C135:C138,F135:F138,J135:J138,M135:M138)</f>
        <v>-0.42097133266873388</v>
      </c>
      <c r="T135" s="25">
        <f>bdrate(C135:C138,H135:H138,J135:J138,O135:O138)</f>
        <v>-0.44571411525412719</v>
      </c>
      <c r="U135" s="28">
        <f t="shared" si="13"/>
        <v>-0.11749949300344759</v>
      </c>
    </row>
    <row r="136" spans="1:21" x14ac:dyDescent="0.25">
      <c r="B136" s="9"/>
      <c r="C136" s="17">
        <v>4840.17</v>
      </c>
      <c r="D136" s="18">
        <v>27.748999999999999</v>
      </c>
      <c r="E136" s="18">
        <v>38.863999999999997</v>
      </c>
      <c r="F136" s="18">
        <v>39.704999999999998</v>
      </c>
      <c r="G136" s="18">
        <v>52.84</v>
      </c>
      <c r="H136" s="18">
        <f t="shared" si="11"/>
        <v>30.632874999999999</v>
      </c>
      <c r="I136" s="5"/>
      <c r="J136" s="17">
        <v>3031.1792</v>
      </c>
      <c r="K136" s="18">
        <v>28.114699999999999</v>
      </c>
      <c r="L136" s="18">
        <v>38.8444</v>
      </c>
      <c r="M136" s="18">
        <v>39.823599999999999</v>
      </c>
      <c r="N136" s="18">
        <v>49.570399999999999</v>
      </c>
      <c r="O136" s="18">
        <f t="shared" si="12"/>
        <v>30.919525</v>
      </c>
      <c r="P136" s="7"/>
      <c r="Q136" s="10"/>
      <c r="R136" s="11"/>
      <c r="S136" s="11"/>
      <c r="T136" s="26"/>
      <c r="U136" s="28">
        <f t="shared" si="13"/>
        <v>-6.1877365632096969E-2</v>
      </c>
    </row>
    <row r="137" spans="1:21" x14ac:dyDescent="0.25">
      <c r="B137" s="9"/>
      <c r="C137" s="17">
        <v>3194.76</v>
      </c>
      <c r="D137" s="18">
        <v>25.57</v>
      </c>
      <c r="E137" s="18">
        <v>38.1</v>
      </c>
      <c r="F137" s="18">
        <v>39.011000000000003</v>
      </c>
      <c r="G137" s="18">
        <v>56.88</v>
      </c>
      <c r="H137" s="18">
        <f t="shared" si="11"/>
        <v>28.816375000000001</v>
      </c>
      <c r="I137" s="5"/>
      <c r="J137" s="17">
        <v>2019.7072000000001</v>
      </c>
      <c r="K137" s="18">
        <v>26.331700000000001</v>
      </c>
      <c r="L137" s="18">
        <v>38.118699999999997</v>
      </c>
      <c r="M137" s="18">
        <v>39.212600000000002</v>
      </c>
      <c r="N137" s="18">
        <v>59.358899999999998</v>
      </c>
      <c r="O137" s="18">
        <f t="shared" si="12"/>
        <v>29.415187500000002</v>
      </c>
      <c r="P137" s="7"/>
      <c r="Q137" s="10"/>
      <c r="R137" s="11"/>
      <c r="S137" s="11"/>
      <c r="T137" s="26"/>
      <c r="U137" s="28">
        <f t="shared" si="13"/>
        <v>4.3581223628691906E-2</v>
      </c>
    </row>
    <row r="138" spans="1:21" ht="16.5" thickBot="1" x14ac:dyDescent="0.3">
      <c r="B138" s="12"/>
      <c r="C138" s="19">
        <v>1786.21</v>
      </c>
      <c r="D138" s="20">
        <v>22.960999999999999</v>
      </c>
      <c r="E138" s="20">
        <v>36.709000000000003</v>
      </c>
      <c r="F138" s="20">
        <v>37.773000000000003</v>
      </c>
      <c r="G138" s="20">
        <v>58.99</v>
      </c>
      <c r="H138" s="20">
        <f t="shared" si="11"/>
        <v>26.530999999999999</v>
      </c>
      <c r="I138" s="5"/>
      <c r="J138" s="19">
        <v>1139.0224000000001</v>
      </c>
      <c r="K138" s="20">
        <v>24.173200000000001</v>
      </c>
      <c r="L138" s="20">
        <v>36.592700000000001</v>
      </c>
      <c r="M138" s="20">
        <v>37.866</v>
      </c>
      <c r="N138" s="20">
        <v>72.289199999999994</v>
      </c>
      <c r="O138" s="20">
        <f t="shared" si="12"/>
        <v>27.437237500000002</v>
      </c>
      <c r="P138" s="7"/>
      <c r="Q138" s="13"/>
      <c r="R138" s="14"/>
      <c r="S138" s="14"/>
      <c r="T138" s="27"/>
      <c r="U138" s="28">
        <f t="shared" si="13"/>
        <v>0.22544838108153911</v>
      </c>
    </row>
    <row r="139" spans="1:21" x14ac:dyDescent="0.25">
      <c r="A139" s="6" t="s">
        <v>37</v>
      </c>
      <c r="B139" s="6" t="s">
        <v>48</v>
      </c>
      <c r="C139" s="15">
        <v>3038.15</v>
      </c>
      <c r="D139" s="16">
        <v>38.168999999999997</v>
      </c>
      <c r="E139" s="16">
        <v>41.540999999999997</v>
      </c>
      <c r="F139" s="16">
        <v>42.561</v>
      </c>
      <c r="G139" s="16">
        <v>95.54</v>
      </c>
      <c r="H139" s="16">
        <f t="shared" si="11"/>
        <v>39.139499999999991</v>
      </c>
      <c r="I139" s="5"/>
      <c r="J139" s="15">
        <v>2379.8575999999998</v>
      </c>
      <c r="K139" s="16">
        <v>39.062899999999999</v>
      </c>
      <c r="L139" s="16">
        <v>41.921999999999997</v>
      </c>
      <c r="M139" s="16">
        <v>43.255400000000002</v>
      </c>
      <c r="N139" s="16">
        <v>112.2544</v>
      </c>
      <c r="O139" s="16">
        <f t="shared" si="12"/>
        <v>39.94435</v>
      </c>
      <c r="P139" s="7"/>
      <c r="Q139" s="8">
        <f>bdrate(C139:C142,D139:D142,J139:J142,K139:K142)</f>
        <v>-0.46011355806013832</v>
      </c>
      <c r="R139" s="8">
        <f>bdrate(C139:C142,E139:E142,J139:J142,L139:L142)</f>
        <v>-0.38119583859302864</v>
      </c>
      <c r="S139" s="8">
        <f>bdrate(C139:C142,F139:F142,J139:J142,M139:M142)</f>
        <v>-0.46675863538888152</v>
      </c>
      <c r="T139" s="25">
        <f>bdrate(C139:C142,H139:H142,J139:J142,O139:O142)</f>
        <v>-0.45577547840310306</v>
      </c>
      <c r="U139" s="28">
        <f t="shared" si="13"/>
        <v>0.17494661921708182</v>
      </c>
    </row>
    <row r="140" spans="1:21" x14ac:dyDescent="0.25">
      <c r="A140" s="9" t="s">
        <v>38</v>
      </c>
      <c r="B140" s="9"/>
      <c r="C140" s="17">
        <v>2000.37</v>
      </c>
      <c r="D140" s="18">
        <v>36.677999999999997</v>
      </c>
      <c r="E140" s="18">
        <v>40.844999999999999</v>
      </c>
      <c r="F140" s="18">
        <v>41.79</v>
      </c>
      <c r="G140" s="18">
        <v>104.67</v>
      </c>
      <c r="H140" s="18">
        <f t="shared" si="11"/>
        <v>37.837875000000004</v>
      </c>
      <c r="I140" s="5"/>
      <c r="J140" s="17">
        <v>1575.9392</v>
      </c>
      <c r="K140" s="18">
        <v>37.814</v>
      </c>
      <c r="L140" s="18">
        <v>41.228000000000002</v>
      </c>
      <c r="M140" s="18">
        <v>42.464399999999998</v>
      </c>
      <c r="N140" s="18">
        <v>125.13030000000001</v>
      </c>
      <c r="O140" s="18">
        <f t="shared" si="12"/>
        <v>38.822050000000004</v>
      </c>
      <c r="P140" s="7"/>
      <c r="Q140" s="10"/>
      <c r="R140" s="11"/>
      <c r="S140" s="11"/>
      <c r="T140" s="26"/>
      <c r="U140" s="28">
        <f t="shared" si="13"/>
        <v>0.19547434795070223</v>
      </c>
    </row>
    <row r="141" spans="1:21" x14ac:dyDescent="0.25">
      <c r="B141" s="9"/>
      <c r="C141" s="17">
        <v>1240.96</v>
      </c>
      <c r="D141" s="18">
        <v>34.767000000000003</v>
      </c>
      <c r="E141" s="18">
        <v>40.085999999999999</v>
      </c>
      <c r="F141" s="18">
        <v>41.029000000000003</v>
      </c>
      <c r="G141" s="18">
        <v>113.96</v>
      </c>
      <c r="H141" s="18">
        <f t="shared" si="11"/>
        <v>36.214625000000005</v>
      </c>
      <c r="I141" s="5"/>
      <c r="J141" s="17">
        <v>963.49120000000005</v>
      </c>
      <c r="K141" s="18">
        <v>36.228999999999999</v>
      </c>
      <c r="L141" s="18">
        <v>40.428800000000003</v>
      </c>
      <c r="M141" s="18">
        <v>41.600999999999999</v>
      </c>
      <c r="N141" s="18">
        <v>142.4332</v>
      </c>
      <c r="O141" s="18">
        <f t="shared" si="12"/>
        <v>37.425474999999999</v>
      </c>
      <c r="P141" s="7"/>
      <c r="Q141" s="10"/>
      <c r="R141" s="11"/>
      <c r="S141" s="11"/>
      <c r="T141" s="26"/>
      <c r="U141" s="28">
        <f t="shared" si="13"/>
        <v>0.24985257985257991</v>
      </c>
    </row>
    <row r="142" spans="1:21" ht="16.5" thickBot="1" x14ac:dyDescent="0.3">
      <c r="B142" s="12"/>
      <c r="C142" s="19">
        <v>737.79</v>
      </c>
      <c r="D142" s="20">
        <v>32.491999999999997</v>
      </c>
      <c r="E142" s="20">
        <v>39.253</v>
      </c>
      <c r="F142" s="20">
        <v>40.281999999999996</v>
      </c>
      <c r="G142" s="20">
        <v>124.03</v>
      </c>
      <c r="H142" s="20">
        <f t="shared" si="11"/>
        <v>34.310874999999996</v>
      </c>
      <c r="I142" s="5"/>
      <c r="J142" s="19">
        <v>559.0136</v>
      </c>
      <c r="K142" s="20">
        <v>34.3902</v>
      </c>
      <c r="L142" s="20">
        <v>39.667999999999999</v>
      </c>
      <c r="M142" s="20">
        <v>40.888100000000001</v>
      </c>
      <c r="N142" s="20">
        <v>165.4032</v>
      </c>
      <c r="O142" s="20">
        <f t="shared" si="12"/>
        <v>35.862162500000004</v>
      </c>
      <c r="P142" s="7"/>
      <c r="Q142" s="13"/>
      <c r="R142" s="14"/>
      <c r="S142" s="14"/>
      <c r="T142" s="27"/>
      <c r="U142" s="28">
        <f t="shared" si="13"/>
        <v>0.33357413528984919</v>
      </c>
    </row>
    <row r="143" spans="1:21" x14ac:dyDescent="0.25">
      <c r="B143" s="6" t="s">
        <v>49</v>
      </c>
      <c r="C143" s="15">
        <v>3435.34</v>
      </c>
      <c r="D143" s="16">
        <v>35.786999999999999</v>
      </c>
      <c r="E143" s="16">
        <v>38.972000000000001</v>
      </c>
      <c r="F143" s="16">
        <v>40.170999999999999</v>
      </c>
      <c r="G143" s="16">
        <v>109.14</v>
      </c>
      <c r="H143" s="16">
        <f t="shared" si="11"/>
        <v>36.733125000000001</v>
      </c>
      <c r="I143" s="5"/>
      <c r="J143" s="15">
        <v>2481.3296</v>
      </c>
      <c r="K143" s="16">
        <v>36.008000000000003</v>
      </c>
      <c r="L143" s="16">
        <v>39.948999999999998</v>
      </c>
      <c r="M143" s="16">
        <v>41.1586</v>
      </c>
      <c r="N143" s="16">
        <v>102.5641</v>
      </c>
      <c r="O143" s="16">
        <f t="shared" si="12"/>
        <v>37.144449999999999</v>
      </c>
      <c r="P143" s="7"/>
      <c r="Q143" s="8">
        <f>bdrate(C143:C146,D143:D146,J143:J146,K143:K146)</f>
        <v>-0.40215342374529672</v>
      </c>
      <c r="R143" s="8">
        <f>bdrate(C143:C146,E143:E146,J143:J146,L143:L146)</f>
        <v>-0.53655414197372098</v>
      </c>
      <c r="S143" s="8">
        <f>bdrate(C143:C146,F143:F146,J143:J146,M143:M146)</f>
        <v>-0.53792004615703459</v>
      </c>
      <c r="T143" s="25">
        <f>bdrate(C143:C146,H143:H146,J143:J146,O143:O146)</f>
        <v>-0.42487536198201492</v>
      </c>
      <c r="U143" s="28">
        <f t="shared" si="13"/>
        <v>-6.0251969946857289E-2</v>
      </c>
    </row>
    <row r="144" spans="1:21" x14ac:dyDescent="0.25">
      <c r="B144" s="9"/>
      <c r="C144" s="17">
        <v>2272.65</v>
      </c>
      <c r="D144" s="18">
        <v>34.247</v>
      </c>
      <c r="E144" s="18">
        <v>38.277999999999999</v>
      </c>
      <c r="F144" s="18">
        <v>39.594999999999999</v>
      </c>
      <c r="G144" s="18">
        <v>117.42</v>
      </c>
      <c r="H144" s="18">
        <f t="shared" si="11"/>
        <v>35.419375000000002</v>
      </c>
      <c r="I144" s="5"/>
      <c r="J144" s="17">
        <v>1653.3712</v>
      </c>
      <c r="K144" s="18">
        <v>34.735799999999998</v>
      </c>
      <c r="L144" s="18">
        <v>39.166499999999999</v>
      </c>
      <c r="M144" s="18">
        <v>40.404600000000002</v>
      </c>
      <c r="N144" s="18">
        <v>118.3432</v>
      </c>
      <c r="O144" s="18">
        <f t="shared" si="12"/>
        <v>35.998237500000002</v>
      </c>
      <c r="P144" s="7"/>
      <c r="Q144" s="10"/>
      <c r="R144" s="11"/>
      <c r="S144" s="11"/>
      <c r="T144" s="26"/>
      <c r="U144" s="28">
        <f t="shared" si="13"/>
        <v>7.862374382558289E-3</v>
      </c>
    </row>
    <row r="145" spans="1:21" x14ac:dyDescent="0.25">
      <c r="B145" s="9"/>
      <c r="C145" s="17">
        <v>1414.45</v>
      </c>
      <c r="D145" s="18">
        <v>32.420999999999999</v>
      </c>
      <c r="E145" s="18">
        <v>37.53</v>
      </c>
      <c r="F145" s="18">
        <v>38.988999999999997</v>
      </c>
      <c r="G145" s="18">
        <v>127.12</v>
      </c>
      <c r="H145" s="18">
        <f t="shared" si="11"/>
        <v>33.880625000000002</v>
      </c>
      <c r="I145" s="5"/>
      <c r="J145" s="17">
        <v>1017.412</v>
      </c>
      <c r="K145" s="18">
        <v>33.218400000000003</v>
      </c>
      <c r="L145" s="18">
        <v>38.2346</v>
      </c>
      <c r="M145" s="18">
        <v>39.548999999999999</v>
      </c>
      <c r="N145" s="18">
        <v>139.86009999999999</v>
      </c>
      <c r="O145" s="18">
        <f t="shared" si="12"/>
        <v>34.636749999999999</v>
      </c>
      <c r="P145" s="7"/>
      <c r="Q145" s="10"/>
      <c r="R145" s="11"/>
      <c r="S145" s="11"/>
      <c r="T145" s="26"/>
      <c r="U145" s="28">
        <f t="shared" si="13"/>
        <v>0.10022105097545614</v>
      </c>
    </row>
    <row r="146" spans="1:21" ht="16.5" thickBot="1" x14ac:dyDescent="0.3">
      <c r="B146" s="12"/>
      <c r="C146" s="19">
        <v>842</v>
      </c>
      <c r="D146" s="20">
        <v>30.448</v>
      </c>
      <c r="E146" s="20">
        <v>36.85</v>
      </c>
      <c r="F146" s="20">
        <v>38.357999999999997</v>
      </c>
      <c r="G146" s="20">
        <v>133.78</v>
      </c>
      <c r="H146" s="20">
        <f t="shared" si="11"/>
        <v>32.236999999999995</v>
      </c>
      <c r="I146" s="5"/>
      <c r="J146" s="19">
        <v>581.43759999999997</v>
      </c>
      <c r="K146" s="20">
        <v>31.517900000000001</v>
      </c>
      <c r="L146" s="20">
        <v>37.255800000000001</v>
      </c>
      <c r="M146" s="20">
        <v>38.785200000000003</v>
      </c>
      <c r="N146" s="20">
        <v>165.4032</v>
      </c>
      <c r="O146" s="20">
        <f t="shared" si="12"/>
        <v>33.143550000000005</v>
      </c>
      <c r="P146" s="7"/>
      <c r="Q146" s="13"/>
      <c r="R146" s="14"/>
      <c r="S146" s="14"/>
      <c r="T146" s="27"/>
      <c r="U146" s="28">
        <f t="shared" si="13"/>
        <v>0.23638211989834054</v>
      </c>
    </row>
    <row r="147" spans="1:21" x14ac:dyDescent="0.25">
      <c r="B147" s="6" t="s">
        <v>50</v>
      </c>
      <c r="C147" s="15">
        <v>3546.67</v>
      </c>
      <c r="D147" s="16">
        <v>33.716999999999999</v>
      </c>
      <c r="E147" s="16">
        <v>37.723999999999997</v>
      </c>
      <c r="F147" s="16">
        <v>39.143999999999998</v>
      </c>
      <c r="G147" s="16">
        <v>122.79</v>
      </c>
      <c r="H147" s="16">
        <f t="shared" si="11"/>
        <v>34.896249999999995</v>
      </c>
      <c r="I147" s="5"/>
      <c r="J147" s="15">
        <v>2410.0423999999998</v>
      </c>
      <c r="K147" s="16">
        <v>34.0212</v>
      </c>
      <c r="L147" s="16">
        <v>38.170099999999998</v>
      </c>
      <c r="M147" s="16">
        <v>40.130000000000003</v>
      </c>
      <c r="N147" s="16">
        <v>139.9384</v>
      </c>
      <c r="O147" s="16">
        <f t="shared" si="12"/>
        <v>35.3034125</v>
      </c>
      <c r="P147" s="7"/>
      <c r="Q147" s="8">
        <f>bdrate(C147:C150,D147:D150,J147:J150,K147:K150)</f>
        <v>-0.45048910214584137</v>
      </c>
      <c r="R147" s="8">
        <f>bdrate(C147:C150,E147:E150,J147:J150,L147:L150)</f>
        <v>-0.5244576153008681</v>
      </c>
      <c r="S147" s="8">
        <f>bdrate(C147:C150,F147:F150,J147:J150,M147:M150)</f>
        <v>-0.56454690741971214</v>
      </c>
      <c r="T147" s="25">
        <f>bdrate(C147:C150,H147:H150,J147:J150,O147:O150)</f>
        <v>-0.46599546627147037</v>
      </c>
      <c r="U147" s="28">
        <f t="shared" si="13"/>
        <v>0.13965632380487006</v>
      </c>
    </row>
    <row r="148" spans="1:21" x14ac:dyDescent="0.25">
      <c r="B148" s="9"/>
      <c r="C148" s="17">
        <v>2365.33</v>
      </c>
      <c r="D148" s="18">
        <v>32.212000000000003</v>
      </c>
      <c r="E148" s="18">
        <v>37.215000000000003</v>
      </c>
      <c r="F148" s="18">
        <v>38.314999999999998</v>
      </c>
      <c r="G148" s="18">
        <v>127.71</v>
      </c>
      <c r="H148" s="18">
        <f t="shared" si="11"/>
        <v>33.600250000000003</v>
      </c>
      <c r="I148" s="5"/>
      <c r="J148" s="17">
        <v>1605.8871999999999</v>
      </c>
      <c r="K148" s="18">
        <v>32.808900000000001</v>
      </c>
      <c r="L148" s="18">
        <v>37.694800000000001</v>
      </c>
      <c r="M148" s="18">
        <v>39.292700000000004</v>
      </c>
      <c r="N148" s="18">
        <v>162.70750000000001</v>
      </c>
      <c r="O148" s="18">
        <f t="shared" si="12"/>
        <v>34.230112500000004</v>
      </c>
      <c r="P148" s="7"/>
      <c r="Q148" s="10"/>
      <c r="R148" s="11"/>
      <c r="S148" s="11"/>
      <c r="T148" s="26"/>
      <c r="U148" s="28">
        <f t="shared" si="13"/>
        <v>0.27403883799232653</v>
      </c>
    </row>
    <row r="149" spans="1:21" x14ac:dyDescent="0.25">
      <c r="B149" s="9"/>
      <c r="C149" s="17">
        <v>1470.6</v>
      </c>
      <c r="D149" s="18">
        <v>30.289000000000001</v>
      </c>
      <c r="E149" s="18">
        <v>36.618000000000002</v>
      </c>
      <c r="F149" s="18">
        <v>37.351999999999997</v>
      </c>
      <c r="G149" s="18">
        <v>128.69999999999999</v>
      </c>
      <c r="H149" s="18">
        <f t="shared" si="11"/>
        <v>31.963000000000001</v>
      </c>
      <c r="I149" s="5"/>
      <c r="J149" s="17">
        <v>1002.3216</v>
      </c>
      <c r="K149" s="18">
        <v>31.229399999999998</v>
      </c>
      <c r="L149" s="18">
        <v>37.074399999999997</v>
      </c>
      <c r="M149" s="18">
        <v>38.260399999999997</v>
      </c>
      <c r="N149" s="18">
        <v>185.32249999999999</v>
      </c>
      <c r="O149" s="18">
        <f t="shared" si="12"/>
        <v>32.838899999999995</v>
      </c>
      <c r="P149" s="7"/>
      <c r="Q149" s="10"/>
      <c r="R149" s="11"/>
      <c r="S149" s="11"/>
      <c r="T149" s="26"/>
      <c r="U149" s="28">
        <f t="shared" si="13"/>
        <v>0.439957264957265</v>
      </c>
    </row>
    <row r="150" spans="1:21" ht="16.5" thickBot="1" x14ac:dyDescent="0.3">
      <c r="B150" s="12"/>
      <c r="C150" s="19">
        <v>876.1</v>
      </c>
      <c r="D150" s="20">
        <v>27.974</v>
      </c>
      <c r="E150" s="20">
        <v>35.965000000000003</v>
      </c>
      <c r="F150" s="20">
        <v>36.372</v>
      </c>
      <c r="G150" s="20">
        <v>132.44999999999999</v>
      </c>
      <c r="H150" s="20">
        <f t="shared" si="11"/>
        <v>30.022624999999998</v>
      </c>
      <c r="I150" s="5"/>
      <c r="J150" s="19">
        <v>596.05359999999996</v>
      </c>
      <c r="K150" s="20">
        <v>29.463000000000001</v>
      </c>
      <c r="L150" s="20">
        <v>36.367699999999999</v>
      </c>
      <c r="M150" s="20">
        <v>37.1569</v>
      </c>
      <c r="N150" s="20">
        <v>210.88149999999999</v>
      </c>
      <c r="O150" s="20">
        <f t="shared" si="12"/>
        <v>31.287825000000005</v>
      </c>
      <c r="P150" s="7"/>
      <c r="Q150" s="13"/>
      <c r="R150" s="14"/>
      <c r="S150" s="14"/>
      <c r="T150" s="27"/>
      <c r="U150" s="28">
        <f t="shared" si="13"/>
        <v>0.59215930539826356</v>
      </c>
    </row>
    <row r="151" spans="1:21" x14ac:dyDescent="0.25">
      <c r="B151" s="6" t="s">
        <v>51</v>
      </c>
      <c r="C151" s="29">
        <v>3590.35</v>
      </c>
      <c r="D151" s="30">
        <v>33.008000000000003</v>
      </c>
      <c r="E151" s="30">
        <v>39.42</v>
      </c>
      <c r="F151" s="30">
        <v>39.075000000000003</v>
      </c>
      <c r="G151" s="16">
        <v>110.91</v>
      </c>
      <c r="H151" s="16">
        <f t="shared" si="11"/>
        <v>34.567875000000001</v>
      </c>
      <c r="I151" s="5"/>
      <c r="J151" s="29">
        <v>2413.5639999999999</v>
      </c>
      <c r="K151" s="30">
        <v>33.969700000000003</v>
      </c>
      <c r="L151" s="30">
        <v>40.327100000000002</v>
      </c>
      <c r="M151" s="30">
        <v>39.897399999999998</v>
      </c>
      <c r="N151" s="16">
        <v>120.9482</v>
      </c>
      <c r="O151" s="16">
        <f t="shared" si="12"/>
        <v>35.505337500000003</v>
      </c>
      <c r="P151" s="7"/>
      <c r="Q151" s="8">
        <f>bdrate(C151:C154,D151:D154,J151:J154,K151:K154)</f>
        <v>-0.56424578094779765</v>
      </c>
      <c r="R151" s="8">
        <f>bdrate(C151:C154,E151:E154,J151:J154,L151:L154)</f>
        <v>-0.60782683111099567</v>
      </c>
      <c r="S151" s="8">
        <f>bdrate(C151:C154,F151:F154,J151:J154,M151:M154)</f>
        <v>-0.50764694516049369</v>
      </c>
      <c r="T151" s="25">
        <f>bdrate(C151:C154,H151:H154,J151:J154,O151:O154)</f>
        <v>-0.56549418730760193</v>
      </c>
      <c r="U151" s="28">
        <f t="shared" si="13"/>
        <v>9.0507618790009944E-2</v>
      </c>
    </row>
    <row r="152" spans="1:21" x14ac:dyDescent="0.25">
      <c r="B152" s="9"/>
      <c r="C152" s="31">
        <v>2378.4899999999998</v>
      </c>
      <c r="D152" s="32">
        <v>31.016999999999999</v>
      </c>
      <c r="E152" s="32">
        <v>38.576999999999998</v>
      </c>
      <c r="F152" s="32">
        <v>38.116999999999997</v>
      </c>
      <c r="G152" s="18">
        <v>116.99</v>
      </c>
      <c r="H152" s="18">
        <f t="shared" si="11"/>
        <v>32.849499999999999</v>
      </c>
      <c r="I152" s="5"/>
      <c r="J152" s="31">
        <v>1607.3152</v>
      </c>
      <c r="K152" s="32">
        <v>32.576700000000002</v>
      </c>
      <c r="L152" s="32">
        <v>39.596499999999999</v>
      </c>
      <c r="M152" s="32">
        <v>38.950899999999997</v>
      </c>
      <c r="N152" s="18">
        <v>135.2448</v>
      </c>
      <c r="O152" s="18">
        <f t="shared" si="12"/>
        <v>34.250950000000003</v>
      </c>
      <c r="P152" s="7"/>
      <c r="Q152" s="10"/>
      <c r="R152" s="11"/>
      <c r="S152" s="11"/>
      <c r="T152" s="26"/>
      <c r="U152" s="28">
        <f t="shared" si="13"/>
        <v>0.15603726814257632</v>
      </c>
    </row>
    <row r="153" spans="1:21" x14ac:dyDescent="0.25">
      <c r="B153" s="9"/>
      <c r="C153" s="31">
        <v>1479.24</v>
      </c>
      <c r="D153" s="32">
        <v>28.140999999999998</v>
      </c>
      <c r="E153" s="32">
        <v>37.399000000000001</v>
      </c>
      <c r="F153" s="32">
        <v>36.945</v>
      </c>
      <c r="G153" s="18">
        <v>121.86</v>
      </c>
      <c r="H153" s="18">
        <f t="shared" si="11"/>
        <v>30.39875</v>
      </c>
      <c r="I153" s="5"/>
      <c r="J153" s="31">
        <v>998.91039999999998</v>
      </c>
      <c r="K153" s="32">
        <v>30.8139</v>
      </c>
      <c r="L153" s="32">
        <v>38.7361</v>
      </c>
      <c r="M153" s="32">
        <v>37.775300000000001</v>
      </c>
      <c r="N153" s="18">
        <v>165.2346</v>
      </c>
      <c r="O153" s="18">
        <f t="shared" si="12"/>
        <v>32.674349999999997</v>
      </c>
      <c r="P153" s="7"/>
      <c r="Q153" s="10"/>
      <c r="R153" s="11"/>
      <c r="S153" s="11"/>
      <c r="T153" s="26"/>
      <c r="U153" s="28">
        <f t="shared" si="13"/>
        <v>0.3559379615952733</v>
      </c>
    </row>
    <row r="154" spans="1:21" ht="16.5" thickBot="1" x14ac:dyDescent="0.3">
      <c r="B154" s="12"/>
      <c r="C154" s="33">
        <v>870.67</v>
      </c>
      <c r="D154" s="34">
        <v>24.143000000000001</v>
      </c>
      <c r="E154" s="34">
        <v>35.570999999999998</v>
      </c>
      <c r="F154" s="34">
        <v>34.808</v>
      </c>
      <c r="G154" s="20">
        <v>116.55</v>
      </c>
      <c r="H154" s="20">
        <f t="shared" si="11"/>
        <v>26.904624999999999</v>
      </c>
      <c r="I154" s="5"/>
      <c r="J154" s="33">
        <v>598.96320000000003</v>
      </c>
      <c r="K154" s="34">
        <v>28.943000000000001</v>
      </c>
      <c r="L154" s="34">
        <v>37.488700000000001</v>
      </c>
      <c r="M154" s="34">
        <v>36.158900000000003</v>
      </c>
      <c r="N154" s="20">
        <v>191.93860000000001</v>
      </c>
      <c r="O154" s="20">
        <f t="shared" si="12"/>
        <v>30.913200000000003</v>
      </c>
      <c r="P154" s="7"/>
      <c r="Q154" s="13"/>
      <c r="R154" s="14"/>
      <c r="S154" s="14"/>
      <c r="T154" s="27"/>
      <c r="U154" s="28">
        <f t="shared" si="13"/>
        <v>0.64683483483483495</v>
      </c>
    </row>
    <row r="155" spans="1:21" x14ac:dyDescent="0.25">
      <c r="B155" s="6" t="s">
        <v>52</v>
      </c>
      <c r="C155" s="15">
        <v>3575</v>
      </c>
      <c r="D155" s="16">
        <v>32.515000000000001</v>
      </c>
      <c r="E155" s="16">
        <v>38.72</v>
      </c>
      <c r="F155" s="16">
        <v>41.317</v>
      </c>
      <c r="G155" s="16">
        <v>129.51</v>
      </c>
      <c r="H155" s="16">
        <f t="shared" si="11"/>
        <v>34.390875000000001</v>
      </c>
      <c r="I155" s="5"/>
      <c r="J155" s="15">
        <v>2414.5848000000001</v>
      </c>
      <c r="K155" s="16">
        <v>33.574199999999998</v>
      </c>
      <c r="L155" s="16">
        <v>39.790799999999997</v>
      </c>
      <c r="M155" s="16">
        <v>42.293199999999999</v>
      </c>
      <c r="N155" s="16">
        <v>150.2253</v>
      </c>
      <c r="O155" s="16">
        <f t="shared" si="12"/>
        <v>35.44115</v>
      </c>
      <c r="P155" s="7"/>
      <c r="Q155" s="8">
        <f>bdrate(C155:C158,D155:D158,J155:J158,K155:K158)</f>
        <v>-0.62096672739022685</v>
      </c>
      <c r="R155" s="8">
        <f>bdrate(C155:C158,E155:E158,J155:J158,L155:L158)</f>
        <v>-0.69449442556819152</v>
      </c>
      <c r="S155" s="8">
        <f>bdrate(C155:C158,F155:F158,J155:J158,M155:M158)</f>
        <v>-0.70230487282686072</v>
      </c>
      <c r="T155" s="25">
        <f>bdrate(C155:C158,H155:H158,J155:J158,O155:O158)</f>
        <v>-0.6311706238303525</v>
      </c>
      <c r="U155" s="28">
        <f t="shared" si="13"/>
        <v>0.1599513551077138</v>
      </c>
    </row>
    <row r="156" spans="1:21" x14ac:dyDescent="0.25">
      <c r="B156" s="9"/>
      <c r="C156" s="17">
        <v>2349.69</v>
      </c>
      <c r="D156" s="18">
        <v>31.434999999999999</v>
      </c>
      <c r="E156" s="18">
        <v>38.243000000000002</v>
      </c>
      <c r="F156" s="18">
        <v>40.762</v>
      </c>
      <c r="G156" s="18">
        <v>131.29</v>
      </c>
      <c r="H156" s="18">
        <f t="shared" si="11"/>
        <v>33.451875000000001</v>
      </c>
      <c r="I156" s="5"/>
      <c r="J156" s="17">
        <v>1613.4824000000001</v>
      </c>
      <c r="K156" s="18">
        <v>32.866700000000002</v>
      </c>
      <c r="L156" s="18">
        <v>39.3063</v>
      </c>
      <c r="M156" s="18">
        <v>41.831899999999997</v>
      </c>
      <c r="N156" s="18">
        <v>167.22409999999999</v>
      </c>
      <c r="O156" s="18">
        <f t="shared" si="12"/>
        <v>34.792299999999997</v>
      </c>
      <c r="P156" s="7"/>
      <c r="Q156" s="10"/>
      <c r="R156" s="11"/>
      <c r="S156" s="11"/>
      <c r="T156" s="26"/>
      <c r="U156" s="28">
        <f t="shared" si="13"/>
        <v>0.27370020565161096</v>
      </c>
    </row>
    <row r="157" spans="1:21" x14ac:dyDescent="0.25">
      <c r="B157" s="9"/>
      <c r="C157" s="17">
        <v>1433.81</v>
      </c>
      <c r="D157" s="18">
        <v>29.754999999999999</v>
      </c>
      <c r="E157" s="18">
        <v>37.698</v>
      </c>
      <c r="F157" s="18">
        <v>40.231000000000002</v>
      </c>
      <c r="G157" s="18">
        <v>129.94999999999999</v>
      </c>
      <c r="H157" s="18">
        <f t="shared" si="11"/>
        <v>32.057375</v>
      </c>
      <c r="I157" s="5"/>
      <c r="J157" s="17">
        <v>1027.6168</v>
      </c>
      <c r="K157" s="18">
        <v>31.773</v>
      </c>
      <c r="L157" s="18">
        <v>38.645899999999997</v>
      </c>
      <c r="M157" s="18">
        <v>41.221699999999998</v>
      </c>
      <c r="N157" s="18">
        <v>184.04910000000001</v>
      </c>
      <c r="O157" s="18">
        <f t="shared" si="12"/>
        <v>33.813200000000002</v>
      </c>
      <c r="P157" s="7"/>
      <c r="Q157" s="10"/>
      <c r="R157" s="11"/>
      <c r="S157" s="11"/>
      <c r="T157" s="26"/>
      <c r="U157" s="28">
        <f t="shared" si="13"/>
        <v>0.41630704116968087</v>
      </c>
    </row>
    <row r="158" spans="1:21" ht="16.5" thickBot="1" x14ac:dyDescent="0.3">
      <c r="B158" s="12"/>
      <c r="C158" s="19">
        <v>832.08</v>
      </c>
      <c r="D158" s="20">
        <v>27.527000000000001</v>
      </c>
      <c r="E158" s="20">
        <v>37.11</v>
      </c>
      <c r="F158" s="20">
        <v>39.332000000000001</v>
      </c>
      <c r="G158" s="20">
        <v>130.83000000000001</v>
      </c>
      <c r="H158" s="20">
        <f t="shared" si="11"/>
        <v>30.200499999999998</v>
      </c>
      <c r="I158" s="5"/>
      <c r="J158" s="19">
        <v>597.10559999999998</v>
      </c>
      <c r="K158" s="20">
        <v>30.3005</v>
      </c>
      <c r="L158" s="20">
        <v>38.066600000000001</v>
      </c>
      <c r="M158" s="20">
        <v>40.628300000000003</v>
      </c>
      <c r="N158" s="20">
        <v>207.90020000000001</v>
      </c>
      <c r="O158" s="20">
        <f t="shared" si="12"/>
        <v>32.562237500000002</v>
      </c>
      <c r="P158" s="7"/>
      <c r="Q158" s="13"/>
      <c r="R158" s="14"/>
      <c r="S158" s="14"/>
      <c r="T158" s="27"/>
      <c r="U158" s="28">
        <f t="shared" si="13"/>
        <v>0.58908660093250775</v>
      </c>
    </row>
    <row r="159" spans="1:21" x14ac:dyDescent="0.25">
      <c r="A159" s="6" t="s">
        <v>39</v>
      </c>
      <c r="B159" s="6" t="s">
        <v>53</v>
      </c>
      <c r="C159" s="15">
        <v>1558.55</v>
      </c>
      <c r="D159" s="16">
        <v>34.154000000000003</v>
      </c>
      <c r="E159" s="16">
        <v>37.442</v>
      </c>
      <c r="F159" s="16">
        <v>37.35</v>
      </c>
      <c r="G159" s="16">
        <v>516.53</v>
      </c>
      <c r="H159" s="16">
        <f t="shared" si="11"/>
        <v>34.964500000000008</v>
      </c>
      <c r="I159" s="5"/>
      <c r="J159" s="15">
        <v>1210.5583999999999</v>
      </c>
      <c r="K159" s="16">
        <v>34.966099999999997</v>
      </c>
      <c r="L159" s="16">
        <v>39.192500000000003</v>
      </c>
      <c r="M159" s="16">
        <v>39.061999999999998</v>
      </c>
      <c r="N159" s="16">
        <v>478.01150000000001</v>
      </c>
      <c r="O159" s="16">
        <f t="shared" si="12"/>
        <v>36.006387499999995</v>
      </c>
      <c r="P159" s="7"/>
      <c r="Q159" s="8">
        <f>bdrate(C159:C162,D159:D162,J159:J162,K159:K162)</f>
        <v>-0.39128670559276246</v>
      </c>
      <c r="R159" s="8">
        <f>bdrate(C159:C162,E159:E162,J159:J162,L159:L162)</f>
        <v>-0.56367447495727419</v>
      </c>
      <c r="S159" s="8">
        <f>bdrate(C159:C162,F159:F162,J159:J162,M159:M162)</f>
        <v>-0.52487890042131902</v>
      </c>
      <c r="T159" s="25">
        <f>bdrate(C159:C162,H159:H162,J159:J162,O159:O162)</f>
        <v>-0.42269765202703924</v>
      </c>
      <c r="U159" s="28">
        <f t="shared" si="13"/>
        <v>-7.4571660890945274E-2</v>
      </c>
    </row>
    <row r="160" spans="1:21" x14ac:dyDescent="0.25">
      <c r="A160" s="9" t="s">
        <v>40</v>
      </c>
      <c r="B160" s="9"/>
      <c r="C160" s="17">
        <v>1053.76</v>
      </c>
      <c r="D160" s="18">
        <v>32.600999999999999</v>
      </c>
      <c r="E160" s="18">
        <v>36.493000000000002</v>
      </c>
      <c r="F160" s="18">
        <v>36.287999999999997</v>
      </c>
      <c r="G160" s="18">
        <v>604.59</v>
      </c>
      <c r="H160" s="18">
        <f t="shared" si="11"/>
        <v>33.548375</v>
      </c>
      <c r="I160" s="5"/>
      <c r="J160" s="17">
        <v>805.48879999999997</v>
      </c>
      <c r="K160" s="18">
        <v>33.417700000000004</v>
      </c>
      <c r="L160" s="18">
        <v>38.041699999999999</v>
      </c>
      <c r="M160" s="18">
        <v>37.784700000000001</v>
      </c>
      <c r="N160" s="18">
        <v>572.08240000000001</v>
      </c>
      <c r="O160" s="18">
        <f t="shared" si="12"/>
        <v>34.541575000000002</v>
      </c>
      <c r="P160" s="7"/>
      <c r="Q160" s="10"/>
      <c r="R160" s="11"/>
      <c r="S160" s="11"/>
      <c r="T160" s="26"/>
      <c r="U160" s="28">
        <f t="shared" si="13"/>
        <v>-5.3768008071585743E-2</v>
      </c>
    </row>
    <row r="161" spans="1:21" x14ac:dyDescent="0.25">
      <c r="B161" s="9"/>
      <c r="C161" s="17">
        <v>650.70000000000005</v>
      </c>
      <c r="D161" s="18">
        <v>30.614999999999998</v>
      </c>
      <c r="E161" s="18">
        <v>35.424999999999997</v>
      </c>
      <c r="F161" s="18">
        <v>35.058</v>
      </c>
      <c r="G161" s="18">
        <v>654.45000000000005</v>
      </c>
      <c r="H161" s="18">
        <f t="shared" si="11"/>
        <v>31.771625</v>
      </c>
      <c r="I161" s="5"/>
      <c r="J161" s="17">
        <v>501.49759999999998</v>
      </c>
      <c r="K161" s="18">
        <v>31.601400000000002</v>
      </c>
      <c r="L161" s="18">
        <v>36.7592</v>
      </c>
      <c r="M161" s="18">
        <v>36.334099999999999</v>
      </c>
      <c r="N161" s="18">
        <v>682.12819999999999</v>
      </c>
      <c r="O161" s="18">
        <f t="shared" si="12"/>
        <v>32.837712500000002</v>
      </c>
      <c r="P161" s="7"/>
      <c r="Q161" s="10"/>
      <c r="R161" s="11"/>
      <c r="S161" s="11"/>
      <c r="T161" s="26"/>
      <c r="U161" s="28">
        <f t="shared" si="13"/>
        <v>4.229230651692252E-2</v>
      </c>
    </row>
    <row r="162" spans="1:21" ht="16.5" thickBot="1" x14ac:dyDescent="0.3">
      <c r="B162" s="12"/>
      <c r="C162" s="19">
        <v>397.46</v>
      </c>
      <c r="D162" s="20">
        <v>28.283999999999999</v>
      </c>
      <c r="E162" s="20">
        <v>34.491</v>
      </c>
      <c r="F162" s="20">
        <v>34.021999999999998</v>
      </c>
      <c r="G162" s="20">
        <v>697.35</v>
      </c>
      <c r="H162" s="20">
        <f t="shared" si="11"/>
        <v>29.777124999999998</v>
      </c>
      <c r="I162" s="5"/>
      <c r="J162" s="19">
        <v>301.04880000000003</v>
      </c>
      <c r="K162" s="20">
        <v>29.6219</v>
      </c>
      <c r="L162" s="20">
        <v>35.378399999999999</v>
      </c>
      <c r="M162" s="20">
        <v>34.809199999999997</v>
      </c>
      <c r="N162" s="20">
        <v>844.59460000000001</v>
      </c>
      <c r="O162" s="20">
        <f t="shared" si="12"/>
        <v>30.989875000000001</v>
      </c>
      <c r="P162" s="7"/>
      <c r="Q162" s="13"/>
      <c r="R162" s="14"/>
      <c r="S162" s="14"/>
      <c r="T162" s="27"/>
      <c r="U162" s="28">
        <f t="shared" si="13"/>
        <v>0.21114877751487773</v>
      </c>
    </row>
    <row r="163" spans="1:21" x14ac:dyDescent="0.25">
      <c r="B163" s="6" t="s">
        <v>54</v>
      </c>
      <c r="C163" s="15">
        <v>1559.77</v>
      </c>
      <c r="D163" s="16">
        <v>34.488999999999997</v>
      </c>
      <c r="E163" s="16">
        <v>39.295999999999999</v>
      </c>
      <c r="F163" s="16">
        <v>40.046999999999997</v>
      </c>
      <c r="G163" s="16">
        <v>573.61</v>
      </c>
      <c r="H163" s="16">
        <f t="shared" si="11"/>
        <v>35.784624999999991</v>
      </c>
      <c r="I163" s="5"/>
      <c r="J163" s="15">
        <v>1233.4176</v>
      </c>
      <c r="K163" s="16">
        <v>35.1601</v>
      </c>
      <c r="L163" s="16">
        <v>40.493899999999996</v>
      </c>
      <c r="M163" s="16">
        <v>41.369500000000002</v>
      </c>
      <c r="N163" s="16">
        <v>486.61799999999999</v>
      </c>
      <c r="O163" s="16">
        <f t="shared" si="12"/>
        <v>36.603000000000002</v>
      </c>
      <c r="P163" s="7"/>
      <c r="Q163" s="8">
        <f>bdrate(C163:C166,D163:D166,J163:J166,K163:K166)</f>
        <v>-0.40115446796808296</v>
      </c>
      <c r="R163" s="8">
        <f>bdrate(C163:C166,E163:E166,J163:J166,L163:L166)</f>
        <v>-0.50242863863572762</v>
      </c>
      <c r="S163" s="8">
        <f>bdrate(C163:C166,F163:F166,J163:J166,M163:M166)</f>
        <v>-0.48880298147051371</v>
      </c>
      <c r="T163" s="25">
        <f>bdrate(C163:C166,H163:H166,J163:J166,O163:O166)</f>
        <v>-0.41779531652864466</v>
      </c>
      <c r="U163" s="28">
        <f t="shared" ref="U163:U194" si="14">(N163-G163)/G163</f>
        <v>-0.1516570492146232</v>
      </c>
    </row>
    <row r="164" spans="1:21" x14ac:dyDescent="0.25">
      <c r="B164" s="9"/>
      <c r="C164" s="17">
        <v>1057.54</v>
      </c>
      <c r="D164" s="18">
        <v>32.682000000000002</v>
      </c>
      <c r="E164" s="18">
        <v>38.497</v>
      </c>
      <c r="F164" s="18">
        <v>39.145000000000003</v>
      </c>
      <c r="G164" s="18">
        <v>591.72</v>
      </c>
      <c r="H164" s="18">
        <f t="shared" si="11"/>
        <v>34.216749999999998</v>
      </c>
      <c r="I164" s="5"/>
      <c r="J164" s="17">
        <v>822.11680000000001</v>
      </c>
      <c r="K164" s="18">
        <v>33.591900000000003</v>
      </c>
      <c r="L164" s="18">
        <v>39.5565</v>
      </c>
      <c r="M164" s="18">
        <v>40.3309</v>
      </c>
      <c r="N164" s="18">
        <v>583.09040000000005</v>
      </c>
      <c r="O164" s="18">
        <f t="shared" si="12"/>
        <v>35.179850000000002</v>
      </c>
      <c r="P164" s="7"/>
      <c r="Q164" s="10"/>
      <c r="R164" s="11"/>
      <c r="S164" s="11"/>
      <c r="T164" s="26"/>
      <c r="U164" s="28">
        <f t="shared" si="14"/>
        <v>-1.458392482931113E-2</v>
      </c>
    </row>
    <row r="165" spans="1:21" x14ac:dyDescent="0.25">
      <c r="B165" s="9"/>
      <c r="C165" s="17">
        <v>653.85</v>
      </c>
      <c r="D165" s="18">
        <v>30.225999999999999</v>
      </c>
      <c r="E165" s="18">
        <v>37.590000000000003</v>
      </c>
      <c r="F165" s="18">
        <v>38.156999999999996</v>
      </c>
      <c r="G165" s="18">
        <v>652.16999999999996</v>
      </c>
      <c r="H165" s="18">
        <f t="shared" si="11"/>
        <v>32.137875000000001</v>
      </c>
      <c r="I165" s="5"/>
      <c r="J165" s="17">
        <v>512.96799999999996</v>
      </c>
      <c r="K165" s="18">
        <v>31.685300000000002</v>
      </c>
      <c r="L165" s="18">
        <v>38.461300000000001</v>
      </c>
      <c r="M165" s="18">
        <v>39.059800000000003</v>
      </c>
      <c r="N165" s="18">
        <v>699.30070000000001</v>
      </c>
      <c r="O165" s="18">
        <f t="shared" si="12"/>
        <v>33.454112500000001</v>
      </c>
      <c r="P165" s="7"/>
      <c r="Q165" s="10"/>
      <c r="R165" s="11"/>
      <c r="S165" s="11"/>
      <c r="T165" s="26"/>
      <c r="U165" s="28">
        <f t="shared" si="14"/>
        <v>7.226750693837504E-2</v>
      </c>
    </row>
    <row r="166" spans="1:21" ht="16.5" thickBot="1" x14ac:dyDescent="0.3">
      <c r="B166" s="12"/>
      <c r="C166" s="19">
        <v>401.43</v>
      </c>
      <c r="D166" s="20">
        <v>27.449000000000002</v>
      </c>
      <c r="E166" s="20">
        <v>36.616999999999997</v>
      </c>
      <c r="F166" s="20">
        <v>37.156999999999996</v>
      </c>
      <c r="G166" s="20">
        <v>687.29</v>
      </c>
      <c r="H166" s="20">
        <f t="shared" si="11"/>
        <v>29.808500000000002</v>
      </c>
      <c r="I166" s="5"/>
      <c r="J166" s="19">
        <v>307.70319999999998</v>
      </c>
      <c r="K166" s="20">
        <v>29.611499999999999</v>
      </c>
      <c r="L166" s="20">
        <v>37.393000000000001</v>
      </c>
      <c r="M166" s="20">
        <v>37.819699999999997</v>
      </c>
      <c r="N166" s="20">
        <v>818.5539</v>
      </c>
      <c r="O166" s="20">
        <f t="shared" si="12"/>
        <v>31.610212499999996</v>
      </c>
      <c r="P166" s="7"/>
      <c r="Q166" s="13"/>
      <c r="R166" s="14"/>
      <c r="S166" s="14"/>
      <c r="T166" s="27"/>
      <c r="U166" s="28">
        <f t="shared" si="14"/>
        <v>0.19098764713585248</v>
      </c>
    </row>
    <row r="167" spans="1:21" x14ac:dyDescent="0.25">
      <c r="B167" s="6" t="s">
        <v>55</v>
      </c>
      <c r="C167" s="15">
        <v>1416.78</v>
      </c>
      <c r="D167" s="16">
        <v>28.922000000000001</v>
      </c>
      <c r="E167" s="16">
        <v>35.185000000000002</v>
      </c>
      <c r="F167" s="16">
        <v>35.856000000000002</v>
      </c>
      <c r="G167" s="16">
        <v>605.33000000000004</v>
      </c>
      <c r="H167" s="16">
        <f t="shared" si="11"/>
        <v>30.571625000000001</v>
      </c>
      <c r="I167" s="5"/>
      <c r="J167" s="15">
        <v>1214.5552</v>
      </c>
      <c r="K167" s="16">
        <v>30.277999999999999</v>
      </c>
      <c r="L167" s="16">
        <v>36.765099999999997</v>
      </c>
      <c r="M167" s="16">
        <v>37.554000000000002</v>
      </c>
      <c r="N167" s="16">
        <v>421.58519999999999</v>
      </c>
      <c r="O167" s="16">
        <f t="shared" si="12"/>
        <v>31.9983875</v>
      </c>
      <c r="P167" s="7"/>
      <c r="Q167" s="8">
        <f>bdrate(C167:C170,D167:D170,J167:J170,K167:K170)</f>
        <v>-0.4448132391580506</v>
      </c>
      <c r="R167" s="8">
        <f>bdrate(C167:C170,E167:E170,J167:J170,L167:L170)</f>
        <v>-0.57700422493238701</v>
      </c>
      <c r="S167" s="8">
        <f>bdrate(C167:C170,F167:F170,J167:J170,M167:M170)</f>
        <v>-0.56816273285090058</v>
      </c>
      <c r="T167" s="25">
        <f>bdrate(C167:C170,H167:H170,J167:J170,O167:O170)</f>
        <v>-0.46569069521073492</v>
      </c>
      <c r="U167" s="28">
        <f t="shared" si="14"/>
        <v>-0.30354484330860859</v>
      </c>
    </row>
    <row r="168" spans="1:21" x14ac:dyDescent="0.25">
      <c r="B168" s="9"/>
      <c r="C168" s="17">
        <v>961.44</v>
      </c>
      <c r="D168" s="18">
        <v>27.577000000000002</v>
      </c>
      <c r="E168" s="18">
        <v>34.668999999999997</v>
      </c>
      <c r="F168" s="18">
        <v>35.387999999999998</v>
      </c>
      <c r="G168" s="18">
        <v>641.03</v>
      </c>
      <c r="H168" s="18">
        <f t="shared" si="11"/>
        <v>29.439875000000004</v>
      </c>
      <c r="I168" s="5"/>
      <c r="J168" s="17">
        <v>809.55200000000002</v>
      </c>
      <c r="K168" s="18">
        <v>28.936199999999999</v>
      </c>
      <c r="L168" s="18">
        <v>35.966500000000003</v>
      </c>
      <c r="M168" s="18">
        <v>36.737299999999998</v>
      </c>
      <c r="N168" s="18">
        <v>543.47829999999999</v>
      </c>
      <c r="O168" s="18">
        <f t="shared" si="12"/>
        <v>30.790125</v>
      </c>
      <c r="P168" s="7"/>
      <c r="Q168" s="10"/>
      <c r="R168" s="11"/>
      <c r="S168" s="11"/>
      <c r="T168" s="26"/>
      <c r="U168" s="28">
        <f t="shared" si="14"/>
        <v>-0.15217961717860318</v>
      </c>
    </row>
    <row r="169" spans="1:21" x14ac:dyDescent="0.25">
      <c r="B169" s="9"/>
      <c r="C169" s="17">
        <v>595.69000000000005</v>
      </c>
      <c r="D169" s="18">
        <v>26.023</v>
      </c>
      <c r="E169" s="18">
        <v>34.189</v>
      </c>
      <c r="F169" s="18">
        <v>34.902000000000001</v>
      </c>
      <c r="G169" s="18">
        <v>682.13</v>
      </c>
      <c r="H169" s="18">
        <f t="shared" si="11"/>
        <v>28.153624999999998</v>
      </c>
      <c r="I169" s="5"/>
      <c r="J169" s="17">
        <v>507.916</v>
      </c>
      <c r="K169" s="18">
        <v>27.407</v>
      </c>
      <c r="L169" s="18">
        <v>35.056199999999997</v>
      </c>
      <c r="M169" s="18">
        <v>35.779200000000003</v>
      </c>
      <c r="N169" s="18">
        <v>654.45029999999997</v>
      </c>
      <c r="O169" s="18">
        <f t="shared" si="12"/>
        <v>29.409675</v>
      </c>
      <c r="P169" s="7"/>
      <c r="Q169" s="10"/>
      <c r="R169" s="11"/>
      <c r="S169" s="11"/>
      <c r="T169" s="26"/>
      <c r="U169" s="28">
        <f t="shared" si="14"/>
        <v>-4.0578335507894428E-2</v>
      </c>
    </row>
    <row r="170" spans="1:21" ht="16.5" thickBot="1" x14ac:dyDescent="0.3">
      <c r="B170" s="12"/>
      <c r="C170" s="19">
        <v>368.31</v>
      </c>
      <c r="D170" s="20">
        <v>24.562999999999999</v>
      </c>
      <c r="E170" s="20">
        <v>33.71</v>
      </c>
      <c r="F170" s="20">
        <v>34.401000000000003</v>
      </c>
      <c r="G170" s="20">
        <v>727.8</v>
      </c>
      <c r="H170" s="20">
        <f t="shared" si="11"/>
        <v>26.936125000000001</v>
      </c>
      <c r="I170" s="5"/>
      <c r="J170" s="19">
        <v>305.35680000000002</v>
      </c>
      <c r="K170" s="20">
        <v>25.849</v>
      </c>
      <c r="L170" s="20">
        <v>34.232100000000003</v>
      </c>
      <c r="M170" s="20">
        <v>34.897599999999997</v>
      </c>
      <c r="N170" s="20">
        <v>745.15650000000005</v>
      </c>
      <c r="O170" s="20">
        <f t="shared" si="12"/>
        <v>28.027962500000001</v>
      </c>
      <c r="P170" s="7"/>
      <c r="Q170" s="13"/>
      <c r="R170" s="14"/>
      <c r="S170" s="14"/>
      <c r="T170" s="27"/>
      <c r="U170" s="28">
        <f t="shared" si="14"/>
        <v>2.3847897774113901E-2</v>
      </c>
    </row>
    <row r="171" spans="1:21" x14ac:dyDescent="0.25">
      <c r="B171" s="6" t="s">
        <v>56</v>
      </c>
      <c r="C171" s="15">
        <v>1432.62</v>
      </c>
      <c r="D171" s="16">
        <v>32.28</v>
      </c>
      <c r="E171" s="16">
        <v>36.334000000000003</v>
      </c>
      <c r="F171" s="16">
        <v>37.898000000000003</v>
      </c>
      <c r="G171" s="16">
        <v>417.83</v>
      </c>
      <c r="H171" s="16">
        <f t="shared" si="11"/>
        <v>33.489000000000004</v>
      </c>
      <c r="I171" s="5"/>
      <c r="J171" s="15">
        <v>1204.2639999999999</v>
      </c>
      <c r="K171" s="16">
        <v>32.298000000000002</v>
      </c>
      <c r="L171" s="16">
        <v>36.855400000000003</v>
      </c>
      <c r="M171" s="16">
        <v>38.439</v>
      </c>
      <c r="N171" s="16">
        <v>331.85840000000002</v>
      </c>
      <c r="O171" s="16">
        <f t="shared" si="12"/>
        <v>33.635300000000001</v>
      </c>
      <c r="P171" s="7"/>
      <c r="Q171" s="8">
        <f>bdrate(C171:C174,D171:D174,J171:J174,K171:K174)</f>
        <v>-0.24754503412549955</v>
      </c>
      <c r="R171" s="8">
        <f>bdrate(C171:C174,E171:E174,J171:J174,L171:L174)</f>
        <v>-0.30955886110712272</v>
      </c>
      <c r="S171" s="8">
        <f>bdrate(C171:C174,F171:F174,J171:J174,M171:M174)</f>
        <v>-0.32060696430009938</v>
      </c>
      <c r="T171" s="25">
        <f>bdrate(C171:C174,H171:H174,J171:J174,O171:O174)</f>
        <v>-0.2599231162802349</v>
      </c>
      <c r="U171" s="28">
        <f t="shared" si="14"/>
        <v>-0.20575736543570344</v>
      </c>
    </row>
    <row r="172" spans="1:21" x14ac:dyDescent="0.25">
      <c r="B172" s="9"/>
      <c r="C172" s="17">
        <v>978.1</v>
      </c>
      <c r="D172" s="18">
        <v>30.652000000000001</v>
      </c>
      <c r="E172" s="18">
        <v>35.594999999999999</v>
      </c>
      <c r="F172" s="18">
        <v>37.142000000000003</v>
      </c>
      <c r="G172" s="18">
        <v>427.35</v>
      </c>
      <c r="H172" s="18">
        <f t="shared" si="11"/>
        <v>32.081125</v>
      </c>
      <c r="I172" s="5"/>
      <c r="J172" s="17">
        <v>800.8152</v>
      </c>
      <c r="K172" s="18">
        <v>30.796199999999999</v>
      </c>
      <c r="L172" s="18">
        <v>35.9861</v>
      </c>
      <c r="M172" s="18">
        <v>37.567700000000002</v>
      </c>
      <c r="N172" s="18">
        <v>392.67020000000002</v>
      </c>
      <c r="O172" s="18">
        <f t="shared" si="12"/>
        <v>32.291375000000002</v>
      </c>
      <c r="P172" s="7"/>
      <c r="Q172" s="10"/>
      <c r="R172" s="11"/>
      <c r="S172" s="11"/>
      <c r="T172" s="26"/>
      <c r="U172" s="28">
        <f t="shared" si="14"/>
        <v>-8.1150813150813142E-2</v>
      </c>
    </row>
    <row r="173" spans="1:21" x14ac:dyDescent="0.25">
      <c r="B173" s="9"/>
      <c r="C173" s="17">
        <v>616.41</v>
      </c>
      <c r="D173" s="18">
        <v>28.687000000000001</v>
      </c>
      <c r="E173" s="18">
        <v>34.811999999999998</v>
      </c>
      <c r="F173" s="18">
        <v>36.277000000000001</v>
      </c>
      <c r="G173" s="18">
        <v>480.77</v>
      </c>
      <c r="H173" s="18">
        <f t="shared" si="11"/>
        <v>30.401375000000002</v>
      </c>
      <c r="I173" s="5"/>
      <c r="J173" s="17">
        <v>500.94400000000002</v>
      </c>
      <c r="K173" s="18">
        <v>29.1297</v>
      </c>
      <c r="L173" s="18">
        <v>35.071899999999999</v>
      </c>
      <c r="M173" s="18">
        <v>36.597700000000003</v>
      </c>
      <c r="N173" s="18">
        <v>480.76920000000001</v>
      </c>
      <c r="O173" s="18">
        <f t="shared" si="12"/>
        <v>30.805975</v>
      </c>
      <c r="P173" s="7"/>
      <c r="Q173" s="10"/>
      <c r="R173" s="11"/>
      <c r="S173" s="11"/>
      <c r="T173" s="26"/>
      <c r="U173" s="28">
        <f t="shared" si="14"/>
        <v>-1.6639973375412647E-6</v>
      </c>
    </row>
    <row r="174" spans="1:21" ht="16.5" thickBot="1" x14ac:dyDescent="0.3">
      <c r="B174" s="12"/>
      <c r="C174" s="19">
        <v>381.94</v>
      </c>
      <c r="D174" s="20">
        <v>26.646999999999998</v>
      </c>
      <c r="E174" s="20">
        <v>33.936999999999998</v>
      </c>
      <c r="F174" s="20">
        <v>35.304000000000002</v>
      </c>
      <c r="G174" s="20">
        <v>519.92999999999995</v>
      </c>
      <c r="H174" s="20">
        <f t="shared" si="11"/>
        <v>28.640375000000002</v>
      </c>
      <c r="I174" s="5"/>
      <c r="J174" s="19">
        <v>300.01440000000002</v>
      </c>
      <c r="K174" s="20">
        <v>27.493500000000001</v>
      </c>
      <c r="L174" s="20">
        <v>34.097499999999997</v>
      </c>
      <c r="M174" s="20">
        <v>35.552999999999997</v>
      </c>
      <c r="N174" s="20">
        <v>601.20240000000001</v>
      </c>
      <c r="O174" s="20">
        <f t="shared" si="12"/>
        <v>29.326437500000001</v>
      </c>
      <c r="P174" s="7"/>
      <c r="Q174" s="13"/>
      <c r="R174" s="14"/>
      <c r="S174" s="14"/>
      <c r="T174" s="27"/>
      <c r="U174" s="28">
        <f t="shared" si="14"/>
        <v>0.15631411920835511</v>
      </c>
    </row>
    <row r="175" spans="1:21" x14ac:dyDescent="0.25">
      <c r="A175" s="6" t="s">
        <v>41</v>
      </c>
      <c r="B175" s="6" t="s">
        <v>57</v>
      </c>
      <c r="C175" s="15">
        <v>852.68</v>
      </c>
      <c r="D175" s="16">
        <v>34.874000000000002</v>
      </c>
      <c r="E175" s="16">
        <v>38.918999999999997</v>
      </c>
      <c r="F175" s="16">
        <v>37.781999999999996</v>
      </c>
      <c r="G175" s="16">
        <v>1602.56</v>
      </c>
      <c r="H175" s="16">
        <f t="shared" si="11"/>
        <v>35.743124999999999</v>
      </c>
      <c r="I175" s="5"/>
      <c r="J175" s="15">
        <v>601.55280000000005</v>
      </c>
      <c r="K175" s="16">
        <v>34.286999999999999</v>
      </c>
      <c r="L175" s="16">
        <v>39.668500000000002</v>
      </c>
      <c r="M175" s="16">
        <v>38.181800000000003</v>
      </c>
      <c r="N175" s="16">
        <v>1144.1648</v>
      </c>
      <c r="O175" s="16">
        <f t="shared" si="12"/>
        <v>35.446537499999998</v>
      </c>
      <c r="P175" s="7"/>
      <c r="Q175" s="8">
        <f>bdrate(C175:C178,D175:D178,J175:J178,K175:K178)</f>
        <v>-0.25153516777811691</v>
      </c>
      <c r="R175" s="8">
        <f>bdrate(C175:C178,E175:E178,J175:J178,L175:L178)</f>
        <v>-0.42593696946139337</v>
      </c>
      <c r="S175" s="8">
        <f>bdrate(C175:C178,F175:F178,J175:J178,M175:M178)</f>
        <v>-0.33474379062635151</v>
      </c>
      <c r="T175" s="25">
        <f>bdrate(C175:C178,H175:H178,J175:J178,O175:O178)</f>
        <v>-0.27283947709108192</v>
      </c>
      <c r="U175" s="28">
        <f t="shared" si="14"/>
        <v>-0.28603933706070284</v>
      </c>
    </row>
    <row r="176" spans="1:21" x14ac:dyDescent="0.25">
      <c r="A176" s="9" t="s">
        <v>42</v>
      </c>
      <c r="B176" s="9"/>
      <c r="C176" s="17">
        <v>534.86</v>
      </c>
      <c r="D176" s="18">
        <v>32.643999999999998</v>
      </c>
      <c r="E176" s="18">
        <v>37.764000000000003</v>
      </c>
      <c r="F176" s="18">
        <v>36.378999999999998</v>
      </c>
      <c r="G176" s="18">
        <v>1602.56</v>
      </c>
      <c r="H176" s="18">
        <f t="shared" si="11"/>
        <v>33.750875000000001</v>
      </c>
      <c r="I176" s="5"/>
      <c r="J176" s="17">
        <v>402.02480000000003</v>
      </c>
      <c r="K176" s="18">
        <v>32.473100000000002</v>
      </c>
      <c r="L176" s="18">
        <v>38.492199999999997</v>
      </c>
      <c r="M176" s="18">
        <v>36.826000000000001</v>
      </c>
      <c r="N176" s="18">
        <v>1336.8984</v>
      </c>
      <c r="O176" s="18">
        <f t="shared" si="12"/>
        <v>33.769600000000004</v>
      </c>
      <c r="P176" s="7"/>
      <c r="Q176" s="10"/>
      <c r="R176" s="11"/>
      <c r="S176" s="11"/>
      <c r="T176" s="26"/>
      <c r="U176" s="28">
        <f t="shared" si="14"/>
        <v>-0.16577326277955268</v>
      </c>
    </row>
    <row r="177" spans="1:21" x14ac:dyDescent="0.25">
      <c r="B177" s="9"/>
      <c r="C177" s="17">
        <v>323.74</v>
      </c>
      <c r="D177" s="18">
        <v>30.36</v>
      </c>
      <c r="E177" s="18">
        <v>36.735999999999997</v>
      </c>
      <c r="F177" s="18">
        <v>35.161000000000001</v>
      </c>
      <c r="G177" s="18">
        <v>1602.56</v>
      </c>
      <c r="H177" s="18">
        <f t="shared" si="11"/>
        <v>31.757124999999998</v>
      </c>
      <c r="I177" s="5"/>
      <c r="J177" s="17">
        <v>253.55199999999999</v>
      </c>
      <c r="K177" s="18">
        <v>30.553999999999998</v>
      </c>
      <c r="L177" s="18">
        <v>37.395899999999997</v>
      </c>
      <c r="M177" s="18">
        <v>35.5959</v>
      </c>
      <c r="N177" s="18">
        <v>1602.5641000000001</v>
      </c>
      <c r="O177" s="18">
        <f t="shared" si="12"/>
        <v>32.039474999999996</v>
      </c>
      <c r="P177" s="7"/>
      <c r="Q177" s="10"/>
      <c r="R177" s="11"/>
      <c r="S177" s="11"/>
      <c r="T177" s="26"/>
      <c r="U177" s="28">
        <f t="shared" si="14"/>
        <v>2.5584065495879619E-6</v>
      </c>
    </row>
    <row r="178" spans="1:21" ht="16.5" thickBot="1" x14ac:dyDescent="0.3">
      <c r="B178" s="12"/>
      <c r="C178" s="19">
        <v>165.04</v>
      </c>
      <c r="D178" s="20">
        <v>27.242999999999999</v>
      </c>
      <c r="E178" s="20">
        <v>35.442</v>
      </c>
      <c r="F178" s="20">
        <v>33.732999999999997</v>
      </c>
      <c r="G178" s="20">
        <v>1602.56</v>
      </c>
      <c r="H178" s="20">
        <f t="shared" si="11"/>
        <v>29.079125000000001</v>
      </c>
      <c r="I178" s="5"/>
      <c r="J178" s="19">
        <v>121.2984</v>
      </c>
      <c r="K178" s="20">
        <v>27.6828</v>
      </c>
      <c r="L178" s="20">
        <v>35.750999999999998</v>
      </c>
      <c r="M178" s="20">
        <v>33.612299999999998</v>
      </c>
      <c r="N178" s="20">
        <v>2293.578</v>
      </c>
      <c r="O178" s="20">
        <f t="shared" si="12"/>
        <v>29.432512500000001</v>
      </c>
      <c r="P178" s="7"/>
      <c r="Q178" s="13"/>
      <c r="R178" s="14"/>
      <c r="S178" s="14"/>
      <c r="T178" s="27"/>
      <c r="U178" s="28">
        <f t="shared" si="14"/>
        <v>0.43119633586261985</v>
      </c>
    </row>
    <row r="179" spans="1:21" x14ac:dyDescent="0.25">
      <c r="B179" s="6" t="s">
        <v>58</v>
      </c>
      <c r="C179" s="15">
        <v>750.72</v>
      </c>
      <c r="D179" s="16">
        <v>31.808</v>
      </c>
      <c r="E179" s="16">
        <v>39.112000000000002</v>
      </c>
      <c r="F179" s="16">
        <v>39.707000000000001</v>
      </c>
      <c r="G179" s="16">
        <v>1671.31</v>
      </c>
      <c r="H179" s="16">
        <f t="shared" si="11"/>
        <v>33.708375000000004</v>
      </c>
      <c r="I179" s="5"/>
      <c r="J179" s="15">
        <v>599.77520000000004</v>
      </c>
      <c r="K179" s="16">
        <v>33.579000000000001</v>
      </c>
      <c r="L179" s="16">
        <v>41.312800000000003</v>
      </c>
      <c r="M179" s="16">
        <v>42.164400000000001</v>
      </c>
      <c r="N179" s="16">
        <v>1372.9976999999999</v>
      </c>
      <c r="O179" s="16">
        <f t="shared" si="12"/>
        <v>35.618899999999996</v>
      </c>
      <c r="P179" s="7"/>
      <c r="Q179" s="8">
        <f>bdrate(C179:C182,D179:D182,J179:J182,K179:K182)</f>
        <v>-0.54476122701639107</v>
      </c>
      <c r="R179" s="8">
        <f>bdrate(C179:C182,E179:E182,J179:J182,L179:L182)</f>
        <v>-0.66393860538936322</v>
      </c>
      <c r="S179" s="8">
        <f>bdrate(C179:C182,F179:F182,J179:J182,M179:M182)</f>
        <v>-0.70977445862401545</v>
      </c>
      <c r="T179" s="25">
        <f>bdrate(C179:C182,H179:H182,J179:J182,O179:O182)</f>
        <v>-0.56728409232530264</v>
      </c>
      <c r="U179" s="28">
        <f t="shared" si="14"/>
        <v>-0.1784901065631152</v>
      </c>
    </row>
    <row r="180" spans="1:21" x14ac:dyDescent="0.25">
      <c r="B180" s="9"/>
      <c r="C180" s="17">
        <v>463.27</v>
      </c>
      <c r="D180" s="18">
        <v>30.173999999999999</v>
      </c>
      <c r="E180" s="18">
        <v>38.695</v>
      </c>
      <c r="F180" s="18">
        <v>39.125</v>
      </c>
      <c r="G180" s="18">
        <v>1671.31</v>
      </c>
      <c r="H180" s="18">
        <f t="shared" si="11"/>
        <v>32.357999999999997</v>
      </c>
      <c r="I180" s="5"/>
      <c r="J180" s="17">
        <v>399.54480000000001</v>
      </c>
      <c r="K180" s="18">
        <v>32.295999999999999</v>
      </c>
      <c r="L180" s="18">
        <v>40.393500000000003</v>
      </c>
      <c r="M180" s="18">
        <v>41.209099999999999</v>
      </c>
      <c r="N180" s="18">
        <v>1604.2781</v>
      </c>
      <c r="O180" s="18">
        <f t="shared" si="12"/>
        <v>34.422325000000001</v>
      </c>
      <c r="P180" s="7"/>
      <c r="Q180" s="10"/>
      <c r="R180" s="11"/>
      <c r="S180" s="11"/>
      <c r="T180" s="26"/>
      <c r="U180" s="28">
        <f t="shared" si="14"/>
        <v>-4.0107400781422928E-2</v>
      </c>
    </row>
    <row r="181" spans="1:21" x14ac:dyDescent="0.25">
      <c r="B181" s="9"/>
      <c r="C181" s="17">
        <v>274.17</v>
      </c>
      <c r="D181" s="18">
        <v>28.372</v>
      </c>
      <c r="E181" s="18">
        <v>38.128999999999998</v>
      </c>
      <c r="F181" s="18">
        <v>38.482999999999997</v>
      </c>
      <c r="G181" s="18">
        <v>1671.31</v>
      </c>
      <c r="H181" s="18">
        <f t="shared" si="11"/>
        <v>30.855499999999999</v>
      </c>
      <c r="I181" s="5"/>
      <c r="J181" s="17">
        <v>249.83840000000001</v>
      </c>
      <c r="K181" s="18">
        <v>30.7743</v>
      </c>
      <c r="L181" s="18">
        <v>39.4634</v>
      </c>
      <c r="M181" s="18">
        <v>40.216900000000003</v>
      </c>
      <c r="N181" s="18">
        <v>2020.202</v>
      </c>
      <c r="O181" s="18">
        <f t="shared" si="12"/>
        <v>33.0407625</v>
      </c>
      <c r="P181" s="7"/>
      <c r="Q181" s="10"/>
      <c r="R181" s="11"/>
      <c r="S181" s="11"/>
      <c r="T181" s="26"/>
      <c r="U181" s="28">
        <f t="shared" si="14"/>
        <v>0.20875361243575402</v>
      </c>
    </row>
    <row r="182" spans="1:21" ht="16.5" thickBot="1" x14ac:dyDescent="0.3">
      <c r="B182" s="12"/>
      <c r="C182" s="19">
        <v>134.66</v>
      </c>
      <c r="D182" s="20">
        <v>26.077000000000002</v>
      </c>
      <c r="E182" s="20">
        <v>37.485999999999997</v>
      </c>
      <c r="F182" s="20">
        <v>37.777999999999999</v>
      </c>
      <c r="G182" s="20">
        <v>1744.19</v>
      </c>
      <c r="H182" s="20">
        <f t="shared" si="11"/>
        <v>28.96575</v>
      </c>
      <c r="I182" s="5"/>
      <c r="J182" s="19">
        <v>119.5424</v>
      </c>
      <c r="K182" s="20">
        <v>28.1419</v>
      </c>
      <c r="L182" s="20">
        <v>38.2607</v>
      </c>
      <c r="M182" s="20">
        <v>38.838900000000002</v>
      </c>
      <c r="N182" s="20">
        <v>2409.6386000000002</v>
      </c>
      <c r="O182" s="20">
        <f t="shared" si="12"/>
        <v>30.743874999999999</v>
      </c>
      <c r="P182" s="7"/>
      <c r="Q182" s="13"/>
      <c r="R182" s="14"/>
      <c r="S182" s="14"/>
      <c r="T182" s="27"/>
      <c r="U182" s="28">
        <f t="shared" si="14"/>
        <v>0.3815229992145352</v>
      </c>
    </row>
    <row r="183" spans="1:21" x14ac:dyDescent="0.25">
      <c r="B183" s="6" t="s">
        <v>59</v>
      </c>
      <c r="C183" s="29">
        <v>836.95</v>
      </c>
      <c r="D183" s="30">
        <v>33.078000000000003</v>
      </c>
      <c r="E183" s="30">
        <v>36.627000000000002</v>
      </c>
      <c r="F183" s="30">
        <v>37.054000000000002</v>
      </c>
      <c r="G183" s="16">
        <v>1683.5</v>
      </c>
      <c r="H183" s="16">
        <f t="shared" si="11"/>
        <v>34.018625</v>
      </c>
      <c r="I183" s="5"/>
      <c r="J183" s="29">
        <v>636.95360000000005</v>
      </c>
      <c r="K183" s="30">
        <v>33.086199999999998</v>
      </c>
      <c r="L183" s="30">
        <v>38.176400000000001</v>
      </c>
      <c r="M183" s="30">
        <v>38.917999999999999</v>
      </c>
      <c r="N183" s="16">
        <v>1231.5271</v>
      </c>
      <c r="O183" s="16">
        <f t="shared" si="12"/>
        <v>34.451450000000001</v>
      </c>
      <c r="P183" s="7"/>
      <c r="Q183" s="8">
        <f>bdrate(C183:C186,D183:D186,J183:J186,K183:K186)</f>
        <v>-0.2798635594299157</v>
      </c>
      <c r="R183" s="8">
        <f>bdrate(C183:C186,E183:E186,J183:J186,L183:L186)</f>
        <v>-0.5771695521997755</v>
      </c>
      <c r="S183" s="8">
        <f>bdrate(C183:C186,F183:F186,J183:J186,M183:M186)</f>
        <v>-0.61615222633832112</v>
      </c>
      <c r="T183" s="25">
        <f>bdrate(C183:C186,H183:H186,J183:J186,O183:O186)</f>
        <v>-0.34490571030006123</v>
      </c>
      <c r="U183" s="28">
        <f t="shared" si="14"/>
        <v>-0.26847217107217108</v>
      </c>
    </row>
    <row r="184" spans="1:21" x14ac:dyDescent="0.25">
      <c r="B184" s="9"/>
      <c r="C184" s="31">
        <v>522.1</v>
      </c>
      <c r="D184" s="32">
        <v>31.143999999999998</v>
      </c>
      <c r="E184" s="32">
        <v>35.575000000000003</v>
      </c>
      <c r="F184" s="32">
        <v>36.026000000000003</v>
      </c>
      <c r="G184" s="18">
        <v>1689.19</v>
      </c>
      <c r="H184" s="18">
        <f t="shared" si="11"/>
        <v>32.308124999999997</v>
      </c>
      <c r="I184" s="5"/>
      <c r="J184" s="31">
        <v>427.60160000000002</v>
      </c>
      <c r="K184" s="32">
        <v>31.5245</v>
      </c>
      <c r="L184" s="32">
        <v>37.135399999999997</v>
      </c>
      <c r="M184" s="32">
        <v>37.889800000000001</v>
      </c>
      <c r="N184" s="18">
        <v>1392.7577000000001</v>
      </c>
      <c r="O184" s="18">
        <f t="shared" si="12"/>
        <v>33.021524999999997</v>
      </c>
      <c r="P184" s="7"/>
      <c r="Q184" s="10"/>
      <c r="R184" s="11"/>
      <c r="S184" s="11"/>
      <c r="T184" s="26"/>
      <c r="U184" s="28">
        <f t="shared" si="14"/>
        <v>-0.17548783736583803</v>
      </c>
    </row>
    <row r="185" spans="1:21" x14ac:dyDescent="0.25">
      <c r="B185" s="9"/>
      <c r="C185" s="31">
        <v>311.60000000000002</v>
      </c>
      <c r="D185" s="32">
        <v>29.202000000000002</v>
      </c>
      <c r="E185" s="32">
        <v>34.58</v>
      </c>
      <c r="F185" s="32">
        <v>35.069000000000003</v>
      </c>
      <c r="G185" s="18">
        <v>1689.19</v>
      </c>
      <c r="H185" s="18">
        <f t="shared" si="11"/>
        <v>30.607625000000006</v>
      </c>
      <c r="I185" s="5"/>
      <c r="J185" s="31">
        <v>265.12959999999998</v>
      </c>
      <c r="K185" s="32">
        <v>29.8538</v>
      </c>
      <c r="L185" s="32">
        <v>35.983400000000003</v>
      </c>
      <c r="M185" s="32">
        <v>36.656999999999996</v>
      </c>
      <c r="N185" s="18">
        <v>1689.1892</v>
      </c>
      <c r="O185" s="18">
        <f t="shared" si="12"/>
        <v>31.470399999999998</v>
      </c>
      <c r="P185" s="7"/>
      <c r="Q185" s="10"/>
      <c r="R185" s="11"/>
      <c r="S185" s="11"/>
      <c r="T185" s="26"/>
      <c r="U185" s="28">
        <f t="shared" si="14"/>
        <v>-4.7359977268783096E-7</v>
      </c>
    </row>
    <row r="186" spans="1:21" ht="16.5" thickBot="1" x14ac:dyDescent="0.3">
      <c r="B186" s="12"/>
      <c r="C186" s="33">
        <v>153.22</v>
      </c>
      <c r="D186" s="34">
        <v>26.79</v>
      </c>
      <c r="E186" s="34">
        <v>33.661999999999999</v>
      </c>
      <c r="F186" s="34">
        <v>34.222000000000001</v>
      </c>
      <c r="G186" s="20">
        <v>1689.19</v>
      </c>
      <c r="H186" s="20">
        <f t="shared" si="11"/>
        <v>28.578000000000003</v>
      </c>
      <c r="I186" s="5"/>
      <c r="J186" s="33">
        <v>126.2824</v>
      </c>
      <c r="K186" s="34">
        <v>27.411300000000001</v>
      </c>
      <c r="L186" s="34">
        <v>34.443300000000001</v>
      </c>
      <c r="M186" s="34">
        <v>35.0764</v>
      </c>
      <c r="N186" s="20">
        <v>2463.0542</v>
      </c>
      <c r="O186" s="20">
        <f t="shared" si="12"/>
        <v>29.248437500000001</v>
      </c>
      <c r="P186" s="7"/>
      <c r="Q186" s="13"/>
      <c r="R186" s="14"/>
      <c r="S186" s="14"/>
      <c r="T186" s="27"/>
      <c r="U186" s="28">
        <f t="shared" si="14"/>
        <v>0.45812738649885448</v>
      </c>
    </row>
    <row r="187" spans="1:21" x14ac:dyDescent="0.25">
      <c r="B187" s="6" t="s">
        <v>60</v>
      </c>
      <c r="C187" s="15">
        <v>767.99</v>
      </c>
      <c r="D187" s="16">
        <v>34.594000000000001</v>
      </c>
      <c r="E187" s="16">
        <v>37.118000000000002</v>
      </c>
      <c r="F187" s="16">
        <v>38.180999999999997</v>
      </c>
      <c r="G187" s="16">
        <v>1282.05</v>
      </c>
      <c r="H187" s="16">
        <f t="shared" si="11"/>
        <v>35.357875</v>
      </c>
      <c r="I187" s="5"/>
      <c r="J187" s="15">
        <v>601.28319999999997</v>
      </c>
      <c r="K187" s="16">
        <v>33.8277</v>
      </c>
      <c r="L187" s="16">
        <v>37.668399999999998</v>
      </c>
      <c r="M187" s="16">
        <v>38.773400000000002</v>
      </c>
      <c r="N187" s="16">
        <v>802.13900000000001</v>
      </c>
      <c r="O187" s="16">
        <f t="shared" si="12"/>
        <v>34.926000000000002</v>
      </c>
      <c r="P187" s="7"/>
      <c r="Q187" s="8">
        <f>bdrate(C187:C190,D187:D190,J187:J190,K187:K190)</f>
        <v>-0.1331999590557037</v>
      </c>
      <c r="R187" s="8">
        <f>bdrate(C187:C190,E187:E190,J187:J190,L187:L190)</f>
        <v>-0.33437167151765623</v>
      </c>
      <c r="S187" s="8">
        <f>bdrate(C187:C190,F187:F190,J187:J190,M187:M190)</f>
        <v>-0.34155959611962938</v>
      </c>
      <c r="T187" s="25">
        <f>bdrate(C187:C190,H187:H190,J187:J190,O187:O190)</f>
        <v>-0.16798847006627582</v>
      </c>
      <c r="U187" s="28">
        <f t="shared" si="14"/>
        <v>-0.37433095433095431</v>
      </c>
    </row>
    <row r="188" spans="1:21" x14ac:dyDescent="0.25">
      <c r="B188" s="9"/>
      <c r="C188" s="17">
        <v>482.05</v>
      </c>
      <c r="D188" s="18">
        <v>32.348999999999997</v>
      </c>
      <c r="E188" s="18">
        <v>35.901000000000003</v>
      </c>
      <c r="F188" s="18">
        <v>36.923000000000002</v>
      </c>
      <c r="G188" s="18">
        <v>1376.15</v>
      </c>
      <c r="H188" s="18">
        <f t="shared" si="11"/>
        <v>33.364750000000001</v>
      </c>
      <c r="I188" s="5"/>
      <c r="J188" s="17">
        <v>401.03120000000001</v>
      </c>
      <c r="K188" s="18">
        <v>31.977499999999999</v>
      </c>
      <c r="L188" s="18">
        <v>36.5214</v>
      </c>
      <c r="M188" s="18">
        <v>37.622</v>
      </c>
      <c r="N188" s="18">
        <v>961.5385</v>
      </c>
      <c r="O188" s="18">
        <f t="shared" si="12"/>
        <v>33.251049999999999</v>
      </c>
      <c r="P188" s="7"/>
      <c r="Q188" s="10"/>
      <c r="R188" s="11"/>
      <c r="S188" s="11"/>
      <c r="T188" s="26"/>
      <c r="U188" s="28">
        <f t="shared" si="14"/>
        <v>-0.3012836536714748</v>
      </c>
    </row>
    <row r="189" spans="1:21" x14ac:dyDescent="0.25">
      <c r="B189" s="9"/>
      <c r="C189" s="17">
        <v>290.37</v>
      </c>
      <c r="D189" s="18">
        <v>30.132999999999999</v>
      </c>
      <c r="E189" s="18">
        <v>34.805999999999997</v>
      </c>
      <c r="F189" s="18">
        <v>35.813000000000002</v>
      </c>
      <c r="G189" s="18">
        <v>1204.82</v>
      </c>
      <c r="H189" s="18">
        <f t="shared" si="11"/>
        <v>31.427124999999997</v>
      </c>
      <c r="I189" s="5"/>
      <c r="J189" s="17">
        <v>251.49600000000001</v>
      </c>
      <c r="K189" s="18">
        <v>30.115500000000001</v>
      </c>
      <c r="L189" s="18">
        <v>35.3401</v>
      </c>
      <c r="M189" s="18">
        <v>36.3947</v>
      </c>
      <c r="N189" s="18">
        <v>1200</v>
      </c>
      <c r="O189" s="18">
        <f t="shared" si="12"/>
        <v>31.553475000000002</v>
      </c>
      <c r="P189" s="7"/>
      <c r="Q189" s="10"/>
      <c r="R189" s="11"/>
      <c r="S189" s="11"/>
      <c r="T189" s="26"/>
      <c r="U189" s="28">
        <f t="shared" si="14"/>
        <v>-4.0005975996413876E-3</v>
      </c>
    </row>
    <row r="190" spans="1:21" ht="16.5" thickBot="1" x14ac:dyDescent="0.3">
      <c r="B190" s="12"/>
      <c r="C190" s="19">
        <v>145.52000000000001</v>
      </c>
      <c r="D190" s="20">
        <v>27.27</v>
      </c>
      <c r="E190" s="20">
        <v>33.534999999999997</v>
      </c>
      <c r="F190" s="20">
        <v>34.488999999999997</v>
      </c>
      <c r="G190" s="20">
        <v>1477.83</v>
      </c>
      <c r="H190" s="20">
        <f t="shared" si="11"/>
        <v>28.955500000000001</v>
      </c>
      <c r="I190" s="5"/>
      <c r="J190" s="19">
        <v>120.7672</v>
      </c>
      <c r="K190" s="20">
        <v>27.611599999999999</v>
      </c>
      <c r="L190" s="20">
        <v>33.860599999999998</v>
      </c>
      <c r="M190" s="20">
        <v>34.796399999999998</v>
      </c>
      <c r="N190" s="20">
        <v>1754.386</v>
      </c>
      <c r="O190" s="20">
        <f t="shared" si="12"/>
        <v>29.290825000000002</v>
      </c>
      <c r="P190" s="7"/>
      <c r="Q190" s="13"/>
      <c r="R190" s="14"/>
      <c r="S190" s="14"/>
      <c r="T190" s="27"/>
      <c r="U190" s="28">
        <f t="shared" si="14"/>
        <v>0.18713654479879285</v>
      </c>
    </row>
    <row r="191" spans="1:21" x14ac:dyDescent="0.25">
      <c r="A191" s="6" t="s">
        <v>43</v>
      </c>
      <c r="B191" s="6" t="s">
        <v>61</v>
      </c>
      <c r="C191" s="15">
        <v>1897.5</v>
      </c>
      <c r="D191" s="16">
        <v>40.856000000000002</v>
      </c>
      <c r="E191" s="16">
        <v>44.566000000000003</v>
      </c>
      <c r="F191" s="16">
        <v>45.651000000000003</v>
      </c>
      <c r="G191" s="16">
        <v>325.91000000000003</v>
      </c>
      <c r="H191" s="16">
        <f t="shared" si="11"/>
        <v>41.919125000000001</v>
      </c>
      <c r="I191" s="5"/>
      <c r="J191" s="15">
        <v>1494.3552</v>
      </c>
      <c r="K191" s="16">
        <v>41.330399999999997</v>
      </c>
      <c r="L191" s="16">
        <v>45.799700000000001</v>
      </c>
      <c r="M191" s="16">
        <v>47.013199999999998</v>
      </c>
      <c r="N191" s="16">
        <v>315.12610000000001</v>
      </c>
      <c r="O191" s="16">
        <f t="shared" si="12"/>
        <v>42.5994125</v>
      </c>
      <c r="P191" s="7"/>
      <c r="Q191" s="8">
        <f>bdrate(C191:C194,D191:D194,J191:J194,K191:K194)</f>
        <v>-0.38638200370330045</v>
      </c>
      <c r="R191" s="8">
        <f>bdrate(C191:C194,E191:E194,J191:J194,L191:L194)</f>
        <v>-0.52818605996355017</v>
      </c>
      <c r="S191" s="8">
        <f>bdrate(C191:C194,F191:F194,J191:J194,M191:M194)</f>
        <v>-0.54005657533235651</v>
      </c>
      <c r="T191" s="25">
        <f>bdrate(C191:C194,H191:H194,J191:J194,O191:O194)</f>
        <v>-0.41750254947767707</v>
      </c>
      <c r="U191" s="28">
        <f t="shared" si="14"/>
        <v>-3.3088582737565632E-2</v>
      </c>
    </row>
    <row r="192" spans="1:21" x14ac:dyDescent="0.25">
      <c r="A192" s="9" t="s">
        <v>44</v>
      </c>
      <c r="B192" s="9"/>
      <c r="C192" s="17">
        <v>1237.17</v>
      </c>
      <c r="D192" s="18">
        <v>39.442</v>
      </c>
      <c r="E192" s="18">
        <v>43.37</v>
      </c>
      <c r="F192" s="18">
        <v>44.357999999999997</v>
      </c>
      <c r="G192" s="18">
        <v>328.77</v>
      </c>
      <c r="H192" s="18">
        <f t="shared" si="11"/>
        <v>40.547499999999999</v>
      </c>
      <c r="I192" s="5"/>
      <c r="J192" s="17">
        <v>987.96640000000002</v>
      </c>
      <c r="K192" s="18">
        <v>40.193600000000004</v>
      </c>
      <c r="L192" s="18">
        <v>44.851300000000002</v>
      </c>
      <c r="M192" s="18">
        <v>46.0321</v>
      </c>
      <c r="N192" s="18">
        <v>369.68579999999997</v>
      </c>
      <c r="O192" s="18">
        <f t="shared" si="12"/>
        <v>41.505625000000002</v>
      </c>
      <c r="P192" s="7"/>
      <c r="Q192" s="10"/>
      <c r="R192" s="11"/>
      <c r="S192" s="11"/>
      <c r="T192" s="26"/>
      <c r="U192" s="28">
        <f t="shared" si="14"/>
        <v>0.12445113605255952</v>
      </c>
    </row>
    <row r="193" spans="1:21" x14ac:dyDescent="0.25">
      <c r="B193" s="9"/>
      <c r="C193" s="17">
        <v>737.41</v>
      </c>
      <c r="D193" s="18">
        <v>37.106999999999999</v>
      </c>
      <c r="E193" s="18">
        <v>41.853000000000002</v>
      </c>
      <c r="F193" s="18">
        <v>42.872</v>
      </c>
      <c r="G193" s="18">
        <v>331.49</v>
      </c>
      <c r="H193" s="18">
        <f t="shared" si="11"/>
        <v>38.420875000000002</v>
      </c>
      <c r="I193" s="5"/>
      <c r="J193" s="17">
        <v>577.04</v>
      </c>
      <c r="K193" s="18">
        <v>38.244300000000003</v>
      </c>
      <c r="L193" s="18">
        <v>43.2971</v>
      </c>
      <c r="M193" s="18">
        <v>44.454300000000003</v>
      </c>
      <c r="N193" s="18">
        <v>432.27670000000001</v>
      </c>
      <c r="O193" s="18">
        <f t="shared" si="12"/>
        <v>39.652149999999999</v>
      </c>
      <c r="P193" s="7"/>
      <c r="Q193" s="10"/>
      <c r="R193" s="11"/>
      <c r="S193" s="11"/>
      <c r="T193" s="26"/>
      <c r="U193" s="28">
        <f t="shared" si="14"/>
        <v>0.30404144921415427</v>
      </c>
    </row>
    <row r="194" spans="1:21" ht="16.5" thickBot="1" x14ac:dyDescent="0.3">
      <c r="B194" s="12"/>
      <c r="C194" s="19">
        <v>340.45</v>
      </c>
      <c r="D194" s="20">
        <v>32.905999999999999</v>
      </c>
      <c r="E194" s="20">
        <v>39.719000000000001</v>
      </c>
      <c r="F194" s="20">
        <v>40.527000000000001</v>
      </c>
      <c r="G194" s="20">
        <v>328.77</v>
      </c>
      <c r="H194" s="20">
        <f t="shared" si="11"/>
        <v>34.710249999999995</v>
      </c>
      <c r="I194" s="5"/>
      <c r="J194" s="19">
        <v>283.3304</v>
      </c>
      <c r="K194" s="20">
        <v>34.923900000000003</v>
      </c>
      <c r="L194" s="20">
        <v>41.323799999999999</v>
      </c>
      <c r="M194" s="20">
        <v>42.199300000000001</v>
      </c>
      <c r="N194" s="20">
        <v>519.48050000000001</v>
      </c>
      <c r="O194" s="20">
        <f t="shared" si="12"/>
        <v>36.633312500000002</v>
      </c>
      <c r="P194" s="7"/>
      <c r="Q194" s="13"/>
      <c r="R194" s="14"/>
      <c r="S194" s="14"/>
      <c r="T194" s="27"/>
      <c r="U194" s="28">
        <f t="shared" si="14"/>
        <v>0.58007269519725047</v>
      </c>
    </row>
    <row r="195" spans="1:21" x14ac:dyDescent="0.25">
      <c r="B195" s="6" t="s">
        <v>62</v>
      </c>
      <c r="C195" s="15">
        <v>1986.43</v>
      </c>
      <c r="D195" s="16">
        <v>42.073</v>
      </c>
      <c r="E195" s="16">
        <v>46.683</v>
      </c>
      <c r="F195" s="16">
        <v>47.155999999999999</v>
      </c>
      <c r="G195" s="16">
        <v>307.69</v>
      </c>
      <c r="H195" s="16">
        <f t="shared" si="11"/>
        <v>43.284624999999998</v>
      </c>
      <c r="I195" s="5"/>
      <c r="J195" s="15">
        <v>1472.4856</v>
      </c>
      <c r="K195" s="16">
        <v>42.598799999999997</v>
      </c>
      <c r="L195" s="16">
        <v>47.848999999999997</v>
      </c>
      <c r="M195" s="16">
        <v>48.530700000000003</v>
      </c>
      <c r="N195" s="16">
        <v>388.601</v>
      </c>
      <c r="O195" s="16">
        <f t="shared" si="12"/>
        <v>43.996562500000003</v>
      </c>
      <c r="P195" s="7"/>
      <c r="Q195" s="8">
        <f>bdrate(C195:C198,D195:D198,J195:J198,K195:K198)</f>
        <v>-0.52803617002746273</v>
      </c>
      <c r="R195" s="8">
        <f>bdrate(C195:C198,E195:E198,J195:J198,L195:L198)</f>
        <v>-0.67521894088825485</v>
      </c>
      <c r="S195" s="8">
        <f>bdrate(C195:C198,F195:F198,J195:J198,M195:M198)</f>
        <v>-0.70064134629564223</v>
      </c>
      <c r="T195" s="25">
        <f>bdrate(C195:C198,H195:H198,J195:J198,O195:O198)</f>
        <v>-0.57363637724532879</v>
      </c>
      <c r="U195" s="28">
        <f t="shared" ref="U195:U202" si="15">(N195-G195)/G195</f>
        <v>0.26296272222041667</v>
      </c>
    </row>
    <row r="196" spans="1:21" x14ac:dyDescent="0.25">
      <c r="B196" s="9"/>
      <c r="C196" s="17">
        <v>1295.83</v>
      </c>
      <c r="D196" s="18">
        <v>41.292999999999999</v>
      </c>
      <c r="E196" s="18">
        <v>45.777999999999999</v>
      </c>
      <c r="F196" s="18">
        <v>46.213999999999999</v>
      </c>
      <c r="G196" s="18">
        <v>317.8</v>
      </c>
      <c r="H196" s="18">
        <f t="shared" si="11"/>
        <v>42.46875</v>
      </c>
      <c r="I196" s="5"/>
      <c r="J196" s="17">
        <v>970.45039999999995</v>
      </c>
      <c r="K196" s="18">
        <v>42.035699999999999</v>
      </c>
      <c r="L196" s="18">
        <v>47.316699999999997</v>
      </c>
      <c r="M196" s="18">
        <v>47.991100000000003</v>
      </c>
      <c r="N196" s="18">
        <v>431.96539999999999</v>
      </c>
      <c r="O196" s="18">
        <f t="shared" si="12"/>
        <v>43.440249999999999</v>
      </c>
      <c r="P196" s="7"/>
      <c r="Q196" s="10"/>
      <c r="R196" s="11"/>
      <c r="S196" s="11"/>
      <c r="T196" s="26"/>
      <c r="U196" s="28">
        <f t="shared" si="15"/>
        <v>0.35923662680931395</v>
      </c>
    </row>
    <row r="197" spans="1:21" x14ac:dyDescent="0.25">
      <c r="B197" s="9"/>
      <c r="C197" s="17">
        <v>759.51</v>
      </c>
      <c r="D197" s="18">
        <v>39.926000000000002</v>
      </c>
      <c r="E197" s="18">
        <v>44.412999999999997</v>
      </c>
      <c r="F197" s="18">
        <v>44.887999999999998</v>
      </c>
      <c r="G197" s="18">
        <v>307.69</v>
      </c>
      <c r="H197" s="18">
        <f t="shared" si="11"/>
        <v>41.107124999999996</v>
      </c>
      <c r="I197" s="5"/>
      <c r="J197" s="17">
        <v>572.89760000000001</v>
      </c>
      <c r="K197" s="18">
        <v>41.111199999999997</v>
      </c>
      <c r="L197" s="18">
        <v>46.433</v>
      </c>
      <c r="M197" s="18">
        <v>47.0901</v>
      </c>
      <c r="N197" s="18">
        <v>469.11649999999997</v>
      </c>
      <c r="O197" s="18">
        <f t="shared" si="12"/>
        <v>42.523787499999997</v>
      </c>
      <c r="P197" s="7"/>
      <c r="Q197" s="10"/>
      <c r="R197" s="11"/>
      <c r="S197" s="11"/>
      <c r="T197" s="26"/>
      <c r="U197" s="28">
        <f t="shared" si="15"/>
        <v>0.52464005980044848</v>
      </c>
    </row>
    <row r="198" spans="1:21" ht="16.5" thickBot="1" x14ac:dyDescent="0.3">
      <c r="B198" s="12"/>
      <c r="C198" s="19">
        <v>335.04</v>
      </c>
      <c r="D198" s="20">
        <v>36.685000000000002</v>
      </c>
      <c r="E198" s="20">
        <v>41.973999999999997</v>
      </c>
      <c r="F198" s="20">
        <v>42.823999999999998</v>
      </c>
      <c r="G198" s="20">
        <v>320.51</v>
      </c>
      <c r="H198" s="20">
        <f t="shared" si="11"/>
        <v>38.113500000000002</v>
      </c>
      <c r="I198" s="5"/>
      <c r="J198" s="19">
        <v>278.68639999999999</v>
      </c>
      <c r="K198" s="20">
        <v>39.234000000000002</v>
      </c>
      <c r="L198" s="20">
        <v>44.703699999999998</v>
      </c>
      <c r="M198" s="20">
        <v>45.296300000000002</v>
      </c>
      <c r="N198" s="20">
        <v>534.28319999999997</v>
      </c>
      <c r="O198" s="20">
        <f t="shared" si="12"/>
        <v>40.6755</v>
      </c>
      <c r="P198" s="7"/>
      <c r="Q198" s="13"/>
      <c r="R198" s="14"/>
      <c r="S198" s="14"/>
      <c r="T198" s="27"/>
      <c r="U198" s="28">
        <f t="shared" si="15"/>
        <v>0.66697825340862993</v>
      </c>
    </row>
    <row r="199" spans="1:21" x14ac:dyDescent="0.25">
      <c r="B199" s="6" t="s">
        <v>63</v>
      </c>
      <c r="C199" s="15">
        <v>2078.94</v>
      </c>
      <c r="D199" s="16">
        <v>41.962000000000003</v>
      </c>
      <c r="E199" s="16">
        <v>45.725000000000001</v>
      </c>
      <c r="F199" s="16">
        <v>46.468000000000004</v>
      </c>
      <c r="G199" s="16">
        <v>305.19</v>
      </c>
      <c r="H199" s="16">
        <f t="shared" si="11"/>
        <v>42.995625000000004</v>
      </c>
      <c r="I199" s="5"/>
      <c r="J199" s="15">
        <v>1542.096</v>
      </c>
      <c r="K199" s="16">
        <v>42.4831</v>
      </c>
      <c r="L199" s="16">
        <v>46.911799999999999</v>
      </c>
      <c r="M199" s="16">
        <v>47.799500000000002</v>
      </c>
      <c r="N199" s="16">
        <v>346.62049999999999</v>
      </c>
      <c r="O199" s="16">
        <f t="shared" si="12"/>
        <v>43.701237499999998</v>
      </c>
      <c r="P199" s="7"/>
      <c r="Q199" s="8">
        <f>bdrate(C199:C202,D199:D202,J199:J202,K199:K202)</f>
        <v>-0.47736964855948139</v>
      </c>
      <c r="R199" s="8">
        <f>bdrate(C199:C202,E199:E202,J199:J202,L199:L202)</f>
        <v>-0.60029378648792564</v>
      </c>
      <c r="S199" s="8">
        <f>bdrate(C199:C202,F199:F202,J199:J202,M199:M202)</f>
        <v>-0.62643887474335325</v>
      </c>
      <c r="T199" s="25">
        <f>bdrate(C199:C202,H199:H202,J199:J202,O199:O202)</f>
        <v>-0.51136337955013067</v>
      </c>
      <c r="U199" s="28">
        <f t="shared" si="15"/>
        <v>0.13575313738982273</v>
      </c>
    </row>
    <row r="200" spans="1:21" x14ac:dyDescent="0.25">
      <c r="B200" s="9"/>
      <c r="C200" s="17">
        <v>1367.9</v>
      </c>
      <c r="D200" s="18">
        <v>40.835999999999999</v>
      </c>
      <c r="E200" s="18">
        <v>44.656999999999996</v>
      </c>
      <c r="F200" s="18">
        <v>45.332999999999998</v>
      </c>
      <c r="G200" s="18">
        <v>302.88</v>
      </c>
      <c r="H200" s="18">
        <f t="shared" si="11"/>
        <v>41.875749999999996</v>
      </c>
      <c r="I200" s="5"/>
      <c r="J200" s="17">
        <v>1005.5848</v>
      </c>
      <c r="K200" s="18">
        <v>41.636899999999997</v>
      </c>
      <c r="L200" s="18">
        <v>46.178100000000001</v>
      </c>
      <c r="M200" s="18">
        <v>47.057299999999998</v>
      </c>
      <c r="N200" s="18">
        <v>388.34949999999998</v>
      </c>
      <c r="O200" s="18">
        <f t="shared" si="12"/>
        <v>42.882100000000001</v>
      </c>
      <c r="P200" s="7"/>
      <c r="Q200" s="10"/>
      <c r="R200" s="11"/>
      <c r="S200" s="11"/>
      <c r="T200" s="26"/>
      <c r="U200" s="28">
        <f t="shared" si="15"/>
        <v>0.28218931590068669</v>
      </c>
    </row>
    <row r="201" spans="1:21" x14ac:dyDescent="0.25">
      <c r="B201" s="9"/>
      <c r="C201" s="17">
        <v>813.74</v>
      </c>
      <c r="D201" s="18">
        <v>38.966000000000001</v>
      </c>
      <c r="E201" s="18">
        <v>43.042999999999999</v>
      </c>
      <c r="F201" s="18">
        <v>43.697000000000003</v>
      </c>
      <c r="G201" s="18">
        <v>312.66000000000003</v>
      </c>
      <c r="H201" s="18">
        <f t="shared" si="11"/>
        <v>40.067</v>
      </c>
      <c r="I201" s="5"/>
      <c r="J201" s="17">
        <v>597.50879999999995</v>
      </c>
      <c r="K201" s="18">
        <v>40.2014</v>
      </c>
      <c r="L201" s="18">
        <v>44.8598</v>
      </c>
      <c r="M201" s="18">
        <v>45.721200000000003</v>
      </c>
      <c r="N201" s="18">
        <v>437.31779999999998</v>
      </c>
      <c r="O201" s="18">
        <f t="shared" si="12"/>
        <v>41.473675</v>
      </c>
      <c r="P201" s="7"/>
      <c r="Q201" s="10"/>
      <c r="R201" s="11"/>
      <c r="S201" s="11"/>
      <c r="T201" s="26"/>
      <c r="U201" s="28">
        <f t="shared" si="15"/>
        <v>0.39870082517750893</v>
      </c>
    </row>
    <row r="202" spans="1:21" ht="16.5" thickBot="1" x14ac:dyDescent="0.3">
      <c r="B202" s="12"/>
      <c r="C202" s="19">
        <v>371.54</v>
      </c>
      <c r="D202" s="20">
        <v>35.137</v>
      </c>
      <c r="E202" s="20">
        <v>40.762999999999998</v>
      </c>
      <c r="F202" s="20">
        <v>41.314999999999998</v>
      </c>
      <c r="G202" s="20">
        <v>305.19</v>
      </c>
      <c r="H202" s="20">
        <f t="shared" si="11"/>
        <v>36.612499999999997</v>
      </c>
      <c r="I202" s="5"/>
      <c r="J202" s="19">
        <v>294.60160000000002</v>
      </c>
      <c r="K202" s="20">
        <v>37.590600000000002</v>
      </c>
      <c r="L202" s="20">
        <v>42.765099999999997</v>
      </c>
      <c r="M202" s="20">
        <v>43.6995</v>
      </c>
      <c r="N202" s="20">
        <v>499.58370000000002</v>
      </c>
      <c r="O202" s="20">
        <f t="shared" si="12"/>
        <v>39.001025000000006</v>
      </c>
      <c r="P202" s="7"/>
      <c r="Q202" s="13"/>
      <c r="R202" s="14"/>
      <c r="S202" s="14"/>
      <c r="T202" s="27"/>
      <c r="U202" s="28">
        <f t="shared" si="15"/>
        <v>0.6369595989383664</v>
      </c>
    </row>
    <row r="203" spans="1:21" x14ac:dyDescent="0.25">
      <c r="A203" s="6" t="s">
        <v>94</v>
      </c>
      <c r="B203" s="6" t="s">
        <v>95</v>
      </c>
      <c r="C203" s="15">
        <v>1611.11</v>
      </c>
      <c r="D203" s="16">
        <v>41.57</v>
      </c>
      <c r="E203" s="16">
        <v>46.262</v>
      </c>
      <c r="F203" s="16">
        <v>48.075000000000003</v>
      </c>
      <c r="G203" s="16">
        <v>251.92</v>
      </c>
      <c r="H203" s="16">
        <f t="shared" ref="H203:H213" si="16">(6*D203+E203+F203)/8</f>
        <v>42.969625000000001</v>
      </c>
      <c r="I203" s="5"/>
      <c r="J203" s="15">
        <v>1285.8616999999999</v>
      </c>
      <c r="K203" s="16">
        <v>43.378100000000003</v>
      </c>
      <c r="L203" s="16">
        <v>49.314900000000002</v>
      </c>
      <c r="M203" s="16">
        <v>50.346899999999998</v>
      </c>
      <c r="N203" s="16">
        <v>224.94380000000001</v>
      </c>
      <c r="O203" s="16">
        <f t="shared" ref="O203:O213" si="17">(6*K203+L203+M203)/8</f>
        <v>44.991300000000003</v>
      </c>
      <c r="P203" s="7"/>
      <c r="Q203" s="8">
        <f>bdrate(C203:C206,D203:D206,J203:J206,K203:K206)</f>
        <v>-0.53395881831052483</v>
      </c>
      <c r="R203" s="8">
        <f>bdrate(C203:C206,E203:E206,J203:J206,L203:L206)</f>
        <v>-0.66777007868169047</v>
      </c>
      <c r="S203" s="8">
        <f>bdrate(C203:C206,F203:F206,J203:J206,M203:M206)</f>
        <v>-0.60868052541653439</v>
      </c>
      <c r="T203" s="25">
        <f>bdrate(C203:C206,H203:H206,J203:J206,O203:O206)</f>
        <v>-0.55767806218342908</v>
      </c>
      <c r="U203" s="28">
        <f t="shared" ref="U203:U213" si="18">(N203-G203)/G203</f>
        <v>-0.10708240711336924</v>
      </c>
    </row>
    <row r="204" spans="1:21" x14ac:dyDescent="0.25">
      <c r="A204" s="9" t="s">
        <v>77</v>
      </c>
      <c r="B204" s="9"/>
      <c r="C204" s="17">
        <v>1076.4100000000001</v>
      </c>
      <c r="D204" s="18">
        <v>39.116999999999997</v>
      </c>
      <c r="E204" s="18">
        <v>44.924999999999997</v>
      </c>
      <c r="F204" s="18">
        <v>46.591999999999999</v>
      </c>
      <c r="G204" s="18">
        <v>271.49</v>
      </c>
      <c r="H204" s="18">
        <f t="shared" si="16"/>
        <v>40.777374999999999</v>
      </c>
      <c r="I204" s="5"/>
      <c r="J204" s="17">
        <v>874.06290000000001</v>
      </c>
      <c r="K204" s="18">
        <v>41.732700000000001</v>
      </c>
      <c r="L204" s="18">
        <v>48.180300000000003</v>
      </c>
      <c r="M204" s="18">
        <v>49.0242</v>
      </c>
      <c r="N204" s="18">
        <v>258.13850000000002</v>
      </c>
      <c r="O204" s="18">
        <f t="shared" si="17"/>
        <v>43.450087500000002</v>
      </c>
      <c r="P204" s="7"/>
      <c r="Q204" s="10"/>
      <c r="R204" s="11"/>
      <c r="S204" s="11"/>
      <c r="T204" s="26"/>
      <c r="U204" s="28">
        <f t="shared" si="18"/>
        <v>-4.9178606946848821E-2</v>
      </c>
    </row>
    <row r="205" spans="1:21" x14ac:dyDescent="0.25">
      <c r="B205" s="9"/>
      <c r="C205" s="17">
        <v>655.38</v>
      </c>
      <c r="D205" s="18">
        <v>36.082999999999998</v>
      </c>
      <c r="E205" s="18">
        <v>42.423000000000002</v>
      </c>
      <c r="F205" s="18">
        <v>44.808999999999997</v>
      </c>
      <c r="G205" s="18">
        <v>294.36</v>
      </c>
      <c r="H205" s="18">
        <f t="shared" si="16"/>
        <v>37.966250000000002</v>
      </c>
      <c r="I205" s="5"/>
      <c r="J205" s="17">
        <v>533.56209999999999</v>
      </c>
      <c r="K205" s="18">
        <v>39.346299999999999</v>
      </c>
      <c r="L205" s="18">
        <v>46.402000000000001</v>
      </c>
      <c r="M205" s="18">
        <v>47.399099999999997</v>
      </c>
      <c r="N205" s="18">
        <v>311.8503</v>
      </c>
      <c r="O205" s="18">
        <f t="shared" si="17"/>
        <v>41.234862499999998</v>
      </c>
      <c r="P205" s="7"/>
      <c r="Q205" s="10"/>
      <c r="R205" s="11"/>
      <c r="S205" s="11"/>
      <c r="T205" s="26"/>
      <c r="U205" s="28">
        <f t="shared" si="18"/>
        <v>5.9418059518956345E-2</v>
      </c>
    </row>
    <row r="206" spans="1:21" ht="16.5" thickBot="1" x14ac:dyDescent="0.3">
      <c r="B206" s="12"/>
      <c r="C206" s="19">
        <v>309.38</v>
      </c>
      <c r="D206" s="20">
        <v>31.253</v>
      </c>
      <c r="E206" s="20">
        <v>40.161000000000001</v>
      </c>
      <c r="F206" s="20">
        <v>42.87</v>
      </c>
      <c r="G206" s="20">
        <v>315.29000000000002</v>
      </c>
      <c r="H206" s="20">
        <f t="shared" si="16"/>
        <v>33.818624999999997</v>
      </c>
      <c r="I206" s="5"/>
      <c r="J206" s="19">
        <v>279.87810000000002</v>
      </c>
      <c r="K206" s="20">
        <v>36.383400000000002</v>
      </c>
      <c r="L206" s="20">
        <v>43.835000000000001</v>
      </c>
      <c r="M206" s="20">
        <v>45.173200000000001</v>
      </c>
      <c r="N206" s="20">
        <v>396.47579999999999</v>
      </c>
      <c r="O206" s="20">
        <f t="shared" si="17"/>
        <v>38.413575000000002</v>
      </c>
      <c r="P206" s="7"/>
      <c r="Q206" s="13"/>
      <c r="R206" s="14"/>
      <c r="S206" s="14"/>
      <c r="T206" s="27"/>
      <c r="U206" s="28">
        <f t="shared" si="18"/>
        <v>0.25749563893558303</v>
      </c>
    </row>
    <row r="207" spans="1:21" x14ac:dyDescent="0.25">
      <c r="B207" s="6" t="s">
        <v>96</v>
      </c>
      <c r="C207" s="15">
        <v>1990.99</v>
      </c>
      <c r="D207" s="16">
        <v>52.95</v>
      </c>
      <c r="E207" s="16">
        <v>53.295999999999999</v>
      </c>
      <c r="F207" s="16">
        <v>53.691000000000003</v>
      </c>
      <c r="G207" s="16">
        <v>493.15</v>
      </c>
      <c r="H207" s="16">
        <f t="shared" si="16"/>
        <v>53.085875000000001</v>
      </c>
      <c r="I207" s="5"/>
      <c r="J207" s="15">
        <v>1442.1204</v>
      </c>
      <c r="K207" s="16">
        <v>51.399700000000003</v>
      </c>
      <c r="L207" s="16">
        <v>52.3977</v>
      </c>
      <c r="M207" s="16">
        <v>52.907600000000002</v>
      </c>
      <c r="N207" s="16">
        <v>366.30040000000002</v>
      </c>
      <c r="O207" s="16">
        <f t="shared" si="17"/>
        <v>51.712937500000002</v>
      </c>
      <c r="P207" s="7"/>
      <c r="Q207" s="8">
        <f>bdrate(C207:C210,D207:D210,J207:J210,K207:K210)</f>
        <v>-0.1570236950470304</v>
      </c>
      <c r="R207" s="8">
        <f>bdrate(C207:C210,E207:E210,J207:J210,L207:L210)</f>
        <v>-0.24744506625978313</v>
      </c>
      <c r="S207" s="8">
        <f>bdrate(C207:C210,F207:F210,J207:J210,M207:M210)</f>
        <v>-0.256870964061643</v>
      </c>
      <c r="T207" s="25">
        <f>bdrate(C207:C210,H207:H210,J207:J210,O207:O210)</f>
        <v>-0.18070787932674381</v>
      </c>
      <c r="U207" s="28">
        <f t="shared" si="18"/>
        <v>-0.25722315725438499</v>
      </c>
    </row>
    <row r="208" spans="1:21" x14ac:dyDescent="0.25">
      <c r="B208" s="9"/>
      <c r="C208" s="17">
        <v>1330.35</v>
      </c>
      <c r="D208" s="18">
        <v>50.347999999999999</v>
      </c>
      <c r="E208" s="18">
        <v>50.863999999999997</v>
      </c>
      <c r="F208" s="18">
        <v>51.322000000000003</v>
      </c>
      <c r="G208" s="18">
        <v>517.54</v>
      </c>
      <c r="H208" s="18">
        <f t="shared" si="16"/>
        <v>50.534249999999993</v>
      </c>
      <c r="I208" s="5"/>
      <c r="J208" s="17">
        <v>975.17129999999997</v>
      </c>
      <c r="K208" s="18">
        <v>49.386800000000001</v>
      </c>
      <c r="L208" s="18">
        <v>50.5351</v>
      </c>
      <c r="M208" s="18">
        <v>51.102499999999999</v>
      </c>
      <c r="N208" s="18">
        <v>418.02140000000003</v>
      </c>
      <c r="O208" s="18">
        <f t="shared" si="17"/>
        <v>49.744800000000005</v>
      </c>
      <c r="P208" s="7"/>
      <c r="Q208" s="10"/>
      <c r="R208" s="11"/>
      <c r="S208" s="11"/>
      <c r="T208" s="26"/>
      <c r="U208" s="28">
        <f t="shared" si="18"/>
        <v>-0.19229161031031405</v>
      </c>
    </row>
    <row r="209" spans="2:21" x14ac:dyDescent="0.25">
      <c r="B209" s="9"/>
      <c r="C209" s="17">
        <v>808.32</v>
      </c>
      <c r="D209" s="18">
        <v>47.223999999999997</v>
      </c>
      <c r="E209" s="18">
        <v>47.935000000000002</v>
      </c>
      <c r="F209" s="18">
        <v>48.420999999999999</v>
      </c>
      <c r="G209" s="18">
        <v>541.67999999999995</v>
      </c>
      <c r="H209" s="18">
        <f t="shared" si="16"/>
        <v>47.462499999999999</v>
      </c>
      <c r="I209" s="5"/>
      <c r="J209" s="17">
        <v>592.48969999999997</v>
      </c>
      <c r="K209" s="18">
        <v>46.4529</v>
      </c>
      <c r="L209" s="18">
        <v>47.869399999999999</v>
      </c>
      <c r="M209" s="18">
        <v>48.441800000000001</v>
      </c>
      <c r="N209" s="18">
        <v>472.9375</v>
      </c>
      <c r="O209" s="18">
        <f t="shared" si="17"/>
        <v>46.878574999999998</v>
      </c>
      <c r="P209" s="7"/>
      <c r="Q209" s="10"/>
      <c r="R209" s="11"/>
      <c r="S209" s="11"/>
      <c r="T209" s="26"/>
      <c r="U209" s="28">
        <f t="shared" si="18"/>
        <v>-0.12690610692659865</v>
      </c>
    </row>
    <row r="210" spans="2:21" ht="16.5" thickBot="1" x14ac:dyDescent="0.3">
      <c r="B210" s="12"/>
      <c r="C210" s="19">
        <v>382.12</v>
      </c>
      <c r="D210" s="20">
        <v>42.521000000000001</v>
      </c>
      <c r="E210" s="20">
        <v>43.462000000000003</v>
      </c>
      <c r="F210" s="20">
        <v>44.073999999999998</v>
      </c>
      <c r="G210" s="20">
        <v>568.36</v>
      </c>
      <c r="H210" s="20">
        <f t="shared" si="16"/>
        <v>42.832750000000004</v>
      </c>
      <c r="I210" s="5"/>
      <c r="J210" s="19">
        <v>299.57049999999998</v>
      </c>
      <c r="K210" s="20">
        <v>42.117899999999999</v>
      </c>
      <c r="L210" s="20">
        <v>43.979900000000001</v>
      </c>
      <c r="M210" s="20">
        <v>44.548900000000003</v>
      </c>
      <c r="N210" s="20">
        <v>522.04179999999997</v>
      </c>
      <c r="O210" s="20">
        <f t="shared" si="17"/>
        <v>42.654525</v>
      </c>
      <c r="P210" s="7"/>
      <c r="Q210" s="13"/>
      <c r="R210" s="14"/>
      <c r="S210" s="14"/>
      <c r="T210" s="27"/>
      <c r="U210" s="28">
        <f t="shared" si="18"/>
        <v>-8.1494475332535801E-2</v>
      </c>
    </row>
    <row r="211" spans="2:21" x14ac:dyDescent="0.25">
      <c r="B211" s="6" t="s">
        <v>97</v>
      </c>
      <c r="C211" s="15">
        <v>2180.5100000000002</v>
      </c>
      <c r="D211" s="16">
        <v>42.475000000000001</v>
      </c>
      <c r="E211" s="16">
        <v>44.223999999999997</v>
      </c>
      <c r="F211" s="16">
        <v>44.856999999999999</v>
      </c>
      <c r="G211" s="16">
        <v>295.13</v>
      </c>
      <c r="H211" s="16">
        <f t="shared" si="16"/>
        <v>42.991375000000005</v>
      </c>
      <c r="I211" s="5"/>
      <c r="J211" s="15">
        <v>1470.5624</v>
      </c>
      <c r="K211" s="16">
        <v>42.555999999999997</v>
      </c>
      <c r="L211" s="16">
        <v>45.070599999999999</v>
      </c>
      <c r="M211" s="16">
        <v>45.501100000000001</v>
      </c>
      <c r="N211" s="16">
        <v>267.06229999999999</v>
      </c>
      <c r="O211" s="16">
        <f t="shared" si="17"/>
        <v>43.238462499999997</v>
      </c>
      <c r="P211" s="7"/>
      <c r="Q211" s="8">
        <f>bdrate(C211:C214,D211:D214,J211:J214,K211:K214)</f>
        <v>-0.43096262220475601</v>
      </c>
      <c r="R211" s="8">
        <f>bdrate(C211:C214,E211:E214,J211:J214,L211:L214)</f>
        <v>-0.48982180794604602</v>
      </c>
      <c r="S211" s="8">
        <f>bdrate(C211:C214,F211:F214,J211:J214,M211:M214)</f>
        <v>-0.45493415121663927</v>
      </c>
      <c r="T211" s="25">
        <f>bdrate(C211:C214,H211:H214,J211:J214,O211:O214)</f>
        <v>-0.43962868914684727</v>
      </c>
      <c r="U211" s="28">
        <f t="shared" si="18"/>
        <v>-9.5102836038355981E-2</v>
      </c>
    </row>
    <row r="212" spans="2:21" x14ac:dyDescent="0.25">
      <c r="B212" s="9"/>
      <c r="C212" s="17">
        <v>1452.02</v>
      </c>
      <c r="D212" s="18">
        <v>39.917999999999999</v>
      </c>
      <c r="E212" s="18">
        <v>42.514000000000003</v>
      </c>
      <c r="F212" s="18">
        <v>43.197000000000003</v>
      </c>
      <c r="G212" s="18">
        <v>313.52999999999997</v>
      </c>
      <c r="H212" s="18">
        <f t="shared" si="16"/>
        <v>40.652374999999999</v>
      </c>
      <c r="I212" s="5"/>
      <c r="J212" s="17">
        <v>983.94799999999998</v>
      </c>
      <c r="K212" s="18">
        <v>40.645000000000003</v>
      </c>
      <c r="L212" s="18">
        <v>43.589599999999997</v>
      </c>
      <c r="M212" s="18">
        <v>44.027299999999997</v>
      </c>
      <c r="N212" s="18">
        <v>310.1309</v>
      </c>
      <c r="O212" s="18">
        <f t="shared" si="17"/>
        <v>41.435862499999999</v>
      </c>
      <c r="P212" s="7"/>
      <c r="Q212" s="10"/>
      <c r="R212" s="11"/>
      <c r="S212" s="11"/>
      <c r="T212" s="26"/>
      <c r="U212" s="28">
        <f t="shared" si="18"/>
        <v>-1.0841386789142909E-2</v>
      </c>
    </row>
    <row r="213" spans="2:21" x14ac:dyDescent="0.25">
      <c r="B213" s="9"/>
      <c r="C213" s="17">
        <v>883.97</v>
      </c>
      <c r="D213" s="18">
        <v>37.014000000000003</v>
      </c>
      <c r="E213" s="18">
        <v>40.652000000000001</v>
      </c>
      <c r="F213" s="18">
        <v>41.334000000000003</v>
      </c>
      <c r="G213" s="18">
        <v>331.55</v>
      </c>
      <c r="H213" s="18">
        <f t="shared" si="16"/>
        <v>38.008749999999999</v>
      </c>
      <c r="I213" s="5"/>
      <c r="J213" s="17">
        <v>593.23710000000005</v>
      </c>
      <c r="K213" s="18">
        <v>38.055599999999998</v>
      </c>
      <c r="L213" s="18">
        <v>41.712600000000002</v>
      </c>
      <c r="M213" s="18">
        <v>42.137300000000003</v>
      </c>
      <c r="N213" s="18">
        <v>356.0831</v>
      </c>
      <c r="O213" s="18">
        <f t="shared" si="17"/>
        <v>39.022937499999998</v>
      </c>
      <c r="P213" s="7"/>
      <c r="Q213" s="10"/>
      <c r="R213" s="11"/>
      <c r="S213" s="11"/>
      <c r="T213" s="26"/>
      <c r="U213" s="28">
        <f t="shared" si="18"/>
        <v>7.3995174181872986E-2</v>
      </c>
    </row>
    <row r="214" spans="2:21" ht="16.5" thickBot="1" x14ac:dyDescent="0.3">
      <c r="B214" s="12"/>
      <c r="C214" s="19">
        <v>421.89</v>
      </c>
      <c r="D214" s="20">
        <v>31.812999999999999</v>
      </c>
      <c r="E214" s="20">
        <v>38.085999999999999</v>
      </c>
      <c r="F214" s="20">
        <v>38.829000000000001</v>
      </c>
      <c r="G214" s="20">
        <v>349.65</v>
      </c>
      <c r="H214" s="20">
        <f t="shared" ref="H214:H246" si="19">(6*D214+E214+F214)/8</f>
        <v>33.474125000000001</v>
      </c>
      <c r="I214" s="5"/>
      <c r="J214" s="19">
        <v>297.2321</v>
      </c>
      <c r="K214" s="20">
        <v>34.368400000000001</v>
      </c>
      <c r="L214" s="20">
        <v>39.151299999999999</v>
      </c>
      <c r="M214" s="20">
        <v>39.622</v>
      </c>
      <c r="N214" s="20">
        <v>422.7337</v>
      </c>
      <c r="O214" s="20">
        <f t="shared" ref="O214:O246" si="20">(6*K214+L214+M214)/8</f>
        <v>35.6229625</v>
      </c>
      <c r="P214" s="7"/>
      <c r="Q214" s="13"/>
      <c r="R214" s="14"/>
      <c r="S214" s="14"/>
      <c r="T214" s="27"/>
      <c r="U214" s="28">
        <f t="shared" ref="U214:U246" si="21">(N214-G214)/G214</f>
        <v>0.20901959101959108</v>
      </c>
    </row>
    <row r="215" spans="2:21" x14ac:dyDescent="0.25">
      <c r="B215" s="6" t="s">
        <v>98</v>
      </c>
      <c r="C215" s="29">
        <v>2060.3000000000002</v>
      </c>
      <c r="D215" s="30">
        <v>38.92</v>
      </c>
      <c r="E215" s="30">
        <v>43.207000000000001</v>
      </c>
      <c r="F215" s="30">
        <v>43.179000000000002</v>
      </c>
      <c r="G215" s="16">
        <v>256.41000000000003</v>
      </c>
      <c r="H215" s="16">
        <f t="shared" si="19"/>
        <v>39.988250000000008</v>
      </c>
      <c r="I215" s="5"/>
      <c r="J215" s="29">
        <v>1492.7491</v>
      </c>
      <c r="K215" s="30">
        <v>38.954999999999998</v>
      </c>
      <c r="L215" s="30">
        <v>43.576099999999997</v>
      </c>
      <c r="M215" s="30">
        <v>43.551400000000001</v>
      </c>
      <c r="N215" s="16">
        <v>244.4324</v>
      </c>
      <c r="O215" s="16">
        <f t="shared" si="20"/>
        <v>40.107187500000002</v>
      </c>
      <c r="P215" s="7"/>
      <c r="Q215" s="8">
        <f>bdrate(C215:C218,D215:D218,J215:J218,K215:K218)</f>
        <v>-0.3725027769001592</v>
      </c>
      <c r="R215" s="8">
        <f>bdrate(C215:C218,E215:E218,J215:J218,L215:L218)</f>
        <v>-0.37010488276367226</v>
      </c>
      <c r="S215" s="8">
        <f>bdrate(C215:C218,F215:F218,J215:J218,M215:M218)</f>
        <v>-0.38718608465191517</v>
      </c>
      <c r="T215" s="25">
        <f>bdrate(C215:C218,H215:H218,J215:J218,O215:O218)</f>
        <v>-0.37465568148395612</v>
      </c>
      <c r="U215" s="28">
        <f t="shared" si="21"/>
        <v>-4.6712686712686802E-2</v>
      </c>
    </row>
    <row r="216" spans="2:21" x14ac:dyDescent="0.25">
      <c r="B216" s="9"/>
      <c r="C216" s="31">
        <v>1380.34</v>
      </c>
      <c r="D216" s="32">
        <v>36.692</v>
      </c>
      <c r="E216" s="32">
        <v>41.802</v>
      </c>
      <c r="F216" s="32">
        <v>41.716999999999999</v>
      </c>
      <c r="G216" s="18">
        <v>272.77</v>
      </c>
      <c r="H216" s="18">
        <f t="shared" si="19"/>
        <v>37.958874999999999</v>
      </c>
      <c r="I216" s="5"/>
      <c r="J216" s="31">
        <v>995.62639999999999</v>
      </c>
      <c r="K216" s="32">
        <v>37.047899999999998</v>
      </c>
      <c r="L216" s="32">
        <v>42.250999999999998</v>
      </c>
      <c r="M216" s="32">
        <v>42.221600000000002</v>
      </c>
      <c r="N216" s="18">
        <v>278.03519999999997</v>
      </c>
      <c r="O216" s="18">
        <f t="shared" si="20"/>
        <v>38.344999999999999</v>
      </c>
      <c r="P216" s="7"/>
      <c r="Q216" s="10"/>
      <c r="R216" s="11"/>
      <c r="S216" s="11"/>
      <c r="T216" s="26"/>
      <c r="U216" s="28">
        <f t="shared" si="21"/>
        <v>1.9302709242218694E-2</v>
      </c>
    </row>
    <row r="217" spans="2:21" x14ac:dyDescent="0.25">
      <c r="B217" s="9"/>
      <c r="C217" s="31">
        <v>842.91</v>
      </c>
      <c r="D217" s="32">
        <v>33.947000000000003</v>
      </c>
      <c r="E217" s="32">
        <v>40.314</v>
      </c>
      <c r="F217" s="32">
        <v>40.130000000000003</v>
      </c>
      <c r="G217" s="18">
        <v>287.04000000000002</v>
      </c>
      <c r="H217" s="18">
        <f t="shared" si="19"/>
        <v>35.515750000000004</v>
      </c>
      <c r="I217" s="5"/>
      <c r="J217" s="31">
        <v>601.52790000000005</v>
      </c>
      <c r="K217" s="32">
        <v>34.741599999999998</v>
      </c>
      <c r="L217" s="32">
        <v>40.679099999999998</v>
      </c>
      <c r="M217" s="32">
        <v>40.638100000000001</v>
      </c>
      <c r="N217" s="18">
        <v>325.90980000000002</v>
      </c>
      <c r="O217" s="18">
        <f t="shared" si="20"/>
        <v>36.220849999999999</v>
      </c>
      <c r="P217" s="7"/>
      <c r="Q217" s="10"/>
      <c r="R217" s="11"/>
      <c r="S217" s="11"/>
      <c r="T217" s="26"/>
      <c r="U217" s="28">
        <f t="shared" si="21"/>
        <v>0.13541596989966553</v>
      </c>
    </row>
    <row r="218" spans="2:21" ht="16.5" thickBot="1" x14ac:dyDescent="0.3">
      <c r="B218" s="12"/>
      <c r="C218" s="33">
        <v>402.83</v>
      </c>
      <c r="D218" s="34">
        <v>29.414999999999999</v>
      </c>
      <c r="E218" s="34">
        <v>38.271999999999998</v>
      </c>
      <c r="F218" s="34">
        <v>38.093000000000004</v>
      </c>
      <c r="G218" s="20">
        <v>296.64</v>
      </c>
      <c r="H218" s="20">
        <f t="shared" si="19"/>
        <v>31.606875000000002</v>
      </c>
      <c r="I218" s="5"/>
      <c r="J218" s="33">
        <v>301.65769999999998</v>
      </c>
      <c r="K218" s="34">
        <v>31.673400000000001</v>
      </c>
      <c r="L218" s="34">
        <v>38.764299999999999</v>
      </c>
      <c r="M218" s="34">
        <v>38.654600000000002</v>
      </c>
      <c r="N218" s="20">
        <v>404.85829999999999</v>
      </c>
      <c r="O218" s="20">
        <f t="shared" si="20"/>
        <v>33.432412499999998</v>
      </c>
      <c r="P218" s="7"/>
      <c r="Q218" s="13"/>
      <c r="R218" s="14"/>
      <c r="S218" s="14"/>
      <c r="T218" s="27"/>
      <c r="U218" s="28">
        <f t="shared" si="21"/>
        <v>0.36481357874865156</v>
      </c>
    </row>
    <row r="219" spans="2:21" x14ac:dyDescent="0.25">
      <c r="B219" s="6" t="s">
        <v>99</v>
      </c>
      <c r="C219" s="15">
        <v>2127.8200000000002</v>
      </c>
      <c r="D219" s="16">
        <v>37.384999999999998</v>
      </c>
      <c r="E219" s="16">
        <v>40.53</v>
      </c>
      <c r="F219" s="16">
        <v>41.084000000000003</v>
      </c>
      <c r="G219" s="16">
        <v>292.11</v>
      </c>
      <c r="H219" s="16">
        <f t="shared" si="19"/>
        <v>38.240500000000004</v>
      </c>
      <c r="I219" s="5"/>
      <c r="J219" s="15">
        <v>1499.8879999999999</v>
      </c>
      <c r="K219" s="16">
        <v>36.868600000000001</v>
      </c>
      <c r="L219" s="16">
        <v>41.513399999999997</v>
      </c>
      <c r="M219" s="16">
        <v>42.047199999999997</v>
      </c>
      <c r="N219" s="16">
        <v>247.083</v>
      </c>
      <c r="O219" s="16">
        <f t="shared" si="20"/>
        <v>38.096525</v>
      </c>
      <c r="P219" s="7"/>
      <c r="Q219" s="8">
        <f>bdrate(C219:C222,D219:D222,J219:J222,K219:K222)</f>
        <v>-0.30906182219823997</v>
      </c>
      <c r="R219" s="8">
        <f>bdrate(C219:C222,E219:E222,J219:J222,L219:L222)</f>
        <v>-0.46939859196510736</v>
      </c>
      <c r="S219" s="8">
        <f>bdrate(C219:C222,F219:F222,J219:J222,M219:M222)</f>
        <v>-0.46808388060450579</v>
      </c>
      <c r="T219" s="25">
        <f>bdrate(C219:C222,H219:H222,J219:J222,O219:O222)</f>
        <v>-0.33744691666161319</v>
      </c>
      <c r="U219" s="28">
        <f t="shared" si="21"/>
        <v>-0.15414398685426728</v>
      </c>
    </row>
    <row r="220" spans="2:21" x14ac:dyDescent="0.25">
      <c r="B220" s="9"/>
      <c r="C220" s="17">
        <v>1419.4</v>
      </c>
      <c r="D220" s="18">
        <v>35.168999999999997</v>
      </c>
      <c r="E220" s="18">
        <v>39.081000000000003</v>
      </c>
      <c r="F220" s="18">
        <v>39.713000000000001</v>
      </c>
      <c r="G220" s="18">
        <v>310.99</v>
      </c>
      <c r="H220" s="18">
        <f t="shared" si="19"/>
        <v>36.225999999999999</v>
      </c>
      <c r="I220" s="5"/>
      <c r="J220" s="17">
        <v>1003.8531</v>
      </c>
      <c r="K220" s="18">
        <v>34.947699999999998</v>
      </c>
      <c r="L220" s="18">
        <v>40.097999999999999</v>
      </c>
      <c r="M220" s="18">
        <v>40.685899999999997</v>
      </c>
      <c r="N220" s="18">
        <v>278.72410000000002</v>
      </c>
      <c r="O220" s="18">
        <f t="shared" si="20"/>
        <v>36.3087625</v>
      </c>
      <c r="P220" s="7"/>
      <c r="Q220" s="10"/>
      <c r="R220" s="11"/>
      <c r="S220" s="11"/>
      <c r="T220" s="26"/>
      <c r="U220" s="28">
        <f t="shared" si="21"/>
        <v>-0.10375221068201546</v>
      </c>
    </row>
    <row r="221" spans="2:21" x14ac:dyDescent="0.25">
      <c r="B221" s="9"/>
      <c r="C221" s="17">
        <v>862.8</v>
      </c>
      <c r="D221" s="18">
        <v>32.497999999999998</v>
      </c>
      <c r="E221" s="18">
        <v>37.552999999999997</v>
      </c>
      <c r="F221" s="18">
        <v>38.256</v>
      </c>
      <c r="G221" s="18">
        <v>332.53</v>
      </c>
      <c r="H221" s="18">
        <f t="shared" si="19"/>
        <v>33.849625000000003</v>
      </c>
      <c r="I221" s="5"/>
      <c r="J221" s="17">
        <v>599.44949999999994</v>
      </c>
      <c r="K221" s="18">
        <v>32.595799999999997</v>
      </c>
      <c r="L221" s="18">
        <v>38.411000000000001</v>
      </c>
      <c r="M221" s="18">
        <v>39.064300000000003</v>
      </c>
      <c r="N221" s="18">
        <v>327.8091</v>
      </c>
      <c r="O221" s="18">
        <f t="shared" si="20"/>
        <v>34.131262499999998</v>
      </c>
      <c r="P221" s="7"/>
      <c r="Q221" s="10"/>
      <c r="R221" s="11"/>
      <c r="S221" s="11"/>
      <c r="T221" s="26"/>
      <c r="U221" s="28">
        <f t="shared" si="21"/>
        <v>-1.4196914564099397E-2</v>
      </c>
    </row>
    <row r="222" spans="2:21" ht="16.5" thickBot="1" x14ac:dyDescent="0.3">
      <c r="B222" s="12"/>
      <c r="C222" s="19">
        <v>406.02</v>
      </c>
      <c r="D222" s="20">
        <v>28.181000000000001</v>
      </c>
      <c r="E222" s="20">
        <v>35.563000000000002</v>
      </c>
      <c r="F222" s="20">
        <v>36.344999999999999</v>
      </c>
      <c r="G222" s="20">
        <v>356.15</v>
      </c>
      <c r="H222" s="20">
        <f t="shared" si="19"/>
        <v>30.12425</v>
      </c>
      <c r="I222" s="5"/>
      <c r="J222" s="19">
        <v>298.08749999999998</v>
      </c>
      <c r="K222" s="20">
        <v>29.343</v>
      </c>
      <c r="L222" s="20">
        <v>36.223700000000001</v>
      </c>
      <c r="M222" s="20">
        <v>36.969200000000001</v>
      </c>
      <c r="N222" s="20">
        <v>403.40649999999999</v>
      </c>
      <c r="O222" s="20">
        <f t="shared" si="20"/>
        <v>31.1563625</v>
      </c>
      <c r="P222" s="7"/>
      <c r="Q222" s="13"/>
      <c r="R222" s="14"/>
      <c r="S222" s="14"/>
      <c r="T222" s="27"/>
      <c r="U222" s="28">
        <f t="shared" si="21"/>
        <v>0.13268707005475228</v>
      </c>
    </row>
    <row r="223" spans="2:21" x14ac:dyDescent="0.25">
      <c r="B223" s="6" t="s">
        <v>100</v>
      </c>
      <c r="C223" s="15">
        <v>2124.6999999999998</v>
      </c>
      <c r="D223" s="16">
        <v>37.612000000000002</v>
      </c>
      <c r="E223" s="16">
        <v>42.731000000000002</v>
      </c>
      <c r="F223" s="16">
        <v>44.353999999999999</v>
      </c>
      <c r="G223" s="16">
        <v>234.99</v>
      </c>
      <c r="H223" s="16">
        <f t="shared" si="19"/>
        <v>39.094625000000001</v>
      </c>
      <c r="I223" s="5"/>
      <c r="J223" s="15">
        <v>1508.4127000000001</v>
      </c>
      <c r="K223" s="16">
        <v>37.103700000000003</v>
      </c>
      <c r="L223" s="16">
        <v>43.130099999999999</v>
      </c>
      <c r="M223" s="16">
        <v>44.557200000000002</v>
      </c>
      <c r="N223" s="16">
        <v>235.9418</v>
      </c>
      <c r="O223" s="16">
        <f t="shared" si="20"/>
        <v>38.788687500000002</v>
      </c>
      <c r="P223" s="7"/>
      <c r="Q223" s="8">
        <f>bdrate(C223:C226,D223:D226,J223:J226,K223:K226)</f>
        <v>-0.33407568901615181</v>
      </c>
      <c r="R223" s="8">
        <f>bdrate(C223:C226,E223:E226,J223:J226,L223:L226)</f>
        <v>-0.47854067835507619</v>
      </c>
      <c r="S223" s="8">
        <f>bdrate(C223:C226,F223:F226,J223:J226,M223:M226)</f>
        <v>-0.41459512679874022</v>
      </c>
      <c r="T223" s="25">
        <f>bdrate(C223:C226,H223:H226,J223:J226,O223:O226)</f>
        <v>-0.35528174136156232</v>
      </c>
      <c r="U223" s="28">
        <f t="shared" si="21"/>
        <v>4.0503851227711458E-3</v>
      </c>
    </row>
    <row r="224" spans="2:21" x14ac:dyDescent="0.25">
      <c r="B224" s="9"/>
      <c r="C224" s="17">
        <v>1416.89</v>
      </c>
      <c r="D224" s="18">
        <v>35.786000000000001</v>
      </c>
      <c r="E224" s="18">
        <v>41.497</v>
      </c>
      <c r="F224" s="18">
        <v>43.070999999999998</v>
      </c>
      <c r="G224" s="18">
        <v>255.28</v>
      </c>
      <c r="H224" s="18">
        <f t="shared" si="19"/>
        <v>37.410499999999999</v>
      </c>
      <c r="I224" s="5"/>
      <c r="J224" s="17">
        <v>1004.0333000000001</v>
      </c>
      <c r="K224" s="18">
        <v>35.679000000000002</v>
      </c>
      <c r="L224" s="18">
        <v>42.124600000000001</v>
      </c>
      <c r="M224" s="18">
        <v>43.435400000000001</v>
      </c>
      <c r="N224" s="18">
        <v>270.1891</v>
      </c>
      <c r="O224" s="18">
        <f t="shared" si="20"/>
        <v>37.454250000000002</v>
      </c>
      <c r="P224" s="7"/>
      <c r="Q224" s="10"/>
      <c r="R224" s="11"/>
      <c r="S224" s="11"/>
      <c r="T224" s="26"/>
      <c r="U224" s="28">
        <f t="shared" si="21"/>
        <v>5.8402930115951095E-2</v>
      </c>
    </row>
    <row r="225" spans="2:21" x14ac:dyDescent="0.25">
      <c r="B225" s="9"/>
      <c r="C225" s="17">
        <v>862.05</v>
      </c>
      <c r="D225" s="18">
        <v>33.682000000000002</v>
      </c>
      <c r="E225" s="18">
        <v>40.15</v>
      </c>
      <c r="F225" s="18">
        <v>41.545999999999999</v>
      </c>
      <c r="G225" s="18">
        <v>273.43</v>
      </c>
      <c r="H225" s="18">
        <f t="shared" si="19"/>
        <v>35.473500000000001</v>
      </c>
      <c r="I225" s="5"/>
      <c r="J225" s="17">
        <v>604.02449999999999</v>
      </c>
      <c r="K225" s="18">
        <v>34.034700000000001</v>
      </c>
      <c r="L225" s="18">
        <v>40.9803</v>
      </c>
      <c r="M225" s="18">
        <v>42.147199999999998</v>
      </c>
      <c r="N225" s="18">
        <v>317.85270000000003</v>
      </c>
      <c r="O225" s="18">
        <f t="shared" si="20"/>
        <v>35.916962499999997</v>
      </c>
      <c r="P225" s="7"/>
      <c r="Q225" s="10"/>
      <c r="R225" s="11"/>
      <c r="S225" s="11"/>
      <c r="T225" s="26"/>
      <c r="U225" s="28">
        <f t="shared" si="21"/>
        <v>0.16246461617232938</v>
      </c>
    </row>
    <row r="226" spans="2:21" ht="16.5" thickBot="1" x14ac:dyDescent="0.3">
      <c r="B226" s="12"/>
      <c r="C226" s="19">
        <v>407.95</v>
      </c>
      <c r="D226" s="20">
        <v>30.934999999999999</v>
      </c>
      <c r="E226" s="20">
        <v>38.447000000000003</v>
      </c>
      <c r="F226" s="20">
        <v>39.529000000000003</v>
      </c>
      <c r="G226" s="20">
        <v>287.72000000000003</v>
      </c>
      <c r="H226" s="20">
        <f t="shared" si="19"/>
        <v>32.948250000000002</v>
      </c>
      <c r="I226" s="5"/>
      <c r="J226" s="19">
        <v>302.57799999999997</v>
      </c>
      <c r="K226" s="20">
        <v>31.952000000000002</v>
      </c>
      <c r="L226" s="20">
        <v>39.515300000000003</v>
      </c>
      <c r="M226" s="20">
        <v>40.465200000000003</v>
      </c>
      <c r="N226" s="20">
        <v>395.17009999999999</v>
      </c>
      <c r="O226" s="20">
        <f t="shared" si="20"/>
        <v>33.961562499999999</v>
      </c>
      <c r="P226" s="7"/>
      <c r="Q226" s="13"/>
      <c r="R226" s="14"/>
      <c r="S226" s="14"/>
      <c r="T226" s="27"/>
      <c r="U226" s="28">
        <f t="shared" si="21"/>
        <v>0.37345370499096325</v>
      </c>
    </row>
    <row r="227" spans="2:21" x14ac:dyDescent="0.25">
      <c r="B227" s="6" t="s">
        <v>101</v>
      </c>
      <c r="C227" s="15">
        <v>2219.96</v>
      </c>
      <c r="D227" s="16">
        <v>47.707999999999998</v>
      </c>
      <c r="E227" s="16">
        <v>52.08</v>
      </c>
      <c r="F227" s="16">
        <v>53.295999999999999</v>
      </c>
      <c r="G227" s="16">
        <v>257.39999999999998</v>
      </c>
      <c r="H227" s="16">
        <f t="shared" si="19"/>
        <v>48.952999999999996</v>
      </c>
      <c r="I227" s="5"/>
      <c r="J227" s="15">
        <v>1499.5565999999999</v>
      </c>
      <c r="K227" s="16">
        <v>47.317300000000003</v>
      </c>
      <c r="L227" s="16">
        <v>52.920299999999997</v>
      </c>
      <c r="M227" s="16">
        <v>54.265700000000002</v>
      </c>
      <c r="N227" s="16">
        <v>286.14600000000002</v>
      </c>
      <c r="O227" s="16">
        <f t="shared" si="20"/>
        <v>48.886225000000003</v>
      </c>
      <c r="P227" s="7"/>
      <c r="Q227" s="8">
        <f>bdrate(C227:C230,D227:D230,J227:J230,K227:K230)</f>
        <v>-0.34007301083588903</v>
      </c>
      <c r="R227" s="8">
        <f>bdrate(C227:C230,E227:E230,J227:J230,L227:L230)</f>
        <v>-0.51621325331507317</v>
      </c>
      <c r="S227" s="8">
        <f>bdrate(C227:C230,F227:F230,J227:J230,M227:M230)</f>
        <v>-0.52256026884630491</v>
      </c>
      <c r="T227" s="25">
        <f>bdrate(C227:C230,H227:H230,J227:J230,O227:O230)</f>
        <v>-0.38606248569455925</v>
      </c>
      <c r="U227" s="28">
        <f t="shared" si="21"/>
        <v>0.11167832167832184</v>
      </c>
    </row>
    <row r="228" spans="2:21" x14ac:dyDescent="0.25">
      <c r="B228" s="9"/>
      <c r="C228" s="17">
        <v>1474.26</v>
      </c>
      <c r="D228" s="18">
        <v>45.33</v>
      </c>
      <c r="E228" s="18">
        <v>49.859000000000002</v>
      </c>
      <c r="F228" s="18">
        <v>51.215000000000003</v>
      </c>
      <c r="G228" s="18">
        <v>284.02</v>
      </c>
      <c r="H228" s="18">
        <f t="shared" si="19"/>
        <v>46.631749999999997</v>
      </c>
      <c r="I228" s="5"/>
      <c r="J228" s="17">
        <v>1002.3271999999999</v>
      </c>
      <c r="K228" s="18">
        <v>45.483600000000003</v>
      </c>
      <c r="L228" s="18">
        <v>51.296700000000001</v>
      </c>
      <c r="M228" s="18">
        <v>52.691600000000001</v>
      </c>
      <c r="N228" s="18">
        <v>328.52449999999999</v>
      </c>
      <c r="O228" s="18">
        <f t="shared" si="20"/>
        <v>47.111237500000001</v>
      </c>
      <c r="P228" s="7"/>
      <c r="Q228" s="10"/>
      <c r="R228" s="11"/>
      <c r="S228" s="11"/>
      <c r="T228" s="26"/>
      <c r="U228" s="28">
        <f t="shared" si="21"/>
        <v>0.15669495105978457</v>
      </c>
    </row>
    <row r="229" spans="2:21" x14ac:dyDescent="0.25">
      <c r="B229" s="9"/>
      <c r="C229" s="17">
        <v>891.06</v>
      </c>
      <c r="D229" s="18">
        <v>42.69</v>
      </c>
      <c r="E229" s="18">
        <v>47.456000000000003</v>
      </c>
      <c r="F229" s="18">
        <v>48.845999999999997</v>
      </c>
      <c r="G229" s="18">
        <v>302.70999999999998</v>
      </c>
      <c r="H229" s="18">
        <f t="shared" si="19"/>
        <v>44.055250000000001</v>
      </c>
      <c r="I229" s="5"/>
      <c r="J229" s="17">
        <v>602.36040000000003</v>
      </c>
      <c r="K229" s="18">
        <v>43.085700000000003</v>
      </c>
      <c r="L229" s="18">
        <v>49.121400000000001</v>
      </c>
      <c r="M229" s="18">
        <v>50.528399999999998</v>
      </c>
      <c r="N229" s="18">
        <v>386.9649</v>
      </c>
      <c r="O229" s="18">
        <f t="shared" si="20"/>
        <v>44.770499999999998</v>
      </c>
      <c r="P229" s="7"/>
      <c r="Q229" s="10"/>
      <c r="R229" s="11"/>
      <c r="S229" s="11"/>
      <c r="T229" s="26"/>
      <c r="U229" s="28">
        <f t="shared" si="21"/>
        <v>0.27833537048660445</v>
      </c>
    </row>
    <row r="230" spans="2:21" ht="16.5" thickBot="1" x14ac:dyDescent="0.3">
      <c r="B230" s="12"/>
      <c r="C230" s="19">
        <v>425.71</v>
      </c>
      <c r="D230" s="20">
        <v>40.143999999999998</v>
      </c>
      <c r="E230" s="20">
        <v>44.683999999999997</v>
      </c>
      <c r="F230" s="20">
        <v>46.058999999999997</v>
      </c>
      <c r="G230" s="20">
        <v>309.16000000000003</v>
      </c>
      <c r="H230" s="20">
        <f t="shared" si="19"/>
        <v>41.450874999999996</v>
      </c>
      <c r="I230" s="5"/>
      <c r="J230" s="19">
        <v>302.67750000000001</v>
      </c>
      <c r="K230" s="20">
        <v>39.863599999999998</v>
      </c>
      <c r="L230" s="20">
        <v>46.094099999999997</v>
      </c>
      <c r="M230" s="20">
        <v>47.488999999999997</v>
      </c>
      <c r="N230" s="20">
        <v>441.90620000000001</v>
      </c>
      <c r="O230" s="20">
        <f t="shared" si="20"/>
        <v>41.595587500000001</v>
      </c>
      <c r="P230" s="7"/>
      <c r="Q230" s="13"/>
      <c r="R230" s="14"/>
      <c r="S230" s="14"/>
      <c r="T230" s="27"/>
      <c r="U230" s="28">
        <f t="shared" si="21"/>
        <v>0.42937702160693486</v>
      </c>
    </row>
    <row r="231" spans="2:21" x14ac:dyDescent="0.25">
      <c r="B231" s="6" t="s">
        <v>102</v>
      </c>
      <c r="C231" s="15">
        <v>2043.01</v>
      </c>
      <c r="D231" s="16">
        <v>31.475999999999999</v>
      </c>
      <c r="E231" s="16">
        <v>39.768000000000001</v>
      </c>
      <c r="F231" s="16">
        <v>39.134</v>
      </c>
      <c r="G231" s="16">
        <v>211.34</v>
      </c>
      <c r="H231" s="16">
        <f t="shared" si="19"/>
        <v>33.469749999999998</v>
      </c>
      <c r="I231" s="5"/>
      <c r="J231" s="15">
        <v>1495.4557</v>
      </c>
      <c r="K231" s="16">
        <v>31.929500000000001</v>
      </c>
      <c r="L231" s="16">
        <v>40.285600000000002</v>
      </c>
      <c r="M231" s="16">
        <v>39.692399999999999</v>
      </c>
      <c r="N231" s="16">
        <v>188.54089999999999</v>
      </c>
      <c r="O231" s="16">
        <f t="shared" si="20"/>
        <v>33.944375000000001</v>
      </c>
      <c r="P231" s="7"/>
      <c r="Q231" s="8">
        <f>bdrate(C231:C234,D231:D234,J231:J234,K231:K234)</f>
        <v>-0.43047676092684506</v>
      </c>
      <c r="R231" s="8">
        <f>bdrate(C231:C234,E231:E234,J231:J234,L231:L234)</f>
        <v>-0.37390782246035192</v>
      </c>
      <c r="S231" s="8">
        <f>bdrate(C231:C234,F231:F234,J231:J234,M231:M234)</f>
        <v>-0.36278699685937232</v>
      </c>
      <c r="T231" s="25">
        <f>bdrate(C231:C234,H231:H234,J231:J234,O231:O234)</f>
        <v>-0.42371876106338024</v>
      </c>
      <c r="U231" s="28">
        <f t="shared" si="21"/>
        <v>-0.10787877354026691</v>
      </c>
    </row>
    <row r="232" spans="2:21" x14ac:dyDescent="0.25">
      <c r="B232" s="9"/>
      <c r="C232" s="17">
        <v>1360.34</v>
      </c>
      <c r="D232" s="18">
        <v>29.349</v>
      </c>
      <c r="E232" s="18">
        <v>38.777999999999999</v>
      </c>
      <c r="F232" s="18">
        <v>38.152000000000001</v>
      </c>
      <c r="G232" s="18">
        <v>230.77</v>
      </c>
      <c r="H232" s="18">
        <f t="shared" si="19"/>
        <v>31.628</v>
      </c>
      <c r="I232" s="5"/>
      <c r="J232" s="17">
        <v>995.61829999999998</v>
      </c>
      <c r="K232" s="18">
        <v>30.162299999999998</v>
      </c>
      <c r="L232" s="18">
        <v>39.290500000000002</v>
      </c>
      <c r="M232" s="18">
        <v>38.649099999999997</v>
      </c>
      <c r="N232" s="18">
        <v>221.48390000000001</v>
      </c>
      <c r="O232" s="18">
        <f t="shared" si="20"/>
        <v>32.364174999999996</v>
      </c>
      <c r="P232" s="7"/>
      <c r="Q232" s="10"/>
      <c r="R232" s="11"/>
      <c r="S232" s="11"/>
      <c r="T232" s="26"/>
      <c r="U232" s="28">
        <f t="shared" si="21"/>
        <v>-4.0239632534558235E-2</v>
      </c>
    </row>
    <row r="233" spans="2:21" x14ac:dyDescent="0.25">
      <c r="B233" s="9"/>
      <c r="C233" s="17">
        <v>826.99</v>
      </c>
      <c r="D233" s="18">
        <v>26.568999999999999</v>
      </c>
      <c r="E233" s="18">
        <v>37.619</v>
      </c>
      <c r="F233" s="18">
        <v>36.984999999999999</v>
      </c>
      <c r="G233" s="18">
        <v>250.28</v>
      </c>
      <c r="H233" s="18">
        <f t="shared" si="19"/>
        <v>29.252249999999997</v>
      </c>
      <c r="I233" s="5"/>
      <c r="J233" s="17">
        <v>597.88279999999997</v>
      </c>
      <c r="K233" s="18">
        <v>27.942399999999999</v>
      </c>
      <c r="L233" s="18">
        <v>37.915300000000002</v>
      </c>
      <c r="M233" s="18">
        <v>37.201999999999998</v>
      </c>
      <c r="N233" s="18">
        <v>272.10879999999997</v>
      </c>
      <c r="O233" s="18">
        <f t="shared" si="20"/>
        <v>30.346462500000001</v>
      </c>
      <c r="P233" s="7"/>
      <c r="Q233" s="10"/>
      <c r="R233" s="11"/>
      <c r="S233" s="11"/>
      <c r="T233" s="26"/>
      <c r="U233" s="28">
        <f t="shared" si="21"/>
        <v>8.7217516381652441E-2</v>
      </c>
    </row>
    <row r="234" spans="2:21" ht="16.5" thickBot="1" x14ac:dyDescent="0.3">
      <c r="B234" s="12"/>
      <c r="C234" s="19">
        <v>387</v>
      </c>
      <c r="D234" s="20">
        <v>21.971</v>
      </c>
      <c r="E234" s="20">
        <v>33.646999999999998</v>
      </c>
      <c r="F234" s="20">
        <v>33.142000000000003</v>
      </c>
      <c r="G234" s="20">
        <v>267.74</v>
      </c>
      <c r="H234" s="20">
        <f t="shared" si="19"/>
        <v>24.826874999999998</v>
      </c>
      <c r="I234" s="5"/>
      <c r="J234" s="19">
        <v>299.48349999999999</v>
      </c>
      <c r="K234" s="20">
        <v>25.095300000000002</v>
      </c>
      <c r="L234" s="20">
        <v>35.507399999999997</v>
      </c>
      <c r="M234" s="20">
        <v>34.885300000000001</v>
      </c>
      <c r="N234" s="20">
        <v>355.02960000000002</v>
      </c>
      <c r="O234" s="20">
        <f t="shared" si="20"/>
        <v>27.620562499999998</v>
      </c>
      <c r="P234" s="7"/>
      <c r="Q234" s="13"/>
      <c r="R234" s="14"/>
      <c r="S234" s="14"/>
      <c r="T234" s="27"/>
      <c r="U234" s="28">
        <f t="shared" si="21"/>
        <v>0.32602375438858594</v>
      </c>
    </row>
    <row r="235" spans="2:21" x14ac:dyDescent="0.25">
      <c r="B235" s="6" t="s">
        <v>103</v>
      </c>
      <c r="C235" s="15">
        <v>2348.14</v>
      </c>
      <c r="D235" s="16">
        <v>46.177999999999997</v>
      </c>
      <c r="E235" s="16">
        <v>46.643999999999998</v>
      </c>
      <c r="F235" s="16">
        <v>46.36</v>
      </c>
      <c r="G235" s="16">
        <v>311.04000000000002</v>
      </c>
      <c r="H235" s="16">
        <f t="shared" si="19"/>
        <v>46.259</v>
      </c>
      <c r="I235" s="5"/>
      <c r="J235" s="15">
        <v>1402.2963999999999</v>
      </c>
      <c r="K235" s="16">
        <v>44.7956</v>
      </c>
      <c r="L235" s="16">
        <v>46.010199999999998</v>
      </c>
      <c r="M235" s="16">
        <v>45.927300000000002</v>
      </c>
      <c r="N235" s="16">
        <v>248.13900000000001</v>
      </c>
      <c r="O235" s="16">
        <f t="shared" si="20"/>
        <v>45.088887499999998</v>
      </c>
      <c r="P235" s="7"/>
      <c r="Q235" s="8">
        <f>bdrate(C235:C238,D235:D238,J235:J238,K235:K238)</f>
        <v>-0.30367833965156343</v>
      </c>
      <c r="R235" s="8">
        <f>bdrate(C235:C238,E235:E238,J235:J238,L235:L238)</f>
        <v>-0.35414462992754303</v>
      </c>
      <c r="S235" s="8">
        <f>bdrate(C235:C238,F235:F238,J235:J238,M235:M238)</f>
        <v>-0.38161424627943508</v>
      </c>
      <c r="T235" s="25">
        <f>bdrate(C235:C238,H235:H238,J235:J238,O235:O238)</f>
        <v>-0.31731974020905551</v>
      </c>
      <c r="U235" s="28">
        <f t="shared" si="21"/>
        <v>-0.20222800925925927</v>
      </c>
    </row>
    <row r="236" spans="2:21" x14ac:dyDescent="0.25">
      <c r="B236" s="9"/>
      <c r="C236" s="17">
        <v>1560.46</v>
      </c>
      <c r="D236" s="18">
        <v>43.887999999999998</v>
      </c>
      <c r="E236" s="18">
        <v>44.625999999999998</v>
      </c>
      <c r="F236" s="18">
        <v>44.295000000000002</v>
      </c>
      <c r="G236" s="18">
        <v>332.47</v>
      </c>
      <c r="H236" s="18">
        <f t="shared" si="19"/>
        <v>44.031124999999996</v>
      </c>
      <c r="I236" s="5"/>
      <c r="J236" s="17">
        <v>952.91510000000005</v>
      </c>
      <c r="K236" s="18">
        <v>42.893700000000003</v>
      </c>
      <c r="L236" s="18">
        <v>44.412199999999999</v>
      </c>
      <c r="M236" s="18">
        <v>44.278500000000001</v>
      </c>
      <c r="N236" s="18">
        <v>297.3732</v>
      </c>
      <c r="O236" s="18">
        <f t="shared" si="20"/>
        <v>43.256612500000003</v>
      </c>
      <c r="P236" s="7"/>
      <c r="Q236" s="10"/>
      <c r="R236" s="11"/>
      <c r="S236" s="11"/>
      <c r="T236" s="26"/>
      <c r="U236" s="28">
        <f t="shared" si="21"/>
        <v>-0.10556381026859575</v>
      </c>
    </row>
    <row r="237" spans="2:21" x14ac:dyDescent="0.25">
      <c r="B237" s="9"/>
      <c r="C237" s="17">
        <v>943.01</v>
      </c>
      <c r="D237" s="18">
        <v>40.773000000000003</v>
      </c>
      <c r="E237" s="18">
        <v>42.136000000000003</v>
      </c>
      <c r="F237" s="18">
        <v>41.723999999999997</v>
      </c>
      <c r="G237" s="18">
        <v>357.21</v>
      </c>
      <c r="H237" s="18">
        <f t="shared" si="19"/>
        <v>41.062250000000006</v>
      </c>
      <c r="I237" s="5"/>
      <c r="J237" s="17">
        <v>585.03409999999997</v>
      </c>
      <c r="K237" s="18">
        <v>39.966200000000001</v>
      </c>
      <c r="L237" s="18">
        <v>41.914999999999999</v>
      </c>
      <c r="M237" s="18">
        <v>41.756</v>
      </c>
      <c r="N237" s="18">
        <v>359.42489999999998</v>
      </c>
      <c r="O237" s="18">
        <f t="shared" si="20"/>
        <v>40.433525000000003</v>
      </c>
      <c r="P237" s="7"/>
      <c r="Q237" s="10"/>
      <c r="R237" s="11"/>
      <c r="S237" s="11"/>
      <c r="T237" s="26"/>
      <c r="U237" s="28">
        <f t="shared" si="21"/>
        <v>6.2005542957923919E-3</v>
      </c>
    </row>
    <row r="238" spans="2:21" ht="16.5" thickBot="1" x14ac:dyDescent="0.3">
      <c r="B238" s="12"/>
      <c r="C238" s="19">
        <v>439.41</v>
      </c>
      <c r="D238" s="20">
        <v>35.142000000000003</v>
      </c>
      <c r="E238" s="20">
        <v>38.356000000000002</v>
      </c>
      <c r="F238" s="20">
        <v>37.96</v>
      </c>
      <c r="G238" s="20">
        <v>377.12</v>
      </c>
      <c r="H238" s="20">
        <f t="shared" si="19"/>
        <v>35.896000000000001</v>
      </c>
      <c r="I238" s="5"/>
      <c r="J238" s="19">
        <v>291.45150000000001</v>
      </c>
      <c r="K238" s="20">
        <v>35.511299999999999</v>
      </c>
      <c r="L238" s="20">
        <v>38.552599999999998</v>
      </c>
      <c r="M238" s="20">
        <v>38.290100000000002</v>
      </c>
      <c r="N238" s="20">
        <v>435.41359999999997</v>
      </c>
      <c r="O238" s="20">
        <f t="shared" si="20"/>
        <v>36.238812499999995</v>
      </c>
      <c r="P238" s="7"/>
      <c r="Q238" s="13"/>
      <c r="R238" s="14"/>
      <c r="S238" s="14"/>
      <c r="T238" s="27"/>
      <c r="U238" s="28">
        <f t="shared" si="21"/>
        <v>0.15457573186253704</v>
      </c>
    </row>
    <row r="239" spans="2:21" x14ac:dyDescent="0.25">
      <c r="B239" s="6" t="s">
        <v>104</v>
      </c>
      <c r="C239" s="15">
        <v>2791.64</v>
      </c>
      <c r="D239" s="16">
        <v>47.222000000000001</v>
      </c>
      <c r="E239" s="16">
        <v>48.606000000000002</v>
      </c>
      <c r="F239" s="16">
        <v>48.832000000000001</v>
      </c>
      <c r="G239" s="16">
        <v>331.61</v>
      </c>
      <c r="H239" s="16">
        <f t="shared" si="19"/>
        <v>47.596249999999998</v>
      </c>
      <c r="I239" s="5"/>
      <c r="J239" s="15">
        <v>1351.7563</v>
      </c>
      <c r="K239" s="16">
        <v>45.436100000000003</v>
      </c>
      <c r="L239" s="16">
        <v>47.747700000000002</v>
      </c>
      <c r="M239" s="16">
        <v>47.9923</v>
      </c>
      <c r="N239" s="16">
        <v>249.7225</v>
      </c>
      <c r="O239" s="16">
        <f t="shared" si="20"/>
        <v>46.044575000000002</v>
      </c>
      <c r="P239" s="7"/>
      <c r="Q239" s="8">
        <f>bdrate(C239:C242,D239:D242,J239:J242,K239:K242)</f>
        <v>-0.37318502308649182</v>
      </c>
      <c r="R239" s="8">
        <f>bdrate(C239:C242,E239:E242,J239:J242,L239:L242)</f>
        <v>-0.4260111878417131</v>
      </c>
      <c r="S239" s="8">
        <f>bdrate(C239:C242,F239:F242,J239:J242,M239:M242)</f>
        <v>-0.43123615372283286</v>
      </c>
      <c r="T239" s="25">
        <f>bdrate(C239:C242,H239:H242,J239:J242,O239:O242)</f>
        <v>-0.38570053745964883</v>
      </c>
      <c r="U239" s="28">
        <f t="shared" si="21"/>
        <v>-0.24693917553752906</v>
      </c>
    </row>
    <row r="240" spans="2:21" x14ac:dyDescent="0.25">
      <c r="B240" s="9"/>
      <c r="C240" s="17">
        <v>1843.86</v>
      </c>
      <c r="D240" s="18">
        <v>44.517000000000003</v>
      </c>
      <c r="E240" s="18">
        <v>46.268999999999998</v>
      </c>
      <c r="F240" s="18">
        <v>46.511000000000003</v>
      </c>
      <c r="G240" s="18">
        <v>360.58</v>
      </c>
      <c r="H240" s="18">
        <f t="shared" si="19"/>
        <v>44.985250000000008</v>
      </c>
      <c r="I240" s="5"/>
      <c r="J240" s="17">
        <v>941.12720000000002</v>
      </c>
      <c r="K240" s="18">
        <v>43.634799999999998</v>
      </c>
      <c r="L240" s="18">
        <v>46.107799999999997</v>
      </c>
      <c r="M240" s="18">
        <v>46.377299999999998</v>
      </c>
      <c r="N240" s="18">
        <v>267.69779999999997</v>
      </c>
      <c r="O240" s="18">
        <f t="shared" si="20"/>
        <v>44.286737500000001</v>
      </c>
      <c r="P240" s="7"/>
      <c r="Q240" s="10"/>
      <c r="R240" s="11"/>
      <c r="S240" s="11"/>
      <c r="T240" s="26"/>
      <c r="U240" s="28">
        <f t="shared" si="21"/>
        <v>-0.25759110322258588</v>
      </c>
    </row>
    <row r="241" spans="2:21" x14ac:dyDescent="0.25">
      <c r="B241" s="9"/>
      <c r="C241" s="17">
        <v>1103.8800000000001</v>
      </c>
      <c r="D241" s="18">
        <v>41.698999999999998</v>
      </c>
      <c r="E241" s="18">
        <v>43.944000000000003</v>
      </c>
      <c r="F241" s="18">
        <v>44.161000000000001</v>
      </c>
      <c r="G241" s="18">
        <v>396.56</v>
      </c>
      <c r="H241" s="18">
        <f t="shared" si="19"/>
        <v>42.287374999999997</v>
      </c>
      <c r="I241" s="5"/>
      <c r="J241" s="17">
        <v>623.76229999999998</v>
      </c>
      <c r="K241" s="18">
        <v>41.211300000000001</v>
      </c>
      <c r="L241" s="18">
        <v>44.019399999999997</v>
      </c>
      <c r="M241" s="18">
        <v>44.305900000000001</v>
      </c>
      <c r="N241" s="18">
        <v>305.24</v>
      </c>
      <c r="O241" s="18">
        <f t="shared" si="20"/>
        <v>41.949137500000006</v>
      </c>
      <c r="P241" s="7"/>
      <c r="Q241" s="10"/>
      <c r="R241" s="11"/>
      <c r="S241" s="11"/>
      <c r="T241" s="26"/>
      <c r="U241" s="28">
        <f t="shared" si="21"/>
        <v>-0.23028041153923742</v>
      </c>
    </row>
    <row r="242" spans="2:21" ht="16.5" thickBot="1" x14ac:dyDescent="0.3">
      <c r="B242" s="12"/>
      <c r="C242" s="19">
        <v>512.98</v>
      </c>
      <c r="D242" s="20">
        <v>37.1</v>
      </c>
      <c r="E242" s="20">
        <v>40.308</v>
      </c>
      <c r="F242" s="20">
        <v>40.561999999999998</v>
      </c>
      <c r="G242" s="20">
        <v>438.7</v>
      </c>
      <c r="H242" s="20">
        <f t="shared" si="19"/>
        <v>37.933750000000003</v>
      </c>
      <c r="I242" s="5"/>
      <c r="J242" s="19">
        <v>336.95370000000003</v>
      </c>
      <c r="K242" s="20">
        <v>36.607399999999998</v>
      </c>
      <c r="L242" s="20">
        <v>39.880299999999998</v>
      </c>
      <c r="M242" s="20">
        <v>40.162700000000001</v>
      </c>
      <c r="N242" s="20">
        <v>435.41359999999997</v>
      </c>
      <c r="O242" s="20">
        <f t="shared" si="20"/>
        <v>37.460925000000003</v>
      </c>
      <c r="P242" s="7"/>
      <c r="Q242" s="13"/>
      <c r="R242" s="14"/>
      <c r="S242" s="14"/>
      <c r="T242" s="27"/>
      <c r="U242" s="28">
        <f t="shared" si="21"/>
        <v>-7.4912240711192497E-3</v>
      </c>
    </row>
    <row r="243" spans="2:21" x14ac:dyDescent="0.25">
      <c r="B243" s="6" t="s">
        <v>105</v>
      </c>
      <c r="C243" s="29">
        <v>2131.73</v>
      </c>
      <c r="D243" s="30">
        <v>32.883000000000003</v>
      </c>
      <c r="E243" s="30">
        <v>36.469000000000001</v>
      </c>
      <c r="F243" s="30">
        <v>35.457000000000001</v>
      </c>
      <c r="G243" s="16">
        <v>260.45</v>
      </c>
      <c r="H243" s="16">
        <f t="shared" si="19"/>
        <v>33.652999999999999</v>
      </c>
      <c r="I243" s="5"/>
      <c r="J243" s="29">
        <v>1507.5583999999999</v>
      </c>
      <c r="K243" s="30">
        <v>32.290599999999998</v>
      </c>
      <c r="L243" s="30">
        <v>36.605400000000003</v>
      </c>
      <c r="M243" s="30">
        <v>35.502000000000002</v>
      </c>
      <c r="N243" s="16">
        <v>216.89359999999999</v>
      </c>
      <c r="O243" s="16">
        <f t="shared" si="20"/>
        <v>33.231375</v>
      </c>
      <c r="P243" s="7"/>
      <c r="Q243" s="8">
        <f>bdrate(C243:C246,D243:D246,J243:J246,K243:K246)</f>
        <v>-0.3228423598912501</v>
      </c>
      <c r="R243" s="8">
        <f>bdrate(C243:C246,E243:E246,J243:J246,L243:L246)</f>
        <v>-0.30977187765869119</v>
      </c>
      <c r="S243" s="8">
        <f>bdrate(C243:C246,F243:F246,J243:J246,M243:M246)</f>
        <v>-0.27086407280193137</v>
      </c>
      <c r="T243" s="25">
        <f>bdrate(C243:C246,H243:H246,J243:J246,O243:O246)</f>
        <v>-0.31963383023693348</v>
      </c>
      <c r="U243" s="28">
        <f t="shared" si="21"/>
        <v>-0.16723516989825302</v>
      </c>
    </row>
    <row r="244" spans="2:21" x14ac:dyDescent="0.25">
      <c r="B244" s="9"/>
      <c r="C244" s="31">
        <v>1413.7</v>
      </c>
      <c r="D244" s="32">
        <v>30.657</v>
      </c>
      <c r="E244" s="32">
        <v>35.374000000000002</v>
      </c>
      <c r="F244" s="32">
        <v>34.317999999999998</v>
      </c>
      <c r="G244" s="18">
        <v>280.07</v>
      </c>
      <c r="H244" s="18">
        <f t="shared" si="19"/>
        <v>31.704250000000002</v>
      </c>
      <c r="I244" s="5"/>
      <c r="J244" s="31">
        <v>1003.6941</v>
      </c>
      <c r="K244" s="32">
        <v>30.3889</v>
      </c>
      <c r="L244" s="32">
        <v>35.511899999999997</v>
      </c>
      <c r="M244" s="32">
        <v>34.354700000000001</v>
      </c>
      <c r="N244" s="18">
        <v>251.92439999999999</v>
      </c>
      <c r="O244" s="18">
        <f t="shared" si="20"/>
        <v>31.524999999999999</v>
      </c>
      <c r="P244" s="7"/>
      <c r="Q244" s="10"/>
      <c r="R244" s="11"/>
      <c r="S244" s="11"/>
      <c r="T244" s="26"/>
      <c r="U244" s="28">
        <f t="shared" si="21"/>
        <v>-0.10049487628092978</v>
      </c>
    </row>
    <row r="245" spans="2:21" x14ac:dyDescent="0.25">
      <c r="B245" s="9"/>
      <c r="C245" s="31">
        <v>848.27</v>
      </c>
      <c r="D245" s="32">
        <v>27.821000000000002</v>
      </c>
      <c r="E245" s="32">
        <v>34.281999999999996</v>
      </c>
      <c r="F245" s="32">
        <v>33.198999999999998</v>
      </c>
      <c r="G245" s="18">
        <v>301.31</v>
      </c>
      <c r="H245" s="18">
        <f t="shared" si="19"/>
        <v>29.300875000000005</v>
      </c>
      <c r="I245" s="5"/>
      <c r="J245" s="31">
        <v>602.20510000000002</v>
      </c>
      <c r="K245" s="32">
        <v>28.21</v>
      </c>
      <c r="L245" s="32">
        <v>34.238700000000001</v>
      </c>
      <c r="M245" s="32">
        <v>32.989800000000002</v>
      </c>
      <c r="N245" s="18">
        <v>306.07040000000001</v>
      </c>
      <c r="O245" s="18">
        <f t="shared" si="20"/>
        <v>29.561062499999998</v>
      </c>
      <c r="P245" s="7"/>
      <c r="Q245" s="10"/>
      <c r="R245" s="11"/>
      <c r="S245" s="11"/>
      <c r="T245" s="26"/>
      <c r="U245" s="28">
        <f t="shared" si="21"/>
        <v>1.5799010985363925E-2</v>
      </c>
    </row>
    <row r="246" spans="2:21" ht="16.5" thickBot="1" x14ac:dyDescent="0.3">
      <c r="B246" s="12"/>
      <c r="C246" s="33">
        <v>378.25</v>
      </c>
      <c r="D246" s="34">
        <v>23.120999999999999</v>
      </c>
      <c r="E246" s="34">
        <v>31.478000000000002</v>
      </c>
      <c r="F246" s="34">
        <v>30.331</v>
      </c>
      <c r="G246" s="20">
        <v>311.85000000000002</v>
      </c>
      <c r="H246" s="20">
        <f t="shared" si="19"/>
        <v>25.066875</v>
      </c>
      <c r="I246" s="5"/>
      <c r="J246" s="33">
        <v>303.54770000000002</v>
      </c>
      <c r="K246" s="34">
        <v>25.684100000000001</v>
      </c>
      <c r="L246" s="34">
        <v>32.421700000000001</v>
      </c>
      <c r="M246" s="34">
        <v>31.041599999999999</v>
      </c>
      <c r="N246" s="20">
        <v>373.44400000000002</v>
      </c>
      <c r="O246" s="20">
        <f t="shared" si="20"/>
        <v>27.195987499999998</v>
      </c>
      <c r="P246" s="7"/>
      <c r="Q246" s="13"/>
      <c r="R246" s="14"/>
      <c r="S246" s="14"/>
      <c r="T246" s="27"/>
      <c r="U246" s="28">
        <f t="shared" si="21"/>
        <v>0.19751162417829082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-0.39243335124864454</v>
      </c>
      <c r="R247" s="21">
        <f>AVERAGE(R131:R246)</f>
        <v>-0.4851002032078115</v>
      </c>
      <c r="S247" s="21">
        <f>AVERAGE(S131:S246)</f>
        <v>-0.48364985903714908</v>
      </c>
      <c r="T247" s="21">
        <f>AVERAGE(T131:T246)</f>
        <v>-0.41151018711182652</v>
      </c>
      <c r="U247" s="21">
        <f>AVERAGE(U131:U246)</f>
        <v>8.9231608440427018E-2</v>
      </c>
    </row>
  </sheetData>
  <mergeCells count="12">
    <mergeCell ref="B5:B6"/>
    <mergeCell ref="C7:H7"/>
    <mergeCell ref="J7:O7"/>
    <mergeCell ref="Q7:S7"/>
    <mergeCell ref="C5:U6"/>
    <mergeCell ref="B127:B128"/>
    <mergeCell ref="C129:H129"/>
    <mergeCell ref="J129:O129"/>
    <mergeCell ref="Q129:S129"/>
    <mergeCell ref="U7:U8"/>
    <mergeCell ref="U129:U130"/>
    <mergeCell ref="C127:U128"/>
  </mergeCells>
  <phoneticPr fontId="5" type="noConversion"/>
  <conditionalFormatting sqref="Q29:T32 Q37:T44 Q9:T20">
    <cfRule type="cellIs" dxfId="925" priority="473" operator="greaterThan">
      <formula>0.03</formula>
    </cfRule>
    <cfRule type="cellIs" dxfId="924" priority="474" stopIfTrue="1" operator="lessThan">
      <formula>-0.03</formula>
    </cfRule>
  </conditionalFormatting>
  <conditionalFormatting sqref="Q33:T36">
    <cfRule type="cellIs" dxfId="923" priority="471" operator="greaterThan">
      <formula>0.03</formula>
    </cfRule>
    <cfRule type="cellIs" dxfId="922" priority="472" stopIfTrue="1" operator="lessThan">
      <formula>-0.03</formula>
    </cfRule>
  </conditionalFormatting>
  <conditionalFormatting sqref="Q46:T48 Q62:T64">
    <cfRule type="cellIs" dxfId="921" priority="469" operator="greaterThan">
      <formula>0.03</formula>
    </cfRule>
    <cfRule type="cellIs" dxfId="920" priority="470" stopIfTrue="1" operator="lessThan">
      <formula>-0.03</formula>
    </cfRule>
  </conditionalFormatting>
  <conditionalFormatting sqref="Q50:T52 Q54:T56 Q58:T60">
    <cfRule type="cellIs" dxfId="919" priority="467" operator="greaterThan">
      <formula>0.03</formula>
    </cfRule>
    <cfRule type="cellIs" dxfId="918" priority="468" stopIfTrue="1" operator="lessThan">
      <formula>-0.03</formula>
    </cfRule>
  </conditionalFormatting>
  <conditionalFormatting sqref="Q70:T72 Q74:T76">
    <cfRule type="cellIs" dxfId="917" priority="465" operator="greaterThan">
      <formula>0.03</formula>
    </cfRule>
    <cfRule type="cellIs" dxfId="916" priority="466" stopIfTrue="1" operator="lessThan">
      <formula>-0.03</formula>
    </cfRule>
  </conditionalFormatting>
  <conditionalFormatting sqref="Q66:T68">
    <cfRule type="cellIs" dxfId="915" priority="463" operator="greaterThan">
      <formula>0.03</formula>
    </cfRule>
    <cfRule type="cellIs" dxfId="914" priority="464" stopIfTrue="1" operator="lessThan">
      <formula>-0.03</formula>
    </cfRule>
  </conditionalFormatting>
  <conditionalFormatting sqref="Q78:T80">
    <cfRule type="cellIs" dxfId="913" priority="461" operator="greaterThan">
      <formula>0.03</formula>
    </cfRule>
    <cfRule type="cellIs" dxfId="912" priority="462" stopIfTrue="1" operator="lessThan">
      <formula>-0.03</formula>
    </cfRule>
  </conditionalFormatting>
  <conditionalFormatting sqref="Q21:T28">
    <cfRule type="cellIs" dxfId="911" priority="437" operator="greaterThan">
      <formula>0.03</formula>
    </cfRule>
    <cfRule type="cellIs" dxfId="910" priority="438" stopIfTrue="1" operator="lessThan">
      <formula>-0.03</formula>
    </cfRule>
  </conditionalFormatting>
  <conditionalFormatting sqref="Q151:T154 Q159:T166 Q131:T142">
    <cfRule type="cellIs" dxfId="909" priority="433" operator="greaterThan">
      <formula>0.03</formula>
    </cfRule>
    <cfRule type="cellIs" dxfId="908" priority="434" stopIfTrue="1" operator="lessThan">
      <formula>-0.03</formula>
    </cfRule>
  </conditionalFormatting>
  <conditionalFormatting sqref="Q155:T158">
    <cfRule type="cellIs" dxfId="907" priority="431" operator="greaterThan">
      <formula>0.03</formula>
    </cfRule>
    <cfRule type="cellIs" dxfId="906" priority="432" stopIfTrue="1" operator="lessThan">
      <formula>-0.03</formula>
    </cfRule>
  </conditionalFormatting>
  <conditionalFormatting sqref="Q167:T170 Q183:T186">
    <cfRule type="cellIs" dxfId="905" priority="429" operator="greaterThan">
      <formula>0.03</formula>
    </cfRule>
    <cfRule type="cellIs" dxfId="904" priority="430" stopIfTrue="1" operator="lessThan">
      <formula>-0.03</formula>
    </cfRule>
  </conditionalFormatting>
  <conditionalFormatting sqref="Q171:T182">
    <cfRule type="cellIs" dxfId="903" priority="427" operator="greaterThan">
      <formula>0.03</formula>
    </cfRule>
    <cfRule type="cellIs" dxfId="902" priority="428" stopIfTrue="1" operator="lessThan">
      <formula>-0.03</formula>
    </cfRule>
  </conditionalFormatting>
  <conditionalFormatting sqref="Q191:T198">
    <cfRule type="cellIs" dxfId="901" priority="425" operator="greaterThan">
      <formula>0.03</formula>
    </cfRule>
    <cfRule type="cellIs" dxfId="900" priority="426" stopIfTrue="1" operator="lessThan">
      <formula>-0.03</formula>
    </cfRule>
  </conditionalFormatting>
  <conditionalFormatting sqref="Q187:T190">
    <cfRule type="cellIs" dxfId="899" priority="423" operator="greaterThan">
      <formula>0.03</formula>
    </cfRule>
    <cfRule type="cellIs" dxfId="898" priority="424" stopIfTrue="1" operator="lessThan">
      <formula>-0.03</formula>
    </cfRule>
  </conditionalFormatting>
  <conditionalFormatting sqref="Q199:T202">
    <cfRule type="cellIs" dxfId="897" priority="421" operator="greaterThan">
      <formula>0.03</formula>
    </cfRule>
    <cfRule type="cellIs" dxfId="896" priority="422" stopIfTrue="1" operator="lessThan">
      <formula>-0.03</formula>
    </cfRule>
  </conditionalFormatting>
  <conditionalFormatting sqref="Q143:T150">
    <cfRule type="cellIs" dxfId="895" priority="417" operator="greaterThan">
      <formula>0.03</formula>
    </cfRule>
    <cfRule type="cellIs" dxfId="894" priority="418" stopIfTrue="1" operator="lessThan">
      <formula>-0.03</formula>
    </cfRule>
  </conditionalFormatting>
  <conditionalFormatting sqref="Q45:T45">
    <cfRule type="cellIs" dxfId="893" priority="415" operator="greaterThan">
      <formula>0.03</formula>
    </cfRule>
    <cfRule type="cellIs" dxfId="892" priority="416" stopIfTrue="1" operator="lessThan">
      <formula>-0.03</formula>
    </cfRule>
  </conditionalFormatting>
  <conditionalFormatting sqref="Q49:T49">
    <cfRule type="cellIs" dxfId="891" priority="413" operator="greaterThan">
      <formula>0.03</formula>
    </cfRule>
    <cfRule type="cellIs" dxfId="890" priority="414" stopIfTrue="1" operator="lessThan">
      <formula>-0.03</formula>
    </cfRule>
  </conditionalFormatting>
  <conditionalFormatting sqref="Q53:T53">
    <cfRule type="cellIs" dxfId="889" priority="411" operator="greaterThan">
      <formula>0.03</formula>
    </cfRule>
    <cfRule type="cellIs" dxfId="888" priority="412" stopIfTrue="1" operator="lessThan">
      <formula>-0.03</formula>
    </cfRule>
  </conditionalFormatting>
  <conditionalFormatting sqref="Q57:T57">
    <cfRule type="cellIs" dxfId="887" priority="409" operator="greaterThan">
      <formula>0.03</formula>
    </cfRule>
    <cfRule type="cellIs" dxfId="886" priority="410" stopIfTrue="1" operator="lessThan">
      <formula>-0.03</formula>
    </cfRule>
  </conditionalFormatting>
  <conditionalFormatting sqref="Q61:T61">
    <cfRule type="cellIs" dxfId="885" priority="407" operator="greaterThan">
      <formula>0.03</formula>
    </cfRule>
    <cfRule type="cellIs" dxfId="884" priority="408" stopIfTrue="1" operator="lessThan">
      <formula>-0.03</formula>
    </cfRule>
  </conditionalFormatting>
  <conditionalFormatting sqref="Q65:T65">
    <cfRule type="cellIs" dxfId="883" priority="405" operator="greaterThan">
      <formula>0.03</formula>
    </cfRule>
    <cfRule type="cellIs" dxfId="882" priority="406" stopIfTrue="1" operator="lessThan">
      <formula>-0.03</formula>
    </cfRule>
  </conditionalFormatting>
  <conditionalFormatting sqref="Q69:T69">
    <cfRule type="cellIs" dxfId="881" priority="403" operator="greaterThan">
      <formula>0.03</formula>
    </cfRule>
    <cfRule type="cellIs" dxfId="880" priority="404" stopIfTrue="1" operator="lessThan">
      <formula>-0.03</formula>
    </cfRule>
  </conditionalFormatting>
  <conditionalFormatting sqref="Q73:T73">
    <cfRule type="cellIs" dxfId="879" priority="401" operator="greaterThan">
      <formula>0.03</formula>
    </cfRule>
    <cfRule type="cellIs" dxfId="878" priority="402" stopIfTrue="1" operator="lessThan">
      <formula>-0.03</formula>
    </cfRule>
  </conditionalFormatting>
  <conditionalFormatting sqref="Q77:T77">
    <cfRule type="cellIs" dxfId="877" priority="399" operator="greaterThan">
      <formula>0.03</formula>
    </cfRule>
    <cfRule type="cellIs" dxfId="876" priority="400" stopIfTrue="1" operator="lessThan">
      <formula>-0.03</formula>
    </cfRule>
  </conditionalFormatting>
  <conditionalFormatting sqref="Q117:T117">
    <cfRule type="cellIs" dxfId="875" priority="99" operator="greaterThan">
      <formula>0.03</formula>
    </cfRule>
    <cfRule type="cellIs" dxfId="874" priority="100" stopIfTrue="1" operator="lessThan">
      <formula>-0.03</formula>
    </cfRule>
  </conditionalFormatting>
  <conditionalFormatting sqref="Q93:T96 Q101:T108 Q81:T84">
    <cfRule type="cellIs" dxfId="873" priority="113" operator="greaterThan">
      <formula>0.03</formula>
    </cfRule>
    <cfRule type="cellIs" dxfId="872" priority="114" stopIfTrue="1" operator="lessThan">
      <formula>-0.03</formula>
    </cfRule>
  </conditionalFormatting>
  <conditionalFormatting sqref="Q97:T100">
    <cfRule type="cellIs" dxfId="871" priority="111" operator="greaterThan">
      <formula>0.03</formula>
    </cfRule>
    <cfRule type="cellIs" dxfId="870" priority="112" stopIfTrue="1" operator="lessThan">
      <formula>-0.03</formula>
    </cfRule>
  </conditionalFormatting>
  <conditionalFormatting sqref="Q110:T112 Q122:T124">
    <cfRule type="cellIs" dxfId="869" priority="109" operator="greaterThan">
      <formula>0.03</formula>
    </cfRule>
    <cfRule type="cellIs" dxfId="868" priority="110" stopIfTrue="1" operator="lessThan">
      <formula>-0.03</formula>
    </cfRule>
  </conditionalFormatting>
  <conditionalFormatting sqref="Q114:T116 Q118:T120">
    <cfRule type="cellIs" dxfId="867" priority="107" operator="greaterThan">
      <formula>0.03</formula>
    </cfRule>
    <cfRule type="cellIs" dxfId="866" priority="108" stopIfTrue="1" operator="lessThan">
      <formula>-0.03</formula>
    </cfRule>
  </conditionalFormatting>
  <conditionalFormatting sqref="Q85:T92">
    <cfRule type="cellIs" dxfId="865" priority="105" operator="greaterThan">
      <formula>0.03</formula>
    </cfRule>
    <cfRule type="cellIs" dxfId="864" priority="106" stopIfTrue="1" operator="lessThan">
      <formula>-0.03</formula>
    </cfRule>
  </conditionalFormatting>
  <conditionalFormatting sqref="Q109:T109">
    <cfRule type="cellIs" dxfId="863" priority="103" operator="greaterThan">
      <formula>0.03</formula>
    </cfRule>
    <cfRule type="cellIs" dxfId="862" priority="104" stopIfTrue="1" operator="lessThan">
      <formula>-0.03</formula>
    </cfRule>
  </conditionalFormatting>
  <conditionalFormatting sqref="Q113:T113">
    <cfRule type="cellIs" dxfId="861" priority="101" operator="greaterThan">
      <formula>0.03</formula>
    </cfRule>
    <cfRule type="cellIs" dxfId="860" priority="102" stopIfTrue="1" operator="lessThan">
      <formula>-0.03</formula>
    </cfRule>
  </conditionalFormatting>
  <conditionalFormatting sqref="Q121:T121">
    <cfRule type="cellIs" dxfId="859" priority="97" operator="greaterThan">
      <formula>0.03</formula>
    </cfRule>
    <cfRule type="cellIs" dxfId="858" priority="98" stopIfTrue="1" operator="lessThan">
      <formula>-0.03</formula>
    </cfRule>
  </conditionalFormatting>
  <conditionalFormatting sqref="Q239:T239">
    <cfRule type="cellIs" dxfId="857" priority="33" operator="greaterThan">
      <formula>0.03</formula>
    </cfRule>
    <cfRule type="cellIs" dxfId="856" priority="34" stopIfTrue="1" operator="lessThan">
      <formula>-0.03</formula>
    </cfRule>
  </conditionalFormatting>
  <conditionalFormatting sqref="Q215:T218 Q223:T230 Q203:T206">
    <cfRule type="cellIs" dxfId="855" priority="47" operator="greaterThan">
      <formula>0.03</formula>
    </cfRule>
    <cfRule type="cellIs" dxfId="854" priority="48" stopIfTrue="1" operator="lessThan">
      <formula>-0.03</formula>
    </cfRule>
  </conditionalFormatting>
  <conditionalFormatting sqref="Q219:T222">
    <cfRule type="cellIs" dxfId="853" priority="45" operator="greaterThan">
      <formula>0.03</formula>
    </cfRule>
    <cfRule type="cellIs" dxfId="852" priority="46" stopIfTrue="1" operator="lessThan">
      <formula>-0.03</formula>
    </cfRule>
  </conditionalFormatting>
  <conditionalFormatting sqref="Q232:T234 Q244:T246">
    <cfRule type="cellIs" dxfId="851" priority="43" operator="greaterThan">
      <formula>0.03</formula>
    </cfRule>
    <cfRule type="cellIs" dxfId="850" priority="44" stopIfTrue="1" operator="lessThan">
      <formula>-0.03</formula>
    </cfRule>
  </conditionalFormatting>
  <conditionalFormatting sqref="Q236:T238 Q240:T242">
    <cfRule type="cellIs" dxfId="849" priority="41" operator="greaterThan">
      <formula>0.03</formula>
    </cfRule>
    <cfRule type="cellIs" dxfId="848" priority="42" stopIfTrue="1" operator="lessThan">
      <formula>-0.03</formula>
    </cfRule>
  </conditionalFormatting>
  <conditionalFormatting sqref="Q207:T214">
    <cfRule type="cellIs" dxfId="847" priority="39" operator="greaterThan">
      <formula>0.03</formula>
    </cfRule>
    <cfRule type="cellIs" dxfId="846" priority="40" stopIfTrue="1" operator="lessThan">
      <formula>-0.03</formula>
    </cfRule>
  </conditionalFormatting>
  <conditionalFormatting sqref="Q231:T231">
    <cfRule type="cellIs" dxfId="845" priority="37" operator="greaterThan">
      <formula>0.03</formula>
    </cfRule>
    <cfRule type="cellIs" dxfId="844" priority="38" stopIfTrue="1" operator="lessThan">
      <formula>-0.03</formula>
    </cfRule>
  </conditionalFormatting>
  <conditionalFormatting sqref="Q235:T235">
    <cfRule type="cellIs" dxfId="843" priority="35" operator="greaterThan">
      <formula>0.03</formula>
    </cfRule>
    <cfRule type="cellIs" dxfId="842" priority="36" stopIfTrue="1" operator="lessThan">
      <formula>-0.03</formula>
    </cfRule>
  </conditionalFormatting>
  <conditionalFormatting sqref="Q243:T243">
    <cfRule type="cellIs" dxfId="841" priority="31" operator="greaterThan">
      <formula>0.03</formula>
    </cfRule>
    <cfRule type="cellIs" dxfId="840" priority="3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92</v>
      </c>
    </row>
    <row r="2" spans="1:21" x14ac:dyDescent="0.25">
      <c r="A2" t="s">
        <v>82</v>
      </c>
    </row>
    <row r="3" spans="1:21" x14ac:dyDescent="0.25">
      <c r="A3" t="s">
        <v>86</v>
      </c>
    </row>
    <row r="4" spans="1:21" x14ac:dyDescent="0.25">
      <c r="A4" t="s">
        <v>84</v>
      </c>
    </row>
    <row r="5" spans="1:21" s="35" customFormat="1" ht="15.75" customHeight="1" x14ac:dyDescent="0.25">
      <c r="B5" s="61" t="s">
        <v>29</v>
      </c>
      <c r="C5" s="63" t="s">
        <v>192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67</v>
      </c>
      <c r="D7" s="70"/>
      <c r="E7" s="70"/>
      <c r="F7" s="70"/>
      <c r="G7" s="70"/>
      <c r="H7" s="70"/>
      <c r="I7" s="5"/>
      <c r="J7" s="69" t="s">
        <v>181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5732.31</v>
      </c>
      <c r="D9" s="16">
        <v>38.363999999999997</v>
      </c>
      <c r="E9" s="16">
        <v>39.323</v>
      </c>
      <c r="F9" s="16">
        <v>41.75</v>
      </c>
      <c r="G9" s="16">
        <v>5.16</v>
      </c>
      <c r="H9" s="16">
        <f t="shared" ref="H9:H80" si="0">(6*D9+E9+F9)/8</f>
        <v>38.907124999999994</v>
      </c>
      <c r="I9" s="5"/>
      <c r="J9" s="15">
        <v>4100.3119999999999</v>
      </c>
      <c r="K9" s="16">
        <v>38.471699999999998</v>
      </c>
      <c r="L9" s="16">
        <v>40.2333</v>
      </c>
      <c r="M9" s="16">
        <v>42.970199999999998</v>
      </c>
      <c r="N9" s="16">
        <v>4.9743000000000004</v>
      </c>
      <c r="O9" s="16">
        <f t="shared" ref="O9:O80" si="1">(6*K9+L9+M9)/8</f>
        <v>39.254212499999994</v>
      </c>
      <c r="P9" s="7"/>
      <c r="Q9" s="8">
        <f>bdrate(C9:C12,D9:D12,J9:J12,K9:K12)</f>
        <v>-0.38515021036293229</v>
      </c>
      <c r="R9" s="8">
        <f>bdrate(C9:C12,E9:E12,J9:J12,L9:L12)</f>
        <v>-0.60584464848364394</v>
      </c>
      <c r="S9" s="8">
        <f>bdrate(C9:C12,F9:F12,J9:J12,M9:M12)</f>
        <v>-0.59624487995592679</v>
      </c>
      <c r="T9" s="25">
        <f>bdrate(C9:C12,H9:H12,J9:J12,O9:O12)</f>
        <v>-0.42215709752514696</v>
      </c>
      <c r="U9" s="28">
        <f t="shared" ref="U9:U72" si="2">(N9-G9)/G9</f>
        <v>-3.5988372093023205E-2</v>
      </c>
    </row>
    <row r="10" spans="1:21" x14ac:dyDescent="0.25">
      <c r="A10" s="9" t="s">
        <v>36</v>
      </c>
      <c r="B10" s="9"/>
      <c r="C10" s="17">
        <v>4247.49</v>
      </c>
      <c r="D10" s="18">
        <v>37.332999999999998</v>
      </c>
      <c r="E10" s="18">
        <v>38.783000000000001</v>
      </c>
      <c r="F10" s="18">
        <v>41.183</v>
      </c>
      <c r="G10" s="18">
        <v>5.82</v>
      </c>
      <c r="H10" s="18">
        <f t="shared" si="0"/>
        <v>37.9955</v>
      </c>
      <c r="I10" s="5"/>
      <c r="J10" s="17">
        <v>3036.8672000000001</v>
      </c>
      <c r="K10" s="18">
        <v>37.577500000000001</v>
      </c>
      <c r="L10" s="18">
        <v>39.764000000000003</v>
      </c>
      <c r="M10" s="18">
        <v>42.336100000000002</v>
      </c>
      <c r="N10" s="18">
        <v>5.9465000000000003</v>
      </c>
      <c r="O10" s="18">
        <f t="shared" si="1"/>
        <v>38.445637499999997</v>
      </c>
      <c r="P10" s="7"/>
      <c r="Q10" s="10"/>
      <c r="R10" s="11"/>
      <c r="S10" s="11"/>
      <c r="T10" s="26"/>
      <c r="U10" s="28">
        <f t="shared" si="2"/>
        <v>2.1735395189003446E-2</v>
      </c>
    </row>
    <row r="11" spans="1:21" x14ac:dyDescent="0.25">
      <c r="B11" s="9"/>
      <c r="C11" s="17">
        <v>2793.44</v>
      </c>
      <c r="D11" s="18">
        <v>35.680999999999997</v>
      </c>
      <c r="E11" s="18">
        <v>38.057000000000002</v>
      </c>
      <c r="F11" s="18">
        <v>40.421999999999997</v>
      </c>
      <c r="G11" s="18">
        <v>6.91</v>
      </c>
      <c r="H11" s="18">
        <f t="shared" si="0"/>
        <v>36.570624999999993</v>
      </c>
      <c r="I11" s="5"/>
      <c r="J11" s="17">
        <v>1984.7344000000001</v>
      </c>
      <c r="K11" s="18">
        <v>36.214599999999997</v>
      </c>
      <c r="L11" s="18">
        <v>39.093499999999999</v>
      </c>
      <c r="M11" s="18">
        <v>41.514600000000002</v>
      </c>
      <c r="N11" s="18">
        <v>7.1863000000000001</v>
      </c>
      <c r="O11" s="18">
        <f t="shared" si="1"/>
        <v>37.236962500000004</v>
      </c>
      <c r="P11" s="7"/>
      <c r="Q11" s="10"/>
      <c r="R11" s="11"/>
      <c r="S11" s="11"/>
      <c r="T11" s="26"/>
      <c r="U11" s="28">
        <f t="shared" si="2"/>
        <v>3.9985528219971055E-2</v>
      </c>
    </row>
    <row r="12" spans="1:21" ht="16.5" thickBot="1" x14ac:dyDescent="0.3">
      <c r="B12" s="12"/>
      <c r="C12" s="19">
        <v>1375.86</v>
      </c>
      <c r="D12" s="20">
        <v>32.372</v>
      </c>
      <c r="E12" s="20">
        <v>36.880000000000003</v>
      </c>
      <c r="F12" s="20">
        <v>39.228000000000002</v>
      </c>
      <c r="G12" s="20">
        <v>9.42</v>
      </c>
      <c r="H12" s="20">
        <f t="shared" si="0"/>
        <v>33.792499999999997</v>
      </c>
      <c r="I12" s="5"/>
      <c r="J12" s="19">
        <v>945.7808</v>
      </c>
      <c r="K12" s="20">
        <v>33.5595</v>
      </c>
      <c r="L12" s="20">
        <v>37.7408</v>
      </c>
      <c r="M12" s="20">
        <v>40.007399999999997</v>
      </c>
      <c r="N12" s="20">
        <v>9.4733000000000001</v>
      </c>
      <c r="O12" s="20">
        <f t="shared" si="1"/>
        <v>34.888150000000003</v>
      </c>
      <c r="P12" s="7"/>
      <c r="Q12" s="13"/>
      <c r="R12" s="14"/>
      <c r="S12" s="14"/>
      <c r="T12" s="27"/>
      <c r="U12" s="28">
        <f t="shared" si="2"/>
        <v>5.6581740976645572E-3</v>
      </c>
    </row>
    <row r="13" spans="1:21" x14ac:dyDescent="0.25">
      <c r="B13" s="6" t="s">
        <v>47</v>
      </c>
      <c r="C13" s="15">
        <v>6206.96</v>
      </c>
      <c r="D13" s="16">
        <v>30.923999999999999</v>
      </c>
      <c r="E13" s="16">
        <v>40.030999999999999</v>
      </c>
      <c r="F13" s="16">
        <v>40.770000000000003</v>
      </c>
      <c r="G13" s="16">
        <v>4.54</v>
      </c>
      <c r="H13" s="16">
        <f t="shared" si="0"/>
        <v>33.293124999999996</v>
      </c>
      <c r="I13" s="5"/>
      <c r="J13" s="15">
        <v>4163.3216000000002</v>
      </c>
      <c r="K13" s="16">
        <v>30.064900000000002</v>
      </c>
      <c r="L13" s="16">
        <v>40.859099999999998</v>
      </c>
      <c r="M13" s="16">
        <v>41.659399999999998</v>
      </c>
      <c r="N13" s="16">
        <v>3.4563000000000001</v>
      </c>
      <c r="O13" s="16">
        <f t="shared" si="1"/>
        <v>32.863487500000005</v>
      </c>
      <c r="P13" s="7"/>
      <c r="Q13" s="8">
        <f>bdrate(C13:C16,D13:D16,J13:J16,K13:K16)</f>
        <v>-0.29357330358546008</v>
      </c>
      <c r="R13" s="8">
        <f>bdrate(C13:C16,E13:E16,J13:J16,L13:L16)</f>
        <v>-0.5411991045298441</v>
      </c>
      <c r="S13" s="8">
        <f>bdrate(C13:C16,F13:F16,J13:J16,M13:M16)</f>
        <v>-0.60739007560465663</v>
      </c>
      <c r="T13" s="25">
        <f>bdrate(C13:C16,H13:H16,J13:J16,O13:O16)</f>
        <v>-0.3330259515273204</v>
      </c>
      <c r="U13" s="28">
        <f t="shared" si="2"/>
        <v>-0.23870044052863434</v>
      </c>
    </row>
    <row r="14" spans="1:21" x14ac:dyDescent="0.25">
      <c r="B14" s="9"/>
      <c r="C14" s="17">
        <v>4685.8500000000004</v>
      </c>
      <c r="D14" s="18">
        <v>29.393000000000001</v>
      </c>
      <c r="E14" s="18">
        <v>39.49</v>
      </c>
      <c r="F14" s="18">
        <v>40.24</v>
      </c>
      <c r="G14" s="18">
        <v>5.16</v>
      </c>
      <c r="H14" s="18">
        <f t="shared" si="0"/>
        <v>32.011000000000003</v>
      </c>
      <c r="I14" s="5"/>
      <c r="J14" s="17">
        <v>3126.7152000000001</v>
      </c>
      <c r="K14" s="18">
        <v>28.815000000000001</v>
      </c>
      <c r="L14" s="18">
        <v>40.359499999999997</v>
      </c>
      <c r="M14" s="18">
        <v>41.24</v>
      </c>
      <c r="N14" s="18">
        <v>3.9584999999999999</v>
      </c>
      <c r="O14" s="18">
        <f t="shared" si="1"/>
        <v>31.811187500000003</v>
      </c>
      <c r="P14" s="7"/>
      <c r="Q14" s="10"/>
      <c r="R14" s="11"/>
      <c r="S14" s="11"/>
      <c r="T14" s="26"/>
      <c r="U14" s="28">
        <f t="shared" si="2"/>
        <v>-0.23284883720930236</v>
      </c>
    </row>
    <row r="15" spans="1:21" x14ac:dyDescent="0.25">
      <c r="B15" s="9"/>
      <c r="C15" s="17">
        <v>3119.24</v>
      </c>
      <c r="D15" s="18">
        <v>27.199000000000002</v>
      </c>
      <c r="E15" s="18">
        <v>38.779000000000003</v>
      </c>
      <c r="F15" s="18">
        <v>39.566000000000003</v>
      </c>
      <c r="G15" s="18">
        <v>6.22</v>
      </c>
      <c r="H15" s="18">
        <f t="shared" si="0"/>
        <v>30.192375000000002</v>
      </c>
      <c r="I15" s="5"/>
      <c r="J15" s="17">
        <v>2117.3344000000002</v>
      </c>
      <c r="K15" s="18">
        <v>27.0991</v>
      </c>
      <c r="L15" s="18">
        <v>39.610700000000001</v>
      </c>
      <c r="M15" s="18">
        <v>40.609499999999997</v>
      </c>
      <c r="N15" s="18">
        <v>4.6071999999999997</v>
      </c>
      <c r="O15" s="18">
        <f t="shared" si="1"/>
        <v>30.351850000000002</v>
      </c>
      <c r="P15" s="7"/>
      <c r="Q15" s="10"/>
      <c r="R15" s="11"/>
      <c r="S15" s="11"/>
      <c r="T15" s="26"/>
      <c r="U15" s="28">
        <f t="shared" si="2"/>
        <v>-0.25929260450160774</v>
      </c>
    </row>
    <row r="16" spans="1:21" ht="16.5" thickBot="1" x14ac:dyDescent="0.3">
      <c r="B16" s="12"/>
      <c r="C16" s="19">
        <v>1566.68</v>
      </c>
      <c r="D16" s="20">
        <v>23.925999999999998</v>
      </c>
      <c r="E16" s="20">
        <v>37.734000000000002</v>
      </c>
      <c r="F16" s="20">
        <v>38.567999999999998</v>
      </c>
      <c r="G16" s="20">
        <v>7.91</v>
      </c>
      <c r="H16" s="20">
        <f t="shared" si="0"/>
        <v>27.482250000000001</v>
      </c>
      <c r="I16" s="5"/>
      <c r="J16" s="19">
        <v>1357.9503999999999</v>
      </c>
      <c r="K16" s="20">
        <v>25.613299999999999</v>
      </c>
      <c r="L16" s="20">
        <v>38.376399999999997</v>
      </c>
      <c r="M16" s="20">
        <v>39.504600000000003</v>
      </c>
      <c r="N16" s="20">
        <v>5.1256000000000004</v>
      </c>
      <c r="O16" s="20">
        <f t="shared" si="1"/>
        <v>28.9451</v>
      </c>
      <c r="P16" s="7"/>
      <c r="Q16" s="13"/>
      <c r="R16" s="14"/>
      <c r="S16" s="14"/>
      <c r="T16" s="27"/>
      <c r="U16" s="28">
        <f t="shared" si="2"/>
        <v>-0.35201011378002522</v>
      </c>
    </row>
    <row r="17" spans="1:21" x14ac:dyDescent="0.25">
      <c r="A17" s="6" t="s">
        <v>37</v>
      </c>
      <c r="B17" s="6" t="s">
        <v>48</v>
      </c>
      <c r="C17" s="15">
        <v>3073.62</v>
      </c>
      <c r="D17" s="16">
        <v>39.350999999999999</v>
      </c>
      <c r="E17" s="16">
        <v>42.018000000000001</v>
      </c>
      <c r="F17" s="16">
        <v>43.173000000000002</v>
      </c>
      <c r="G17" s="16">
        <v>7.56</v>
      </c>
      <c r="H17" s="16">
        <f t="shared" si="0"/>
        <v>40.162125000000003</v>
      </c>
      <c r="I17" s="5"/>
      <c r="J17" s="15">
        <v>2378.8263999999999</v>
      </c>
      <c r="K17" s="16">
        <v>39.520099999999999</v>
      </c>
      <c r="L17" s="16">
        <v>42.451500000000003</v>
      </c>
      <c r="M17" s="16">
        <v>44.109400000000001</v>
      </c>
      <c r="N17" s="16">
        <v>8.1658000000000008</v>
      </c>
      <c r="O17" s="16">
        <f t="shared" si="1"/>
        <v>40.460187499999996</v>
      </c>
      <c r="P17" s="7"/>
      <c r="Q17" s="8">
        <f>bdrate(C17:C20,D17:D20,J17:J20,K17:K20)</f>
        <v>-0.34726260803125242</v>
      </c>
      <c r="R17" s="8">
        <f>bdrate(C17:C20,E17:E20,J17:J20,L17:L20)</f>
        <v>-0.47638727167042938</v>
      </c>
      <c r="S17" s="8">
        <f>bdrate(C17:C20,F17:F20,J17:J20,M17:M20)</f>
        <v>-0.55791104376595302</v>
      </c>
      <c r="T17" s="25">
        <f>bdrate(C17:C20,H17:H20,J17:J20,O17:O20)</f>
        <v>-0.37530431015191312</v>
      </c>
      <c r="U17" s="28">
        <f t="shared" si="2"/>
        <v>8.0132275132275305E-2</v>
      </c>
    </row>
    <row r="18" spans="1:21" x14ac:dyDescent="0.25">
      <c r="A18" s="9" t="s">
        <v>38</v>
      </c>
      <c r="B18" s="9"/>
      <c r="C18" s="17">
        <v>2020.84</v>
      </c>
      <c r="D18" s="18">
        <v>37.954000000000001</v>
      </c>
      <c r="E18" s="18">
        <v>41.304000000000002</v>
      </c>
      <c r="F18" s="18">
        <v>42.319000000000003</v>
      </c>
      <c r="G18" s="18">
        <v>8.98</v>
      </c>
      <c r="H18" s="18">
        <f t="shared" si="0"/>
        <v>38.918375000000005</v>
      </c>
      <c r="I18" s="5"/>
      <c r="J18" s="17">
        <v>1572.8471999999999</v>
      </c>
      <c r="K18" s="18">
        <v>38.351700000000001</v>
      </c>
      <c r="L18" s="18">
        <v>41.866999999999997</v>
      </c>
      <c r="M18" s="18">
        <v>43.34</v>
      </c>
      <c r="N18" s="18">
        <v>10.3462</v>
      </c>
      <c r="O18" s="18">
        <f t="shared" si="1"/>
        <v>39.414650000000009</v>
      </c>
      <c r="P18" s="7"/>
      <c r="Q18" s="10"/>
      <c r="R18" s="11"/>
      <c r="S18" s="11"/>
      <c r="T18" s="26"/>
      <c r="U18" s="28">
        <f t="shared" si="2"/>
        <v>0.1521380846325166</v>
      </c>
    </row>
    <row r="19" spans="1:21" x14ac:dyDescent="0.25">
      <c r="B19" s="9"/>
      <c r="C19" s="17">
        <v>1259.4000000000001</v>
      </c>
      <c r="D19" s="18">
        <v>36.097999999999999</v>
      </c>
      <c r="E19" s="18">
        <v>40.479999999999997</v>
      </c>
      <c r="F19" s="18">
        <v>41.427999999999997</v>
      </c>
      <c r="G19" s="18">
        <v>10.95</v>
      </c>
      <c r="H19" s="18">
        <f t="shared" si="0"/>
        <v>37.311999999999998</v>
      </c>
      <c r="I19" s="5"/>
      <c r="J19" s="17">
        <v>971.78639999999996</v>
      </c>
      <c r="K19" s="18">
        <v>36.840699999999998</v>
      </c>
      <c r="L19" s="18">
        <v>41.149000000000001</v>
      </c>
      <c r="M19" s="18">
        <v>42.446899999999999</v>
      </c>
      <c r="N19" s="18">
        <v>12.8096</v>
      </c>
      <c r="O19" s="18">
        <f t="shared" si="1"/>
        <v>38.080012499999995</v>
      </c>
      <c r="P19" s="7"/>
      <c r="Q19" s="10"/>
      <c r="R19" s="11"/>
      <c r="S19" s="11"/>
      <c r="T19" s="26"/>
      <c r="U19" s="28">
        <f t="shared" si="2"/>
        <v>0.16982648401826489</v>
      </c>
    </row>
    <row r="20" spans="1:21" ht="16.5" thickBot="1" x14ac:dyDescent="0.3">
      <c r="B20" s="12"/>
      <c r="C20" s="19">
        <v>747.39</v>
      </c>
      <c r="D20" s="20">
        <v>33.779000000000003</v>
      </c>
      <c r="E20" s="20">
        <v>39.616999999999997</v>
      </c>
      <c r="F20" s="20">
        <v>40.584000000000003</v>
      </c>
      <c r="G20" s="20">
        <v>14.01</v>
      </c>
      <c r="H20" s="20">
        <f t="shared" si="0"/>
        <v>35.359375</v>
      </c>
      <c r="I20" s="5"/>
      <c r="J20" s="19">
        <v>566.28800000000001</v>
      </c>
      <c r="K20" s="20">
        <v>35.0398</v>
      </c>
      <c r="L20" s="20">
        <v>40.410400000000003</v>
      </c>
      <c r="M20" s="20">
        <v>41.656300000000002</v>
      </c>
      <c r="N20" s="20">
        <v>16.058900000000001</v>
      </c>
      <c r="O20" s="20">
        <f t="shared" si="1"/>
        <v>36.538187499999999</v>
      </c>
      <c r="P20" s="7"/>
      <c r="Q20" s="13"/>
      <c r="R20" s="14"/>
      <c r="S20" s="14"/>
      <c r="T20" s="27"/>
      <c r="U20" s="28">
        <f t="shared" si="2"/>
        <v>0.14624553890078526</v>
      </c>
    </row>
    <row r="21" spans="1:21" x14ac:dyDescent="0.25">
      <c r="B21" s="6" t="s">
        <v>49</v>
      </c>
      <c r="C21" s="15">
        <v>3427.93</v>
      </c>
      <c r="D21" s="16">
        <v>36.848999999999997</v>
      </c>
      <c r="E21" s="16">
        <v>39.61</v>
      </c>
      <c r="F21" s="16">
        <v>40.741</v>
      </c>
      <c r="G21" s="16">
        <v>7.79</v>
      </c>
      <c r="H21" s="16">
        <f t="shared" si="0"/>
        <v>37.680624999999999</v>
      </c>
      <c r="I21" s="5"/>
      <c r="J21" s="15">
        <v>2535.2575999999999</v>
      </c>
      <c r="K21" s="16">
        <v>36.6265</v>
      </c>
      <c r="L21" s="16">
        <v>40.8446</v>
      </c>
      <c r="M21" s="16">
        <v>42.163200000000003</v>
      </c>
      <c r="N21" s="16">
        <v>7.6847000000000003</v>
      </c>
      <c r="O21" s="16">
        <f t="shared" si="1"/>
        <v>37.845850000000006</v>
      </c>
      <c r="P21" s="7"/>
      <c r="Q21" s="8">
        <f>bdrate(C21:C24,D21:D24,J21:J24,K21:K24)</f>
        <v>-0.29602902708925893</v>
      </c>
      <c r="R21" s="8">
        <f>bdrate(C21:C24,E21:E24,J21:J24,L21:L24)</f>
        <v>-0.60973996465497782</v>
      </c>
      <c r="S21" s="8">
        <f>bdrate(C21:C24,F21:F24,J21:J24,M21:M24)</f>
        <v>-0.60810958447257668</v>
      </c>
      <c r="T21" s="25">
        <f>bdrate(C21:C24,H21:H24,J21:J24,O21:O24)</f>
        <v>-0.35323298737116204</v>
      </c>
      <c r="U21" s="28">
        <f t="shared" si="2"/>
        <v>-1.3517329910141172E-2</v>
      </c>
    </row>
    <row r="22" spans="1:21" x14ac:dyDescent="0.25">
      <c r="B22" s="9"/>
      <c r="C22" s="17">
        <v>2268.13</v>
      </c>
      <c r="D22" s="18">
        <v>35.411999999999999</v>
      </c>
      <c r="E22" s="18">
        <v>38.814999999999998</v>
      </c>
      <c r="F22" s="18">
        <v>40.075000000000003</v>
      </c>
      <c r="G22" s="18">
        <v>8.9700000000000006</v>
      </c>
      <c r="H22" s="18">
        <f t="shared" si="0"/>
        <v>36.420249999999996</v>
      </c>
      <c r="I22" s="5"/>
      <c r="J22" s="17">
        <v>1657.748</v>
      </c>
      <c r="K22" s="18">
        <v>35.369300000000003</v>
      </c>
      <c r="L22" s="18">
        <v>40.015000000000001</v>
      </c>
      <c r="M22" s="18">
        <v>41.231499999999997</v>
      </c>
      <c r="N22" s="18">
        <v>9.67</v>
      </c>
      <c r="O22" s="18">
        <f t="shared" si="1"/>
        <v>36.682787499999996</v>
      </c>
      <c r="P22" s="7"/>
      <c r="Q22" s="10"/>
      <c r="R22" s="11"/>
      <c r="S22" s="11"/>
      <c r="T22" s="26"/>
      <c r="U22" s="28">
        <f t="shared" si="2"/>
        <v>7.8037904124860558E-2</v>
      </c>
    </row>
    <row r="23" spans="1:21" x14ac:dyDescent="0.25">
      <c r="B23" s="9"/>
      <c r="C23" s="17">
        <v>1411.25</v>
      </c>
      <c r="D23" s="18">
        <v>33.664999999999999</v>
      </c>
      <c r="E23" s="18">
        <v>38.024999999999999</v>
      </c>
      <c r="F23" s="18">
        <v>39.423000000000002</v>
      </c>
      <c r="G23" s="18">
        <v>10.63</v>
      </c>
      <c r="H23" s="18">
        <f t="shared" si="0"/>
        <v>34.929749999999999</v>
      </c>
      <c r="I23" s="5"/>
      <c r="J23" s="17">
        <v>1027.4680000000001</v>
      </c>
      <c r="K23" s="18">
        <v>33.905000000000001</v>
      </c>
      <c r="L23" s="18">
        <v>39.115000000000002</v>
      </c>
      <c r="M23" s="18">
        <v>40.336799999999997</v>
      </c>
      <c r="N23" s="18">
        <v>11.898899999999999</v>
      </c>
      <c r="O23" s="18">
        <f t="shared" si="1"/>
        <v>35.360225</v>
      </c>
      <c r="P23" s="7"/>
      <c r="Q23" s="10"/>
      <c r="R23" s="11"/>
      <c r="S23" s="11"/>
      <c r="T23" s="26"/>
      <c r="U23" s="28">
        <f t="shared" si="2"/>
        <v>0.11936970837253043</v>
      </c>
    </row>
    <row r="24" spans="1:21" ht="16.5" thickBot="1" x14ac:dyDescent="0.3">
      <c r="B24" s="12"/>
      <c r="C24" s="19">
        <v>846.33</v>
      </c>
      <c r="D24" s="20">
        <v>31.747</v>
      </c>
      <c r="E24" s="20">
        <v>37.25</v>
      </c>
      <c r="F24" s="20">
        <v>38.786999999999999</v>
      </c>
      <c r="G24" s="20">
        <v>12.96</v>
      </c>
      <c r="H24" s="20">
        <f t="shared" si="0"/>
        <v>33.314875000000001</v>
      </c>
      <c r="I24" s="5"/>
      <c r="J24" s="19">
        <v>617.54960000000005</v>
      </c>
      <c r="K24" s="20">
        <v>32.330300000000001</v>
      </c>
      <c r="L24" s="20">
        <v>38.141399999999997</v>
      </c>
      <c r="M24" s="20">
        <v>39.472799999999999</v>
      </c>
      <c r="N24" s="20">
        <v>14.4735</v>
      </c>
      <c r="O24" s="20">
        <f t="shared" si="1"/>
        <v>33.9495</v>
      </c>
      <c r="P24" s="7"/>
      <c r="Q24" s="13"/>
      <c r="R24" s="14"/>
      <c r="S24" s="14"/>
      <c r="T24" s="27"/>
      <c r="U24" s="28">
        <f t="shared" si="2"/>
        <v>0.11678240740740731</v>
      </c>
    </row>
    <row r="25" spans="1:21" x14ac:dyDescent="0.25">
      <c r="B25" s="6" t="s">
        <v>50</v>
      </c>
      <c r="C25" s="15">
        <v>3540.02</v>
      </c>
      <c r="D25" s="16">
        <v>34.707999999999998</v>
      </c>
      <c r="E25" s="16">
        <v>38.173000000000002</v>
      </c>
      <c r="F25" s="16">
        <v>39.905000000000001</v>
      </c>
      <c r="G25" s="16">
        <v>10.18</v>
      </c>
      <c r="H25" s="16">
        <f t="shared" si="0"/>
        <v>35.790750000000003</v>
      </c>
      <c r="I25" s="5"/>
      <c r="J25" s="15">
        <v>2412.8103999999998</v>
      </c>
      <c r="K25" s="16">
        <v>34.936700000000002</v>
      </c>
      <c r="L25" s="16">
        <v>38.764699999999998</v>
      </c>
      <c r="M25" s="16">
        <v>41.2545</v>
      </c>
      <c r="N25" s="16">
        <v>11.022</v>
      </c>
      <c r="O25" s="16">
        <f t="shared" si="1"/>
        <v>36.204925000000003</v>
      </c>
      <c r="P25" s="7"/>
      <c r="Q25" s="8">
        <f>bdrate(C25:C28,D25:D28,J25:J28,K25:K28)</f>
        <v>-0.44616813985208725</v>
      </c>
      <c r="R25" s="8">
        <f>bdrate(C25:C28,E25:E28,J25:J28,L25:L28)</f>
        <v>-0.64120314258553135</v>
      </c>
      <c r="S25" s="8">
        <f>bdrate(C25:C28,F25:F28,J25:J28,M25:M28)</f>
        <v>-0.67008181335575157</v>
      </c>
      <c r="T25" s="25">
        <f>bdrate(C25:C28,H25:H28,J25:J28,O25:O28)</f>
        <v>-0.48293481509144642</v>
      </c>
      <c r="U25" s="28">
        <f t="shared" si="2"/>
        <v>8.2711198428290819E-2</v>
      </c>
    </row>
    <row r="26" spans="1:21" x14ac:dyDescent="0.25">
      <c r="B26" s="9"/>
      <c r="C26" s="17">
        <v>2357.79</v>
      </c>
      <c r="D26" s="18">
        <v>33.277999999999999</v>
      </c>
      <c r="E26" s="18">
        <v>37.622</v>
      </c>
      <c r="F26" s="18">
        <v>39.000999999999998</v>
      </c>
      <c r="G26" s="18">
        <v>11.99</v>
      </c>
      <c r="H26" s="18">
        <f t="shared" si="0"/>
        <v>34.536375</v>
      </c>
      <c r="I26" s="5"/>
      <c r="J26" s="17">
        <v>1604.5391999999999</v>
      </c>
      <c r="K26" s="18">
        <v>33.825000000000003</v>
      </c>
      <c r="L26" s="18">
        <v>38.347799999999999</v>
      </c>
      <c r="M26" s="18">
        <v>40.454900000000002</v>
      </c>
      <c r="N26" s="18">
        <v>13.5351</v>
      </c>
      <c r="O26" s="18">
        <f t="shared" si="1"/>
        <v>35.219087500000001</v>
      </c>
      <c r="P26" s="7"/>
      <c r="Q26" s="10"/>
      <c r="R26" s="11"/>
      <c r="S26" s="11"/>
      <c r="T26" s="26"/>
      <c r="U26" s="28">
        <f t="shared" si="2"/>
        <v>0.12886572143452873</v>
      </c>
    </row>
    <row r="27" spans="1:21" x14ac:dyDescent="0.25">
      <c r="B27" s="9"/>
      <c r="C27" s="17">
        <v>1472.33</v>
      </c>
      <c r="D27" s="18">
        <v>31.448</v>
      </c>
      <c r="E27" s="18">
        <v>36.945</v>
      </c>
      <c r="F27" s="18">
        <v>37.917999999999999</v>
      </c>
      <c r="G27" s="18">
        <v>14.77</v>
      </c>
      <c r="H27" s="18">
        <f t="shared" si="0"/>
        <v>32.943874999999998</v>
      </c>
      <c r="I27" s="5"/>
      <c r="J27" s="17">
        <v>997.93759999999997</v>
      </c>
      <c r="K27" s="18">
        <v>32.310200000000002</v>
      </c>
      <c r="L27" s="18">
        <v>37.829599999999999</v>
      </c>
      <c r="M27" s="18">
        <v>39.521999999999998</v>
      </c>
      <c r="N27" s="18">
        <v>16.5044</v>
      </c>
      <c r="O27" s="18">
        <f t="shared" si="1"/>
        <v>33.901600000000002</v>
      </c>
      <c r="P27" s="7"/>
      <c r="Q27" s="10"/>
      <c r="R27" s="11"/>
      <c r="S27" s="11"/>
      <c r="T27" s="26"/>
      <c r="U27" s="28">
        <f t="shared" si="2"/>
        <v>0.11742721733243067</v>
      </c>
    </row>
    <row r="28" spans="1:21" ht="16.5" thickBot="1" x14ac:dyDescent="0.3">
      <c r="B28" s="12"/>
      <c r="C28" s="19">
        <v>883.09</v>
      </c>
      <c r="D28" s="20">
        <v>29.241</v>
      </c>
      <c r="E28" s="20">
        <v>36.243000000000002</v>
      </c>
      <c r="F28" s="20">
        <v>36.710999999999999</v>
      </c>
      <c r="G28" s="20">
        <v>18.41</v>
      </c>
      <c r="H28" s="20">
        <f t="shared" si="0"/>
        <v>31.049999999999997</v>
      </c>
      <c r="I28" s="5"/>
      <c r="J28" s="19">
        <v>599.54560000000004</v>
      </c>
      <c r="K28" s="20">
        <v>30.660399999999999</v>
      </c>
      <c r="L28" s="20">
        <v>37.204300000000003</v>
      </c>
      <c r="M28" s="20">
        <v>38.489199999999997</v>
      </c>
      <c r="N28" s="20">
        <v>20.4666</v>
      </c>
      <c r="O28" s="20">
        <f t="shared" si="1"/>
        <v>32.456987499999997</v>
      </c>
      <c r="P28" s="7"/>
      <c r="Q28" s="13"/>
      <c r="R28" s="14"/>
      <c r="S28" s="14"/>
      <c r="T28" s="27"/>
      <c r="U28" s="28">
        <f t="shared" si="2"/>
        <v>0.11171102661596956</v>
      </c>
    </row>
    <row r="29" spans="1:21" x14ac:dyDescent="0.25">
      <c r="B29" s="6" t="s">
        <v>51</v>
      </c>
      <c r="C29" s="29">
        <v>3589.09</v>
      </c>
      <c r="D29" s="30">
        <v>34.335999999999999</v>
      </c>
      <c r="E29" s="30">
        <v>39.996000000000002</v>
      </c>
      <c r="F29" s="30">
        <v>39.725000000000001</v>
      </c>
      <c r="G29" s="16">
        <v>9.69</v>
      </c>
      <c r="H29" s="16">
        <f t="shared" si="0"/>
        <v>35.717125000000003</v>
      </c>
      <c r="I29" s="5"/>
      <c r="J29" s="29">
        <v>2458.944</v>
      </c>
      <c r="K29" s="30">
        <v>34.660600000000002</v>
      </c>
      <c r="L29" s="30">
        <v>41.180700000000002</v>
      </c>
      <c r="M29" s="30">
        <v>40.968400000000003</v>
      </c>
      <c r="N29" s="16">
        <v>9.8986000000000001</v>
      </c>
      <c r="O29" s="16">
        <f t="shared" si="1"/>
        <v>36.264087500000002</v>
      </c>
      <c r="P29" s="7"/>
      <c r="Q29" s="8">
        <f>bdrate(C29:C32,D29:D32,J29:J32,K29:K32)</f>
        <v>-0.46797879194484104</v>
      </c>
      <c r="R29" s="8">
        <f>bdrate(C29:C32,E29:E32,J29:J32,L29:L32)</f>
        <v>-0.69584097073045748</v>
      </c>
      <c r="S29" s="8">
        <f>bdrate(C29:C32,F29:F32,J29:J32,M29:M32)</f>
        <v>-0.63618687603478952</v>
      </c>
      <c r="T29" s="25">
        <f>bdrate(C29:C32,H29:H32,J29:J32,O29:O32)</f>
        <v>-0.50561932619706962</v>
      </c>
      <c r="U29" s="28">
        <f t="shared" si="2"/>
        <v>2.1527347781217808E-2</v>
      </c>
    </row>
    <row r="30" spans="1:21" x14ac:dyDescent="0.25">
      <c r="B30" s="9"/>
      <c r="C30" s="31">
        <v>2377.7800000000002</v>
      </c>
      <c r="D30" s="32">
        <v>32.64</v>
      </c>
      <c r="E30" s="32">
        <v>39.110999999999997</v>
      </c>
      <c r="F30" s="32">
        <v>38.584000000000003</v>
      </c>
      <c r="G30" s="18">
        <v>11.74</v>
      </c>
      <c r="H30" s="18">
        <f t="shared" si="0"/>
        <v>34.191874999999996</v>
      </c>
      <c r="I30" s="5"/>
      <c r="J30" s="31">
        <v>1639.232</v>
      </c>
      <c r="K30" s="32">
        <v>33.361800000000002</v>
      </c>
      <c r="L30" s="32">
        <v>40.530999999999999</v>
      </c>
      <c r="M30" s="32">
        <v>40.071100000000001</v>
      </c>
      <c r="N30" s="18">
        <v>11.941700000000001</v>
      </c>
      <c r="O30" s="18">
        <f t="shared" si="1"/>
        <v>35.096612500000006</v>
      </c>
      <c r="P30" s="7"/>
      <c r="Q30" s="10"/>
      <c r="R30" s="11"/>
      <c r="S30" s="11"/>
      <c r="T30" s="26"/>
      <c r="U30" s="28">
        <f t="shared" si="2"/>
        <v>1.7180579216354401E-2</v>
      </c>
    </row>
    <row r="31" spans="1:21" x14ac:dyDescent="0.25">
      <c r="B31" s="9"/>
      <c r="C31" s="31">
        <v>1473.72</v>
      </c>
      <c r="D31" s="32">
        <v>30.355</v>
      </c>
      <c r="E31" s="32">
        <v>38.031999999999996</v>
      </c>
      <c r="F31" s="32">
        <v>37.209000000000003</v>
      </c>
      <c r="G31" s="18">
        <v>15.03</v>
      </c>
      <c r="H31" s="18">
        <f t="shared" si="0"/>
        <v>32.171374999999998</v>
      </c>
      <c r="I31" s="5"/>
      <c r="J31" s="31">
        <v>1018.4048</v>
      </c>
      <c r="K31" s="32">
        <v>31.755299999999998</v>
      </c>
      <c r="L31" s="32">
        <v>39.795299999999997</v>
      </c>
      <c r="M31" s="32">
        <v>39.0259</v>
      </c>
      <c r="N31" s="18">
        <v>14.3406</v>
      </c>
      <c r="O31" s="18">
        <f t="shared" si="1"/>
        <v>33.669124999999994</v>
      </c>
      <c r="P31" s="7"/>
      <c r="Q31" s="10"/>
      <c r="R31" s="11"/>
      <c r="S31" s="11"/>
      <c r="T31" s="26"/>
      <c r="U31" s="28">
        <f t="shared" si="2"/>
        <v>-4.5868263473053839E-2</v>
      </c>
    </row>
    <row r="32" spans="1:21" ht="16.5" thickBot="1" x14ac:dyDescent="0.3">
      <c r="B32" s="12"/>
      <c r="C32" s="33">
        <v>873.16</v>
      </c>
      <c r="D32" s="34">
        <v>27.446000000000002</v>
      </c>
      <c r="E32" s="34">
        <v>36.765000000000001</v>
      </c>
      <c r="F32" s="34">
        <v>35.317999999999998</v>
      </c>
      <c r="G32" s="20">
        <v>19.16</v>
      </c>
      <c r="H32" s="20">
        <f t="shared" si="0"/>
        <v>29.594875000000002</v>
      </c>
      <c r="I32" s="5"/>
      <c r="J32" s="33">
        <v>610.46960000000001</v>
      </c>
      <c r="K32" s="34">
        <v>30.010999999999999</v>
      </c>
      <c r="L32" s="34">
        <v>38.7774</v>
      </c>
      <c r="M32" s="34">
        <v>37.671399999999998</v>
      </c>
      <c r="N32" s="20">
        <v>17.796099999999999</v>
      </c>
      <c r="O32" s="20">
        <f t="shared" si="1"/>
        <v>32.064349999999997</v>
      </c>
      <c r="P32" s="7"/>
      <c r="Q32" s="13"/>
      <c r="R32" s="14"/>
      <c r="S32" s="14"/>
      <c r="T32" s="27"/>
      <c r="U32" s="28">
        <f t="shared" si="2"/>
        <v>-7.1184759916492743E-2</v>
      </c>
    </row>
    <row r="33" spans="1:21" x14ac:dyDescent="0.25">
      <c r="B33" s="6" t="s">
        <v>52</v>
      </c>
      <c r="C33" s="15">
        <v>3613.82</v>
      </c>
      <c r="D33" s="16">
        <v>33.366</v>
      </c>
      <c r="E33" s="16">
        <v>39.112000000000002</v>
      </c>
      <c r="F33" s="16">
        <v>41.844999999999999</v>
      </c>
      <c r="G33" s="16">
        <v>10.73</v>
      </c>
      <c r="H33" s="16">
        <f t="shared" si="0"/>
        <v>35.144125000000003</v>
      </c>
      <c r="I33" s="5"/>
      <c r="J33" s="15">
        <v>2401.1776</v>
      </c>
      <c r="K33" s="16">
        <v>33.996200000000002</v>
      </c>
      <c r="L33" s="16">
        <v>40.402700000000003</v>
      </c>
      <c r="M33" s="16">
        <v>42.835999999999999</v>
      </c>
      <c r="N33" s="16">
        <v>10.9985</v>
      </c>
      <c r="O33" s="16">
        <f t="shared" si="1"/>
        <v>35.901987500000004</v>
      </c>
      <c r="P33" s="7"/>
      <c r="Q33" s="8">
        <f>bdrate(C33:C36,D33:D36,J33:J36,K33:K36)</f>
        <v>-0.59676536029719829</v>
      </c>
      <c r="R33" s="8">
        <f>bdrate(C33:C36,E33:E36,J33:J36,L33:L36)</f>
        <v>-0.74655733946763603</v>
      </c>
      <c r="S33" s="8">
        <f>bdrate(C33:C36,F33:F36,J33:J36,M33:M36)</f>
        <v>-0.716791483261906</v>
      </c>
      <c r="T33" s="25">
        <f>bdrate(C33:C36,H33:H36,J33:J36,O33:O36)</f>
        <v>-0.61911618820284509</v>
      </c>
      <c r="U33" s="28">
        <f t="shared" si="2"/>
        <v>2.502329916123015E-2</v>
      </c>
    </row>
    <row r="34" spans="1:21" x14ac:dyDescent="0.25">
      <c r="B34" s="9"/>
      <c r="C34" s="17">
        <v>2387.1799999999998</v>
      </c>
      <c r="D34" s="18">
        <v>32.406999999999996</v>
      </c>
      <c r="E34" s="18">
        <v>38.701000000000001</v>
      </c>
      <c r="F34" s="18">
        <v>41.41</v>
      </c>
      <c r="G34" s="18">
        <v>12.3</v>
      </c>
      <c r="H34" s="18">
        <f t="shared" si="0"/>
        <v>34.319125</v>
      </c>
      <c r="I34" s="5"/>
      <c r="J34" s="17">
        <v>1609.4287999999999</v>
      </c>
      <c r="K34" s="18">
        <v>33.398400000000002</v>
      </c>
      <c r="L34" s="18">
        <v>39.945799999999998</v>
      </c>
      <c r="M34" s="18">
        <v>42.436900000000001</v>
      </c>
      <c r="N34" s="18">
        <v>13.697100000000001</v>
      </c>
      <c r="O34" s="18">
        <f t="shared" si="1"/>
        <v>35.3466375</v>
      </c>
      <c r="P34" s="7"/>
      <c r="Q34" s="10"/>
      <c r="R34" s="11"/>
      <c r="S34" s="11"/>
      <c r="T34" s="26"/>
      <c r="U34" s="28">
        <f t="shared" si="2"/>
        <v>0.11358536585365853</v>
      </c>
    </row>
    <row r="35" spans="1:21" x14ac:dyDescent="0.25">
      <c r="B35" s="9"/>
      <c r="C35" s="17">
        <v>1471.37</v>
      </c>
      <c r="D35" s="18">
        <v>30.957000000000001</v>
      </c>
      <c r="E35" s="18">
        <v>38.165999999999997</v>
      </c>
      <c r="F35" s="18">
        <v>40.779000000000003</v>
      </c>
      <c r="G35" s="18">
        <v>14.6</v>
      </c>
      <c r="H35" s="18">
        <f t="shared" si="0"/>
        <v>33.085875000000001</v>
      </c>
      <c r="I35" s="5"/>
      <c r="J35" s="17">
        <v>988.5376</v>
      </c>
      <c r="K35" s="18">
        <v>32.468499999999999</v>
      </c>
      <c r="L35" s="18">
        <v>39.255699999999997</v>
      </c>
      <c r="M35" s="18">
        <v>41.8322</v>
      </c>
      <c r="N35" s="18">
        <v>17.003399999999999</v>
      </c>
      <c r="O35" s="18">
        <f t="shared" si="1"/>
        <v>34.487362499999996</v>
      </c>
      <c r="P35" s="7"/>
      <c r="Q35" s="10"/>
      <c r="R35" s="11"/>
      <c r="S35" s="11"/>
      <c r="T35" s="26"/>
      <c r="U35" s="28">
        <f t="shared" si="2"/>
        <v>0.16461643835616435</v>
      </c>
    </row>
    <row r="36" spans="1:21" ht="16.5" thickBot="1" x14ac:dyDescent="0.3">
      <c r="B36" s="12"/>
      <c r="C36" s="19">
        <v>867.74</v>
      </c>
      <c r="D36" s="20">
        <v>28.992000000000001</v>
      </c>
      <c r="E36" s="20">
        <v>37.585999999999999</v>
      </c>
      <c r="F36" s="20">
        <v>40.106000000000002</v>
      </c>
      <c r="G36" s="20">
        <v>17.91</v>
      </c>
      <c r="H36" s="20">
        <f t="shared" si="0"/>
        <v>31.455500000000001</v>
      </c>
      <c r="I36" s="5"/>
      <c r="J36" s="19">
        <v>605.82479999999998</v>
      </c>
      <c r="K36" s="20">
        <v>31.139700000000001</v>
      </c>
      <c r="L36" s="20">
        <v>38.6783</v>
      </c>
      <c r="M36" s="20">
        <v>41.285600000000002</v>
      </c>
      <c r="N36" s="20">
        <v>21.296199999999999</v>
      </c>
      <c r="O36" s="20">
        <f t="shared" si="1"/>
        <v>33.350262499999999</v>
      </c>
      <c r="P36" s="7"/>
      <c r="Q36" s="13"/>
      <c r="R36" s="14"/>
      <c r="S36" s="14"/>
      <c r="T36" s="27"/>
      <c r="U36" s="28">
        <f t="shared" si="2"/>
        <v>0.18906756002233382</v>
      </c>
    </row>
    <row r="37" spans="1:21" x14ac:dyDescent="0.25">
      <c r="A37" s="6" t="s">
        <v>39</v>
      </c>
      <c r="B37" s="6" t="s">
        <v>53</v>
      </c>
      <c r="C37" s="15">
        <v>1549.03</v>
      </c>
      <c r="D37" s="16">
        <v>35.409999999999997</v>
      </c>
      <c r="E37" s="16">
        <v>38.819000000000003</v>
      </c>
      <c r="F37" s="16">
        <v>38.789000000000001</v>
      </c>
      <c r="G37" s="16">
        <v>38.380000000000003</v>
      </c>
      <c r="H37" s="16">
        <f t="shared" si="0"/>
        <v>36.258499999999998</v>
      </c>
      <c r="I37" s="5"/>
      <c r="J37" s="15">
        <v>1238.2911999999999</v>
      </c>
      <c r="K37" s="16">
        <v>36.559899999999999</v>
      </c>
      <c r="L37" s="16">
        <v>41.029699999999998</v>
      </c>
      <c r="M37" s="16">
        <v>41.094999999999999</v>
      </c>
      <c r="N37" s="16">
        <v>31.361699999999999</v>
      </c>
      <c r="O37" s="16">
        <f t="shared" si="1"/>
        <v>37.685512500000002</v>
      </c>
      <c r="P37" s="7"/>
      <c r="Q37" s="8">
        <f>bdrate(C37:C40,D37:D40,J37:J40,K37:K40)</f>
        <v>-0.38693605421818855</v>
      </c>
      <c r="R37" s="8">
        <f>bdrate(C37:C40,E37:E40,J37:J40,L37:L40)</f>
        <v>-0.63643590850054721</v>
      </c>
      <c r="S37" s="8">
        <f>bdrate(C37:C40,F37:F40,J37:J40,M37:M40)</f>
        <v>-0.610721107729012</v>
      </c>
      <c r="T37" s="25">
        <f>bdrate(C37:C40,H37:H40,J37:J40,O37:O40)</f>
        <v>-0.4422496430524846</v>
      </c>
      <c r="U37" s="28">
        <f t="shared" si="2"/>
        <v>-0.18286347055758215</v>
      </c>
    </row>
    <row r="38" spans="1:21" x14ac:dyDescent="0.25">
      <c r="A38" s="9" t="s">
        <v>40</v>
      </c>
      <c r="B38" s="9"/>
      <c r="C38" s="17">
        <v>1051.46</v>
      </c>
      <c r="D38" s="18">
        <v>33.878</v>
      </c>
      <c r="E38" s="18">
        <v>37.581000000000003</v>
      </c>
      <c r="F38" s="18">
        <v>37.451000000000001</v>
      </c>
      <c r="G38" s="18">
        <v>44.52</v>
      </c>
      <c r="H38" s="18">
        <f t="shared" si="0"/>
        <v>34.787500000000001</v>
      </c>
      <c r="I38" s="5"/>
      <c r="J38" s="17">
        <v>825.20399999999995</v>
      </c>
      <c r="K38" s="18">
        <v>34.808300000000003</v>
      </c>
      <c r="L38" s="18">
        <v>39.757100000000001</v>
      </c>
      <c r="M38" s="18">
        <v>39.6404</v>
      </c>
      <c r="N38" s="18">
        <v>37.009599999999999</v>
      </c>
      <c r="O38" s="18">
        <f t="shared" si="1"/>
        <v>36.030912499999999</v>
      </c>
      <c r="P38" s="7"/>
      <c r="Q38" s="10"/>
      <c r="R38" s="11"/>
      <c r="S38" s="11"/>
      <c r="T38" s="26"/>
      <c r="U38" s="28">
        <f t="shared" si="2"/>
        <v>-0.16869721473495067</v>
      </c>
    </row>
    <row r="39" spans="1:21" x14ac:dyDescent="0.25">
      <c r="B39" s="9"/>
      <c r="C39" s="17">
        <v>648.16999999999996</v>
      </c>
      <c r="D39" s="18">
        <v>31.920999999999999</v>
      </c>
      <c r="E39" s="18">
        <v>36.296999999999997</v>
      </c>
      <c r="F39" s="18">
        <v>36.014000000000003</v>
      </c>
      <c r="G39" s="18">
        <v>56.14</v>
      </c>
      <c r="H39" s="18">
        <f t="shared" si="0"/>
        <v>32.979624999999999</v>
      </c>
      <c r="I39" s="5"/>
      <c r="J39" s="17">
        <v>516.41120000000001</v>
      </c>
      <c r="K39" s="18">
        <v>32.964599999999997</v>
      </c>
      <c r="L39" s="18">
        <v>38.433</v>
      </c>
      <c r="M39" s="18">
        <v>38.194000000000003</v>
      </c>
      <c r="N39" s="18">
        <v>44.456299999999999</v>
      </c>
      <c r="O39" s="18">
        <f t="shared" si="1"/>
        <v>34.301825000000001</v>
      </c>
      <c r="P39" s="7"/>
      <c r="Q39" s="10"/>
      <c r="R39" s="11"/>
      <c r="S39" s="11"/>
      <c r="T39" s="26"/>
      <c r="U39" s="28">
        <f t="shared" si="2"/>
        <v>-0.20811720698254366</v>
      </c>
    </row>
    <row r="40" spans="1:21" ht="16.5" thickBot="1" x14ac:dyDescent="0.3">
      <c r="B40" s="12"/>
      <c r="C40" s="19">
        <v>396.82</v>
      </c>
      <c r="D40" s="20">
        <v>29.76</v>
      </c>
      <c r="E40" s="20">
        <v>35.070999999999998</v>
      </c>
      <c r="F40" s="20">
        <v>34.56</v>
      </c>
      <c r="G40" s="20">
        <v>71.23</v>
      </c>
      <c r="H40" s="20">
        <f t="shared" si="0"/>
        <v>31.023875</v>
      </c>
      <c r="I40" s="5"/>
      <c r="J40" s="19">
        <v>309.23439999999999</v>
      </c>
      <c r="K40" s="20">
        <v>31.059899999999999</v>
      </c>
      <c r="L40" s="20">
        <v>37.104100000000003</v>
      </c>
      <c r="M40" s="20">
        <v>36.651400000000002</v>
      </c>
      <c r="N40" s="20">
        <v>54.507800000000003</v>
      </c>
      <c r="O40" s="20">
        <f t="shared" si="1"/>
        <v>32.514362500000004</v>
      </c>
      <c r="P40" s="7"/>
      <c r="Q40" s="13"/>
      <c r="R40" s="14"/>
      <c r="S40" s="14"/>
      <c r="T40" s="27"/>
      <c r="U40" s="28">
        <f t="shared" si="2"/>
        <v>-0.23476344236978802</v>
      </c>
    </row>
    <row r="41" spans="1:21" x14ac:dyDescent="0.25">
      <c r="B41" s="6" t="s">
        <v>54</v>
      </c>
      <c r="C41" s="15">
        <v>1557.74</v>
      </c>
      <c r="D41" s="16">
        <v>35.716000000000001</v>
      </c>
      <c r="E41" s="16">
        <v>40.171999999999997</v>
      </c>
      <c r="F41" s="16">
        <v>40.993000000000002</v>
      </c>
      <c r="G41" s="16">
        <v>42.03</v>
      </c>
      <c r="H41" s="16">
        <f t="shared" si="0"/>
        <v>36.932625000000002</v>
      </c>
      <c r="I41" s="5"/>
      <c r="J41" s="15">
        <v>1258.9975999999999</v>
      </c>
      <c r="K41" s="16">
        <v>36.224499999999999</v>
      </c>
      <c r="L41" s="16">
        <v>41.821399999999997</v>
      </c>
      <c r="M41" s="16">
        <v>42.845300000000002</v>
      </c>
      <c r="N41" s="16">
        <v>35.319000000000003</v>
      </c>
      <c r="O41" s="16">
        <f t="shared" si="1"/>
        <v>37.751712499999996</v>
      </c>
      <c r="P41" s="7"/>
      <c r="Q41" s="8">
        <f>bdrate(C41:C44,D41:D44,J41:J44,K41:K44)</f>
        <v>-0.36407493583429407</v>
      </c>
      <c r="R41" s="8">
        <f>bdrate(C41:C44,E41:E44,J41:J44,L41:L44)</f>
        <v>-0.59598884333740343</v>
      </c>
      <c r="S41" s="8">
        <f>bdrate(C41:C44,F41:F44,J41:J44,M41:M44)</f>
        <v>-0.59374862019524799</v>
      </c>
      <c r="T41" s="25">
        <f>bdrate(C41:C44,H41:H44,J41:J44,O41:O44)</f>
        <v>-0.40873605162862936</v>
      </c>
      <c r="U41" s="28">
        <f t="shared" si="2"/>
        <v>-0.15967166309778724</v>
      </c>
    </row>
    <row r="42" spans="1:21" x14ac:dyDescent="0.25">
      <c r="B42" s="9"/>
      <c r="C42" s="17">
        <v>1056.01</v>
      </c>
      <c r="D42" s="18">
        <v>34.012999999999998</v>
      </c>
      <c r="E42" s="18">
        <v>39.293999999999997</v>
      </c>
      <c r="F42" s="18">
        <v>39.988999999999997</v>
      </c>
      <c r="G42" s="18">
        <v>48.69</v>
      </c>
      <c r="H42" s="18">
        <f t="shared" si="0"/>
        <v>35.420124999999992</v>
      </c>
      <c r="I42" s="5"/>
      <c r="J42" s="17">
        <v>836.66160000000002</v>
      </c>
      <c r="K42" s="18">
        <v>34.734900000000003</v>
      </c>
      <c r="L42" s="18">
        <v>40.873600000000003</v>
      </c>
      <c r="M42" s="18">
        <v>41.760100000000001</v>
      </c>
      <c r="N42" s="18">
        <v>42.125999999999998</v>
      </c>
      <c r="O42" s="18">
        <f t="shared" si="1"/>
        <v>36.380387500000005</v>
      </c>
      <c r="P42" s="7"/>
      <c r="Q42" s="10"/>
      <c r="R42" s="11"/>
      <c r="S42" s="11"/>
      <c r="T42" s="26"/>
      <c r="U42" s="28">
        <f t="shared" si="2"/>
        <v>-0.13481207640172521</v>
      </c>
    </row>
    <row r="43" spans="1:21" x14ac:dyDescent="0.25">
      <c r="B43" s="9"/>
      <c r="C43" s="17">
        <v>655.33000000000004</v>
      </c>
      <c r="D43" s="18">
        <v>31.81</v>
      </c>
      <c r="E43" s="18">
        <v>38.276000000000003</v>
      </c>
      <c r="F43" s="18">
        <v>38.893000000000001</v>
      </c>
      <c r="G43" s="18">
        <v>57.84</v>
      </c>
      <c r="H43" s="18">
        <f t="shared" si="0"/>
        <v>33.503625</v>
      </c>
      <c r="I43" s="5"/>
      <c r="J43" s="17">
        <v>520.82719999999995</v>
      </c>
      <c r="K43" s="18">
        <v>32.9221</v>
      </c>
      <c r="L43" s="18">
        <v>39.732900000000001</v>
      </c>
      <c r="M43" s="18">
        <v>40.467300000000002</v>
      </c>
      <c r="N43" s="18">
        <v>50.675699999999999</v>
      </c>
      <c r="O43" s="18">
        <f t="shared" si="1"/>
        <v>34.7166</v>
      </c>
      <c r="P43" s="7"/>
      <c r="Q43" s="10"/>
      <c r="R43" s="11"/>
      <c r="S43" s="11"/>
      <c r="T43" s="26"/>
      <c r="U43" s="28">
        <f t="shared" si="2"/>
        <v>-0.12386410788381749</v>
      </c>
    </row>
    <row r="44" spans="1:21" ht="16.5" thickBot="1" x14ac:dyDescent="0.3">
      <c r="B44" s="12"/>
      <c r="C44" s="19">
        <v>404.61</v>
      </c>
      <c r="D44" s="20">
        <v>29.437000000000001</v>
      </c>
      <c r="E44" s="20">
        <v>37.287999999999997</v>
      </c>
      <c r="F44" s="20">
        <v>37.822000000000003</v>
      </c>
      <c r="G44" s="20">
        <v>72.97</v>
      </c>
      <c r="H44" s="20">
        <f t="shared" si="0"/>
        <v>31.466500000000003</v>
      </c>
      <c r="I44" s="5"/>
      <c r="J44" s="19">
        <v>311.7944</v>
      </c>
      <c r="K44" s="20">
        <v>30.8934</v>
      </c>
      <c r="L44" s="20">
        <v>38.632800000000003</v>
      </c>
      <c r="M44" s="20">
        <v>39.2607</v>
      </c>
      <c r="N44" s="20">
        <v>61.343400000000003</v>
      </c>
      <c r="O44" s="20">
        <f t="shared" si="1"/>
        <v>32.906737499999998</v>
      </c>
      <c r="P44" s="7"/>
      <c r="Q44" s="13"/>
      <c r="R44" s="14"/>
      <c r="S44" s="14"/>
      <c r="T44" s="27"/>
      <c r="U44" s="28">
        <f t="shared" si="2"/>
        <v>-0.15933397286556114</v>
      </c>
    </row>
    <row r="45" spans="1:21" x14ac:dyDescent="0.25">
      <c r="B45" s="6" t="s">
        <v>55</v>
      </c>
      <c r="C45" s="15">
        <v>1423.13</v>
      </c>
      <c r="D45" s="16">
        <v>30.233000000000001</v>
      </c>
      <c r="E45" s="16">
        <v>35.863</v>
      </c>
      <c r="F45" s="16">
        <v>36.588000000000001</v>
      </c>
      <c r="G45" s="16">
        <v>38.520000000000003</v>
      </c>
      <c r="H45" s="16">
        <f t="shared" si="0"/>
        <v>31.731124999999999</v>
      </c>
      <c r="I45" s="5"/>
      <c r="J45" s="15">
        <v>1240.0224000000001</v>
      </c>
      <c r="K45" s="16">
        <v>31.0687</v>
      </c>
      <c r="L45" s="16">
        <v>37.744199999999999</v>
      </c>
      <c r="M45" s="16">
        <v>38.618000000000002</v>
      </c>
      <c r="N45" s="16">
        <v>30.095099999999999</v>
      </c>
      <c r="O45" s="16">
        <f t="shared" si="1"/>
        <v>32.846800000000002</v>
      </c>
      <c r="P45" s="7"/>
      <c r="Q45" s="8">
        <f>bdrate(C45:C48,D45:D48,J45:J48,K45:K48)</f>
        <v>-0.36729994270477195</v>
      </c>
      <c r="R45" s="8">
        <f>bdrate(C45:C48,E45:E48,J45:J48,L45:L48)</f>
        <v>-0.66656601098562296</v>
      </c>
      <c r="S45" s="8">
        <f>bdrate(C45:C48,F45:F48,J45:J48,M45:M48)</f>
        <v>-0.66175303684710118</v>
      </c>
      <c r="T45" s="25">
        <f>bdrate(C45:C48,H45:H48,J45:J48,O45:O48)</f>
        <v>-0.42150039427885566</v>
      </c>
      <c r="U45" s="28">
        <f t="shared" si="2"/>
        <v>-0.21871495327102813</v>
      </c>
    </row>
    <row r="46" spans="1:21" x14ac:dyDescent="0.25">
      <c r="B46" s="9"/>
      <c r="C46" s="17">
        <v>967.44</v>
      </c>
      <c r="D46" s="18">
        <v>28.821000000000002</v>
      </c>
      <c r="E46" s="18">
        <v>35.253999999999998</v>
      </c>
      <c r="F46" s="18">
        <v>36.014000000000003</v>
      </c>
      <c r="G46" s="18">
        <v>42.91</v>
      </c>
      <c r="H46" s="18">
        <f t="shared" si="0"/>
        <v>30.524250000000002</v>
      </c>
      <c r="I46" s="5"/>
      <c r="J46" s="17">
        <v>825.27520000000004</v>
      </c>
      <c r="K46" s="18">
        <v>29.7439</v>
      </c>
      <c r="L46" s="18">
        <v>36.905999999999999</v>
      </c>
      <c r="M46" s="18">
        <v>37.683300000000003</v>
      </c>
      <c r="N46" s="18">
        <v>35.932400000000001</v>
      </c>
      <c r="O46" s="18">
        <f t="shared" si="1"/>
        <v>31.631587500000002</v>
      </c>
      <c r="P46" s="7"/>
      <c r="Q46" s="10"/>
      <c r="R46" s="11"/>
      <c r="S46" s="11"/>
      <c r="T46" s="26"/>
      <c r="U46" s="28">
        <f t="shared" si="2"/>
        <v>-0.16261011419249582</v>
      </c>
    </row>
    <row r="47" spans="1:21" x14ac:dyDescent="0.25">
      <c r="B47" s="9"/>
      <c r="C47" s="17">
        <v>601.42999999999995</v>
      </c>
      <c r="D47" s="18">
        <v>27.189</v>
      </c>
      <c r="E47" s="18">
        <v>34.642000000000003</v>
      </c>
      <c r="F47" s="18">
        <v>35.390999999999998</v>
      </c>
      <c r="G47" s="18">
        <v>49.54</v>
      </c>
      <c r="H47" s="18">
        <f t="shared" si="0"/>
        <v>29.145875</v>
      </c>
      <c r="I47" s="5"/>
      <c r="J47" s="17">
        <v>514.65279999999996</v>
      </c>
      <c r="K47" s="18">
        <v>28.2317</v>
      </c>
      <c r="L47" s="18">
        <v>36.002099999999999</v>
      </c>
      <c r="M47" s="18">
        <v>36.759700000000002</v>
      </c>
      <c r="N47" s="18">
        <v>43.192799999999998</v>
      </c>
      <c r="O47" s="18">
        <f t="shared" si="1"/>
        <v>30.268999999999998</v>
      </c>
      <c r="P47" s="7"/>
      <c r="Q47" s="10"/>
      <c r="R47" s="11"/>
      <c r="S47" s="11"/>
      <c r="T47" s="26"/>
      <c r="U47" s="28">
        <f t="shared" si="2"/>
        <v>-0.12812272910779171</v>
      </c>
    </row>
    <row r="48" spans="1:21" ht="16.5" thickBot="1" x14ac:dyDescent="0.3">
      <c r="B48" s="12"/>
      <c r="C48" s="19">
        <v>371.12</v>
      </c>
      <c r="D48" s="20">
        <v>25.641999999999999</v>
      </c>
      <c r="E48" s="20">
        <v>34.082000000000001</v>
      </c>
      <c r="F48" s="20">
        <v>34.828000000000003</v>
      </c>
      <c r="G48" s="20">
        <v>58.7</v>
      </c>
      <c r="H48" s="20">
        <f t="shared" si="0"/>
        <v>27.84525</v>
      </c>
      <c r="I48" s="5"/>
      <c r="J48" s="19">
        <v>309.51679999999999</v>
      </c>
      <c r="K48" s="20">
        <v>26.746400000000001</v>
      </c>
      <c r="L48" s="20">
        <v>35.185600000000001</v>
      </c>
      <c r="M48" s="20">
        <v>35.890799999999999</v>
      </c>
      <c r="N48" s="20">
        <v>53.954900000000002</v>
      </c>
      <c r="O48" s="20">
        <f t="shared" si="1"/>
        <v>28.94435</v>
      </c>
      <c r="P48" s="7"/>
      <c r="Q48" s="13"/>
      <c r="R48" s="14"/>
      <c r="S48" s="14"/>
      <c r="T48" s="27"/>
      <c r="U48" s="28">
        <f t="shared" si="2"/>
        <v>-8.0836456558773431E-2</v>
      </c>
    </row>
    <row r="49" spans="1:21" x14ac:dyDescent="0.25">
      <c r="B49" s="6" t="s">
        <v>56</v>
      </c>
      <c r="C49" s="15">
        <v>1427.06</v>
      </c>
      <c r="D49" s="16">
        <v>33.551000000000002</v>
      </c>
      <c r="E49" s="16">
        <v>37.026000000000003</v>
      </c>
      <c r="F49" s="16">
        <v>38.741</v>
      </c>
      <c r="G49" s="16">
        <v>29.05</v>
      </c>
      <c r="H49" s="16">
        <f t="shared" si="0"/>
        <v>34.634125000000004</v>
      </c>
      <c r="I49" s="5"/>
      <c r="J49" s="15">
        <v>1225.9392</v>
      </c>
      <c r="K49" s="16">
        <v>33.187899999999999</v>
      </c>
      <c r="L49" s="16">
        <v>37.915199999999999</v>
      </c>
      <c r="M49" s="16">
        <v>39.543199999999999</v>
      </c>
      <c r="N49" s="16">
        <v>20.545100000000001</v>
      </c>
      <c r="O49" s="16">
        <f t="shared" si="1"/>
        <v>34.573225000000001</v>
      </c>
      <c r="P49" s="7"/>
      <c r="Q49" s="8">
        <f>bdrate(C49:C52,D49:D52,J49:J52,K49:K52)</f>
        <v>-0.1324128811210914</v>
      </c>
      <c r="R49" s="8">
        <f>bdrate(C49:C52,E49:E52,J49:J52,L49:L52)</f>
        <v>-0.45893222829473923</v>
      </c>
      <c r="S49" s="8">
        <f>bdrate(C49:C52,F49:F52,J49:J52,M49:M52)</f>
        <v>-0.45272702197241821</v>
      </c>
      <c r="T49" s="25">
        <f>bdrate(C49:C52,H49:H52,J49:J52,O49:O52)</f>
        <v>-0.18727674740450806</v>
      </c>
      <c r="U49" s="28">
        <f t="shared" si="2"/>
        <v>-0.29276764199655764</v>
      </c>
    </row>
    <row r="50" spans="1:21" x14ac:dyDescent="0.25">
      <c r="B50" s="9"/>
      <c r="C50" s="17">
        <v>974.67</v>
      </c>
      <c r="D50" s="18">
        <v>31.975000000000001</v>
      </c>
      <c r="E50" s="18">
        <v>36.21</v>
      </c>
      <c r="F50" s="18">
        <v>37.898000000000003</v>
      </c>
      <c r="G50" s="18">
        <v>33.39</v>
      </c>
      <c r="H50" s="18">
        <f t="shared" si="0"/>
        <v>33.244750000000003</v>
      </c>
      <c r="I50" s="5"/>
      <c r="J50" s="17">
        <v>820.23519999999996</v>
      </c>
      <c r="K50" s="18">
        <v>31.677199999999999</v>
      </c>
      <c r="L50" s="18">
        <v>37.0503</v>
      </c>
      <c r="M50" s="18">
        <v>38.687199999999997</v>
      </c>
      <c r="N50" s="18">
        <v>24.342700000000001</v>
      </c>
      <c r="O50" s="18">
        <f t="shared" si="1"/>
        <v>33.225087500000001</v>
      </c>
      <c r="P50" s="7"/>
      <c r="Q50" s="10"/>
      <c r="R50" s="11"/>
      <c r="S50" s="11"/>
      <c r="T50" s="26"/>
      <c r="U50" s="28">
        <f t="shared" si="2"/>
        <v>-0.27095837076969154</v>
      </c>
    </row>
    <row r="51" spans="1:21" x14ac:dyDescent="0.25">
      <c r="B51" s="9"/>
      <c r="C51" s="17">
        <v>613.41</v>
      </c>
      <c r="D51" s="18">
        <v>30.09</v>
      </c>
      <c r="E51" s="18">
        <v>35.316000000000003</v>
      </c>
      <c r="F51" s="18">
        <v>36.92</v>
      </c>
      <c r="G51" s="18">
        <v>40.4</v>
      </c>
      <c r="H51" s="18">
        <f t="shared" si="0"/>
        <v>31.597000000000001</v>
      </c>
      <c r="I51" s="5"/>
      <c r="J51" s="17">
        <v>516.11760000000004</v>
      </c>
      <c r="K51" s="18">
        <v>30.048999999999999</v>
      </c>
      <c r="L51" s="18">
        <v>36.170499999999997</v>
      </c>
      <c r="M51" s="18">
        <v>37.831800000000001</v>
      </c>
      <c r="N51" s="18">
        <v>29.0501</v>
      </c>
      <c r="O51" s="18">
        <f t="shared" si="1"/>
        <v>31.787037499999997</v>
      </c>
      <c r="P51" s="7"/>
      <c r="Q51" s="10"/>
      <c r="R51" s="11"/>
      <c r="S51" s="11"/>
      <c r="T51" s="26"/>
      <c r="U51" s="28">
        <f t="shared" si="2"/>
        <v>-0.28093811881188113</v>
      </c>
    </row>
    <row r="52" spans="1:21" ht="16.5" thickBot="1" x14ac:dyDescent="0.3">
      <c r="B52" s="12"/>
      <c r="C52" s="19">
        <v>383.11</v>
      </c>
      <c r="D52" s="20">
        <v>28.193999999999999</v>
      </c>
      <c r="E52" s="20">
        <v>34.39</v>
      </c>
      <c r="F52" s="20">
        <v>35.835000000000001</v>
      </c>
      <c r="G52" s="20">
        <v>49.69</v>
      </c>
      <c r="H52" s="20">
        <f t="shared" si="0"/>
        <v>29.923624999999998</v>
      </c>
      <c r="I52" s="5"/>
      <c r="J52" s="19">
        <v>309.7328</v>
      </c>
      <c r="K52" s="20">
        <v>28.4391</v>
      </c>
      <c r="L52" s="20">
        <v>35.271599999999999</v>
      </c>
      <c r="M52" s="20">
        <v>36.924199999999999</v>
      </c>
      <c r="N52" s="20">
        <v>36.148899999999998</v>
      </c>
      <c r="O52" s="20">
        <f t="shared" si="1"/>
        <v>30.3538</v>
      </c>
      <c r="P52" s="7"/>
      <c r="Q52" s="13"/>
      <c r="R52" s="14"/>
      <c r="S52" s="14"/>
      <c r="T52" s="27"/>
      <c r="U52" s="28">
        <f t="shared" si="2"/>
        <v>-0.27251157174481788</v>
      </c>
    </row>
    <row r="53" spans="1:21" x14ac:dyDescent="0.25">
      <c r="A53" s="6" t="s">
        <v>41</v>
      </c>
      <c r="B53" s="6" t="s">
        <v>57</v>
      </c>
      <c r="C53" s="15">
        <v>850.55</v>
      </c>
      <c r="D53" s="16">
        <v>36.15</v>
      </c>
      <c r="E53" s="16">
        <v>39.975000000000001</v>
      </c>
      <c r="F53" s="16">
        <v>38.81</v>
      </c>
      <c r="G53" s="16">
        <v>111.68</v>
      </c>
      <c r="H53" s="16">
        <f t="shared" si="0"/>
        <v>36.960625</v>
      </c>
      <c r="I53" s="5"/>
      <c r="J53" s="15">
        <v>608.75840000000005</v>
      </c>
      <c r="K53" s="16">
        <v>35.268000000000001</v>
      </c>
      <c r="L53" s="16">
        <v>41.015700000000002</v>
      </c>
      <c r="M53" s="16">
        <v>39.448799999999999</v>
      </c>
      <c r="N53" s="16">
        <v>92.370199999999997</v>
      </c>
      <c r="O53" s="16">
        <f t="shared" si="1"/>
        <v>36.509062499999999</v>
      </c>
      <c r="P53" s="7"/>
      <c r="Q53" s="8">
        <f>bdrate(C53:C56,D53:D56,J53:J56,K53:K56)</f>
        <v>-0.19040230955700244</v>
      </c>
      <c r="R53" s="8">
        <f>bdrate(C53:C56,E53:E56,J53:J56,L53:L56)</f>
        <v>-0.52466749195311135</v>
      </c>
      <c r="S53" s="8">
        <f>bdrate(C53:C56,F53:F56,J53:J56,M53:M56)</f>
        <v>-0.45256899797142591</v>
      </c>
      <c r="T53" s="25">
        <f>bdrate(C53:C56,H53:H56,J53:J56,O53:O56)</f>
        <v>-0.24760055207697862</v>
      </c>
      <c r="U53" s="28">
        <f t="shared" si="2"/>
        <v>-0.1729029369627508</v>
      </c>
    </row>
    <row r="54" spans="1:21" x14ac:dyDescent="0.25">
      <c r="A54" s="9" t="s">
        <v>42</v>
      </c>
      <c r="B54" s="9"/>
      <c r="C54" s="17">
        <v>530.14</v>
      </c>
      <c r="D54" s="18">
        <v>33.831000000000003</v>
      </c>
      <c r="E54" s="18">
        <v>38.627000000000002</v>
      </c>
      <c r="F54" s="18">
        <v>37.197000000000003</v>
      </c>
      <c r="G54" s="18">
        <v>134.66</v>
      </c>
      <c r="H54" s="18">
        <f t="shared" si="0"/>
        <v>34.851250000000007</v>
      </c>
      <c r="I54" s="5"/>
      <c r="J54" s="17">
        <v>409.32639999999998</v>
      </c>
      <c r="K54" s="18">
        <v>33.444899999999997</v>
      </c>
      <c r="L54" s="18">
        <v>39.865400000000001</v>
      </c>
      <c r="M54" s="18">
        <v>38.167000000000002</v>
      </c>
      <c r="N54" s="18">
        <v>107.5731</v>
      </c>
      <c r="O54" s="18">
        <f t="shared" si="1"/>
        <v>34.837724999999999</v>
      </c>
      <c r="P54" s="7"/>
      <c r="Q54" s="10"/>
      <c r="R54" s="11"/>
      <c r="S54" s="11"/>
      <c r="T54" s="26"/>
      <c r="U54" s="28">
        <f t="shared" si="2"/>
        <v>-0.20115030447051835</v>
      </c>
    </row>
    <row r="55" spans="1:21" x14ac:dyDescent="0.25">
      <c r="B55" s="9"/>
      <c r="C55" s="17">
        <v>319.01</v>
      </c>
      <c r="D55" s="18">
        <v>31.469000000000001</v>
      </c>
      <c r="E55" s="18">
        <v>37.42</v>
      </c>
      <c r="F55" s="18">
        <v>35.731999999999999</v>
      </c>
      <c r="G55" s="18">
        <v>166.06</v>
      </c>
      <c r="H55" s="18">
        <f t="shared" si="0"/>
        <v>32.745750000000001</v>
      </c>
      <c r="I55" s="5"/>
      <c r="J55" s="17">
        <v>254.45359999999999</v>
      </c>
      <c r="K55" s="18">
        <v>31.415099999999999</v>
      </c>
      <c r="L55" s="18">
        <v>38.648299999999999</v>
      </c>
      <c r="M55" s="18">
        <v>36.828499999999998</v>
      </c>
      <c r="N55" s="18">
        <v>124.2236</v>
      </c>
      <c r="O55" s="18">
        <f t="shared" si="1"/>
        <v>32.995925</v>
      </c>
      <c r="P55" s="7"/>
      <c r="Q55" s="10"/>
      <c r="R55" s="11"/>
      <c r="S55" s="11"/>
      <c r="T55" s="26"/>
      <c r="U55" s="28">
        <f t="shared" si="2"/>
        <v>-0.25193544501987231</v>
      </c>
    </row>
    <row r="56" spans="1:21" ht="16.5" thickBot="1" x14ac:dyDescent="0.3">
      <c r="B56" s="12"/>
      <c r="C56" s="19">
        <v>161.35</v>
      </c>
      <c r="D56" s="20">
        <v>28.451000000000001</v>
      </c>
      <c r="E56" s="20">
        <v>36.058</v>
      </c>
      <c r="F56" s="20">
        <v>33.981999999999999</v>
      </c>
      <c r="G56" s="20">
        <v>225.73</v>
      </c>
      <c r="H56" s="20">
        <f t="shared" si="0"/>
        <v>30.093250000000001</v>
      </c>
      <c r="I56" s="5"/>
      <c r="J56" s="19">
        <v>123.2544</v>
      </c>
      <c r="K56" s="20">
        <v>28.559899999999999</v>
      </c>
      <c r="L56" s="20">
        <v>37.0595</v>
      </c>
      <c r="M56" s="20">
        <v>34.951099999999997</v>
      </c>
      <c r="N56" s="20">
        <v>181.0282</v>
      </c>
      <c r="O56" s="20">
        <f t="shared" si="1"/>
        <v>30.421250000000001</v>
      </c>
      <c r="P56" s="7"/>
      <c r="Q56" s="13"/>
      <c r="R56" s="14"/>
      <c r="S56" s="14"/>
      <c r="T56" s="27"/>
      <c r="U56" s="28">
        <f t="shared" si="2"/>
        <v>-0.19803216231781329</v>
      </c>
    </row>
    <row r="57" spans="1:21" x14ac:dyDescent="0.25">
      <c r="B57" s="6" t="s">
        <v>109</v>
      </c>
      <c r="C57" s="15">
        <v>743.2</v>
      </c>
      <c r="D57" s="16">
        <v>33.045000000000002</v>
      </c>
      <c r="E57" s="16">
        <v>39.82</v>
      </c>
      <c r="F57" s="16">
        <v>40.570999999999998</v>
      </c>
      <c r="G57" s="16">
        <v>150.83000000000001</v>
      </c>
      <c r="H57" s="16">
        <f t="shared" si="0"/>
        <v>34.832625</v>
      </c>
      <c r="I57" s="5"/>
      <c r="J57" s="15">
        <v>620.30399999999997</v>
      </c>
      <c r="K57" s="16">
        <v>34.1068</v>
      </c>
      <c r="L57" s="16">
        <v>42.032200000000003</v>
      </c>
      <c r="M57" s="16">
        <v>43.017200000000003</v>
      </c>
      <c r="N57" s="16">
        <v>119.0712</v>
      </c>
      <c r="O57" s="16">
        <f t="shared" si="1"/>
        <v>36.211275000000001</v>
      </c>
      <c r="P57" s="7"/>
      <c r="Q57" s="8">
        <f>bdrate(C57:C60,D57:D60,J57:J60,K57:K60)</f>
        <v>-0.44980606087495467</v>
      </c>
      <c r="R57" s="8">
        <f>bdrate(C57:C60,E57:E60,J57:J60,L57:L60)</f>
        <v>-0.70611376108010426</v>
      </c>
      <c r="S57" s="8">
        <f>bdrate(C57:C60,F57:F60,J57:J60,M57:M60)</f>
        <v>-0.74001918067887851</v>
      </c>
      <c r="T57" s="25">
        <f>bdrate(C57:C60,H57:H60,J57:J60,O57:O60)</f>
        <v>-0.50097740069223173</v>
      </c>
      <c r="U57" s="28">
        <f t="shared" si="2"/>
        <v>-0.21056023337532326</v>
      </c>
    </row>
    <row r="58" spans="1:21" x14ac:dyDescent="0.25">
      <c r="B58" s="9"/>
      <c r="C58" s="17">
        <v>456.66</v>
      </c>
      <c r="D58" s="18">
        <v>31.297000000000001</v>
      </c>
      <c r="E58" s="18">
        <v>39.203000000000003</v>
      </c>
      <c r="F58" s="18">
        <v>39.789000000000001</v>
      </c>
      <c r="G58" s="18">
        <v>181.43</v>
      </c>
      <c r="H58" s="18">
        <f t="shared" si="0"/>
        <v>33.34675</v>
      </c>
      <c r="I58" s="5"/>
      <c r="J58" s="17">
        <v>411.41919999999999</v>
      </c>
      <c r="K58" s="18">
        <v>32.804900000000004</v>
      </c>
      <c r="L58" s="18">
        <v>41.202800000000003</v>
      </c>
      <c r="M58" s="18">
        <v>42.152900000000002</v>
      </c>
      <c r="N58" s="18">
        <v>144.05760000000001</v>
      </c>
      <c r="O58" s="18">
        <f t="shared" si="1"/>
        <v>35.023137500000004</v>
      </c>
      <c r="P58" s="7"/>
      <c r="Q58" s="10"/>
      <c r="R58" s="11"/>
      <c r="S58" s="11"/>
      <c r="T58" s="26"/>
      <c r="U58" s="28">
        <f t="shared" si="2"/>
        <v>-0.20598798434657994</v>
      </c>
    </row>
    <row r="59" spans="1:21" x14ac:dyDescent="0.25">
      <c r="B59" s="9"/>
      <c r="C59" s="17">
        <v>271.83</v>
      </c>
      <c r="D59" s="18">
        <v>29.437999999999999</v>
      </c>
      <c r="E59" s="18">
        <v>38.664000000000001</v>
      </c>
      <c r="F59" s="18">
        <v>38.988999999999997</v>
      </c>
      <c r="G59" s="18">
        <v>216.06</v>
      </c>
      <c r="H59" s="18">
        <f t="shared" si="0"/>
        <v>31.785124999999997</v>
      </c>
      <c r="I59" s="5"/>
      <c r="J59" s="17">
        <v>254.24160000000001</v>
      </c>
      <c r="K59" s="18">
        <v>31.322399999999998</v>
      </c>
      <c r="L59" s="18">
        <v>40.251399999999997</v>
      </c>
      <c r="M59" s="18">
        <v>41.117699999999999</v>
      </c>
      <c r="N59" s="18">
        <v>182.31540000000001</v>
      </c>
      <c r="O59" s="18">
        <f t="shared" si="1"/>
        <v>33.662937499999998</v>
      </c>
      <c r="P59" s="7"/>
      <c r="Q59" s="10"/>
      <c r="R59" s="11"/>
      <c r="S59" s="11"/>
      <c r="T59" s="26"/>
      <c r="U59" s="28">
        <f t="shared" si="2"/>
        <v>-0.15618161621771726</v>
      </c>
    </row>
    <row r="60" spans="1:21" ht="16.5" thickBot="1" x14ac:dyDescent="0.3">
      <c r="B60" s="12"/>
      <c r="C60" s="19">
        <v>134.81</v>
      </c>
      <c r="D60" s="20">
        <v>26.850999999999999</v>
      </c>
      <c r="E60" s="20">
        <v>37.929000000000002</v>
      </c>
      <c r="F60" s="20">
        <v>38.061999999999998</v>
      </c>
      <c r="G60" s="20">
        <v>268.94</v>
      </c>
      <c r="H60" s="20">
        <f t="shared" si="0"/>
        <v>29.637124999999997</v>
      </c>
      <c r="I60" s="5"/>
      <c r="J60" s="19">
        <v>121.2504</v>
      </c>
      <c r="K60" s="20">
        <v>28.893899999999999</v>
      </c>
      <c r="L60" s="20">
        <v>38.969499999999996</v>
      </c>
      <c r="M60" s="20">
        <v>39.804900000000004</v>
      </c>
      <c r="N60" s="20">
        <v>265.25200000000001</v>
      </c>
      <c r="O60" s="20">
        <f t="shared" si="1"/>
        <v>31.517225</v>
      </c>
      <c r="P60" s="7"/>
      <c r="Q60" s="13"/>
      <c r="R60" s="14"/>
      <c r="S60" s="14"/>
      <c r="T60" s="27"/>
      <c r="U60" s="28">
        <f t="shared" si="2"/>
        <v>-1.3713095857812108E-2</v>
      </c>
    </row>
    <row r="61" spans="1:21" x14ac:dyDescent="0.25">
      <c r="B61" s="6" t="s">
        <v>59</v>
      </c>
      <c r="C61" s="29">
        <v>830.36</v>
      </c>
      <c r="D61" s="30">
        <v>34.119</v>
      </c>
      <c r="E61" s="30">
        <v>37.569000000000003</v>
      </c>
      <c r="F61" s="30">
        <v>38.052999999999997</v>
      </c>
      <c r="G61" s="16">
        <v>120.48</v>
      </c>
      <c r="H61" s="16">
        <f t="shared" si="0"/>
        <v>35.042000000000002</v>
      </c>
      <c r="I61" s="5"/>
      <c r="J61" s="29">
        <v>645.20799999999997</v>
      </c>
      <c r="K61" s="30">
        <v>33.619999999999997</v>
      </c>
      <c r="L61" s="30">
        <v>39.130600000000001</v>
      </c>
      <c r="M61" s="30">
        <v>39.9664</v>
      </c>
      <c r="N61" s="16">
        <v>112.0574</v>
      </c>
      <c r="O61" s="16">
        <f t="shared" si="1"/>
        <v>35.102125000000001</v>
      </c>
      <c r="P61" s="7"/>
      <c r="Q61" s="8">
        <f>bdrate(C61:C64,D61:D64,J61:J64,K61:K64)</f>
        <v>-0.19006716755560027</v>
      </c>
      <c r="R61" s="8">
        <f>bdrate(C61:C64,E61:E64,J61:J64,L61:L64)</f>
        <v>-0.61143122133508276</v>
      </c>
      <c r="S61" s="8">
        <f>bdrate(C61:C64,F61:F64,J61:J64,M61:M64)</f>
        <v>-0.65250983598366008</v>
      </c>
      <c r="T61" s="25">
        <f>bdrate(C61:C64,H61:H64,J61:J64,O61:O64)</f>
        <v>-0.28432244135338114</v>
      </c>
      <c r="U61" s="28">
        <f t="shared" si="2"/>
        <v>-6.9908698539176653E-2</v>
      </c>
    </row>
    <row r="62" spans="1:21" x14ac:dyDescent="0.25">
      <c r="B62" s="9"/>
      <c r="C62" s="31">
        <v>517.38</v>
      </c>
      <c r="D62" s="32">
        <v>32.161999999999999</v>
      </c>
      <c r="E62" s="32">
        <v>36.326999999999998</v>
      </c>
      <c r="F62" s="32">
        <v>36.787999999999997</v>
      </c>
      <c r="G62" s="18">
        <v>139.94</v>
      </c>
      <c r="H62" s="18">
        <f t="shared" si="0"/>
        <v>33.260874999999999</v>
      </c>
      <c r="I62" s="5"/>
      <c r="J62" s="31">
        <v>430.23919999999998</v>
      </c>
      <c r="K62" s="32">
        <v>32.119399999999999</v>
      </c>
      <c r="L62" s="32">
        <v>38.084200000000003</v>
      </c>
      <c r="M62" s="32">
        <v>38.816200000000002</v>
      </c>
      <c r="N62" s="18">
        <v>132.9787</v>
      </c>
      <c r="O62" s="18">
        <f t="shared" si="1"/>
        <v>33.702100000000002</v>
      </c>
      <c r="P62" s="7"/>
      <c r="Q62" s="10"/>
      <c r="R62" s="11"/>
      <c r="S62" s="11"/>
      <c r="T62" s="26"/>
      <c r="U62" s="28">
        <f t="shared" si="2"/>
        <v>-4.9744890667428855E-2</v>
      </c>
    </row>
    <row r="63" spans="1:21" x14ac:dyDescent="0.25">
      <c r="B63" s="9"/>
      <c r="C63" s="31">
        <v>308.66000000000003</v>
      </c>
      <c r="D63" s="32">
        <v>30.148</v>
      </c>
      <c r="E63" s="32">
        <v>35.313000000000002</v>
      </c>
      <c r="F63" s="32">
        <v>35.820999999999998</v>
      </c>
      <c r="G63" s="18">
        <v>161.86000000000001</v>
      </c>
      <c r="H63" s="18">
        <f t="shared" si="0"/>
        <v>31.502750000000002</v>
      </c>
      <c r="I63" s="5"/>
      <c r="J63" s="31">
        <v>268.77839999999998</v>
      </c>
      <c r="K63" s="32">
        <v>30.4575</v>
      </c>
      <c r="L63" s="32">
        <v>36.971699999999998</v>
      </c>
      <c r="M63" s="32">
        <v>37.695599999999999</v>
      </c>
      <c r="N63" s="18">
        <v>161.8647</v>
      </c>
      <c r="O63" s="18">
        <f t="shared" si="1"/>
        <v>32.176537500000002</v>
      </c>
      <c r="P63" s="7"/>
      <c r="Q63" s="10"/>
      <c r="R63" s="11"/>
      <c r="S63" s="11"/>
      <c r="T63" s="26"/>
      <c r="U63" s="28">
        <f t="shared" si="2"/>
        <v>2.9037439762668314E-5</v>
      </c>
    </row>
    <row r="64" spans="1:21" ht="16.5" thickBot="1" x14ac:dyDescent="0.3">
      <c r="B64" s="12"/>
      <c r="C64" s="33">
        <v>151.94</v>
      </c>
      <c r="D64" s="34">
        <v>27.67</v>
      </c>
      <c r="E64" s="34">
        <v>34.155000000000001</v>
      </c>
      <c r="F64" s="34">
        <v>34.712000000000003</v>
      </c>
      <c r="G64" s="20">
        <v>204.16</v>
      </c>
      <c r="H64" s="20">
        <f t="shared" si="0"/>
        <v>29.360875</v>
      </c>
      <c r="I64" s="5"/>
      <c r="J64" s="33">
        <v>126.5528</v>
      </c>
      <c r="K64" s="34">
        <v>28.023199999999999</v>
      </c>
      <c r="L64" s="34">
        <v>35.494999999999997</v>
      </c>
      <c r="M64" s="34">
        <v>36.172899999999998</v>
      </c>
      <c r="N64" s="20">
        <v>225.6318</v>
      </c>
      <c r="O64" s="20">
        <f t="shared" si="1"/>
        <v>29.975887499999999</v>
      </c>
      <c r="P64" s="7"/>
      <c r="Q64" s="13"/>
      <c r="R64" s="14"/>
      <c r="S64" s="14"/>
      <c r="T64" s="27"/>
      <c r="U64" s="28">
        <f t="shared" si="2"/>
        <v>0.105171434169279</v>
      </c>
    </row>
    <row r="65" spans="1:21" x14ac:dyDescent="0.25">
      <c r="B65" s="6" t="s">
        <v>60</v>
      </c>
      <c r="C65" s="15">
        <v>764.1</v>
      </c>
      <c r="D65" s="16">
        <v>35.902999999999999</v>
      </c>
      <c r="E65" s="16">
        <v>37.981000000000002</v>
      </c>
      <c r="F65" s="16">
        <v>39.115000000000002</v>
      </c>
      <c r="G65" s="16">
        <v>84.34</v>
      </c>
      <c r="H65" s="16">
        <f t="shared" si="0"/>
        <v>36.564250000000001</v>
      </c>
      <c r="I65" s="5"/>
      <c r="J65" s="15">
        <v>614.25120000000004</v>
      </c>
      <c r="K65" s="16">
        <v>34.769100000000002</v>
      </c>
      <c r="L65" s="16">
        <v>38.855899999999998</v>
      </c>
      <c r="M65" s="16">
        <v>40.026400000000002</v>
      </c>
      <c r="N65" s="16">
        <v>65.861699999999999</v>
      </c>
      <c r="O65" s="16">
        <f t="shared" si="1"/>
        <v>35.937112499999998</v>
      </c>
      <c r="P65" s="7"/>
      <c r="Q65" s="8">
        <f>bdrate(C65:C68,D65:D68,J65:J68,K65:K68)</f>
        <v>-3.4206891048873533E-2</v>
      </c>
      <c r="R65" s="8">
        <f>bdrate(C65:C68,E65:E68,J65:J68,L65:L68)</f>
        <v>-0.43241031627999105</v>
      </c>
      <c r="S65" s="8">
        <f>bdrate(C65:C68,F65:F68,J65:J68,M65:M68)</f>
        <v>-0.43559680821998148</v>
      </c>
      <c r="T65" s="25">
        <f>bdrate(C65:C68,H65:H68,J65:J68,O65:O68)</f>
        <v>-0.11283020592022908</v>
      </c>
      <c r="U65" s="28">
        <f t="shared" si="2"/>
        <v>-0.21909295707849186</v>
      </c>
    </row>
    <row r="66" spans="1:21" x14ac:dyDescent="0.25">
      <c r="B66" s="9"/>
      <c r="C66" s="17">
        <v>479.3</v>
      </c>
      <c r="D66" s="18">
        <v>33.597999999999999</v>
      </c>
      <c r="E66" s="18">
        <v>36.658000000000001</v>
      </c>
      <c r="F66" s="18">
        <v>37.802999999999997</v>
      </c>
      <c r="G66" s="18">
        <v>100.7</v>
      </c>
      <c r="H66" s="18">
        <f t="shared" si="0"/>
        <v>34.506124999999997</v>
      </c>
      <c r="I66" s="5"/>
      <c r="J66" s="17">
        <v>410.9264</v>
      </c>
      <c r="K66" s="18">
        <v>32.896700000000003</v>
      </c>
      <c r="L66" s="18">
        <v>37.714399999999998</v>
      </c>
      <c r="M66" s="18">
        <v>38.866799999999998</v>
      </c>
      <c r="N66" s="18">
        <v>80.128200000000007</v>
      </c>
      <c r="O66" s="18">
        <f t="shared" si="1"/>
        <v>34.245175000000003</v>
      </c>
      <c r="P66" s="7"/>
      <c r="Q66" s="10"/>
      <c r="R66" s="11"/>
      <c r="S66" s="11"/>
      <c r="T66" s="26"/>
      <c r="U66" s="28">
        <f t="shared" si="2"/>
        <v>-0.2042879841112214</v>
      </c>
    </row>
    <row r="67" spans="1:21" x14ac:dyDescent="0.25">
      <c r="B67" s="9"/>
      <c r="C67" s="17">
        <v>289.45</v>
      </c>
      <c r="D67" s="18">
        <v>31.303000000000001</v>
      </c>
      <c r="E67" s="18">
        <v>35.433999999999997</v>
      </c>
      <c r="F67" s="18">
        <v>36.548999999999999</v>
      </c>
      <c r="G67" s="18">
        <v>120.97</v>
      </c>
      <c r="H67" s="18">
        <f t="shared" si="0"/>
        <v>32.475124999999998</v>
      </c>
      <c r="I67" s="5"/>
      <c r="J67" s="17">
        <v>258.47680000000003</v>
      </c>
      <c r="K67" s="18">
        <v>30.967099999999999</v>
      </c>
      <c r="L67" s="18">
        <v>36.471800000000002</v>
      </c>
      <c r="M67" s="18">
        <v>37.631999999999998</v>
      </c>
      <c r="N67" s="18">
        <v>96.649500000000003</v>
      </c>
      <c r="O67" s="18">
        <f t="shared" si="1"/>
        <v>32.488299999999995</v>
      </c>
      <c r="P67" s="7"/>
      <c r="Q67" s="10"/>
      <c r="R67" s="11"/>
      <c r="S67" s="11"/>
      <c r="T67" s="26"/>
      <c r="U67" s="28">
        <f t="shared" si="2"/>
        <v>-0.2010457138133421</v>
      </c>
    </row>
    <row r="68" spans="1:21" ht="16.5" thickBot="1" x14ac:dyDescent="0.3">
      <c r="B68" s="12"/>
      <c r="C68" s="19">
        <v>144.84</v>
      </c>
      <c r="D68" s="20">
        <v>28.459</v>
      </c>
      <c r="E68" s="20">
        <v>33.987000000000002</v>
      </c>
      <c r="F68" s="20">
        <v>35.018000000000001</v>
      </c>
      <c r="G68" s="20">
        <v>168.73</v>
      </c>
      <c r="H68" s="20">
        <f t="shared" si="0"/>
        <v>29.969874999999998</v>
      </c>
      <c r="I68" s="5"/>
      <c r="J68" s="19">
        <v>124.7792</v>
      </c>
      <c r="K68" s="20">
        <v>28.3841</v>
      </c>
      <c r="L68" s="20">
        <v>35.061599999999999</v>
      </c>
      <c r="M68" s="20">
        <v>36.162199999999999</v>
      </c>
      <c r="N68" s="20">
        <v>135.4402</v>
      </c>
      <c r="O68" s="20">
        <f t="shared" si="1"/>
        <v>30.191049999999997</v>
      </c>
      <c r="P68" s="7"/>
      <c r="Q68" s="13"/>
      <c r="R68" s="14"/>
      <c r="S68" s="14"/>
      <c r="T68" s="27"/>
      <c r="U68" s="28">
        <f t="shared" si="2"/>
        <v>-0.19729627215077336</v>
      </c>
    </row>
    <row r="69" spans="1:21" x14ac:dyDescent="0.25">
      <c r="A69" s="6" t="s">
        <v>43</v>
      </c>
      <c r="B69" s="6" t="s">
        <v>61</v>
      </c>
      <c r="C69" s="15">
        <v>1919.55</v>
      </c>
      <c r="D69" s="16">
        <v>41.481000000000002</v>
      </c>
      <c r="E69" s="16">
        <v>45.231000000000002</v>
      </c>
      <c r="F69" s="16">
        <v>46.320999999999998</v>
      </c>
      <c r="G69" s="16">
        <v>27.65</v>
      </c>
      <c r="H69" s="16">
        <f t="shared" si="0"/>
        <v>42.554749999999999</v>
      </c>
      <c r="I69" s="5"/>
      <c r="J69" s="15">
        <v>1506.4944</v>
      </c>
      <c r="K69" s="16">
        <v>41.924100000000003</v>
      </c>
      <c r="L69" s="16">
        <v>46.7134</v>
      </c>
      <c r="M69" s="16">
        <v>48.0002</v>
      </c>
      <c r="N69" s="16">
        <v>31.864000000000001</v>
      </c>
      <c r="O69" s="16">
        <f t="shared" si="1"/>
        <v>43.282274999999998</v>
      </c>
      <c r="P69" s="7"/>
      <c r="Q69" s="8">
        <f>bdrate(C69:C72,D69:D72,J69:J72,K69:K72)</f>
        <v>-0.39950523344418931</v>
      </c>
      <c r="R69" s="8">
        <f>bdrate(C69:C72,E69:E72,J69:J72,L69:L72)</f>
        <v>-0.61279591155580104</v>
      </c>
      <c r="S69" s="8">
        <f>bdrate(C69:C72,F69:F72,J69:J72,M69:M72)</f>
        <v>-0.62615450660219829</v>
      </c>
      <c r="T69" s="25">
        <f>bdrate(C69:C72,H69:H72,J69:J72,O69:O72)</f>
        <v>-0.45137953170982759</v>
      </c>
      <c r="U69" s="28">
        <f t="shared" si="2"/>
        <v>0.15240506329113931</v>
      </c>
    </row>
    <row r="70" spans="1:21" x14ac:dyDescent="0.25">
      <c r="A70" s="9" t="s">
        <v>44</v>
      </c>
      <c r="B70" s="9"/>
      <c r="C70" s="17">
        <v>1249.3800000000001</v>
      </c>
      <c r="D70" s="18">
        <v>40.316000000000003</v>
      </c>
      <c r="E70" s="18">
        <v>44.067</v>
      </c>
      <c r="F70" s="18">
        <v>45.064999999999998</v>
      </c>
      <c r="G70" s="18">
        <v>31.04</v>
      </c>
      <c r="H70" s="18">
        <f t="shared" si="0"/>
        <v>41.378500000000003</v>
      </c>
      <c r="I70" s="5"/>
      <c r="J70" s="17">
        <v>997.20399999999995</v>
      </c>
      <c r="K70" s="18">
        <v>40.956099999999999</v>
      </c>
      <c r="L70" s="18">
        <v>45.918900000000001</v>
      </c>
      <c r="M70" s="18">
        <v>47.127099999999999</v>
      </c>
      <c r="N70" s="18">
        <v>38.85</v>
      </c>
      <c r="O70" s="18">
        <f t="shared" si="1"/>
        <v>42.347825</v>
      </c>
      <c r="P70" s="7"/>
      <c r="Q70" s="10"/>
      <c r="R70" s="11"/>
      <c r="S70" s="11"/>
      <c r="T70" s="26"/>
      <c r="U70" s="28">
        <f t="shared" si="2"/>
        <v>0.25161082474226815</v>
      </c>
    </row>
    <row r="71" spans="1:21" x14ac:dyDescent="0.25">
      <c r="B71" s="9"/>
      <c r="C71" s="17">
        <v>739.36</v>
      </c>
      <c r="D71" s="18">
        <v>38.194000000000003</v>
      </c>
      <c r="E71" s="18">
        <v>42.487000000000002</v>
      </c>
      <c r="F71" s="18">
        <v>43.712000000000003</v>
      </c>
      <c r="G71" s="18">
        <v>37.200000000000003</v>
      </c>
      <c r="H71" s="18">
        <f t="shared" si="0"/>
        <v>39.420375</v>
      </c>
      <c r="I71" s="5"/>
      <c r="J71" s="17">
        <v>586.32640000000004</v>
      </c>
      <c r="K71" s="18">
        <v>39.332000000000001</v>
      </c>
      <c r="L71" s="18">
        <v>44.558599999999998</v>
      </c>
      <c r="M71" s="18">
        <v>45.756900000000002</v>
      </c>
      <c r="N71" s="18">
        <v>48.076900000000002</v>
      </c>
      <c r="O71" s="18">
        <f t="shared" si="1"/>
        <v>40.788437500000001</v>
      </c>
      <c r="P71" s="7"/>
      <c r="Q71" s="10"/>
      <c r="R71" s="11"/>
      <c r="S71" s="11"/>
      <c r="T71" s="26"/>
      <c r="U71" s="28">
        <f t="shared" si="2"/>
        <v>0.29238978494623652</v>
      </c>
    </row>
    <row r="72" spans="1:21" ht="16.5" thickBot="1" x14ac:dyDescent="0.3">
      <c r="B72" s="12"/>
      <c r="C72" s="19">
        <v>340.06</v>
      </c>
      <c r="D72" s="20">
        <v>33.869</v>
      </c>
      <c r="E72" s="20">
        <v>40.328000000000003</v>
      </c>
      <c r="F72" s="20">
        <v>41.113999999999997</v>
      </c>
      <c r="G72" s="20">
        <v>48.26</v>
      </c>
      <c r="H72" s="20">
        <f t="shared" si="0"/>
        <v>35.582000000000001</v>
      </c>
      <c r="I72" s="5"/>
      <c r="J72" s="19">
        <v>284.47680000000003</v>
      </c>
      <c r="K72" s="20">
        <v>36.349499999999999</v>
      </c>
      <c r="L72" s="20">
        <v>42.5456</v>
      </c>
      <c r="M72" s="20">
        <v>43.655299999999997</v>
      </c>
      <c r="N72" s="20">
        <v>63.051699999999997</v>
      </c>
      <c r="O72" s="20">
        <f t="shared" si="1"/>
        <v>38.037237499999996</v>
      </c>
      <c r="P72" s="7"/>
      <c r="Q72" s="13"/>
      <c r="R72" s="14"/>
      <c r="S72" s="14"/>
      <c r="T72" s="27"/>
      <c r="U72" s="28">
        <f t="shared" si="2"/>
        <v>0.30650020721094073</v>
      </c>
    </row>
    <row r="73" spans="1:21" x14ac:dyDescent="0.25">
      <c r="B73" s="6" t="s">
        <v>62</v>
      </c>
      <c r="C73" s="15">
        <v>1978.82</v>
      </c>
      <c r="D73" s="16">
        <v>42.472999999999999</v>
      </c>
      <c r="E73" s="16">
        <v>47.115000000000002</v>
      </c>
      <c r="F73" s="16">
        <v>47.506</v>
      </c>
      <c r="G73" s="16">
        <v>26.34</v>
      </c>
      <c r="H73" s="16">
        <f t="shared" si="0"/>
        <v>43.682374999999993</v>
      </c>
      <c r="I73" s="5"/>
      <c r="J73" s="15">
        <v>1510.556</v>
      </c>
      <c r="K73" s="16">
        <v>42.9071</v>
      </c>
      <c r="L73" s="16">
        <v>48.471800000000002</v>
      </c>
      <c r="M73" s="16">
        <v>49.154699999999998</v>
      </c>
      <c r="N73" s="16">
        <v>34.774500000000003</v>
      </c>
      <c r="O73" s="16">
        <f t="shared" si="1"/>
        <v>44.383637499999999</v>
      </c>
      <c r="P73" s="7"/>
      <c r="Q73" s="8">
        <f>bdrate(C73:C76,D73:D76,J73:J76,K73:K76)</f>
        <v>-0.5473617194391025</v>
      </c>
      <c r="R73" s="8">
        <f>bdrate(C73:C76,E73:E76,J73:J76,L73:L76)</f>
        <v>-0.75609063625728423</v>
      </c>
      <c r="S73" s="8">
        <f>bdrate(C73:C76,F73:F76,J73:J76,M73:M76)</f>
        <v>-0.78074304284094598</v>
      </c>
      <c r="T73" s="25">
        <f>bdrate(C73:C76,H73:H76,J73:J76,O73:O76)</f>
        <v>-0.62132648288783199</v>
      </c>
      <c r="U73" s="28">
        <f t="shared" ref="U73:U91" si="3">(N73-G73)/G73</f>
        <v>0.32021640091116188</v>
      </c>
    </row>
    <row r="74" spans="1:21" x14ac:dyDescent="0.25">
      <c r="B74" s="9"/>
      <c r="C74" s="17">
        <v>1298.02</v>
      </c>
      <c r="D74" s="18">
        <v>41.804000000000002</v>
      </c>
      <c r="E74" s="18">
        <v>46.127000000000002</v>
      </c>
      <c r="F74" s="18">
        <v>46.436999999999998</v>
      </c>
      <c r="G74" s="18">
        <v>29.56</v>
      </c>
      <c r="H74" s="18">
        <f t="shared" si="0"/>
        <v>42.923500000000004</v>
      </c>
      <c r="I74" s="5"/>
      <c r="J74" s="17">
        <v>997.05119999999999</v>
      </c>
      <c r="K74" s="18">
        <v>42.484499999999997</v>
      </c>
      <c r="L74" s="18">
        <v>48.110599999999998</v>
      </c>
      <c r="M74" s="18">
        <v>48.776400000000002</v>
      </c>
      <c r="N74" s="18">
        <v>43.409100000000002</v>
      </c>
      <c r="O74" s="18">
        <f t="shared" si="1"/>
        <v>43.974249999999998</v>
      </c>
      <c r="P74" s="7"/>
      <c r="Q74" s="10"/>
      <c r="R74" s="11"/>
      <c r="S74" s="11"/>
      <c r="T74" s="26"/>
      <c r="U74" s="28">
        <f t="shared" si="3"/>
        <v>0.46850811907983775</v>
      </c>
    </row>
    <row r="75" spans="1:21" x14ac:dyDescent="0.25">
      <c r="B75" s="9"/>
      <c r="C75" s="17">
        <v>762.8</v>
      </c>
      <c r="D75" s="18">
        <v>40.601999999999997</v>
      </c>
      <c r="E75" s="18">
        <v>44.752000000000002</v>
      </c>
      <c r="F75" s="18">
        <v>45.396999999999998</v>
      </c>
      <c r="G75" s="18">
        <v>34.369999999999997</v>
      </c>
      <c r="H75" s="18">
        <f t="shared" si="0"/>
        <v>41.720124999999996</v>
      </c>
      <c r="I75" s="5"/>
      <c r="J75" s="17">
        <v>580.99279999999999</v>
      </c>
      <c r="K75" s="18">
        <v>41.735999999999997</v>
      </c>
      <c r="L75" s="18">
        <v>47.369399999999999</v>
      </c>
      <c r="M75" s="18">
        <v>48.000999999999998</v>
      </c>
      <c r="N75" s="18">
        <v>53.494999999999997</v>
      </c>
      <c r="O75" s="18">
        <f t="shared" si="1"/>
        <v>43.223299999999995</v>
      </c>
      <c r="P75" s="7"/>
      <c r="Q75" s="10"/>
      <c r="R75" s="11"/>
      <c r="S75" s="11"/>
      <c r="T75" s="26"/>
      <c r="U75" s="28">
        <f t="shared" si="3"/>
        <v>0.55644457375618273</v>
      </c>
    </row>
    <row r="76" spans="1:21" ht="16.5" thickBot="1" x14ac:dyDescent="0.3">
      <c r="B76" s="12"/>
      <c r="C76" s="19">
        <v>334.95</v>
      </c>
      <c r="D76" s="20">
        <v>37.393000000000001</v>
      </c>
      <c r="E76" s="20">
        <v>42.588999999999999</v>
      </c>
      <c r="F76" s="20">
        <v>43.255000000000003</v>
      </c>
      <c r="G76" s="20">
        <v>44.98</v>
      </c>
      <c r="H76" s="20">
        <f t="shared" si="0"/>
        <v>38.77525</v>
      </c>
      <c r="I76" s="5"/>
      <c r="J76" s="19">
        <v>279.69040000000001</v>
      </c>
      <c r="K76" s="20">
        <v>40.139099999999999</v>
      </c>
      <c r="L76" s="20">
        <v>45.793900000000001</v>
      </c>
      <c r="M76" s="20">
        <v>46.301099999999998</v>
      </c>
      <c r="N76" s="20">
        <v>71.098500000000001</v>
      </c>
      <c r="O76" s="20">
        <f t="shared" si="1"/>
        <v>41.616199999999999</v>
      </c>
      <c r="P76" s="7"/>
      <c r="Q76" s="13"/>
      <c r="R76" s="14"/>
      <c r="S76" s="14"/>
      <c r="T76" s="27"/>
      <c r="U76" s="28">
        <f t="shared" si="3"/>
        <v>0.58066918630502462</v>
      </c>
    </row>
    <row r="77" spans="1:21" x14ac:dyDescent="0.25">
      <c r="B77" s="6" t="s">
        <v>63</v>
      </c>
      <c r="C77" s="15">
        <v>2060.08</v>
      </c>
      <c r="D77" s="16">
        <v>42.582999999999998</v>
      </c>
      <c r="E77" s="16">
        <v>46.45</v>
      </c>
      <c r="F77" s="16">
        <v>47.070999999999998</v>
      </c>
      <c r="G77" s="16">
        <v>25.34</v>
      </c>
      <c r="H77" s="16">
        <f t="shared" si="0"/>
        <v>43.627375000000001</v>
      </c>
      <c r="I77" s="5"/>
      <c r="J77" s="15">
        <v>1542.8704</v>
      </c>
      <c r="K77" s="16">
        <v>42.871000000000002</v>
      </c>
      <c r="L77" s="16">
        <v>47.660200000000003</v>
      </c>
      <c r="M77" s="16">
        <v>48.548999999999999</v>
      </c>
      <c r="N77" s="16">
        <v>30.3567</v>
      </c>
      <c r="O77" s="16">
        <f t="shared" si="1"/>
        <v>44.179400000000001</v>
      </c>
      <c r="P77" s="7"/>
      <c r="Q77" s="8">
        <f>bdrate(C77:C80,D77:D80,J77:J80,K77:K80)</f>
        <v>-0.44163656621315406</v>
      </c>
      <c r="R77" s="8">
        <f>bdrate(C77:C80,E77:E80,J77:J80,L77:L80)</f>
        <v>-0.66475578770326216</v>
      </c>
      <c r="S77" s="8">
        <f>bdrate(C77:C80,F77:F80,J77:J80,M77:M80)</f>
        <v>-0.68611434199994503</v>
      </c>
      <c r="T77" s="25">
        <f>bdrate(C77:C80,H77:H80,J77:J80,O77:O80)</f>
        <v>-0.50890337044596645</v>
      </c>
      <c r="U77" s="28">
        <f t="shared" si="3"/>
        <v>0.19797553275453827</v>
      </c>
    </row>
    <row r="78" spans="1:21" x14ac:dyDescent="0.25">
      <c r="B78" s="9"/>
      <c r="C78" s="17">
        <v>1355.62</v>
      </c>
      <c r="D78" s="18">
        <v>41.671999999999997</v>
      </c>
      <c r="E78" s="18">
        <v>45.369</v>
      </c>
      <c r="F78" s="18">
        <v>46.075000000000003</v>
      </c>
      <c r="G78" s="18">
        <v>28.98</v>
      </c>
      <c r="H78" s="18">
        <f t="shared" si="0"/>
        <v>42.684499999999993</v>
      </c>
      <c r="I78" s="5"/>
      <c r="J78" s="17">
        <v>1028.28</v>
      </c>
      <c r="K78" s="18">
        <v>42.195</v>
      </c>
      <c r="L78" s="18">
        <v>47.090299999999999</v>
      </c>
      <c r="M78" s="18">
        <v>47.969700000000003</v>
      </c>
      <c r="N78" s="18">
        <v>37.780999999999999</v>
      </c>
      <c r="O78" s="18">
        <f t="shared" si="1"/>
        <v>43.528750000000002</v>
      </c>
      <c r="P78" s="7"/>
      <c r="Q78" s="10"/>
      <c r="R78" s="11"/>
      <c r="S78" s="11"/>
      <c r="T78" s="26"/>
      <c r="U78" s="28">
        <f t="shared" si="3"/>
        <v>0.30369220151828841</v>
      </c>
    </row>
    <row r="79" spans="1:21" x14ac:dyDescent="0.25">
      <c r="B79" s="9"/>
      <c r="C79" s="17">
        <v>807.19</v>
      </c>
      <c r="D79" s="18">
        <v>40.055999999999997</v>
      </c>
      <c r="E79" s="18">
        <v>43.783999999999999</v>
      </c>
      <c r="F79" s="18">
        <v>44.408999999999999</v>
      </c>
      <c r="G79" s="18">
        <v>34.68</v>
      </c>
      <c r="H79" s="18">
        <f t="shared" si="0"/>
        <v>41.066125</v>
      </c>
      <c r="I79" s="5"/>
      <c r="J79" s="17">
        <v>601.64239999999995</v>
      </c>
      <c r="K79" s="18">
        <v>40.969799999999999</v>
      </c>
      <c r="L79" s="18">
        <v>46.022100000000002</v>
      </c>
      <c r="M79" s="18">
        <v>46.895899999999997</v>
      </c>
      <c r="N79" s="18">
        <v>49.817300000000003</v>
      </c>
      <c r="O79" s="18">
        <f t="shared" si="1"/>
        <v>42.342100000000002</v>
      </c>
      <c r="P79" s="7"/>
      <c r="Q79" s="10"/>
      <c r="R79" s="11"/>
      <c r="S79" s="11"/>
      <c r="T79" s="26"/>
      <c r="U79" s="28">
        <f t="shared" si="3"/>
        <v>0.43648500576701277</v>
      </c>
    </row>
    <row r="80" spans="1:21" ht="16.5" thickBot="1" x14ac:dyDescent="0.3">
      <c r="B80" s="12"/>
      <c r="C80" s="19">
        <v>368.28</v>
      </c>
      <c r="D80" s="20">
        <v>36.49</v>
      </c>
      <c r="E80" s="20">
        <v>41.292999999999999</v>
      </c>
      <c r="F80" s="20">
        <v>41.606000000000002</v>
      </c>
      <c r="G80" s="20">
        <v>47.6</v>
      </c>
      <c r="H80" s="20">
        <f t="shared" si="0"/>
        <v>37.729875</v>
      </c>
      <c r="I80" s="5"/>
      <c r="J80" s="19">
        <v>294.16480000000001</v>
      </c>
      <c r="K80" s="20">
        <v>38.712499999999999</v>
      </c>
      <c r="L80" s="20">
        <v>44.182699999999997</v>
      </c>
      <c r="M80" s="20">
        <v>44.9861</v>
      </c>
      <c r="N80" s="20">
        <v>65.631200000000007</v>
      </c>
      <c r="O80" s="20">
        <f t="shared" si="1"/>
        <v>40.180475000000001</v>
      </c>
      <c r="P80" s="7"/>
      <c r="Q80" s="13"/>
      <c r="R80" s="14"/>
      <c r="S80" s="14"/>
      <c r="T80" s="27"/>
      <c r="U80" s="28">
        <f t="shared" si="3"/>
        <v>0.37880672268907573</v>
      </c>
    </row>
    <row r="81" spans="1:21" x14ac:dyDescent="0.25">
      <c r="A81" s="6" t="s">
        <v>94</v>
      </c>
      <c r="B81" s="6" t="s">
        <v>95</v>
      </c>
      <c r="C81" s="15">
        <v>1617.98</v>
      </c>
      <c r="D81" s="16">
        <v>43.686</v>
      </c>
      <c r="E81" s="16">
        <v>47.66</v>
      </c>
      <c r="F81" s="16">
        <v>49.764000000000003</v>
      </c>
      <c r="G81" s="16">
        <v>20.99</v>
      </c>
      <c r="H81" s="16">
        <f t="shared" ref="H81:H91" si="4">(6*D81+E81+F81)/8</f>
        <v>44.942499999999995</v>
      </c>
      <c r="I81" s="5"/>
      <c r="J81" s="15">
        <v>1232.4636</v>
      </c>
      <c r="K81" s="16">
        <v>45.139099999999999</v>
      </c>
      <c r="L81" s="16">
        <v>51.5242</v>
      </c>
      <c r="M81" s="16">
        <v>52.136200000000002</v>
      </c>
      <c r="N81" s="16">
        <v>17.278300000000002</v>
      </c>
      <c r="O81" s="16">
        <f t="shared" ref="O81:O91" si="5">(6*K81+L81+M81)/8</f>
        <v>46.811875000000001</v>
      </c>
      <c r="P81" s="7"/>
      <c r="Q81" s="8">
        <f>bdrate(C81:C84,D81:D84,J81:J84,K81:K84)</f>
        <v>-0.49285629990399216</v>
      </c>
      <c r="R81" s="8">
        <f>bdrate(C81:C84,E81:E84,J81:J84,L81:L84)</f>
        <v>-0.77802916130631927</v>
      </c>
      <c r="S81" s="8">
        <f>bdrate(C81:C84,F81:F84,J81:J84,M81:M84)</f>
        <v>-0.69764999690754093</v>
      </c>
      <c r="T81" s="25">
        <f>bdrate(C81:C84,H81:H84,J81:J84,O81:O84)</f>
        <v>-0.55590678771929136</v>
      </c>
      <c r="U81" s="28">
        <f t="shared" si="3"/>
        <v>-0.17683182467841815</v>
      </c>
    </row>
    <row r="82" spans="1:21" x14ac:dyDescent="0.25">
      <c r="A82" s="9" t="s">
        <v>77</v>
      </c>
      <c r="B82" s="9"/>
      <c r="C82" s="17">
        <v>1080.51</v>
      </c>
      <c r="D82" s="18">
        <v>41.408999999999999</v>
      </c>
      <c r="E82" s="18">
        <v>45.898000000000003</v>
      </c>
      <c r="F82" s="18">
        <v>48.131</v>
      </c>
      <c r="G82" s="18">
        <v>24.4</v>
      </c>
      <c r="H82" s="18">
        <f t="shared" si="4"/>
        <v>42.810375000000008</v>
      </c>
      <c r="I82" s="5"/>
      <c r="J82" s="17">
        <v>832.05370000000005</v>
      </c>
      <c r="K82" s="18">
        <v>43.384399999999999</v>
      </c>
      <c r="L82" s="18">
        <v>50.268599999999999</v>
      </c>
      <c r="M82" s="18">
        <v>50.9529</v>
      </c>
      <c r="N82" s="18">
        <v>20.246600000000001</v>
      </c>
      <c r="O82" s="18">
        <f t="shared" si="5"/>
        <v>45.190987499999999</v>
      </c>
      <c r="P82" s="7"/>
      <c r="Q82" s="10"/>
      <c r="R82" s="11"/>
      <c r="S82" s="11"/>
      <c r="T82" s="26"/>
      <c r="U82" s="28">
        <f t="shared" si="3"/>
        <v>-0.17022131147540975</v>
      </c>
    </row>
    <row r="83" spans="1:21" x14ac:dyDescent="0.25">
      <c r="B83" s="9"/>
      <c r="C83" s="17">
        <v>657.86</v>
      </c>
      <c r="D83" s="18">
        <v>38.573999999999998</v>
      </c>
      <c r="E83" s="18">
        <v>43.21</v>
      </c>
      <c r="F83" s="18">
        <v>45.939</v>
      </c>
      <c r="G83" s="18">
        <v>29.48</v>
      </c>
      <c r="H83" s="18">
        <f t="shared" si="4"/>
        <v>40.074125000000002</v>
      </c>
      <c r="I83" s="5"/>
      <c r="J83" s="17">
        <v>505.97089999999997</v>
      </c>
      <c r="K83" s="18">
        <v>40.876600000000003</v>
      </c>
      <c r="L83" s="18">
        <v>48.822000000000003</v>
      </c>
      <c r="M83" s="18">
        <v>49.739600000000003</v>
      </c>
      <c r="N83" s="18">
        <v>24.755500000000001</v>
      </c>
      <c r="O83" s="18">
        <f t="shared" si="5"/>
        <v>42.977650000000004</v>
      </c>
      <c r="P83" s="7"/>
      <c r="Q83" s="10"/>
      <c r="R83" s="11"/>
      <c r="S83" s="11"/>
      <c r="T83" s="26"/>
      <c r="U83" s="28">
        <f t="shared" si="3"/>
        <v>-0.1602611940298507</v>
      </c>
    </row>
    <row r="84" spans="1:21" ht="16.5" thickBot="1" x14ac:dyDescent="0.3">
      <c r="B84" s="12"/>
      <c r="C84" s="19">
        <v>310.97000000000003</v>
      </c>
      <c r="D84" s="20">
        <v>33.725999999999999</v>
      </c>
      <c r="E84" s="20">
        <v>40.917999999999999</v>
      </c>
      <c r="F84" s="20">
        <v>43.281999999999996</v>
      </c>
      <c r="G84" s="20">
        <v>40.11</v>
      </c>
      <c r="H84" s="20">
        <f t="shared" si="4"/>
        <v>35.819499999999998</v>
      </c>
      <c r="I84" s="5"/>
      <c r="J84" s="19">
        <v>257.34750000000003</v>
      </c>
      <c r="K84" s="20">
        <v>37.641399999999997</v>
      </c>
      <c r="L84" s="20">
        <v>46.2423</v>
      </c>
      <c r="M84" s="20">
        <v>46.936500000000002</v>
      </c>
      <c r="N84" s="20">
        <v>32.723700000000001</v>
      </c>
      <c r="O84" s="20">
        <f t="shared" si="5"/>
        <v>39.878399999999999</v>
      </c>
      <c r="P84" s="7"/>
      <c r="Q84" s="13"/>
      <c r="R84" s="14"/>
      <c r="S84" s="14"/>
      <c r="T84" s="27"/>
      <c r="U84" s="28">
        <f t="shared" si="3"/>
        <v>-0.18415108451757664</v>
      </c>
    </row>
    <row r="85" spans="1:21" x14ac:dyDescent="0.25">
      <c r="B85" s="6" t="s">
        <v>96</v>
      </c>
      <c r="C85" s="15">
        <v>1991.54</v>
      </c>
      <c r="D85" s="16">
        <v>55.359000000000002</v>
      </c>
      <c r="E85" s="16">
        <v>55.555999999999997</v>
      </c>
      <c r="F85" s="16">
        <v>55.902000000000001</v>
      </c>
      <c r="G85" s="16">
        <v>47.13</v>
      </c>
      <c r="H85" s="16">
        <f t="shared" si="4"/>
        <v>55.451499999999996</v>
      </c>
      <c r="I85" s="5"/>
      <c r="J85" s="15">
        <v>1424.8912</v>
      </c>
      <c r="K85" s="16">
        <v>53.149799999999999</v>
      </c>
      <c r="L85" s="16">
        <v>54.135899999999999</v>
      </c>
      <c r="M85" s="16">
        <v>54.748600000000003</v>
      </c>
      <c r="N85" s="16">
        <v>35.811599999999999</v>
      </c>
      <c r="O85" s="16">
        <f t="shared" si="5"/>
        <v>53.4729125</v>
      </c>
      <c r="P85" s="7"/>
      <c r="Q85" s="8">
        <f>bdrate(C85:C88,D85:D88,J85:J88,K85:K88)</f>
        <v>-0.11094082056159749</v>
      </c>
      <c r="R85" s="8">
        <f>bdrate(C85:C88,E85:E88,J85:J88,L85:L88)</f>
        <v>-0.28304038415803778</v>
      </c>
      <c r="S85" s="8">
        <f>bdrate(C85:C88,F85:F88,J85:J88,M85:M88)</f>
        <v>-0.29063515902832049</v>
      </c>
      <c r="T85" s="25">
        <f>bdrate(C85:C88,H85:H88,J85:J88,O85:O88)</f>
        <v>-0.15592486098022384</v>
      </c>
      <c r="U85" s="28">
        <f t="shared" si="3"/>
        <v>-0.2401527689369829</v>
      </c>
    </row>
    <row r="86" spans="1:21" x14ac:dyDescent="0.25">
      <c r="B86" s="9"/>
      <c r="C86" s="17">
        <v>1330.83</v>
      </c>
      <c r="D86" s="18">
        <v>52.606999999999999</v>
      </c>
      <c r="E86" s="18">
        <v>52.966000000000001</v>
      </c>
      <c r="F86" s="18">
        <v>53.402000000000001</v>
      </c>
      <c r="G86" s="18">
        <v>51.08</v>
      </c>
      <c r="H86" s="18">
        <f t="shared" si="4"/>
        <v>52.751249999999999</v>
      </c>
      <c r="I86" s="5"/>
      <c r="J86" s="17">
        <v>977.95230000000004</v>
      </c>
      <c r="K86" s="18">
        <v>51.276699999999998</v>
      </c>
      <c r="L86" s="18">
        <v>52.57</v>
      </c>
      <c r="M86" s="18">
        <v>53.1374</v>
      </c>
      <c r="N86" s="18">
        <v>46.676900000000003</v>
      </c>
      <c r="O86" s="18">
        <f t="shared" si="5"/>
        <v>51.670949999999998</v>
      </c>
      <c r="P86" s="7"/>
      <c r="Q86" s="10"/>
      <c r="R86" s="11"/>
      <c r="S86" s="11"/>
      <c r="T86" s="26"/>
      <c r="U86" s="28">
        <f t="shared" si="3"/>
        <v>-8.620007830853553E-2</v>
      </c>
    </row>
    <row r="87" spans="1:21" x14ac:dyDescent="0.25">
      <c r="B87" s="9"/>
      <c r="C87" s="17">
        <v>810.41</v>
      </c>
      <c r="D87" s="18">
        <v>49.411000000000001</v>
      </c>
      <c r="E87" s="18">
        <v>49.908999999999999</v>
      </c>
      <c r="F87" s="18">
        <v>50.439</v>
      </c>
      <c r="G87" s="18">
        <v>58.48</v>
      </c>
      <c r="H87" s="18">
        <f t="shared" si="4"/>
        <v>49.601750000000003</v>
      </c>
      <c r="I87" s="5"/>
      <c r="J87" s="17">
        <v>606.43439999999998</v>
      </c>
      <c r="K87" s="18">
        <v>48.5154</v>
      </c>
      <c r="L87" s="18">
        <v>50.395000000000003</v>
      </c>
      <c r="M87" s="18">
        <v>50.949800000000003</v>
      </c>
      <c r="N87" s="18">
        <v>59.020299999999999</v>
      </c>
      <c r="O87" s="18">
        <f t="shared" si="5"/>
        <v>49.054649999999995</v>
      </c>
      <c r="P87" s="7"/>
      <c r="Q87" s="10"/>
      <c r="R87" s="11"/>
      <c r="S87" s="11"/>
      <c r="T87" s="26"/>
      <c r="U87" s="28">
        <f t="shared" si="3"/>
        <v>9.2390560875513349E-3</v>
      </c>
    </row>
    <row r="88" spans="1:21" ht="16.5" thickBot="1" x14ac:dyDescent="0.3">
      <c r="B88" s="12"/>
      <c r="C88" s="19">
        <v>383.1</v>
      </c>
      <c r="D88" s="20">
        <v>44.814999999999998</v>
      </c>
      <c r="E88" s="20">
        <v>45.506</v>
      </c>
      <c r="F88" s="20">
        <v>45.994999999999997</v>
      </c>
      <c r="G88" s="20">
        <v>70.23</v>
      </c>
      <c r="H88" s="20">
        <f t="shared" si="4"/>
        <v>45.048874999999995</v>
      </c>
      <c r="I88" s="5"/>
      <c r="J88" s="19">
        <v>311.66050000000001</v>
      </c>
      <c r="K88" s="20">
        <v>44.055300000000003</v>
      </c>
      <c r="L88" s="20">
        <v>46.680399999999999</v>
      </c>
      <c r="M88" s="20">
        <v>47.2759</v>
      </c>
      <c r="N88" s="20">
        <v>69.508799999999994</v>
      </c>
      <c r="O88" s="20">
        <f t="shared" si="5"/>
        <v>44.786012500000005</v>
      </c>
      <c r="P88" s="7"/>
      <c r="Q88" s="13"/>
      <c r="R88" s="14"/>
      <c r="S88" s="14"/>
      <c r="T88" s="27"/>
      <c r="U88" s="28">
        <f t="shared" si="3"/>
        <v>-1.0269115762494806E-2</v>
      </c>
    </row>
    <row r="89" spans="1:21" x14ac:dyDescent="0.25">
      <c r="B89" s="6" t="s">
        <v>97</v>
      </c>
      <c r="C89" s="15">
        <v>2162.5300000000002</v>
      </c>
      <c r="D89" s="16">
        <v>44.612000000000002</v>
      </c>
      <c r="E89" s="16">
        <v>46.155999999999999</v>
      </c>
      <c r="F89" s="16">
        <v>46.625</v>
      </c>
      <c r="G89" s="16">
        <v>21.87</v>
      </c>
      <c r="H89" s="16">
        <f t="shared" si="4"/>
        <v>45.056625000000004</v>
      </c>
      <c r="I89" s="5"/>
      <c r="J89" s="15">
        <v>1474.9484</v>
      </c>
      <c r="K89" s="16">
        <v>43.950400000000002</v>
      </c>
      <c r="L89" s="16">
        <v>46.668999999999997</v>
      </c>
      <c r="M89" s="16">
        <v>47.096499999999999</v>
      </c>
      <c r="N89" s="16">
        <v>21.742000000000001</v>
      </c>
      <c r="O89" s="16">
        <f t="shared" si="5"/>
        <v>44.683487499999998</v>
      </c>
      <c r="P89" s="7"/>
      <c r="Q89" s="8">
        <f>bdrate(C89:C92,D89:D92,J89:J92,K89:K92)</f>
        <v>-0.31788335770674758</v>
      </c>
      <c r="R89" s="8">
        <f>bdrate(C89:C92,E89:E92,J89:J92,L89:L92)</f>
        <v>-0.46223658927906119</v>
      </c>
      <c r="S89" s="8">
        <f>bdrate(C89:C92,F89:F92,J89:J92,M89:M92)</f>
        <v>-0.44521726686194263</v>
      </c>
      <c r="T89" s="25">
        <f>bdrate(C89:C92,H89:H92,J89:J92,O89:O92)</f>
        <v>-0.34469629035775573</v>
      </c>
      <c r="U89" s="28">
        <f t="shared" si="3"/>
        <v>-5.8527663465935123E-3</v>
      </c>
    </row>
    <row r="90" spans="1:21" x14ac:dyDescent="0.25">
      <c r="B90" s="9"/>
      <c r="C90" s="17">
        <v>1442.74</v>
      </c>
      <c r="D90" s="18">
        <v>42.314999999999998</v>
      </c>
      <c r="E90" s="18">
        <v>44.365000000000002</v>
      </c>
      <c r="F90" s="18">
        <v>44.863999999999997</v>
      </c>
      <c r="G90" s="18">
        <v>25.76</v>
      </c>
      <c r="H90" s="18">
        <f t="shared" si="4"/>
        <v>42.889874999999996</v>
      </c>
      <c r="I90" s="5"/>
      <c r="J90" s="17">
        <v>985.99480000000005</v>
      </c>
      <c r="K90" s="18">
        <v>42.003999999999998</v>
      </c>
      <c r="L90" s="18">
        <v>45.191000000000003</v>
      </c>
      <c r="M90" s="18">
        <v>45.539000000000001</v>
      </c>
      <c r="N90" s="18">
        <v>26.446100000000001</v>
      </c>
      <c r="O90" s="18">
        <f t="shared" si="5"/>
        <v>42.844250000000002</v>
      </c>
      <c r="P90" s="7"/>
      <c r="Q90" s="10"/>
      <c r="R90" s="11"/>
      <c r="S90" s="11"/>
      <c r="T90" s="26"/>
      <c r="U90" s="28">
        <f t="shared" si="3"/>
        <v>2.6634316770186323E-2</v>
      </c>
    </row>
    <row r="91" spans="1:21" x14ac:dyDescent="0.25">
      <c r="B91" s="9"/>
      <c r="C91" s="17">
        <v>877.65</v>
      </c>
      <c r="D91" s="18">
        <v>39.372</v>
      </c>
      <c r="E91" s="18">
        <v>42.298000000000002</v>
      </c>
      <c r="F91" s="18">
        <v>42.811</v>
      </c>
      <c r="G91" s="18">
        <v>31.45</v>
      </c>
      <c r="H91" s="18">
        <f t="shared" si="4"/>
        <v>40.167624999999994</v>
      </c>
      <c r="I91" s="5"/>
      <c r="J91" s="17">
        <v>591.47239999999999</v>
      </c>
      <c r="K91" s="18">
        <v>39.379899999999999</v>
      </c>
      <c r="L91" s="18">
        <v>43.263100000000001</v>
      </c>
      <c r="M91" s="18">
        <v>43.652099999999997</v>
      </c>
      <c r="N91" s="18">
        <v>32.203200000000002</v>
      </c>
      <c r="O91" s="18">
        <f t="shared" si="5"/>
        <v>40.399325000000005</v>
      </c>
      <c r="P91" s="7"/>
      <c r="Q91" s="10"/>
      <c r="R91" s="11"/>
      <c r="S91" s="11"/>
      <c r="T91" s="26"/>
      <c r="U91" s="28">
        <f t="shared" si="3"/>
        <v>2.3949125596184524E-2</v>
      </c>
    </row>
    <row r="92" spans="1:21" ht="16.5" thickBot="1" x14ac:dyDescent="0.3">
      <c r="B92" s="12"/>
      <c r="C92" s="19">
        <v>416.79</v>
      </c>
      <c r="D92" s="20">
        <v>34.765999999999998</v>
      </c>
      <c r="E92" s="20">
        <v>39.457000000000001</v>
      </c>
      <c r="F92" s="20">
        <v>40</v>
      </c>
      <c r="G92" s="20">
        <v>42.89</v>
      </c>
      <c r="H92" s="20">
        <f t="shared" ref="H92:H124" si="6">(6*D92+E92+F92)/8</f>
        <v>36.006625</v>
      </c>
      <c r="I92" s="5"/>
      <c r="J92" s="19">
        <v>298.42230000000001</v>
      </c>
      <c r="K92" s="20">
        <v>35.755899999999997</v>
      </c>
      <c r="L92" s="20">
        <v>40.774000000000001</v>
      </c>
      <c r="M92" s="20">
        <v>41.191800000000001</v>
      </c>
      <c r="N92" s="20">
        <v>40.786700000000003</v>
      </c>
      <c r="O92" s="20">
        <f t="shared" ref="O92:O124" si="7">(6*K92+L92+M92)/8</f>
        <v>37.062649999999998</v>
      </c>
      <c r="P92" s="7"/>
      <c r="Q92" s="13"/>
      <c r="R92" s="14"/>
      <c r="S92" s="14"/>
      <c r="T92" s="27"/>
      <c r="U92" s="28">
        <f t="shared" ref="U92:U124" si="8">(N92-G92)/G92</f>
        <v>-4.9039403124271325E-2</v>
      </c>
    </row>
    <row r="93" spans="1:21" x14ac:dyDescent="0.25">
      <c r="B93" s="6" t="s">
        <v>98</v>
      </c>
      <c r="C93" s="29">
        <v>2053.12</v>
      </c>
      <c r="D93" s="30">
        <v>40.773000000000003</v>
      </c>
      <c r="E93" s="30">
        <v>44.573999999999998</v>
      </c>
      <c r="F93" s="30">
        <v>44.572000000000003</v>
      </c>
      <c r="G93" s="16">
        <v>19.23</v>
      </c>
      <c r="H93" s="16">
        <f t="shared" si="6"/>
        <v>41.723000000000006</v>
      </c>
      <c r="I93" s="5"/>
      <c r="J93" s="29">
        <v>1498.9504999999999</v>
      </c>
      <c r="K93" s="30">
        <v>39.990400000000001</v>
      </c>
      <c r="L93" s="30">
        <v>44.854300000000002</v>
      </c>
      <c r="M93" s="30">
        <v>44.854700000000001</v>
      </c>
      <c r="N93" s="16">
        <v>19.090599999999998</v>
      </c>
      <c r="O93" s="16">
        <f t="shared" si="7"/>
        <v>41.206425000000003</v>
      </c>
      <c r="P93" s="7"/>
      <c r="Q93" s="8">
        <f>bdrate(C93:C96,D93:D96,J93:J96,K93:K96)</f>
        <v>-0.25054645910438</v>
      </c>
      <c r="R93" s="8">
        <f>bdrate(C93:C96,E93:E96,J93:J96,L93:L96)</f>
        <v>-0.41140185368686188</v>
      </c>
      <c r="S93" s="8">
        <f>bdrate(C93:C96,F93:F96,J93:J96,M93:M96)</f>
        <v>-0.41292158347759311</v>
      </c>
      <c r="T93" s="25">
        <f>bdrate(C93:C96,H93:H96,J93:J96,O93:O96)</f>
        <v>-0.2811933061612113</v>
      </c>
      <c r="U93" s="28">
        <f t="shared" si="8"/>
        <v>-7.2490899635986464E-3</v>
      </c>
    </row>
    <row r="94" spans="1:21" x14ac:dyDescent="0.25">
      <c r="B94" s="9"/>
      <c r="C94" s="31">
        <v>1374.14</v>
      </c>
      <c r="D94" s="32">
        <v>38.652000000000001</v>
      </c>
      <c r="E94" s="32">
        <v>43.048000000000002</v>
      </c>
      <c r="F94" s="32">
        <v>43.037999999999997</v>
      </c>
      <c r="G94" s="18">
        <v>22.48</v>
      </c>
      <c r="H94" s="18">
        <f t="shared" si="6"/>
        <v>39.749750000000006</v>
      </c>
      <c r="I94" s="5"/>
      <c r="J94" s="31">
        <v>1000.814</v>
      </c>
      <c r="K94" s="32">
        <v>38.168399999999998</v>
      </c>
      <c r="L94" s="32">
        <v>43.601300000000002</v>
      </c>
      <c r="M94" s="32">
        <v>43.5959</v>
      </c>
      <c r="N94" s="18">
        <v>21.206700000000001</v>
      </c>
      <c r="O94" s="18">
        <f t="shared" si="7"/>
        <v>39.525949999999995</v>
      </c>
      <c r="P94" s="7"/>
      <c r="Q94" s="10"/>
      <c r="R94" s="11"/>
      <c r="S94" s="11"/>
      <c r="T94" s="26"/>
      <c r="U94" s="28">
        <f t="shared" si="8"/>
        <v>-5.6641459074733051E-2</v>
      </c>
    </row>
    <row r="95" spans="1:21" x14ac:dyDescent="0.25">
      <c r="B95" s="9"/>
      <c r="C95" s="31">
        <v>839.53</v>
      </c>
      <c r="D95" s="32">
        <v>36.048999999999999</v>
      </c>
      <c r="E95" s="32">
        <v>41.357999999999997</v>
      </c>
      <c r="F95" s="32">
        <v>41.286999999999999</v>
      </c>
      <c r="G95" s="18">
        <v>27.35</v>
      </c>
      <c r="H95" s="18">
        <f t="shared" si="6"/>
        <v>37.367374999999996</v>
      </c>
      <c r="I95" s="5"/>
      <c r="J95" s="31">
        <v>602.58000000000004</v>
      </c>
      <c r="K95" s="32">
        <v>35.840899999999998</v>
      </c>
      <c r="L95" s="32">
        <v>42.060899999999997</v>
      </c>
      <c r="M95" s="32">
        <v>42.025100000000002</v>
      </c>
      <c r="N95" s="18">
        <v>27.31</v>
      </c>
      <c r="O95" s="18">
        <f t="shared" si="7"/>
        <v>37.391424999999998</v>
      </c>
      <c r="P95" s="7"/>
      <c r="Q95" s="10"/>
      <c r="R95" s="11"/>
      <c r="S95" s="11"/>
      <c r="T95" s="26"/>
      <c r="U95" s="28">
        <f t="shared" si="8"/>
        <v>-1.46252285191966E-3</v>
      </c>
    </row>
    <row r="96" spans="1:21" ht="16.5" thickBot="1" x14ac:dyDescent="0.3">
      <c r="B96" s="12"/>
      <c r="C96" s="33">
        <v>401.24</v>
      </c>
      <c r="D96" s="34">
        <v>31.847000000000001</v>
      </c>
      <c r="E96" s="34">
        <v>39.052999999999997</v>
      </c>
      <c r="F96" s="34">
        <v>38.863</v>
      </c>
      <c r="G96" s="20">
        <v>37.090000000000003</v>
      </c>
      <c r="H96" s="20">
        <f t="shared" si="6"/>
        <v>33.624749999999999</v>
      </c>
      <c r="I96" s="5"/>
      <c r="J96" s="33">
        <v>301.27210000000002</v>
      </c>
      <c r="K96" s="34">
        <v>32.865499999999997</v>
      </c>
      <c r="L96" s="34">
        <v>40.196899999999999</v>
      </c>
      <c r="M96" s="34">
        <v>40.0916</v>
      </c>
      <c r="N96" s="20">
        <v>35.590699999999998</v>
      </c>
      <c r="O96" s="20">
        <f t="shared" si="7"/>
        <v>34.685187499999998</v>
      </c>
      <c r="P96" s="7"/>
      <c r="Q96" s="13"/>
      <c r="R96" s="14"/>
      <c r="S96" s="14"/>
      <c r="T96" s="27"/>
      <c r="U96" s="28">
        <f t="shared" si="8"/>
        <v>-4.0423294688595443E-2</v>
      </c>
    </row>
    <row r="97" spans="2:21" x14ac:dyDescent="0.25">
      <c r="B97" s="6" t="s">
        <v>99</v>
      </c>
      <c r="C97" s="15">
        <v>2120.11</v>
      </c>
      <c r="D97" s="16">
        <v>39.1</v>
      </c>
      <c r="E97" s="16">
        <v>42.107999999999997</v>
      </c>
      <c r="F97" s="16">
        <v>42.634999999999998</v>
      </c>
      <c r="G97" s="16">
        <v>22.82</v>
      </c>
      <c r="H97" s="16">
        <f t="shared" si="6"/>
        <v>39.917875000000002</v>
      </c>
      <c r="I97" s="5"/>
      <c r="J97" s="15">
        <v>1507.2164</v>
      </c>
      <c r="K97" s="16">
        <v>38.024799999999999</v>
      </c>
      <c r="L97" s="16">
        <v>43.137500000000003</v>
      </c>
      <c r="M97" s="16">
        <v>43.6477</v>
      </c>
      <c r="N97" s="16">
        <v>20.998100000000001</v>
      </c>
      <c r="O97" s="16">
        <f t="shared" si="7"/>
        <v>39.366749999999996</v>
      </c>
      <c r="P97" s="7"/>
      <c r="Q97" s="8">
        <f>bdrate(C97:C100,D97:D100,J97:J100,K97:K100)</f>
        <v>-0.23121175668044747</v>
      </c>
      <c r="R97" s="8">
        <f>bdrate(C97:C100,E97:E100,J97:J100,L97:L100)</f>
        <v>-0.53350646046215244</v>
      </c>
      <c r="S97" s="8">
        <f>bdrate(C97:C100,F97:F100,J97:J100,M97:M100)</f>
        <v>-0.5277992583166029</v>
      </c>
      <c r="T97" s="25">
        <f>bdrate(C97:C100,H97:H100,J97:J100,O97:O100)</f>
        <v>-0.29390753115793133</v>
      </c>
      <c r="U97" s="28">
        <f t="shared" si="8"/>
        <v>-7.9837861524978057E-2</v>
      </c>
    </row>
    <row r="98" spans="2:21" x14ac:dyDescent="0.25">
      <c r="B98" s="9"/>
      <c r="C98" s="17">
        <v>1415.08</v>
      </c>
      <c r="D98" s="18">
        <v>36.957000000000001</v>
      </c>
      <c r="E98" s="18">
        <v>40.478000000000002</v>
      </c>
      <c r="F98" s="18">
        <v>41.118000000000002</v>
      </c>
      <c r="G98" s="18">
        <v>26.45</v>
      </c>
      <c r="H98" s="18">
        <f t="shared" si="6"/>
        <v>37.917250000000003</v>
      </c>
      <c r="I98" s="5"/>
      <c r="J98" s="17">
        <v>1007.0373</v>
      </c>
      <c r="K98" s="18">
        <v>36.208599999999997</v>
      </c>
      <c r="L98" s="18">
        <v>41.8461</v>
      </c>
      <c r="M98" s="18">
        <v>42.429499999999997</v>
      </c>
      <c r="N98" s="18">
        <v>24.281300000000002</v>
      </c>
      <c r="O98" s="18">
        <f t="shared" si="7"/>
        <v>37.690899999999999</v>
      </c>
      <c r="P98" s="7"/>
      <c r="Q98" s="10"/>
      <c r="R98" s="11"/>
      <c r="S98" s="11"/>
      <c r="T98" s="26"/>
      <c r="U98" s="28">
        <f t="shared" si="8"/>
        <v>-8.1992438563326941E-2</v>
      </c>
    </row>
    <row r="99" spans="2:21" x14ac:dyDescent="0.25">
      <c r="B99" s="9"/>
      <c r="C99" s="17">
        <v>859.71</v>
      </c>
      <c r="D99" s="18">
        <v>34.377000000000002</v>
      </c>
      <c r="E99" s="18">
        <v>38.722999999999999</v>
      </c>
      <c r="F99" s="18">
        <v>39.484999999999999</v>
      </c>
      <c r="G99" s="18">
        <v>31.52</v>
      </c>
      <c r="H99" s="18">
        <f t="shared" si="6"/>
        <v>35.558750000000003</v>
      </c>
      <c r="I99" s="5"/>
      <c r="J99" s="17">
        <v>604.62090000000001</v>
      </c>
      <c r="K99" s="18">
        <v>33.987699999999997</v>
      </c>
      <c r="L99" s="18">
        <v>40.180100000000003</v>
      </c>
      <c r="M99" s="18">
        <v>40.797600000000003</v>
      </c>
      <c r="N99" s="18">
        <v>28.7742</v>
      </c>
      <c r="O99" s="18">
        <f t="shared" si="7"/>
        <v>35.612987500000003</v>
      </c>
      <c r="P99" s="7"/>
      <c r="Q99" s="10"/>
      <c r="R99" s="11"/>
      <c r="S99" s="11"/>
      <c r="T99" s="26"/>
      <c r="U99" s="28">
        <f t="shared" si="8"/>
        <v>-8.711294416243652E-2</v>
      </c>
    </row>
    <row r="100" spans="2:21" ht="16.5" thickBot="1" x14ac:dyDescent="0.3">
      <c r="B100" s="12"/>
      <c r="C100" s="19">
        <v>404.65</v>
      </c>
      <c r="D100" s="20">
        <v>30.274999999999999</v>
      </c>
      <c r="E100" s="20">
        <v>36.329000000000001</v>
      </c>
      <c r="F100" s="20">
        <v>37.247999999999998</v>
      </c>
      <c r="G100" s="20">
        <v>40.89</v>
      </c>
      <c r="H100" s="20">
        <f t="shared" si="6"/>
        <v>31.903374999999997</v>
      </c>
      <c r="I100" s="5"/>
      <c r="J100" s="19">
        <v>303.25749999999999</v>
      </c>
      <c r="K100" s="20">
        <v>30.890599999999999</v>
      </c>
      <c r="L100" s="20">
        <v>37.962299999999999</v>
      </c>
      <c r="M100" s="20">
        <v>38.671900000000001</v>
      </c>
      <c r="N100" s="20">
        <v>36.069299999999998</v>
      </c>
      <c r="O100" s="20">
        <f t="shared" si="7"/>
        <v>32.747225</v>
      </c>
      <c r="P100" s="7"/>
      <c r="Q100" s="13"/>
      <c r="R100" s="14"/>
      <c r="S100" s="14"/>
      <c r="T100" s="27"/>
      <c r="U100" s="28">
        <f t="shared" si="8"/>
        <v>-0.11789435069699199</v>
      </c>
    </row>
    <row r="101" spans="2:21" x14ac:dyDescent="0.25">
      <c r="B101" s="6" t="s">
        <v>100</v>
      </c>
      <c r="C101" s="15">
        <v>2111.08</v>
      </c>
      <c r="D101" s="16">
        <v>38.915999999999997</v>
      </c>
      <c r="E101" s="16">
        <v>43.859000000000002</v>
      </c>
      <c r="F101" s="16">
        <v>45.534999999999997</v>
      </c>
      <c r="G101" s="16">
        <v>16.350000000000001</v>
      </c>
      <c r="H101" s="16">
        <f t="shared" si="6"/>
        <v>40.361249999999998</v>
      </c>
      <c r="I101" s="5"/>
      <c r="J101" s="15">
        <v>1509.6655000000001</v>
      </c>
      <c r="K101" s="16">
        <v>38.017699999999998</v>
      </c>
      <c r="L101" s="16">
        <v>44.2468</v>
      </c>
      <c r="M101" s="16">
        <v>45.781700000000001</v>
      </c>
      <c r="N101" s="16">
        <v>18.162199999999999</v>
      </c>
      <c r="O101" s="16">
        <f t="shared" si="7"/>
        <v>39.766837500000001</v>
      </c>
      <c r="P101" s="7"/>
      <c r="Q101" s="8">
        <f>bdrate(C101:C104,D101:D104,J101:J104,K101:K104)</f>
        <v>-0.24455862360151615</v>
      </c>
      <c r="R101" s="8">
        <f>bdrate(C101:C104,E101:E104,J101:J104,L101:L104)</f>
        <v>-0.50678032050255362</v>
      </c>
      <c r="S101" s="8">
        <f>bdrate(C101:C104,F101:F104,J101:J104,M101:M104)</f>
        <v>-0.45341473567192425</v>
      </c>
      <c r="T101" s="25">
        <f>bdrate(C101:C104,H101:H104,J101:J104,O101:O104)</f>
        <v>-0.29588626725402345</v>
      </c>
      <c r="U101" s="28">
        <f t="shared" si="8"/>
        <v>0.11083792048929646</v>
      </c>
    </row>
    <row r="102" spans="2:21" x14ac:dyDescent="0.25">
      <c r="B102" s="9"/>
      <c r="C102" s="17">
        <v>1410.3</v>
      </c>
      <c r="D102" s="18">
        <v>37.182000000000002</v>
      </c>
      <c r="E102" s="18">
        <v>42.585000000000001</v>
      </c>
      <c r="F102" s="18">
        <v>44.277000000000001</v>
      </c>
      <c r="G102" s="18">
        <v>19.34</v>
      </c>
      <c r="H102" s="18">
        <f t="shared" si="6"/>
        <v>38.744250000000001</v>
      </c>
      <c r="I102" s="5"/>
      <c r="J102" s="17">
        <v>1008.3017</v>
      </c>
      <c r="K102" s="18">
        <v>36.595300000000002</v>
      </c>
      <c r="L102" s="18">
        <v>43.288899999999998</v>
      </c>
      <c r="M102" s="18">
        <v>44.768799999999999</v>
      </c>
      <c r="N102" s="18">
        <v>21.623699999999999</v>
      </c>
      <c r="O102" s="18">
        <f t="shared" si="7"/>
        <v>38.453687500000001</v>
      </c>
      <c r="P102" s="7"/>
      <c r="Q102" s="10"/>
      <c r="R102" s="11"/>
      <c r="S102" s="11"/>
      <c r="T102" s="26"/>
      <c r="U102" s="28">
        <f t="shared" si="8"/>
        <v>0.11808169596690794</v>
      </c>
    </row>
    <row r="103" spans="2:21" x14ac:dyDescent="0.25">
      <c r="B103" s="9"/>
      <c r="C103" s="17">
        <v>858.39</v>
      </c>
      <c r="D103" s="18">
        <v>35.085999999999999</v>
      </c>
      <c r="E103" s="18">
        <v>41.125999999999998</v>
      </c>
      <c r="F103" s="18">
        <v>42.7</v>
      </c>
      <c r="G103" s="18">
        <v>23.99</v>
      </c>
      <c r="H103" s="18">
        <f t="shared" si="6"/>
        <v>36.792749999999998</v>
      </c>
      <c r="I103" s="5"/>
      <c r="J103" s="17">
        <v>603.98530000000005</v>
      </c>
      <c r="K103" s="18">
        <v>34.908099999999997</v>
      </c>
      <c r="L103" s="18">
        <v>42.214399999999998</v>
      </c>
      <c r="M103" s="18">
        <v>43.545999999999999</v>
      </c>
      <c r="N103" s="18">
        <v>27.022200000000002</v>
      </c>
      <c r="O103" s="18">
        <f t="shared" si="7"/>
        <v>36.901125</v>
      </c>
      <c r="P103" s="7"/>
      <c r="Q103" s="10"/>
      <c r="R103" s="11"/>
      <c r="S103" s="11"/>
      <c r="T103" s="26"/>
      <c r="U103" s="28">
        <f t="shared" si="8"/>
        <v>0.12639433097123814</v>
      </c>
    </row>
    <row r="104" spans="2:21" ht="16.5" thickBot="1" x14ac:dyDescent="0.3">
      <c r="B104" s="12"/>
      <c r="C104" s="19">
        <v>405.75</v>
      </c>
      <c r="D104" s="20">
        <v>32.161999999999999</v>
      </c>
      <c r="E104" s="20">
        <v>39.143000000000001</v>
      </c>
      <c r="F104" s="20">
        <v>40.31</v>
      </c>
      <c r="G104" s="20">
        <v>33.869999999999997</v>
      </c>
      <c r="H104" s="20">
        <f t="shared" si="6"/>
        <v>34.053124999999994</v>
      </c>
      <c r="I104" s="5"/>
      <c r="J104" s="19">
        <v>301.56560000000002</v>
      </c>
      <c r="K104" s="20">
        <v>32.792499999999997</v>
      </c>
      <c r="L104" s="20">
        <v>40.789000000000001</v>
      </c>
      <c r="M104" s="20">
        <v>41.9739</v>
      </c>
      <c r="N104" s="20">
        <v>36.641199999999998</v>
      </c>
      <c r="O104" s="20">
        <f t="shared" si="7"/>
        <v>34.9397375</v>
      </c>
      <c r="P104" s="7"/>
      <c r="Q104" s="13"/>
      <c r="R104" s="14"/>
      <c r="S104" s="14"/>
      <c r="T104" s="27"/>
      <c r="U104" s="28">
        <f t="shared" si="8"/>
        <v>8.1818718630056117E-2</v>
      </c>
    </row>
    <row r="105" spans="2:21" x14ac:dyDescent="0.25">
      <c r="B105" s="6" t="s">
        <v>101</v>
      </c>
      <c r="C105" s="15">
        <v>2220.4299999999998</v>
      </c>
      <c r="D105" s="16">
        <v>49.74</v>
      </c>
      <c r="E105" s="16">
        <v>53.912999999999997</v>
      </c>
      <c r="F105" s="16">
        <v>55.212000000000003</v>
      </c>
      <c r="G105" s="16">
        <v>21.12</v>
      </c>
      <c r="H105" s="16">
        <f t="shared" si="6"/>
        <v>50.945625</v>
      </c>
      <c r="I105" s="5"/>
      <c r="J105" s="15">
        <v>1497.4356</v>
      </c>
      <c r="K105" s="16">
        <v>49.155700000000003</v>
      </c>
      <c r="L105" s="16">
        <v>54.492199999999997</v>
      </c>
      <c r="M105" s="16">
        <v>55.931100000000001</v>
      </c>
      <c r="N105" s="16">
        <v>26.2927</v>
      </c>
      <c r="O105" s="16">
        <f t="shared" si="7"/>
        <v>50.669687500000009</v>
      </c>
      <c r="P105" s="7"/>
      <c r="Q105" s="8">
        <f>bdrate(C105:C108,D105:D108,J105:J108,K105:K108)</f>
        <v>-0.3960907433851637</v>
      </c>
      <c r="R105" s="8">
        <f>bdrate(C105:C108,E105:E108,J105:J108,L105:L108)</f>
        <v>-0.5755022118660662</v>
      </c>
      <c r="S105" s="8">
        <f>bdrate(C105:C108,F105:F108,J105:J108,M105:M108)</f>
        <v>-0.58553248064174568</v>
      </c>
      <c r="T105" s="25">
        <f>bdrate(C105:C108,H105:H108,J105:J108,O105:O108)</f>
        <v>-0.44239885213105645</v>
      </c>
      <c r="U105" s="28">
        <f t="shared" si="8"/>
        <v>0.24491950757575751</v>
      </c>
    </row>
    <row r="106" spans="2:21" x14ac:dyDescent="0.25">
      <c r="B106" s="9"/>
      <c r="C106" s="17">
        <v>1472.19</v>
      </c>
      <c r="D106" s="18">
        <v>47.48</v>
      </c>
      <c r="E106" s="18">
        <v>51.652999999999999</v>
      </c>
      <c r="F106" s="18">
        <v>53.125999999999998</v>
      </c>
      <c r="G106" s="18">
        <v>24.75</v>
      </c>
      <c r="H106" s="18">
        <f t="shared" si="6"/>
        <v>48.707374999999999</v>
      </c>
      <c r="I106" s="5"/>
      <c r="J106" s="17">
        <v>1002.3043</v>
      </c>
      <c r="K106" s="18">
        <v>47.550199999999997</v>
      </c>
      <c r="L106" s="18">
        <v>53.186399999999999</v>
      </c>
      <c r="M106" s="18">
        <v>54.677300000000002</v>
      </c>
      <c r="N106" s="18">
        <v>31.066500000000001</v>
      </c>
      <c r="O106" s="18">
        <f t="shared" si="7"/>
        <v>49.145612499999999</v>
      </c>
      <c r="P106" s="7"/>
      <c r="Q106" s="10"/>
      <c r="R106" s="11"/>
      <c r="S106" s="11"/>
      <c r="T106" s="26"/>
      <c r="U106" s="28">
        <f t="shared" si="8"/>
        <v>0.25521212121212128</v>
      </c>
    </row>
    <row r="107" spans="2:21" x14ac:dyDescent="0.25">
      <c r="B107" s="9"/>
      <c r="C107" s="17">
        <v>886.74</v>
      </c>
      <c r="D107" s="18">
        <v>44.662999999999997</v>
      </c>
      <c r="E107" s="18">
        <v>49.1</v>
      </c>
      <c r="F107" s="18">
        <v>50.633000000000003</v>
      </c>
      <c r="G107" s="18">
        <v>30.88</v>
      </c>
      <c r="H107" s="18">
        <f t="shared" si="6"/>
        <v>45.963874999999994</v>
      </c>
      <c r="I107" s="5"/>
      <c r="J107" s="17">
        <v>601.50139999999999</v>
      </c>
      <c r="K107" s="18">
        <v>45.5533</v>
      </c>
      <c r="L107" s="18">
        <v>51.528300000000002</v>
      </c>
      <c r="M107" s="18">
        <v>53.060899999999997</v>
      </c>
      <c r="N107" s="18">
        <v>38.2742</v>
      </c>
      <c r="O107" s="18">
        <f t="shared" si="7"/>
        <v>47.238624999999999</v>
      </c>
      <c r="P107" s="7"/>
      <c r="Q107" s="10"/>
      <c r="R107" s="11"/>
      <c r="S107" s="11"/>
      <c r="T107" s="26"/>
      <c r="U107" s="28">
        <f t="shared" si="8"/>
        <v>0.23944948186528503</v>
      </c>
    </row>
    <row r="108" spans="2:21" ht="16.5" thickBot="1" x14ac:dyDescent="0.3">
      <c r="B108" s="12"/>
      <c r="C108" s="19">
        <v>421.29</v>
      </c>
      <c r="D108" s="20">
        <v>41.665999999999997</v>
      </c>
      <c r="E108" s="20">
        <v>46.051000000000002</v>
      </c>
      <c r="F108" s="20">
        <v>47.612000000000002</v>
      </c>
      <c r="G108" s="20">
        <v>45.71</v>
      </c>
      <c r="H108" s="20">
        <f t="shared" si="6"/>
        <v>42.957374999999999</v>
      </c>
      <c r="I108" s="5"/>
      <c r="J108" s="19">
        <v>302.12369999999999</v>
      </c>
      <c r="K108" s="20">
        <v>42.766800000000003</v>
      </c>
      <c r="L108" s="20">
        <v>49.102699999999999</v>
      </c>
      <c r="M108" s="20">
        <v>50.599800000000002</v>
      </c>
      <c r="N108" s="20">
        <v>49.770400000000002</v>
      </c>
      <c r="O108" s="20">
        <f t="shared" si="7"/>
        <v>44.537912500000012</v>
      </c>
      <c r="P108" s="7"/>
      <c r="Q108" s="13"/>
      <c r="R108" s="14"/>
      <c r="S108" s="14"/>
      <c r="T108" s="27"/>
      <c r="U108" s="28">
        <f t="shared" si="8"/>
        <v>8.8829577772916238E-2</v>
      </c>
    </row>
    <row r="109" spans="2:21" x14ac:dyDescent="0.25">
      <c r="B109" s="6" t="s">
        <v>102</v>
      </c>
      <c r="C109" s="15">
        <v>2045.79</v>
      </c>
      <c r="D109" s="16">
        <v>33.466999999999999</v>
      </c>
      <c r="E109" s="16">
        <v>41.209000000000003</v>
      </c>
      <c r="F109" s="16">
        <v>40.51</v>
      </c>
      <c r="G109" s="16">
        <v>16.809999999999999</v>
      </c>
      <c r="H109" s="16">
        <f t="shared" si="6"/>
        <v>35.315125000000002</v>
      </c>
      <c r="I109" s="5"/>
      <c r="J109" s="15">
        <v>1491.0736999999999</v>
      </c>
      <c r="K109" s="16">
        <v>32.9148</v>
      </c>
      <c r="L109" s="16">
        <v>41.539499999999997</v>
      </c>
      <c r="M109" s="16">
        <v>40.909199999999998</v>
      </c>
      <c r="N109" s="16">
        <v>12.947100000000001</v>
      </c>
      <c r="O109" s="16">
        <f t="shared" si="7"/>
        <v>34.9921875</v>
      </c>
      <c r="P109" s="7"/>
      <c r="Q109" s="8">
        <f>bdrate(C109:C112,D109:D112,J109:J112,K109:K112)</f>
        <v>-0.30767932895263161</v>
      </c>
      <c r="R109" s="8">
        <f>bdrate(C109:C112,E109:E112,J109:J112,L109:L112)</f>
        <v>-0.44092815719129164</v>
      </c>
      <c r="S109" s="8">
        <f>bdrate(C109:C112,F109:F112,J109:J112,M109:M112)</f>
        <v>-0.46243548859479144</v>
      </c>
      <c r="T109" s="25">
        <f>bdrate(C109:C112,H109:H112,J109:J112,O109:O112)</f>
        <v>-0.33224834454792329</v>
      </c>
      <c r="U109" s="28">
        <f t="shared" si="8"/>
        <v>-0.22979773944080895</v>
      </c>
    </row>
    <row r="110" spans="2:21" x14ac:dyDescent="0.25">
      <c r="B110" s="9"/>
      <c r="C110" s="17">
        <v>1365.06</v>
      </c>
      <c r="D110" s="18">
        <v>31.481000000000002</v>
      </c>
      <c r="E110" s="18">
        <v>40.017000000000003</v>
      </c>
      <c r="F110" s="18">
        <v>39.241999999999997</v>
      </c>
      <c r="G110" s="18">
        <v>19.920000000000002</v>
      </c>
      <c r="H110" s="18">
        <f t="shared" si="6"/>
        <v>33.518125000000005</v>
      </c>
      <c r="I110" s="5"/>
      <c r="J110" s="17">
        <v>993.06449999999995</v>
      </c>
      <c r="K110" s="18">
        <v>31.231999999999999</v>
      </c>
      <c r="L110" s="18">
        <v>40.620800000000003</v>
      </c>
      <c r="M110" s="18">
        <v>39.9831</v>
      </c>
      <c r="N110" s="18">
        <v>15.073</v>
      </c>
      <c r="O110" s="18">
        <f t="shared" si="7"/>
        <v>33.499487500000001</v>
      </c>
      <c r="P110" s="7"/>
      <c r="Q110" s="10"/>
      <c r="R110" s="11"/>
      <c r="S110" s="11"/>
      <c r="T110" s="26"/>
      <c r="U110" s="28">
        <f t="shared" si="8"/>
        <v>-0.2433232931726908</v>
      </c>
    </row>
    <row r="111" spans="2:21" x14ac:dyDescent="0.25">
      <c r="B111" s="9"/>
      <c r="C111" s="17">
        <v>828.93</v>
      </c>
      <c r="D111" s="18">
        <v>28.812999999999999</v>
      </c>
      <c r="E111" s="18">
        <v>38.606999999999999</v>
      </c>
      <c r="F111" s="18">
        <v>37.765999999999998</v>
      </c>
      <c r="G111" s="18">
        <v>24.62</v>
      </c>
      <c r="H111" s="18">
        <f t="shared" si="6"/>
        <v>31.156374999999997</v>
      </c>
      <c r="I111" s="5"/>
      <c r="J111" s="17">
        <v>595.44050000000004</v>
      </c>
      <c r="K111" s="18">
        <v>29.120200000000001</v>
      </c>
      <c r="L111" s="18">
        <v>39.369599999999998</v>
      </c>
      <c r="M111" s="18">
        <v>38.670200000000001</v>
      </c>
      <c r="N111" s="18">
        <v>18.2484</v>
      </c>
      <c r="O111" s="18">
        <f t="shared" si="7"/>
        <v>31.595124999999999</v>
      </c>
      <c r="P111" s="7"/>
      <c r="Q111" s="10"/>
      <c r="R111" s="11"/>
      <c r="S111" s="11"/>
      <c r="T111" s="26"/>
      <c r="U111" s="28">
        <f t="shared" si="8"/>
        <v>-0.25879772542648255</v>
      </c>
    </row>
    <row r="112" spans="2:21" ht="16.5" thickBot="1" x14ac:dyDescent="0.3">
      <c r="B112" s="12"/>
      <c r="C112" s="19">
        <v>391.78</v>
      </c>
      <c r="D112" s="20">
        <v>24.553999999999998</v>
      </c>
      <c r="E112" s="20">
        <v>36.216000000000001</v>
      </c>
      <c r="F112" s="20">
        <v>35.473999999999997</v>
      </c>
      <c r="G112" s="20">
        <v>33.5</v>
      </c>
      <c r="H112" s="20">
        <f t="shared" si="6"/>
        <v>27.376749999999998</v>
      </c>
      <c r="I112" s="5"/>
      <c r="J112" s="19">
        <v>298.39929999999998</v>
      </c>
      <c r="K112" s="20">
        <v>26.385300000000001</v>
      </c>
      <c r="L112" s="20">
        <v>37.377099999999999</v>
      </c>
      <c r="M112" s="20">
        <v>36.678800000000003</v>
      </c>
      <c r="N112" s="20">
        <v>23.409500000000001</v>
      </c>
      <c r="O112" s="20">
        <f t="shared" si="7"/>
        <v>29.045962499999998</v>
      </c>
      <c r="P112" s="7"/>
      <c r="Q112" s="13"/>
      <c r="R112" s="14"/>
      <c r="S112" s="14"/>
      <c r="T112" s="27"/>
      <c r="U112" s="28">
        <f t="shared" si="8"/>
        <v>-0.30120895522388058</v>
      </c>
    </row>
    <row r="113" spans="2:21" x14ac:dyDescent="0.25">
      <c r="B113" s="6" t="s">
        <v>103</v>
      </c>
      <c r="C113" s="15">
        <v>2339.5</v>
      </c>
      <c r="D113" s="16">
        <v>48.387999999999998</v>
      </c>
      <c r="E113" s="16">
        <v>48.661000000000001</v>
      </c>
      <c r="F113" s="16">
        <v>48.408999999999999</v>
      </c>
      <c r="G113" s="16">
        <v>23.61</v>
      </c>
      <c r="H113" s="16">
        <f t="shared" si="6"/>
        <v>48.424749999999996</v>
      </c>
      <c r="I113" s="5"/>
      <c r="J113" s="15">
        <v>1388.7555</v>
      </c>
      <c r="K113" s="16">
        <v>46.505699999999997</v>
      </c>
      <c r="L113" s="16">
        <v>48.086599999999997</v>
      </c>
      <c r="M113" s="16">
        <v>47.985900000000001</v>
      </c>
      <c r="N113" s="16">
        <v>17.5731</v>
      </c>
      <c r="O113" s="16">
        <f t="shared" si="7"/>
        <v>46.888337499999999</v>
      </c>
      <c r="P113" s="7"/>
      <c r="Q113" s="8">
        <f>bdrate(C113:C116,D113:D116,J113:J116,K113:K116)</f>
        <v>-0.22545991469045967</v>
      </c>
      <c r="R113" s="8">
        <f>bdrate(C113:C116,E113:E116,J113:J116,L113:L116)</f>
        <v>-0.39663341870979196</v>
      </c>
      <c r="S113" s="8">
        <f>bdrate(C113:C116,F113:F116,J113:J116,M113:M116)</f>
        <v>-0.4151302943125319</v>
      </c>
      <c r="T113" s="25">
        <f>bdrate(C113:C116,H113:H116,J113:J116,O113:O116)</f>
        <v>-0.26912969448106883</v>
      </c>
      <c r="U113" s="28">
        <f t="shared" si="8"/>
        <v>-0.25569250317662007</v>
      </c>
    </row>
    <row r="114" spans="2:21" x14ac:dyDescent="0.25">
      <c r="B114" s="9"/>
      <c r="C114" s="17">
        <v>1550</v>
      </c>
      <c r="D114" s="18">
        <v>46.276000000000003</v>
      </c>
      <c r="E114" s="18">
        <v>46.728999999999999</v>
      </c>
      <c r="F114" s="18">
        <v>46.49</v>
      </c>
      <c r="G114" s="18">
        <v>27.92</v>
      </c>
      <c r="H114" s="18">
        <f t="shared" si="6"/>
        <v>46.359375</v>
      </c>
      <c r="I114" s="5"/>
      <c r="J114" s="17">
        <v>943.49609999999996</v>
      </c>
      <c r="K114" s="18">
        <v>44.874499999999998</v>
      </c>
      <c r="L114" s="18">
        <v>46.676099999999998</v>
      </c>
      <c r="M114" s="18">
        <v>46.570599999999999</v>
      </c>
      <c r="N114" s="18">
        <v>25.348199999999999</v>
      </c>
      <c r="O114" s="18">
        <f t="shared" si="7"/>
        <v>45.311712499999999</v>
      </c>
      <c r="P114" s="7"/>
      <c r="Q114" s="10"/>
      <c r="R114" s="11"/>
      <c r="S114" s="11"/>
      <c r="T114" s="26"/>
      <c r="U114" s="28">
        <f t="shared" si="8"/>
        <v>-9.2113180515759424E-2</v>
      </c>
    </row>
    <row r="115" spans="2:21" x14ac:dyDescent="0.25">
      <c r="B115" s="9"/>
      <c r="C115" s="17">
        <v>933.73</v>
      </c>
      <c r="D115" s="18">
        <v>43.44</v>
      </c>
      <c r="E115" s="18">
        <v>44.292000000000002</v>
      </c>
      <c r="F115" s="18">
        <v>43.97</v>
      </c>
      <c r="G115" s="18">
        <v>34.24</v>
      </c>
      <c r="H115" s="18">
        <f t="shared" si="6"/>
        <v>43.612750000000005</v>
      </c>
      <c r="I115" s="5"/>
      <c r="J115" s="17">
        <v>590.45929999999998</v>
      </c>
      <c r="K115" s="18">
        <v>42.179499999999997</v>
      </c>
      <c r="L115" s="18">
        <v>44.580199999999998</v>
      </c>
      <c r="M115" s="18">
        <v>44.431199999999997</v>
      </c>
      <c r="N115" s="18">
        <v>33.338299999999997</v>
      </c>
      <c r="O115" s="18">
        <f t="shared" si="7"/>
        <v>42.761049999999997</v>
      </c>
      <c r="P115" s="7"/>
      <c r="Q115" s="10"/>
      <c r="R115" s="11"/>
      <c r="S115" s="11"/>
      <c r="T115" s="26"/>
      <c r="U115" s="28">
        <f t="shared" si="8"/>
        <v>-2.6334696261682396E-2</v>
      </c>
    </row>
    <row r="116" spans="2:21" ht="16.5" thickBot="1" x14ac:dyDescent="0.3">
      <c r="B116" s="12"/>
      <c r="C116" s="19">
        <v>436.43</v>
      </c>
      <c r="D116" s="20">
        <v>38.228999999999999</v>
      </c>
      <c r="E116" s="20">
        <v>40.261000000000003</v>
      </c>
      <c r="F116" s="20">
        <v>39.862000000000002</v>
      </c>
      <c r="G116" s="20">
        <v>45.88</v>
      </c>
      <c r="H116" s="20">
        <f t="shared" si="6"/>
        <v>38.687125000000002</v>
      </c>
      <c r="I116" s="5"/>
      <c r="J116" s="19">
        <v>302.05669999999998</v>
      </c>
      <c r="K116" s="20">
        <v>37.844200000000001</v>
      </c>
      <c r="L116" s="20">
        <v>41.197400000000002</v>
      </c>
      <c r="M116" s="20">
        <v>40.982399999999998</v>
      </c>
      <c r="N116" s="20">
        <v>42.1417</v>
      </c>
      <c r="O116" s="20">
        <f t="shared" si="7"/>
        <v>38.655625000000001</v>
      </c>
      <c r="P116" s="7"/>
      <c r="Q116" s="13"/>
      <c r="R116" s="14"/>
      <c r="S116" s="14"/>
      <c r="T116" s="27"/>
      <c r="U116" s="28">
        <f t="shared" si="8"/>
        <v>-8.147994768962516E-2</v>
      </c>
    </row>
    <row r="117" spans="2:21" x14ac:dyDescent="0.25">
      <c r="B117" s="6" t="s">
        <v>104</v>
      </c>
      <c r="C117" s="15">
        <v>2697.66</v>
      </c>
      <c r="D117" s="16">
        <v>50.521000000000001</v>
      </c>
      <c r="E117" s="16">
        <v>51.44</v>
      </c>
      <c r="F117" s="16">
        <v>51.667000000000002</v>
      </c>
      <c r="G117" s="16">
        <v>24.56</v>
      </c>
      <c r="H117" s="16">
        <f t="shared" si="6"/>
        <v>50.779124999999993</v>
      </c>
      <c r="I117" s="5"/>
      <c r="J117" s="15">
        <v>1368.8044</v>
      </c>
      <c r="K117" s="16">
        <v>47.000900000000001</v>
      </c>
      <c r="L117" s="16">
        <v>49.93</v>
      </c>
      <c r="M117" s="16">
        <v>50.066699999999997</v>
      </c>
      <c r="N117" s="16">
        <v>17.366800000000001</v>
      </c>
      <c r="O117" s="16">
        <f t="shared" si="7"/>
        <v>47.750262500000005</v>
      </c>
      <c r="P117" s="7"/>
      <c r="Q117" s="8">
        <f>bdrate(C117:C120,D117:D120,J117:J120,K117:K120)</f>
        <v>-0.32722643794472661</v>
      </c>
      <c r="R117" s="8">
        <f>bdrate(C117:C120,E117:E120,J117:J120,L117:L120)</f>
        <v>-0.4805959380346928</v>
      </c>
      <c r="S117" s="8">
        <f>bdrate(C117:C120,F117:F120,J117:J120,M117:M120)</f>
        <v>-0.48269542450211145</v>
      </c>
      <c r="T117" s="25">
        <f>bdrate(C117:C120,H117:H120,J117:J120,O117:O120)</f>
        <v>-0.36402923643602247</v>
      </c>
      <c r="U117" s="28">
        <f t="shared" si="8"/>
        <v>-0.29288273615635169</v>
      </c>
    </row>
    <row r="118" spans="2:21" x14ac:dyDescent="0.25">
      <c r="B118" s="9"/>
      <c r="C118" s="17">
        <v>1780.17</v>
      </c>
      <c r="D118" s="18">
        <v>47.131999999999998</v>
      </c>
      <c r="E118" s="18">
        <v>48.472000000000001</v>
      </c>
      <c r="F118" s="18">
        <v>48.725999999999999</v>
      </c>
      <c r="G118" s="18">
        <v>28.41</v>
      </c>
      <c r="H118" s="18">
        <f t="shared" si="6"/>
        <v>47.498749999999994</v>
      </c>
      <c r="I118" s="5"/>
      <c r="J118" s="17">
        <v>952.51350000000002</v>
      </c>
      <c r="K118" s="18">
        <v>45.869599999999998</v>
      </c>
      <c r="L118" s="18">
        <v>49.072600000000001</v>
      </c>
      <c r="M118" s="18">
        <v>49.214199999999998</v>
      </c>
      <c r="N118" s="18">
        <v>20.827500000000001</v>
      </c>
      <c r="O118" s="18">
        <f t="shared" si="7"/>
        <v>46.688050000000004</v>
      </c>
      <c r="P118" s="7"/>
      <c r="Q118" s="10"/>
      <c r="R118" s="11"/>
      <c r="S118" s="11"/>
      <c r="T118" s="26"/>
      <c r="U118" s="28">
        <f t="shared" si="8"/>
        <v>-0.26689545934530096</v>
      </c>
    </row>
    <row r="119" spans="2:21" x14ac:dyDescent="0.25">
      <c r="B119" s="9"/>
      <c r="C119" s="17">
        <v>1065.51</v>
      </c>
      <c r="D119" s="18">
        <v>43.786000000000001</v>
      </c>
      <c r="E119" s="18">
        <v>45.648000000000003</v>
      </c>
      <c r="F119" s="18">
        <v>45.866</v>
      </c>
      <c r="G119" s="18">
        <v>33.51</v>
      </c>
      <c r="H119" s="18">
        <f t="shared" si="6"/>
        <v>44.278750000000002</v>
      </c>
      <c r="I119" s="5"/>
      <c r="J119" s="17">
        <v>624.44349999999997</v>
      </c>
      <c r="K119" s="18">
        <v>43.0379</v>
      </c>
      <c r="L119" s="18">
        <v>46.437399999999997</v>
      </c>
      <c r="M119" s="18">
        <v>46.727800000000002</v>
      </c>
      <c r="N119" s="18">
        <v>23.629799999999999</v>
      </c>
      <c r="O119" s="18">
        <f t="shared" si="7"/>
        <v>43.924075000000002</v>
      </c>
      <c r="P119" s="7"/>
      <c r="Q119" s="10"/>
      <c r="R119" s="11"/>
      <c r="S119" s="11"/>
      <c r="T119" s="26"/>
      <c r="U119" s="28">
        <f t="shared" si="8"/>
        <v>-0.2948433303491495</v>
      </c>
    </row>
    <row r="120" spans="2:21" ht="16.5" thickBot="1" x14ac:dyDescent="0.3">
      <c r="B120" s="12"/>
      <c r="C120" s="19">
        <v>496.73</v>
      </c>
      <c r="D120" s="20">
        <v>38.920999999999999</v>
      </c>
      <c r="E120" s="20">
        <v>41.582999999999998</v>
      </c>
      <c r="F120" s="20">
        <v>41.835000000000001</v>
      </c>
      <c r="G120" s="20">
        <v>44.33</v>
      </c>
      <c r="H120" s="20">
        <f t="shared" si="6"/>
        <v>39.618000000000002</v>
      </c>
      <c r="I120" s="5"/>
      <c r="J120" s="19">
        <v>354.8741</v>
      </c>
      <c r="K120" s="20">
        <v>38.706899999999997</v>
      </c>
      <c r="L120" s="20">
        <v>42.591500000000003</v>
      </c>
      <c r="M120" s="20">
        <v>42.894599999999997</v>
      </c>
      <c r="N120" s="20">
        <v>37.425899999999999</v>
      </c>
      <c r="O120" s="20">
        <f t="shared" si="7"/>
        <v>39.715937499999995</v>
      </c>
      <c r="P120" s="7"/>
      <c r="Q120" s="13"/>
      <c r="R120" s="14"/>
      <c r="S120" s="14"/>
      <c r="T120" s="27"/>
      <c r="U120" s="28">
        <f t="shared" si="8"/>
        <v>-0.15574328896909542</v>
      </c>
    </row>
    <row r="121" spans="2:21" x14ac:dyDescent="0.25">
      <c r="B121" s="6" t="s">
        <v>105</v>
      </c>
      <c r="C121" s="29">
        <v>2139.25</v>
      </c>
      <c r="D121" s="30">
        <v>34.572000000000003</v>
      </c>
      <c r="E121" s="30">
        <v>37.695999999999998</v>
      </c>
      <c r="F121" s="30">
        <v>36.637999999999998</v>
      </c>
      <c r="G121" s="16">
        <v>18.920000000000002</v>
      </c>
      <c r="H121" s="16">
        <f t="shared" si="6"/>
        <v>35.220750000000002</v>
      </c>
      <c r="I121" s="5"/>
      <c r="J121" s="29">
        <v>1512.8175000000001</v>
      </c>
      <c r="K121" s="30">
        <v>33.293999999999997</v>
      </c>
      <c r="L121" s="30">
        <v>37.912199999999999</v>
      </c>
      <c r="M121" s="30">
        <v>36.765500000000003</v>
      </c>
      <c r="N121" s="16">
        <v>15.364000000000001</v>
      </c>
      <c r="O121" s="16">
        <f t="shared" si="7"/>
        <v>34.305212499999996</v>
      </c>
      <c r="P121" s="7"/>
      <c r="Q121" s="8">
        <f>bdrate(C121:C124,D121:D124,J121:J124,K121:K124)</f>
        <v>-0.2148984056520421</v>
      </c>
      <c r="R121" s="8">
        <f>bdrate(C121:C124,E121:E124,J121:J124,L121:L124)</f>
        <v>-0.41109959214598024</v>
      </c>
      <c r="S121" s="8">
        <f>bdrate(C121:C124,F121:F124,J121:J124,M121:M124)</f>
        <v>-0.39015880127172364</v>
      </c>
      <c r="T121" s="25">
        <f>bdrate(C121:C124,H121:H124,J121:J124,O121:O124)</f>
        <v>-0.24694807984804346</v>
      </c>
      <c r="U121" s="28">
        <f t="shared" si="8"/>
        <v>-0.18794926004228332</v>
      </c>
    </row>
    <row r="122" spans="2:21" x14ac:dyDescent="0.25">
      <c r="B122" s="9"/>
      <c r="C122" s="31">
        <v>1417.85</v>
      </c>
      <c r="D122" s="32">
        <v>32.39</v>
      </c>
      <c r="E122" s="32">
        <v>36.406999999999996</v>
      </c>
      <c r="F122" s="32">
        <v>35.273000000000003</v>
      </c>
      <c r="G122" s="18">
        <v>22.31</v>
      </c>
      <c r="H122" s="18">
        <f t="shared" si="6"/>
        <v>33.252500000000005</v>
      </c>
      <c r="I122" s="5"/>
      <c r="J122" s="31">
        <v>1007.5997</v>
      </c>
      <c r="K122" s="32">
        <v>31.4192</v>
      </c>
      <c r="L122" s="32">
        <v>36.8217</v>
      </c>
      <c r="M122" s="32">
        <v>35.623199999999997</v>
      </c>
      <c r="N122" s="18">
        <v>17.808900000000001</v>
      </c>
      <c r="O122" s="18">
        <f t="shared" si="7"/>
        <v>32.620012500000001</v>
      </c>
      <c r="P122" s="7"/>
      <c r="Q122" s="10"/>
      <c r="R122" s="11"/>
      <c r="S122" s="11"/>
      <c r="T122" s="26"/>
      <c r="U122" s="28">
        <f t="shared" si="8"/>
        <v>-0.20175257731958754</v>
      </c>
    </row>
    <row r="123" spans="2:21" x14ac:dyDescent="0.25">
      <c r="B123" s="9"/>
      <c r="C123" s="31">
        <v>854.02</v>
      </c>
      <c r="D123" s="32">
        <v>29.693999999999999</v>
      </c>
      <c r="E123" s="32">
        <v>35.006999999999998</v>
      </c>
      <c r="F123" s="32">
        <v>33.783000000000001</v>
      </c>
      <c r="G123" s="18">
        <v>27.24</v>
      </c>
      <c r="H123" s="18">
        <f t="shared" si="6"/>
        <v>30.869250000000001</v>
      </c>
      <c r="I123" s="5"/>
      <c r="J123" s="31">
        <v>605.82799999999997</v>
      </c>
      <c r="K123" s="32">
        <v>29.241499999999998</v>
      </c>
      <c r="L123" s="32">
        <v>35.544600000000003</v>
      </c>
      <c r="M123" s="32">
        <v>34.257300000000001</v>
      </c>
      <c r="N123" s="18">
        <v>21.466899999999999</v>
      </c>
      <c r="O123" s="18">
        <f t="shared" si="7"/>
        <v>30.6563625</v>
      </c>
      <c r="P123" s="7"/>
      <c r="Q123" s="10"/>
      <c r="R123" s="11"/>
      <c r="S123" s="11"/>
      <c r="T123" s="26"/>
      <c r="U123" s="28">
        <f t="shared" si="8"/>
        <v>-0.21193465491923641</v>
      </c>
    </row>
    <row r="124" spans="2:21" ht="16.5" thickBot="1" x14ac:dyDescent="0.3">
      <c r="B124" s="12"/>
      <c r="C124" s="33">
        <v>397.82</v>
      </c>
      <c r="D124" s="34">
        <v>25.655999999999999</v>
      </c>
      <c r="E124" s="34">
        <v>33.104999999999997</v>
      </c>
      <c r="F124" s="34">
        <v>31.725999999999999</v>
      </c>
      <c r="G124" s="20">
        <v>37.39</v>
      </c>
      <c r="H124" s="20">
        <f t="shared" si="6"/>
        <v>27.345874999999996</v>
      </c>
      <c r="I124" s="5"/>
      <c r="J124" s="33">
        <v>303.70400000000001</v>
      </c>
      <c r="K124" s="34">
        <v>26.8674</v>
      </c>
      <c r="L124" s="34">
        <v>33.971299999999999</v>
      </c>
      <c r="M124" s="34">
        <v>32.556100000000001</v>
      </c>
      <c r="N124" s="20">
        <v>27.577300000000001</v>
      </c>
      <c r="O124" s="20">
        <f t="shared" si="7"/>
        <v>28.466475000000003</v>
      </c>
      <c r="P124" s="7"/>
      <c r="Q124" s="13"/>
      <c r="R124" s="14"/>
      <c r="S124" s="14"/>
      <c r="T124" s="27"/>
      <c r="U124" s="28">
        <f t="shared" si="8"/>
        <v>-0.26244182936614069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-0.32606859832268814</v>
      </c>
      <c r="R125" s="21">
        <f>AVERAGE(R9:R124)</f>
        <v>-0.56078326368097509</v>
      </c>
      <c r="S125" s="21">
        <f>AVERAGE(S9:S124)</f>
        <v>-0.56030906024411042</v>
      </c>
      <c r="T125" s="21">
        <f>AVERAGE(T9:T124)</f>
        <v>-0.37450906029628894</v>
      </c>
      <c r="U125" s="21">
        <f>AVERAGE(U9:U124)</f>
        <v>-3.4670013896151701E-2</v>
      </c>
    </row>
    <row r="127" spans="2:21" s="35" customFormat="1" ht="15.75" customHeight="1" x14ac:dyDescent="0.25">
      <c r="B127" s="61" t="s">
        <v>29</v>
      </c>
      <c r="C127" s="63" t="s">
        <v>193</v>
      </c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5"/>
    </row>
    <row r="128" spans="2:21" s="35" customFormat="1" x14ac:dyDescent="0.25">
      <c r="B128" s="62"/>
      <c r="C128" s="66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8"/>
    </row>
    <row r="129" spans="1:21" ht="16.5" customHeight="1" thickBot="1" x14ac:dyDescent="0.3">
      <c r="C129" s="69" t="s">
        <v>79</v>
      </c>
      <c r="D129" s="70"/>
      <c r="E129" s="70"/>
      <c r="F129" s="70"/>
      <c r="G129" s="70"/>
      <c r="H129" s="70"/>
      <c r="I129" s="5"/>
      <c r="J129" s="69" t="s">
        <v>182</v>
      </c>
      <c r="K129" s="70"/>
      <c r="L129" s="70"/>
      <c r="M129" s="70"/>
      <c r="N129" s="70"/>
      <c r="O129" s="70"/>
      <c r="Q129" s="69" t="s">
        <v>7</v>
      </c>
      <c r="R129" s="70"/>
      <c r="S129" s="71"/>
      <c r="T129" s="36"/>
      <c r="U129" s="7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2"/>
    </row>
    <row r="131" spans="1:21" x14ac:dyDescent="0.25">
      <c r="A131" s="6" t="s">
        <v>35</v>
      </c>
      <c r="B131" s="6" t="s">
        <v>46</v>
      </c>
      <c r="C131" s="15">
        <v>5642.82</v>
      </c>
      <c r="D131" s="16">
        <v>38.258000000000003</v>
      </c>
      <c r="E131" s="16">
        <v>39.287999999999997</v>
      </c>
      <c r="F131" s="16">
        <v>41.706000000000003</v>
      </c>
      <c r="G131" s="16">
        <v>16</v>
      </c>
      <c r="H131" s="16">
        <f t="shared" ref="H131:H202" si="9">(6*D131+E131+F131)/8</f>
        <v>38.817750000000004</v>
      </c>
      <c r="I131" s="5"/>
      <c r="J131" s="15">
        <v>4127.1696000000002</v>
      </c>
      <c r="K131" s="16">
        <v>38.478299999999997</v>
      </c>
      <c r="L131" s="16">
        <v>40.244300000000003</v>
      </c>
      <c r="M131" s="16">
        <v>42.994300000000003</v>
      </c>
      <c r="N131" s="16">
        <v>14.6585</v>
      </c>
      <c r="O131" s="16">
        <f t="shared" ref="O131:O202" si="10">(6*K131+L131+M131)/8</f>
        <v>39.263550000000002</v>
      </c>
      <c r="P131" s="7"/>
      <c r="Q131" s="8">
        <f>bdrate(C131:C134,D131:D134,J131:J134,K131:K134)</f>
        <v>-0.38149689302980538</v>
      </c>
      <c r="R131" s="8">
        <f>bdrate(C131:C134,E131:E134,J131:J134,L131:L134)</f>
        <v>-0.61160691276672763</v>
      </c>
      <c r="S131" s="8">
        <f>bdrate(C131:C134,F131:F134,J131:J134,M131:M134)</f>
        <v>-0.60410608985972702</v>
      </c>
      <c r="T131" s="25">
        <f>bdrate(C131:C134,H131:H134,J131:J134,O131:O134)</f>
        <v>-0.41994505479544597</v>
      </c>
      <c r="U131" s="28">
        <f t="shared" ref="U131:U194" si="11">(N131-G131)/G131</f>
        <v>-8.3843749999999995E-2</v>
      </c>
    </row>
    <row r="132" spans="1:21" x14ac:dyDescent="0.25">
      <c r="A132" s="9" t="s">
        <v>36</v>
      </c>
      <c r="B132" s="9"/>
      <c r="C132" s="17">
        <v>4180.51</v>
      </c>
      <c r="D132" s="18">
        <v>37.234000000000002</v>
      </c>
      <c r="E132" s="18">
        <v>38.744999999999997</v>
      </c>
      <c r="F132" s="18">
        <v>41.143999999999998</v>
      </c>
      <c r="G132" s="18">
        <v>17.940000000000001</v>
      </c>
      <c r="H132" s="18">
        <f t="shared" si="9"/>
        <v>37.911625000000001</v>
      </c>
      <c r="I132" s="5"/>
      <c r="J132" s="17">
        <v>3041.1296000000002</v>
      </c>
      <c r="K132" s="18">
        <v>37.549199999999999</v>
      </c>
      <c r="L132" s="18">
        <v>39.770800000000001</v>
      </c>
      <c r="M132" s="18">
        <v>42.358199999999997</v>
      </c>
      <c r="N132" s="18">
        <v>20.2867</v>
      </c>
      <c r="O132" s="18">
        <f t="shared" si="10"/>
        <v>38.428024999999998</v>
      </c>
      <c r="P132" s="7"/>
      <c r="Q132" s="10"/>
      <c r="R132" s="11"/>
      <c r="S132" s="11"/>
      <c r="T132" s="26"/>
      <c r="U132" s="28">
        <f t="shared" si="11"/>
        <v>0.1308082497212931</v>
      </c>
    </row>
    <row r="133" spans="1:21" x14ac:dyDescent="0.25">
      <c r="B133" s="9"/>
      <c r="C133" s="17">
        <v>2746.69</v>
      </c>
      <c r="D133" s="18">
        <v>35.610999999999997</v>
      </c>
      <c r="E133" s="18">
        <v>38.029000000000003</v>
      </c>
      <c r="F133" s="18">
        <v>40.390999999999998</v>
      </c>
      <c r="G133" s="18">
        <v>20.95</v>
      </c>
      <c r="H133" s="18">
        <f t="shared" si="9"/>
        <v>36.510750000000002</v>
      </c>
      <c r="I133" s="5"/>
      <c r="J133" s="17">
        <v>1979.32</v>
      </c>
      <c r="K133" s="18">
        <v>36.144199999999998</v>
      </c>
      <c r="L133" s="18">
        <v>39.1004</v>
      </c>
      <c r="M133" s="18">
        <v>41.540799999999997</v>
      </c>
      <c r="N133" s="18">
        <v>24.1585</v>
      </c>
      <c r="O133" s="18">
        <f t="shared" si="10"/>
        <v>37.188299999999998</v>
      </c>
      <c r="P133" s="7"/>
      <c r="Q133" s="10"/>
      <c r="R133" s="11"/>
      <c r="S133" s="11"/>
      <c r="T133" s="26"/>
      <c r="U133" s="28">
        <f t="shared" si="11"/>
        <v>0.15315035799522678</v>
      </c>
    </row>
    <row r="134" spans="1:21" ht="16.5" thickBot="1" x14ac:dyDescent="0.3">
      <c r="B134" s="12"/>
      <c r="C134" s="19">
        <v>1357.28</v>
      </c>
      <c r="D134" s="20">
        <v>32.335000000000001</v>
      </c>
      <c r="E134" s="20">
        <v>36.878</v>
      </c>
      <c r="F134" s="20">
        <v>39.213000000000001</v>
      </c>
      <c r="G134" s="20">
        <v>26.64</v>
      </c>
      <c r="H134" s="20">
        <f t="shared" si="9"/>
        <v>33.762625</v>
      </c>
      <c r="I134" s="5"/>
      <c r="J134" s="19">
        <v>923.71839999999997</v>
      </c>
      <c r="K134" s="20">
        <v>33.431800000000003</v>
      </c>
      <c r="L134" s="20">
        <v>37.732300000000002</v>
      </c>
      <c r="M134" s="20">
        <v>39.9955</v>
      </c>
      <c r="N134" s="20">
        <v>31.732600000000001</v>
      </c>
      <c r="O134" s="20">
        <f t="shared" si="10"/>
        <v>34.789825</v>
      </c>
      <c r="P134" s="7"/>
      <c r="Q134" s="13"/>
      <c r="R134" s="14"/>
      <c r="S134" s="14"/>
      <c r="T134" s="27"/>
      <c r="U134" s="28">
        <f t="shared" si="11"/>
        <v>0.19116366366366369</v>
      </c>
    </row>
    <row r="135" spans="1:21" x14ac:dyDescent="0.25">
      <c r="B135" s="6" t="s">
        <v>47</v>
      </c>
      <c r="C135" s="15">
        <v>6382.41</v>
      </c>
      <c r="D135" s="16">
        <v>30.748999999999999</v>
      </c>
      <c r="E135" s="16">
        <v>39.985999999999997</v>
      </c>
      <c r="F135" s="16">
        <v>40.732999999999997</v>
      </c>
      <c r="G135" s="16">
        <v>14.2</v>
      </c>
      <c r="H135" s="16">
        <f t="shared" si="9"/>
        <v>33.151624999999996</v>
      </c>
      <c r="I135" s="5"/>
      <c r="J135" s="15">
        <v>4177.3648000000003</v>
      </c>
      <c r="K135" s="16">
        <v>29.919899999999998</v>
      </c>
      <c r="L135" s="16">
        <v>40.8628</v>
      </c>
      <c r="M135" s="16">
        <v>41.668799999999997</v>
      </c>
      <c r="N135" s="16">
        <v>10.8893</v>
      </c>
      <c r="O135" s="16">
        <f t="shared" si="10"/>
        <v>32.756374999999998</v>
      </c>
      <c r="P135" s="7"/>
      <c r="Q135" s="8">
        <f>bdrate(C135:C138,D135:D138,J135:J138,K135:K138)</f>
        <v>-0.30261190985202779</v>
      </c>
      <c r="R135" s="8">
        <f>bdrate(C135:C138,E135:E138,J135:J138,L135:L138)</f>
        <v>-0.55903384681787549</v>
      </c>
      <c r="S135" s="8">
        <f>bdrate(C135:C138,F135:F138,J135:J138,M135:M138)</f>
        <v>-0.62232202504947776</v>
      </c>
      <c r="T135" s="25">
        <f>bdrate(C135:C138,H135:H138,J135:J138,O135:O138)</f>
        <v>-0.34431214736180982</v>
      </c>
      <c r="U135" s="28">
        <f t="shared" si="11"/>
        <v>-0.23314788732394359</v>
      </c>
    </row>
    <row r="136" spans="1:21" x14ac:dyDescent="0.25">
      <c r="B136" s="9"/>
      <c r="C136" s="17">
        <v>4785.9399999999996</v>
      </c>
      <c r="D136" s="18">
        <v>29.222000000000001</v>
      </c>
      <c r="E136" s="18">
        <v>39.450000000000003</v>
      </c>
      <c r="F136" s="18">
        <v>40.213000000000001</v>
      </c>
      <c r="G136" s="18">
        <v>15.84</v>
      </c>
      <c r="H136" s="18">
        <f t="shared" si="9"/>
        <v>31.874374999999997</v>
      </c>
      <c r="I136" s="5"/>
      <c r="J136" s="17">
        <v>3080.672</v>
      </c>
      <c r="K136" s="18">
        <v>28.553000000000001</v>
      </c>
      <c r="L136" s="18">
        <v>40.321100000000001</v>
      </c>
      <c r="M136" s="18">
        <v>41.238</v>
      </c>
      <c r="N136" s="18">
        <v>14.2653</v>
      </c>
      <c r="O136" s="18">
        <f t="shared" si="10"/>
        <v>31.609637500000002</v>
      </c>
      <c r="P136" s="7"/>
      <c r="Q136" s="10"/>
      <c r="R136" s="11"/>
      <c r="S136" s="11"/>
      <c r="T136" s="26"/>
      <c r="U136" s="28">
        <f t="shared" si="11"/>
        <v>-9.9412878787878786E-2</v>
      </c>
    </row>
    <row r="137" spans="1:21" x14ac:dyDescent="0.25">
      <c r="B137" s="9"/>
      <c r="C137" s="17">
        <v>3208.22</v>
      </c>
      <c r="D137" s="18">
        <v>27.085000000000001</v>
      </c>
      <c r="E137" s="18">
        <v>38.756999999999998</v>
      </c>
      <c r="F137" s="18">
        <v>39.557000000000002</v>
      </c>
      <c r="G137" s="18">
        <v>18.38</v>
      </c>
      <c r="H137" s="18">
        <f t="shared" si="9"/>
        <v>30.103000000000002</v>
      </c>
      <c r="I137" s="5"/>
      <c r="J137" s="17">
        <v>2085.2800000000002</v>
      </c>
      <c r="K137" s="18">
        <v>26.878799999999998</v>
      </c>
      <c r="L137" s="18">
        <v>39.572299999999998</v>
      </c>
      <c r="M137" s="18">
        <v>40.598599999999998</v>
      </c>
      <c r="N137" s="18">
        <v>16.3809</v>
      </c>
      <c r="O137" s="18">
        <f t="shared" si="10"/>
        <v>30.180462500000001</v>
      </c>
      <c r="P137" s="7"/>
      <c r="Q137" s="10"/>
      <c r="R137" s="11"/>
      <c r="S137" s="11"/>
      <c r="T137" s="26"/>
      <c r="U137" s="28">
        <f t="shared" si="11"/>
        <v>-0.10876496191512507</v>
      </c>
    </row>
    <row r="138" spans="1:21" ht="16.5" thickBot="1" x14ac:dyDescent="0.3">
      <c r="B138" s="12"/>
      <c r="C138" s="19">
        <v>1590.89</v>
      </c>
      <c r="D138" s="20">
        <v>23.814</v>
      </c>
      <c r="E138" s="20">
        <v>37.646999999999998</v>
      </c>
      <c r="F138" s="20">
        <v>38.527999999999999</v>
      </c>
      <c r="G138" s="20">
        <v>22.1</v>
      </c>
      <c r="H138" s="20">
        <f t="shared" si="9"/>
        <v>27.382375</v>
      </c>
      <c r="I138" s="5"/>
      <c r="J138" s="19">
        <v>1404.1343999999999</v>
      </c>
      <c r="K138" s="20">
        <v>25.6004</v>
      </c>
      <c r="L138" s="20">
        <v>38.424900000000001</v>
      </c>
      <c r="M138" s="20">
        <v>39.549399999999999</v>
      </c>
      <c r="N138" s="20">
        <v>17.7075</v>
      </c>
      <c r="O138" s="20">
        <f t="shared" si="10"/>
        <v>28.947087499999999</v>
      </c>
      <c r="P138" s="7"/>
      <c r="Q138" s="13"/>
      <c r="R138" s="14"/>
      <c r="S138" s="14"/>
      <c r="T138" s="27"/>
      <c r="U138" s="28">
        <f t="shared" si="11"/>
        <v>-0.19875565610859736</v>
      </c>
    </row>
    <row r="139" spans="1:21" x14ac:dyDescent="0.25">
      <c r="A139" s="6" t="s">
        <v>37</v>
      </c>
      <c r="B139" s="6" t="s">
        <v>48</v>
      </c>
      <c r="C139" s="15">
        <v>3040.01</v>
      </c>
      <c r="D139" s="16">
        <v>39.249000000000002</v>
      </c>
      <c r="E139" s="16">
        <v>41.972000000000001</v>
      </c>
      <c r="F139" s="16">
        <v>43.122999999999998</v>
      </c>
      <c r="G139" s="16">
        <v>24.77</v>
      </c>
      <c r="H139" s="16">
        <f t="shared" si="9"/>
        <v>40.073625</v>
      </c>
      <c r="I139" s="5"/>
      <c r="J139" s="15">
        <v>2363.7791999999999</v>
      </c>
      <c r="K139" s="16">
        <v>39.388500000000001</v>
      </c>
      <c r="L139" s="16">
        <v>42.432200000000002</v>
      </c>
      <c r="M139" s="16">
        <v>44.1008</v>
      </c>
      <c r="N139" s="16">
        <v>25.985299999999999</v>
      </c>
      <c r="O139" s="16">
        <f t="shared" si="10"/>
        <v>40.358000000000004</v>
      </c>
      <c r="P139" s="7"/>
      <c r="Q139" s="8">
        <f>bdrate(C139:C142,D139:D142,J139:J142,K139:K142)</f>
        <v>-0.34329663495756946</v>
      </c>
      <c r="R139" s="8">
        <f>bdrate(C139:C142,E139:E142,J139:J142,L139:L142)</f>
        <v>-0.48442202669879841</v>
      </c>
      <c r="S139" s="8">
        <f>bdrate(C139:C142,F139:F142,J139:J142,M139:M142)</f>
        <v>-0.56341472728812247</v>
      </c>
      <c r="T139" s="25">
        <f>bdrate(C139:C142,H139:H142,J139:J142,O139:O142)</f>
        <v>-0.37309471710599007</v>
      </c>
      <c r="U139" s="28">
        <f t="shared" si="11"/>
        <v>4.9063383124747645E-2</v>
      </c>
    </row>
    <row r="140" spans="1:21" x14ac:dyDescent="0.25">
      <c r="A140" s="9" t="s">
        <v>38</v>
      </c>
      <c r="B140" s="9"/>
      <c r="C140" s="17">
        <v>1998.54</v>
      </c>
      <c r="D140" s="18">
        <v>37.835999999999999</v>
      </c>
      <c r="E140" s="18">
        <v>41.258000000000003</v>
      </c>
      <c r="F140" s="18">
        <v>42.27</v>
      </c>
      <c r="G140" s="18">
        <v>29.81</v>
      </c>
      <c r="H140" s="18">
        <f t="shared" si="9"/>
        <v>38.817999999999998</v>
      </c>
      <c r="I140" s="5"/>
      <c r="J140" s="17">
        <v>1560.7167999999999</v>
      </c>
      <c r="K140" s="18">
        <v>38.242899999999999</v>
      </c>
      <c r="L140" s="18">
        <v>41.847200000000001</v>
      </c>
      <c r="M140" s="18">
        <v>43.314999999999998</v>
      </c>
      <c r="N140" s="18">
        <v>36.281199999999998</v>
      </c>
      <c r="O140" s="18">
        <f t="shared" si="10"/>
        <v>39.327449999999999</v>
      </c>
      <c r="P140" s="7"/>
      <c r="Q140" s="10"/>
      <c r="R140" s="11"/>
      <c r="S140" s="11"/>
      <c r="T140" s="26"/>
      <c r="U140" s="28">
        <f t="shared" si="11"/>
        <v>0.21708151626970815</v>
      </c>
    </row>
    <row r="141" spans="1:21" x14ac:dyDescent="0.25">
      <c r="B141" s="9"/>
      <c r="C141" s="17">
        <v>1239.45</v>
      </c>
      <c r="D141" s="18">
        <v>35.96</v>
      </c>
      <c r="E141" s="18">
        <v>40.42</v>
      </c>
      <c r="F141" s="18">
        <v>41.393999999999998</v>
      </c>
      <c r="G141" s="18">
        <v>35.86</v>
      </c>
      <c r="H141" s="18">
        <f t="shared" si="9"/>
        <v>37.196750000000002</v>
      </c>
      <c r="I141" s="5"/>
      <c r="J141" s="17">
        <v>970.49919999999997</v>
      </c>
      <c r="K141" s="18">
        <v>36.738500000000002</v>
      </c>
      <c r="L141" s="18">
        <v>41.143500000000003</v>
      </c>
      <c r="M141" s="18">
        <v>42.44</v>
      </c>
      <c r="N141" s="18">
        <v>44.985900000000001</v>
      </c>
      <c r="O141" s="18">
        <f t="shared" si="10"/>
        <v>38.0018125</v>
      </c>
      <c r="P141" s="7"/>
      <c r="Q141" s="10"/>
      <c r="R141" s="11"/>
      <c r="S141" s="11"/>
      <c r="T141" s="26"/>
      <c r="U141" s="28">
        <f t="shared" si="11"/>
        <v>0.25448689347462355</v>
      </c>
    </row>
    <row r="142" spans="1:21" ht="16.5" thickBot="1" x14ac:dyDescent="0.3">
      <c r="B142" s="12"/>
      <c r="C142" s="19">
        <v>738.33</v>
      </c>
      <c r="D142" s="20">
        <v>33.643999999999998</v>
      </c>
      <c r="E142" s="20">
        <v>39.576999999999998</v>
      </c>
      <c r="F142" s="20">
        <v>40.578000000000003</v>
      </c>
      <c r="G142" s="20">
        <v>44.73</v>
      </c>
      <c r="H142" s="20">
        <f t="shared" si="9"/>
        <v>35.252375000000001</v>
      </c>
      <c r="I142" s="5"/>
      <c r="J142" s="19">
        <v>567.45039999999995</v>
      </c>
      <c r="K142" s="20">
        <v>34.921799999999998</v>
      </c>
      <c r="L142" s="20">
        <v>40.4071</v>
      </c>
      <c r="M142" s="20">
        <v>41.668700000000001</v>
      </c>
      <c r="N142" s="20">
        <v>56.153500000000001</v>
      </c>
      <c r="O142" s="20">
        <f t="shared" si="10"/>
        <v>36.450825000000002</v>
      </c>
      <c r="P142" s="7"/>
      <c r="Q142" s="13"/>
      <c r="R142" s="14"/>
      <c r="S142" s="14"/>
      <c r="T142" s="27"/>
      <c r="U142" s="28">
        <f t="shared" si="11"/>
        <v>0.25538788285267172</v>
      </c>
    </row>
    <row r="143" spans="1:21" x14ac:dyDescent="0.25">
      <c r="B143" s="6" t="s">
        <v>49</v>
      </c>
      <c r="C143" s="15">
        <v>3398.24</v>
      </c>
      <c r="D143" s="16">
        <v>36.773000000000003</v>
      </c>
      <c r="E143" s="16">
        <v>39.566000000000003</v>
      </c>
      <c r="F143" s="16">
        <v>40.707999999999998</v>
      </c>
      <c r="G143" s="16">
        <v>25.05</v>
      </c>
      <c r="H143" s="16">
        <f t="shared" si="9"/>
        <v>37.614000000000004</v>
      </c>
      <c r="I143" s="5"/>
      <c r="J143" s="15">
        <v>2547.2647999999999</v>
      </c>
      <c r="K143" s="16">
        <v>36.552300000000002</v>
      </c>
      <c r="L143" s="16">
        <v>40.862900000000003</v>
      </c>
      <c r="M143" s="16">
        <v>42.23</v>
      </c>
      <c r="N143" s="16">
        <v>24.852399999999999</v>
      </c>
      <c r="O143" s="16">
        <f t="shared" si="10"/>
        <v>37.800837500000007</v>
      </c>
      <c r="P143" s="7"/>
      <c r="Q143" s="8">
        <f>bdrate(C143:C146,D143:D146,J143:J146,K143:K146)</f>
        <v>-0.28595864494850165</v>
      </c>
      <c r="R143" s="8">
        <f>bdrate(C143:C146,E143:E146,J143:J146,L143:L146)</f>
        <v>-0.61312726200266343</v>
      </c>
      <c r="S143" s="8">
        <f>bdrate(C143:C146,F143:F146,J143:J146,M143:M146)</f>
        <v>-0.61317251803806117</v>
      </c>
      <c r="T143" s="25">
        <f>bdrate(C143:C146,H143:H146,J143:J146,O143:O146)</f>
        <v>-0.34623858716611633</v>
      </c>
      <c r="U143" s="28">
        <f t="shared" si="11"/>
        <v>-7.8882235528942649E-3</v>
      </c>
    </row>
    <row r="144" spans="1:21" x14ac:dyDescent="0.25">
      <c r="B144" s="9"/>
      <c r="C144" s="17">
        <v>2244.5100000000002</v>
      </c>
      <c r="D144" s="18">
        <v>35.347999999999999</v>
      </c>
      <c r="E144" s="18">
        <v>38.786000000000001</v>
      </c>
      <c r="F144" s="18">
        <v>40.052</v>
      </c>
      <c r="G144" s="18">
        <v>29.14</v>
      </c>
      <c r="H144" s="18">
        <f t="shared" si="9"/>
        <v>36.365749999999998</v>
      </c>
      <c r="I144" s="5"/>
      <c r="J144" s="17">
        <v>1672.9608000000001</v>
      </c>
      <c r="K144" s="18">
        <v>35.326799999999999</v>
      </c>
      <c r="L144" s="18">
        <v>40.0227</v>
      </c>
      <c r="M144" s="18">
        <v>41.235100000000003</v>
      </c>
      <c r="N144" s="18">
        <v>33.370399999999997</v>
      </c>
      <c r="O144" s="18">
        <f t="shared" si="10"/>
        <v>36.652324999999998</v>
      </c>
      <c r="P144" s="7"/>
      <c r="Q144" s="10"/>
      <c r="R144" s="11"/>
      <c r="S144" s="11"/>
      <c r="T144" s="26"/>
      <c r="U144" s="28">
        <f t="shared" si="11"/>
        <v>0.14517501715854481</v>
      </c>
    </row>
    <row r="145" spans="1:21" x14ac:dyDescent="0.25">
      <c r="B145" s="9"/>
      <c r="C145" s="17">
        <v>1393.74</v>
      </c>
      <c r="D145" s="18">
        <v>33.604999999999997</v>
      </c>
      <c r="E145" s="18">
        <v>38</v>
      </c>
      <c r="F145" s="18">
        <v>39.401000000000003</v>
      </c>
      <c r="G145" s="18">
        <v>34.729999999999997</v>
      </c>
      <c r="H145" s="18">
        <f t="shared" si="9"/>
        <v>34.878875000000001</v>
      </c>
      <c r="I145" s="5"/>
      <c r="J145" s="17">
        <v>1033.5904</v>
      </c>
      <c r="K145" s="18">
        <v>33.857999999999997</v>
      </c>
      <c r="L145" s="18">
        <v>39.139200000000002</v>
      </c>
      <c r="M145" s="18">
        <v>40.361199999999997</v>
      </c>
      <c r="N145" s="18">
        <v>40.913699999999999</v>
      </c>
      <c r="O145" s="18">
        <f t="shared" si="10"/>
        <v>35.331049999999998</v>
      </c>
      <c r="P145" s="7"/>
      <c r="Q145" s="10"/>
      <c r="R145" s="11"/>
      <c r="S145" s="11"/>
      <c r="T145" s="26"/>
      <c r="U145" s="28">
        <f t="shared" si="11"/>
        <v>0.17805067664843083</v>
      </c>
    </row>
    <row r="146" spans="1:21" ht="16.5" thickBot="1" x14ac:dyDescent="0.3">
      <c r="B146" s="12"/>
      <c r="C146" s="19">
        <v>835.79</v>
      </c>
      <c r="D146" s="20">
        <v>31.689</v>
      </c>
      <c r="E146" s="20">
        <v>37.235999999999997</v>
      </c>
      <c r="F146" s="20">
        <v>38.777999999999999</v>
      </c>
      <c r="G146" s="20">
        <v>42.15</v>
      </c>
      <c r="H146" s="20">
        <f t="shared" si="9"/>
        <v>33.268500000000003</v>
      </c>
      <c r="I146" s="5"/>
      <c r="J146" s="19">
        <v>621.60159999999996</v>
      </c>
      <c r="K146" s="20">
        <v>32.2605</v>
      </c>
      <c r="L146" s="20">
        <v>38.133400000000002</v>
      </c>
      <c r="M146" s="20">
        <v>39.490900000000003</v>
      </c>
      <c r="N146" s="20">
        <v>48.999600000000001</v>
      </c>
      <c r="O146" s="20">
        <f t="shared" si="10"/>
        <v>33.898412499999999</v>
      </c>
      <c r="P146" s="7"/>
      <c r="Q146" s="13"/>
      <c r="R146" s="14"/>
      <c r="S146" s="14"/>
      <c r="T146" s="27"/>
      <c r="U146" s="28">
        <f t="shared" si="11"/>
        <v>0.16250533807829187</v>
      </c>
    </row>
    <row r="147" spans="1:21" x14ac:dyDescent="0.25">
      <c r="B147" s="6" t="s">
        <v>50</v>
      </c>
      <c r="C147" s="15">
        <v>3521.68</v>
      </c>
      <c r="D147" s="16">
        <v>34.689</v>
      </c>
      <c r="E147" s="16">
        <v>38.165999999999997</v>
      </c>
      <c r="F147" s="16">
        <v>39.889000000000003</v>
      </c>
      <c r="G147" s="16">
        <v>34.69</v>
      </c>
      <c r="H147" s="16">
        <f t="shared" si="9"/>
        <v>35.773625000000003</v>
      </c>
      <c r="I147" s="5"/>
      <c r="J147" s="15">
        <v>2409.3784000000001</v>
      </c>
      <c r="K147" s="16">
        <v>34.856699999999996</v>
      </c>
      <c r="L147" s="16">
        <v>38.751399999999997</v>
      </c>
      <c r="M147" s="16">
        <v>41.232599999999998</v>
      </c>
      <c r="N147" s="16">
        <v>36.421900000000001</v>
      </c>
      <c r="O147" s="16">
        <f t="shared" si="10"/>
        <v>36.140524999999997</v>
      </c>
      <c r="P147" s="7"/>
      <c r="Q147" s="8">
        <f>bdrate(C147:C150,D147:D150,J147:J150,K147:K150)</f>
        <v>-0.42618023523186266</v>
      </c>
      <c r="R147" s="8">
        <f>bdrate(C147:C150,E147:E150,J147:J150,L147:L150)</f>
        <v>-0.63526496632114271</v>
      </c>
      <c r="S147" s="8">
        <f>bdrate(C147:C150,F147:F150,J147:J150,M147:M150)</f>
        <v>-0.66016629187717657</v>
      </c>
      <c r="T147" s="25">
        <f>bdrate(C147:C150,H147:H150,J147:J150,O147:O150)</f>
        <v>-0.46515933982117263</v>
      </c>
      <c r="U147" s="28">
        <f t="shared" si="11"/>
        <v>4.9925050446814737E-2</v>
      </c>
    </row>
    <row r="148" spans="1:21" x14ac:dyDescent="0.25">
      <c r="B148" s="9"/>
      <c r="C148" s="17">
        <v>2345.27</v>
      </c>
      <c r="D148" s="18">
        <v>33.277000000000001</v>
      </c>
      <c r="E148" s="18">
        <v>37.616</v>
      </c>
      <c r="F148" s="18">
        <v>39.000999999999998</v>
      </c>
      <c r="G148" s="18">
        <v>40.78</v>
      </c>
      <c r="H148" s="18">
        <f t="shared" si="9"/>
        <v>34.534875</v>
      </c>
      <c r="I148" s="5"/>
      <c r="J148" s="17">
        <v>1603.4544000000001</v>
      </c>
      <c r="K148" s="18">
        <v>33.716000000000001</v>
      </c>
      <c r="L148" s="18">
        <v>38.330300000000001</v>
      </c>
      <c r="M148" s="18">
        <v>40.424399999999999</v>
      </c>
      <c r="N148" s="18">
        <v>48.487200000000001</v>
      </c>
      <c r="O148" s="18">
        <f t="shared" si="10"/>
        <v>35.131337500000001</v>
      </c>
      <c r="P148" s="7"/>
      <c r="Q148" s="10"/>
      <c r="R148" s="11"/>
      <c r="S148" s="11"/>
      <c r="T148" s="26"/>
      <c r="U148" s="28">
        <f t="shared" si="11"/>
        <v>0.18899460519862679</v>
      </c>
    </row>
    <row r="149" spans="1:21" x14ac:dyDescent="0.25">
      <c r="B149" s="9"/>
      <c r="C149" s="17">
        <v>1461.91</v>
      </c>
      <c r="D149" s="18">
        <v>31.431000000000001</v>
      </c>
      <c r="E149" s="18">
        <v>36.945</v>
      </c>
      <c r="F149" s="18">
        <v>37.889000000000003</v>
      </c>
      <c r="G149" s="18">
        <v>50</v>
      </c>
      <c r="H149" s="18">
        <f t="shared" si="9"/>
        <v>32.927500000000002</v>
      </c>
      <c r="I149" s="5"/>
      <c r="J149" s="17">
        <v>1001.6952</v>
      </c>
      <c r="K149" s="18">
        <v>32.195900000000002</v>
      </c>
      <c r="L149" s="18">
        <v>37.818800000000003</v>
      </c>
      <c r="M149" s="18">
        <v>39.478000000000002</v>
      </c>
      <c r="N149" s="18">
        <v>58.486400000000003</v>
      </c>
      <c r="O149" s="18">
        <f t="shared" si="10"/>
        <v>33.809025000000005</v>
      </c>
      <c r="P149" s="7"/>
      <c r="Q149" s="10"/>
      <c r="R149" s="11"/>
      <c r="S149" s="11"/>
      <c r="T149" s="26"/>
      <c r="U149" s="28">
        <f t="shared" si="11"/>
        <v>0.16972800000000007</v>
      </c>
    </row>
    <row r="150" spans="1:21" ht="16.5" thickBot="1" x14ac:dyDescent="0.3">
      <c r="B150" s="12"/>
      <c r="C150" s="19">
        <v>878.21</v>
      </c>
      <c r="D150" s="20">
        <v>29.23</v>
      </c>
      <c r="E150" s="20">
        <v>36.234999999999999</v>
      </c>
      <c r="F150" s="20">
        <v>36.71</v>
      </c>
      <c r="G150" s="20">
        <v>60.47</v>
      </c>
      <c r="H150" s="20">
        <f t="shared" si="9"/>
        <v>31.040625000000002</v>
      </c>
      <c r="I150" s="5"/>
      <c r="J150" s="19">
        <v>588.88480000000004</v>
      </c>
      <c r="K150" s="20">
        <v>30.444500000000001</v>
      </c>
      <c r="L150" s="20">
        <v>37.134399999999999</v>
      </c>
      <c r="M150" s="20">
        <v>38.369500000000002</v>
      </c>
      <c r="N150" s="20">
        <v>71.551199999999994</v>
      </c>
      <c r="O150" s="20">
        <f t="shared" si="10"/>
        <v>32.271362500000002</v>
      </c>
      <c r="P150" s="7"/>
      <c r="Q150" s="13"/>
      <c r="R150" s="14"/>
      <c r="S150" s="14"/>
      <c r="T150" s="27"/>
      <c r="U150" s="28">
        <f t="shared" si="11"/>
        <v>0.18325119894162387</v>
      </c>
    </row>
    <row r="151" spans="1:21" x14ac:dyDescent="0.25">
      <c r="B151" s="6" t="s">
        <v>51</v>
      </c>
      <c r="C151" s="29">
        <v>3587.46</v>
      </c>
      <c r="D151" s="30">
        <v>34.334000000000003</v>
      </c>
      <c r="E151" s="30">
        <v>39.991999999999997</v>
      </c>
      <c r="F151" s="30">
        <v>39.726999999999997</v>
      </c>
      <c r="G151" s="16">
        <v>33.14</v>
      </c>
      <c r="H151" s="16">
        <f t="shared" si="9"/>
        <v>35.715375000000002</v>
      </c>
      <c r="I151" s="5"/>
      <c r="J151" s="29">
        <v>2458.9567999999999</v>
      </c>
      <c r="K151" s="30">
        <v>34.580800000000004</v>
      </c>
      <c r="L151" s="30">
        <v>41.157200000000003</v>
      </c>
      <c r="M151" s="30">
        <v>40.920099999999998</v>
      </c>
      <c r="N151" s="16">
        <v>32.671199999999999</v>
      </c>
      <c r="O151" s="16">
        <f t="shared" si="10"/>
        <v>36.195262499999998</v>
      </c>
      <c r="P151" s="7"/>
      <c r="Q151" s="8">
        <f>bdrate(C151:C154,D151:D154,J151:J154,K151:K154)</f>
        <v>-0.44978503017024052</v>
      </c>
      <c r="R151" s="8">
        <f>bdrate(C151:C154,E151:E154,J151:J154,L151:L154)</f>
        <v>-0.68271493213189505</v>
      </c>
      <c r="S151" s="8">
        <f>bdrate(C151:C154,F151:F154,J151:J154,M151:M154)</f>
        <v>-0.61223238511088174</v>
      </c>
      <c r="T151" s="25">
        <f>bdrate(C151:C154,H151:H154,J151:J154,O151:O154)</f>
        <v>-0.4876406468976604</v>
      </c>
      <c r="U151" s="28">
        <f t="shared" si="11"/>
        <v>-1.4146047073023586E-2</v>
      </c>
    </row>
    <row r="152" spans="1:21" x14ac:dyDescent="0.25">
      <c r="B152" s="9"/>
      <c r="C152" s="31">
        <v>2373.6</v>
      </c>
      <c r="D152" s="32">
        <v>32.634</v>
      </c>
      <c r="E152" s="32">
        <v>39.081000000000003</v>
      </c>
      <c r="F152" s="32">
        <v>38.593000000000004</v>
      </c>
      <c r="G152" s="18">
        <v>40.020000000000003</v>
      </c>
      <c r="H152" s="18">
        <f t="shared" si="9"/>
        <v>34.184750000000001</v>
      </c>
      <c r="I152" s="5"/>
      <c r="J152" s="31">
        <v>1630.2472</v>
      </c>
      <c r="K152" s="32">
        <v>33.244199999999999</v>
      </c>
      <c r="L152" s="32">
        <v>40.490299999999998</v>
      </c>
      <c r="M152" s="32">
        <v>39.988</v>
      </c>
      <c r="N152" s="18">
        <v>41.305199999999999</v>
      </c>
      <c r="O152" s="18">
        <f t="shared" si="10"/>
        <v>34.992937499999996</v>
      </c>
      <c r="P152" s="7"/>
      <c r="Q152" s="10"/>
      <c r="R152" s="11"/>
      <c r="S152" s="11"/>
      <c r="T152" s="26"/>
      <c r="U152" s="28">
        <f t="shared" si="11"/>
        <v>3.2113943028485657E-2</v>
      </c>
    </row>
    <row r="153" spans="1:21" x14ac:dyDescent="0.25">
      <c r="B153" s="9"/>
      <c r="C153" s="31">
        <v>1476.59</v>
      </c>
      <c r="D153" s="32">
        <v>30.367000000000001</v>
      </c>
      <c r="E153" s="32">
        <v>38.009</v>
      </c>
      <c r="F153" s="32">
        <v>37.212000000000003</v>
      </c>
      <c r="G153" s="18">
        <v>50.16</v>
      </c>
      <c r="H153" s="18">
        <f t="shared" si="9"/>
        <v>32.177875</v>
      </c>
      <c r="I153" s="5"/>
      <c r="J153" s="31">
        <v>1013.5152</v>
      </c>
      <c r="K153" s="32">
        <v>31.572299999999998</v>
      </c>
      <c r="L153" s="32">
        <v>39.698399999999999</v>
      </c>
      <c r="M153" s="32">
        <v>38.868600000000001</v>
      </c>
      <c r="N153" s="18">
        <v>50.7151</v>
      </c>
      <c r="O153" s="18">
        <f t="shared" si="10"/>
        <v>33.500099999999996</v>
      </c>
      <c r="P153" s="7"/>
      <c r="Q153" s="10"/>
      <c r="R153" s="11"/>
      <c r="S153" s="11"/>
      <c r="T153" s="26"/>
      <c r="U153" s="28">
        <f t="shared" si="11"/>
        <v>1.1066586921850141E-2</v>
      </c>
    </row>
    <row r="154" spans="1:21" ht="16.5" thickBot="1" x14ac:dyDescent="0.3">
      <c r="B154" s="12"/>
      <c r="C154" s="33">
        <v>871.39</v>
      </c>
      <c r="D154" s="34">
        <v>27.439</v>
      </c>
      <c r="E154" s="34">
        <v>36.823999999999998</v>
      </c>
      <c r="F154" s="34">
        <v>35.335000000000001</v>
      </c>
      <c r="G154" s="20">
        <v>58.92</v>
      </c>
      <c r="H154" s="20">
        <f t="shared" si="9"/>
        <v>29.599125000000004</v>
      </c>
      <c r="I154" s="5"/>
      <c r="J154" s="33">
        <v>607.80719999999997</v>
      </c>
      <c r="K154" s="34">
        <v>29.761600000000001</v>
      </c>
      <c r="L154" s="34">
        <v>38.637999999999998</v>
      </c>
      <c r="M154" s="34">
        <v>37.429299999999998</v>
      </c>
      <c r="N154" s="20">
        <v>61.169600000000003</v>
      </c>
      <c r="O154" s="20">
        <f t="shared" si="10"/>
        <v>31.829612500000003</v>
      </c>
      <c r="P154" s="7"/>
      <c r="Q154" s="13"/>
      <c r="R154" s="14"/>
      <c r="S154" s="14"/>
      <c r="T154" s="27"/>
      <c r="U154" s="28">
        <f t="shared" si="11"/>
        <v>3.8180583842498318E-2</v>
      </c>
    </row>
    <row r="155" spans="1:21" x14ac:dyDescent="0.25">
      <c r="B155" s="6" t="s">
        <v>52</v>
      </c>
      <c r="C155" s="15">
        <v>3590.14</v>
      </c>
      <c r="D155" s="16">
        <v>33.341999999999999</v>
      </c>
      <c r="E155" s="16">
        <v>39.116999999999997</v>
      </c>
      <c r="F155" s="16">
        <v>41.817</v>
      </c>
      <c r="G155" s="16">
        <v>37.049999999999997</v>
      </c>
      <c r="H155" s="16">
        <f t="shared" si="9"/>
        <v>35.123249999999999</v>
      </c>
      <c r="I155" s="5"/>
      <c r="J155" s="15">
        <v>2416.3503999999998</v>
      </c>
      <c r="K155" s="16">
        <v>33.967300000000002</v>
      </c>
      <c r="L155" s="16">
        <v>40.399099999999997</v>
      </c>
      <c r="M155" s="16">
        <v>42.832000000000001</v>
      </c>
      <c r="N155" s="16">
        <v>36.875399999999999</v>
      </c>
      <c r="O155" s="16">
        <f t="shared" si="10"/>
        <v>35.879362500000006</v>
      </c>
      <c r="P155" s="7"/>
      <c r="Q155" s="8">
        <f>bdrate(C155:C158,D155:D158,J155:J158,K155:K158)</f>
        <v>-0.58428927054544733</v>
      </c>
      <c r="R155" s="8">
        <f>bdrate(C155:C158,E155:E158,J155:J158,L155:L158)</f>
        <v>-0.74710525026185837</v>
      </c>
      <c r="S155" s="8">
        <f>bdrate(C155:C158,F155:F158,J155:J158,M155:M158)</f>
        <v>-0.72210193953136947</v>
      </c>
      <c r="T155" s="25">
        <f>bdrate(C155:C158,H155:H158,J155:J158,O155:O158)</f>
        <v>-0.60860477575117478</v>
      </c>
      <c r="U155" s="28">
        <f t="shared" si="11"/>
        <v>-4.7125506072873986E-3</v>
      </c>
    </row>
    <row r="156" spans="1:21" x14ac:dyDescent="0.25">
      <c r="B156" s="9"/>
      <c r="C156" s="17">
        <v>2365.46</v>
      </c>
      <c r="D156" s="18">
        <v>32.384</v>
      </c>
      <c r="E156" s="18">
        <v>38.683</v>
      </c>
      <c r="F156" s="18">
        <v>41.360999999999997</v>
      </c>
      <c r="G156" s="18">
        <v>42.78</v>
      </c>
      <c r="H156" s="18">
        <f t="shared" si="9"/>
        <v>34.293500000000002</v>
      </c>
      <c r="I156" s="5"/>
      <c r="J156" s="17">
        <v>1594.1432</v>
      </c>
      <c r="K156" s="18">
        <v>33.333100000000002</v>
      </c>
      <c r="L156" s="18">
        <v>39.939399999999999</v>
      </c>
      <c r="M156" s="18">
        <v>42.4101</v>
      </c>
      <c r="N156" s="18">
        <v>48.504399999999997</v>
      </c>
      <c r="O156" s="18">
        <f t="shared" si="10"/>
        <v>35.293512500000006</v>
      </c>
      <c r="P156" s="7"/>
      <c r="Q156" s="10"/>
      <c r="R156" s="11"/>
      <c r="S156" s="11"/>
      <c r="T156" s="26"/>
      <c r="U156" s="28">
        <f t="shared" si="11"/>
        <v>0.13381019167835426</v>
      </c>
    </row>
    <row r="157" spans="1:21" x14ac:dyDescent="0.25">
      <c r="B157" s="9"/>
      <c r="C157" s="17">
        <v>1453.73</v>
      </c>
      <c r="D157" s="18">
        <v>30.902999999999999</v>
      </c>
      <c r="E157" s="18">
        <v>38.128</v>
      </c>
      <c r="F157" s="18">
        <v>40.71</v>
      </c>
      <c r="G157" s="18">
        <v>50.34</v>
      </c>
      <c r="H157" s="18">
        <f t="shared" si="9"/>
        <v>33.031999999999996</v>
      </c>
      <c r="I157" s="5"/>
      <c r="J157" s="17">
        <v>990.36879999999996</v>
      </c>
      <c r="K157" s="18">
        <v>32.366599999999998</v>
      </c>
      <c r="L157" s="18">
        <v>39.241100000000003</v>
      </c>
      <c r="M157" s="18">
        <v>41.775599999999997</v>
      </c>
      <c r="N157" s="18">
        <v>58.542299999999997</v>
      </c>
      <c r="O157" s="18">
        <f t="shared" si="10"/>
        <v>34.402037499999999</v>
      </c>
      <c r="P157" s="7"/>
      <c r="Q157" s="10"/>
      <c r="R157" s="11"/>
      <c r="S157" s="11"/>
      <c r="T157" s="26"/>
      <c r="U157" s="28">
        <f t="shared" si="11"/>
        <v>0.1629380214541119</v>
      </c>
    </row>
    <row r="158" spans="1:21" ht="16.5" thickBot="1" x14ac:dyDescent="0.3">
      <c r="B158" s="12"/>
      <c r="C158" s="19">
        <v>855.09</v>
      </c>
      <c r="D158" s="20">
        <v>28.920999999999999</v>
      </c>
      <c r="E158" s="20">
        <v>37.523000000000003</v>
      </c>
      <c r="F158" s="20">
        <v>40.107999999999997</v>
      </c>
      <c r="G158" s="20">
        <v>60.66</v>
      </c>
      <c r="H158" s="20">
        <f t="shared" si="9"/>
        <v>31.394625000000001</v>
      </c>
      <c r="I158" s="5"/>
      <c r="J158" s="19">
        <v>581.63440000000003</v>
      </c>
      <c r="K158" s="20">
        <v>30.979099999999999</v>
      </c>
      <c r="L158" s="20">
        <v>38.658200000000001</v>
      </c>
      <c r="M158" s="20">
        <v>41.312399999999997</v>
      </c>
      <c r="N158" s="20">
        <v>70.439099999999996</v>
      </c>
      <c r="O158" s="20">
        <f t="shared" si="10"/>
        <v>33.230649999999997</v>
      </c>
      <c r="P158" s="7"/>
      <c r="Q158" s="13"/>
      <c r="R158" s="14"/>
      <c r="S158" s="14"/>
      <c r="T158" s="27"/>
      <c r="U158" s="28">
        <f t="shared" si="11"/>
        <v>0.1612116716122651</v>
      </c>
    </row>
    <row r="159" spans="1:21" x14ac:dyDescent="0.25">
      <c r="A159" s="6" t="s">
        <v>39</v>
      </c>
      <c r="B159" s="6" t="s">
        <v>53</v>
      </c>
      <c r="C159" s="15">
        <v>1547.76</v>
      </c>
      <c r="D159" s="16">
        <v>35.405999999999999</v>
      </c>
      <c r="E159" s="16">
        <v>38.796999999999997</v>
      </c>
      <c r="F159" s="16">
        <v>38.780999999999999</v>
      </c>
      <c r="G159" s="16">
        <v>131.34</v>
      </c>
      <c r="H159" s="16">
        <f t="shared" si="9"/>
        <v>36.251749999999994</v>
      </c>
      <c r="I159" s="5"/>
      <c r="J159" s="15">
        <v>1195.6215999999999</v>
      </c>
      <c r="K159" s="16">
        <v>36.523499999999999</v>
      </c>
      <c r="L159" s="16">
        <v>41.0075</v>
      </c>
      <c r="M159" s="16">
        <v>41.0381</v>
      </c>
      <c r="N159" s="16">
        <v>106.49630000000001</v>
      </c>
      <c r="O159" s="16">
        <f t="shared" si="10"/>
        <v>37.648325</v>
      </c>
      <c r="P159" s="7"/>
      <c r="Q159" s="8">
        <f>bdrate(C159:C162,D159:D162,J159:J162,K159:K162)</f>
        <v>-0.39157002632359406</v>
      </c>
      <c r="R159" s="8">
        <f>bdrate(C159:C162,E159:E162,J159:J162,L159:L162)</f>
        <v>-0.64546198710036973</v>
      </c>
      <c r="S159" s="8">
        <f>bdrate(C159:C162,F159:F162,J159:J162,M159:M162)</f>
        <v>-0.61520086686588993</v>
      </c>
      <c r="T159" s="25">
        <f>bdrate(C159:C162,H159:H162,J159:J162,O159:O162)</f>
        <v>-0.44711479107979601</v>
      </c>
      <c r="U159" s="28">
        <f t="shared" si="11"/>
        <v>-0.18915562661793817</v>
      </c>
    </row>
    <row r="160" spans="1:21" x14ac:dyDescent="0.25">
      <c r="A160" s="9" t="s">
        <v>40</v>
      </c>
      <c r="B160" s="9"/>
      <c r="C160" s="17">
        <v>1050</v>
      </c>
      <c r="D160" s="18">
        <v>33.880000000000003</v>
      </c>
      <c r="E160" s="18">
        <v>37.567999999999998</v>
      </c>
      <c r="F160" s="18">
        <v>37.462000000000003</v>
      </c>
      <c r="G160" s="18">
        <v>158.68</v>
      </c>
      <c r="H160" s="18">
        <f t="shared" si="9"/>
        <v>34.78875</v>
      </c>
      <c r="I160" s="5"/>
      <c r="J160" s="17">
        <v>812.49680000000001</v>
      </c>
      <c r="K160" s="18">
        <v>34.810699999999997</v>
      </c>
      <c r="L160" s="18">
        <v>39.777200000000001</v>
      </c>
      <c r="M160" s="18">
        <v>39.625100000000003</v>
      </c>
      <c r="N160" s="18">
        <v>127.68129999999999</v>
      </c>
      <c r="O160" s="18">
        <f t="shared" si="10"/>
        <v>36.033312499999994</v>
      </c>
      <c r="P160" s="7"/>
      <c r="Q160" s="10"/>
      <c r="R160" s="11"/>
      <c r="S160" s="11"/>
      <c r="T160" s="26"/>
      <c r="U160" s="28">
        <f t="shared" si="11"/>
        <v>-0.19535354171918334</v>
      </c>
    </row>
    <row r="161" spans="1:21" x14ac:dyDescent="0.25">
      <c r="B161" s="9"/>
      <c r="C161" s="17">
        <v>647.29</v>
      </c>
      <c r="D161" s="18">
        <v>31.920999999999999</v>
      </c>
      <c r="E161" s="18">
        <v>36.293999999999997</v>
      </c>
      <c r="F161" s="18">
        <v>35.99</v>
      </c>
      <c r="G161" s="18">
        <v>196.7</v>
      </c>
      <c r="H161" s="18">
        <f t="shared" si="9"/>
        <v>32.97625</v>
      </c>
      <c r="I161" s="5"/>
      <c r="J161" s="17">
        <v>497.44</v>
      </c>
      <c r="K161" s="18">
        <v>32.842399999999998</v>
      </c>
      <c r="L161" s="18">
        <v>38.3979</v>
      </c>
      <c r="M161" s="18">
        <v>38.152500000000003</v>
      </c>
      <c r="N161" s="18">
        <v>150.46639999999999</v>
      </c>
      <c r="O161" s="18">
        <f t="shared" si="10"/>
        <v>34.200599999999994</v>
      </c>
      <c r="P161" s="7"/>
      <c r="Q161" s="10"/>
      <c r="R161" s="11"/>
      <c r="S161" s="11"/>
      <c r="T161" s="26"/>
      <c r="U161" s="28">
        <f t="shared" si="11"/>
        <v>-0.23504626334519571</v>
      </c>
    </row>
    <row r="162" spans="1:21" ht="16.5" thickBot="1" x14ac:dyDescent="0.3">
      <c r="B162" s="12"/>
      <c r="C162" s="19">
        <v>396.61</v>
      </c>
      <c r="D162" s="20">
        <v>29.742000000000001</v>
      </c>
      <c r="E162" s="20">
        <v>35.064</v>
      </c>
      <c r="F162" s="20">
        <v>34.573</v>
      </c>
      <c r="G162" s="20">
        <v>248.51</v>
      </c>
      <c r="H162" s="20">
        <f t="shared" si="9"/>
        <v>31.011125</v>
      </c>
      <c r="I162" s="5"/>
      <c r="J162" s="19">
        <v>298.56720000000001</v>
      </c>
      <c r="K162" s="20">
        <v>30.917899999999999</v>
      </c>
      <c r="L162" s="20">
        <v>37.034599999999998</v>
      </c>
      <c r="M162" s="20">
        <v>36.502200000000002</v>
      </c>
      <c r="N162" s="20">
        <v>180.0504</v>
      </c>
      <c r="O162" s="20">
        <f t="shared" si="10"/>
        <v>32.380524999999999</v>
      </c>
      <c r="P162" s="7"/>
      <c r="Q162" s="13"/>
      <c r="R162" s="14"/>
      <c r="S162" s="14"/>
      <c r="T162" s="27"/>
      <c r="U162" s="28">
        <f t="shared" si="11"/>
        <v>-0.27548026236368756</v>
      </c>
    </row>
    <row r="163" spans="1:21" x14ac:dyDescent="0.25">
      <c r="B163" s="6" t="s">
        <v>54</v>
      </c>
      <c r="C163" s="15">
        <v>1554.77</v>
      </c>
      <c r="D163" s="16">
        <v>35.710999999999999</v>
      </c>
      <c r="E163" s="16">
        <v>40.164999999999999</v>
      </c>
      <c r="F163" s="16">
        <v>40.969000000000001</v>
      </c>
      <c r="G163" s="16">
        <v>148.47999999999999</v>
      </c>
      <c r="H163" s="16">
        <f t="shared" si="9"/>
        <v>36.924999999999997</v>
      </c>
      <c r="I163" s="5"/>
      <c r="J163" s="15">
        <v>1211.1143999999999</v>
      </c>
      <c r="K163" s="16">
        <v>35.992100000000001</v>
      </c>
      <c r="L163" s="16">
        <v>41.709299999999999</v>
      </c>
      <c r="M163" s="16">
        <v>42.716500000000003</v>
      </c>
      <c r="N163" s="16">
        <v>113.12220000000001</v>
      </c>
      <c r="O163" s="16">
        <f t="shared" si="10"/>
        <v>37.5473</v>
      </c>
      <c r="P163" s="7"/>
      <c r="Q163" s="8">
        <f>bdrate(C163:C166,D163:D166,J163:J166,K163:K166)</f>
        <v>-0.34651690490896081</v>
      </c>
      <c r="R163" s="8">
        <f>bdrate(C163:C166,E163:E166,J163:J166,L163:L166)</f>
        <v>-0.59779879348378939</v>
      </c>
      <c r="S163" s="8">
        <f>bdrate(C163:C166,F163:F166,J163:J166,M163:M166)</f>
        <v>-0.59203892416771531</v>
      </c>
      <c r="T163" s="25">
        <f>bdrate(C163:C166,H163:H166,J163:J166,O163:O166)</f>
        <v>-0.39437828373809691</v>
      </c>
      <c r="U163" s="28">
        <f t="shared" si="11"/>
        <v>-0.238131734913793</v>
      </c>
    </row>
    <row r="164" spans="1:21" x14ac:dyDescent="0.25">
      <c r="B164" s="9"/>
      <c r="C164" s="17">
        <v>1053.58</v>
      </c>
      <c r="D164" s="18">
        <v>34.006999999999998</v>
      </c>
      <c r="E164" s="18">
        <v>39.281999999999996</v>
      </c>
      <c r="F164" s="18">
        <v>40.003</v>
      </c>
      <c r="G164" s="18">
        <v>173.21</v>
      </c>
      <c r="H164" s="18">
        <f t="shared" si="9"/>
        <v>35.415874999999993</v>
      </c>
      <c r="I164" s="5"/>
      <c r="J164" s="17">
        <v>808.50080000000003</v>
      </c>
      <c r="K164" s="18">
        <v>34.500399999999999</v>
      </c>
      <c r="L164" s="18">
        <v>40.7639</v>
      </c>
      <c r="M164" s="18">
        <v>41.611400000000003</v>
      </c>
      <c r="N164" s="18">
        <v>139.86009999999999</v>
      </c>
      <c r="O164" s="18">
        <f t="shared" si="10"/>
        <v>36.172212500000001</v>
      </c>
      <c r="P164" s="7"/>
      <c r="Q164" s="10"/>
      <c r="R164" s="11"/>
      <c r="S164" s="11"/>
      <c r="T164" s="26"/>
      <c r="U164" s="28">
        <f t="shared" si="11"/>
        <v>-0.19254026903758453</v>
      </c>
    </row>
    <row r="165" spans="1:21" x14ac:dyDescent="0.25">
      <c r="B165" s="9"/>
      <c r="C165" s="17">
        <v>653.01</v>
      </c>
      <c r="D165" s="18">
        <v>31.797000000000001</v>
      </c>
      <c r="E165" s="18">
        <v>38.241</v>
      </c>
      <c r="F165" s="18">
        <v>38.875999999999998</v>
      </c>
      <c r="G165" s="18">
        <v>210.16</v>
      </c>
      <c r="H165" s="18">
        <f t="shared" si="9"/>
        <v>33.487375</v>
      </c>
      <c r="I165" s="5"/>
      <c r="J165" s="17">
        <v>505.2568</v>
      </c>
      <c r="K165" s="18">
        <v>32.680100000000003</v>
      </c>
      <c r="L165" s="18">
        <v>39.672600000000003</v>
      </c>
      <c r="M165" s="18">
        <v>40.398899999999998</v>
      </c>
      <c r="N165" s="18">
        <v>165.06190000000001</v>
      </c>
      <c r="O165" s="18">
        <f t="shared" si="10"/>
        <v>34.519012500000002</v>
      </c>
      <c r="P165" s="7"/>
      <c r="Q165" s="10"/>
      <c r="R165" s="11"/>
      <c r="S165" s="11"/>
      <c r="T165" s="26"/>
      <c r="U165" s="28">
        <f t="shared" si="11"/>
        <v>-0.21458936048724775</v>
      </c>
    </row>
    <row r="166" spans="1:21" ht="16.5" thickBot="1" x14ac:dyDescent="0.3">
      <c r="B166" s="12"/>
      <c r="C166" s="19">
        <v>404.3</v>
      </c>
      <c r="D166" s="20">
        <v>29.459</v>
      </c>
      <c r="E166" s="20">
        <v>37.305</v>
      </c>
      <c r="F166" s="20">
        <v>37.777999999999999</v>
      </c>
      <c r="G166" s="20">
        <v>253.06</v>
      </c>
      <c r="H166" s="20">
        <f t="shared" si="9"/>
        <v>31.479624999999999</v>
      </c>
      <c r="I166" s="5"/>
      <c r="J166" s="19">
        <v>305.0752</v>
      </c>
      <c r="K166" s="20">
        <v>30.6431</v>
      </c>
      <c r="L166" s="20">
        <v>38.567799999999998</v>
      </c>
      <c r="M166" s="20">
        <v>39.190399999999997</v>
      </c>
      <c r="N166" s="20">
        <v>202.42910000000001</v>
      </c>
      <c r="O166" s="20">
        <f t="shared" si="10"/>
        <v>32.702100000000002</v>
      </c>
      <c r="P166" s="7"/>
      <c r="Q166" s="13"/>
      <c r="R166" s="14"/>
      <c r="S166" s="14"/>
      <c r="T166" s="27"/>
      <c r="U166" s="28">
        <f t="shared" si="11"/>
        <v>-0.20007468584525406</v>
      </c>
    </row>
    <row r="167" spans="1:21" x14ac:dyDescent="0.25">
      <c r="B167" s="6" t="s">
        <v>55</v>
      </c>
      <c r="C167" s="15">
        <v>1421.56</v>
      </c>
      <c r="D167" s="16">
        <v>30.189</v>
      </c>
      <c r="E167" s="16">
        <v>35.841999999999999</v>
      </c>
      <c r="F167" s="16">
        <v>36.566000000000003</v>
      </c>
      <c r="G167" s="16">
        <v>129.77000000000001</v>
      </c>
      <c r="H167" s="16">
        <f t="shared" si="9"/>
        <v>31.69275</v>
      </c>
      <c r="I167" s="5"/>
      <c r="J167" s="15">
        <v>1191.9264000000001</v>
      </c>
      <c r="K167" s="16">
        <v>30.882300000000001</v>
      </c>
      <c r="L167" s="16">
        <v>37.658799999999999</v>
      </c>
      <c r="M167" s="16">
        <v>38.508899999999997</v>
      </c>
      <c r="N167" s="16">
        <v>104.4059</v>
      </c>
      <c r="O167" s="16">
        <f t="shared" si="10"/>
        <v>32.6826875</v>
      </c>
      <c r="P167" s="7"/>
      <c r="Q167" s="8">
        <f>bdrate(C167:C170,D167:D170,J167:J170,K167:K170)</f>
        <v>-0.3599901041779644</v>
      </c>
      <c r="R167" s="8">
        <f>bdrate(C167:C170,E167:E170,J167:J170,L167:L170)</f>
        <v>-0.66632961898478082</v>
      </c>
      <c r="S167" s="8">
        <f>bdrate(C167:C170,F167:F170,J167:J170,M167:M170)</f>
        <v>-0.67077180400200809</v>
      </c>
      <c r="T167" s="25">
        <f>bdrate(C167:C170,H167:H170,J167:J170,O167:O170)</f>
        <v>-0.41784740880433013</v>
      </c>
      <c r="U167" s="28">
        <f t="shared" si="11"/>
        <v>-0.19545426523849893</v>
      </c>
    </row>
    <row r="168" spans="1:21" x14ac:dyDescent="0.25">
      <c r="B168" s="9"/>
      <c r="C168" s="17">
        <v>965.62</v>
      </c>
      <c r="D168" s="18">
        <v>28.795999999999999</v>
      </c>
      <c r="E168" s="18">
        <v>35.252000000000002</v>
      </c>
      <c r="F168" s="18">
        <v>36.000999999999998</v>
      </c>
      <c r="G168" s="18">
        <v>147.71</v>
      </c>
      <c r="H168" s="18">
        <f t="shared" si="9"/>
        <v>30.503625000000003</v>
      </c>
      <c r="I168" s="5"/>
      <c r="J168" s="17">
        <v>802.39520000000005</v>
      </c>
      <c r="K168" s="18">
        <v>29.564</v>
      </c>
      <c r="L168" s="18">
        <v>36.803899999999999</v>
      </c>
      <c r="M168" s="18">
        <v>37.596200000000003</v>
      </c>
      <c r="N168" s="18">
        <v>123.27419999999999</v>
      </c>
      <c r="O168" s="18">
        <f t="shared" si="10"/>
        <v>31.473012500000003</v>
      </c>
      <c r="P168" s="7"/>
      <c r="Q168" s="10"/>
      <c r="R168" s="11"/>
      <c r="S168" s="11"/>
      <c r="T168" s="26"/>
      <c r="U168" s="28">
        <f t="shared" si="11"/>
        <v>-0.16543091192200943</v>
      </c>
    </row>
    <row r="169" spans="1:21" x14ac:dyDescent="0.25">
      <c r="B169" s="9"/>
      <c r="C169" s="17">
        <v>599.27</v>
      </c>
      <c r="D169" s="18">
        <v>27.166</v>
      </c>
      <c r="E169" s="18">
        <v>34.625999999999998</v>
      </c>
      <c r="F169" s="18">
        <v>35.365000000000002</v>
      </c>
      <c r="G169" s="18">
        <v>173.25</v>
      </c>
      <c r="H169" s="18">
        <f t="shared" si="9"/>
        <v>29.123375000000003</v>
      </c>
      <c r="I169" s="5"/>
      <c r="J169" s="17">
        <v>503.07279999999997</v>
      </c>
      <c r="K169" s="18">
        <v>28.126100000000001</v>
      </c>
      <c r="L169" s="18">
        <v>36.006900000000002</v>
      </c>
      <c r="M169" s="18">
        <v>36.818899999999999</v>
      </c>
      <c r="N169" s="18">
        <v>150.46639999999999</v>
      </c>
      <c r="O169" s="18">
        <f t="shared" si="10"/>
        <v>30.197800000000001</v>
      </c>
      <c r="P169" s="7"/>
      <c r="Q169" s="10"/>
      <c r="R169" s="11"/>
      <c r="S169" s="11"/>
      <c r="T169" s="26"/>
      <c r="U169" s="28">
        <f t="shared" si="11"/>
        <v>-0.13150707070707074</v>
      </c>
    </row>
    <row r="170" spans="1:21" ht="16.5" thickBot="1" x14ac:dyDescent="0.3">
      <c r="B170" s="12"/>
      <c r="C170" s="19">
        <v>369.69</v>
      </c>
      <c r="D170" s="20">
        <v>25.623999999999999</v>
      </c>
      <c r="E170" s="20">
        <v>34.064</v>
      </c>
      <c r="F170" s="20">
        <v>34.814999999999998</v>
      </c>
      <c r="G170" s="20">
        <v>206.78</v>
      </c>
      <c r="H170" s="20">
        <f t="shared" si="9"/>
        <v>27.827874999999999</v>
      </c>
      <c r="I170" s="5"/>
      <c r="J170" s="19">
        <v>304.5752</v>
      </c>
      <c r="K170" s="20">
        <v>26.613199999999999</v>
      </c>
      <c r="L170" s="20">
        <v>35.098999999999997</v>
      </c>
      <c r="M170" s="20">
        <v>35.825600000000001</v>
      </c>
      <c r="N170" s="20">
        <v>180.0504</v>
      </c>
      <c r="O170" s="20">
        <f t="shared" si="10"/>
        <v>28.825474999999997</v>
      </c>
      <c r="P170" s="7"/>
      <c r="Q170" s="13"/>
      <c r="R170" s="14"/>
      <c r="S170" s="14"/>
      <c r="T170" s="27"/>
      <c r="U170" s="28">
        <f t="shared" si="11"/>
        <v>-0.12926588644936651</v>
      </c>
    </row>
    <row r="171" spans="1:21" x14ac:dyDescent="0.25">
      <c r="B171" s="6" t="s">
        <v>56</v>
      </c>
      <c r="C171" s="15">
        <v>1424.1</v>
      </c>
      <c r="D171" s="16">
        <v>33.441000000000003</v>
      </c>
      <c r="E171" s="16">
        <v>36.978999999999999</v>
      </c>
      <c r="F171" s="16">
        <v>38.697000000000003</v>
      </c>
      <c r="G171" s="16">
        <v>99.63</v>
      </c>
      <c r="H171" s="16">
        <f t="shared" si="9"/>
        <v>34.54025</v>
      </c>
      <c r="I171" s="5"/>
      <c r="J171" s="15">
        <v>1187.8992000000001</v>
      </c>
      <c r="K171" s="16">
        <v>32.927399999999999</v>
      </c>
      <c r="L171" s="16">
        <v>37.801200000000001</v>
      </c>
      <c r="M171" s="16">
        <v>39.4026</v>
      </c>
      <c r="N171" s="16">
        <v>71.496700000000004</v>
      </c>
      <c r="O171" s="16">
        <f t="shared" si="10"/>
        <v>34.346024999999997</v>
      </c>
      <c r="P171" s="7"/>
      <c r="Q171" s="8">
        <f>bdrate(C171:C174,D171:D174,J171:J174,K171:K174)</f>
        <v>-0.11772159649409697</v>
      </c>
      <c r="R171" s="8">
        <f>bdrate(C171:C174,E171:E174,J171:J174,L171:L174)</f>
        <v>-0.43949158533781807</v>
      </c>
      <c r="S171" s="8">
        <f>bdrate(C171:C174,F171:F174,J171:J174,M171:M174)</f>
        <v>-0.43357401508056492</v>
      </c>
      <c r="T171" s="25">
        <f>bdrate(C171:C174,H171:H174,J171:J174,O171:O174)</f>
        <v>-0.1731059124477119</v>
      </c>
      <c r="U171" s="28">
        <f t="shared" si="11"/>
        <v>-0.28237779785205253</v>
      </c>
    </row>
    <row r="172" spans="1:21" x14ac:dyDescent="0.25">
      <c r="B172" s="9"/>
      <c r="C172" s="17">
        <v>975.47</v>
      </c>
      <c r="D172" s="18">
        <v>31.907</v>
      </c>
      <c r="E172" s="18">
        <v>36.19</v>
      </c>
      <c r="F172" s="18">
        <v>37.89</v>
      </c>
      <c r="G172" s="18">
        <v>113.81</v>
      </c>
      <c r="H172" s="18">
        <f t="shared" si="9"/>
        <v>33.190249999999999</v>
      </c>
      <c r="I172" s="5"/>
      <c r="J172" s="17">
        <v>794.63279999999997</v>
      </c>
      <c r="K172" s="18">
        <v>31.414400000000001</v>
      </c>
      <c r="L172" s="18">
        <v>36.890700000000002</v>
      </c>
      <c r="M172" s="18">
        <v>38.536499999999997</v>
      </c>
      <c r="N172" s="18">
        <v>87.007000000000005</v>
      </c>
      <c r="O172" s="18">
        <f t="shared" si="10"/>
        <v>32.989200000000004</v>
      </c>
      <c r="P172" s="7"/>
      <c r="Q172" s="10"/>
      <c r="R172" s="11"/>
      <c r="S172" s="11"/>
      <c r="T172" s="26"/>
      <c r="U172" s="28">
        <f t="shared" si="11"/>
        <v>-0.23550654599771545</v>
      </c>
    </row>
    <row r="173" spans="1:21" x14ac:dyDescent="0.25">
      <c r="B173" s="9"/>
      <c r="C173" s="17">
        <v>612.5</v>
      </c>
      <c r="D173" s="18">
        <v>30.027000000000001</v>
      </c>
      <c r="E173" s="18">
        <v>35.287999999999997</v>
      </c>
      <c r="F173" s="18">
        <v>36.884</v>
      </c>
      <c r="G173" s="18">
        <v>138.38</v>
      </c>
      <c r="H173" s="18">
        <f t="shared" si="9"/>
        <v>31.54175</v>
      </c>
      <c r="I173" s="5"/>
      <c r="J173" s="17">
        <v>495.73599999999999</v>
      </c>
      <c r="K173" s="18">
        <v>29.771000000000001</v>
      </c>
      <c r="L173" s="18">
        <v>36.0105</v>
      </c>
      <c r="M173" s="18">
        <v>37.664099999999998</v>
      </c>
      <c r="N173" s="18">
        <v>103.377</v>
      </c>
      <c r="O173" s="18">
        <f t="shared" si="10"/>
        <v>31.537575</v>
      </c>
      <c r="P173" s="7"/>
      <c r="Q173" s="10"/>
      <c r="R173" s="11"/>
      <c r="S173" s="11"/>
      <c r="T173" s="26"/>
      <c r="U173" s="28">
        <f t="shared" si="11"/>
        <v>-0.25294840294840298</v>
      </c>
    </row>
    <row r="174" spans="1:21" ht="16.5" thickBot="1" x14ac:dyDescent="0.3">
      <c r="B174" s="12"/>
      <c r="C174" s="19">
        <v>382.34</v>
      </c>
      <c r="D174" s="20">
        <v>28.167999999999999</v>
      </c>
      <c r="E174" s="20">
        <v>34.368000000000002</v>
      </c>
      <c r="F174" s="20">
        <v>35.787999999999997</v>
      </c>
      <c r="G174" s="20">
        <v>165.75</v>
      </c>
      <c r="H174" s="20">
        <f t="shared" si="9"/>
        <v>29.895499999999998</v>
      </c>
      <c r="I174" s="5"/>
      <c r="J174" s="19">
        <v>297.43920000000003</v>
      </c>
      <c r="K174" s="20">
        <v>28.1524</v>
      </c>
      <c r="L174" s="20">
        <v>35.066200000000002</v>
      </c>
      <c r="M174" s="20">
        <v>36.726199999999999</v>
      </c>
      <c r="N174" s="20">
        <v>126.52889999999999</v>
      </c>
      <c r="O174" s="20">
        <f t="shared" si="10"/>
        <v>30.088350000000002</v>
      </c>
      <c r="P174" s="7"/>
      <c r="Q174" s="13"/>
      <c r="R174" s="14"/>
      <c r="S174" s="14"/>
      <c r="T174" s="27"/>
      <c r="U174" s="28">
        <f t="shared" si="11"/>
        <v>-0.23662805429864259</v>
      </c>
    </row>
    <row r="175" spans="1:21" x14ac:dyDescent="0.25">
      <c r="A175" s="6" t="s">
        <v>41</v>
      </c>
      <c r="B175" s="6" t="s">
        <v>57</v>
      </c>
      <c r="C175" s="15">
        <v>850.95</v>
      </c>
      <c r="D175" s="16">
        <v>36.15</v>
      </c>
      <c r="E175" s="16">
        <v>39.981999999999999</v>
      </c>
      <c r="F175" s="16">
        <v>38.802999999999997</v>
      </c>
      <c r="G175" s="16">
        <v>377.07</v>
      </c>
      <c r="H175" s="16">
        <f t="shared" si="9"/>
        <v>36.960624999999993</v>
      </c>
      <c r="I175" s="5"/>
      <c r="J175" s="15">
        <v>601.98400000000004</v>
      </c>
      <c r="K175" s="16">
        <v>35.151699999999998</v>
      </c>
      <c r="L175" s="16">
        <v>40.9664</v>
      </c>
      <c r="M175" s="16">
        <v>39.363</v>
      </c>
      <c r="N175" s="16">
        <v>262.74299999999999</v>
      </c>
      <c r="O175" s="16">
        <f t="shared" si="10"/>
        <v>36.404949999999999</v>
      </c>
      <c r="P175" s="7"/>
      <c r="Q175" s="8">
        <f>bdrate(C175:C178,D175:D178,J175:J178,K175:K178)</f>
        <v>-0.17723778001908863</v>
      </c>
      <c r="R175" s="8">
        <f>bdrate(C175:C178,E175:E178,J175:J178,L175:L178)</f>
        <v>-0.51653279179455569</v>
      </c>
      <c r="S175" s="8">
        <f>bdrate(C175:C178,F175:F178,J175:J178,M175:M178)</f>
        <v>-0.4381801853228422</v>
      </c>
      <c r="T175" s="25">
        <f>bdrate(C175:C178,H175:H178,J175:J178,O175:O178)</f>
        <v>-0.23536854193403323</v>
      </c>
      <c r="U175" s="28">
        <f t="shared" si="11"/>
        <v>-0.30319834513485561</v>
      </c>
    </row>
    <row r="176" spans="1:21" x14ac:dyDescent="0.25">
      <c r="A176" s="9" t="s">
        <v>42</v>
      </c>
      <c r="B176" s="9"/>
      <c r="C176" s="17">
        <v>531.02</v>
      </c>
      <c r="D176" s="18">
        <v>33.832000000000001</v>
      </c>
      <c r="E176" s="18">
        <v>38.628</v>
      </c>
      <c r="F176" s="18">
        <v>37.201999999999998</v>
      </c>
      <c r="G176" s="18">
        <v>457.88</v>
      </c>
      <c r="H176" s="18">
        <f t="shared" si="9"/>
        <v>34.85275</v>
      </c>
      <c r="I176" s="5"/>
      <c r="J176" s="17">
        <v>401.38799999999998</v>
      </c>
      <c r="K176" s="18">
        <v>33.286700000000003</v>
      </c>
      <c r="L176" s="18">
        <v>39.7714</v>
      </c>
      <c r="M176" s="18">
        <v>38.037300000000002</v>
      </c>
      <c r="N176" s="18">
        <v>308.26139999999998</v>
      </c>
      <c r="O176" s="18">
        <f t="shared" si="10"/>
        <v>34.691112500000003</v>
      </c>
      <c r="P176" s="7"/>
      <c r="Q176" s="10"/>
      <c r="R176" s="11"/>
      <c r="S176" s="11"/>
      <c r="T176" s="26"/>
      <c r="U176" s="28">
        <f t="shared" si="11"/>
        <v>-0.3267637809032935</v>
      </c>
    </row>
    <row r="177" spans="1:21" x14ac:dyDescent="0.25">
      <c r="B177" s="9"/>
      <c r="C177" s="17">
        <v>319.93</v>
      </c>
      <c r="D177" s="18">
        <v>31.469000000000001</v>
      </c>
      <c r="E177" s="18">
        <v>37.442</v>
      </c>
      <c r="F177" s="18">
        <v>35.756999999999998</v>
      </c>
      <c r="G177" s="18">
        <v>552.49</v>
      </c>
      <c r="H177" s="18">
        <f t="shared" si="9"/>
        <v>32.751625000000004</v>
      </c>
      <c r="I177" s="5"/>
      <c r="J177" s="17">
        <v>250.49760000000001</v>
      </c>
      <c r="K177" s="18">
        <v>31.2563</v>
      </c>
      <c r="L177" s="18">
        <v>38.584200000000003</v>
      </c>
      <c r="M177" s="18">
        <v>36.733199999999997</v>
      </c>
      <c r="N177" s="18">
        <v>364.16609999999997</v>
      </c>
      <c r="O177" s="18">
        <f t="shared" si="10"/>
        <v>32.856900000000003</v>
      </c>
      <c r="P177" s="7"/>
      <c r="Q177" s="10"/>
      <c r="R177" s="11"/>
      <c r="S177" s="11"/>
      <c r="T177" s="26"/>
      <c r="U177" s="28">
        <f t="shared" si="11"/>
        <v>-0.34086390703904151</v>
      </c>
    </row>
    <row r="178" spans="1:21" ht="16.5" thickBot="1" x14ac:dyDescent="0.3">
      <c r="B178" s="12"/>
      <c r="C178" s="19">
        <v>161.93</v>
      </c>
      <c r="D178" s="20">
        <v>28.451000000000001</v>
      </c>
      <c r="E178" s="20">
        <v>36.030999999999999</v>
      </c>
      <c r="F178" s="20">
        <v>33.982999999999997</v>
      </c>
      <c r="G178" s="20">
        <v>745.16</v>
      </c>
      <c r="H178" s="20">
        <f t="shared" si="9"/>
        <v>30.090000000000003</v>
      </c>
      <c r="I178" s="5"/>
      <c r="J178" s="19">
        <v>120.3944</v>
      </c>
      <c r="K178" s="20">
        <v>28.362300000000001</v>
      </c>
      <c r="L178" s="20">
        <v>36.9482</v>
      </c>
      <c r="M178" s="20">
        <v>34.764200000000002</v>
      </c>
      <c r="N178" s="20">
        <v>478.01150000000001</v>
      </c>
      <c r="O178" s="20">
        <f t="shared" si="10"/>
        <v>30.235775000000004</v>
      </c>
      <c r="P178" s="7"/>
      <c r="Q178" s="13"/>
      <c r="R178" s="14"/>
      <c r="S178" s="14"/>
      <c r="T178" s="27"/>
      <c r="U178" s="28">
        <f t="shared" si="11"/>
        <v>-0.35851159482527239</v>
      </c>
    </row>
    <row r="179" spans="1:21" x14ac:dyDescent="0.25">
      <c r="B179" s="6" t="s">
        <v>58</v>
      </c>
      <c r="C179" s="15">
        <v>739.86</v>
      </c>
      <c r="D179" s="16">
        <v>33.034999999999997</v>
      </c>
      <c r="E179" s="16">
        <v>39.799999999999997</v>
      </c>
      <c r="F179" s="16">
        <v>40.578000000000003</v>
      </c>
      <c r="G179" s="16">
        <v>452.49</v>
      </c>
      <c r="H179" s="16">
        <f t="shared" si="9"/>
        <v>34.823499999999996</v>
      </c>
      <c r="I179" s="5"/>
      <c r="J179" s="15">
        <v>596.90880000000004</v>
      </c>
      <c r="K179" s="16">
        <v>33.929499999999997</v>
      </c>
      <c r="L179" s="16">
        <v>42.053400000000003</v>
      </c>
      <c r="M179" s="16">
        <v>42.9831</v>
      </c>
      <c r="N179" s="16">
        <v>388.601</v>
      </c>
      <c r="O179" s="16">
        <f t="shared" si="10"/>
        <v>36.076687499999998</v>
      </c>
      <c r="P179" s="7"/>
      <c r="Q179" s="8">
        <f>bdrate(C179:C182,D179:D182,J179:J182,K179:K182)</f>
        <v>-0.4381676483095388</v>
      </c>
      <c r="R179" s="8">
        <f>bdrate(C179:C182,E179:E182,J179:J182,L179:L182)</f>
        <v>-0.70454889915999019</v>
      </c>
      <c r="S179" s="8">
        <f>bdrate(C179:C182,F179:F182,J179:J182,M179:M182)</f>
        <v>-0.74414985130770028</v>
      </c>
      <c r="T179" s="25">
        <f>bdrate(C179:C182,H179:H182,J179:J182,O179:O182)</f>
        <v>-0.49023180317104031</v>
      </c>
      <c r="U179" s="28">
        <f t="shared" si="11"/>
        <v>-0.14119428053658648</v>
      </c>
    </row>
    <row r="180" spans="1:21" x14ac:dyDescent="0.25">
      <c r="B180" s="9"/>
      <c r="C180" s="17">
        <v>454.98</v>
      </c>
      <c r="D180" s="18">
        <v>31.292000000000002</v>
      </c>
      <c r="E180" s="18">
        <v>39.201999999999998</v>
      </c>
      <c r="F180" s="18">
        <v>39.750999999999998</v>
      </c>
      <c r="G180" s="18">
        <v>582.52</v>
      </c>
      <c r="H180" s="18">
        <f t="shared" si="9"/>
        <v>33.338124999999998</v>
      </c>
      <c r="I180" s="5"/>
      <c r="J180" s="17">
        <v>397.62639999999999</v>
      </c>
      <c r="K180" s="18">
        <v>32.663200000000003</v>
      </c>
      <c r="L180" s="18">
        <v>41.133299999999998</v>
      </c>
      <c r="M180" s="18">
        <v>42.082000000000001</v>
      </c>
      <c r="N180" s="18">
        <v>458.01530000000002</v>
      </c>
      <c r="O180" s="18">
        <f t="shared" si="10"/>
        <v>34.899312500000001</v>
      </c>
      <c r="P180" s="7"/>
      <c r="Q180" s="10"/>
      <c r="R180" s="11"/>
      <c r="S180" s="11"/>
      <c r="T180" s="26"/>
      <c r="U180" s="28">
        <f t="shared" si="11"/>
        <v>-0.2137346357206619</v>
      </c>
    </row>
    <row r="181" spans="1:21" x14ac:dyDescent="0.25">
      <c r="B181" s="9"/>
      <c r="C181" s="17">
        <v>270.95999999999998</v>
      </c>
      <c r="D181" s="18">
        <v>29.42</v>
      </c>
      <c r="E181" s="18">
        <v>38.673999999999999</v>
      </c>
      <c r="F181" s="18">
        <v>38.975000000000001</v>
      </c>
      <c r="G181" s="18">
        <v>711.74</v>
      </c>
      <c r="H181" s="18">
        <f t="shared" si="9"/>
        <v>31.771125000000001</v>
      </c>
      <c r="I181" s="5"/>
      <c r="J181" s="17">
        <v>248.05279999999999</v>
      </c>
      <c r="K181" s="18">
        <v>31.179200000000002</v>
      </c>
      <c r="L181" s="18">
        <v>40.177999999999997</v>
      </c>
      <c r="M181" s="18">
        <v>41.016800000000003</v>
      </c>
      <c r="N181" s="18">
        <v>557.62080000000003</v>
      </c>
      <c r="O181" s="18">
        <f t="shared" si="10"/>
        <v>33.533749999999998</v>
      </c>
      <c r="P181" s="7"/>
      <c r="Q181" s="10"/>
      <c r="R181" s="11"/>
      <c r="S181" s="11"/>
      <c r="T181" s="26"/>
      <c r="U181" s="28">
        <f t="shared" si="11"/>
        <v>-0.21653862365470533</v>
      </c>
    </row>
    <row r="182" spans="1:21" ht="16.5" thickBot="1" x14ac:dyDescent="0.3">
      <c r="B182" s="12"/>
      <c r="C182" s="19">
        <v>134.44</v>
      </c>
      <c r="D182" s="20">
        <v>26.831</v>
      </c>
      <c r="E182" s="20">
        <v>37.960999999999999</v>
      </c>
      <c r="F182" s="20">
        <v>38.024000000000001</v>
      </c>
      <c r="G182" s="20">
        <v>874.64</v>
      </c>
      <c r="H182" s="20">
        <f t="shared" si="9"/>
        <v>29.621375</v>
      </c>
      <c r="I182" s="5"/>
      <c r="J182" s="19">
        <v>119.20399999999999</v>
      </c>
      <c r="K182" s="20">
        <v>28.7029</v>
      </c>
      <c r="L182" s="20">
        <v>38.959899999999998</v>
      </c>
      <c r="M182" s="20">
        <v>39.838900000000002</v>
      </c>
      <c r="N182" s="20">
        <v>725.51390000000004</v>
      </c>
      <c r="O182" s="20">
        <f t="shared" si="10"/>
        <v>31.377025</v>
      </c>
      <c r="P182" s="7"/>
      <c r="Q182" s="13"/>
      <c r="R182" s="14"/>
      <c r="S182" s="14"/>
      <c r="T182" s="27"/>
      <c r="U182" s="28">
        <f t="shared" si="11"/>
        <v>-0.17049997713344914</v>
      </c>
    </row>
    <row r="183" spans="1:21" x14ac:dyDescent="0.25">
      <c r="B183" s="6" t="s">
        <v>59</v>
      </c>
      <c r="C183" s="29">
        <v>829.67</v>
      </c>
      <c r="D183" s="30">
        <v>34.118000000000002</v>
      </c>
      <c r="E183" s="30">
        <v>37.561999999999998</v>
      </c>
      <c r="F183" s="30">
        <v>38.048999999999999</v>
      </c>
      <c r="G183" s="16">
        <v>352.11</v>
      </c>
      <c r="H183" s="16">
        <f t="shared" si="9"/>
        <v>35.039875000000002</v>
      </c>
      <c r="I183" s="5"/>
      <c r="J183" s="29">
        <v>595.83199999999999</v>
      </c>
      <c r="K183" s="30">
        <v>33.302999999999997</v>
      </c>
      <c r="L183" s="30">
        <v>38.913699999999999</v>
      </c>
      <c r="M183" s="30">
        <v>39.775700000000001</v>
      </c>
      <c r="N183" s="16">
        <v>320.51280000000003</v>
      </c>
      <c r="O183" s="16">
        <f t="shared" si="10"/>
        <v>34.813424999999995</v>
      </c>
      <c r="P183" s="7"/>
      <c r="Q183" s="8">
        <f>bdrate(C183:C186,D183:D186,J183:J186,K183:K186)</f>
        <v>-0.18164060826055839</v>
      </c>
      <c r="R183" s="8">
        <f>bdrate(C183:C186,E183:E186,J183:J186,L183:L186)</f>
        <v>-0.625840456063814</v>
      </c>
      <c r="S183" s="8">
        <f>bdrate(C183:C186,F183:F186,J183:J186,M183:M186)</f>
        <v>-0.65987062614313863</v>
      </c>
      <c r="T183" s="25">
        <f>bdrate(C183:C186,H183:H186,J183:J186,O183:O186)</f>
        <v>-0.27946270775404103</v>
      </c>
      <c r="U183" s="28">
        <f t="shared" si="11"/>
        <v>-8.9736729999147946E-2</v>
      </c>
    </row>
    <row r="184" spans="1:21" x14ac:dyDescent="0.25">
      <c r="B184" s="9"/>
      <c r="C184" s="31">
        <v>516.79999999999995</v>
      </c>
      <c r="D184" s="32">
        <v>32.155000000000001</v>
      </c>
      <c r="E184" s="32">
        <v>36.307000000000002</v>
      </c>
      <c r="F184" s="32">
        <v>36.81</v>
      </c>
      <c r="G184" s="18">
        <v>410.85</v>
      </c>
      <c r="H184" s="18">
        <f t="shared" si="9"/>
        <v>33.255875000000003</v>
      </c>
      <c r="I184" s="5"/>
      <c r="J184" s="31">
        <v>397.18639999999999</v>
      </c>
      <c r="K184" s="32">
        <v>31.7605</v>
      </c>
      <c r="L184" s="32">
        <v>37.864699999999999</v>
      </c>
      <c r="M184" s="32">
        <v>38.634500000000003</v>
      </c>
      <c r="N184" s="18">
        <v>400.64100000000002</v>
      </c>
      <c r="O184" s="18">
        <f t="shared" si="10"/>
        <v>33.382774999999995</v>
      </c>
      <c r="P184" s="7"/>
      <c r="Q184" s="10"/>
      <c r="R184" s="11"/>
      <c r="S184" s="11"/>
      <c r="T184" s="26"/>
      <c r="U184" s="28">
        <f t="shared" si="11"/>
        <v>-2.4848484848484856E-2</v>
      </c>
    </row>
    <row r="185" spans="1:21" x14ac:dyDescent="0.25">
      <c r="B185" s="9"/>
      <c r="C185" s="31">
        <v>307.79000000000002</v>
      </c>
      <c r="D185" s="32">
        <v>30.14</v>
      </c>
      <c r="E185" s="32">
        <v>35.320999999999998</v>
      </c>
      <c r="F185" s="32">
        <v>35.805999999999997</v>
      </c>
      <c r="G185" s="18">
        <v>493.1</v>
      </c>
      <c r="H185" s="18">
        <f t="shared" si="9"/>
        <v>31.495874999999998</v>
      </c>
      <c r="I185" s="5"/>
      <c r="J185" s="31">
        <v>249.0224</v>
      </c>
      <c r="K185" s="32">
        <v>30.154199999999999</v>
      </c>
      <c r="L185" s="32">
        <v>36.8795</v>
      </c>
      <c r="M185" s="32">
        <v>37.599699999999999</v>
      </c>
      <c r="N185" s="18">
        <v>471.25349999999997</v>
      </c>
      <c r="O185" s="18">
        <f t="shared" si="10"/>
        <v>31.925550000000001</v>
      </c>
      <c r="P185" s="7"/>
      <c r="Q185" s="10"/>
      <c r="R185" s="11"/>
      <c r="S185" s="11"/>
      <c r="T185" s="26"/>
      <c r="U185" s="28">
        <f t="shared" si="11"/>
        <v>-4.4304400730075133E-2</v>
      </c>
    </row>
    <row r="186" spans="1:21" ht="16.5" thickBot="1" x14ac:dyDescent="0.3">
      <c r="B186" s="12"/>
      <c r="C186" s="33">
        <v>151.57</v>
      </c>
      <c r="D186" s="34">
        <v>27.648</v>
      </c>
      <c r="E186" s="34">
        <v>34.148000000000003</v>
      </c>
      <c r="F186" s="34">
        <v>34.731000000000002</v>
      </c>
      <c r="G186" s="20">
        <v>628.14</v>
      </c>
      <c r="H186" s="20">
        <f t="shared" si="9"/>
        <v>29.345874999999999</v>
      </c>
      <c r="I186" s="5"/>
      <c r="J186" s="33">
        <v>120.504</v>
      </c>
      <c r="K186" s="34">
        <v>27.741800000000001</v>
      </c>
      <c r="L186" s="34">
        <v>35.462200000000003</v>
      </c>
      <c r="M186" s="34">
        <v>36.098100000000002</v>
      </c>
      <c r="N186" s="20">
        <v>604.59490000000005</v>
      </c>
      <c r="O186" s="20">
        <f t="shared" si="10"/>
        <v>29.7513875</v>
      </c>
      <c r="P186" s="7"/>
      <c r="Q186" s="13"/>
      <c r="R186" s="14"/>
      <c r="S186" s="14"/>
      <c r="T186" s="27"/>
      <c r="U186" s="28">
        <f t="shared" si="11"/>
        <v>-3.7483841181902018E-2</v>
      </c>
    </row>
    <row r="187" spans="1:21" x14ac:dyDescent="0.25">
      <c r="B187" s="6" t="s">
        <v>60</v>
      </c>
      <c r="C187" s="15">
        <v>763.32</v>
      </c>
      <c r="D187" s="16">
        <v>35.869999999999997</v>
      </c>
      <c r="E187" s="16">
        <v>37.959000000000003</v>
      </c>
      <c r="F187" s="16">
        <v>39.112000000000002</v>
      </c>
      <c r="G187" s="16">
        <v>274.73</v>
      </c>
      <c r="H187" s="16">
        <f t="shared" si="9"/>
        <v>36.536375</v>
      </c>
      <c r="I187" s="5"/>
      <c r="J187" s="15">
        <v>591.88879999999995</v>
      </c>
      <c r="K187" s="16">
        <v>34.411099999999998</v>
      </c>
      <c r="L187" s="16">
        <v>38.664200000000001</v>
      </c>
      <c r="M187" s="16">
        <v>39.860300000000002</v>
      </c>
      <c r="N187" s="16">
        <v>179.7484</v>
      </c>
      <c r="O187" s="16">
        <f t="shared" si="10"/>
        <v>35.623887499999995</v>
      </c>
      <c r="P187" s="7"/>
      <c r="Q187" s="8">
        <f>bdrate(C187:C190,D187:D190,J187:J190,K187:K190)</f>
        <v>3.4320444922109061E-4</v>
      </c>
      <c r="R187" s="8">
        <f>bdrate(C187:C190,E187:E190,J187:J190,L187:L190)</f>
        <v>-0.42636710533258848</v>
      </c>
      <c r="S187" s="8">
        <f>bdrate(C187:C190,F187:F190,J187:J190,M187:M190)</f>
        <v>-0.43196632527305501</v>
      </c>
      <c r="T187" s="25">
        <f>bdrate(C187:C190,H187:H190,J187:J190,O187:O190)</f>
        <v>-8.7263631642425454E-2</v>
      </c>
      <c r="U187" s="28">
        <f t="shared" si="11"/>
        <v>-0.34572707749426712</v>
      </c>
    </row>
    <row r="188" spans="1:21" x14ac:dyDescent="0.25">
      <c r="B188" s="9"/>
      <c r="C188" s="17">
        <v>478.54</v>
      </c>
      <c r="D188" s="18">
        <v>33.557000000000002</v>
      </c>
      <c r="E188" s="18">
        <v>36.631</v>
      </c>
      <c r="F188" s="18">
        <v>37.79</v>
      </c>
      <c r="G188" s="18">
        <v>326.08999999999997</v>
      </c>
      <c r="H188" s="18">
        <f t="shared" si="9"/>
        <v>34.470375000000004</v>
      </c>
      <c r="I188" s="5"/>
      <c r="J188" s="17">
        <v>391.25279999999998</v>
      </c>
      <c r="K188" s="18">
        <v>32.479900000000001</v>
      </c>
      <c r="L188" s="18">
        <v>37.498800000000003</v>
      </c>
      <c r="M188" s="18">
        <v>38.690100000000001</v>
      </c>
      <c r="N188" s="18">
        <v>216.13829999999999</v>
      </c>
      <c r="O188" s="18">
        <f t="shared" si="10"/>
        <v>33.883537500000003</v>
      </c>
      <c r="P188" s="7"/>
      <c r="Q188" s="10"/>
      <c r="R188" s="11"/>
      <c r="S188" s="11"/>
      <c r="T188" s="26"/>
      <c r="U188" s="28">
        <f t="shared" si="11"/>
        <v>-0.33718206630071451</v>
      </c>
    </row>
    <row r="189" spans="1:21" x14ac:dyDescent="0.25">
      <c r="B189" s="9"/>
      <c r="C189" s="17">
        <v>288.95999999999998</v>
      </c>
      <c r="D189" s="18">
        <v>31.283000000000001</v>
      </c>
      <c r="E189" s="18">
        <v>35.412999999999997</v>
      </c>
      <c r="F189" s="18">
        <v>36.530999999999999</v>
      </c>
      <c r="G189" s="18">
        <v>400.53</v>
      </c>
      <c r="H189" s="18">
        <f t="shared" si="9"/>
        <v>32.455249999999999</v>
      </c>
      <c r="I189" s="5"/>
      <c r="J189" s="17">
        <v>246.38720000000001</v>
      </c>
      <c r="K189" s="18">
        <v>30.647500000000001</v>
      </c>
      <c r="L189" s="18">
        <v>36.351599999999998</v>
      </c>
      <c r="M189" s="18">
        <v>37.516100000000002</v>
      </c>
      <c r="N189" s="18">
        <v>256.41030000000001</v>
      </c>
      <c r="O189" s="18">
        <f t="shared" si="10"/>
        <v>32.219087500000001</v>
      </c>
      <c r="P189" s="7"/>
      <c r="Q189" s="10"/>
      <c r="R189" s="11"/>
      <c r="S189" s="11"/>
      <c r="T189" s="26"/>
      <c r="U189" s="28">
        <f t="shared" si="11"/>
        <v>-0.35982248520710053</v>
      </c>
    </row>
    <row r="190" spans="1:21" ht="16.5" thickBot="1" x14ac:dyDescent="0.3">
      <c r="B190" s="12"/>
      <c r="C190" s="19">
        <v>144.62</v>
      </c>
      <c r="D190" s="20">
        <v>28.437999999999999</v>
      </c>
      <c r="E190" s="20">
        <v>33.978000000000002</v>
      </c>
      <c r="F190" s="20">
        <v>34.99</v>
      </c>
      <c r="G190" s="20">
        <v>519.92999999999995</v>
      </c>
      <c r="H190" s="20">
        <f t="shared" si="9"/>
        <v>29.9495</v>
      </c>
      <c r="I190" s="5"/>
      <c r="J190" s="19">
        <v>117.74</v>
      </c>
      <c r="K190" s="20">
        <v>27.988800000000001</v>
      </c>
      <c r="L190" s="20">
        <v>34.804600000000001</v>
      </c>
      <c r="M190" s="20">
        <v>35.933599999999998</v>
      </c>
      <c r="N190" s="20">
        <v>356.29450000000003</v>
      </c>
      <c r="O190" s="20">
        <f t="shared" si="10"/>
        <v>29.833874999999999</v>
      </c>
      <c r="P190" s="7"/>
      <c r="Q190" s="13"/>
      <c r="R190" s="14"/>
      <c r="S190" s="14"/>
      <c r="T190" s="27"/>
      <c r="U190" s="28">
        <f t="shared" si="11"/>
        <v>-0.31472602081049361</v>
      </c>
    </row>
    <row r="191" spans="1:21" x14ac:dyDescent="0.25">
      <c r="A191" s="6" t="s">
        <v>43</v>
      </c>
      <c r="B191" s="6" t="s">
        <v>61</v>
      </c>
      <c r="C191" s="15">
        <v>1906.1</v>
      </c>
      <c r="D191" s="16">
        <v>41.463000000000001</v>
      </c>
      <c r="E191" s="16">
        <v>45.219000000000001</v>
      </c>
      <c r="F191" s="16">
        <v>46.284999999999997</v>
      </c>
      <c r="G191" s="16">
        <v>95.44</v>
      </c>
      <c r="H191" s="16">
        <f t="shared" si="9"/>
        <v>42.535250000000005</v>
      </c>
      <c r="I191" s="5"/>
      <c r="J191" s="15">
        <v>1502.7439999999999</v>
      </c>
      <c r="K191" s="16">
        <v>41.901000000000003</v>
      </c>
      <c r="L191" s="16">
        <v>46.703200000000002</v>
      </c>
      <c r="M191" s="16">
        <v>47.991599999999998</v>
      </c>
      <c r="N191" s="16">
        <v>90.063000000000002</v>
      </c>
      <c r="O191" s="16">
        <f t="shared" si="10"/>
        <v>43.262599999999999</v>
      </c>
      <c r="P191" s="7"/>
      <c r="Q191" s="8">
        <f>bdrate(C191:C194,D191:D194,J191:J194,K191:K194)</f>
        <v>-0.36810220394120774</v>
      </c>
      <c r="R191" s="8">
        <f>bdrate(C191:C194,E191:E194,J191:J194,L191:L194)</f>
        <v>-0.59248224888170342</v>
      </c>
      <c r="S191" s="8">
        <f>bdrate(C191:C194,F191:F194,J191:J194,M191:M194)</f>
        <v>-0.60177217473947375</v>
      </c>
      <c r="T191" s="25">
        <f>bdrate(C191:C194,H191:H194,J191:J194,O191:O194)</f>
        <v>-0.42136704222214127</v>
      </c>
      <c r="U191" s="28">
        <f t="shared" si="11"/>
        <v>-5.6339061190276568E-2</v>
      </c>
    </row>
    <row r="192" spans="1:21" x14ac:dyDescent="0.25">
      <c r="A192" s="9" t="s">
        <v>44</v>
      </c>
      <c r="B192" s="9"/>
      <c r="C192" s="17">
        <v>1238.72</v>
      </c>
      <c r="D192" s="18">
        <v>40.279000000000003</v>
      </c>
      <c r="E192" s="18">
        <v>44.033000000000001</v>
      </c>
      <c r="F192" s="18">
        <v>45.052</v>
      </c>
      <c r="G192" s="18">
        <v>111.17</v>
      </c>
      <c r="H192" s="18">
        <f t="shared" si="9"/>
        <v>41.344875000000009</v>
      </c>
      <c r="I192" s="5"/>
      <c r="J192" s="17">
        <v>996.62</v>
      </c>
      <c r="K192" s="18">
        <v>40.900599999999997</v>
      </c>
      <c r="L192" s="18">
        <v>45.871400000000001</v>
      </c>
      <c r="M192" s="18">
        <v>47.086500000000001</v>
      </c>
      <c r="N192" s="18">
        <v>115.85250000000001</v>
      </c>
      <c r="O192" s="18">
        <f t="shared" si="10"/>
        <v>42.295187499999997</v>
      </c>
      <c r="P192" s="7"/>
      <c r="Q192" s="10"/>
      <c r="R192" s="11"/>
      <c r="S192" s="11"/>
      <c r="T192" s="26"/>
      <c r="U192" s="28">
        <f t="shared" si="11"/>
        <v>4.2120176306557566E-2</v>
      </c>
    </row>
    <row r="193" spans="1:21" x14ac:dyDescent="0.25">
      <c r="B193" s="9"/>
      <c r="C193" s="17">
        <v>732.32</v>
      </c>
      <c r="D193" s="18">
        <v>38.149000000000001</v>
      </c>
      <c r="E193" s="18">
        <v>42.444000000000003</v>
      </c>
      <c r="F193" s="18">
        <v>43.668999999999997</v>
      </c>
      <c r="G193" s="18">
        <v>129.51</v>
      </c>
      <c r="H193" s="18">
        <f t="shared" si="9"/>
        <v>39.375875000000001</v>
      </c>
      <c r="I193" s="5"/>
      <c r="J193" s="17">
        <v>592.89279999999997</v>
      </c>
      <c r="K193" s="18">
        <v>39.153300000000002</v>
      </c>
      <c r="L193" s="18">
        <v>44.422800000000002</v>
      </c>
      <c r="M193" s="18">
        <v>45.609900000000003</v>
      </c>
      <c r="N193" s="18">
        <v>140.3509</v>
      </c>
      <c r="O193" s="18">
        <f t="shared" si="10"/>
        <v>40.619062499999998</v>
      </c>
      <c r="P193" s="7"/>
      <c r="Q193" s="10"/>
      <c r="R193" s="11"/>
      <c r="S193" s="11"/>
      <c r="T193" s="26"/>
      <c r="U193" s="28">
        <f t="shared" si="11"/>
        <v>8.3707049648675827E-2</v>
      </c>
    </row>
    <row r="194" spans="1:21" ht="16.5" thickBot="1" x14ac:dyDescent="0.3">
      <c r="B194" s="12"/>
      <c r="C194" s="19">
        <v>337.43</v>
      </c>
      <c r="D194" s="20">
        <v>33.844999999999999</v>
      </c>
      <c r="E194" s="20">
        <v>40.253</v>
      </c>
      <c r="F194" s="20">
        <v>41.106000000000002</v>
      </c>
      <c r="G194" s="20">
        <v>148.51</v>
      </c>
      <c r="H194" s="20">
        <f t="shared" si="9"/>
        <v>35.553624999999997</v>
      </c>
      <c r="I194" s="5"/>
      <c r="J194" s="19">
        <v>289.14240000000001</v>
      </c>
      <c r="K194" s="20">
        <v>36.099899999999998</v>
      </c>
      <c r="L194" s="20">
        <v>42.500999999999998</v>
      </c>
      <c r="M194" s="20">
        <v>43.558700000000002</v>
      </c>
      <c r="N194" s="20">
        <v>185.816</v>
      </c>
      <c r="O194" s="20">
        <f t="shared" si="10"/>
        <v>37.832387499999996</v>
      </c>
      <c r="P194" s="7"/>
      <c r="Q194" s="13"/>
      <c r="R194" s="14"/>
      <c r="S194" s="14"/>
      <c r="T194" s="27"/>
      <c r="U194" s="28">
        <f t="shared" si="11"/>
        <v>0.25120193926334938</v>
      </c>
    </row>
    <row r="195" spans="1:21" x14ac:dyDescent="0.25">
      <c r="B195" s="6" t="s">
        <v>62</v>
      </c>
      <c r="C195" s="15">
        <v>1966.31</v>
      </c>
      <c r="D195" s="16">
        <v>42.454999999999998</v>
      </c>
      <c r="E195" s="16">
        <v>47.106000000000002</v>
      </c>
      <c r="F195" s="16">
        <v>47.487000000000002</v>
      </c>
      <c r="G195" s="16">
        <v>87.81</v>
      </c>
      <c r="H195" s="16">
        <f t="shared" si="9"/>
        <v>43.665375000000004</v>
      </c>
      <c r="I195" s="5"/>
      <c r="J195" s="15">
        <v>1505.9096</v>
      </c>
      <c r="K195" s="16">
        <v>42.884</v>
      </c>
      <c r="L195" s="16">
        <v>48.469099999999997</v>
      </c>
      <c r="M195" s="16">
        <v>49.152299999999997</v>
      </c>
      <c r="N195" s="16">
        <v>100.43519999999999</v>
      </c>
      <c r="O195" s="16">
        <f t="shared" si="10"/>
        <v>44.365674999999996</v>
      </c>
      <c r="P195" s="7"/>
      <c r="Q195" s="8">
        <f>bdrate(C195:C198,D195:D198,J195:J198,K195:K198)</f>
        <v>-0.52876471173344075</v>
      </c>
      <c r="R195" s="8">
        <f>bdrate(C195:C198,E195:E198,J195:J198,L195:L198)</f>
        <v>-0.74044657833135763</v>
      </c>
      <c r="S195" s="8">
        <f>bdrate(C195:C198,F195:F198,J195:J198,M195:M198)</f>
        <v>-0.76556290981822472</v>
      </c>
      <c r="T195" s="25">
        <f>bdrate(C195:C198,H195:H198,J195:J198,O195:O198)</f>
        <v>-0.60287525343570081</v>
      </c>
      <c r="U195" s="28">
        <f t="shared" ref="U195:U213" si="12">(N195-G195)/G195</f>
        <v>0.14377861291424657</v>
      </c>
    </row>
    <row r="196" spans="1:21" x14ac:dyDescent="0.25">
      <c r="B196" s="9"/>
      <c r="C196" s="17">
        <v>1287.56</v>
      </c>
      <c r="D196" s="18">
        <v>41.781999999999996</v>
      </c>
      <c r="E196" s="18">
        <v>46.100999999999999</v>
      </c>
      <c r="F196" s="18">
        <v>46.473999999999997</v>
      </c>
      <c r="G196" s="18">
        <v>103.39</v>
      </c>
      <c r="H196" s="18">
        <f t="shared" si="9"/>
        <v>42.908374999999999</v>
      </c>
      <c r="I196" s="5"/>
      <c r="J196" s="17">
        <v>995.15840000000003</v>
      </c>
      <c r="K196" s="18">
        <v>42.4422</v>
      </c>
      <c r="L196" s="18">
        <v>48.075200000000002</v>
      </c>
      <c r="M196" s="18">
        <v>48.726100000000002</v>
      </c>
      <c r="N196" s="18">
        <v>141.94460000000001</v>
      </c>
      <c r="O196" s="18">
        <f t="shared" si="10"/>
        <v>43.931812500000007</v>
      </c>
      <c r="P196" s="7"/>
      <c r="Q196" s="10"/>
      <c r="R196" s="11"/>
      <c r="S196" s="11"/>
      <c r="T196" s="26"/>
      <c r="U196" s="28">
        <f t="shared" si="12"/>
        <v>0.37290453622207181</v>
      </c>
    </row>
    <row r="197" spans="1:21" x14ac:dyDescent="0.25">
      <c r="B197" s="9"/>
      <c r="C197" s="17">
        <v>752.5</v>
      </c>
      <c r="D197" s="18">
        <v>40.564999999999998</v>
      </c>
      <c r="E197" s="18">
        <v>44.728999999999999</v>
      </c>
      <c r="F197" s="18">
        <v>45.334000000000003</v>
      </c>
      <c r="G197" s="18">
        <v>115.5</v>
      </c>
      <c r="H197" s="18">
        <f t="shared" si="9"/>
        <v>41.681624999999997</v>
      </c>
      <c r="I197" s="5"/>
      <c r="J197" s="17">
        <v>572.35599999999999</v>
      </c>
      <c r="K197" s="18">
        <v>41.642299999999999</v>
      </c>
      <c r="L197" s="18">
        <v>47.2866</v>
      </c>
      <c r="M197" s="18">
        <v>47.957999999999998</v>
      </c>
      <c r="N197" s="18">
        <v>174.01390000000001</v>
      </c>
      <c r="O197" s="18">
        <f t="shared" si="10"/>
        <v>43.137299999999996</v>
      </c>
      <c r="P197" s="7"/>
      <c r="Q197" s="10"/>
      <c r="R197" s="11"/>
      <c r="S197" s="11"/>
      <c r="T197" s="26"/>
      <c r="U197" s="28">
        <f t="shared" si="12"/>
        <v>0.50661385281385285</v>
      </c>
    </row>
    <row r="198" spans="1:21" ht="16.5" thickBot="1" x14ac:dyDescent="0.3">
      <c r="B198" s="12"/>
      <c r="C198" s="19">
        <v>329.06</v>
      </c>
      <c r="D198" s="20">
        <v>37.308</v>
      </c>
      <c r="E198" s="20">
        <v>42.557000000000002</v>
      </c>
      <c r="F198" s="20">
        <v>43.17</v>
      </c>
      <c r="G198" s="20">
        <v>147.35</v>
      </c>
      <c r="H198" s="20">
        <f t="shared" si="9"/>
        <v>38.696875000000006</v>
      </c>
      <c r="I198" s="5"/>
      <c r="J198" s="19">
        <v>275.08</v>
      </c>
      <c r="K198" s="20">
        <v>39.866599999999998</v>
      </c>
      <c r="L198" s="20">
        <v>45.4709</v>
      </c>
      <c r="M198" s="20">
        <v>45.996899999999997</v>
      </c>
      <c r="N198" s="20">
        <v>223.63030000000001</v>
      </c>
      <c r="O198" s="20">
        <f t="shared" si="10"/>
        <v>41.333424999999991</v>
      </c>
      <c r="P198" s="7"/>
      <c r="Q198" s="13"/>
      <c r="R198" s="14"/>
      <c r="S198" s="14"/>
      <c r="T198" s="27"/>
      <c r="U198" s="28">
        <f t="shared" si="12"/>
        <v>0.51768103155751621</v>
      </c>
    </row>
    <row r="199" spans="1:21" x14ac:dyDescent="0.25">
      <c r="B199" s="6" t="s">
        <v>63</v>
      </c>
      <c r="C199" s="15">
        <v>2048.6999999999998</v>
      </c>
      <c r="D199" s="16">
        <v>42.56</v>
      </c>
      <c r="E199" s="16">
        <v>46.427999999999997</v>
      </c>
      <c r="F199" s="16">
        <v>47.036999999999999</v>
      </c>
      <c r="G199" s="16">
        <v>85.67</v>
      </c>
      <c r="H199" s="16">
        <f t="shared" si="9"/>
        <v>43.603124999999999</v>
      </c>
      <c r="I199" s="5"/>
      <c r="J199" s="15">
        <v>1540.4872</v>
      </c>
      <c r="K199" s="16">
        <v>42.838799999999999</v>
      </c>
      <c r="L199" s="16">
        <v>47.657800000000002</v>
      </c>
      <c r="M199" s="16">
        <v>48.542499999999997</v>
      </c>
      <c r="N199" s="16">
        <v>82.000799999999998</v>
      </c>
      <c r="O199" s="16">
        <f t="shared" si="10"/>
        <v>44.154137500000004</v>
      </c>
      <c r="P199" s="7"/>
      <c r="Q199" s="8">
        <f>bdrate(C199:C202,D199:D202,J199:J202,K199:K202)</f>
        <v>-0.41793414707890875</v>
      </c>
      <c r="R199" s="8">
        <f>bdrate(C199:C202,E199:E202,J199:J202,L199:L202)</f>
        <v>-0.64015584253691427</v>
      </c>
      <c r="S199" s="8">
        <f>bdrate(C199:C202,F199:F202,J199:J202,M199:M202)</f>
        <v>-0.66866590956147198</v>
      </c>
      <c r="T199" s="25">
        <f>bdrate(C199:C202,H199:H202,J199:J202,O199:O202)</f>
        <v>-0.48469049535903119</v>
      </c>
      <c r="U199" s="28">
        <f t="shared" si="12"/>
        <v>-4.2829461888642506E-2</v>
      </c>
    </row>
    <row r="200" spans="1:21" x14ac:dyDescent="0.25">
      <c r="B200" s="9"/>
      <c r="C200" s="17">
        <v>1346.26</v>
      </c>
      <c r="D200" s="18">
        <v>41.628</v>
      </c>
      <c r="E200" s="18">
        <v>45.317999999999998</v>
      </c>
      <c r="F200" s="18">
        <v>45.993000000000002</v>
      </c>
      <c r="G200" s="18">
        <v>97.86</v>
      </c>
      <c r="H200" s="18">
        <f t="shared" si="9"/>
        <v>42.634875000000001</v>
      </c>
      <c r="I200" s="5"/>
      <c r="J200" s="17">
        <v>1025.7360000000001</v>
      </c>
      <c r="K200" s="18">
        <v>42.1145</v>
      </c>
      <c r="L200" s="18">
        <v>47.005699999999997</v>
      </c>
      <c r="M200" s="18">
        <v>47.9268</v>
      </c>
      <c r="N200" s="18">
        <v>121.7285</v>
      </c>
      <c r="O200" s="18">
        <f t="shared" si="10"/>
        <v>43.452437500000002</v>
      </c>
      <c r="P200" s="7"/>
      <c r="Q200" s="10"/>
      <c r="R200" s="11"/>
      <c r="S200" s="11"/>
      <c r="T200" s="26"/>
      <c r="U200" s="28">
        <f t="shared" si="12"/>
        <v>0.24390455753116694</v>
      </c>
    </row>
    <row r="201" spans="1:21" x14ac:dyDescent="0.25">
      <c r="B201" s="9"/>
      <c r="C201" s="17">
        <v>800.11</v>
      </c>
      <c r="D201" s="18">
        <v>39.99</v>
      </c>
      <c r="E201" s="18">
        <v>43.752000000000002</v>
      </c>
      <c r="F201" s="18">
        <v>44.37</v>
      </c>
      <c r="G201" s="18">
        <v>115.14</v>
      </c>
      <c r="H201" s="18">
        <f t="shared" si="9"/>
        <v>41.007750000000001</v>
      </c>
      <c r="I201" s="5"/>
      <c r="J201" s="17">
        <v>600.37040000000002</v>
      </c>
      <c r="K201" s="18">
        <v>40.8142</v>
      </c>
      <c r="L201" s="18">
        <v>45.814599999999999</v>
      </c>
      <c r="M201" s="18">
        <v>46.699100000000001</v>
      </c>
      <c r="N201" s="18">
        <v>155.0788</v>
      </c>
      <c r="O201" s="18">
        <f t="shared" si="10"/>
        <v>42.174862499999996</v>
      </c>
      <c r="P201" s="7"/>
      <c r="Q201" s="10"/>
      <c r="R201" s="11"/>
      <c r="S201" s="11"/>
      <c r="T201" s="26"/>
      <c r="U201" s="28">
        <f t="shared" si="12"/>
        <v>0.34687163453187425</v>
      </c>
    </row>
    <row r="202" spans="1:21" ht="16.5" thickBot="1" x14ac:dyDescent="0.3">
      <c r="B202" s="12"/>
      <c r="C202" s="19">
        <v>364.36</v>
      </c>
      <c r="D202" s="20">
        <v>36.432000000000002</v>
      </c>
      <c r="E202" s="20">
        <v>41.273000000000003</v>
      </c>
      <c r="F202" s="20">
        <v>41.573</v>
      </c>
      <c r="G202" s="20">
        <v>141.41</v>
      </c>
      <c r="H202" s="20">
        <f t="shared" si="9"/>
        <v>37.679749999999999</v>
      </c>
      <c r="I202" s="5"/>
      <c r="J202" s="19">
        <v>292.97120000000001</v>
      </c>
      <c r="K202" s="20">
        <v>38.400599999999997</v>
      </c>
      <c r="L202" s="20">
        <v>43.991900000000001</v>
      </c>
      <c r="M202" s="20">
        <v>44.859000000000002</v>
      </c>
      <c r="N202" s="20">
        <v>209.0592</v>
      </c>
      <c r="O202" s="20">
        <f t="shared" si="10"/>
        <v>39.906812499999994</v>
      </c>
      <c r="P202" s="7"/>
      <c r="Q202" s="13"/>
      <c r="R202" s="14"/>
      <c r="S202" s="14"/>
      <c r="T202" s="27"/>
      <c r="U202" s="28">
        <f t="shared" si="12"/>
        <v>0.47839049572166048</v>
      </c>
    </row>
    <row r="203" spans="1:21" x14ac:dyDescent="0.25">
      <c r="A203" s="6" t="s">
        <v>94</v>
      </c>
      <c r="B203" s="6" t="s">
        <v>95</v>
      </c>
      <c r="C203" s="15">
        <v>1617.85</v>
      </c>
      <c r="D203" s="16">
        <v>43.686999999999998</v>
      </c>
      <c r="E203" s="16">
        <v>47.640999999999998</v>
      </c>
      <c r="F203" s="16">
        <v>49.76</v>
      </c>
      <c r="G203" s="16">
        <v>70.27</v>
      </c>
      <c r="H203" s="16">
        <f t="shared" ref="H203:H213" si="13">(6*D203+E203+F203)/8</f>
        <v>44.940374999999996</v>
      </c>
      <c r="I203" s="5"/>
      <c r="J203" s="15">
        <v>1235.6256000000001</v>
      </c>
      <c r="K203" s="16">
        <v>45.052799999999998</v>
      </c>
      <c r="L203" s="16">
        <v>51.514200000000002</v>
      </c>
      <c r="M203" s="16">
        <v>52.158799999999999</v>
      </c>
      <c r="N203" s="16">
        <v>56.092199999999998</v>
      </c>
      <c r="O203" s="16">
        <f t="shared" ref="O203:O213" si="14">(6*K203+L203+M203)/8</f>
        <v>46.748725</v>
      </c>
      <c r="P203" s="7"/>
      <c r="Q203" s="8">
        <f>bdrate(C203:C206,D203:D206,J203:J206,K203:K206)</f>
        <v>-0.47654716268083364</v>
      </c>
      <c r="R203" s="8">
        <f>bdrate(C203:C206,E203:E206,J203:J206,L203:L206)</f>
        <v>-0.76257244582034756</v>
      </c>
      <c r="S203" s="8">
        <f>bdrate(C203:C206,F203:F206,J203:J206,M203:M206)</f>
        <v>-0.67752726453666701</v>
      </c>
      <c r="T203" s="25">
        <f>bdrate(C203:C206,H203:H206,J203:J206,O203:O206)</f>
        <v>-0.53819311212160414</v>
      </c>
      <c r="U203" s="28">
        <f t="shared" si="12"/>
        <v>-0.20176177600683076</v>
      </c>
    </row>
    <row r="204" spans="1:21" x14ac:dyDescent="0.25">
      <c r="A204" s="9" t="s">
        <v>77</v>
      </c>
      <c r="B204" s="9"/>
      <c r="C204" s="17">
        <v>1080.3599999999999</v>
      </c>
      <c r="D204" s="18">
        <v>41.338000000000001</v>
      </c>
      <c r="E204" s="18">
        <v>45.88</v>
      </c>
      <c r="F204" s="18">
        <v>48.151000000000003</v>
      </c>
      <c r="G204" s="18">
        <v>80.91</v>
      </c>
      <c r="H204" s="18">
        <f t="shared" si="13"/>
        <v>42.757375000000003</v>
      </c>
      <c r="I204" s="5"/>
      <c r="J204" s="17">
        <v>832.43169999999998</v>
      </c>
      <c r="K204" s="18">
        <v>43.222999999999999</v>
      </c>
      <c r="L204" s="18">
        <v>50.219000000000001</v>
      </c>
      <c r="M204" s="18">
        <v>50.8371</v>
      </c>
      <c r="N204" s="18">
        <v>69.010499999999993</v>
      </c>
      <c r="O204" s="18">
        <f t="shared" si="14"/>
        <v>45.049262499999998</v>
      </c>
      <c r="P204" s="7"/>
      <c r="Q204" s="10"/>
      <c r="R204" s="11"/>
      <c r="S204" s="11"/>
      <c r="T204" s="26"/>
      <c r="U204" s="28">
        <f t="shared" si="12"/>
        <v>-0.14707081942899522</v>
      </c>
    </row>
    <row r="205" spans="1:21" x14ac:dyDescent="0.25">
      <c r="B205" s="9"/>
      <c r="C205" s="17">
        <v>657.68</v>
      </c>
      <c r="D205" s="18">
        <v>38.405000000000001</v>
      </c>
      <c r="E205" s="18">
        <v>43.185000000000002</v>
      </c>
      <c r="F205" s="18">
        <v>45.921999999999997</v>
      </c>
      <c r="G205" s="18">
        <v>98.37</v>
      </c>
      <c r="H205" s="18">
        <f t="shared" si="13"/>
        <v>39.942125000000004</v>
      </c>
      <c r="I205" s="5"/>
      <c r="J205" s="17">
        <v>507.86239999999998</v>
      </c>
      <c r="K205" s="18">
        <v>40.609000000000002</v>
      </c>
      <c r="L205" s="18">
        <v>48.613199999999999</v>
      </c>
      <c r="M205" s="18">
        <v>49.515099999999997</v>
      </c>
      <c r="N205" s="18">
        <v>84.100399999999993</v>
      </c>
      <c r="O205" s="18">
        <f t="shared" si="14"/>
        <v>42.722787500000003</v>
      </c>
      <c r="P205" s="7"/>
      <c r="Q205" s="10"/>
      <c r="R205" s="11"/>
      <c r="S205" s="11"/>
      <c r="T205" s="26"/>
      <c r="U205" s="28">
        <f t="shared" si="12"/>
        <v>-0.14506048592050433</v>
      </c>
    </row>
    <row r="206" spans="1:21" ht="16.5" thickBot="1" x14ac:dyDescent="0.3">
      <c r="B206" s="12"/>
      <c r="C206" s="19">
        <v>311.08</v>
      </c>
      <c r="D206" s="20">
        <v>33.698999999999998</v>
      </c>
      <c r="E206" s="20">
        <v>40.944000000000003</v>
      </c>
      <c r="F206" s="20">
        <v>43.393999999999998</v>
      </c>
      <c r="G206" s="20">
        <v>132.16999999999999</v>
      </c>
      <c r="H206" s="20">
        <f t="shared" si="13"/>
        <v>35.816499999999998</v>
      </c>
      <c r="I206" s="5"/>
      <c r="J206" s="19">
        <v>258.1979</v>
      </c>
      <c r="K206" s="20">
        <v>37.366900000000001</v>
      </c>
      <c r="L206" s="20">
        <v>45.971299999999999</v>
      </c>
      <c r="M206" s="20">
        <v>46.815899999999999</v>
      </c>
      <c r="N206" s="20">
        <v>110.6263</v>
      </c>
      <c r="O206" s="20">
        <f t="shared" si="14"/>
        <v>39.623575000000002</v>
      </c>
      <c r="P206" s="7"/>
      <c r="Q206" s="13"/>
      <c r="R206" s="14"/>
      <c r="S206" s="14"/>
      <c r="T206" s="27"/>
      <c r="U206" s="28">
        <f t="shared" si="12"/>
        <v>-0.16299992433986524</v>
      </c>
    </row>
    <row r="207" spans="1:21" x14ac:dyDescent="0.25">
      <c r="B207" s="6" t="s">
        <v>96</v>
      </c>
      <c r="C207" s="15">
        <v>1991.41</v>
      </c>
      <c r="D207" s="16">
        <v>55.301000000000002</v>
      </c>
      <c r="E207" s="16">
        <v>55.502000000000002</v>
      </c>
      <c r="F207" s="16">
        <v>55.834000000000003</v>
      </c>
      <c r="G207" s="16">
        <v>150.24</v>
      </c>
      <c r="H207" s="16">
        <f t="shared" si="13"/>
        <v>55.392750000000007</v>
      </c>
      <c r="I207" s="5"/>
      <c r="J207" s="15">
        <v>1431.2652</v>
      </c>
      <c r="K207" s="16">
        <v>53.060499999999998</v>
      </c>
      <c r="L207" s="16">
        <v>53.978000000000002</v>
      </c>
      <c r="M207" s="16">
        <v>54.582500000000003</v>
      </c>
      <c r="N207" s="16">
        <v>104.5175</v>
      </c>
      <c r="O207" s="16">
        <f t="shared" si="14"/>
        <v>53.365437499999999</v>
      </c>
      <c r="P207" s="7"/>
      <c r="Q207" s="8">
        <f>bdrate(C207:C210,D207:D210,J207:J210,K207:K210)</f>
        <v>-9.3187356757413409E-2</v>
      </c>
      <c r="R207" s="8">
        <f>bdrate(C207:C210,E207:E210,J207:J210,L207:L210)</f>
        <v>-0.26611676741358403</v>
      </c>
      <c r="S207" s="8">
        <f>bdrate(C207:C210,F207:F210,J207:J210,M207:M210)</f>
        <v>-0.27580217086620751</v>
      </c>
      <c r="T207" s="25">
        <f>bdrate(C207:C210,H207:H210,J207:J210,O207:O210)</f>
        <v>-0.13880342016169545</v>
      </c>
      <c r="U207" s="28">
        <f t="shared" si="12"/>
        <v>-0.30432973908413213</v>
      </c>
    </row>
    <row r="208" spans="1:21" x14ac:dyDescent="0.25">
      <c r="B208" s="9"/>
      <c r="C208" s="17">
        <v>1330.06</v>
      </c>
      <c r="D208" s="18">
        <v>52.566000000000003</v>
      </c>
      <c r="E208" s="18">
        <v>52.923000000000002</v>
      </c>
      <c r="F208" s="18">
        <v>53.371000000000002</v>
      </c>
      <c r="G208" s="18">
        <v>167.96</v>
      </c>
      <c r="H208" s="18">
        <f t="shared" si="13"/>
        <v>52.71125</v>
      </c>
      <c r="I208" s="5"/>
      <c r="J208" s="17">
        <v>977.01610000000005</v>
      </c>
      <c r="K208" s="18">
        <v>51.066299999999998</v>
      </c>
      <c r="L208" s="18">
        <v>52.448399999999999</v>
      </c>
      <c r="M208" s="18">
        <v>53.017099999999999</v>
      </c>
      <c r="N208" s="18">
        <v>141.5651</v>
      </c>
      <c r="O208" s="18">
        <f t="shared" si="14"/>
        <v>51.482912499999998</v>
      </c>
      <c r="P208" s="7"/>
      <c r="Q208" s="10"/>
      <c r="R208" s="11"/>
      <c r="S208" s="11"/>
      <c r="T208" s="26"/>
      <c r="U208" s="28">
        <f t="shared" si="12"/>
        <v>-0.15714991664682071</v>
      </c>
    </row>
    <row r="209" spans="2:21" x14ac:dyDescent="0.25">
      <c r="B209" s="9"/>
      <c r="C209" s="17">
        <v>810.21</v>
      </c>
      <c r="D209" s="18">
        <v>49.39</v>
      </c>
      <c r="E209" s="18">
        <v>49.893999999999998</v>
      </c>
      <c r="F209" s="18">
        <v>50.414999999999999</v>
      </c>
      <c r="G209" s="18">
        <v>190.09</v>
      </c>
      <c r="H209" s="18">
        <f t="shared" si="13"/>
        <v>49.581125000000007</v>
      </c>
      <c r="I209" s="5"/>
      <c r="J209" s="17">
        <v>600.53150000000005</v>
      </c>
      <c r="K209" s="18">
        <v>48.318100000000001</v>
      </c>
      <c r="L209" s="18">
        <v>50.141399999999997</v>
      </c>
      <c r="M209" s="18">
        <v>50.718200000000003</v>
      </c>
      <c r="N209" s="18">
        <v>172.97710000000001</v>
      </c>
      <c r="O209" s="18">
        <f t="shared" si="14"/>
        <v>48.846024999999997</v>
      </c>
      <c r="P209" s="7"/>
      <c r="Q209" s="10"/>
      <c r="R209" s="11"/>
      <c r="S209" s="11"/>
      <c r="T209" s="26"/>
      <c r="U209" s="28">
        <f t="shared" si="12"/>
        <v>-9.0025251196801492E-2</v>
      </c>
    </row>
    <row r="210" spans="2:21" ht="16.5" thickBot="1" x14ac:dyDescent="0.3">
      <c r="B210" s="12"/>
      <c r="C210" s="19">
        <v>382.97</v>
      </c>
      <c r="D210" s="20">
        <v>44.804000000000002</v>
      </c>
      <c r="E210" s="20">
        <v>45.518000000000001</v>
      </c>
      <c r="F210" s="20">
        <v>46</v>
      </c>
      <c r="G210" s="20">
        <v>231.69</v>
      </c>
      <c r="H210" s="20">
        <f t="shared" si="13"/>
        <v>45.042749999999998</v>
      </c>
      <c r="I210" s="5"/>
      <c r="J210" s="19">
        <v>309.15429999999998</v>
      </c>
      <c r="K210" s="20">
        <v>43.9953</v>
      </c>
      <c r="L210" s="20">
        <v>46.583399999999997</v>
      </c>
      <c r="M210" s="20">
        <v>47.178600000000003</v>
      </c>
      <c r="N210" s="20">
        <v>207.51669999999999</v>
      </c>
      <c r="O210" s="20">
        <f t="shared" si="14"/>
        <v>44.716725000000004</v>
      </c>
      <c r="P210" s="7"/>
      <c r="Q210" s="13"/>
      <c r="R210" s="14"/>
      <c r="S210" s="14"/>
      <c r="T210" s="27"/>
      <c r="U210" s="28">
        <f t="shared" si="12"/>
        <v>-0.10433467132806773</v>
      </c>
    </row>
    <row r="211" spans="2:21" x14ac:dyDescent="0.25">
      <c r="B211" s="6" t="s">
        <v>97</v>
      </c>
      <c r="C211" s="15">
        <v>2162.7600000000002</v>
      </c>
      <c r="D211" s="16">
        <v>44.584000000000003</v>
      </c>
      <c r="E211" s="16">
        <v>46.122999999999998</v>
      </c>
      <c r="F211" s="16">
        <v>46.612000000000002</v>
      </c>
      <c r="G211" s="16">
        <v>69.430000000000007</v>
      </c>
      <c r="H211" s="16">
        <f t="shared" si="13"/>
        <v>45.029875000000004</v>
      </c>
      <c r="I211" s="5"/>
      <c r="J211" s="15">
        <v>1478.3163999999999</v>
      </c>
      <c r="K211" s="16">
        <v>43.900199999999998</v>
      </c>
      <c r="L211" s="16">
        <v>46.655099999999997</v>
      </c>
      <c r="M211" s="16">
        <v>47.072800000000001</v>
      </c>
      <c r="N211" s="16">
        <v>67.161699999999996</v>
      </c>
      <c r="O211" s="16">
        <f t="shared" si="14"/>
        <v>44.641137499999999</v>
      </c>
      <c r="P211" s="7"/>
      <c r="Q211" s="8">
        <f>bdrate(C211:C214,D211:D214,J211:J214,K211:K214)</f>
        <v>-0.31334893119118856</v>
      </c>
      <c r="R211" s="8">
        <f>bdrate(C211:C214,E211:E214,J211:J214,L211:L214)</f>
        <v>-0.46705736058102698</v>
      </c>
      <c r="S211" s="8">
        <f>bdrate(C211:C214,F211:F214,J211:J214,M211:M214)</f>
        <v>-0.44985371184393319</v>
      </c>
      <c r="T211" s="25">
        <f>bdrate(C211:C214,H211:H214,J211:J214,O211:O214)</f>
        <v>-0.34219106596478688</v>
      </c>
      <c r="U211" s="28">
        <f t="shared" si="12"/>
        <v>-3.2670315425608679E-2</v>
      </c>
    </row>
    <row r="212" spans="2:21" x14ac:dyDescent="0.25">
      <c r="B212" s="9"/>
      <c r="C212" s="17">
        <v>1442.25</v>
      </c>
      <c r="D212" s="18">
        <v>42.280999999999999</v>
      </c>
      <c r="E212" s="18">
        <v>44.335000000000001</v>
      </c>
      <c r="F212" s="18">
        <v>44.835000000000001</v>
      </c>
      <c r="G212" s="18">
        <v>81.95</v>
      </c>
      <c r="H212" s="18">
        <f t="shared" si="13"/>
        <v>42.856999999999992</v>
      </c>
      <c r="I212" s="5"/>
      <c r="J212" s="17">
        <v>987.11879999999996</v>
      </c>
      <c r="K212" s="18">
        <v>41.951599999999999</v>
      </c>
      <c r="L212" s="18">
        <v>45.203299999999999</v>
      </c>
      <c r="M212" s="18">
        <v>45.598100000000002</v>
      </c>
      <c r="N212" s="18">
        <v>82.656000000000006</v>
      </c>
      <c r="O212" s="18">
        <f t="shared" si="14"/>
        <v>42.813874999999996</v>
      </c>
      <c r="P212" s="7"/>
      <c r="Q212" s="10"/>
      <c r="R212" s="11"/>
      <c r="S212" s="11"/>
      <c r="T212" s="26"/>
      <c r="U212" s="28">
        <f t="shared" si="12"/>
        <v>8.6150091519219402E-3</v>
      </c>
    </row>
    <row r="213" spans="2:21" x14ac:dyDescent="0.25">
      <c r="B213" s="9"/>
      <c r="C213" s="17">
        <v>878.03</v>
      </c>
      <c r="D213" s="18">
        <v>39.323999999999998</v>
      </c>
      <c r="E213" s="18">
        <v>42.262999999999998</v>
      </c>
      <c r="F213" s="18">
        <v>42.771000000000001</v>
      </c>
      <c r="G213" s="18">
        <v>99.72</v>
      </c>
      <c r="H213" s="18">
        <f t="shared" si="13"/>
        <v>40.122250000000001</v>
      </c>
      <c r="I213" s="5"/>
      <c r="J213" s="17">
        <v>590.24239999999998</v>
      </c>
      <c r="K213" s="18">
        <v>39.296599999999998</v>
      </c>
      <c r="L213" s="18">
        <v>43.287199999999999</v>
      </c>
      <c r="M213" s="18">
        <v>43.653500000000001</v>
      </c>
      <c r="N213" s="18">
        <v>99.900099999999995</v>
      </c>
      <c r="O213" s="18">
        <f t="shared" si="14"/>
        <v>40.340037500000001</v>
      </c>
      <c r="P213" s="7"/>
      <c r="Q213" s="10"/>
      <c r="R213" s="11"/>
      <c r="S213" s="11"/>
      <c r="T213" s="26"/>
      <c r="U213" s="28">
        <f t="shared" si="12"/>
        <v>1.8060569594865216E-3</v>
      </c>
    </row>
    <row r="214" spans="2:21" ht="16.5" thickBot="1" x14ac:dyDescent="0.3">
      <c r="B214" s="12"/>
      <c r="C214" s="19">
        <v>416.63</v>
      </c>
      <c r="D214" s="20">
        <v>34.701000000000001</v>
      </c>
      <c r="E214" s="20">
        <v>39.387</v>
      </c>
      <c r="F214" s="20">
        <v>39.935000000000002</v>
      </c>
      <c r="G214" s="20">
        <v>130.66999999999999</v>
      </c>
      <c r="H214" s="20">
        <f t="shared" ref="H214:H246" si="15">(6*D214+E214+F214)/8</f>
        <v>35.941000000000003</v>
      </c>
      <c r="I214" s="5"/>
      <c r="J214" s="19">
        <v>297.88690000000003</v>
      </c>
      <c r="K214" s="20">
        <v>35.519399999999997</v>
      </c>
      <c r="L214" s="20">
        <v>40.642299999999999</v>
      </c>
      <c r="M214" s="20">
        <v>41.040399999999998</v>
      </c>
      <c r="N214" s="20">
        <v>126.7963</v>
      </c>
      <c r="O214" s="20">
        <f t="shared" ref="O214:O246" si="16">(6*K214+L214+M214)/8</f>
        <v>36.849887500000001</v>
      </c>
      <c r="P214" s="7"/>
      <c r="Q214" s="13"/>
      <c r="R214" s="14"/>
      <c r="S214" s="14"/>
      <c r="T214" s="27"/>
      <c r="U214" s="28">
        <f t="shared" ref="U214:U246" si="17">(N214-G214)/G214</f>
        <v>-2.964490701767801E-2</v>
      </c>
    </row>
    <row r="215" spans="2:21" x14ac:dyDescent="0.25">
      <c r="B215" s="6" t="s">
        <v>98</v>
      </c>
      <c r="C215" s="29">
        <v>2055.6799999999998</v>
      </c>
      <c r="D215" s="30">
        <v>40.743000000000002</v>
      </c>
      <c r="E215" s="30">
        <v>44.546999999999997</v>
      </c>
      <c r="F215" s="30">
        <v>44.542999999999999</v>
      </c>
      <c r="G215" s="16">
        <v>62.4</v>
      </c>
      <c r="H215" s="16">
        <f t="shared" si="15"/>
        <v>41.6935</v>
      </c>
      <c r="I215" s="5"/>
      <c r="J215" s="29">
        <v>1496.9648999999999</v>
      </c>
      <c r="K215" s="30">
        <v>39.894100000000002</v>
      </c>
      <c r="L215" s="30">
        <v>44.834800000000001</v>
      </c>
      <c r="M215" s="30">
        <v>44.828200000000002</v>
      </c>
      <c r="N215" s="16">
        <v>62.367899999999999</v>
      </c>
      <c r="O215" s="16">
        <f t="shared" si="16"/>
        <v>41.128449999999994</v>
      </c>
      <c r="P215" s="7"/>
      <c r="Q215" s="8">
        <f>bdrate(C215:C218,D215:D218,J215:J218,K215:K218)</f>
        <v>-0.23592306093011473</v>
      </c>
      <c r="R215" s="8">
        <f>bdrate(C215:C218,E215:E218,J215:J218,L215:L218)</f>
        <v>-0.40063837170911631</v>
      </c>
      <c r="S215" s="8">
        <f>bdrate(C215:C218,F215:F218,J215:J218,M215:M218)</f>
        <v>-0.39768268098755966</v>
      </c>
      <c r="T215" s="25">
        <f>bdrate(C215:C218,H215:H218,J215:J218,O215:O218)</f>
        <v>-0.26674115129158471</v>
      </c>
      <c r="U215" s="28">
        <f t="shared" si="17"/>
        <v>-5.1442307692307367E-4</v>
      </c>
    </row>
    <row r="216" spans="2:21" x14ac:dyDescent="0.25">
      <c r="B216" s="9"/>
      <c r="C216" s="31">
        <v>1375.03</v>
      </c>
      <c r="D216" s="32">
        <v>38.613999999999997</v>
      </c>
      <c r="E216" s="32">
        <v>43.015000000000001</v>
      </c>
      <c r="F216" s="32">
        <v>43.015999999999998</v>
      </c>
      <c r="G216" s="18">
        <v>73.03</v>
      </c>
      <c r="H216" s="18">
        <f t="shared" si="15"/>
        <v>39.714374999999997</v>
      </c>
      <c r="I216" s="5"/>
      <c r="J216" s="31">
        <v>997.86890000000005</v>
      </c>
      <c r="K216" s="32">
        <v>38.017699999999998</v>
      </c>
      <c r="L216" s="32">
        <v>43.523400000000002</v>
      </c>
      <c r="M216" s="32">
        <v>43.487200000000001</v>
      </c>
      <c r="N216" s="18">
        <v>73.821899999999999</v>
      </c>
      <c r="O216" s="18">
        <f t="shared" si="16"/>
        <v>39.389600000000002</v>
      </c>
      <c r="P216" s="7"/>
      <c r="Q216" s="10"/>
      <c r="R216" s="11"/>
      <c r="S216" s="11"/>
      <c r="T216" s="26"/>
      <c r="U216" s="28">
        <f t="shared" si="17"/>
        <v>1.0843488977132661E-2</v>
      </c>
    </row>
    <row r="217" spans="2:21" x14ac:dyDescent="0.25">
      <c r="B217" s="9"/>
      <c r="C217" s="31">
        <v>840.95</v>
      </c>
      <c r="D217" s="32">
        <v>36.017000000000003</v>
      </c>
      <c r="E217" s="32">
        <v>41.348999999999997</v>
      </c>
      <c r="F217" s="32">
        <v>41.284999999999997</v>
      </c>
      <c r="G217" s="18">
        <v>88.35</v>
      </c>
      <c r="H217" s="18">
        <f t="shared" si="15"/>
        <v>37.341999999999999</v>
      </c>
      <c r="I217" s="5"/>
      <c r="J217" s="31">
        <v>600.3048</v>
      </c>
      <c r="K217" s="32">
        <v>35.673699999999997</v>
      </c>
      <c r="L217" s="32">
        <v>41.9651</v>
      </c>
      <c r="M217" s="32">
        <v>41.908700000000003</v>
      </c>
      <c r="N217" s="18">
        <v>89.512200000000007</v>
      </c>
      <c r="O217" s="18">
        <f t="shared" si="16"/>
        <v>37.2395</v>
      </c>
      <c r="P217" s="7"/>
      <c r="Q217" s="10"/>
      <c r="R217" s="11"/>
      <c r="S217" s="11"/>
      <c r="T217" s="26"/>
      <c r="U217" s="28">
        <f t="shared" si="17"/>
        <v>1.3154499151103711E-2</v>
      </c>
    </row>
    <row r="218" spans="2:21" ht="16.5" thickBot="1" x14ac:dyDescent="0.3">
      <c r="B218" s="12"/>
      <c r="C218" s="33">
        <v>402.11</v>
      </c>
      <c r="D218" s="34">
        <v>31.795000000000002</v>
      </c>
      <c r="E218" s="34">
        <v>39.039000000000001</v>
      </c>
      <c r="F218" s="34">
        <v>38.856000000000002</v>
      </c>
      <c r="G218" s="20">
        <v>117.5</v>
      </c>
      <c r="H218" s="20">
        <f t="shared" si="15"/>
        <v>33.583125000000003</v>
      </c>
      <c r="I218" s="5"/>
      <c r="J218" s="33">
        <v>300.20650000000001</v>
      </c>
      <c r="K218" s="34">
        <v>32.615000000000002</v>
      </c>
      <c r="L218" s="34">
        <v>40.0411</v>
      </c>
      <c r="M218" s="34">
        <v>39.942300000000003</v>
      </c>
      <c r="N218" s="20">
        <v>116.78449999999999</v>
      </c>
      <c r="O218" s="20">
        <f t="shared" si="16"/>
        <v>34.459175000000002</v>
      </c>
      <c r="P218" s="7"/>
      <c r="Q218" s="13"/>
      <c r="R218" s="14"/>
      <c r="S218" s="14"/>
      <c r="T218" s="27"/>
      <c r="U218" s="28">
        <f t="shared" si="17"/>
        <v>-6.089361702127709E-3</v>
      </c>
    </row>
    <row r="219" spans="2:21" x14ac:dyDescent="0.25">
      <c r="B219" s="6" t="s">
        <v>99</v>
      </c>
      <c r="C219" s="15">
        <v>2119.5700000000002</v>
      </c>
      <c r="D219" s="16">
        <v>39.088999999999999</v>
      </c>
      <c r="E219" s="16">
        <v>42.091999999999999</v>
      </c>
      <c r="F219" s="16">
        <v>42.637999999999998</v>
      </c>
      <c r="G219" s="16">
        <v>76.569999999999993</v>
      </c>
      <c r="H219" s="16">
        <f t="shared" si="15"/>
        <v>39.907999999999994</v>
      </c>
      <c r="I219" s="5"/>
      <c r="J219" s="15">
        <v>1510.2076</v>
      </c>
      <c r="K219" s="16">
        <v>37.9621</v>
      </c>
      <c r="L219" s="16">
        <v>43.145400000000002</v>
      </c>
      <c r="M219" s="16">
        <v>43.675800000000002</v>
      </c>
      <c r="N219" s="16">
        <v>69.802599999999998</v>
      </c>
      <c r="O219" s="16">
        <f t="shared" si="16"/>
        <v>39.324224999999998</v>
      </c>
      <c r="P219" s="7"/>
      <c r="Q219" s="8">
        <f>bdrate(C219:C222,D219:D222,J219:J222,K219:K222)</f>
        <v>-0.20712237375685438</v>
      </c>
      <c r="R219" s="8">
        <f>bdrate(C219:C222,E219:E222,J219:J222,L219:L222)</f>
        <v>-0.51549083483381342</v>
      </c>
      <c r="S219" s="8">
        <f>bdrate(C219:C222,F219:F222,J219:J222,M219:M222)</f>
        <v>-0.50974779475942056</v>
      </c>
      <c r="T219" s="25">
        <f>bdrate(C219:C222,H219:H222,J219:J222,O219:O222)</f>
        <v>-0.27165286473062678</v>
      </c>
      <c r="U219" s="28">
        <f t="shared" si="17"/>
        <v>-8.83818727961342E-2</v>
      </c>
    </row>
    <row r="220" spans="2:21" x14ac:dyDescent="0.25">
      <c r="B220" s="9"/>
      <c r="C220" s="17">
        <v>1414.58</v>
      </c>
      <c r="D220" s="18">
        <v>36.945</v>
      </c>
      <c r="E220" s="18">
        <v>40.472000000000001</v>
      </c>
      <c r="F220" s="18">
        <v>41.104999999999997</v>
      </c>
      <c r="G220" s="18">
        <v>88.55</v>
      </c>
      <c r="H220" s="18">
        <f t="shared" si="15"/>
        <v>37.905875000000002</v>
      </c>
      <c r="I220" s="5"/>
      <c r="J220" s="17">
        <v>1007.524</v>
      </c>
      <c r="K220" s="18">
        <v>36.1098</v>
      </c>
      <c r="L220" s="18">
        <v>41.811599999999999</v>
      </c>
      <c r="M220" s="18">
        <v>42.405999999999999</v>
      </c>
      <c r="N220" s="18">
        <v>82.296999999999997</v>
      </c>
      <c r="O220" s="18">
        <f t="shared" si="16"/>
        <v>37.609549999999999</v>
      </c>
      <c r="P220" s="7"/>
      <c r="Q220" s="10"/>
      <c r="R220" s="11"/>
      <c r="S220" s="11"/>
      <c r="T220" s="26"/>
      <c r="U220" s="28">
        <f t="shared" si="17"/>
        <v>-7.0615471485036704E-2</v>
      </c>
    </row>
    <row r="221" spans="2:21" x14ac:dyDescent="0.25">
      <c r="B221" s="9"/>
      <c r="C221" s="17">
        <v>859.68</v>
      </c>
      <c r="D221" s="18">
        <v>34.369</v>
      </c>
      <c r="E221" s="18">
        <v>38.719000000000001</v>
      </c>
      <c r="F221" s="18">
        <v>39.482999999999997</v>
      </c>
      <c r="G221" s="18">
        <v>105.57</v>
      </c>
      <c r="H221" s="18">
        <f t="shared" si="15"/>
        <v>35.552</v>
      </c>
      <c r="I221" s="5"/>
      <c r="J221" s="17">
        <v>605.24450000000002</v>
      </c>
      <c r="K221" s="18">
        <v>33.775399999999998</v>
      </c>
      <c r="L221" s="18">
        <v>40.017400000000002</v>
      </c>
      <c r="M221" s="18">
        <v>40.636600000000001</v>
      </c>
      <c r="N221" s="18">
        <v>95.278400000000005</v>
      </c>
      <c r="O221" s="18">
        <f t="shared" si="16"/>
        <v>35.4133</v>
      </c>
      <c r="P221" s="7"/>
      <c r="Q221" s="10"/>
      <c r="R221" s="11"/>
      <c r="S221" s="11"/>
      <c r="T221" s="26"/>
      <c r="U221" s="28">
        <f t="shared" si="17"/>
        <v>-9.7486028227716098E-2</v>
      </c>
    </row>
    <row r="222" spans="2:21" ht="16.5" thickBot="1" x14ac:dyDescent="0.3">
      <c r="B222" s="12"/>
      <c r="C222" s="19">
        <v>404.48</v>
      </c>
      <c r="D222" s="20">
        <v>30.256</v>
      </c>
      <c r="E222" s="20">
        <v>36.305999999999997</v>
      </c>
      <c r="F222" s="20">
        <v>37.228000000000002</v>
      </c>
      <c r="G222" s="20">
        <v>134.79</v>
      </c>
      <c r="H222" s="20">
        <f t="shared" si="15"/>
        <v>31.883749999999999</v>
      </c>
      <c r="I222" s="5"/>
      <c r="J222" s="19">
        <v>301.85210000000001</v>
      </c>
      <c r="K222" s="20">
        <v>30.653099999999998</v>
      </c>
      <c r="L222" s="20">
        <v>37.798099999999998</v>
      </c>
      <c r="M222" s="20">
        <v>38.541400000000003</v>
      </c>
      <c r="N222" s="20">
        <v>120.44159999999999</v>
      </c>
      <c r="O222" s="20">
        <f t="shared" si="16"/>
        <v>32.532262500000002</v>
      </c>
      <c r="P222" s="7"/>
      <c r="Q222" s="13"/>
      <c r="R222" s="14"/>
      <c r="S222" s="14"/>
      <c r="T222" s="27"/>
      <c r="U222" s="28">
        <f t="shared" si="17"/>
        <v>-0.10645003338526596</v>
      </c>
    </row>
    <row r="223" spans="2:21" x14ac:dyDescent="0.25">
      <c r="B223" s="6" t="s">
        <v>100</v>
      </c>
      <c r="C223" s="15">
        <v>2112.81</v>
      </c>
      <c r="D223" s="16">
        <v>38.886000000000003</v>
      </c>
      <c r="E223" s="16">
        <v>43.834000000000003</v>
      </c>
      <c r="F223" s="16">
        <v>45.512999999999998</v>
      </c>
      <c r="G223" s="16">
        <v>54.63</v>
      </c>
      <c r="H223" s="16">
        <f t="shared" si="15"/>
        <v>40.332875000000001</v>
      </c>
      <c r="I223" s="5"/>
      <c r="J223" s="15">
        <v>1512.0591999999999</v>
      </c>
      <c r="K223" s="16">
        <v>37.917299999999997</v>
      </c>
      <c r="L223" s="16">
        <v>44.186</v>
      </c>
      <c r="M223" s="16">
        <v>45.7136</v>
      </c>
      <c r="N223" s="16">
        <v>60.253100000000003</v>
      </c>
      <c r="O223" s="16">
        <f t="shared" si="16"/>
        <v>39.675424999999997</v>
      </c>
      <c r="P223" s="7"/>
      <c r="Q223" s="8">
        <f>bdrate(C223:C226,D223:D226,J223:J226,K223:K226)</f>
        <v>-0.23380085117032878</v>
      </c>
      <c r="R223" s="8">
        <f>bdrate(C223:C226,E223:E226,J223:J226,L223:L226)</f>
        <v>-0.50528476222030849</v>
      </c>
      <c r="S223" s="8">
        <f>bdrate(C223:C226,F223:F226,J223:J226,M223:M226)</f>
        <v>-0.44679348508079419</v>
      </c>
      <c r="T223" s="25">
        <f>bdrate(C223:C226,H223:H226,J223:J226,O223:O226)</f>
        <v>-0.28693971697606202</v>
      </c>
      <c r="U223" s="28">
        <f t="shared" si="17"/>
        <v>0.10293062419915798</v>
      </c>
    </row>
    <row r="224" spans="2:21" x14ac:dyDescent="0.25">
      <c r="B224" s="9"/>
      <c r="C224" s="17">
        <v>1410.84</v>
      </c>
      <c r="D224" s="18">
        <v>37.149000000000001</v>
      </c>
      <c r="E224" s="18">
        <v>42.564</v>
      </c>
      <c r="F224" s="18">
        <v>44.26</v>
      </c>
      <c r="G224" s="18">
        <v>66.010000000000005</v>
      </c>
      <c r="H224" s="18">
        <f t="shared" si="15"/>
        <v>38.714750000000002</v>
      </c>
      <c r="I224" s="5"/>
      <c r="J224" s="17">
        <v>1005.7665</v>
      </c>
      <c r="K224" s="18">
        <v>36.513800000000003</v>
      </c>
      <c r="L224" s="18">
        <v>43.274299999999997</v>
      </c>
      <c r="M224" s="18">
        <v>44.722999999999999</v>
      </c>
      <c r="N224" s="18">
        <v>72.025899999999993</v>
      </c>
      <c r="O224" s="18">
        <f t="shared" si="16"/>
        <v>38.385012500000002</v>
      </c>
      <c r="P224" s="7"/>
      <c r="Q224" s="10"/>
      <c r="R224" s="11"/>
      <c r="S224" s="11"/>
      <c r="T224" s="26"/>
      <c r="U224" s="28">
        <f t="shared" si="17"/>
        <v>9.1136191486138274E-2</v>
      </c>
    </row>
    <row r="225" spans="2:21" x14ac:dyDescent="0.25">
      <c r="B225" s="9"/>
      <c r="C225" s="17">
        <v>858.52</v>
      </c>
      <c r="D225" s="18">
        <v>35.055</v>
      </c>
      <c r="E225" s="18">
        <v>41.098999999999997</v>
      </c>
      <c r="F225" s="18">
        <v>42.691000000000003</v>
      </c>
      <c r="G225" s="18">
        <v>83.19</v>
      </c>
      <c r="H225" s="18">
        <f t="shared" si="15"/>
        <v>36.765000000000001</v>
      </c>
      <c r="I225" s="5"/>
      <c r="J225" s="17">
        <v>602.45929999999998</v>
      </c>
      <c r="K225" s="18">
        <v>34.799399999999999</v>
      </c>
      <c r="L225" s="18">
        <v>42.164700000000003</v>
      </c>
      <c r="M225" s="18">
        <v>43.492100000000001</v>
      </c>
      <c r="N225" s="18">
        <v>89.516599999999997</v>
      </c>
      <c r="O225" s="18">
        <f t="shared" si="16"/>
        <v>36.806650000000005</v>
      </c>
      <c r="P225" s="7"/>
      <c r="Q225" s="10"/>
      <c r="R225" s="11"/>
      <c r="S225" s="11"/>
      <c r="T225" s="26"/>
      <c r="U225" s="28">
        <f t="shared" si="17"/>
        <v>7.6050006010337776E-2</v>
      </c>
    </row>
    <row r="226" spans="2:21" ht="16.5" thickBot="1" x14ac:dyDescent="0.3">
      <c r="B226" s="12"/>
      <c r="C226" s="19">
        <v>405.69</v>
      </c>
      <c r="D226" s="20">
        <v>32.124000000000002</v>
      </c>
      <c r="E226" s="20">
        <v>39.143000000000001</v>
      </c>
      <c r="F226" s="20">
        <v>40.289000000000001</v>
      </c>
      <c r="G226" s="20">
        <v>116.79</v>
      </c>
      <c r="H226" s="20">
        <f t="shared" si="15"/>
        <v>34.022000000000006</v>
      </c>
      <c r="I226" s="5"/>
      <c r="J226" s="19">
        <v>300.15969999999999</v>
      </c>
      <c r="K226" s="20">
        <v>32.651000000000003</v>
      </c>
      <c r="L226" s="20">
        <v>40.712800000000001</v>
      </c>
      <c r="M226" s="20">
        <v>41.832299999999996</v>
      </c>
      <c r="N226" s="20">
        <v>120.1923</v>
      </c>
      <c r="O226" s="20">
        <f t="shared" si="16"/>
        <v>34.8063875</v>
      </c>
      <c r="P226" s="7"/>
      <c r="Q226" s="13"/>
      <c r="R226" s="14"/>
      <c r="S226" s="14"/>
      <c r="T226" s="27"/>
      <c r="U226" s="28">
        <f t="shared" si="17"/>
        <v>2.9131774980734621E-2</v>
      </c>
    </row>
    <row r="227" spans="2:21" x14ac:dyDescent="0.25">
      <c r="B227" s="6" t="s">
        <v>101</v>
      </c>
      <c r="C227" s="15">
        <v>2220.17</v>
      </c>
      <c r="D227" s="16">
        <v>49.716999999999999</v>
      </c>
      <c r="E227" s="16">
        <v>53.896000000000001</v>
      </c>
      <c r="F227" s="16">
        <v>55.186</v>
      </c>
      <c r="G227" s="16">
        <v>73.97</v>
      </c>
      <c r="H227" s="16">
        <f t="shared" si="15"/>
        <v>50.923000000000002</v>
      </c>
      <c r="I227" s="5"/>
      <c r="J227" s="15">
        <v>1498.9123</v>
      </c>
      <c r="K227" s="16">
        <v>49.101100000000002</v>
      </c>
      <c r="L227" s="16">
        <v>54.456400000000002</v>
      </c>
      <c r="M227" s="16">
        <v>55.909100000000002</v>
      </c>
      <c r="N227" s="16">
        <v>86.3202</v>
      </c>
      <c r="O227" s="16">
        <f t="shared" si="16"/>
        <v>50.621512500000001</v>
      </c>
      <c r="P227" s="7"/>
      <c r="Q227" s="8">
        <f>bdrate(C227:C230,D227:D230,J227:J230,K227:K230)</f>
        <v>-0.38442465821499483</v>
      </c>
      <c r="R227" s="8">
        <f>bdrate(C227:C230,E227:E230,J227:J230,L227:L230)</f>
        <v>-0.57364811980250696</v>
      </c>
      <c r="S227" s="8">
        <f>bdrate(C227:C230,F227:F230,J227:J230,M227:M230)</f>
        <v>-0.58272644350827651</v>
      </c>
      <c r="T227" s="25">
        <f>bdrate(C227:C230,H227:H230,J227:J230,O227:O230)</f>
        <v>-0.43388135528319094</v>
      </c>
      <c r="U227" s="28">
        <f t="shared" si="17"/>
        <v>0.16696228200621877</v>
      </c>
    </row>
    <row r="228" spans="2:21" x14ac:dyDescent="0.25">
      <c r="B228" s="9"/>
      <c r="C228" s="17">
        <v>1472.04</v>
      </c>
      <c r="D228" s="18">
        <v>47.451000000000001</v>
      </c>
      <c r="E228" s="18">
        <v>51.624000000000002</v>
      </c>
      <c r="F228" s="18">
        <v>53.085000000000001</v>
      </c>
      <c r="G228" s="18">
        <v>85.8</v>
      </c>
      <c r="H228" s="18">
        <f t="shared" si="15"/>
        <v>48.676875000000003</v>
      </c>
      <c r="I228" s="5"/>
      <c r="J228" s="17">
        <v>999.38879999999995</v>
      </c>
      <c r="K228" s="18">
        <v>47.473999999999997</v>
      </c>
      <c r="L228" s="18">
        <v>53.131799999999998</v>
      </c>
      <c r="M228" s="18">
        <v>54.649900000000002</v>
      </c>
      <c r="N228" s="18">
        <v>100.8974</v>
      </c>
      <c r="O228" s="18">
        <f t="shared" si="16"/>
        <v>49.078212499999999</v>
      </c>
      <c r="P228" s="7"/>
      <c r="Q228" s="10"/>
      <c r="R228" s="11"/>
      <c r="S228" s="11"/>
      <c r="T228" s="26"/>
      <c r="U228" s="28">
        <f t="shared" si="17"/>
        <v>0.17596037296037306</v>
      </c>
    </row>
    <row r="229" spans="2:21" x14ac:dyDescent="0.25">
      <c r="B229" s="9"/>
      <c r="C229" s="17">
        <v>886.8</v>
      </c>
      <c r="D229" s="18">
        <v>44.66</v>
      </c>
      <c r="E229" s="18">
        <v>49.081000000000003</v>
      </c>
      <c r="F229" s="18">
        <v>50.609000000000002</v>
      </c>
      <c r="G229" s="18">
        <v>105.03</v>
      </c>
      <c r="H229" s="18">
        <f t="shared" si="15"/>
        <v>45.956249999999997</v>
      </c>
      <c r="I229" s="5"/>
      <c r="J229" s="17">
        <v>601.54740000000004</v>
      </c>
      <c r="K229" s="18">
        <v>45.430999999999997</v>
      </c>
      <c r="L229" s="18">
        <v>51.494900000000001</v>
      </c>
      <c r="M229" s="18">
        <v>52.997300000000003</v>
      </c>
      <c r="N229" s="18">
        <v>122.94970000000001</v>
      </c>
      <c r="O229" s="18">
        <f t="shared" si="16"/>
        <v>47.134775000000005</v>
      </c>
      <c r="P229" s="7"/>
      <c r="Q229" s="10"/>
      <c r="R229" s="11"/>
      <c r="S229" s="11"/>
      <c r="T229" s="26"/>
      <c r="U229" s="28">
        <f t="shared" si="17"/>
        <v>0.1706150623631344</v>
      </c>
    </row>
    <row r="230" spans="2:21" ht="16.5" thickBot="1" x14ac:dyDescent="0.3">
      <c r="B230" s="12"/>
      <c r="C230" s="19">
        <v>421.04</v>
      </c>
      <c r="D230" s="20">
        <v>41.643000000000001</v>
      </c>
      <c r="E230" s="20">
        <v>46.033000000000001</v>
      </c>
      <c r="F230" s="20">
        <v>47.530999999999999</v>
      </c>
      <c r="G230" s="20">
        <v>137.13</v>
      </c>
      <c r="H230" s="20">
        <f t="shared" si="15"/>
        <v>42.927750000000003</v>
      </c>
      <c r="I230" s="5"/>
      <c r="J230" s="19">
        <v>301.98829999999998</v>
      </c>
      <c r="K230" s="20">
        <v>42.592500000000001</v>
      </c>
      <c r="L230" s="20">
        <v>48.980699999999999</v>
      </c>
      <c r="M230" s="20">
        <v>50.424300000000002</v>
      </c>
      <c r="N230" s="20">
        <v>157.97329999999999</v>
      </c>
      <c r="O230" s="20">
        <f t="shared" si="16"/>
        <v>44.370000000000005</v>
      </c>
      <c r="P230" s="7"/>
      <c r="Q230" s="13"/>
      <c r="R230" s="14"/>
      <c r="S230" s="14"/>
      <c r="T230" s="27"/>
      <c r="U230" s="28">
        <f t="shared" si="17"/>
        <v>0.15199664551885073</v>
      </c>
    </row>
    <row r="231" spans="2:21" x14ac:dyDescent="0.25">
      <c r="B231" s="6" t="s">
        <v>102</v>
      </c>
      <c r="C231" s="15">
        <v>2045.46</v>
      </c>
      <c r="D231" s="16">
        <v>33.444000000000003</v>
      </c>
      <c r="E231" s="16">
        <v>41.203000000000003</v>
      </c>
      <c r="F231" s="16">
        <v>40.485999999999997</v>
      </c>
      <c r="G231" s="16">
        <v>57.43</v>
      </c>
      <c r="H231" s="16">
        <f t="shared" si="15"/>
        <v>35.294125000000001</v>
      </c>
      <c r="I231" s="5"/>
      <c r="J231" s="15">
        <v>1491.7879</v>
      </c>
      <c r="K231" s="16">
        <v>32.852699999999999</v>
      </c>
      <c r="L231" s="16">
        <v>41.524099999999997</v>
      </c>
      <c r="M231" s="16">
        <v>40.8904</v>
      </c>
      <c r="N231" s="16">
        <v>43.151000000000003</v>
      </c>
      <c r="O231" s="16">
        <f t="shared" si="16"/>
        <v>34.941337500000003</v>
      </c>
      <c r="P231" s="7"/>
      <c r="Q231" s="8">
        <f>bdrate(C231:C234,D231:D234,J231:J234,K231:K234)</f>
        <v>-0.29687574991830579</v>
      </c>
      <c r="R231" s="8">
        <f>bdrate(C231:C234,E231:E234,J231:J234,L231:L234)</f>
        <v>-0.42788047582003219</v>
      </c>
      <c r="S231" s="8">
        <f>bdrate(C231:C234,F231:F234,J231:J234,M231:M234)</f>
        <v>-0.44962583914434406</v>
      </c>
      <c r="T231" s="25">
        <f>bdrate(C231:C234,H231:H234,J231:J234,O231:O234)</f>
        <v>-0.32125745067708511</v>
      </c>
      <c r="U231" s="28">
        <f t="shared" si="17"/>
        <v>-0.24863311857913975</v>
      </c>
    </row>
    <row r="232" spans="2:21" x14ac:dyDescent="0.25">
      <c r="B232" s="9"/>
      <c r="C232" s="17">
        <v>1365.22</v>
      </c>
      <c r="D232" s="18">
        <v>31.460999999999999</v>
      </c>
      <c r="E232" s="18">
        <v>40.012999999999998</v>
      </c>
      <c r="F232" s="18">
        <v>39.237000000000002</v>
      </c>
      <c r="G232" s="18">
        <v>68.03</v>
      </c>
      <c r="H232" s="18">
        <f t="shared" si="15"/>
        <v>33.502000000000002</v>
      </c>
      <c r="I232" s="5"/>
      <c r="J232" s="17">
        <v>994.55290000000002</v>
      </c>
      <c r="K232" s="18">
        <v>31.154499999999999</v>
      </c>
      <c r="L232" s="18">
        <v>40.593899999999998</v>
      </c>
      <c r="M232" s="18">
        <v>39.941299999999998</v>
      </c>
      <c r="N232" s="18">
        <v>53.418799999999997</v>
      </c>
      <c r="O232" s="18">
        <f t="shared" si="16"/>
        <v>33.432774999999999</v>
      </c>
      <c r="P232" s="7"/>
      <c r="Q232" s="10"/>
      <c r="R232" s="11"/>
      <c r="S232" s="11"/>
      <c r="T232" s="26"/>
      <c r="U232" s="28">
        <f t="shared" si="17"/>
        <v>-0.21477583419079824</v>
      </c>
    </row>
    <row r="233" spans="2:21" x14ac:dyDescent="0.25">
      <c r="B233" s="9"/>
      <c r="C233" s="17">
        <v>828.9</v>
      </c>
      <c r="D233" s="18">
        <v>28.79</v>
      </c>
      <c r="E233" s="18">
        <v>38.588000000000001</v>
      </c>
      <c r="F233" s="18">
        <v>37.761000000000003</v>
      </c>
      <c r="G233" s="18">
        <v>84.1</v>
      </c>
      <c r="H233" s="18">
        <f t="shared" si="15"/>
        <v>31.136125</v>
      </c>
      <c r="I233" s="5"/>
      <c r="J233" s="17">
        <v>595.36</v>
      </c>
      <c r="K233" s="18">
        <v>29.005400000000002</v>
      </c>
      <c r="L233" s="18">
        <v>39.280799999999999</v>
      </c>
      <c r="M233" s="18">
        <v>38.591700000000003</v>
      </c>
      <c r="N233" s="18">
        <v>64.641199999999998</v>
      </c>
      <c r="O233" s="18">
        <f t="shared" si="16"/>
        <v>31.4881125</v>
      </c>
      <c r="P233" s="7"/>
      <c r="Q233" s="10"/>
      <c r="R233" s="11"/>
      <c r="S233" s="11"/>
      <c r="T233" s="26"/>
      <c r="U233" s="28">
        <f t="shared" si="17"/>
        <v>-0.23137693222354339</v>
      </c>
    </row>
    <row r="234" spans="2:21" ht="16.5" thickBot="1" x14ac:dyDescent="0.3">
      <c r="B234" s="12"/>
      <c r="C234" s="19">
        <v>391.93</v>
      </c>
      <c r="D234" s="20">
        <v>24.524999999999999</v>
      </c>
      <c r="E234" s="20">
        <v>36.179000000000002</v>
      </c>
      <c r="F234" s="20">
        <v>35.454000000000001</v>
      </c>
      <c r="G234" s="20">
        <v>110.1</v>
      </c>
      <c r="H234" s="20">
        <f t="shared" si="15"/>
        <v>27.347874999999998</v>
      </c>
      <c r="I234" s="5"/>
      <c r="J234" s="19">
        <v>298.60070000000002</v>
      </c>
      <c r="K234" s="20">
        <v>26.247599999999998</v>
      </c>
      <c r="L234" s="20">
        <v>37.26</v>
      </c>
      <c r="M234" s="20">
        <v>36.564500000000002</v>
      </c>
      <c r="N234" s="20">
        <v>82.656000000000006</v>
      </c>
      <c r="O234" s="20">
        <f t="shared" si="16"/>
        <v>28.913762499999997</v>
      </c>
      <c r="P234" s="7"/>
      <c r="Q234" s="13"/>
      <c r="R234" s="14"/>
      <c r="S234" s="14"/>
      <c r="T234" s="27"/>
      <c r="U234" s="28">
        <f t="shared" si="17"/>
        <v>-0.24926430517711162</v>
      </c>
    </row>
    <row r="235" spans="2:21" x14ac:dyDescent="0.25">
      <c r="B235" s="6" t="s">
        <v>103</v>
      </c>
      <c r="C235" s="15">
        <v>2339.04</v>
      </c>
      <c r="D235" s="16">
        <v>48.37</v>
      </c>
      <c r="E235" s="16">
        <v>48.636000000000003</v>
      </c>
      <c r="F235" s="16">
        <v>48.390999999999998</v>
      </c>
      <c r="G235" s="16">
        <v>77.540000000000006</v>
      </c>
      <c r="H235" s="16">
        <f t="shared" si="15"/>
        <v>48.405875000000002</v>
      </c>
      <c r="I235" s="5"/>
      <c r="J235" s="15">
        <v>1397.8400999999999</v>
      </c>
      <c r="K235" s="16">
        <v>46.475200000000001</v>
      </c>
      <c r="L235" s="16">
        <v>48.061599999999999</v>
      </c>
      <c r="M235" s="16">
        <v>47.964300000000001</v>
      </c>
      <c r="N235" s="16">
        <v>56.9801</v>
      </c>
      <c r="O235" s="16">
        <f t="shared" si="16"/>
        <v>46.859637499999998</v>
      </c>
      <c r="P235" s="7"/>
      <c r="Q235" s="8">
        <f>bdrate(C235:C238,D235:D238,J235:J238,K235:K238)</f>
        <v>-0.20985770338550014</v>
      </c>
      <c r="R235" s="8">
        <f>bdrate(C235:C238,E235:E238,J235:J238,L235:L238)</f>
        <v>-0.38818168394878005</v>
      </c>
      <c r="S235" s="8">
        <f>bdrate(C235:C238,F235:F238,J235:J238,M235:M238)</f>
        <v>-0.40436564546702947</v>
      </c>
      <c r="T235" s="25">
        <f>bdrate(C235:C238,H235:H238,J235:J238,O235:O238)</f>
        <v>-0.25471981948763645</v>
      </c>
      <c r="U235" s="28">
        <f t="shared" si="17"/>
        <v>-0.26515217952024767</v>
      </c>
    </row>
    <row r="236" spans="2:21" x14ac:dyDescent="0.25">
      <c r="B236" s="9"/>
      <c r="C236" s="17">
        <v>1549.07</v>
      </c>
      <c r="D236" s="18">
        <v>46.253999999999998</v>
      </c>
      <c r="E236" s="18">
        <v>46.716999999999999</v>
      </c>
      <c r="F236" s="18">
        <v>46.478999999999999</v>
      </c>
      <c r="G236" s="18">
        <v>91.79</v>
      </c>
      <c r="H236" s="18">
        <f t="shared" si="15"/>
        <v>46.339999999999996</v>
      </c>
      <c r="I236" s="5"/>
      <c r="J236" s="17">
        <v>950.88430000000005</v>
      </c>
      <c r="K236" s="18">
        <v>44.839300000000001</v>
      </c>
      <c r="L236" s="18">
        <v>46.651499999999999</v>
      </c>
      <c r="M236" s="18">
        <v>46.547800000000002</v>
      </c>
      <c r="N236" s="18">
        <v>80.407399999999996</v>
      </c>
      <c r="O236" s="18">
        <f t="shared" si="16"/>
        <v>45.279387499999999</v>
      </c>
      <c r="P236" s="7"/>
      <c r="Q236" s="10"/>
      <c r="R236" s="11"/>
      <c r="S236" s="11"/>
      <c r="T236" s="26"/>
      <c r="U236" s="28">
        <f t="shared" si="17"/>
        <v>-0.12400697243708476</v>
      </c>
    </row>
    <row r="237" spans="2:21" x14ac:dyDescent="0.25">
      <c r="B237" s="9"/>
      <c r="C237" s="17">
        <v>933.24</v>
      </c>
      <c r="D237" s="18">
        <v>43.414000000000001</v>
      </c>
      <c r="E237" s="18">
        <v>44.262</v>
      </c>
      <c r="F237" s="18">
        <v>43.951000000000001</v>
      </c>
      <c r="G237" s="18">
        <v>112.79</v>
      </c>
      <c r="H237" s="18">
        <f t="shared" si="15"/>
        <v>43.587125000000007</v>
      </c>
      <c r="I237" s="5"/>
      <c r="J237" s="17">
        <v>592.77520000000004</v>
      </c>
      <c r="K237" s="18">
        <v>42.045099999999998</v>
      </c>
      <c r="L237" s="18">
        <v>44.518099999999997</v>
      </c>
      <c r="M237" s="18">
        <v>44.347900000000003</v>
      </c>
      <c r="N237" s="18">
        <v>103.6687</v>
      </c>
      <c r="O237" s="18">
        <f t="shared" si="16"/>
        <v>42.642074999999998</v>
      </c>
      <c r="P237" s="7"/>
      <c r="Q237" s="10"/>
      <c r="R237" s="11"/>
      <c r="S237" s="11"/>
      <c r="T237" s="26"/>
      <c r="U237" s="28">
        <f t="shared" si="17"/>
        <v>-8.0869757957265753E-2</v>
      </c>
    </row>
    <row r="238" spans="2:21" ht="16.5" thickBot="1" x14ac:dyDescent="0.3">
      <c r="B238" s="12"/>
      <c r="C238" s="19">
        <v>436.1</v>
      </c>
      <c r="D238" s="20">
        <v>38.223999999999997</v>
      </c>
      <c r="E238" s="20">
        <v>40.246000000000002</v>
      </c>
      <c r="F238" s="20">
        <v>39.884</v>
      </c>
      <c r="G238" s="20">
        <v>149.28</v>
      </c>
      <c r="H238" s="20">
        <f t="shared" si="15"/>
        <v>38.684249999999999</v>
      </c>
      <c r="I238" s="5"/>
      <c r="J238" s="19">
        <v>301.42430000000002</v>
      </c>
      <c r="K238" s="20">
        <v>37.624499999999998</v>
      </c>
      <c r="L238" s="20">
        <v>41.009399999999999</v>
      </c>
      <c r="M238" s="20">
        <v>40.786299999999997</v>
      </c>
      <c r="N238" s="20">
        <v>131.5693</v>
      </c>
      <c r="O238" s="20">
        <f t="shared" si="16"/>
        <v>38.442837499999996</v>
      </c>
      <c r="P238" s="7"/>
      <c r="Q238" s="13"/>
      <c r="R238" s="14"/>
      <c r="S238" s="14"/>
      <c r="T238" s="27"/>
      <c r="U238" s="28">
        <f t="shared" si="17"/>
        <v>-0.11864080921757772</v>
      </c>
    </row>
    <row r="239" spans="2:21" x14ac:dyDescent="0.25">
      <c r="B239" s="6" t="s">
        <v>104</v>
      </c>
      <c r="C239" s="15">
        <v>2715.86</v>
      </c>
      <c r="D239" s="16">
        <v>50.488999999999997</v>
      </c>
      <c r="E239" s="16">
        <v>51.396999999999998</v>
      </c>
      <c r="F239" s="16">
        <v>51.619</v>
      </c>
      <c r="G239" s="16">
        <v>78.33</v>
      </c>
      <c r="H239" s="16">
        <f t="shared" si="15"/>
        <v>50.743749999999991</v>
      </c>
      <c r="I239" s="5"/>
      <c r="J239" s="15">
        <v>1373.2437</v>
      </c>
      <c r="K239" s="16">
        <v>46.9739</v>
      </c>
      <c r="L239" s="16">
        <v>49.913200000000003</v>
      </c>
      <c r="M239" s="16">
        <v>50.0306</v>
      </c>
      <c r="N239" s="16">
        <v>53.271799999999999</v>
      </c>
      <c r="O239" s="16">
        <f t="shared" si="16"/>
        <v>47.723399999999998</v>
      </c>
      <c r="P239" s="7"/>
      <c r="Q239" s="8">
        <f>bdrate(C239:C242,D239:D242,J239:J242,K239:K242)</f>
        <v>-0.2958704126791426</v>
      </c>
      <c r="R239" s="8">
        <f>bdrate(C239:C242,E239:E242,J239:J242,L239:L242)</f>
        <v>-0.45489317640864424</v>
      </c>
      <c r="S239" s="8">
        <f>bdrate(C239:C242,F239:F242,J239:J242,M239:M242)</f>
        <v>-0.45559589991824079</v>
      </c>
      <c r="T239" s="25">
        <f>bdrate(C239:C242,H239:H242,J239:J242,O239:O242)</f>
        <v>-0.33378843140872705</v>
      </c>
      <c r="U239" s="28">
        <f t="shared" si="17"/>
        <v>-0.31990552789480403</v>
      </c>
    </row>
    <row r="240" spans="2:21" x14ac:dyDescent="0.25">
      <c r="B240" s="9"/>
      <c r="C240" s="17">
        <v>1790.86</v>
      </c>
      <c r="D240" s="18">
        <v>47.115000000000002</v>
      </c>
      <c r="E240" s="18">
        <v>48.459000000000003</v>
      </c>
      <c r="F240" s="18">
        <v>48.713000000000001</v>
      </c>
      <c r="G240" s="18">
        <v>90.71</v>
      </c>
      <c r="H240" s="18">
        <f t="shared" si="15"/>
        <v>47.482750000000003</v>
      </c>
      <c r="I240" s="5"/>
      <c r="J240" s="17">
        <v>951.77440000000001</v>
      </c>
      <c r="K240" s="18">
        <v>45.767499999999998</v>
      </c>
      <c r="L240" s="18">
        <v>48.985500000000002</v>
      </c>
      <c r="M240" s="18">
        <v>49.106299999999997</v>
      </c>
      <c r="N240" s="18">
        <v>71.621799999999993</v>
      </c>
      <c r="O240" s="18">
        <f t="shared" si="16"/>
        <v>46.5871</v>
      </c>
      <c r="P240" s="7"/>
      <c r="Q240" s="10"/>
      <c r="R240" s="11"/>
      <c r="S240" s="11"/>
      <c r="T240" s="26"/>
      <c r="U240" s="28">
        <f t="shared" si="17"/>
        <v>-0.21043104398633009</v>
      </c>
    </row>
    <row r="241" spans="2:21" x14ac:dyDescent="0.25">
      <c r="B241" s="9"/>
      <c r="C241" s="17">
        <v>1069.8599999999999</v>
      </c>
      <c r="D241" s="18">
        <v>43.768999999999998</v>
      </c>
      <c r="E241" s="18">
        <v>45.637999999999998</v>
      </c>
      <c r="F241" s="18">
        <v>45.843000000000004</v>
      </c>
      <c r="G241" s="18">
        <v>108.65</v>
      </c>
      <c r="H241" s="18">
        <f t="shared" si="15"/>
        <v>44.261874999999996</v>
      </c>
      <c r="I241" s="5"/>
      <c r="J241" s="17">
        <v>624.22370000000001</v>
      </c>
      <c r="K241" s="18">
        <v>42.444000000000003</v>
      </c>
      <c r="L241" s="18">
        <v>45.881599999999999</v>
      </c>
      <c r="M241" s="18">
        <v>46.162500000000001</v>
      </c>
      <c r="N241" s="18">
        <v>79.519300000000001</v>
      </c>
      <c r="O241" s="18">
        <f t="shared" si="16"/>
        <v>43.338512500000007</v>
      </c>
      <c r="P241" s="7"/>
      <c r="Q241" s="10"/>
      <c r="R241" s="11"/>
      <c r="S241" s="11"/>
      <c r="T241" s="26"/>
      <c r="U241" s="28">
        <f t="shared" si="17"/>
        <v>-0.26811504832029454</v>
      </c>
    </row>
    <row r="242" spans="2:21" ht="16.5" thickBot="1" x14ac:dyDescent="0.3">
      <c r="B242" s="12"/>
      <c r="C242" s="19">
        <v>497.24</v>
      </c>
      <c r="D242" s="20">
        <v>38.890999999999998</v>
      </c>
      <c r="E242" s="20">
        <v>41.554000000000002</v>
      </c>
      <c r="F242" s="20">
        <v>41.819000000000003</v>
      </c>
      <c r="G242" s="20">
        <v>141.74</v>
      </c>
      <c r="H242" s="20">
        <f t="shared" si="15"/>
        <v>39.589874999999999</v>
      </c>
      <c r="I242" s="5"/>
      <c r="J242" s="19">
        <v>352.69409999999999</v>
      </c>
      <c r="K242" s="20">
        <v>38.529699999999998</v>
      </c>
      <c r="L242" s="20">
        <v>42.426900000000003</v>
      </c>
      <c r="M242" s="20">
        <v>42.725299999999997</v>
      </c>
      <c r="N242" s="20">
        <v>122.7496</v>
      </c>
      <c r="O242" s="20">
        <f t="shared" si="16"/>
        <v>39.5413</v>
      </c>
      <c r="P242" s="7"/>
      <c r="Q242" s="13"/>
      <c r="R242" s="14"/>
      <c r="S242" s="14"/>
      <c r="T242" s="27"/>
      <c r="U242" s="28">
        <f t="shared" si="17"/>
        <v>-0.13398052772682381</v>
      </c>
    </row>
    <row r="243" spans="2:21" x14ac:dyDescent="0.25">
      <c r="B243" s="6" t="s">
        <v>105</v>
      </c>
      <c r="C243" s="29">
        <v>2138.0100000000002</v>
      </c>
      <c r="D243" s="30">
        <v>34.548999999999999</v>
      </c>
      <c r="E243" s="30">
        <v>37.680999999999997</v>
      </c>
      <c r="F243" s="30">
        <v>36.628</v>
      </c>
      <c r="G243" s="16">
        <v>62.64</v>
      </c>
      <c r="H243" s="16">
        <f t="shared" si="15"/>
        <v>35.200374999999994</v>
      </c>
      <c r="I243" s="5"/>
      <c r="J243" s="29">
        <v>1514.6388999999999</v>
      </c>
      <c r="K243" s="30">
        <v>33.210099999999997</v>
      </c>
      <c r="L243" s="30">
        <v>37.8675</v>
      </c>
      <c r="M243" s="30">
        <v>36.709200000000003</v>
      </c>
      <c r="N243" s="16">
        <v>52.494999999999997</v>
      </c>
      <c r="O243" s="16">
        <f t="shared" si="16"/>
        <v>34.229662499999996</v>
      </c>
      <c r="P243" s="7"/>
      <c r="Q243" s="8">
        <f>bdrate(C243:C246,D243:D246,J243:J246,K243:K246)</f>
        <v>-0.20224792014728588</v>
      </c>
      <c r="R243" s="8">
        <f>bdrate(C243:C246,E243:E246,J243:J246,L243:L246)</f>
        <v>-0.39456519938326151</v>
      </c>
      <c r="S243" s="8">
        <f>bdrate(C243:C246,F243:F246,J243:J246,M243:M246)</f>
        <v>-0.37256936683690745</v>
      </c>
      <c r="T243" s="25">
        <f>bdrate(C243:C246,H243:H246,J243:J246,O243:O246)</f>
        <v>-0.23357618451694306</v>
      </c>
      <c r="U243" s="28">
        <f t="shared" si="17"/>
        <v>-0.16195721583652622</v>
      </c>
    </row>
    <row r="244" spans="2:21" x14ac:dyDescent="0.25">
      <c r="B244" s="9"/>
      <c r="C244" s="31">
        <v>1417.6</v>
      </c>
      <c r="D244" s="32">
        <v>32.374000000000002</v>
      </c>
      <c r="E244" s="32">
        <v>36.393000000000001</v>
      </c>
      <c r="F244" s="32">
        <v>35.26</v>
      </c>
      <c r="G244" s="18">
        <v>71.760000000000005</v>
      </c>
      <c r="H244" s="18">
        <f t="shared" si="15"/>
        <v>33.237125000000006</v>
      </c>
      <c r="I244" s="5"/>
      <c r="J244" s="31">
        <v>1008.6545</v>
      </c>
      <c r="K244" s="32">
        <v>31.2879</v>
      </c>
      <c r="L244" s="32">
        <v>36.729100000000003</v>
      </c>
      <c r="M244" s="32">
        <v>35.5242</v>
      </c>
      <c r="N244" s="18">
        <v>60.728700000000003</v>
      </c>
      <c r="O244" s="18">
        <f t="shared" si="16"/>
        <v>32.497587500000002</v>
      </c>
      <c r="P244" s="7"/>
      <c r="Q244" s="10"/>
      <c r="R244" s="11"/>
      <c r="S244" s="11"/>
      <c r="T244" s="26"/>
      <c r="U244" s="28">
        <f t="shared" si="17"/>
        <v>-0.15372491638795988</v>
      </c>
    </row>
    <row r="245" spans="2:21" x14ac:dyDescent="0.25">
      <c r="B245" s="9"/>
      <c r="C245" s="31">
        <v>853.84</v>
      </c>
      <c r="D245" s="32">
        <v>29.661000000000001</v>
      </c>
      <c r="E245" s="32">
        <v>34.985999999999997</v>
      </c>
      <c r="F245" s="32">
        <v>33.765000000000001</v>
      </c>
      <c r="G245" s="18">
        <v>90.79</v>
      </c>
      <c r="H245" s="18">
        <f t="shared" si="15"/>
        <v>30.839624999999998</v>
      </c>
      <c r="I245" s="5"/>
      <c r="J245" s="31">
        <v>606.28240000000005</v>
      </c>
      <c r="K245" s="32">
        <v>29.159300000000002</v>
      </c>
      <c r="L245" s="32">
        <v>35.476100000000002</v>
      </c>
      <c r="M245" s="32">
        <v>34.185699999999997</v>
      </c>
      <c r="N245" s="18">
        <v>72.662700000000001</v>
      </c>
      <c r="O245" s="18">
        <f t="shared" si="16"/>
        <v>30.577200000000001</v>
      </c>
      <c r="P245" s="7"/>
      <c r="Q245" s="10"/>
      <c r="R245" s="11"/>
      <c r="S245" s="11"/>
      <c r="T245" s="26"/>
      <c r="U245" s="28">
        <f t="shared" si="17"/>
        <v>-0.19966185703271289</v>
      </c>
    </row>
    <row r="246" spans="2:21" ht="16.5" thickBot="1" x14ac:dyDescent="0.3">
      <c r="B246" s="12"/>
      <c r="C246" s="33">
        <v>397.85</v>
      </c>
      <c r="D246" s="34">
        <v>25.625</v>
      </c>
      <c r="E246" s="34">
        <v>33.073</v>
      </c>
      <c r="F246" s="34">
        <v>31.709</v>
      </c>
      <c r="G246" s="20">
        <v>124.74</v>
      </c>
      <c r="H246" s="20">
        <f t="shared" si="15"/>
        <v>27.316500000000001</v>
      </c>
      <c r="I246" s="5"/>
      <c r="J246" s="33">
        <v>305.07670000000002</v>
      </c>
      <c r="K246" s="34">
        <v>26.697199999999999</v>
      </c>
      <c r="L246" s="34">
        <v>33.8157</v>
      </c>
      <c r="M246" s="34">
        <v>32.403799999999997</v>
      </c>
      <c r="N246" s="20">
        <v>92.826599999999999</v>
      </c>
      <c r="O246" s="20">
        <f t="shared" si="16"/>
        <v>28.300337499999998</v>
      </c>
      <c r="P246" s="7"/>
      <c r="Q246" s="13"/>
      <c r="R246" s="14"/>
      <c r="S246" s="14"/>
      <c r="T246" s="27"/>
      <c r="U246" s="28">
        <f t="shared" si="17"/>
        <v>-0.25583934583934581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-0.31207335608157083</v>
      </c>
      <c r="R247" s="21">
        <f>AVERAGE(R131:R246)</f>
        <v>-0.55465725179138148</v>
      </c>
      <c r="S247" s="21">
        <f>AVERAGE(S131:S246)</f>
        <v>-0.55315723696504426</v>
      </c>
      <c r="T247" s="21">
        <f>AVERAGE(T131:T246)</f>
        <v>-0.36208433493474695</v>
      </c>
      <c r="U247" s="21">
        <f>AVERAGE(U131:U246)</f>
        <v>-5.1473440230345169E-2</v>
      </c>
    </row>
  </sheetData>
  <mergeCells count="12">
    <mergeCell ref="B127:B128"/>
    <mergeCell ref="C127:U128"/>
    <mergeCell ref="C129:H129"/>
    <mergeCell ref="J129:O129"/>
    <mergeCell ref="Q129:S129"/>
    <mergeCell ref="U129:U130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839" priority="453" operator="greaterThan">
      <formula>0.03</formula>
    </cfRule>
    <cfRule type="cellIs" dxfId="838" priority="454" stopIfTrue="1" operator="lessThan">
      <formula>-0.03</formula>
    </cfRule>
  </conditionalFormatting>
  <conditionalFormatting sqref="Q33:T36">
    <cfRule type="cellIs" dxfId="837" priority="451" operator="greaterThan">
      <formula>0.03</formula>
    </cfRule>
    <cfRule type="cellIs" dxfId="836" priority="452" stopIfTrue="1" operator="lessThan">
      <formula>-0.03</formula>
    </cfRule>
  </conditionalFormatting>
  <conditionalFormatting sqref="Q46:T48 Q62:T64">
    <cfRule type="cellIs" dxfId="835" priority="449" operator="greaterThan">
      <formula>0.03</formula>
    </cfRule>
    <cfRule type="cellIs" dxfId="834" priority="450" stopIfTrue="1" operator="lessThan">
      <formula>-0.03</formula>
    </cfRule>
  </conditionalFormatting>
  <conditionalFormatting sqref="Q50:T52 Q54:T56 Q58:T60">
    <cfRule type="cellIs" dxfId="833" priority="447" operator="greaterThan">
      <formula>0.03</formula>
    </cfRule>
    <cfRule type="cellIs" dxfId="832" priority="448" stopIfTrue="1" operator="lessThan">
      <formula>-0.03</formula>
    </cfRule>
  </conditionalFormatting>
  <conditionalFormatting sqref="Q70:T72 Q74:T76">
    <cfRule type="cellIs" dxfId="831" priority="445" operator="greaterThan">
      <formula>0.03</formula>
    </cfRule>
    <cfRule type="cellIs" dxfId="830" priority="446" stopIfTrue="1" operator="lessThan">
      <formula>-0.03</formula>
    </cfRule>
  </conditionalFormatting>
  <conditionalFormatting sqref="Q66:T68">
    <cfRule type="cellIs" dxfId="829" priority="443" operator="greaterThan">
      <formula>0.03</formula>
    </cfRule>
    <cfRule type="cellIs" dxfId="828" priority="444" stopIfTrue="1" operator="lessThan">
      <formula>-0.03</formula>
    </cfRule>
  </conditionalFormatting>
  <conditionalFormatting sqref="Q78:T80">
    <cfRule type="cellIs" dxfId="827" priority="441" operator="greaterThan">
      <formula>0.03</formula>
    </cfRule>
    <cfRule type="cellIs" dxfId="826" priority="442" stopIfTrue="1" operator="lessThan">
      <formula>-0.03</formula>
    </cfRule>
  </conditionalFormatting>
  <conditionalFormatting sqref="Q21:T28">
    <cfRule type="cellIs" dxfId="825" priority="423" operator="greaterThan">
      <formula>0.03</formula>
    </cfRule>
    <cfRule type="cellIs" dxfId="824" priority="424" stopIfTrue="1" operator="lessThan">
      <formula>-0.03</formula>
    </cfRule>
  </conditionalFormatting>
  <conditionalFormatting sqref="Q151:T154 Q159:T166 Q131:T142">
    <cfRule type="cellIs" dxfId="823" priority="419" operator="greaterThan">
      <formula>0.03</formula>
    </cfRule>
    <cfRule type="cellIs" dxfId="822" priority="420" stopIfTrue="1" operator="lessThan">
      <formula>-0.03</formula>
    </cfRule>
  </conditionalFormatting>
  <conditionalFormatting sqref="Q155:T158">
    <cfRule type="cellIs" dxfId="821" priority="417" operator="greaterThan">
      <formula>0.03</formula>
    </cfRule>
    <cfRule type="cellIs" dxfId="820" priority="418" stopIfTrue="1" operator="lessThan">
      <formula>-0.03</formula>
    </cfRule>
  </conditionalFormatting>
  <conditionalFormatting sqref="Q167:T170 Q183:T186">
    <cfRule type="cellIs" dxfId="819" priority="415" operator="greaterThan">
      <formula>0.03</formula>
    </cfRule>
    <cfRule type="cellIs" dxfId="818" priority="416" stopIfTrue="1" operator="lessThan">
      <formula>-0.03</formula>
    </cfRule>
  </conditionalFormatting>
  <conditionalFormatting sqref="Q171:T182">
    <cfRule type="cellIs" dxfId="817" priority="413" operator="greaterThan">
      <formula>0.03</formula>
    </cfRule>
    <cfRule type="cellIs" dxfId="816" priority="414" stopIfTrue="1" operator="lessThan">
      <formula>-0.03</formula>
    </cfRule>
  </conditionalFormatting>
  <conditionalFormatting sqref="Q191:T198">
    <cfRule type="cellIs" dxfId="815" priority="411" operator="greaterThan">
      <formula>0.03</formula>
    </cfRule>
    <cfRule type="cellIs" dxfId="814" priority="412" stopIfTrue="1" operator="lessThan">
      <formula>-0.03</formula>
    </cfRule>
  </conditionalFormatting>
  <conditionalFormatting sqref="Q187:T190">
    <cfRule type="cellIs" dxfId="813" priority="409" operator="greaterThan">
      <formula>0.03</formula>
    </cfRule>
    <cfRule type="cellIs" dxfId="812" priority="410" stopIfTrue="1" operator="lessThan">
      <formula>-0.03</formula>
    </cfRule>
  </conditionalFormatting>
  <conditionalFormatting sqref="Q199:T202">
    <cfRule type="cellIs" dxfId="811" priority="407" operator="greaterThan">
      <formula>0.03</formula>
    </cfRule>
    <cfRule type="cellIs" dxfId="810" priority="408" stopIfTrue="1" operator="lessThan">
      <formula>-0.03</formula>
    </cfRule>
  </conditionalFormatting>
  <conditionalFormatting sqref="Q143:T150">
    <cfRule type="cellIs" dxfId="809" priority="405" operator="greaterThan">
      <formula>0.03</formula>
    </cfRule>
    <cfRule type="cellIs" dxfId="808" priority="406" stopIfTrue="1" operator="lessThan">
      <formula>-0.03</formula>
    </cfRule>
  </conditionalFormatting>
  <conditionalFormatting sqref="Q45:T45">
    <cfRule type="cellIs" dxfId="807" priority="403" operator="greaterThan">
      <formula>0.03</formula>
    </cfRule>
    <cfRule type="cellIs" dxfId="806" priority="404" stopIfTrue="1" operator="lessThan">
      <formula>-0.03</formula>
    </cfRule>
  </conditionalFormatting>
  <conditionalFormatting sqref="Q49:T49">
    <cfRule type="cellIs" dxfId="805" priority="401" operator="greaterThan">
      <formula>0.03</formula>
    </cfRule>
    <cfRule type="cellIs" dxfId="804" priority="402" stopIfTrue="1" operator="lessThan">
      <formula>-0.03</formula>
    </cfRule>
  </conditionalFormatting>
  <conditionalFormatting sqref="Q53:T53">
    <cfRule type="cellIs" dxfId="803" priority="399" operator="greaterThan">
      <formula>0.03</formula>
    </cfRule>
    <cfRule type="cellIs" dxfId="802" priority="400" stopIfTrue="1" operator="lessThan">
      <formula>-0.03</formula>
    </cfRule>
  </conditionalFormatting>
  <conditionalFormatting sqref="Q57:T57">
    <cfRule type="cellIs" dxfId="801" priority="397" operator="greaterThan">
      <formula>0.03</formula>
    </cfRule>
    <cfRule type="cellIs" dxfId="800" priority="398" stopIfTrue="1" operator="lessThan">
      <formula>-0.03</formula>
    </cfRule>
  </conditionalFormatting>
  <conditionalFormatting sqref="Q61:T61">
    <cfRule type="cellIs" dxfId="799" priority="395" operator="greaterThan">
      <formula>0.03</formula>
    </cfRule>
    <cfRule type="cellIs" dxfId="798" priority="396" stopIfTrue="1" operator="lessThan">
      <formula>-0.03</formula>
    </cfRule>
  </conditionalFormatting>
  <conditionalFormatting sqref="Q65:T65">
    <cfRule type="cellIs" dxfId="797" priority="393" operator="greaterThan">
      <formula>0.03</formula>
    </cfRule>
    <cfRule type="cellIs" dxfId="796" priority="394" stopIfTrue="1" operator="lessThan">
      <formula>-0.03</formula>
    </cfRule>
  </conditionalFormatting>
  <conditionalFormatting sqref="Q69:T69">
    <cfRule type="cellIs" dxfId="795" priority="391" operator="greaterThan">
      <formula>0.03</formula>
    </cfRule>
    <cfRule type="cellIs" dxfId="794" priority="392" stopIfTrue="1" operator="lessThan">
      <formula>-0.03</formula>
    </cfRule>
  </conditionalFormatting>
  <conditionalFormatting sqref="Q73:T73">
    <cfRule type="cellIs" dxfId="793" priority="389" operator="greaterThan">
      <formula>0.03</formula>
    </cfRule>
    <cfRule type="cellIs" dxfId="792" priority="390" stopIfTrue="1" operator="lessThan">
      <formula>-0.03</formula>
    </cfRule>
  </conditionalFormatting>
  <conditionalFormatting sqref="Q77:T77">
    <cfRule type="cellIs" dxfId="791" priority="387" operator="greaterThan">
      <formula>0.03</formula>
    </cfRule>
    <cfRule type="cellIs" dxfId="790" priority="388" stopIfTrue="1" operator="lessThan">
      <formula>-0.03</formula>
    </cfRule>
  </conditionalFormatting>
  <conditionalFormatting sqref="Q117:T117">
    <cfRule type="cellIs" dxfId="789" priority="99" operator="greaterThan">
      <formula>0.03</formula>
    </cfRule>
    <cfRule type="cellIs" dxfId="788" priority="100" stopIfTrue="1" operator="lessThan">
      <formula>-0.03</formula>
    </cfRule>
  </conditionalFormatting>
  <conditionalFormatting sqref="Q93:T96 Q101:T108 Q81:T84">
    <cfRule type="cellIs" dxfId="787" priority="113" operator="greaterThan">
      <formula>0.03</formula>
    </cfRule>
    <cfRule type="cellIs" dxfId="786" priority="114" stopIfTrue="1" operator="lessThan">
      <formula>-0.03</formula>
    </cfRule>
  </conditionalFormatting>
  <conditionalFormatting sqref="Q97:T100">
    <cfRule type="cellIs" dxfId="785" priority="111" operator="greaterThan">
      <formula>0.03</formula>
    </cfRule>
    <cfRule type="cellIs" dxfId="784" priority="112" stopIfTrue="1" operator="lessThan">
      <formula>-0.03</formula>
    </cfRule>
  </conditionalFormatting>
  <conditionalFormatting sqref="Q110:T112 Q122:T124">
    <cfRule type="cellIs" dxfId="783" priority="109" operator="greaterThan">
      <formula>0.03</formula>
    </cfRule>
    <cfRule type="cellIs" dxfId="782" priority="110" stopIfTrue="1" operator="lessThan">
      <formula>-0.03</formula>
    </cfRule>
  </conditionalFormatting>
  <conditionalFormatting sqref="Q114:T116 Q118:T120">
    <cfRule type="cellIs" dxfId="781" priority="107" operator="greaterThan">
      <formula>0.03</formula>
    </cfRule>
    <cfRule type="cellIs" dxfId="780" priority="108" stopIfTrue="1" operator="lessThan">
      <formula>-0.03</formula>
    </cfRule>
  </conditionalFormatting>
  <conditionalFormatting sqref="Q85:T92">
    <cfRule type="cellIs" dxfId="779" priority="105" operator="greaterThan">
      <formula>0.03</formula>
    </cfRule>
    <cfRule type="cellIs" dxfId="778" priority="106" stopIfTrue="1" operator="lessThan">
      <formula>-0.03</formula>
    </cfRule>
  </conditionalFormatting>
  <conditionalFormatting sqref="Q109:T109">
    <cfRule type="cellIs" dxfId="777" priority="103" operator="greaterThan">
      <formula>0.03</formula>
    </cfRule>
    <cfRule type="cellIs" dxfId="776" priority="104" stopIfTrue="1" operator="lessThan">
      <formula>-0.03</formula>
    </cfRule>
  </conditionalFormatting>
  <conditionalFormatting sqref="Q113:T113">
    <cfRule type="cellIs" dxfId="775" priority="101" operator="greaterThan">
      <formula>0.03</formula>
    </cfRule>
    <cfRule type="cellIs" dxfId="774" priority="102" stopIfTrue="1" operator="lessThan">
      <formula>-0.03</formula>
    </cfRule>
  </conditionalFormatting>
  <conditionalFormatting sqref="Q121:T121">
    <cfRule type="cellIs" dxfId="773" priority="97" operator="greaterThan">
      <formula>0.03</formula>
    </cfRule>
    <cfRule type="cellIs" dxfId="772" priority="98" stopIfTrue="1" operator="lessThan">
      <formula>-0.03</formula>
    </cfRule>
  </conditionalFormatting>
  <conditionalFormatting sqref="Q239:T239">
    <cfRule type="cellIs" dxfId="771" priority="33" operator="greaterThan">
      <formula>0.03</formula>
    </cfRule>
    <cfRule type="cellIs" dxfId="770" priority="34" stopIfTrue="1" operator="lessThan">
      <formula>-0.03</formula>
    </cfRule>
  </conditionalFormatting>
  <conditionalFormatting sqref="Q215:T218 Q223:T230 Q203:T206">
    <cfRule type="cellIs" dxfId="769" priority="47" operator="greaterThan">
      <formula>0.03</formula>
    </cfRule>
    <cfRule type="cellIs" dxfId="768" priority="48" stopIfTrue="1" operator="lessThan">
      <formula>-0.03</formula>
    </cfRule>
  </conditionalFormatting>
  <conditionalFormatting sqref="Q219:T222">
    <cfRule type="cellIs" dxfId="767" priority="45" operator="greaterThan">
      <formula>0.03</formula>
    </cfRule>
    <cfRule type="cellIs" dxfId="766" priority="46" stopIfTrue="1" operator="lessThan">
      <formula>-0.03</formula>
    </cfRule>
  </conditionalFormatting>
  <conditionalFormatting sqref="Q232:T234 Q244:T246">
    <cfRule type="cellIs" dxfId="765" priority="43" operator="greaterThan">
      <formula>0.03</formula>
    </cfRule>
    <cfRule type="cellIs" dxfId="764" priority="44" stopIfTrue="1" operator="lessThan">
      <formula>-0.03</formula>
    </cfRule>
  </conditionalFormatting>
  <conditionalFormatting sqref="Q236:T238 Q240:T242">
    <cfRule type="cellIs" dxfId="763" priority="41" operator="greaterThan">
      <formula>0.03</formula>
    </cfRule>
    <cfRule type="cellIs" dxfId="762" priority="42" stopIfTrue="1" operator="lessThan">
      <formula>-0.03</formula>
    </cfRule>
  </conditionalFormatting>
  <conditionalFormatting sqref="Q207:T214">
    <cfRule type="cellIs" dxfId="761" priority="39" operator="greaterThan">
      <formula>0.03</formula>
    </cfRule>
    <cfRule type="cellIs" dxfId="760" priority="40" stopIfTrue="1" operator="lessThan">
      <formula>-0.03</formula>
    </cfRule>
  </conditionalFormatting>
  <conditionalFormatting sqref="Q231:T231">
    <cfRule type="cellIs" dxfId="759" priority="37" operator="greaterThan">
      <formula>0.03</formula>
    </cfRule>
    <cfRule type="cellIs" dxfId="758" priority="38" stopIfTrue="1" operator="lessThan">
      <formula>-0.03</formula>
    </cfRule>
  </conditionalFormatting>
  <conditionalFormatting sqref="Q235:T235">
    <cfRule type="cellIs" dxfId="757" priority="35" operator="greaterThan">
      <formula>0.03</formula>
    </cfRule>
    <cfRule type="cellIs" dxfId="756" priority="36" stopIfTrue="1" operator="lessThan">
      <formula>-0.03</formula>
    </cfRule>
  </conditionalFormatting>
  <conditionalFormatting sqref="Q243:T243">
    <cfRule type="cellIs" dxfId="755" priority="31" operator="greaterThan">
      <formula>0.03</formula>
    </cfRule>
    <cfRule type="cellIs" dxfId="754" priority="3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5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156</v>
      </c>
    </row>
    <row r="2" spans="1:21" x14ac:dyDescent="0.25">
      <c r="A2" t="s">
        <v>157</v>
      </c>
    </row>
    <row r="3" spans="1:21" x14ac:dyDescent="0.25">
      <c r="A3" t="s">
        <v>87</v>
      </c>
    </row>
    <row r="4" spans="1:21" x14ac:dyDescent="0.25">
      <c r="A4" t="s">
        <v>158</v>
      </c>
    </row>
    <row r="5" spans="1:21" s="35" customFormat="1" ht="15.75" customHeight="1" x14ac:dyDescent="0.25">
      <c r="B5" s="61" t="s">
        <v>159</v>
      </c>
      <c r="C5" s="63" t="s">
        <v>194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160</v>
      </c>
      <c r="D7" s="70"/>
      <c r="E7" s="70"/>
      <c r="F7" s="70"/>
      <c r="G7" s="70"/>
      <c r="H7" s="70"/>
      <c r="I7" s="5"/>
      <c r="J7" s="69" t="s">
        <v>183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161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162</v>
      </c>
      <c r="U8" s="72"/>
    </row>
    <row r="9" spans="1:21" x14ac:dyDescent="0.25">
      <c r="A9" s="6" t="s">
        <v>35</v>
      </c>
      <c r="B9" s="6" t="s">
        <v>46</v>
      </c>
      <c r="C9" s="15">
        <v>5509.38</v>
      </c>
      <c r="D9" s="16">
        <v>38.673000000000002</v>
      </c>
      <c r="E9" s="16">
        <v>39.643999999999998</v>
      </c>
      <c r="F9" s="16">
        <v>42.116</v>
      </c>
      <c r="G9" s="16">
        <v>1.01</v>
      </c>
      <c r="H9" s="16">
        <f t="shared" ref="H9:H80" si="0">(6*D9+E9+F9)/8</f>
        <v>39.22475</v>
      </c>
      <c r="I9" s="5"/>
      <c r="J9" s="15">
        <v>4139.0159999999996</v>
      </c>
      <c r="K9" s="16">
        <v>38.801900000000003</v>
      </c>
      <c r="L9" s="16">
        <v>40.335599999999999</v>
      </c>
      <c r="M9" s="16">
        <v>43.108499999999999</v>
      </c>
      <c r="N9" s="16">
        <v>1.8703000000000001</v>
      </c>
      <c r="O9" s="16">
        <f t="shared" ref="O9:O80" si="1">(6*K9+L9+M9)/8</f>
        <v>39.531937500000005</v>
      </c>
      <c r="P9" s="7"/>
      <c r="Q9" s="8">
        <f>bdrate(C9:C12,D9:D12,J9:J12,K9:K12)</f>
        <v>-0.35202615941448545</v>
      </c>
      <c r="R9" s="8">
        <f>bdrate(C9:C12,E9:E12,J9:J12,L9:L12)</f>
        <v>-0.540865833746069</v>
      </c>
      <c r="S9" s="8">
        <f>bdrate(C9:C12,F9:F12,J9:J12,M9:M12)</f>
        <v>-0.54215995575551967</v>
      </c>
      <c r="T9" s="25">
        <f>bdrate(C9:C12,H9:H12,J9:J12,O9:O12)</f>
        <v>-0.38365660079851227</v>
      </c>
      <c r="U9" s="28">
        <f t="shared" ref="U9:U72" si="2">(N9-G9)/G9</f>
        <v>0.85178217821782187</v>
      </c>
    </row>
    <row r="10" spans="1:21" x14ac:dyDescent="0.25">
      <c r="A10" s="9" t="s">
        <v>36</v>
      </c>
      <c r="B10" s="9"/>
      <c r="C10" s="17">
        <v>4067.24</v>
      </c>
      <c r="D10" s="18">
        <v>37.646999999999998</v>
      </c>
      <c r="E10" s="18">
        <v>39.073999999999998</v>
      </c>
      <c r="F10" s="18">
        <v>41.49</v>
      </c>
      <c r="G10" s="18">
        <v>1.08</v>
      </c>
      <c r="H10" s="18">
        <f t="shared" si="0"/>
        <v>38.305750000000003</v>
      </c>
      <c r="I10" s="5"/>
      <c r="J10" s="17">
        <v>3019.3631999999998</v>
      </c>
      <c r="K10" s="18">
        <v>37.843299999999999</v>
      </c>
      <c r="L10" s="18">
        <v>39.838299999999997</v>
      </c>
      <c r="M10" s="18">
        <v>42.4392</v>
      </c>
      <c r="N10" s="18">
        <v>2.2860999999999998</v>
      </c>
      <c r="O10" s="18">
        <f t="shared" si="1"/>
        <v>38.667162500000003</v>
      </c>
      <c r="P10" s="7"/>
      <c r="Q10" s="10"/>
      <c r="R10" s="11"/>
      <c r="S10" s="11"/>
      <c r="T10" s="26"/>
      <c r="U10" s="28">
        <f t="shared" si="2"/>
        <v>1.116759259259259</v>
      </c>
    </row>
    <row r="11" spans="1:21" x14ac:dyDescent="0.25">
      <c r="B11" s="9"/>
      <c r="C11" s="17">
        <v>2662.73</v>
      </c>
      <c r="D11" s="18">
        <v>35.993000000000002</v>
      </c>
      <c r="E11" s="18">
        <v>38.283999999999999</v>
      </c>
      <c r="F11" s="18">
        <v>40.637</v>
      </c>
      <c r="G11" s="18">
        <v>1.2</v>
      </c>
      <c r="H11" s="18">
        <f t="shared" si="0"/>
        <v>36.859875000000002</v>
      </c>
      <c r="I11" s="5"/>
      <c r="J11" s="17">
        <v>1975.5536</v>
      </c>
      <c r="K11" s="18">
        <v>36.461100000000002</v>
      </c>
      <c r="L11" s="18">
        <v>39.161299999999997</v>
      </c>
      <c r="M11" s="18">
        <v>41.62</v>
      </c>
      <c r="N11" s="18">
        <v>2.8866999999999998</v>
      </c>
      <c r="O11" s="18">
        <f t="shared" si="1"/>
        <v>37.443487500000003</v>
      </c>
      <c r="P11" s="7"/>
      <c r="Q11" s="10"/>
      <c r="R11" s="11"/>
      <c r="S11" s="11"/>
      <c r="T11" s="26"/>
      <c r="U11" s="28">
        <f t="shared" si="2"/>
        <v>1.4055833333333332</v>
      </c>
    </row>
    <row r="12" spans="1:21" ht="16.5" thickBot="1" x14ac:dyDescent="0.3">
      <c r="B12" s="12"/>
      <c r="C12" s="19">
        <v>1318.19</v>
      </c>
      <c r="D12" s="20">
        <v>32.579000000000001</v>
      </c>
      <c r="E12" s="20">
        <v>37.051000000000002</v>
      </c>
      <c r="F12" s="20">
        <v>39.314999999999998</v>
      </c>
      <c r="G12" s="20">
        <v>1.48</v>
      </c>
      <c r="H12" s="20">
        <f t="shared" si="0"/>
        <v>33.979999999999997</v>
      </c>
      <c r="I12" s="5"/>
      <c r="J12" s="19">
        <v>908.72159999999997</v>
      </c>
      <c r="K12" s="20">
        <v>33.636400000000002</v>
      </c>
      <c r="L12" s="20">
        <v>37.7515</v>
      </c>
      <c r="M12" s="20">
        <v>40.026299999999999</v>
      </c>
      <c r="N12" s="20">
        <v>4.5290999999999997</v>
      </c>
      <c r="O12" s="20">
        <f t="shared" si="1"/>
        <v>34.949525000000001</v>
      </c>
      <c r="P12" s="7"/>
      <c r="Q12" s="13"/>
      <c r="R12" s="14"/>
      <c r="S12" s="14"/>
      <c r="T12" s="27"/>
      <c r="U12" s="28">
        <f t="shared" si="2"/>
        <v>2.0602027027027026</v>
      </c>
    </row>
    <row r="13" spans="1:21" x14ac:dyDescent="0.25">
      <c r="B13" s="6" t="s">
        <v>47</v>
      </c>
      <c r="C13" s="15">
        <v>6313.83</v>
      </c>
      <c r="D13" s="16">
        <v>31.422999999999998</v>
      </c>
      <c r="E13" s="16">
        <v>40.576000000000001</v>
      </c>
      <c r="F13" s="16">
        <v>41.234000000000002</v>
      </c>
      <c r="G13" s="16">
        <v>0.91</v>
      </c>
      <c r="H13" s="16">
        <f t="shared" si="0"/>
        <v>33.793499999999995</v>
      </c>
      <c r="I13" s="5"/>
      <c r="J13" s="15">
        <v>4140.1311999999998</v>
      </c>
      <c r="K13" s="16">
        <v>30.227599999999999</v>
      </c>
      <c r="L13" s="16">
        <v>41.1023</v>
      </c>
      <c r="M13" s="16">
        <v>41.899700000000003</v>
      </c>
      <c r="N13" s="16">
        <v>1.3711</v>
      </c>
      <c r="O13" s="16">
        <f t="shared" si="1"/>
        <v>33.045949999999998</v>
      </c>
      <c r="P13" s="7"/>
      <c r="Q13" s="8">
        <f>bdrate(C13:C16,D13:D16,J13:J16,K13:K16)</f>
        <v>-0.2631802864688253</v>
      </c>
      <c r="R13" s="8">
        <f>bdrate(C13:C16,E13:E16,J13:J16,L13:L16)</f>
        <v>-0.48420591586524875</v>
      </c>
      <c r="S13" s="8">
        <f>bdrate(C13:C16,F13:F16,J13:J16,M13:M16)</f>
        <v>-0.56291465071318025</v>
      </c>
      <c r="T13" s="25">
        <f>bdrate(C13:C16,H13:H16,J13:J16,O13:O16)</f>
        <v>-0.29948704044871666</v>
      </c>
      <c r="U13" s="28">
        <f t="shared" si="2"/>
        <v>0.50670329670329661</v>
      </c>
    </row>
    <row r="14" spans="1:21" x14ac:dyDescent="0.25">
      <c r="B14" s="9"/>
      <c r="C14" s="17">
        <v>4764.32</v>
      </c>
      <c r="D14" s="18">
        <v>29.881</v>
      </c>
      <c r="E14" s="18">
        <v>40.002000000000002</v>
      </c>
      <c r="F14" s="18">
        <v>40.715000000000003</v>
      </c>
      <c r="G14" s="18">
        <v>1.01</v>
      </c>
      <c r="H14" s="18">
        <f t="shared" si="0"/>
        <v>32.500375000000005</v>
      </c>
      <c r="I14" s="5"/>
      <c r="J14" s="17">
        <v>3075.7248</v>
      </c>
      <c r="K14" s="18">
        <v>28.854600000000001</v>
      </c>
      <c r="L14" s="18">
        <v>40.561199999999999</v>
      </c>
      <c r="M14" s="18">
        <v>41.464799999999997</v>
      </c>
      <c r="N14" s="18">
        <v>1.6458999999999999</v>
      </c>
      <c r="O14" s="18">
        <f t="shared" si="1"/>
        <v>31.894200000000001</v>
      </c>
      <c r="P14" s="7"/>
      <c r="Q14" s="10"/>
      <c r="R14" s="11"/>
      <c r="S14" s="11"/>
      <c r="T14" s="26"/>
      <c r="U14" s="28">
        <f t="shared" si="2"/>
        <v>0.6296039603960395</v>
      </c>
    </row>
    <row r="15" spans="1:21" x14ac:dyDescent="0.25">
      <c r="B15" s="9"/>
      <c r="C15" s="17">
        <v>3195.85</v>
      </c>
      <c r="D15" s="18">
        <v>27.638000000000002</v>
      </c>
      <c r="E15" s="18">
        <v>39.226999999999997</v>
      </c>
      <c r="F15" s="18">
        <v>40.006999999999998</v>
      </c>
      <c r="G15" s="18">
        <v>1.17</v>
      </c>
      <c r="H15" s="18">
        <f t="shared" si="0"/>
        <v>30.632750000000001</v>
      </c>
      <c r="I15" s="5"/>
      <c r="J15" s="17">
        <v>2059.1999999999998</v>
      </c>
      <c r="K15" s="18">
        <v>27.0945</v>
      </c>
      <c r="L15" s="18">
        <v>39.754199999999997</v>
      </c>
      <c r="M15" s="18">
        <v>40.7791</v>
      </c>
      <c r="N15" s="18">
        <v>2.0762999999999998</v>
      </c>
      <c r="O15" s="18">
        <f t="shared" si="1"/>
        <v>30.387537500000001</v>
      </c>
      <c r="P15" s="7"/>
      <c r="Q15" s="10"/>
      <c r="R15" s="11"/>
      <c r="S15" s="11"/>
      <c r="T15" s="26"/>
      <c r="U15" s="28">
        <f t="shared" si="2"/>
        <v>0.77461538461538459</v>
      </c>
    </row>
    <row r="16" spans="1:21" ht="16.5" thickBot="1" x14ac:dyDescent="0.3">
      <c r="B16" s="12"/>
      <c r="C16" s="19">
        <v>1588.38</v>
      </c>
      <c r="D16" s="20">
        <v>24.004999999999999</v>
      </c>
      <c r="E16" s="20">
        <v>37.975000000000001</v>
      </c>
      <c r="F16" s="20">
        <v>38.734000000000002</v>
      </c>
      <c r="G16" s="20">
        <v>1.42</v>
      </c>
      <c r="H16" s="20">
        <f t="shared" si="0"/>
        <v>27.592375000000001</v>
      </c>
      <c r="I16" s="5"/>
      <c r="J16" s="19">
        <v>1388.3568</v>
      </c>
      <c r="K16" s="20">
        <v>25.848400000000002</v>
      </c>
      <c r="L16" s="20">
        <v>38.585500000000003</v>
      </c>
      <c r="M16" s="20">
        <v>39.775100000000002</v>
      </c>
      <c r="N16" s="20">
        <v>2.4361000000000002</v>
      </c>
      <c r="O16" s="20">
        <f t="shared" si="1"/>
        <v>29.181375000000003</v>
      </c>
      <c r="P16" s="7"/>
      <c r="Q16" s="13"/>
      <c r="R16" s="14"/>
      <c r="S16" s="14"/>
      <c r="T16" s="27"/>
      <c r="U16" s="28">
        <f t="shared" si="2"/>
        <v>0.71556338028169031</v>
      </c>
    </row>
    <row r="17" spans="1:21" x14ac:dyDescent="0.25">
      <c r="A17" s="6" t="s">
        <v>37</v>
      </c>
      <c r="B17" s="6" t="s">
        <v>48</v>
      </c>
      <c r="C17" s="15">
        <v>2996.82</v>
      </c>
      <c r="D17" s="16">
        <v>39.399000000000001</v>
      </c>
      <c r="E17" s="16">
        <v>42.029000000000003</v>
      </c>
      <c r="F17" s="16">
        <v>43.183</v>
      </c>
      <c r="G17" s="16">
        <v>1.41</v>
      </c>
      <c r="H17" s="16">
        <f t="shared" si="0"/>
        <v>40.200749999999999</v>
      </c>
      <c r="I17" s="5"/>
      <c r="J17" s="15">
        <v>2369.8919999999998</v>
      </c>
      <c r="K17" s="16">
        <v>39.607700000000001</v>
      </c>
      <c r="L17" s="16">
        <v>42.542000000000002</v>
      </c>
      <c r="M17" s="16">
        <v>44.262900000000002</v>
      </c>
      <c r="N17" s="16">
        <v>2.4053</v>
      </c>
      <c r="O17" s="16">
        <f t="shared" si="1"/>
        <v>40.556387500000007</v>
      </c>
      <c r="P17" s="7"/>
      <c r="Q17" s="8">
        <f>bdrate(C17:C20,D17:D20,J17:J20,K17:K20)</f>
        <v>-0.3403915412416133</v>
      </c>
      <c r="R17" s="8">
        <f>bdrate(C17:C20,E17:E20,J17:J20,L17:L20)</f>
        <v>-0.49278534989802847</v>
      </c>
      <c r="S17" s="8">
        <f>bdrate(C17:C20,F17:F20,J17:J20,M17:M20)</f>
        <v>-0.57441703327393434</v>
      </c>
      <c r="T17" s="25">
        <f>bdrate(C17:C20,H17:H20,J17:J20,O17:O20)</f>
        <v>-0.37358652351051003</v>
      </c>
      <c r="U17" s="28">
        <f t="shared" si="2"/>
        <v>0.70588652482269509</v>
      </c>
    </row>
    <row r="18" spans="1:21" x14ac:dyDescent="0.25">
      <c r="A18" s="9" t="s">
        <v>38</v>
      </c>
      <c r="B18" s="9"/>
      <c r="C18" s="17">
        <v>1966.13</v>
      </c>
      <c r="D18" s="18">
        <v>37.993000000000002</v>
      </c>
      <c r="E18" s="18">
        <v>41.295000000000002</v>
      </c>
      <c r="F18" s="18">
        <v>42.286000000000001</v>
      </c>
      <c r="G18" s="18">
        <v>1.59</v>
      </c>
      <c r="H18" s="18">
        <f t="shared" si="0"/>
        <v>38.942375000000006</v>
      </c>
      <c r="I18" s="5"/>
      <c r="J18" s="17">
        <v>1556.1024</v>
      </c>
      <c r="K18" s="18">
        <v>38.445</v>
      </c>
      <c r="L18" s="18">
        <v>41.949399999999997</v>
      </c>
      <c r="M18" s="18">
        <v>43.4512</v>
      </c>
      <c r="N18" s="18">
        <v>3.1061000000000001</v>
      </c>
      <c r="O18" s="18">
        <f t="shared" si="1"/>
        <v>39.508825000000002</v>
      </c>
      <c r="P18" s="7"/>
      <c r="Q18" s="10"/>
      <c r="R18" s="11"/>
      <c r="S18" s="11"/>
      <c r="T18" s="26"/>
      <c r="U18" s="28">
        <f t="shared" si="2"/>
        <v>0.95352201257861635</v>
      </c>
    </row>
    <row r="19" spans="1:21" x14ac:dyDescent="0.25">
      <c r="B19" s="9"/>
      <c r="C19" s="17">
        <v>1217.97</v>
      </c>
      <c r="D19" s="18">
        <v>36.113999999999997</v>
      </c>
      <c r="E19" s="18">
        <v>40.420999999999999</v>
      </c>
      <c r="F19" s="18">
        <v>41.343000000000004</v>
      </c>
      <c r="G19" s="18">
        <v>1.82</v>
      </c>
      <c r="H19" s="18">
        <f t="shared" si="0"/>
        <v>37.305999999999997</v>
      </c>
      <c r="I19" s="5"/>
      <c r="J19" s="17">
        <v>968.44320000000005</v>
      </c>
      <c r="K19" s="18">
        <v>36.914499999999997</v>
      </c>
      <c r="L19" s="18">
        <v>41.222799999999999</v>
      </c>
      <c r="M19" s="18">
        <v>42.536799999999999</v>
      </c>
      <c r="N19" s="18">
        <v>4.1201999999999996</v>
      </c>
      <c r="O19" s="18">
        <f t="shared" si="1"/>
        <v>38.155824999999993</v>
      </c>
      <c r="P19" s="7"/>
      <c r="Q19" s="10"/>
      <c r="R19" s="11"/>
      <c r="S19" s="11"/>
      <c r="T19" s="26"/>
      <c r="U19" s="28">
        <f t="shared" si="2"/>
        <v>1.2638461538461534</v>
      </c>
    </row>
    <row r="20" spans="1:21" ht="16.5" thickBot="1" x14ac:dyDescent="0.3">
      <c r="B20" s="12"/>
      <c r="C20" s="19">
        <v>726.96</v>
      </c>
      <c r="D20" s="20">
        <v>33.753999999999998</v>
      </c>
      <c r="E20" s="20">
        <v>39.548000000000002</v>
      </c>
      <c r="F20" s="20">
        <v>40.546999999999997</v>
      </c>
      <c r="G20" s="20">
        <v>2.3199999999999998</v>
      </c>
      <c r="H20" s="20">
        <f t="shared" si="0"/>
        <v>35.327375000000004</v>
      </c>
      <c r="I20" s="5"/>
      <c r="J20" s="19">
        <v>567.01760000000002</v>
      </c>
      <c r="K20" s="20">
        <v>35.104700000000001</v>
      </c>
      <c r="L20" s="20">
        <v>40.473100000000002</v>
      </c>
      <c r="M20" s="20">
        <v>41.735599999999998</v>
      </c>
      <c r="N20" s="20">
        <v>5.6045999999999996</v>
      </c>
      <c r="O20" s="20">
        <f t="shared" si="1"/>
        <v>36.604612499999995</v>
      </c>
      <c r="P20" s="7"/>
      <c r="Q20" s="13"/>
      <c r="R20" s="14"/>
      <c r="S20" s="14"/>
      <c r="T20" s="27"/>
      <c r="U20" s="28">
        <f t="shared" si="2"/>
        <v>1.4157758620689656</v>
      </c>
    </row>
    <row r="21" spans="1:21" x14ac:dyDescent="0.25">
      <c r="B21" s="6" t="s">
        <v>49</v>
      </c>
      <c r="C21" s="15">
        <v>3358.89</v>
      </c>
      <c r="D21" s="16">
        <v>37.070999999999998</v>
      </c>
      <c r="E21" s="16">
        <v>39.774999999999999</v>
      </c>
      <c r="F21" s="16">
        <v>40.905999999999999</v>
      </c>
      <c r="G21" s="16">
        <v>1.37</v>
      </c>
      <c r="H21" s="16">
        <f t="shared" si="0"/>
        <v>37.888374999999996</v>
      </c>
      <c r="I21" s="5"/>
      <c r="J21" s="15">
        <v>2553.0504000000001</v>
      </c>
      <c r="K21" s="16">
        <v>36.893300000000004</v>
      </c>
      <c r="L21" s="16">
        <v>40.983199999999997</v>
      </c>
      <c r="M21" s="16">
        <v>42.3354</v>
      </c>
      <c r="N21" s="16">
        <v>2.6787999999999998</v>
      </c>
      <c r="O21" s="16">
        <f t="shared" si="1"/>
        <v>38.084800000000001</v>
      </c>
      <c r="P21" s="7"/>
      <c r="Q21" s="8">
        <f>bdrate(C21:C24,D21:D24,J21:J24,K21:K24)</f>
        <v>-0.26864043614550814</v>
      </c>
      <c r="R21" s="8">
        <f>bdrate(C21:C24,E21:E24,J21:J24,L21:L24)</f>
        <v>-0.59663590211580531</v>
      </c>
      <c r="S21" s="8">
        <f>bdrate(C21:C24,F21:F24,J21:J24,M21:M24)</f>
        <v>-0.59738537146746551</v>
      </c>
      <c r="T21" s="25">
        <f>bdrate(C21:C24,H21:H24,J21:J24,O21:O24)</f>
        <v>-0.33152348550097377</v>
      </c>
      <c r="U21" s="28">
        <f t="shared" si="2"/>
        <v>0.95532846715328446</v>
      </c>
    </row>
    <row r="22" spans="1:21" x14ac:dyDescent="0.25">
      <c r="B22" s="9"/>
      <c r="C22" s="17">
        <v>2221.0100000000002</v>
      </c>
      <c r="D22" s="18">
        <v>35.656999999999996</v>
      </c>
      <c r="E22" s="18">
        <v>38.921999999999997</v>
      </c>
      <c r="F22" s="18">
        <v>40.177</v>
      </c>
      <c r="G22" s="18">
        <v>1.48</v>
      </c>
      <c r="H22" s="18">
        <f t="shared" si="0"/>
        <v>36.630125</v>
      </c>
      <c r="I22" s="5"/>
      <c r="J22" s="17">
        <v>1666.1952000000001</v>
      </c>
      <c r="K22" s="18">
        <v>35.5961</v>
      </c>
      <c r="L22" s="18">
        <v>40.143999999999998</v>
      </c>
      <c r="M22" s="18">
        <v>41.390099999999997</v>
      </c>
      <c r="N22" s="18">
        <v>3.4464000000000001</v>
      </c>
      <c r="O22" s="18">
        <f t="shared" si="1"/>
        <v>36.888837500000001</v>
      </c>
      <c r="P22" s="7"/>
      <c r="Q22" s="10"/>
      <c r="R22" s="11"/>
      <c r="S22" s="11"/>
      <c r="T22" s="26"/>
      <c r="U22" s="28">
        <f t="shared" si="2"/>
        <v>1.3286486486486488</v>
      </c>
    </row>
    <row r="23" spans="1:21" x14ac:dyDescent="0.25">
      <c r="B23" s="9"/>
      <c r="C23" s="17">
        <v>1378.02</v>
      </c>
      <c r="D23" s="18">
        <v>33.905999999999999</v>
      </c>
      <c r="E23" s="18">
        <v>38.033999999999999</v>
      </c>
      <c r="F23" s="18">
        <v>39.423999999999999</v>
      </c>
      <c r="G23" s="18">
        <v>1.64</v>
      </c>
      <c r="H23" s="18">
        <f t="shared" si="0"/>
        <v>35.111749999999994</v>
      </c>
      <c r="I23" s="5"/>
      <c r="J23" s="17">
        <v>1032.3248000000001</v>
      </c>
      <c r="K23" s="18">
        <v>34.079099999999997</v>
      </c>
      <c r="L23" s="18">
        <v>39.207900000000002</v>
      </c>
      <c r="M23" s="18">
        <v>40.427</v>
      </c>
      <c r="N23" s="18">
        <v>4.5063000000000004</v>
      </c>
      <c r="O23" s="18">
        <f t="shared" si="1"/>
        <v>35.513687499999996</v>
      </c>
      <c r="P23" s="7"/>
      <c r="Q23" s="10"/>
      <c r="R23" s="11"/>
      <c r="S23" s="11"/>
      <c r="T23" s="26"/>
      <c r="U23" s="28">
        <f t="shared" si="2"/>
        <v>1.7477439024390249</v>
      </c>
    </row>
    <row r="24" spans="1:21" ht="16.5" thickBot="1" x14ac:dyDescent="0.3">
      <c r="B24" s="12"/>
      <c r="C24" s="19">
        <v>820.32</v>
      </c>
      <c r="D24" s="20">
        <v>31.937999999999999</v>
      </c>
      <c r="E24" s="20">
        <v>37.253999999999998</v>
      </c>
      <c r="F24" s="20">
        <v>38.787999999999997</v>
      </c>
      <c r="G24" s="20">
        <v>1.92</v>
      </c>
      <c r="H24" s="20">
        <f t="shared" si="0"/>
        <v>33.458749999999995</v>
      </c>
      <c r="I24" s="5"/>
      <c r="J24" s="19">
        <v>614.18880000000001</v>
      </c>
      <c r="K24" s="20">
        <v>32.445500000000003</v>
      </c>
      <c r="L24" s="20">
        <v>38.1997</v>
      </c>
      <c r="M24" s="20">
        <v>39.546300000000002</v>
      </c>
      <c r="N24" s="20">
        <v>6.0880999999999998</v>
      </c>
      <c r="O24" s="20">
        <f t="shared" si="1"/>
        <v>34.052374999999998</v>
      </c>
      <c r="P24" s="7"/>
      <c r="Q24" s="13"/>
      <c r="R24" s="14"/>
      <c r="S24" s="14"/>
      <c r="T24" s="27"/>
      <c r="U24" s="28">
        <f t="shared" si="2"/>
        <v>2.1708854166666667</v>
      </c>
    </row>
    <row r="25" spans="1:21" x14ac:dyDescent="0.25">
      <c r="B25" s="6" t="s">
        <v>50</v>
      </c>
      <c r="C25" s="15">
        <v>3495.46</v>
      </c>
      <c r="D25" s="16">
        <v>35.040999999999997</v>
      </c>
      <c r="E25" s="16">
        <v>38.292999999999999</v>
      </c>
      <c r="F25" s="16">
        <v>40.103999999999999</v>
      </c>
      <c r="G25" s="16">
        <v>1.73</v>
      </c>
      <c r="H25" s="16">
        <f t="shared" si="0"/>
        <v>36.080374999999997</v>
      </c>
      <c r="I25" s="5"/>
      <c r="J25" s="15">
        <v>2406.6255999999998</v>
      </c>
      <c r="K25" s="16">
        <v>35.142099999999999</v>
      </c>
      <c r="L25" s="16">
        <v>38.844700000000003</v>
      </c>
      <c r="M25" s="16">
        <v>41.396099999999997</v>
      </c>
      <c r="N25" s="16">
        <v>3.8052000000000001</v>
      </c>
      <c r="O25" s="16">
        <f t="shared" si="1"/>
        <v>36.386674999999997</v>
      </c>
      <c r="P25" s="7"/>
      <c r="Q25" s="8">
        <f>bdrate(C25:C28,D25:D28,J25:J28,K25:K28)</f>
        <v>-0.41705646058721701</v>
      </c>
      <c r="R25" s="8">
        <f>bdrate(C25:C28,E25:E28,J25:J28,L25:L28)</f>
        <v>-0.62024472235441541</v>
      </c>
      <c r="S25" s="8">
        <f>bdrate(C25:C28,F25:F28,J25:J28,M25:M28)</f>
        <v>-0.65275373328537456</v>
      </c>
      <c r="T25" s="25">
        <f>bdrate(C25:C28,H25:H28,J25:J28,O25:O28)</f>
        <v>-0.45620715830468561</v>
      </c>
      <c r="U25" s="28">
        <f t="shared" si="2"/>
        <v>1.1995375722543353</v>
      </c>
    </row>
    <row r="26" spans="1:21" x14ac:dyDescent="0.25">
      <c r="B26" s="9"/>
      <c r="C26" s="17">
        <v>2319.2600000000002</v>
      </c>
      <c r="D26" s="18">
        <v>33.616999999999997</v>
      </c>
      <c r="E26" s="18">
        <v>37.713000000000001</v>
      </c>
      <c r="F26" s="18">
        <v>39.127000000000002</v>
      </c>
      <c r="G26" s="18">
        <v>2</v>
      </c>
      <c r="H26" s="18">
        <f t="shared" si="0"/>
        <v>34.817749999999997</v>
      </c>
      <c r="I26" s="5"/>
      <c r="J26" s="17">
        <v>1603.6768</v>
      </c>
      <c r="K26" s="18">
        <v>34.027700000000003</v>
      </c>
      <c r="L26" s="18">
        <v>38.419400000000003</v>
      </c>
      <c r="M26" s="18">
        <v>40.575000000000003</v>
      </c>
      <c r="N26" s="18">
        <v>4.8400999999999996</v>
      </c>
      <c r="O26" s="18">
        <f t="shared" si="1"/>
        <v>35.395074999999999</v>
      </c>
      <c r="P26" s="7"/>
      <c r="Q26" s="10"/>
      <c r="R26" s="11"/>
      <c r="S26" s="11"/>
      <c r="T26" s="26"/>
      <c r="U26" s="28">
        <f t="shared" si="2"/>
        <v>1.4200499999999998</v>
      </c>
    </row>
    <row r="27" spans="1:21" x14ac:dyDescent="0.25">
      <c r="B27" s="9"/>
      <c r="C27" s="17">
        <v>1454.42</v>
      </c>
      <c r="D27" s="18">
        <v>31.742999999999999</v>
      </c>
      <c r="E27" s="18">
        <v>37.049999999999997</v>
      </c>
      <c r="F27" s="18">
        <v>38.006</v>
      </c>
      <c r="G27" s="18">
        <v>2.4300000000000002</v>
      </c>
      <c r="H27" s="18">
        <f t="shared" si="0"/>
        <v>33.189250000000001</v>
      </c>
      <c r="I27" s="5"/>
      <c r="J27" s="17">
        <v>1000.62</v>
      </c>
      <c r="K27" s="18">
        <v>32.502699999999997</v>
      </c>
      <c r="L27" s="18">
        <v>37.882800000000003</v>
      </c>
      <c r="M27" s="18">
        <v>39.607599999999998</v>
      </c>
      <c r="N27" s="18">
        <v>6.3342000000000001</v>
      </c>
      <c r="O27" s="18">
        <f t="shared" si="1"/>
        <v>34.063324999999999</v>
      </c>
      <c r="P27" s="7"/>
      <c r="Q27" s="10"/>
      <c r="R27" s="11"/>
      <c r="S27" s="11"/>
      <c r="T27" s="26"/>
      <c r="U27" s="28">
        <f t="shared" si="2"/>
        <v>1.6066666666666665</v>
      </c>
    </row>
    <row r="28" spans="1:21" ht="16.5" thickBot="1" x14ac:dyDescent="0.3">
      <c r="B28" s="12"/>
      <c r="C28" s="19">
        <v>869.98</v>
      </c>
      <c r="D28" s="20">
        <v>29.478999999999999</v>
      </c>
      <c r="E28" s="20">
        <v>36.338000000000001</v>
      </c>
      <c r="F28" s="20">
        <v>36.942</v>
      </c>
      <c r="G28" s="20">
        <v>3.11</v>
      </c>
      <c r="H28" s="20">
        <f t="shared" si="0"/>
        <v>31.26925</v>
      </c>
      <c r="I28" s="5"/>
      <c r="J28" s="19">
        <v>592.44640000000004</v>
      </c>
      <c r="K28" s="20">
        <v>30.738700000000001</v>
      </c>
      <c r="L28" s="20">
        <v>37.210099999999997</v>
      </c>
      <c r="M28" s="20">
        <v>38.477800000000002</v>
      </c>
      <c r="N28" s="20">
        <v>8.8222000000000005</v>
      </c>
      <c r="O28" s="20">
        <f t="shared" si="1"/>
        <v>32.515012500000005</v>
      </c>
      <c r="P28" s="7"/>
      <c r="Q28" s="13"/>
      <c r="R28" s="14"/>
      <c r="S28" s="14"/>
      <c r="T28" s="27"/>
      <c r="U28" s="28">
        <f t="shared" si="2"/>
        <v>1.8367202572347272</v>
      </c>
    </row>
    <row r="29" spans="1:21" x14ac:dyDescent="0.25">
      <c r="B29" s="6" t="s">
        <v>51</v>
      </c>
      <c r="C29" s="29">
        <v>3575.83</v>
      </c>
      <c r="D29" s="30">
        <v>34.639000000000003</v>
      </c>
      <c r="E29" s="30">
        <v>40.069000000000003</v>
      </c>
      <c r="F29" s="30">
        <v>39.826999999999998</v>
      </c>
      <c r="G29" s="16">
        <v>1.45</v>
      </c>
      <c r="H29" s="16">
        <f t="shared" si="0"/>
        <v>35.966250000000002</v>
      </c>
      <c r="I29" s="5"/>
      <c r="J29" s="29">
        <v>2447.9135999999999</v>
      </c>
      <c r="K29" s="30">
        <v>34.929699999999997</v>
      </c>
      <c r="L29" s="30">
        <v>41.390099999999997</v>
      </c>
      <c r="M29" s="30">
        <v>41.182000000000002</v>
      </c>
      <c r="N29" s="16">
        <v>3.2157</v>
      </c>
      <c r="O29" s="16">
        <f t="shared" si="1"/>
        <v>36.518787499999995</v>
      </c>
      <c r="P29" s="7"/>
      <c r="Q29" s="8">
        <f>bdrate(C29:C32,D29:D32,J29:J32,K29:K32)</f>
        <v>-0.4611967338917542</v>
      </c>
      <c r="R29" s="8">
        <f>bdrate(C29:C32,E29:E32,J29:J32,L29:L32)</f>
        <v>-0.71398540405163546</v>
      </c>
      <c r="S29" s="8">
        <f>bdrate(C29:C32,F29:F32,J29:J32,M29:M32)</f>
        <v>-0.63728160351465757</v>
      </c>
      <c r="T29" s="25">
        <f>bdrate(C29:C32,H29:H32,J29:J32,O29:O32)</f>
        <v>-0.50168366930574293</v>
      </c>
      <c r="U29" s="28">
        <f t="shared" si="2"/>
        <v>1.2177241379310346</v>
      </c>
    </row>
    <row r="30" spans="1:21" x14ac:dyDescent="0.25">
      <c r="B30" s="9"/>
      <c r="C30" s="31">
        <v>2387.1799999999998</v>
      </c>
      <c r="D30" s="32">
        <v>32.987000000000002</v>
      </c>
      <c r="E30" s="32">
        <v>39.215000000000003</v>
      </c>
      <c r="F30" s="32">
        <v>38.738999999999997</v>
      </c>
      <c r="G30" s="18">
        <v>1.79</v>
      </c>
      <c r="H30" s="18">
        <f t="shared" si="0"/>
        <v>34.484500000000004</v>
      </c>
      <c r="I30" s="5"/>
      <c r="J30" s="31">
        <v>1633.9608000000001</v>
      </c>
      <c r="K30" s="32">
        <v>33.631799999999998</v>
      </c>
      <c r="L30" s="32">
        <v>40.713200000000001</v>
      </c>
      <c r="M30" s="32">
        <v>40.244</v>
      </c>
      <c r="N30" s="18">
        <v>4.0705</v>
      </c>
      <c r="O30" s="18">
        <f t="shared" si="1"/>
        <v>35.343499999999999</v>
      </c>
      <c r="P30" s="7"/>
      <c r="Q30" s="10"/>
      <c r="R30" s="11"/>
      <c r="S30" s="11"/>
      <c r="T30" s="26"/>
      <c r="U30" s="28">
        <f t="shared" si="2"/>
        <v>1.274022346368715</v>
      </c>
    </row>
    <row r="31" spans="1:21" x14ac:dyDescent="0.25">
      <c r="B31" s="9"/>
      <c r="C31" s="31">
        <v>1472.29</v>
      </c>
      <c r="D31" s="32">
        <v>30.614999999999998</v>
      </c>
      <c r="E31" s="32">
        <v>38.174999999999997</v>
      </c>
      <c r="F31" s="32">
        <v>37.369</v>
      </c>
      <c r="G31" s="18">
        <v>2.44</v>
      </c>
      <c r="H31" s="18">
        <f t="shared" si="0"/>
        <v>32.404250000000005</v>
      </c>
      <c r="I31" s="5"/>
      <c r="J31" s="31">
        <v>1013.8848</v>
      </c>
      <c r="K31" s="32">
        <v>31.973299999999998</v>
      </c>
      <c r="L31" s="32">
        <v>39.986899999999999</v>
      </c>
      <c r="M31" s="32">
        <v>39.188099999999999</v>
      </c>
      <c r="N31" s="18">
        <v>5.3445</v>
      </c>
      <c r="O31" s="18">
        <f t="shared" si="1"/>
        <v>33.876849999999997</v>
      </c>
      <c r="P31" s="7"/>
      <c r="Q31" s="10"/>
      <c r="R31" s="11"/>
      <c r="S31" s="11"/>
      <c r="T31" s="26"/>
      <c r="U31" s="28">
        <f t="shared" si="2"/>
        <v>1.1903688524590164</v>
      </c>
    </row>
    <row r="32" spans="1:21" ht="16.5" thickBot="1" x14ac:dyDescent="0.3">
      <c r="B32" s="12"/>
      <c r="C32" s="33">
        <v>879.74</v>
      </c>
      <c r="D32" s="34">
        <v>27.57</v>
      </c>
      <c r="E32" s="34">
        <v>37.052</v>
      </c>
      <c r="F32" s="34">
        <v>35.411999999999999</v>
      </c>
      <c r="G32" s="20">
        <v>3.48</v>
      </c>
      <c r="H32" s="20">
        <f t="shared" si="0"/>
        <v>29.735500000000002</v>
      </c>
      <c r="I32" s="5"/>
      <c r="J32" s="33">
        <v>605.79600000000005</v>
      </c>
      <c r="K32" s="34">
        <v>30.127600000000001</v>
      </c>
      <c r="L32" s="34">
        <v>38.987499999999997</v>
      </c>
      <c r="M32" s="34">
        <v>37.699100000000001</v>
      </c>
      <c r="N32" s="20">
        <v>7.4728000000000003</v>
      </c>
      <c r="O32" s="20">
        <f t="shared" si="1"/>
        <v>32.181525000000001</v>
      </c>
      <c r="P32" s="7"/>
      <c r="Q32" s="13"/>
      <c r="R32" s="14"/>
      <c r="S32" s="14"/>
      <c r="T32" s="27"/>
      <c r="U32" s="28">
        <f t="shared" si="2"/>
        <v>1.1473563218390805</v>
      </c>
    </row>
    <row r="33" spans="1:21" x14ac:dyDescent="0.25">
      <c r="B33" s="6" t="s">
        <v>52</v>
      </c>
      <c r="C33" s="15">
        <v>3508.37</v>
      </c>
      <c r="D33" s="16">
        <v>33.859000000000002</v>
      </c>
      <c r="E33" s="16">
        <v>39.369999999999997</v>
      </c>
      <c r="F33" s="16">
        <v>42.066000000000003</v>
      </c>
      <c r="G33" s="16">
        <v>1.47</v>
      </c>
      <c r="H33" s="16">
        <f t="shared" si="0"/>
        <v>35.573750000000004</v>
      </c>
      <c r="I33" s="5"/>
      <c r="J33" s="15">
        <v>2395.6016</v>
      </c>
      <c r="K33" s="16">
        <v>34.164900000000003</v>
      </c>
      <c r="L33" s="16">
        <v>40.4816</v>
      </c>
      <c r="M33" s="16">
        <v>42.920400000000001</v>
      </c>
      <c r="N33" s="16">
        <v>4.5265000000000004</v>
      </c>
      <c r="O33" s="16">
        <f t="shared" si="1"/>
        <v>36.048924999999997</v>
      </c>
      <c r="P33" s="7"/>
      <c r="Q33" s="8">
        <f>bdrate(C33:C36,D33:D36,J33:J36,K33:K36)</f>
        <v>-0.48119051491331333</v>
      </c>
      <c r="R33" s="8">
        <f>bdrate(C33:C36,E33:E36,J33:J36,L33:L36)</f>
        <v>-0.68831770716705432</v>
      </c>
      <c r="S33" s="8">
        <f>bdrate(C33:C36,F33:F36,J33:J36,M33:M36)</f>
        <v>-0.66455614101422023</v>
      </c>
      <c r="T33" s="25">
        <f>bdrate(C33:C36,H33:H36,J33:J36,O33:O36)</f>
        <v>-0.51521072558349479</v>
      </c>
      <c r="U33" s="28">
        <f t="shared" si="2"/>
        <v>2.0792517006802727</v>
      </c>
    </row>
    <row r="34" spans="1:21" x14ac:dyDescent="0.25">
      <c r="B34" s="9"/>
      <c r="C34" s="17">
        <v>2299.3000000000002</v>
      </c>
      <c r="D34" s="18">
        <v>33.045999999999999</v>
      </c>
      <c r="E34" s="18">
        <v>38.920999999999999</v>
      </c>
      <c r="F34" s="18">
        <v>41.606999999999999</v>
      </c>
      <c r="G34" s="18">
        <v>1.68</v>
      </c>
      <c r="H34" s="18">
        <f t="shared" si="0"/>
        <v>34.850499999999997</v>
      </c>
      <c r="I34" s="5"/>
      <c r="J34" s="17">
        <v>1582.8119999999999</v>
      </c>
      <c r="K34" s="18">
        <v>33.524799999999999</v>
      </c>
      <c r="L34" s="18">
        <v>40.012099999999997</v>
      </c>
      <c r="M34" s="18">
        <v>42.485900000000001</v>
      </c>
      <c r="N34" s="18">
        <v>6.0021000000000004</v>
      </c>
      <c r="O34" s="18">
        <f t="shared" si="1"/>
        <v>35.455849999999998</v>
      </c>
      <c r="P34" s="7"/>
      <c r="Q34" s="10"/>
      <c r="R34" s="11"/>
      <c r="S34" s="11"/>
      <c r="T34" s="26"/>
      <c r="U34" s="28">
        <f t="shared" si="2"/>
        <v>2.5726785714285718</v>
      </c>
    </row>
    <row r="35" spans="1:21" x14ac:dyDescent="0.25">
      <c r="B35" s="9"/>
      <c r="C35" s="17">
        <v>1413.7</v>
      </c>
      <c r="D35" s="18">
        <v>31.709</v>
      </c>
      <c r="E35" s="18">
        <v>38.399000000000001</v>
      </c>
      <c r="F35" s="18">
        <v>41.051000000000002</v>
      </c>
      <c r="G35" s="18">
        <v>1.96</v>
      </c>
      <c r="H35" s="18">
        <f t="shared" si="0"/>
        <v>33.713000000000001</v>
      </c>
      <c r="I35" s="5"/>
      <c r="J35" s="17">
        <v>983.96640000000002</v>
      </c>
      <c r="K35" s="18">
        <v>32.553100000000001</v>
      </c>
      <c r="L35" s="18">
        <v>39.2821</v>
      </c>
      <c r="M35" s="18">
        <v>41.859499999999997</v>
      </c>
      <c r="N35" s="18">
        <v>8.2253000000000007</v>
      </c>
      <c r="O35" s="18">
        <f t="shared" si="1"/>
        <v>34.557524999999998</v>
      </c>
      <c r="P35" s="7"/>
      <c r="Q35" s="10"/>
      <c r="R35" s="11"/>
      <c r="S35" s="11"/>
      <c r="T35" s="26"/>
      <c r="U35" s="28">
        <f t="shared" si="2"/>
        <v>3.1965816326530616</v>
      </c>
    </row>
    <row r="36" spans="1:21" ht="16.5" thickBot="1" x14ac:dyDescent="0.3">
      <c r="B36" s="12"/>
      <c r="C36" s="19">
        <v>825.33</v>
      </c>
      <c r="D36" s="20">
        <v>29.556000000000001</v>
      </c>
      <c r="E36" s="20">
        <v>37.692</v>
      </c>
      <c r="F36" s="20">
        <v>40.335000000000001</v>
      </c>
      <c r="G36" s="20">
        <v>2.52</v>
      </c>
      <c r="H36" s="20">
        <f t="shared" si="0"/>
        <v>31.920375000000003</v>
      </c>
      <c r="I36" s="5"/>
      <c r="J36" s="19">
        <v>581.96559999999999</v>
      </c>
      <c r="K36" s="20">
        <v>31.166799999999999</v>
      </c>
      <c r="L36" s="20">
        <v>38.692100000000003</v>
      </c>
      <c r="M36" s="20">
        <v>41.336100000000002</v>
      </c>
      <c r="N36" s="20">
        <v>11.519</v>
      </c>
      <c r="O36" s="20">
        <f t="shared" si="1"/>
        <v>33.378625</v>
      </c>
      <c r="P36" s="7"/>
      <c r="Q36" s="13"/>
      <c r="R36" s="14"/>
      <c r="S36" s="14"/>
      <c r="T36" s="27"/>
      <c r="U36" s="28">
        <f t="shared" si="2"/>
        <v>3.5710317460317462</v>
      </c>
    </row>
    <row r="37" spans="1:21" x14ac:dyDescent="0.25">
      <c r="A37" s="6" t="s">
        <v>39</v>
      </c>
      <c r="B37" s="6" t="s">
        <v>53</v>
      </c>
      <c r="C37" s="15">
        <v>1545.51</v>
      </c>
      <c r="D37" s="16">
        <v>36</v>
      </c>
      <c r="E37" s="16">
        <v>39.360999999999997</v>
      </c>
      <c r="F37" s="16">
        <v>39.314999999999998</v>
      </c>
      <c r="G37" s="16">
        <v>7.58</v>
      </c>
      <c r="H37" s="16">
        <f t="shared" si="0"/>
        <v>36.834499999999998</v>
      </c>
      <c r="I37" s="5"/>
      <c r="J37" s="15">
        <v>1199.5952</v>
      </c>
      <c r="K37" s="16">
        <v>37.061500000000002</v>
      </c>
      <c r="L37" s="16">
        <v>41.311199999999999</v>
      </c>
      <c r="M37" s="16">
        <v>41.381599999999999</v>
      </c>
      <c r="N37" s="16">
        <v>9.4573</v>
      </c>
      <c r="O37" s="16">
        <f t="shared" si="1"/>
        <v>38.132725000000001</v>
      </c>
      <c r="P37" s="7"/>
      <c r="Q37" s="8">
        <f>bdrate(C37:C40,D37:D40,J37:J40,K37:K40)</f>
        <v>-0.37361468717275037</v>
      </c>
      <c r="R37" s="8">
        <f>bdrate(C37:C40,E37:E40,J37:J40,L37:L40)</f>
        <v>-0.60673581690338707</v>
      </c>
      <c r="S37" s="8">
        <f>bdrate(C37:C40,F37:F40,J37:J40,M37:M40)</f>
        <v>-0.59487904230707955</v>
      </c>
      <c r="T37" s="25">
        <f>bdrate(C37:C40,H37:H40,J37:J40,O37:O40)</f>
        <v>-0.42706496034785879</v>
      </c>
      <c r="U37" s="28">
        <f t="shared" si="2"/>
        <v>0.24766490765171503</v>
      </c>
    </row>
    <row r="38" spans="1:21" x14ac:dyDescent="0.25">
      <c r="A38" s="9" t="s">
        <v>40</v>
      </c>
      <c r="B38" s="9"/>
      <c r="C38" s="17">
        <v>1046.6300000000001</v>
      </c>
      <c r="D38" s="18">
        <v>34.429000000000002</v>
      </c>
      <c r="E38" s="18">
        <v>38.006</v>
      </c>
      <c r="F38" s="18">
        <v>37.808</v>
      </c>
      <c r="G38" s="18">
        <v>8.5</v>
      </c>
      <c r="H38" s="18">
        <f t="shared" si="0"/>
        <v>35.298500000000004</v>
      </c>
      <c r="I38" s="5"/>
      <c r="J38" s="17">
        <v>796.95119999999997</v>
      </c>
      <c r="K38" s="18">
        <v>35.223199999999999</v>
      </c>
      <c r="L38" s="18">
        <v>39.971699999999998</v>
      </c>
      <c r="M38" s="18">
        <v>39.881799999999998</v>
      </c>
      <c r="N38" s="18">
        <v>11.6509</v>
      </c>
      <c r="O38" s="18">
        <f t="shared" si="1"/>
        <v>36.3990875</v>
      </c>
      <c r="P38" s="7"/>
      <c r="Q38" s="10"/>
      <c r="R38" s="11"/>
      <c r="S38" s="11"/>
      <c r="T38" s="26"/>
      <c r="U38" s="28">
        <f t="shared" si="2"/>
        <v>0.37069411764705884</v>
      </c>
    </row>
    <row r="39" spans="1:21" x14ac:dyDescent="0.25">
      <c r="B39" s="9"/>
      <c r="C39" s="17">
        <v>644.07000000000005</v>
      </c>
      <c r="D39" s="18">
        <v>32.396000000000001</v>
      </c>
      <c r="E39" s="18">
        <v>36.545000000000002</v>
      </c>
      <c r="F39" s="18">
        <v>36.206000000000003</v>
      </c>
      <c r="G39" s="18">
        <v>10.32</v>
      </c>
      <c r="H39" s="18">
        <f t="shared" si="0"/>
        <v>33.390875000000001</v>
      </c>
      <c r="I39" s="5"/>
      <c r="J39" s="17">
        <v>503.00959999999998</v>
      </c>
      <c r="K39" s="18">
        <v>33.277700000000003</v>
      </c>
      <c r="L39" s="18">
        <v>38.618000000000002</v>
      </c>
      <c r="M39" s="18">
        <v>38.401000000000003</v>
      </c>
      <c r="N39" s="18">
        <v>14.845599999999999</v>
      </c>
      <c r="O39" s="18">
        <f t="shared" si="1"/>
        <v>34.585650000000001</v>
      </c>
      <c r="P39" s="7"/>
      <c r="Q39" s="10"/>
      <c r="R39" s="11"/>
      <c r="S39" s="11"/>
      <c r="T39" s="26"/>
      <c r="U39" s="28">
        <f t="shared" si="2"/>
        <v>0.43852713178294561</v>
      </c>
    </row>
    <row r="40" spans="1:21" ht="16.5" thickBot="1" x14ac:dyDescent="0.3">
      <c r="B40" s="12"/>
      <c r="C40" s="19">
        <v>394.44</v>
      </c>
      <c r="D40" s="20">
        <v>30.120999999999999</v>
      </c>
      <c r="E40" s="20">
        <v>35.284999999999997</v>
      </c>
      <c r="F40" s="20">
        <v>34.776000000000003</v>
      </c>
      <c r="G40" s="20">
        <v>13.29</v>
      </c>
      <c r="H40" s="20">
        <f t="shared" si="0"/>
        <v>31.348375000000001</v>
      </c>
      <c r="I40" s="5"/>
      <c r="J40" s="19">
        <v>299.3784</v>
      </c>
      <c r="K40" s="20">
        <v>31.244800000000001</v>
      </c>
      <c r="L40" s="20">
        <v>37.190899999999999</v>
      </c>
      <c r="M40" s="20">
        <v>36.772799999999997</v>
      </c>
      <c r="N40" s="20">
        <v>20.068999999999999</v>
      </c>
      <c r="O40" s="20">
        <f t="shared" si="1"/>
        <v>32.679062500000001</v>
      </c>
      <c r="P40" s="7"/>
      <c r="Q40" s="13"/>
      <c r="R40" s="14"/>
      <c r="S40" s="14"/>
      <c r="T40" s="27"/>
      <c r="U40" s="28">
        <f t="shared" si="2"/>
        <v>0.51008276899924754</v>
      </c>
    </row>
    <row r="41" spans="1:21" x14ac:dyDescent="0.25">
      <c r="B41" s="6" t="s">
        <v>54</v>
      </c>
      <c r="C41" s="15">
        <v>1570.32</v>
      </c>
      <c r="D41" s="16">
        <v>36.197000000000003</v>
      </c>
      <c r="E41" s="16">
        <v>40.347999999999999</v>
      </c>
      <c r="F41" s="16">
        <v>41.209000000000003</v>
      </c>
      <c r="G41" s="16">
        <v>8.18</v>
      </c>
      <c r="H41" s="16">
        <f t="shared" si="0"/>
        <v>37.342375000000004</v>
      </c>
      <c r="I41" s="5"/>
      <c r="J41" s="15">
        <v>1209.6448</v>
      </c>
      <c r="K41" s="16">
        <v>36.405799999999999</v>
      </c>
      <c r="L41" s="16">
        <v>41.893700000000003</v>
      </c>
      <c r="M41" s="16">
        <v>42.959299999999999</v>
      </c>
      <c r="N41" s="16">
        <v>11.6516</v>
      </c>
      <c r="O41" s="16">
        <f t="shared" si="1"/>
        <v>37.910975000000001</v>
      </c>
      <c r="P41" s="7"/>
      <c r="Q41" s="8">
        <f>bdrate(C41:C44,D41:D44,J41:J44,K41:K44)</f>
        <v>-0.33226091168365723</v>
      </c>
      <c r="R41" s="8">
        <f>bdrate(C41:C44,E41:E44,J41:J44,L41:L44)</f>
        <v>-0.59535295809259758</v>
      </c>
      <c r="S41" s="8">
        <f>bdrate(C41:C44,F41:F44,J41:J44,M41:M44)</f>
        <v>-0.59470199425052606</v>
      </c>
      <c r="T41" s="25">
        <f>bdrate(C41:C44,H41:H44,J41:J44,O41:O44)</f>
        <v>-0.3839706771076038</v>
      </c>
      <c r="U41" s="28">
        <f t="shared" si="2"/>
        <v>0.42440097799511012</v>
      </c>
    </row>
    <row r="42" spans="1:21" x14ac:dyDescent="0.25">
      <c r="B42" s="9"/>
      <c r="C42" s="17">
        <v>1063.31</v>
      </c>
      <c r="D42" s="18">
        <v>34.511000000000003</v>
      </c>
      <c r="E42" s="18">
        <v>39.424999999999997</v>
      </c>
      <c r="F42" s="18">
        <v>40.180999999999997</v>
      </c>
      <c r="G42" s="18">
        <v>8.91</v>
      </c>
      <c r="H42" s="18">
        <f t="shared" si="0"/>
        <v>35.834000000000003</v>
      </c>
      <c r="I42" s="5"/>
      <c r="J42" s="17">
        <v>805.6712</v>
      </c>
      <c r="K42" s="18">
        <v>34.875999999999998</v>
      </c>
      <c r="L42" s="18">
        <v>40.941400000000002</v>
      </c>
      <c r="M42" s="18">
        <v>41.831400000000002</v>
      </c>
      <c r="N42" s="18">
        <v>14.546900000000001</v>
      </c>
      <c r="O42" s="18">
        <f t="shared" si="1"/>
        <v>36.503599999999992</v>
      </c>
      <c r="P42" s="7"/>
      <c r="Q42" s="10"/>
      <c r="R42" s="11"/>
      <c r="S42" s="11"/>
      <c r="T42" s="26"/>
      <c r="U42" s="28">
        <f t="shared" si="2"/>
        <v>0.63264870931537609</v>
      </c>
    </row>
    <row r="43" spans="1:21" x14ac:dyDescent="0.25">
      <c r="B43" s="9"/>
      <c r="C43" s="17">
        <v>657.2</v>
      </c>
      <c r="D43" s="18">
        <v>32.267000000000003</v>
      </c>
      <c r="E43" s="18">
        <v>38.338999999999999</v>
      </c>
      <c r="F43" s="18">
        <v>39.003999999999998</v>
      </c>
      <c r="G43" s="18">
        <v>10.23</v>
      </c>
      <c r="H43" s="18">
        <f t="shared" si="0"/>
        <v>33.868125000000006</v>
      </c>
      <c r="I43" s="5"/>
      <c r="J43" s="17">
        <v>505.11360000000002</v>
      </c>
      <c r="K43" s="18">
        <v>33.013199999999998</v>
      </c>
      <c r="L43" s="18">
        <v>39.803100000000001</v>
      </c>
      <c r="M43" s="18">
        <v>40.594700000000003</v>
      </c>
      <c r="N43" s="18">
        <v>18.770499999999998</v>
      </c>
      <c r="O43" s="18">
        <f t="shared" si="1"/>
        <v>34.809624999999997</v>
      </c>
      <c r="P43" s="7"/>
      <c r="Q43" s="10"/>
      <c r="R43" s="11"/>
      <c r="S43" s="11"/>
      <c r="T43" s="26"/>
      <c r="U43" s="28">
        <f t="shared" si="2"/>
        <v>0.83484848484848462</v>
      </c>
    </row>
    <row r="44" spans="1:21" ht="16.5" thickBot="1" x14ac:dyDescent="0.3">
      <c r="B44" s="12"/>
      <c r="C44" s="19">
        <v>404.68</v>
      </c>
      <c r="D44" s="20">
        <v>29.83</v>
      </c>
      <c r="E44" s="20">
        <v>37.363</v>
      </c>
      <c r="F44" s="20">
        <v>37.987000000000002</v>
      </c>
      <c r="G44" s="20">
        <v>12.03</v>
      </c>
      <c r="H44" s="20">
        <f t="shared" si="0"/>
        <v>31.791249999999998</v>
      </c>
      <c r="I44" s="5"/>
      <c r="J44" s="19">
        <v>303.53919999999999</v>
      </c>
      <c r="K44" s="20">
        <v>30.917200000000001</v>
      </c>
      <c r="L44" s="20">
        <v>38.615400000000001</v>
      </c>
      <c r="M44" s="20">
        <v>39.296599999999998</v>
      </c>
      <c r="N44" s="20">
        <v>25.105699999999999</v>
      </c>
      <c r="O44" s="20">
        <f t="shared" si="1"/>
        <v>32.926899999999996</v>
      </c>
      <c r="P44" s="7"/>
      <c r="Q44" s="13"/>
      <c r="R44" s="14"/>
      <c r="S44" s="14"/>
      <c r="T44" s="27"/>
      <c r="U44" s="28">
        <f t="shared" si="2"/>
        <v>1.0869243557772237</v>
      </c>
    </row>
    <row r="45" spans="1:21" x14ac:dyDescent="0.25">
      <c r="B45" s="6" t="s">
        <v>55</v>
      </c>
      <c r="C45" s="15">
        <v>1412.17</v>
      </c>
      <c r="D45" s="16">
        <v>30.641999999999999</v>
      </c>
      <c r="E45" s="16">
        <v>36.011000000000003</v>
      </c>
      <c r="F45" s="16">
        <v>36.731999999999999</v>
      </c>
      <c r="G45" s="16">
        <v>6.74</v>
      </c>
      <c r="H45" s="16">
        <f t="shared" si="0"/>
        <v>32.074375000000003</v>
      </c>
      <c r="I45" s="5"/>
      <c r="J45" s="15">
        <v>1184.9272000000001</v>
      </c>
      <c r="K45" s="16">
        <v>31.245699999999999</v>
      </c>
      <c r="L45" s="16">
        <v>37.745600000000003</v>
      </c>
      <c r="M45" s="16">
        <v>38.5991</v>
      </c>
      <c r="N45" s="16">
        <v>12.394299999999999</v>
      </c>
      <c r="O45" s="16">
        <f t="shared" si="1"/>
        <v>32.977362499999998</v>
      </c>
      <c r="P45" s="7"/>
      <c r="Q45" s="8">
        <f>bdrate(C45:C48,D45:D48,J45:J48,K45:K48)</f>
        <v>-0.34132399896326704</v>
      </c>
      <c r="R45" s="8">
        <f>bdrate(C45:C48,E45:E48,J45:J48,L45:L48)</f>
        <v>-0.65744079275954648</v>
      </c>
      <c r="S45" s="8">
        <f>bdrate(C45:C48,F45:F48,J45:J48,M45:M48)</f>
        <v>-0.65187039404873715</v>
      </c>
      <c r="T45" s="25">
        <f>bdrate(C45:C48,H45:H48,J45:J48,O45:O48)</f>
        <v>-0.39972231636193811</v>
      </c>
      <c r="U45" s="28">
        <f t="shared" si="2"/>
        <v>0.83891691394658741</v>
      </c>
    </row>
    <row r="46" spans="1:21" x14ac:dyDescent="0.25">
      <c r="B46" s="9"/>
      <c r="C46" s="17">
        <v>959.52</v>
      </c>
      <c r="D46" s="18">
        <v>29.178000000000001</v>
      </c>
      <c r="E46" s="18">
        <v>35.332999999999998</v>
      </c>
      <c r="F46" s="18">
        <v>36.087000000000003</v>
      </c>
      <c r="G46" s="18">
        <v>7.14</v>
      </c>
      <c r="H46" s="18">
        <f t="shared" si="0"/>
        <v>30.811</v>
      </c>
      <c r="I46" s="5"/>
      <c r="J46" s="17">
        <v>795.78719999999998</v>
      </c>
      <c r="K46" s="18">
        <v>29.905899999999999</v>
      </c>
      <c r="L46" s="18">
        <v>36.953499999999998</v>
      </c>
      <c r="M46" s="18">
        <v>37.747199999999999</v>
      </c>
      <c r="N46" s="18">
        <v>15.313499999999999</v>
      </c>
      <c r="O46" s="18">
        <f t="shared" si="1"/>
        <v>31.767012499999996</v>
      </c>
      <c r="P46" s="7"/>
      <c r="Q46" s="10"/>
      <c r="R46" s="11"/>
      <c r="S46" s="11"/>
      <c r="T46" s="26"/>
      <c r="U46" s="28">
        <f t="shared" si="2"/>
        <v>1.144747899159664</v>
      </c>
    </row>
    <row r="47" spans="1:21" x14ac:dyDescent="0.25">
      <c r="B47" s="9"/>
      <c r="C47" s="17">
        <v>595.88</v>
      </c>
      <c r="D47" s="18">
        <v>27.486000000000001</v>
      </c>
      <c r="E47" s="18">
        <v>34.69</v>
      </c>
      <c r="F47" s="18">
        <v>35.421999999999997</v>
      </c>
      <c r="G47" s="18">
        <v>7.88</v>
      </c>
      <c r="H47" s="18">
        <f t="shared" si="0"/>
        <v>29.378499999999999</v>
      </c>
      <c r="I47" s="5"/>
      <c r="J47" s="17">
        <v>501.59359999999998</v>
      </c>
      <c r="K47" s="18">
        <v>28.384</v>
      </c>
      <c r="L47" s="18">
        <v>36.074599999999997</v>
      </c>
      <c r="M47" s="18">
        <v>36.823099999999997</v>
      </c>
      <c r="N47" s="18">
        <v>19.8704</v>
      </c>
      <c r="O47" s="18">
        <f t="shared" si="1"/>
        <v>30.400212500000002</v>
      </c>
      <c r="P47" s="7"/>
      <c r="Q47" s="10"/>
      <c r="R47" s="11"/>
      <c r="S47" s="11"/>
      <c r="T47" s="26"/>
      <c r="U47" s="28">
        <f t="shared" si="2"/>
        <v>1.5216243654822337</v>
      </c>
    </row>
    <row r="48" spans="1:21" ht="16.5" thickBot="1" x14ac:dyDescent="0.3">
      <c r="B48" s="12"/>
      <c r="C48" s="19">
        <v>367.52</v>
      </c>
      <c r="D48" s="20">
        <v>25.821000000000002</v>
      </c>
      <c r="E48" s="20">
        <v>34.113999999999997</v>
      </c>
      <c r="F48" s="20">
        <v>34.834000000000003</v>
      </c>
      <c r="G48" s="20">
        <v>8.6</v>
      </c>
      <c r="H48" s="20">
        <f t="shared" si="0"/>
        <v>27.984250000000003</v>
      </c>
      <c r="I48" s="5"/>
      <c r="J48" s="19">
        <v>304.51679999999999</v>
      </c>
      <c r="K48" s="20">
        <v>26.809699999999999</v>
      </c>
      <c r="L48" s="20">
        <v>35.188000000000002</v>
      </c>
      <c r="M48" s="20">
        <v>35.884900000000002</v>
      </c>
      <c r="N48" s="20">
        <v>26.014600000000002</v>
      </c>
      <c r="O48" s="20">
        <f t="shared" si="1"/>
        <v>28.991387500000002</v>
      </c>
      <c r="P48" s="7"/>
      <c r="Q48" s="13"/>
      <c r="R48" s="14"/>
      <c r="S48" s="14"/>
      <c r="T48" s="27"/>
      <c r="U48" s="28">
        <f t="shared" si="2"/>
        <v>2.024953488372093</v>
      </c>
    </row>
    <row r="49" spans="1:21" x14ac:dyDescent="0.25">
      <c r="B49" s="6" t="s">
        <v>56</v>
      </c>
      <c r="C49" s="15">
        <v>1417.92</v>
      </c>
      <c r="D49" s="16">
        <v>33.781999999999996</v>
      </c>
      <c r="E49" s="16">
        <v>37.137999999999998</v>
      </c>
      <c r="F49" s="16">
        <v>38.920999999999999</v>
      </c>
      <c r="G49" s="16">
        <v>5.63</v>
      </c>
      <c r="H49" s="16">
        <f t="shared" si="0"/>
        <v>34.843874999999997</v>
      </c>
      <c r="I49" s="5"/>
      <c r="J49" s="15">
        <v>1190.5264</v>
      </c>
      <c r="K49" s="16">
        <v>33.5824</v>
      </c>
      <c r="L49" s="16">
        <v>38.196199999999997</v>
      </c>
      <c r="M49" s="16">
        <v>39.822499999999998</v>
      </c>
      <c r="N49" s="16">
        <v>7.0519999999999996</v>
      </c>
      <c r="O49" s="16">
        <f t="shared" si="1"/>
        <v>34.939137500000001</v>
      </c>
      <c r="P49" s="7"/>
      <c r="Q49" s="8">
        <f>bdrate(C49:C52,D49:D52,J49:J52,K49:K52)</f>
        <v>-0.1547143295347575</v>
      </c>
      <c r="R49" s="8">
        <f>bdrate(C49:C52,E49:E52,J49:J52,L49:L52)</f>
        <v>-0.46809342080229166</v>
      </c>
      <c r="S49" s="8">
        <f>bdrate(C49:C52,F49:F52,J49:J52,M49:M52)</f>
        <v>-0.45717252676607045</v>
      </c>
      <c r="T49" s="25">
        <f>bdrate(C49:C52,H49:H52,J49:J52,O49:O52)</f>
        <v>-0.20752141614648045</v>
      </c>
      <c r="U49" s="28">
        <f t="shared" si="2"/>
        <v>0.2525754884547069</v>
      </c>
    </row>
    <row r="50" spans="1:21" x14ac:dyDescent="0.25">
      <c r="B50" s="9"/>
      <c r="C50" s="17">
        <v>971.48</v>
      </c>
      <c r="D50" s="18">
        <v>32.274000000000001</v>
      </c>
      <c r="E50" s="18">
        <v>36.347999999999999</v>
      </c>
      <c r="F50" s="18">
        <v>38.098999999999997</v>
      </c>
      <c r="G50" s="18">
        <v>6.11</v>
      </c>
      <c r="H50" s="18">
        <f t="shared" si="0"/>
        <v>33.511375000000001</v>
      </c>
      <c r="I50" s="5"/>
      <c r="J50" s="17">
        <v>794.10080000000005</v>
      </c>
      <c r="K50" s="18">
        <v>31.9938</v>
      </c>
      <c r="L50" s="18">
        <v>37.226599999999998</v>
      </c>
      <c r="M50" s="18">
        <v>38.902200000000001</v>
      </c>
      <c r="N50" s="18">
        <v>8.7451000000000008</v>
      </c>
      <c r="O50" s="18">
        <f t="shared" si="1"/>
        <v>33.511450000000004</v>
      </c>
      <c r="P50" s="7"/>
      <c r="Q50" s="10"/>
      <c r="R50" s="11"/>
      <c r="S50" s="11"/>
      <c r="T50" s="26"/>
      <c r="U50" s="28">
        <f t="shared" si="2"/>
        <v>0.43127659574468091</v>
      </c>
    </row>
    <row r="51" spans="1:21" x14ac:dyDescent="0.25">
      <c r="B51" s="9"/>
      <c r="C51" s="17">
        <v>610.09</v>
      </c>
      <c r="D51" s="18">
        <v>30.364000000000001</v>
      </c>
      <c r="E51" s="18">
        <v>35.503</v>
      </c>
      <c r="F51" s="18">
        <v>37.173000000000002</v>
      </c>
      <c r="G51" s="18">
        <v>6.83</v>
      </c>
      <c r="H51" s="18">
        <f t="shared" si="0"/>
        <v>31.857500000000002</v>
      </c>
      <c r="I51" s="5"/>
      <c r="J51" s="17">
        <v>495.00319999999999</v>
      </c>
      <c r="K51" s="18">
        <v>30.245200000000001</v>
      </c>
      <c r="L51" s="18">
        <v>36.2851</v>
      </c>
      <c r="M51" s="18">
        <v>37.981900000000003</v>
      </c>
      <c r="N51" s="18">
        <v>10.9955</v>
      </c>
      <c r="O51" s="18">
        <f t="shared" si="1"/>
        <v>31.967275000000001</v>
      </c>
      <c r="P51" s="7"/>
      <c r="Q51" s="10"/>
      <c r="R51" s="11"/>
      <c r="S51" s="11"/>
      <c r="T51" s="26"/>
      <c r="U51" s="28">
        <f t="shared" si="2"/>
        <v>0.60988286969253291</v>
      </c>
    </row>
    <row r="52" spans="1:21" ht="16.5" thickBot="1" x14ac:dyDescent="0.3">
      <c r="B52" s="12"/>
      <c r="C52" s="19">
        <v>380.73</v>
      </c>
      <c r="D52" s="20">
        <v>28.43</v>
      </c>
      <c r="E52" s="20">
        <v>34.643999999999998</v>
      </c>
      <c r="F52" s="20">
        <v>36.185000000000002</v>
      </c>
      <c r="G52" s="20">
        <v>7.41</v>
      </c>
      <c r="H52" s="20">
        <f t="shared" si="0"/>
        <v>30.176124999999999</v>
      </c>
      <c r="I52" s="5"/>
      <c r="J52" s="19">
        <v>296.55840000000001</v>
      </c>
      <c r="K52" s="20">
        <v>28.527100000000001</v>
      </c>
      <c r="L52" s="20">
        <v>35.317799999999998</v>
      </c>
      <c r="M52" s="20">
        <v>37.011600000000001</v>
      </c>
      <c r="N52" s="20">
        <v>14.5907</v>
      </c>
      <c r="O52" s="20">
        <f t="shared" si="1"/>
        <v>30.436500000000002</v>
      </c>
      <c r="P52" s="7"/>
      <c r="Q52" s="13"/>
      <c r="R52" s="14"/>
      <c r="S52" s="14"/>
      <c r="T52" s="27"/>
      <c r="U52" s="28">
        <f t="shared" si="2"/>
        <v>0.96905533063427796</v>
      </c>
    </row>
    <row r="53" spans="1:21" x14ac:dyDescent="0.25">
      <c r="A53" s="6" t="s">
        <v>41</v>
      </c>
      <c r="B53" s="6" t="s">
        <v>57</v>
      </c>
      <c r="C53" s="15">
        <v>846.16</v>
      </c>
      <c r="D53" s="16">
        <v>36.542000000000002</v>
      </c>
      <c r="E53" s="16">
        <v>40.098999999999997</v>
      </c>
      <c r="F53" s="16">
        <v>38.988999999999997</v>
      </c>
      <c r="G53" s="16">
        <v>26.53</v>
      </c>
      <c r="H53" s="16">
        <f t="shared" si="0"/>
        <v>37.292499999999997</v>
      </c>
      <c r="I53" s="5"/>
      <c r="J53" s="15">
        <v>608.48559999999998</v>
      </c>
      <c r="K53" s="16">
        <v>35.866300000000003</v>
      </c>
      <c r="L53" s="16">
        <v>41.404899999999998</v>
      </c>
      <c r="M53" s="16">
        <v>39.807299999999998</v>
      </c>
      <c r="N53" s="16">
        <v>24.4284</v>
      </c>
      <c r="O53" s="16">
        <f t="shared" si="1"/>
        <v>37.051250000000003</v>
      </c>
      <c r="P53" s="7"/>
      <c r="Q53" s="8">
        <f>bdrate(C53:C56,D53:D56,J53:J56,K53:K56)</f>
        <v>-0.19975594110746808</v>
      </c>
      <c r="R53" s="8">
        <f>bdrate(C53:C56,E53:E56,J53:J56,L53:L56)</f>
        <v>-0.56150745266485402</v>
      </c>
      <c r="S53" s="8">
        <f>bdrate(C53:C56,F53:F56,J53:J56,M53:M56)</f>
        <v>-0.46304290511902124</v>
      </c>
      <c r="T53" s="25">
        <f>bdrate(C53:C56,H53:H56,J53:J56,O53:O56)</f>
        <v>-0.26045333697345108</v>
      </c>
      <c r="U53" s="28">
        <f t="shared" si="2"/>
        <v>-7.9215981907274829E-2</v>
      </c>
    </row>
    <row r="54" spans="1:21" x14ac:dyDescent="0.25">
      <c r="A54" s="9" t="s">
        <v>42</v>
      </c>
      <c r="B54" s="9"/>
      <c r="C54" s="17">
        <v>532.41999999999996</v>
      </c>
      <c r="D54" s="18">
        <v>34.222000000000001</v>
      </c>
      <c r="E54" s="18">
        <v>38.683</v>
      </c>
      <c r="F54" s="18">
        <v>37.389000000000003</v>
      </c>
      <c r="G54" s="18">
        <v>28.93</v>
      </c>
      <c r="H54" s="18">
        <f t="shared" si="0"/>
        <v>35.1755</v>
      </c>
      <c r="I54" s="5"/>
      <c r="J54" s="17">
        <v>402.61599999999999</v>
      </c>
      <c r="K54" s="18">
        <v>33.859400000000001</v>
      </c>
      <c r="L54" s="18">
        <v>40.154400000000003</v>
      </c>
      <c r="M54" s="18">
        <v>38.432699999999997</v>
      </c>
      <c r="N54" s="18">
        <v>29.7867</v>
      </c>
      <c r="O54" s="18">
        <f t="shared" si="1"/>
        <v>35.217937500000005</v>
      </c>
      <c r="P54" s="7"/>
      <c r="Q54" s="10"/>
      <c r="R54" s="11"/>
      <c r="S54" s="11"/>
      <c r="T54" s="26"/>
      <c r="U54" s="28">
        <f t="shared" si="2"/>
        <v>2.9612858624265468E-2</v>
      </c>
    </row>
    <row r="55" spans="1:21" x14ac:dyDescent="0.25">
      <c r="B55" s="9"/>
      <c r="C55" s="17">
        <v>321.04000000000002</v>
      </c>
      <c r="D55" s="18">
        <v>31.83</v>
      </c>
      <c r="E55" s="18">
        <v>37.500999999999998</v>
      </c>
      <c r="F55" s="18">
        <v>35.918999999999997</v>
      </c>
      <c r="G55" s="18">
        <v>32.840000000000003</v>
      </c>
      <c r="H55" s="18">
        <f t="shared" si="0"/>
        <v>33.049999999999997</v>
      </c>
      <c r="I55" s="5"/>
      <c r="J55" s="17">
        <v>250.47280000000001</v>
      </c>
      <c r="K55" s="18">
        <v>31.6998</v>
      </c>
      <c r="L55" s="18">
        <v>38.890099999999997</v>
      </c>
      <c r="M55" s="18">
        <v>37.027099999999997</v>
      </c>
      <c r="N55" s="18">
        <v>36.544400000000003</v>
      </c>
      <c r="O55" s="18">
        <f t="shared" si="1"/>
        <v>33.264499999999998</v>
      </c>
      <c r="P55" s="7"/>
      <c r="Q55" s="10"/>
      <c r="R55" s="11"/>
      <c r="S55" s="11"/>
      <c r="T55" s="26"/>
      <c r="U55" s="28">
        <f t="shared" si="2"/>
        <v>0.11280146163215589</v>
      </c>
    </row>
    <row r="56" spans="1:21" ht="16.5" thickBot="1" x14ac:dyDescent="0.3">
      <c r="B56" s="12"/>
      <c r="C56" s="19">
        <v>160.96</v>
      </c>
      <c r="D56" s="20">
        <v>28.704999999999998</v>
      </c>
      <c r="E56" s="20">
        <v>36.139000000000003</v>
      </c>
      <c r="F56" s="20">
        <v>34.213999999999999</v>
      </c>
      <c r="G56" s="20">
        <v>42.85</v>
      </c>
      <c r="H56" s="20">
        <f t="shared" si="0"/>
        <v>30.322875</v>
      </c>
      <c r="I56" s="5"/>
      <c r="J56" s="19">
        <v>120.4568</v>
      </c>
      <c r="K56" s="20">
        <v>28.665700000000001</v>
      </c>
      <c r="L56" s="20">
        <v>37.196199999999997</v>
      </c>
      <c r="M56" s="20">
        <v>34.990400000000001</v>
      </c>
      <c r="N56" s="20">
        <v>53.2425</v>
      </c>
      <c r="O56" s="20">
        <f t="shared" si="1"/>
        <v>30.522600000000001</v>
      </c>
      <c r="P56" s="7"/>
      <c r="Q56" s="13"/>
      <c r="R56" s="14"/>
      <c r="S56" s="14"/>
      <c r="T56" s="27"/>
      <c r="U56" s="28">
        <f t="shared" si="2"/>
        <v>0.24253208868144685</v>
      </c>
    </row>
    <row r="57" spans="1:21" x14ac:dyDescent="0.25">
      <c r="B57" s="6" t="s">
        <v>58</v>
      </c>
      <c r="C57" s="15">
        <v>743.57</v>
      </c>
      <c r="D57" s="16">
        <v>33.466000000000001</v>
      </c>
      <c r="E57" s="16">
        <v>39.945999999999998</v>
      </c>
      <c r="F57" s="16">
        <v>40.722000000000001</v>
      </c>
      <c r="G57" s="16">
        <v>25.99</v>
      </c>
      <c r="H57" s="16">
        <f t="shared" si="0"/>
        <v>35.183</v>
      </c>
      <c r="I57" s="5"/>
      <c r="J57" s="15">
        <v>596.99199999999996</v>
      </c>
      <c r="K57" s="16">
        <v>34.636099999999999</v>
      </c>
      <c r="L57" s="16">
        <v>42.326799999999999</v>
      </c>
      <c r="M57" s="16">
        <v>43.297600000000003</v>
      </c>
      <c r="N57" s="16">
        <v>34.9</v>
      </c>
      <c r="O57" s="16">
        <f t="shared" si="1"/>
        <v>36.680124999999997</v>
      </c>
      <c r="P57" s="7"/>
      <c r="Q57" s="8">
        <f>bdrate(C57:C60,D57:D60,J57:J60,K57:K60)</f>
        <v>-0.44319002960286624</v>
      </c>
      <c r="R57" s="8">
        <f>bdrate(C57:C60,E57:E60,J57:J60,L57:L60)</f>
        <v>-0.68759536492809636</v>
      </c>
      <c r="S57" s="8">
        <f>bdrate(C57:C60,F57:F60,J57:J60,M57:M60)</f>
        <v>-0.71932036480248507</v>
      </c>
      <c r="T57" s="25">
        <f>bdrate(C57:C60,H57:H60,J57:J60,O57:O60)</f>
        <v>-0.49157714865740387</v>
      </c>
      <c r="U57" s="28">
        <f t="shared" si="2"/>
        <v>0.34282416313966912</v>
      </c>
    </row>
    <row r="58" spans="1:21" x14ac:dyDescent="0.25">
      <c r="B58" s="9"/>
      <c r="C58" s="17">
        <v>456.62</v>
      </c>
      <c r="D58" s="18">
        <v>31.704999999999998</v>
      </c>
      <c r="E58" s="18">
        <v>39.304000000000002</v>
      </c>
      <c r="F58" s="18">
        <v>39.875</v>
      </c>
      <c r="G58" s="18">
        <v>29.16</v>
      </c>
      <c r="H58" s="18">
        <f t="shared" si="0"/>
        <v>33.676124999999999</v>
      </c>
      <c r="I58" s="5"/>
      <c r="J58" s="17">
        <v>397.28320000000002</v>
      </c>
      <c r="K58" s="18">
        <v>33.233800000000002</v>
      </c>
      <c r="L58" s="18">
        <v>41.345100000000002</v>
      </c>
      <c r="M58" s="18">
        <v>42.284199999999998</v>
      </c>
      <c r="N58" s="18">
        <v>45.248899999999999</v>
      </c>
      <c r="O58" s="18">
        <f t="shared" si="1"/>
        <v>35.379012500000002</v>
      </c>
      <c r="P58" s="7"/>
      <c r="Q58" s="10"/>
      <c r="R58" s="11"/>
      <c r="S58" s="11"/>
      <c r="T58" s="26"/>
      <c r="U58" s="28">
        <f t="shared" si="2"/>
        <v>0.5517455418381344</v>
      </c>
    </row>
    <row r="59" spans="1:21" x14ac:dyDescent="0.25">
      <c r="B59" s="9"/>
      <c r="C59" s="17">
        <v>270.86</v>
      </c>
      <c r="D59" s="18">
        <v>29.811</v>
      </c>
      <c r="E59" s="18">
        <v>38.691000000000003</v>
      </c>
      <c r="F59" s="18">
        <v>38.985999999999997</v>
      </c>
      <c r="G59" s="18">
        <v>34.78</v>
      </c>
      <c r="H59" s="18">
        <f t="shared" si="0"/>
        <v>32.067875000000001</v>
      </c>
      <c r="I59" s="5"/>
      <c r="J59" s="17">
        <v>248.036</v>
      </c>
      <c r="K59" s="18">
        <v>31.6205</v>
      </c>
      <c r="L59" s="18">
        <v>40.285899999999998</v>
      </c>
      <c r="M59" s="18">
        <v>41.184100000000001</v>
      </c>
      <c r="N59" s="18">
        <v>61.343400000000003</v>
      </c>
      <c r="O59" s="18">
        <f t="shared" si="1"/>
        <v>33.899124999999998</v>
      </c>
      <c r="P59" s="7"/>
      <c r="Q59" s="10"/>
      <c r="R59" s="11"/>
      <c r="S59" s="11"/>
      <c r="T59" s="26"/>
      <c r="U59" s="28">
        <f t="shared" si="2"/>
        <v>0.76375503162737202</v>
      </c>
    </row>
    <row r="60" spans="1:21" ht="16.5" thickBot="1" x14ac:dyDescent="0.3">
      <c r="B60" s="12"/>
      <c r="C60" s="19">
        <v>133.93</v>
      </c>
      <c r="D60" s="20">
        <v>27.094999999999999</v>
      </c>
      <c r="E60" s="20">
        <v>38.042999999999999</v>
      </c>
      <c r="F60" s="20">
        <v>38.122999999999998</v>
      </c>
      <c r="G60" s="20">
        <v>42.78</v>
      </c>
      <c r="H60" s="20">
        <f t="shared" si="0"/>
        <v>29.841999999999999</v>
      </c>
      <c r="I60" s="5"/>
      <c r="J60" s="19">
        <v>118.0664</v>
      </c>
      <c r="K60" s="20">
        <v>28.949300000000001</v>
      </c>
      <c r="L60" s="20">
        <v>38.9358</v>
      </c>
      <c r="M60" s="20">
        <v>39.670900000000003</v>
      </c>
      <c r="N60" s="20">
        <v>100.41840000000001</v>
      </c>
      <c r="O60" s="20">
        <f t="shared" si="1"/>
        <v>31.537812500000001</v>
      </c>
      <c r="P60" s="7"/>
      <c r="Q60" s="13"/>
      <c r="R60" s="14"/>
      <c r="S60" s="14"/>
      <c r="T60" s="27"/>
      <c r="U60" s="28">
        <f t="shared" si="2"/>
        <v>1.3473211781206171</v>
      </c>
    </row>
    <row r="61" spans="1:21" x14ac:dyDescent="0.25">
      <c r="B61" s="6" t="s">
        <v>59</v>
      </c>
      <c r="C61" s="29">
        <v>826.09</v>
      </c>
      <c r="D61" s="30">
        <v>34.527000000000001</v>
      </c>
      <c r="E61" s="30">
        <v>38.015000000000001</v>
      </c>
      <c r="F61" s="30">
        <v>38.470999999999997</v>
      </c>
      <c r="G61" s="16">
        <v>27.3</v>
      </c>
      <c r="H61" s="16">
        <f t="shared" si="0"/>
        <v>35.456000000000003</v>
      </c>
      <c r="I61" s="5"/>
      <c r="J61" s="29">
        <v>592.52</v>
      </c>
      <c r="K61" s="30">
        <v>34.002099999999999</v>
      </c>
      <c r="L61" s="30">
        <v>39.223100000000002</v>
      </c>
      <c r="M61" s="30">
        <v>40.107399999999998</v>
      </c>
      <c r="N61" s="16">
        <v>28.239000000000001</v>
      </c>
      <c r="O61" s="16">
        <f t="shared" si="1"/>
        <v>35.417887499999999</v>
      </c>
      <c r="P61" s="7"/>
      <c r="Q61" s="8">
        <f>bdrate(C61:C64,D61:D64,J61:J64,K61:K64)</f>
        <v>-0.2165347682052936</v>
      </c>
      <c r="R61" s="8">
        <f>bdrate(C61:C64,E61:E64,J61:J64,L61:L64)</f>
        <v>-0.57219027190407679</v>
      </c>
      <c r="S61" s="8">
        <f>bdrate(C61:C64,F61:F64,J61:J64,M61:M64)</f>
        <v>-0.61870987352455653</v>
      </c>
      <c r="T61" s="25">
        <f>bdrate(C61:C64,H61:H64,J61:J64,O61:O64)</f>
        <v>-0.29796572922838982</v>
      </c>
      <c r="U61" s="28">
        <f t="shared" si="2"/>
        <v>3.43956043956044E-2</v>
      </c>
    </row>
    <row r="62" spans="1:21" x14ac:dyDescent="0.25">
      <c r="B62" s="9"/>
      <c r="C62" s="31">
        <v>515.89</v>
      </c>
      <c r="D62" s="32">
        <v>32.57</v>
      </c>
      <c r="E62" s="32">
        <v>36.643999999999998</v>
      </c>
      <c r="F62" s="32">
        <v>37.1</v>
      </c>
      <c r="G62" s="18">
        <v>28.8</v>
      </c>
      <c r="H62" s="18">
        <f t="shared" si="0"/>
        <v>33.645500000000006</v>
      </c>
      <c r="I62" s="5"/>
      <c r="J62" s="31">
        <v>395.46480000000003</v>
      </c>
      <c r="K62" s="32">
        <v>32.403100000000002</v>
      </c>
      <c r="L62" s="32">
        <v>38.090400000000002</v>
      </c>
      <c r="M62" s="32">
        <v>38.93</v>
      </c>
      <c r="N62" s="18">
        <v>34.8384</v>
      </c>
      <c r="O62" s="18">
        <f t="shared" si="1"/>
        <v>33.929875000000003</v>
      </c>
      <c r="P62" s="7"/>
      <c r="Q62" s="10"/>
      <c r="R62" s="11"/>
      <c r="S62" s="11"/>
      <c r="T62" s="26"/>
      <c r="U62" s="28">
        <f t="shared" si="2"/>
        <v>0.20966666666666664</v>
      </c>
    </row>
    <row r="63" spans="1:21" x14ac:dyDescent="0.25">
      <c r="B63" s="9"/>
      <c r="C63" s="31">
        <v>307.66000000000003</v>
      </c>
      <c r="D63" s="32">
        <v>30.527000000000001</v>
      </c>
      <c r="E63" s="32">
        <v>35.502000000000002</v>
      </c>
      <c r="F63" s="32">
        <v>35.991</v>
      </c>
      <c r="G63" s="18">
        <v>30.55</v>
      </c>
      <c r="H63" s="18">
        <f t="shared" si="0"/>
        <v>31.831875000000004</v>
      </c>
      <c r="I63" s="5"/>
      <c r="J63" s="31">
        <v>247.24879999999999</v>
      </c>
      <c r="K63" s="32">
        <v>30.656500000000001</v>
      </c>
      <c r="L63" s="32">
        <v>36.933599999999998</v>
      </c>
      <c r="M63" s="32">
        <v>37.6815</v>
      </c>
      <c r="N63" s="18">
        <v>43.607199999999999</v>
      </c>
      <c r="O63" s="18">
        <f t="shared" si="1"/>
        <v>32.319262500000008</v>
      </c>
      <c r="P63" s="7"/>
      <c r="Q63" s="10"/>
      <c r="R63" s="11"/>
      <c r="S63" s="11"/>
      <c r="T63" s="26"/>
      <c r="U63" s="28">
        <f t="shared" si="2"/>
        <v>0.42740425531914888</v>
      </c>
    </row>
    <row r="64" spans="1:21" ht="16.5" thickBot="1" x14ac:dyDescent="0.3">
      <c r="B64" s="12"/>
      <c r="C64" s="33">
        <v>151.44</v>
      </c>
      <c r="D64" s="34">
        <v>27.956</v>
      </c>
      <c r="E64" s="34">
        <v>34.277999999999999</v>
      </c>
      <c r="F64" s="34">
        <v>34.819000000000003</v>
      </c>
      <c r="G64" s="20">
        <v>33.81</v>
      </c>
      <c r="H64" s="20">
        <f t="shared" si="0"/>
        <v>29.604124999999996</v>
      </c>
      <c r="I64" s="5"/>
      <c r="J64" s="33">
        <v>119.72799999999999</v>
      </c>
      <c r="K64" s="34">
        <v>28.0929</v>
      </c>
      <c r="L64" s="34">
        <v>35.390700000000002</v>
      </c>
      <c r="M64" s="34">
        <v>36.060400000000001</v>
      </c>
      <c r="N64" s="20">
        <v>64.876099999999994</v>
      </c>
      <c r="O64" s="20">
        <f t="shared" si="1"/>
        <v>30.001062500000003</v>
      </c>
      <c r="P64" s="7"/>
      <c r="Q64" s="13"/>
      <c r="R64" s="14"/>
      <c r="S64" s="14"/>
      <c r="T64" s="27"/>
      <c r="U64" s="28">
        <f t="shared" si="2"/>
        <v>0.91884353741496572</v>
      </c>
    </row>
    <row r="65" spans="1:21" x14ac:dyDescent="0.25">
      <c r="B65" s="6" t="s">
        <v>60</v>
      </c>
      <c r="C65" s="15">
        <v>757.97</v>
      </c>
      <c r="D65" s="16">
        <v>36.228999999999999</v>
      </c>
      <c r="E65" s="16">
        <v>38.229999999999997</v>
      </c>
      <c r="F65" s="16">
        <v>39.429000000000002</v>
      </c>
      <c r="G65" s="16">
        <v>21.9</v>
      </c>
      <c r="H65" s="16">
        <f t="shared" si="0"/>
        <v>36.879125000000002</v>
      </c>
      <c r="I65" s="5"/>
      <c r="J65" s="15">
        <v>587.92399999999998</v>
      </c>
      <c r="K65" s="16">
        <v>35.321300000000001</v>
      </c>
      <c r="L65" s="16">
        <v>39.196899999999999</v>
      </c>
      <c r="M65" s="16">
        <v>40.400799999999997</v>
      </c>
      <c r="N65" s="16">
        <v>15.360200000000001</v>
      </c>
      <c r="O65" s="16">
        <f t="shared" si="1"/>
        <v>36.440687499999996</v>
      </c>
      <c r="P65" s="7"/>
      <c r="Q65" s="8">
        <f>bdrate(C65:C68,D65:D68,J65:J68,K65:K68)</f>
        <v>-8.0447615979455489E-2</v>
      </c>
      <c r="R65" s="8">
        <f>bdrate(C65:C68,E65:E68,J65:J68,L65:L68)</f>
        <v>-0.46496882888366819</v>
      </c>
      <c r="S65" s="8">
        <f>bdrate(C65:C68,F65:F68,J65:J68,M65:M68)</f>
        <v>-0.46338967867023917</v>
      </c>
      <c r="T65" s="25">
        <f>bdrate(C65:C68,H65:H68,J65:J68,O65:O68)</f>
        <v>-0.15724160354802363</v>
      </c>
      <c r="U65" s="28">
        <f t="shared" si="2"/>
        <v>-0.29862100456620999</v>
      </c>
    </row>
    <row r="66" spans="1:21" x14ac:dyDescent="0.25">
      <c r="B66" s="9"/>
      <c r="C66" s="17">
        <v>476.88</v>
      </c>
      <c r="D66" s="18">
        <v>33.911999999999999</v>
      </c>
      <c r="E66" s="18">
        <v>36.802999999999997</v>
      </c>
      <c r="F66" s="18">
        <v>38.018999999999998</v>
      </c>
      <c r="G66" s="18">
        <v>23.31</v>
      </c>
      <c r="H66" s="18">
        <f t="shared" si="0"/>
        <v>34.786749999999998</v>
      </c>
      <c r="I66" s="5"/>
      <c r="J66" s="17">
        <v>393.8288</v>
      </c>
      <c r="K66" s="18">
        <v>33.317700000000002</v>
      </c>
      <c r="L66" s="18">
        <v>37.980499999999999</v>
      </c>
      <c r="M66" s="18">
        <v>39.186799999999998</v>
      </c>
      <c r="N66" s="18">
        <v>18.707899999999999</v>
      </c>
      <c r="O66" s="18">
        <f t="shared" si="1"/>
        <v>34.634187500000003</v>
      </c>
      <c r="P66" s="7"/>
      <c r="Q66" s="10"/>
      <c r="R66" s="11"/>
      <c r="S66" s="11"/>
      <c r="T66" s="26"/>
      <c r="U66" s="28">
        <f t="shared" si="2"/>
        <v>-0.19743028743028745</v>
      </c>
    </row>
    <row r="67" spans="1:21" x14ac:dyDescent="0.25">
      <c r="B67" s="9"/>
      <c r="C67" s="17">
        <v>287.36</v>
      </c>
      <c r="D67" s="18">
        <v>31.597999999999999</v>
      </c>
      <c r="E67" s="18">
        <v>35.564</v>
      </c>
      <c r="F67" s="18">
        <v>36.762</v>
      </c>
      <c r="G67" s="18">
        <v>25.24</v>
      </c>
      <c r="H67" s="18">
        <f t="shared" si="0"/>
        <v>32.739249999999998</v>
      </c>
      <c r="I67" s="5"/>
      <c r="J67" s="17">
        <v>243.87039999999999</v>
      </c>
      <c r="K67" s="18">
        <v>31.233899999999998</v>
      </c>
      <c r="L67" s="18">
        <v>36.674500000000002</v>
      </c>
      <c r="M67" s="18">
        <v>37.890500000000003</v>
      </c>
      <c r="N67" s="18">
        <v>23.596</v>
      </c>
      <c r="O67" s="18">
        <f t="shared" si="1"/>
        <v>32.746049999999997</v>
      </c>
      <c r="P67" s="7"/>
      <c r="Q67" s="10"/>
      <c r="R67" s="11"/>
      <c r="S67" s="11"/>
      <c r="T67" s="26"/>
      <c r="U67" s="28">
        <f t="shared" si="2"/>
        <v>-6.5134706814579973E-2</v>
      </c>
    </row>
    <row r="68" spans="1:21" ht="16.5" thickBot="1" x14ac:dyDescent="0.3">
      <c r="B68" s="12"/>
      <c r="C68" s="19">
        <v>143.93</v>
      </c>
      <c r="D68" s="20">
        <v>28.686</v>
      </c>
      <c r="E68" s="20">
        <v>34.145000000000003</v>
      </c>
      <c r="F68" s="20">
        <v>35.21</v>
      </c>
      <c r="G68" s="20">
        <v>29.54</v>
      </c>
      <c r="H68" s="20">
        <f t="shared" si="0"/>
        <v>30.183875</v>
      </c>
      <c r="I68" s="5"/>
      <c r="J68" s="19">
        <v>117.9376</v>
      </c>
      <c r="K68" s="20">
        <v>28.468</v>
      </c>
      <c r="L68" s="20">
        <v>35.1113</v>
      </c>
      <c r="M68" s="20">
        <v>36.253100000000003</v>
      </c>
      <c r="N68" s="20">
        <v>34.835099999999997</v>
      </c>
      <c r="O68" s="20">
        <f t="shared" si="1"/>
        <v>30.271549999999998</v>
      </c>
      <c r="P68" s="7"/>
      <c r="Q68" s="13"/>
      <c r="R68" s="14"/>
      <c r="S68" s="14"/>
      <c r="T68" s="27"/>
      <c r="U68" s="28">
        <f t="shared" si="2"/>
        <v>0.17925186188219358</v>
      </c>
    </row>
    <row r="69" spans="1:21" x14ac:dyDescent="0.25">
      <c r="A69" s="6" t="s">
        <v>43</v>
      </c>
      <c r="B69" s="6" t="s">
        <v>61</v>
      </c>
      <c r="C69" s="15">
        <v>1877.13</v>
      </c>
      <c r="D69" s="16">
        <v>41.942</v>
      </c>
      <c r="E69" s="16">
        <v>45.685000000000002</v>
      </c>
      <c r="F69" s="16">
        <v>46.77</v>
      </c>
      <c r="G69" s="16">
        <v>5</v>
      </c>
      <c r="H69" s="16">
        <f t="shared" si="0"/>
        <v>43.013374999999996</v>
      </c>
      <c r="I69" s="5"/>
      <c r="J69" s="15">
        <v>1505.6088</v>
      </c>
      <c r="K69" s="16">
        <v>42.125</v>
      </c>
      <c r="L69" s="16">
        <v>46.767299999999999</v>
      </c>
      <c r="M69" s="16">
        <v>48.035400000000003</v>
      </c>
      <c r="N69" s="16">
        <v>8.1973000000000003</v>
      </c>
      <c r="O69" s="16">
        <f t="shared" si="1"/>
        <v>43.444087499999995</v>
      </c>
      <c r="P69" s="7"/>
      <c r="Q69" s="8">
        <f>bdrate(C69:C72,D69:D72,J69:J72,K69:K72)</f>
        <v>-0.30184061943185714</v>
      </c>
      <c r="R69" s="8">
        <f>bdrate(C69:C72,E69:E72,J69:J72,L69:L72)</f>
        <v>-0.52711144194764747</v>
      </c>
      <c r="S69" s="8">
        <f>bdrate(C69:C72,F69:F72,J69:J72,M69:M72)</f>
        <v>-0.52926166706912636</v>
      </c>
      <c r="T69" s="25">
        <f>bdrate(C69:C72,H69:H72,J69:J72,O69:O72)</f>
        <v>-0.35639534456442323</v>
      </c>
      <c r="U69" s="28">
        <f t="shared" si="2"/>
        <v>0.63946000000000003</v>
      </c>
    </row>
    <row r="70" spans="1:21" x14ac:dyDescent="0.25">
      <c r="A70" s="9" t="s">
        <v>44</v>
      </c>
      <c r="B70" s="9"/>
      <c r="C70" s="17">
        <v>1216.18</v>
      </c>
      <c r="D70" s="18">
        <v>40.805999999999997</v>
      </c>
      <c r="E70" s="18">
        <v>44.470999999999997</v>
      </c>
      <c r="F70" s="18">
        <v>45.658000000000001</v>
      </c>
      <c r="G70" s="18">
        <v>5.99</v>
      </c>
      <c r="H70" s="18">
        <f t="shared" si="0"/>
        <v>41.870624999999997</v>
      </c>
      <c r="I70" s="5"/>
      <c r="J70" s="17">
        <v>998.00400000000002</v>
      </c>
      <c r="K70" s="18">
        <v>41.179900000000004</v>
      </c>
      <c r="L70" s="18">
        <v>45.973799999999997</v>
      </c>
      <c r="M70" s="18">
        <v>47.200800000000001</v>
      </c>
      <c r="N70" s="18">
        <v>10.6629</v>
      </c>
      <c r="O70" s="18">
        <f t="shared" si="1"/>
        <v>42.531750000000002</v>
      </c>
      <c r="P70" s="7"/>
      <c r="Q70" s="10"/>
      <c r="R70" s="11"/>
      <c r="S70" s="11"/>
      <c r="T70" s="26"/>
      <c r="U70" s="28">
        <f t="shared" si="2"/>
        <v>0.78011686143572623</v>
      </c>
    </row>
    <row r="71" spans="1:21" x14ac:dyDescent="0.25">
      <c r="B71" s="9"/>
      <c r="C71" s="17">
        <v>716.71</v>
      </c>
      <c r="D71" s="18">
        <v>38.743000000000002</v>
      </c>
      <c r="E71" s="18">
        <v>42.752000000000002</v>
      </c>
      <c r="F71" s="18">
        <v>43.93</v>
      </c>
      <c r="G71" s="18">
        <v>6.96</v>
      </c>
      <c r="H71" s="18">
        <f t="shared" si="0"/>
        <v>39.892500000000005</v>
      </c>
      <c r="I71" s="5"/>
      <c r="J71" s="17">
        <v>592.94880000000001</v>
      </c>
      <c r="K71" s="18">
        <v>39.4206</v>
      </c>
      <c r="L71" s="18">
        <v>44.479300000000002</v>
      </c>
      <c r="M71" s="18">
        <v>45.686399999999999</v>
      </c>
      <c r="N71" s="18">
        <v>14.3195</v>
      </c>
      <c r="O71" s="18">
        <f t="shared" si="1"/>
        <v>40.8361625</v>
      </c>
      <c r="P71" s="7"/>
      <c r="Q71" s="10"/>
      <c r="R71" s="11"/>
      <c r="S71" s="11"/>
      <c r="T71" s="26"/>
      <c r="U71" s="28">
        <f t="shared" si="2"/>
        <v>1.0573994252873562</v>
      </c>
    </row>
    <row r="72" spans="1:21" ht="16.5" thickBot="1" x14ac:dyDescent="0.3">
      <c r="B72" s="12"/>
      <c r="C72" s="19">
        <v>330.51</v>
      </c>
      <c r="D72" s="20">
        <v>34.564</v>
      </c>
      <c r="E72" s="20">
        <v>40.497999999999998</v>
      </c>
      <c r="F72" s="20">
        <v>41.874000000000002</v>
      </c>
      <c r="G72" s="20">
        <v>8.6999999999999993</v>
      </c>
      <c r="H72" s="20">
        <f t="shared" si="0"/>
        <v>36.219500000000004</v>
      </c>
      <c r="I72" s="5"/>
      <c r="J72" s="19">
        <v>289.48559999999998</v>
      </c>
      <c r="K72" s="20">
        <v>36.311999999999998</v>
      </c>
      <c r="L72" s="20">
        <v>42.398299999999999</v>
      </c>
      <c r="M72" s="20">
        <v>43.5017</v>
      </c>
      <c r="N72" s="20">
        <v>22.104299999999999</v>
      </c>
      <c r="O72" s="20">
        <f t="shared" si="1"/>
        <v>37.971499999999992</v>
      </c>
      <c r="P72" s="7"/>
      <c r="Q72" s="13"/>
      <c r="R72" s="14"/>
      <c r="S72" s="14"/>
      <c r="T72" s="27"/>
      <c r="U72" s="28">
        <f t="shared" si="2"/>
        <v>1.5407241379310346</v>
      </c>
    </row>
    <row r="73" spans="1:21" x14ac:dyDescent="0.25">
      <c r="B73" s="6" t="s">
        <v>62</v>
      </c>
      <c r="C73" s="15">
        <v>1943.94</v>
      </c>
      <c r="D73" s="16">
        <v>42.758000000000003</v>
      </c>
      <c r="E73" s="16">
        <v>47.655999999999999</v>
      </c>
      <c r="F73" s="16">
        <v>48.18</v>
      </c>
      <c r="G73" s="16">
        <v>4.13</v>
      </c>
      <c r="H73" s="16">
        <f t="shared" si="0"/>
        <v>44.048000000000002</v>
      </c>
      <c r="I73" s="5"/>
      <c r="J73" s="15">
        <v>1506.2639999999999</v>
      </c>
      <c r="K73" s="16">
        <v>43.069400000000002</v>
      </c>
      <c r="L73" s="16">
        <v>48.592500000000001</v>
      </c>
      <c r="M73" s="16">
        <v>49.308700000000002</v>
      </c>
      <c r="N73" s="16">
        <v>9.3831000000000007</v>
      </c>
      <c r="O73" s="16">
        <f t="shared" si="1"/>
        <v>44.539700000000003</v>
      </c>
      <c r="P73" s="7"/>
      <c r="Q73" s="8">
        <f>bdrate(C73:C76,D73:D76,J73:J76,K73:K76)</f>
        <v>-0.47343940362265258</v>
      </c>
      <c r="R73" s="8">
        <f>bdrate(C73:C76,E73:E76,J73:J76,L73:L76)</f>
        <v>-0.67058458833548062</v>
      </c>
      <c r="S73" s="8">
        <f>bdrate(C73:C76,F73:F76,J73:J76,M73:M76)</f>
        <v>-0.69517768710562011</v>
      </c>
      <c r="T73" s="25">
        <f>bdrate(C73:C76,H73:H76,J73:J76,O73:O76)</f>
        <v>-0.54019421058790873</v>
      </c>
      <c r="U73" s="28">
        <f t="shared" ref="U73:U124" si="3">(N73-G73)/G73</f>
        <v>1.2719370460048429</v>
      </c>
    </row>
    <row r="74" spans="1:21" x14ac:dyDescent="0.25">
      <c r="B74" s="9"/>
      <c r="C74" s="17">
        <v>1267.42</v>
      </c>
      <c r="D74" s="18">
        <v>42.154000000000003</v>
      </c>
      <c r="E74" s="18">
        <v>46.796999999999997</v>
      </c>
      <c r="F74" s="18">
        <v>47.17</v>
      </c>
      <c r="G74" s="18">
        <v>4.51</v>
      </c>
      <c r="H74" s="18">
        <f t="shared" si="0"/>
        <v>43.361375000000002</v>
      </c>
      <c r="I74" s="5"/>
      <c r="J74" s="17">
        <v>996.61279999999999</v>
      </c>
      <c r="K74" s="18">
        <v>42.655200000000001</v>
      </c>
      <c r="L74" s="18">
        <v>48.210500000000003</v>
      </c>
      <c r="M74" s="18">
        <v>48.8977</v>
      </c>
      <c r="N74" s="18">
        <v>11.8161</v>
      </c>
      <c r="O74" s="18">
        <f t="shared" si="1"/>
        <v>44.129925</v>
      </c>
      <c r="P74" s="7"/>
      <c r="Q74" s="10"/>
      <c r="R74" s="11"/>
      <c r="S74" s="11"/>
      <c r="T74" s="26"/>
      <c r="U74" s="28">
        <f t="shared" si="3"/>
        <v>1.6199778270509979</v>
      </c>
    </row>
    <row r="75" spans="1:21" x14ac:dyDescent="0.25">
      <c r="B75" s="9"/>
      <c r="C75" s="17">
        <v>740.24</v>
      </c>
      <c r="D75" s="18">
        <v>41.082000000000001</v>
      </c>
      <c r="E75" s="18">
        <v>45.514000000000003</v>
      </c>
      <c r="F75" s="18">
        <v>46.122</v>
      </c>
      <c r="G75" s="18">
        <v>5.2</v>
      </c>
      <c r="H75" s="18">
        <f t="shared" si="0"/>
        <v>42.266000000000005</v>
      </c>
      <c r="I75" s="5"/>
      <c r="J75" s="17">
        <v>575.16160000000002</v>
      </c>
      <c r="K75" s="18">
        <v>41.887999999999998</v>
      </c>
      <c r="L75" s="18">
        <v>47.454000000000001</v>
      </c>
      <c r="M75" s="18">
        <v>48.141100000000002</v>
      </c>
      <c r="N75" s="18">
        <v>16.4573</v>
      </c>
      <c r="O75" s="18">
        <f t="shared" si="1"/>
        <v>43.365387499999997</v>
      </c>
      <c r="P75" s="7"/>
      <c r="Q75" s="10"/>
      <c r="R75" s="11"/>
      <c r="S75" s="11"/>
      <c r="T75" s="26"/>
      <c r="U75" s="28">
        <f t="shared" si="3"/>
        <v>2.1648653846153847</v>
      </c>
    </row>
    <row r="76" spans="1:21" ht="16.5" thickBot="1" x14ac:dyDescent="0.3">
      <c r="B76" s="12"/>
      <c r="C76" s="19">
        <v>320.45999999999998</v>
      </c>
      <c r="D76" s="20">
        <v>38.374000000000002</v>
      </c>
      <c r="E76" s="20">
        <v>43.03</v>
      </c>
      <c r="F76" s="20">
        <v>43.658000000000001</v>
      </c>
      <c r="G76" s="20">
        <v>7</v>
      </c>
      <c r="H76" s="20">
        <f t="shared" si="0"/>
        <v>39.616500000000002</v>
      </c>
      <c r="I76" s="5"/>
      <c r="J76" s="19">
        <v>274.46719999999999</v>
      </c>
      <c r="K76" s="20">
        <v>40.132100000000001</v>
      </c>
      <c r="L76" s="20">
        <v>45.638599999999997</v>
      </c>
      <c r="M76" s="20">
        <v>46.111800000000002</v>
      </c>
      <c r="N76" s="20">
        <v>25.692599999999999</v>
      </c>
      <c r="O76" s="20">
        <f t="shared" si="1"/>
        <v>41.567875000000001</v>
      </c>
      <c r="P76" s="7"/>
      <c r="Q76" s="13"/>
      <c r="R76" s="14"/>
      <c r="S76" s="14"/>
      <c r="T76" s="27"/>
      <c r="U76" s="28">
        <f t="shared" si="3"/>
        <v>2.6703714285714284</v>
      </c>
    </row>
    <row r="77" spans="1:21" x14ac:dyDescent="0.25">
      <c r="B77" s="6" t="s">
        <v>63</v>
      </c>
      <c r="C77" s="15">
        <v>2025.09</v>
      </c>
      <c r="D77" s="16">
        <v>42.83</v>
      </c>
      <c r="E77" s="16">
        <v>46.871000000000002</v>
      </c>
      <c r="F77" s="16">
        <v>47.594999999999999</v>
      </c>
      <c r="G77" s="16">
        <v>4.32</v>
      </c>
      <c r="H77" s="16">
        <f t="shared" si="0"/>
        <v>43.930750000000003</v>
      </c>
      <c r="I77" s="5"/>
      <c r="J77" s="15">
        <v>1541.36</v>
      </c>
      <c r="K77" s="16">
        <v>43.042200000000001</v>
      </c>
      <c r="L77" s="16">
        <v>47.800199999999997</v>
      </c>
      <c r="M77" s="16">
        <v>48.728900000000003</v>
      </c>
      <c r="N77" s="16">
        <v>8.3739000000000008</v>
      </c>
      <c r="O77" s="16">
        <f t="shared" si="1"/>
        <v>44.347787500000003</v>
      </c>
      <c r="P77" s="7"/>
      <c r="Q77" s="8">
        <f>bdrate(C77:C80,D77:D80,J77:J80,K77:K80)</f>
        <v>-0.39394242267139912</v>
      </c>
      <c r="R77" s="8">
        <f>bdrate(C77:C80,E77:E80,J77:J80,L77:L80)</f>
        <v>-0.5863524034281361</v>
      </c>
      <c r="S77" s="8">
        <f>bdrate(C77:C80,F77:F80,J77:J80,M77:M80)</f>
        <v>-0.63042449660216504</v>
      </c>
      <c r="T77" s="25">
        <f>bdrate(C77:C80,H77:H80,J77:J80,O77:O80)</f>
        <v>-0.45554913377562944</v>
      </c>
      <c r="U77" s="28">
        <f t="shared" si="3"/>
        <v>0.93840277777777781</v>
      </c>
    </row>
    <row r="78" spans="1:21" x14ac:dyDescent="0.25">
      <c r="B78" s="9"/>
      <c r="C78" s="17">
        <v>1327.53</v>
      </c>
      <c r="D78" s="18">
        <v>41.936999999999998</v>
      </c>
      <c r="E78" s="18">
        <v>45.857999999999997</v>
      </c>
      <c r="F78" s="18">
        <v>46.453000000000003</v>
      </c>
      <c r="G78" s="18">
        <v>4.88</v>
      </c>
      <c r="H78" s="18">
        <f t="shared" si="0"/>
        <v>42.991624999999999</v>
      </c>
      <c r="I78" s="5"/>
      <c r="J78" s="17">
        <v>1022.6064</v>
      </c>
      <c r="K78" s="18">
        <v>42.3628</v>
      </c>
      <c r="L78" s="18">
        <v>47.233899999999998</v>
      </c>
      <c r="M78" s="18">
        <v>48.146999999999998</v>
      </c>
      <c r="N78" s="18">
        <v>10.6927</v>
      </c>
      <c r="O78" s="18">
        <f t="shared" si="1"/>
        <v>43.694712500000001</v>
      </c>
      <c r="P78" s="7"/>
      <c r="Q78" s="10"/>
      <c r="R78" s="11"/>
      <c r="S78" s="11"/>
      <c r="T78" s="26"/>
      <c r="U78" s="28">
        <f t="shared" si="3"/>
        <v>1.1911270491803281</v>
      </c>
    </row>
    <row r="79" spans="1:21" x14ac:dyDescent="0.25">
      <c r="B79" s="9"/>
      <c r="C79" s="17">
        <v>787.87</v>
      </c>
      <c r="D79" s="18">
        <v>40.365000000000002</v>
      </c>
      <c r="E79" s="18">
        <v>44.26</v>
      </c>
      <c r="F79" s="18">
        <v>44.637</v>
      </c>
      <c r="G79" s="18">
        <v>6.04</v>
      </c>
      <c r="H79" s="18">
        <f t="shared" si="0"/>
        <v>41.385874999999999</v>
      </c>
      <c r="I79" s="5"/>
      <c r="J79" s="17">
        <v>602.87519999999995</v>
      </c>
      <c r="K79" s="18">
        <v>41.089199999999998</v>
      </c>
      <c r="L79" s="18">
        <v>46.014600000000002</v>
      </c>
      <c r="M79" s="18">
        <v>46.906799999999997</v>
      </c>
      <c r="N79" s="18">
        <v>14.459199999999999</v>
      </c>
      <c r="O79" s="18">
        <f t="shared" si="1"/>
        <v>42.432074999999998</v>
      </c>
      <c r="P79" s="7"/>
      <c r="Q79" s="10"/>
      <c r="R79" s="11"/>
      <c r="S79" s="11"/>
      <c r="T79" s="26"/>
      <c r="U79" s="28">
        <f t="shared" si="3"/>
        <v>1.3939072847682119</v>
      </c>
    </row>
    <row r="80" spans="1:21" ht="16.5" thickBot="1" x14ac:dyDescent="0.3">
      <c r="B80" s="12"/>
      <c r="C80" s="19">
        <v>357.87</v>
      </c>
      <c r="D80" s="20">
        <v>36.633000000000003</v>
      </c>
      <c r="E80" s="20">
        <v>41.542999999999999</v>
      </c>
      <c r="F80" s="20">
        <v>41.966999999999999</v>
      </c>
      <c r="G80" s="20">
        <v>7.72</v>
      </c>
      <c r="H80" s="20">
        <f t="shared" si="0"/>
        <v>37.913499999999999</v>
      </c>
      <c r="I80" s="5"/>
      <c r="J80" s="19">
        <v>293.77839999999998</v>
      </c>
      <c r="K80" s="20">
        <v>38.656700000000001</v>
      </c>
      <c r="L80" s="20">
        <v>44.132800000000003</v>
      </c>
      <c r="M80" s="20">
        <v>45.029800000000002</v>
      </c>
      <c r="N80" s="20">
        <v>22.597999999999999</v>
      </c>
      <c r="O80" s="20">
        <f t="shared" si="1"/>
        <v>40.13785</v>
      </c>
      <c r="P80" s="7"/>
      <c r="Q80" s="13"/>
      <c r="R80" s="14"/>
      <c r="S80" s="14"/>
      <c r="T80" s="27"/>
      <c r="U80" s="28">
        <f t="shared" si="3"/>
        <v>1.9272020725388601</v>
      </c>
    </row>
    <row r="81" spans="1:21" x14ac:dyDescent="0.25">
      <c r="A81" s="6" t="s">
        <v>163</v>
      </c>
      <c r="B81" s="6" t="s">
        <v>95</v>
      </c>
      <c r="C81" s="15">
        <v>1619.51</v>
      </c>
      <c r="D81" s="16">
        <v>44.335000000000001</v>
      </c>
      <c r="E81" s="16">
        <v>48.093000000000004</v>
      </c>
      <c r="F81" s="16">
        <v>50.231000000000002</v>
      </c>
      <c r="G81" s="16">
        <v>4.0599999999999996</v>
      </c>
      <c r="H81" s="16">
        <f t="shared" ref="H81:H124" si="4">(6*D81+E81+F81)/8</f>
        <v>45.54175</v>
      </c>
      <c r="I81" s="5"/>
      <c r="J81" s="15">
        <v>1228.9447</v>
      </c>
      <c r="K81" s="16">
        <v>45.814999999999998</v>
      </c>
      <c r="L81" s="16">
        <v>52.031599999999997</v>
      </c>
      <c r="M81" s="16">
        <v>52.555300000000003</v>
      </c>
      <c r="N81" s="16">
        <v>4.8243999999999998</v>
      </c>
      <c r="O81" s="16">
        <f t="shared" ref="O81:O124" si="5">(6*K81+L81+M81)/8</f>
        <v>47.4346125</v>
      </c>
      <c r="P81" s="7"/>
      <c r="Q81" s="8">
        <f>bdrate(C81:C84,D81:D84,J81:J84,K81:K84)</f>
        <v>-0.49351806939161691</v>
      </c>
      <c r="R81" s="8">
        <f>bdrate(C81:C84,E81:E84,J81:J84,L81:L84)</f>
        <v>-0.7639980199483688</v>
      </c>
      <c r="S81" s="8">
        <f>bdrate(C81:C84,F81:F84,J81:J84,M81:M84)</f>
        <v>-0.69265087141523507</v>
      </c>
      <c r="T81" s="25">
        <f>bdrate(C81:C84,H81:H84,J81:J84,O81:O84)</f>
        <v>-0.55528998321293854</v>
      </c>
      <c r="U81" s="28">
        <f t="shared" si="3"/>
        <v>0.18827586206896557</v>
      </c>
    </row>
    <row r="82" spans="1:21" x14ac:dyDescent="0.25">
      <c r="A82" s="9" t="s">
        <v>77</v>
      </c>
      <c r="B82" s="9"/>
      <c r="C82" s="17">
        <v>1082.06</v>
      </c>
      <c r="D82" s="18">
        <v>42.094000000000001</v>
      </c>
      <c r="E82" s="18">
        <v>46.600999999999999</v>
      </c>
      <c r="F82" s="18">
        <v>48.539000000000001</v>
      </c>
      <c r="G82" s="18">
        <v>4.45</v>
      </c>
      <c r="H82" s="18">
        <f t="shared" si="4"/>
        <v>43.463000000000001</v>
      </c>
      <c r="I82" s="5"/>
      <c r="J82" s="17">
        <v>828.06799999999998</v>
      </c>
      <c r="K82" s="18">
        <v>44.032200000000003</v>
      </c>
      <c r="L82" s="18">
        <v>50.754800000000003</v>
      </c>
      <c r="M82" s="18">
        <v>51.3245</v>
      </c>
      <c r="N82" s="18">
        <v>5.8773999999999997</v>
      </c>
      <c r="O82" s="18">
        <f t="shared" si="5"/>
        <v>45.784062500000005</v>
      </c>
      <c r="P82" s="7"/>
      <c r="Q82" s="10"/>
      <c r="R82" s="11"/>
      <c r="S82" s="11"/>
      <c r="T82" s="26"/>
      <c r="U82" s="28">
        <f t="shared" si="3"/>
        <v>0.3207640449438201</v>
      </c>
    </row>
    <row r="83" spans="1:21" x14ac:dyDescent="0.25">
      <c r="B83" s="9"/>
      <c r="C83" s="17">
        <v>658.44</v>
      </c>
      <c r="D83" s="18">
        <v>39.164999999999999</v>
      </c>
      <c r="E83" s="18">
        <v>43.570999999999998</v>
      </c>
      <c r="F83" s="18">
        <v>45.642000000000003</v>
      </c>
      <c r="G83" s="18">
        <v>5.16</v>
      </c>
      <c r="H83" s="18">
        <f t="shared" si="4"/>
        <v>40.525375000000004</v>
      </c>
      <c r="I83" s="5"/>
      <c r="J83" s="17">
        <v>504.6583</v>
      </c>
      <c r="K83" s="18">
        <v>41.546799999999998</v>
      </c>
      <c r="L83" s="18">
        <v>49.248199999999997</v>
      </c>
      <c r="M83" s="18">
        <v>50.067100000000003</v>
      </c>
      <c r="N83" s="18">
        <v>7.6409000000000002</v>
      </c>
      <c r="O83" s="18">
        <f t="shared" si="5"/>
        <v>43.574512499999997</v>
      </c>
      <c r="P83" s="7"/>
      <c r="Q83" s="10"/>
      <c r="R83" s="11"/>
      <c r="S83" s="11"/>
      <c r="T83" s="26"/>
      <c r="U83" s="28">
        <f t="shared" si="3"/>
        <v>0.48079457364341088</v>
      </c>
    </row>
    <row r="84" spans="1:21" ht="16.5" thickBot="1" x14ac:dyDescent="0.3">
      <c r="B84" s="12"/>
      <c r="C84" s="19">
        <v>311.20999999999998</v>
      </c>
      <c r="D84" s="20">
        <v>34.24</v>
      </c>
      <c r="E84" s="20">
        <v>40.957000000000001</v>
      </c>
      <c r="F84" s="20">
        <v>42.670999999999999</v>
      </c>
      <c r="G84" s="20">
        <v>7.52</v>
      </c>
      <c r="H84" s="20">
        <f t="shared" si="4"/>
        <v>36.133499999999998</v>
      </c>
      <c r="I84" s="5"/>
      <c r="J84" s="19">
        <v>257.61169999999998</v>
      </c>
      <c r="K84" s="20">
        <v>38.099699999999999</v>
      </c>
      <c r="L84" s="20">
        <v>46.518300000000004</v>
      </c>
      <c r="M84" s="20">
        <v>47.300400000000003</v>
      </c>
      <c r="N84" s="20">
        <v>11.4696</v>
      </c>
      <c r="O84" s="20">
        <f t="shared" si="5"/>
        <v>40.3021125</v>
      </c>
      <c r="P84" s="7"/>
      <c r="Q84" s="13"/>
      <c r="R84" s="14"/>
      <c r="S84" s="14"/>
      <c r="T84" s="27"/>
      <c r="U84" s="28">
        <f t="shared" si="3"/>
        <v>0.52521276595744681</v>
      </c>
    </row>
    <row r="85" spans="1:21" x14ac:dyDescent="0.25">
      <c r="B85" s="6" t="s">
        <v>96</v>
      </c>
      <c r="C85" s="15">
        <v>1994.27</v>
      </c>
      <c r="D85" s="16">
        <v>56.85</v>
      </c>
      <c r="E85" s="16">
        <v>57.012999999999998</v>
      </c>
      <c r="F85" s="16">
        <v>57.341999999999999</v>
      </c>
      <c r="G85" s="16">
        <v>14.86</v>
      </c>
      <c r="H85" s="16">
        <f t="shared" si="4"/>
        <v>56.931874999999998</v>
      </c>
      <c r="I85" s="5"/>
      <c r="J85" s="15">
        <v>1403.0893000000001</v>
      </c>
      <c r="K85" s="16">
        <v>53.824199999999998</v>
      </c>
      <c r="L85" s="16">
        <v>54.649299999999997</v>
      </c>
      <c r="M85" s="16">
        <v>55.275300000000001</v>
      </c>
      <c r="N85" s="16">
        <v>12.853400000000001</v>
      </c>
      <c r="O85" s="16">
        <f t="shared" si="5"/>
        <v>54.108725</v>
      </c>
      <c r="P85" s="7"/>
      <c r="Q85" s="8">
        <f>bdrate(C85:C88,D85:D88,J85:J88,K85:K88)</f>
        <v>-1.1821578538734223E-2</v>
      </c>
      <c r="R85" s="8">
        <f>bdrate(C85:C88,E85:E88,J85:J88,L85:L88)</f>
        <v>-0.14894813813535279</v>
      </c>
      <c r="S85" s="8">
        <f>bdrate(C85:C88,F85:F88,J85:J88,M85:M88)</f>
        <v>-0.16918258041690026</v>
      </c>
      <c r="T85" s="25">
        <f>bdrate(C85:C88,H85:H88,J85:J88,O85:O88)</f>
        <v>-4.7808554944427151E-2</v>
      </c>
      <c r="U85" s="28">
        <f t="shared" si="3"/>
        <v>-0.13503364737550463</v>
      </c>
    </row>
    <row r="86" spans="1:21" x14ac:dyDescent="0.25">
      <c r="B86" s="9"/>
      <c r="C86" s="17">
        <v>1331.28</v>
      </c>
      <c r="D86" s="18">
        <v>54.154000000000003</v>
      </c>
      <c r="E86" s="18">
        <v>54.509</v>
      </c>
      <c r="F86" s="18">
        <v>54.884</v>
      </c>
      <c r="G86" s="18">
        <v>15.49</v>
      </c>
      <c r="H86" s="18">
        <f t="shared" si="4"/>
        <v>54.289625000000008</v>
      </c>
      <c r="I86" s="5"/>
      <c r="J86" s="17">
        <v>963.452</v>
      </c>
      <c r="K86" s="18">
        <v>52.009599999999999</v>
      </c>
      <c r="L86" s="18">
        <v>53.075499999999998</v>
      </c>
      <c r="M86" s="18">
        <v>53.659500000000001</v>
      </c>
      <c r="N86" s="18">
        <v>14.5411</v>
      </c>
      <c r="O86" s="18">
        <f t="shared" si="5"/>
        <v>52.349074999999992</v>
      </c>
      <c r="P86" s="7"/>
      <c r="Q86" s="10"/>
      <c r="R86" s="11"/>
      <c r="S86" s="11"/>
      <c r="T86" s="26"/>
      <c r="U86" s="28">
        <f t="shared" si="3"/>
        <v>-6.1258876694641709E-2</v>
      </c>
    </row>
    <row r="87" spans="1:21" x14ac:dyDescent="0.25">
      <c r="B87" s="9"/>
      <c r="C87" s="17">
        <v>811.54</v>
      </c>
      <c r="D87" s="18">
        <v>50.99</v>
      </c>
      <c r="E87" s="18">
        <v>51.502000000000002</v>
      </c>
      <c r="F87" s="18">
        <v>51.938000000000002</v>
      </c>
      <c r="G87" s="18">
        <v>16.170000000000002</v>
      </c>
      <c r="H87" s="18">
        <f t="shared" si="4"/>
        <v>51.172499999999999</v>
      </c>
      <c r="I87" s="5"/>
      <c r="J87" s="17">
        <v>601.96289999999999</v>
      </c>
      <c r="K87" s="18">
        <v>49.3904</v>
      </c>
      <c r="L87" s="18">
        <v>50.859499999999997</v>
      </c>
      <c r="M87" s="18">
        <v>51.442700000000002</v>
      </c>
      <c r="N87" s="18">
        <v>17.490500000000001</v>
      </c>
      <c r="O87" s="18">
        <f t="shared" si="5"/>
        <v>49.830575000000003</v>
      </c>
      <c r="P87" s="7"/>
      <c r="Q87" s="10"/>
      <c r="R87" s="11"/>
      <c r="S87" s="11"/>
      <c r="T87" s="26"/>
      <c r="U87" s="28">
        <f t="shared" si="3"/>
        <v>8.1663574520717319E-2</v>
      </c>
    </row>
    <row r="88" spans="1:21" ht="16.5" thickBot="1" x14ac:dyDescent="0.3">
      <c r="B88" s="12"/>
      <c r="C88" s="19">
        <v>383.94</v>
      </c>
      <c r="D88" s="20">
        <v>46.283000000000001</v>
      </c>
      <c r="E88" s="20">
        <v>46.929000000000002</v>
      </c>
      <c r="F88" s="20">
        <v>47.404000000000003</v>
      </c>
      <c r="G88" s="20">
        <v>18.100000000000001</v>
      </c>
      <c r="H88" s="20">
        <f t="shared" si="4"/>
        <v>46.503874999999994</v>
      </c>
      <c r="I88" s="5"/>
      <c r="J88" s="19">
        <v>308.07709999999997</v>
      </c>
      <c r="K88" s="20">
        <v>44.722700000000003</v>
      </c>
      <c r="L88" s="20">
        <v>46.913600000000002</v>
      </c>
      <c r="M88" s="20">
        <v>47.495899999999999</v>
      </c>
      <c r="N88" s="20">
        <v>24.3889</v>
      </c>
      <c r="O88" s="20">
        <f t="shared" si="5"/>
        <v>45.343212500000007</v>
      </c>
      <c r="P88" s="7"/>
      <c r="Q88" s="13"/>
      <c r="R88" s="14"/>
      <c r="S88" s="14"/>
      <c r="T88" s="27"/>
      <c r="U88" s="28">
        <f t="shared" si="3"/>
        <v>0.34745303867403304</v>
      </c>
    </row>
    <row r="89" spans="1:21" x14ac:dyDescent="0.25">
      <c r="B89" s="6" t="s">
        <v>97</v>
      </c>
      <c r="C89" s="15">
        <v>2174.1799999999998</v>
      </c>
      <c r="D89" s="16">
        <v>45.552999999999997</v>
      </c>
      <c r="E89" s="16">
        <v>46.878999999999998</v>
      </c>
      <c r="F89" s="16">
        <v>47.351999999999997</v>
      </c>
      <c r="G89" s="16">
        <v>4.37</v>
      </c>
      <c r="H89" s="16">
        <f t="shared" si="4"/>
        <v>45.943624999999997</v>
      </c>
      <c r="I89" s="5"/>
      <c r="J89" s="15">
        <v>1467.5872999999999</v>
      </c>
      <c r="K89" s="16">
        <v>44.8538</v>
      </c>
      <c r="L89" s="16">
        <v>47.224200000000003</v>
      </c>
      <c r="M89" s="16">
        <v>47.653399999999998</v>
      </c>
      <c r="N89" s="16">
        <v>5.8171999999999997</v>
      </c>
      <c r="O89" s="16">
        <f t="shared" si="5"/>
        <v>45.500049999999995</v>
      </c>
      <c r="P89" s="7"/>
      <c r="Q89" s="8">
        <f>bdrate(C89:C92,D89:D92,J89:J92,K89:K92)</f>
        <v>-0.30695086265005678</v>
      </c>
      <c r="R89" s="8">
        <f>bdrate(C89:C92,E89:E92,J89:J92,L89:L92)</f>
        <v>-0.44062685921060973</v>
      </c>
      <c r="S89" s="8">
        <f>bdrate(C89:C92,F89:F92,J89:J92,M89:M92)</f>
        <v>-0.42861131713564404</v>
      </c>
      <c r="T89" s="25">
        <f>bdrate(C89:C92,H89:H92,J89:J92,O89:O92)</f>
        <v>-0.33268157848749602</v>
      </c>
      <c r="U89" s="28">
        <f t="shared" si="3"/>
        <v>0.33116704805491981</v>
      </c>
    </row>
    <row r="90" spans="1:21" x14ac:dyDescent="0.25">
      <c r="B90" s="9"/>
      <c r="C90" s="17">
        <v>1451.87</v>
      </c>
      <c r="D90" s="18">
        <v>43.308999999999997</v>
      </c>
      <c r="E90" s="18">
        <v>45.07</v>
      </c>
      <c r="F90" s="18">
        <v>45.561</v>
      </c>
      <c r="G90" s="18">
        <v>4.79</v>
      </c>
      <c r="H90" s="18">
        <f t="shared" si="4"/>
        <v>43.810624999999995</v>
      </c>
      <c r="I90" s="5"/>
      <c r="J90" s="17">
        <v>987.44929999999999</v>
      </c>
      <c r="K90" s="18">
        <v>42.8795</v>
      </c>
      <c r="L90" s="18">
        <v>45.717599999999997</v>
      </c>
      <c r="M90" s="18">
        <v>46.127200000000002</v>
      </c>
      <c r="N90" s="18">
        <v>7.0185000000000004</v>
      </c>
      <c r="O90" s="18">
        <f t="shared" si="5"/>
        <v>43.640225000000001</v>
      </c>
      <c r="P90" s="7"/>
      <c r="Q90" s="10"/>
      <c r="R90" s="11"/>
      <c r="S90" s="11"/>
      <c r="T90" s="26"/>
      <c r="U90" s="28">
        <f t="shared" si="3"/>
        <v>0.46524008350730695</v>
      </c>
    </row>
    <row r="91" spans="1:21" x14ac:dyDescent="0.25">
      <c r="B91" s="9"/>
      <c r="C91" s="17">
        <v>883.9</v>
      </c>
      <c r="D91" s="18">
        <v>40.387</v>
      </c>
      <c r="E91" s="18">
        <v>42.948</v>
      </c>
      <c r="F91" s="18">
        <v>43.433</v>
      </c>
      <c r="G91" s="18">
        <v>5.53</v>
      </c>
      <c r="H91" s="18">
        <f t="shared" si="4"/>
        <v>41.087874999999997</v>
      </c>
      <c r="I91" s="5"/>
      <c r="J91" s="17">
        <v>591.37249999999995</v>
      </c>
      <c r="K91" s="18">
        <v>40.225299999999997</v>
      </c>
      <c r="L91" s="18">
        <v>43.737000000000002</v>
      </c>
      <c r="M91" s="18">
        <v>44.1355</v>
      </c>
      <c r="N91" s="18">
        <v>9.0327000000000002</v>
      </c>
      <c r="O91" s="18">
        <f t="shared" si="5"/>
        <v>41.153037499999996</v>
      </c>
      <c r="P91" s="7"/>
      <c r="Q91" s="10"/>
      <c r="R91" s="11"/>
      <c r="S91" s="11"/>
      <c r="T91" s="26"/>
      <c r="U91" s="28">
        <f t="shared" si="3"/>
        <v>0.63339963833634716</v>
      </c>
    </row>
    <row r="92" spans="1:21" ht="16.5" thickBot="1" x14ac:dyDescent="0.3">
      <c r="B92" s="12"/>
      <c r="C92" s="19">
        <v>420.83</v>
      </c>
      <c r="D92" s="20">
        <v>35.631999999999998</v>
      </c>
      <c r="E92" s="20">
        <v>39.957000000000001</v>
      </c>
      <c r="F92" s="20">
        <v>40.478000000000002</v>
      </c>
      <c r="G92" s="20">
        <v>7.45</v>
      </c>
      <c r="H92" s="20">
        <f t="shared" si="4"/>
        <v>36.778374999999997</v>
      </c>
      <c r="I92" s="5"/>
      <c r="J92" s="19">
        <v>296.25189999999998</v>
      </c>
      <c r="K92" s="20">
        <v>36.474800000000002</v>
      </c>
      <c r="L92" s="20">
        <v>41.221800000000002</v>
      </c>
      <c r="M92" s="20">
        <v>41.610799999999998</v>
      </c>
      <c r="N92" s="20">
        <v>12.9573</v>
      </c>
      <c r="O92" s="20">
        <f t="shared" si="5"/>
        <v>37.710175</v>
      </c>
      <c r="P92" s="7"/>
      <c r="Q92" s="13"/>
      <c r="R92" s="14"/>
      <c r="S92" s="14"/>
      <c r="T92" s="27"/>
      <c r="U92" s="28">
        <f t="shared" si="3"/>
        <v>0.739234899328859</v>
      </c>
    </row>
    <row r="93" spans="1:21" x14ac:dyDescent="0.25">
      <c r="B93" s="6" t="s">
        <v>98</v>
      </c>
      <c r="C93" s="29">
        <v>2055.38</v>
      </c>
      <c r="D93" s="30">
        <v>41.094999999999999</v>
      </c>
      <c r="E93" s="30">
        <v>44.704000000000001</v>
      </c>
      <c r="F93" s="30">
        <v>44.731999999999999</v>
      </c>
      <c r="G93" s="16">
        <v>3.6</v>
      </c>
      <c r="H93" s="16">
        <f t="shared" si="4"/>
        <v>42.000749999999996</v>
      </c>
      <c r="I93" s="5"/>
      <c r="J93" s="29">
        <v>1495.7125000000001</v>
      </c>
      <c r="K93" s="30">
        <v>40.640999999999998</v>
      </c>
      <c r="L93" s="30">
        <v>45.261099999999999</v>
      </c>
      <c r="M93" s="30">
        <v>45.229900000000001</v>
      </c>
      <c r="N93" s="16">
        <v>5.0980999999999996</v>
      </c>
      <c r="O93" s="16">
        <f t="shared" si="5"/>
        <v>41.792124999999999</v>
      </c>
      <c r="P93" s="7"/>
      <c r="Q93" s="8">
        <f>bdrate(C93:C96,D93:D96,J93:J96,K93:K96)</f>
        <v>-0.2853079382637681</v>
      </c>
      <c r="R93" s="8">
        <f>bdrate(C93:C96,E93:E96,J93:J96,L93:L96)</f>
        <v>-0.45500493467404224</v>
      </c>
      <c r="S93" s="8">
        <f>bdrate(C93:C96,F93:F96,J93:J96,M93:M96)</f>
        <v>-0.4409832877022859</v>
      </c>
      <c r="T93" s="25">
        <f>bdrate(C93:C96,H93:H96,J93:J96,O93:O96)</f>
        <v>-0.31594134522563744</v>
      </c>
      <c r="U93" s="28">
        <f t="shared" si="3"/>
        <v>0.41613888888888872</v>
      </c>
    </row>
    <row r="94" spans="1:21" x14ac:dyDescent="0.25">
      <c r="B94" s="9"/>
      <c r="C94" s="31">
        <v>1375.64</v>
      </c>
      <c r="D94" s="32">
        <v>38.954000000000001</v>
      </c>
      <c r="E94" s="32">
        <v>43.122</v>
      </c>
      <c r="F94" s="32">
        <v>43.170999999999999</v>
      </c>
      <c r="G94" s="18">
        <v>3.97</v>
      </c>
      <c r="H94" s="18">
        <f t="shared" si="4"/>
        <v>40.002124999999999</v>
      </c>
      <c r="I94" s="5"/>
      <c r="J94" s="31">
        <v>997.71810000000005</v>
      </c>
      <c r="K94" s="32">
        <v>38.703699999999998</v>
      </c>
      <c r="L94" s="32">
        <v>43.905700000000003</v>
      </c>
      <c r="M94" s="32">
        <v>43.881700000000002</v>
      </c>
      <c r="N94" s="18">
        <v>6.2289000000000003</v>
      </c>
      <c r="O94" s="18">
        <f t="shared" si="5"/>
        <v>40.001200000000004</v>
      </c>
      <c r="P94" s="7"/>
      <c r="Q94" s="10"/>
      <c r="R94" s="11"/>
      <c r="S94" s="11"/>
      <c r="T94" s="26"/>
      <c r="U94" s="28">
        <f t="shared" si="3"/>
        <v>0.56899244332493704</v>
      </c>
    </row>
    <row r="95" spans="1:21" x14ac:dyDescent="0.25">
      <c r="B95" s="9"/>
      <c r="C95" s="31">
        <v>841.65</v>
      </c>
      <c r="D95" s="32">
        <v>36.326000000000001</v>
      </c>
      <c r="E95" s="32">
        <v>41.393000000000001</v>
      </c>
      <c r="F95" s="32">
        <v>41.357999999999997</v>
      </c>
      <c r="G95" s="18">
        <v>4.6100000000000003</v>
      </c>
      <c r="H95" s="18">
        <f t="shared" si="4"/>
        <v>37.588375000000006</v>
      </c>
      <c r="I95" s="5"/>
      <c r="J95" s="31">
        <v>598.32090000000005</v>
      </c>
      <c r="K95" s="32">
        <v>36.319000000000003</v>
      </c>
      <c r="L95" s="32">
        <v>42.3538</v>
      </c>
      <c r="M95" s="32">
        <v>42.253500000000003</v>
      </c>
      <c r="N95" s="18">
        <v>8.0993999999999993</v>
      </c>
      <c r="O95" s="18">
        <f t="shared" si="5"/>
        <v>37.8151625</v>
      </c>
      <c r="P95" s="7"/>
      <c r="Q95" s="10"/>
      <c r="R95" s="11"/>
      <c r="S95" s="11"/>
      <c r="T95" s="26"/>
      <c r="U95" s="28">
        <f t="shared" si="3"/>
        <v>0.7569197396963121</v>
      </c>
    </row>
    <row r="96" spans="1:21" ht="16.5" thickBot="1" x14ac:dyDescent="0.3">
      <c r="B96" s="12"/>
      <c r="C96" s="33">
        <v>402.88</v>
      </c>
      <c r="D96" s="34">
        <v>31.962</v>
      </c>
      <c r="E96" s="34">
        <v>39.113</v>
      </c>
      <c r="F96" s="34">
        <v>38.92</v>
      </c>
      <c r="G96" s="20">
        <v>6.22</v>
      </c>
      <c r="H96" s="20">
        <f t="shared" si="4"/>
        <v>33.725625000000001</v>
      </c>
      <c r="I96" s="5"/>
      <c r="J96" s="33">
        <v>299.61290000000002</v>
      </c>
      <c r="K96" s="34">
        <v>33.202199999999998</v>
      </c>
      <c r="L96" s="34">
        <v>40.418599999999998</v>
      </c>
      <c r="M96" s="34">
        <v>40.286900000000003</v>
      </c>
      <c r="N96" s="20">
        <v>11.8161</v>
      </c>
      <c r="O96" s="20">
        <f t="shared" si="5"/>
        <v>34.989837499999993</v>
      </c>
      <c r="P96" s="7"/>
      <c r="Q96" s="13"/>
      <c r="R96" s="14"/>
      <c r="S96" s="14"/>
      <c r="T96" s="27"/>
      <c r="U96" s="28">
        <f t="shared" si="3"/>
        <v>0.89969453376205799</v>
      </c>
    </row>
    <row r="97" spans="2:21" x14ac:dyDescent="0.25">
      <c r="B97" s="6" t="s">
        <v>99</v>
      </c>
      <c r="C97" s="15">
        <v>2119.29</v>
      </c>
      <c r="D97" s="16">
        <v>39.698</v>
      </c>
      <c r="E97" s="16">
        <v>42.607999999999997</v>
      </c>
      <c r="F97" s="16">
        <v>43.125</v>
      </c>
      <c r="G97" s="16">
        <v>5.01</v>
      </c>
      <c r="H97" s="16">
        <f t="shared" si="4"/>
        <v>40.490124999999999</v>
      </c>
      <c r="I97" s="5"/>
      <c r="J97" s="15">
        <v>1506.6315999999999</v>
      </c>
      <c r="K97" s="16">
        <v>38.923299999999998</v>
      </c>
      <c r="L97" s="16">
        <v>43.769599999999997</v>
      </c>
      <c r="M97" s="16">
        <v>44.272500000000001</v>
      </c>
      <c r="N97" s="16">
        <v>6.4263000000000003</v>
      </c>
      <c r="O97" s="16">
        <f t="shared" si="5"/>
        <v>40.197737499999995</v>
      </c>
      <c r="P97" s="7"/>
      <c r="Q97" s="8">
        <f>bdrate(C97:C100,D97:D100,J97:J100,K97:K100)</f>
        <v>-0.22538450370600682</v>
      </c>
      <c r="R97" s="8">
        <f>bdrate(C97:C100,E97:E100,J97:J100,L97:L100)</f>
        <v>-0.51062544212898475</v>
      </c>
      <c r="S97" s="8">
        <f>bdrate(C97:C100,F97:F100,J97:J100,M97:M100)</f>
        <v>-0.51063610317991548</v>
      </c>
      <c r="T97" s="25">
        <f>bdrate(C97:C100,H97:H100,J97:J100,O97:O100)</f>
        <v>-0.28697996763433775</v>
      </c>
      <c r="U97" s="28">
        <f t="shared" si="3"/>
        <v>0.28269461077844321</v>
      </c>
    </row>
    <row r="98" spans="2:21" x14ac:dyDescent="0.25">
      <c r="B98" s="9"/>
      <c r="C98" s="17">
        <v>1414.31</v>
      </c>
      <c r="D98" s="18">
        <v>37.569000000000003</v>
      </c>
      <c r="E98" s="18">
        <v>40.932000000000002</v>
      </c>
      <c r="F98" s="18">
        <v>41.521999999999998</v>
      </c>
      <c r="G98" s="18">
        <v>5.5</v>
      </c>
      <c r="H98" s="18">
        <f t="shared" si="4"/>
        <v>38.483499999999999</v>
      </c>
      <c r="I98" s="5"/>
      <c r="J98" s="17">
        <v>1012.8235</v>
      </c>
      <c r="K98" s="18">
        <v>36.989800000000002</v>
      </c>
      <c r="L98" s="18">
        <v>42.351300000000002</v>
      </c>
      <c r="M98" s="18">
        <v>42.905999999999999</v>
      </c>
      <c r="N98" s="18">
        <v>7.9036</v>
      </c>
      <c r="O98" s="18">
        <f t="shared" si="5"/>
        <v>38.3995125</v>
      </c>
      <c r="P98" s="7"/>
      <c r="Q98" s="10"/>
      <c r="R98" s="11"/>
      <c r="S98" s="11"/>
      <c r="T98" s="26"/>
      <c r="U98" s="28">
        <f t="shared" si="3"/>
        <v>0.43701818181818181</v>
      </c>
    </row>
    <row r="99" spans="2:21" x14ac:dyDescent="0.25">
      <c r="B99" s="9"/>
      <c r="C99" s="17">
        <v>859.35</v>
      </c>
      <c r="D99" s="18">
        <v>34.994</v>
      </c>
      <c r="E99" s="18">
        <v>39.121000000000002</v>
      </c>
      <c r="F99" s="18">
        <v>39.792999999999999</v>
      </c>
      <c r="G99" s="18">
        <v>6.18</v>
      </c>
      <c r="H99" s="18">
        <f t="shared" si="4"/>
        <v>36.109749999999998</v>
      </c>
      <c r="I99" s="5"/>
      <c r="J99" s="17">
        <v>604.28089999999997</v>
      </c>
      <c r="K99" s="18">
        <v>34.477800000000002</v>
      </c>
      <c r="L99" s="18">
        <v>40.4255</v>
      </c>
      <c r="M99" s="18">
        <v>41.030500000000004</v>
      </c>
      <c r="N99" s="18">
        <v>10.0702</v>
      </c>
      <c r="O99" s="18">
        <f t="shared" si="5"/>
        <v>36.040350000000004</v>
      </c>
      <c r="P99" s="7"/>
      <c r="Q99" s="10"/>
      <c r="R99" s="11"/>
      <c r="S99" s="11"/>
      <c r="T99" s="26"/>
      <c r="U99" s="28">
        <f t="shared" si="3"/>
        <v>0.62948220064724925</v>
      </c>
    </row>
    <row r="100" spans="2:21" ht="16.5" thickBot="1" x14ac:dyDescent="0.3">
      <c r="B100" s="12"/>
      <c r="C100" s="19">
        <v>404.2</v>
      </c>
      <c r="D100" s="20">
        <v>30.8</v>
      </c>
      <c r="E100" s="20">
        <v>36.567</v>
      </c>
      <c r="F100" s="20">
        <v>37.463000000000001</v>
      </c>
      <c r="G100" s="20">
        <v>7.57</v>
      </c>
      <c r="H100" s="20">
        <f t="shared" si="4"/>
        <v>32.353750000000005</v>
      </c>
      <c r="I100" s="5"/>
      <c r="J100" s="19">
        <v>304.4085</v>
      </c>
      <c r="K100" s="20">
        <v>31.1572</v>
      </c>
      <c r="L100" s="20">
        <v>38.101500000000001</v>
      </c>
      <c r="M100" s="20">
        <v>38.826500000000003</v>
      </c>
      <c r="N100" s="20">
        <v>14.2082</v>
      </c>
      <c r="O100" s="20">
        <f t="shared" si="5"/>
        <v>32.983899999999998</v>
      </c>
      <c r="P100" s="7"/>
      <c r="Q100" s="13"/>
      <c r="R100" s="14"/>
      <c r="S100" s="14"/>
      <c r="T100" s="27"/>
      <c r="U100" s="28">
        <f t="shared" si="3"/>
        <v>0.87690885072655211</v>
      </c>
    </row>
    <row r="101" spans="2:21" x14ac:dyDescent="0.25">
      <c r="B101" s="6" t="s">
        <v>100</v>
      </c>
      <c r="C101" s="15">
        <v>2111.0500000000002</v>
      </c>
      <c r="D101" s="16">
        <v>39.299999999999997</v>
      </c>
      <c r="E101" s="16">
        <v>44.207000000000001</v>
      </c>
      <c r="F101" s="16">
        <v>45.896999999999998</v>
      </c>
      <c r="G101" s="16">
        <v>2.86</v>
      </c>
      <c r="H101" s="16">
        <f t="shared" si="4"/>
        <v>40.738</v>
      </c>
      <c r="I101" s="5"/>
      <c r="J101" s="15">
        <v>1510.4783</v>
      </c>
      <c r="K101" s="16">
        <v>38.637</v>
      </c>
      <c r="L101" s="16">
        <v>44.662999999999997</v>
      </c>
      <c r="M101" s="16">
        <v>46.240299999999998</v>
      </c>
      <c r="N101" s="16">
        <v>4.6669</v>
      </c>
      <c r="O101" s="16">
        <f t="shared" si="5"/>
        <v>40.340662500000001</v>
      </c>
      <c r="P101" s="7"/>
      <c r="Q101" s="8">
        <f>bdrate(C101:C104,D101:D104,J101:J104,K101:K104)</f>
        <v>-0.26403432525011405</v>
      </c>
      <c r="R101" s="8">
        <f>bdrate(C101:C104,E101:E104,J101:J104,L101:L104)</f>
        <v>-0.50749317188573495</v>
      </c>
      <c r="S101" s="8">
        <f>bdrate(C101:C104,F101:F104,J101:J104,M101:M104)</f>
        <v>-0.45436101094417913</v>
      </c>
      <c r="T101" s="25">
        <f>bdrate(C101:C104,H101:H104,J101:J104,O101:O104)</f>
        <v>-0.30957435157228363</v>
      </c>
      <c r="U101" s="28">
        <f t="shared" si="3"/>
        <v>0.63178321678321692</v>
      </c>
    </row>
    <row r="102" spans="2:21" x14ac:dyDescent="0.25">
      <c r="B102" s="9"/>
      <c r="C102" s="17">
        <v>1407.02</v>
      </c>
      <c r="D102" s="18">
        <v>37.561999999999998</v>
      </c>
      <c r="E102" s="18">
        <v>42.975999999999999</v>
      </c>
      <c r="F102" s="18">
        <v>44.703000000000003</v>
      </c>
      <c r="G102" s="18">
        <v>3.11</v>
      </c>
      <c r="H102" s="18">
        <f t="shared" si="4"/>
        <v>39.131374999999991</v>
      </c>
      <c r="I102" s="5"/>
      <c r="J102" s="17">
        <v>1007.9017</v>
      </c>
      <c r="K102" s="18">
        <v>37.117400000000004</v>
      </c>
      <c r="L102" s="18">
        <v>43.696899999999999</v>
      </c>
      <c r="M102" s="18">
        <v>45.208399999999997</v>
      </c>
      <c r="N102" s="18">
        <v>5.7557</v>
      </c>
      <c r="O102" s="18">
        <f t="shared" si="5"/>
        <v>38.951212499999997</v>
      </c>
      <c r="P102" s="7"/>
      <c r="Q102" s="10"/>
      <c r="R102" s="11"/>
      <c r="S102" s="11"/>
      <c r="T102" s="26"/>
      <c r="U102" s="28">
        <f t="shared" si="3"/>
        <v>0.85070739549839236</v>
      </c>
    </row>
    <row r="103" spans="2:21" x14ac:dyDescent="0.25">
      <c r="B103" s="9"/>
      <c r="C103" s="17">
        <v>857.27</v>
      </c>
      <c r="D103" s="18">
        <v>35.445999999999998</v>
      </c>
      <c r="E103" s="18">
        <v>41.506999999999998</v>
      </c>
      <c r="F103" s="18">
        <v>43.154000000000003</v>
      </c>
      <c r="G103" s="18">
        <v>3.63</v>
      </c>
      <c r="H103" s="18">
        <f t="shared" si="4"/>
        <v>37.167124999999999</v>
      </c>
      <c r="I103" s="5"/>
      <c r="J103" s="17">
        <v>603.81650000000002</v>
      </c>
      <c r="K103" s="18">
        <v>35.368299999999998</v>
      </c>
      <c r="L103" s="18">
        <v>42.587299999999999</v>
      </c>
      <c r="M103" s="18">
        <v>43.974200000000003</v>
      </c>
      <c r="N103" s="18">
        <v>7.6414</v>
      </c>
      <c r="O103" s="18">
        <f t="shared" si="5"/>
        <v>37.3464125</v>
      </c>
      <c r="P103" s="7"/>
      <c r="Q103" s="10"/>
      <c r="R103" s="11"/>
      <c r="S103" s="11"/>
      <c r="T103" s="26"/>
      <c r="U103" s="28">
        <f t="shared" si="3"/>
        <v>1.105068870523416</v>
      </c>
    </row>
    <row r="104" spans="2:21" ht="16.5" thickBot="1" x14ac:dyDescent="0.3">
      <c r="B104" s="12"/>
      <c r="C104" s="19">
        <v>404.73</v>
      </c>
      <c r="D104" s="20">
        <v>32.468000000000004</v>
      </c>
      <c r="E104" s="20">
        <v>39.526000000000003</v>
      </c>
      <c r="F104" s="20">
        <v>40.747</v>
      </c>
      <c r="G104" s="20">
        <v>5.3</v>
      </c>
      <c r="H104" s="20">
        <f t="shared" si="4"/>
        <v>34.385125000000002</v>
      </c>
      <c r="I104" s="5"/>
      <c r="J104" s="19">
        <v>300.36399999999998</v>
      </c>
      <c r="K104" s="20">
        <v>33.113</v>
      </c>
      <c r="L104" s="20">
        <v>41.094499999999996</v>
      </c>
      <c r="M104" s="20">
        <v>42.318100000000001</v>
      </c>
      <c r="N104" s="20">
        <v>11.379200000000001</v>
      </c>
      <c r="O104" s="20">
        <f t="shared" si="5"/>
        <v>35.261324999999999</v>
      </c>
      <c r="P104" s="7"/>
      <c r="Q104" s="13"/>
      <c r="R104" s="14"/>
      <c r="S104" s="14"/>
      <c r="T104" s="27"/>
      <c r="U104" s="28">
        <f t="shared" si="3"/>
        <v>1.1470188679245286</v>
      </c>
    </row>
    <row r="105" spans="2:21" x14ac:dyDescent="0.25">
      <c r="B105" s="6" t="s">
        <v>101</v>
      </c>
      <c r="C105" s="15">
        <v>2230.66</v>
      </c>
      <c r="D105" s="16">
        <v>51.198</v>
      </c>
      <c r="E105" s="16">
        <v>55.003</v>
      </c>
      <c r="F105" s="16">
        <v>56.25</v>
      </c>
      <c r="G105" s="16">
        <v>4.67</v>
      </c>
      <c r="H105" s="16">
        <f t="shared" si="4"/>
        <v>52.305124999999997</v>
      </c>
      <c r="I105" s="5"/>
      <c r="J105" s="15">
        <v>1496.4543000000001</v>
      </c>
      <c r="K105" s="16">
        <v>50.625700000000002</v>
      </c>
      <c r="L105" s="16">
        <v>55.553600000000003</v>
      </c>
      <c r="M105" s="16">
        <v>56.8964</v>
      </c>
      <c r="N105" s="16">
        <v>5.8193000000000001</v>
      </c>
      <c r="O105" s="16">
        <f t="shared" si="5"/>
        <v>52.025525000000002</v>
      </c>
      <c r="P105" s="7"/>
      <c r="Q105" s="8">
        <f>bdrate(C105:C108,D105:D108,J105:J108,K105:K108)</f>
        <v>-0.40174365524569944</v>
      </c>
      <c r="R105" s="8">
        <f>bdrate(C105:C108,E105:E108,J105:J108,L105:L108)</f>
        <v>-0.56398608745123924</v>
      </c>
      <c r="S105" s="8">
        <f>bdrate(C105:C108,F105:F108,J105:J108,M105:M108)</f>
        <v>-0.57136823154576455</v>
      </c>
      <c r="T105" s="25">
        <f>bdrate(C105:C108,H105:H108,J105:J108,O105:O108)</f>
        <v>-0.44184469954603378</v>
      </c>
      <c r="U105" s="28">
        <f t="shared" si="3"/>
        <v>0.2461027837259101</v>
      </c>
    </row>
    <row r="106" spans="2:21" x14ac:dyDescent="0.25">
      <c r="B106" s="9"/>
      <c r="C106" s="17">
        <v>1481.11</v>
      </c>
      <c r="D106" s="18">
        <v>49.063000000000002</v>
      </c>
      <c r="E106" s="18">
        <v>52.837000000000003</v>
      </c>
      <c r="F106" s="18">
        <v>54.271999999999998</v>
      </c>
      <c r="G106" s="18">
        <v>5.1100000000000003</v>
      </c>
      <c r="H106" s="18">
        <f t="shared" si="4"/>
        <v>50.185875000000003</v>
      </c>
      <c r="I106" s="5"/>
      <c r="J106" s="17">
        <v>999.47730000000001</v>
      </c>
      <c r="K106" s="18">
        <v>49.035400000000003</v>
      </c>
      <c r="L106" s="18">
        <v>54.215200000000003</v>
      </c>
      <c r="M106" s="18">
        <v>55.654899999999998</v>
      </c>
      <c r="N106" s="18">
        <v>7.1631999999999998</v>
      </c>
      <c r="O106" s="18">
        <f t="shared" si="5"/>
        <v>50.510312499999998</v>
      </c>
      <c r="P106" s="7"/>
      <c r="Q106" s="10"/>
      <c r="R106" s="11"/>
      <c r="S106" s="11"/>
      <c r="T106" s="26"/>
      <c r="U106" s="28">
        <f t="shared" si="3"/>
        <v>0.40180039138943235</v>
      </c>
    </row>
    <row r="107" spans="2:21" x14ac:dyDescent="0.25">
      <c r="B107" s="9"/>
      <c r="C107" s="17">
        <v>889.16</v>
      </c>
      <c r="D107" s="18">
        <v>45.924999999999997</v>
      </c>
      <c r="E107" s="18">
        <v>49.941000000000003</v>
      </c>
      <c r="F107" s="18">
        <v>51.491</v>
      </c>
      <c r="G107" s="18">
        <v>5.96</v>
      </c>
      <c r="H107" s="18">
        <f t="shared" si="4"/>
        <v>47.122749999999996</v>
      </c>
      <c r="I107" s="5"/>
      <c r="J107" s="17">
        <v>600.58370000000002</v>
      </c>
      <c r="K107" s="18">
        <v>46.8932</v>
      </c>
      <c r="L107" s="18">
        <v>52.443300000000001</v>
      </c>
      <c r="M107" s="18">
        <v>53.9375</v>
      </c>
      <c r="N107" s="18">
        <v>9.7373999999999992</v>
      </c>
      <c r="O107" s="18">
        <f t="shared" si="5"/>
        <v>48.467500000000001</v>
      </c>
      <c r="P107" s="7"/>
      <c r="Q107" s="10"/>
      <c r="R107" s="11"/>
      <c r="S107" s="11"/>
      <c r="T107" s="26"/>
      <c r="U107" s="28">
        <f t="shared" si="3"/>
        <v>0.63379194630872471</v>
      </c>
    </row>
    <row r="108" spans="2:21" ht="16.5" thickBot="1" x14ac:dyDescent="0.3">
      <c r="B108" s="12"/>
      <c r="C108" s="19">
        <v>416.65</v>
      </c>
      <c r="D108" s="20">
        <v>41.941000000000003</v>
      </c>
      <c r="E108" s="20">
        <v>46.401000000000003</v>
      </c>
      <c r="F108" s="20">
        <v>47.695</v>
      </c>
      <c r="G108" s="20">
        <v>8.52</v>
      </c>
      <c r="H108" s="20">
        <f t="shared" si="4"/>
        <v>43.217750000000002</v>
      </c>
      <c r="I108" s="5"/>
      <c r="J108" s="19">
        <v>300.80500000000001</v>
      </c>
      <c r="K108" s="20">
        <v>43.789499999999997</v>
      </c>
      <c r="L108" s="20">
        <v>49.752299999999998</v>
      </c>
      <c r="M108" s="20">
        <v>51.219299999999997</v>
      </c>
      <c r="N108" s="20">
        <v>15.0982</v>
      </c>
      <c r="O108" s="20">
        <f t="shared" si="5"/>
        <v>45.463574999999992</v>
      </c>
      <c r="P108" s="7"/>
      <c r="Q108" s="13"/>
      <c r="R108" s="14"/>
      <c r="S108" s="14"/>
      <c r="T108" s="27"/>
      <c r="U108" s="28">
        <f t="shared" si="3"/>
        <v>0.77208920187793439</v>
      </c>
    </row>
    <row r="109" spans="2:21" x14ac:dyDescent="0.25">
      <c r="B109" s="6" t="s">
        <v>102</v>
      </c>
      <c r="C109" s="15">
        <v>2050.81</v>
      </c>
      <c r="D109" s="16">
        <v>34.127000000000002</v>
      </c>
      <c r="E109" s="16">
        <v>41.521000000000001</v>
      </c>
      <c r="F109" s="16">
        <v>40.865000000000002</v>
      </c>
      <c r="G109" s="16">
        <v>3.38</v>
      </c>
      <c r="H109" s="16">
        <f t="shared" si="4"/>
        <v>35.893500000000003</v>
      </c>
      <c r="I109" s="5"/>
      <c r="J109" s="15">
        <v>1495.5568000000001</v>
      </c>
      <c r="K109" s="16">
        <v>33.629600000000003</v>
      </c>
      <c r="L109" s="16">
        <v>41.9848</v>
      </c>
      <c r="M109" s="16">
        <v>41.430999999999997</v>
      </c>
      <c r="N109" s="16">
        <v>4.0782999999999996</v>
      </c>
      <c r="O109" s="16">
        <f t="shared" si="5"/>
        <v>35.649175</v>
      </c>
      <c r="P109" s="7"/>
      <c r="Q109" s="8">
        <f>bdrate(C109:C112,D109:D112,J109:J112,K109:K112)</f>
        <v>-0.29379766032635901</v>
      </c>
      <c r="R109" s="8">
        <f>bdrate(C109:C112,E109:E112,J109:J112,L109:L112)</f>
        <v>-0.4518824372166681</v>
      </c>
      <c r="S109" s="8">
        <f>bdrate(C109:C112,F109:F112,J109:J112,M109:M112)</f>
        <v>-0.48207927118886007</v>
      </c>
      <c r="T109" s="25">
        <f>bdrate(C109:C112,H109:H112,J109:J112,O109:O112)</f>
        <v>-0.32355615523490977</v>
      </c>
      <c r="U109" s="28">
        <f t="shared" si="3"/>
        <v>0.20659763313609458</v>
      </c>
    </row>
    <row r="110" spans="2:21" x14ac:dyDescent="0.25">
      <c r="B110" s="9"/>
      <c r="C110" s="17">
        <v>1367.28</v>
      </c>
      <c r="D110" s="18">
        <v>32.228999999999999</v>
      </c>
      <c r="E110" s="18">
        <v>40.356999999999999</v>
      </c>
      <c r="F110" s="18">
        <v>39.597999999999999</v>
      </c>
      <c r="G110" s="18">
        <v>3.85</v>
      </c>
      <c r="H110" s="18">
        <f t="shared" si="4"/>
        <v>34.166125000000001</v>
      </c>
      <c r="I110" s="5"/>
      <c r="J110" s="17">
        <v>996.09429999999998</v>
      </c>
      <c r="K110" s="18">
        <v>31.956800000000001</v>
      </c>
      <c r="L110" s="18">
        <v>41.0334</v>
      </c>
      <c r="M110" s="18">
        <v>40.4846</v>
      </c>
      <c r="N110" s="18">
        <v>4.9783999999999997</v>
      </c>
      <c r="O110" s="18">
        <f t="shared" si="5"/>
        <v>34.157350000000001</v>
      </c>
      <c r="P110" s="7"/>
      <c r="Q110" s="10"/>
      <c r="R110" s="11"/>
      <c r="S110" s="11"/>
      <c r="T110" s="26"/>
      <c r="U110" s="28">
        <f t="shared" si="3"/>
        <v>0.29309090909090901</v>
      </c>
    </row>
    <row r="111" spans="2:21" x14ac:dyDescent="0.25">
      <c r="B111" s="9"/>
      <c r="C111" s="17">
        <v>830.02</v>
      </c>
      <c r="D111" s="18">
        <v>29.61</v>
      </c>
      <c r="E111" s="18">
        <v>38.956000000000003</v>
      </c>
      <c r="F111" s="18">
        <v>38.167999999999999</v>
      </c>
      <c r="G111" s="18">
        <v>4.66</v>
      </c>
      <c r="H111" s="18">
        <f t="shared" si="4"/>
        <v>31.847999999999999</v>
      </c>
      <c r="I111" s="5"/>
      <c r="J111" s="17">
        <v>597.01850000000002</v>
      </c>
      <c r="K111" s="18">
        <v>29.758600000000001</v>
      </c>
      <c r="L111" s="18">
        <v>39.777000000000001</v>
      </c>
      <c r="M111" s="18">
        <v>39.167700000000004</v>
      </c>
      <c r="N111" s="18">
        <v>6.6043000000000003</v>
      </c>
      <c r="O111" s="18">
        <f t="shared" si="5"/>
        <v>32.187037500000002</v>
      </c>
      <c r="P111" s="7"/>
      <c r="Q111" s="10"/>
      <c r="R111" s="11"/>
      <c r="S111" s="11"/>
      <c r="T111" s="26"/>
      <c r="U111" s="28">
        <f t="shared" si="3"/>
        <v>0.41723175965665238</v>
      </c>
    </row>
    <row r="112" spans="2:21" ht="16.5" thickBot="1" x14ac:dyDescent="0.3">
      <c r="B112" s="12"/>
      <c r="C112" s="19">
        <v>391.5</v>
      </c>
      <c r="D112" s="20">
        <v>25.135000000000002</v>
      </c>
      <c r="E112" s="20">
        <v>36.665999999999997</v>
      </c>
      <c r="F112" s="20">
        <v>36.006999999999998</v>
      </c>
      <c r="G112" s="20">
        <v>6.7</v>
      </c>
      <c r="H112" s="20">
        <f t="shared" si="4"/>
        <v>27.935375000000001</v>
      </c>
      <c r="I112" s="5"/>
      <c r="J112" s="19">
        <v>298.74279999999999</v>
      </c>
      <c r="K112" s="20">
        <v>26.863700000000001</v>
      </c>
      <c r="L112" s="20">
        <v>37.7226</v>
      </c>
      <c r="M112" s="20">
        <v>37.102800000000002</v>
      </c>
      <c r="N112" s="20">
        <v>9.9943000000000008</v>
      </c>
      <c r="O112" s="20">
        <f t="shared" si="5"/>
        <v>29.500950000000003</v>
      </c>
      <c r="P112" s="7"/>
      <c r="Q112" s="13"/>
      <c r="R112" s="14"/>
      <c r="S112" s="14"/>
      <c r="T112" s="27"/>
      <c r="U112" s="28">
        <f t="shared" si="3"/>
        <v>0.49168656716417919</v>
      </c>
    </row>
    <row r="113" spans="2:21" x14ac:dyDescent="0.25">
      <c r="B113" s="6" t="s">
        <v>103</v>
      </c>
      <c r="C113" s="15">
        <v>2335.12</v>
      </c>
      <c r="D113" s="16">
        <v>49.512</v>
      </c>
      <c r="E113" s="16">
        <v>49.7</v>
      </c>
      <c r="F113" s="16">
        <v>49.47</v>
      </c>
      <c r="G113" s="16">
        <v>5.88</v>
      </c>
      <c r="H113" s="16">
        <f t="shared" si="4"/>
        <v>49.530249999999995</v>
      </c>
      <c r="I113" s="5"/>
      <c r="J113" s="15">
        <v>1372.9852000000001</v>
      </c>
      <c r="K113" s="16">
        <v>47.369100000000003</v>
      </c>
      <c r="L113" s="16">
        <v>48.682600000000001</v>
      </c>
      <c r="M113" s="16">
        <v>48.574800000000003</v>
      </c>
      <c r="N113" s="16">
        <v>6.1871999999999998</v>
      </c>
      <c r="O113" s="16">
        <f t="shared" si="5"/>
        <v>47.683999999999997</v>
      </c>
      <c r="P113" s="7"/>
      <c r="Q113" s="8">
        <f>bdrate(C113:C116,D113:D116,J113:J116,K113:K116)</f>
        <v>-0.20254684115004817</v>
      </c>
      <c r="R113" s="8">
        <f>bdrate(C113:C116,E113:E116,J113:J116,L113:L116)</f>
        <v>-0.35750226031671661</v>
      </c>
      <c r="S113" s="8">
        <f>bdrate(C113:C116,F113:F116,J113:J116,M113:M116)</f>
        <v>-0.37558388159031453</v>
      </c>
      <c r="T113" s="25">
        <f>bdrate(C113:C116,H113:H116,J113:J116,O113:O116)</f>
        <v>-0.24234797161381305</v>
      </c>
      <c r="U113" s="28">
        <f t="shared" si="3"/>
        <v>5.2244897959183662E-2</v>
      </c>
    </row>
    <row r="114" spans="2:21" x14ac:dyDescent="0.25">
      <c r="B114" s="9"/>
      <c r="C114" s="17">
        <v>1540.81</v>
      </c>
      <c r="D114" s="18">
        <v>47.469000000000001</v>
      </c>
      <c r="E114" s="18">
        <v>47.79</v>
      </c>
      <c r="F114" s="18">
        <v>47.543999999999997</v>
      </c>
      <c r="G114" s="18">
        <v>6.43</v>
      </c>
      <c r="H114" s="18">
        <f t="shared" si="4"/>
        <v>47.518500000000003</v>
      </c>
      <c r="I114" s="5"/>
      <c r="J114" s="17">
        <v>933.43690000000004</v>
      </c>
      <c r="K114" s="18">
        <v>45.869399999999999</v>
      </c>
      <c r="L114" s="18">
        <v>47.346800000000002</v>
      </c>
      <c r="M114" s="18">
        <v>47.227699999999999</v>
      </c>
      <c r="N114" s="18">
        <v>7.4561999999999999</v>
      </c>
      <c r="O114" s="18">
        <f t="shared" si="5"/>
        <v>46.22386250000001</v>
      </c>
      <c r="P114" s="7"/>
      <c r="Q114" s="10"/>
      <c r="R114" s="11"/>
      <c r="S114" s="11"/>
      <c r="T114" s="26"/>
      <c r="U114" s="28">
        <f t="shared" si="3"/>
        <v>0.15959564541213067</v>
      </c>
    </row>
    <row r="115" spans="2:21" x14ac:dyDescent="0.25">
      <c r="B115" s="9"/>
      <c r="C115" s="17">
        <v>922.87</v>
      </c>
      <c r="D115" s="18">
        <v>44.639000000000003</v>
      </c>
      <c r="E115" s="18">
        <v>45.210999999999999</v>
      </c>
      <c r="F115" s="18">
        <v>44.914999999999999</v>
      </c>
      <c r="G115" s="18">
        <v>7.27</v>
      </c>
      <c r="H115" s="18">
        <f t="shared" si="4"/>
        <v>44.745000000000005</v>
      </c>
      <c r="I115" s="5"/>
      <c r="J115" s="17">
        <v>583.77599999999995</v>
      </c>
      <c r="K115" s="18">
        <v>43.235599999999998</v>
      </c>
      <c r="L115" s="18">
        <v>45.235500000000002</v>
      </c>
      <c r="M115" s="18">
        <v>45.080399999999997</v>
      </c>
      <c r="N115" s="18">
        <v>9.5945999999999998</v>
      </c>
      <c r="O115" s="18">
        <f t="shared" si="5"/>
        <v>43.716187499999997</v>
      </c>
      <c r="P115" s="7"/>
      <c r="Q115" s="10"/>
      <c r="R115" s="11"/>
      <c r="S115" s="11"/>
      <c r="T115" s="26"/>
      <c r="U115" s="28">
        <f t="shared" si="3"/>
        <v>0.31975240715268233</v>
      </c>
    </row>
    <row r="116" spans="2:21" ht="16.5" thickBot="1" x14ac:dyDescent="0.3">
      <c r="B116" s="12"/>
      <c r="C116" s="19">
        <v>426.61</v>
      </c>
      <c r="D116" s="20">
        <v>39.256</v>
      </c>
      <c r="E116" s="20">
        <v>41.000999999999998</v>
      </c>
      <c r="F116" s="20">
        <v>40.536999999999999</v>
      </c>
      <c r="G116" s="20">
        <v>9.44</v>
      </c>
      <c r="H116" s="20">
        <f t="shared" si="4"/>
        <v>39.634249999999994</v>
      </c>
      <c r="I116" s="5"/>
      <c r="J116" s="19">
        <v>298.95530000000002</v>
      </c>
      <c r="K116" s="20">
        <v>38.643700000000003</v>
      </c>
      <c r="L116" s="20">
        <v>41.618600000000001</v>
      </c>
      <c r="M116" s="20">
        <v>41.395400000000002</v>
      </c>
      <c r="N116" s="20">
        <v>13.861599999999999</v>
      </c>
      <c r="O116" s="20">
        <f t="shared" si="5"/>
        <v>39.359525000000005</v>
      </c>
      <c r="P116" s="7"/>
      <c r="Q116" s="13"/>
      <c r="R116" s="14"/>
      <c r="S116" s="14"/>
      <c r="T116" s="27"/>
      <c r="U116" s="28">
        <f t="shared" si="3"/>
        <v>0.46838983050847455</v>
      </c>
    </row>
    <row r="117" spans="2:21" x14ac:dyDescent="0.25">
      <c r="B117" s="6" t="s">
        <v>104</v>
      </c>
      <c r="C117" s="15">
        <v>2737.21</v>
      </c>
      <c r="D117" s="16">
        <v>51.828000000000003</v>
      </c>
      <c r="E117" s="16">
        <v>52.777999999999999</v>
      </c>
      <c r="F117" s="16">
        <v>53.043999999999997</v>
      </c>
      <c r="G117" s="16">
        <v>5.97</v>
      </c>
      <c r="H117" s="16">
        <f t="shared" si="4"/>
        <v>52.098750000000003</v>
      </c>
      <c r="I117" s="5"/>
      <c r="J117" s="15">
        <v>1371.5779</v>
      </c>
      <c r="K117" s="16">
        <v>47.609400000000001</v>
      </c>
      <c r="L117" s="16">
        <v>50.289900000000003</v>
      </c>
      <c r="M117" s="16">
        <v>50.365200000000002</v>
      </c>
      <c r="N117" s="16">
        <v>8.0983000000000001</v>
      </c>
      <c r="O117" s="16">
        <f t="shared" si="5"/>
        <v>48.288937500000003</v>
      </c>
      <c r="P117" s="7"/>
      <c r="Q117" s="8">
        <f>bdrate(C117:C120,D117:D120,J117:J120,K117:K120)</f>
        <v>-0.28655962454494155</v>
      </c>
      <c r="R117" s="8">
        <f>bdrate(C117:C120,E117:E120,J117:J120,L117:L120)</f>
        <v>-0.40266307147661762</v>
      </c>
      <c r="S117" s="8">
        <f>bdrate(C117:C120,F117:F120,J117:J120,M117:M120)</f>
        <v>-0.40111326219181709</v>
      </c>
      <c r="T117" s="25">
        <f>bdrate(C117:C120,H117:H120,J117:J120,O117:O120)</f>
        <v>-0.31371909520258312</v>
      </c>
      <c r="U117" s="28">
        <f t="shared" si="3"/>
        <v>0.35649916247906205</v>
      </c>
    </row>
    <row r="118" spans="2:21" x14ac:dyDescent="0.25">
      <c r="B118" s="9"/>
      <c r="C118" s="17">
        <v>1807.39</v>
      </c>
      <c r="D118" s="18">
        <v>48.250999999999998</v>
      </c>
      <c r="E118" s="18">
        <v>49.631999999999998</v>
      </c>
      <c r="F118" s="18">
        <v>49.875</v>
      </c>
      <c r="G118" s="18">
        <v>6.2</v>
      </c>
      <c r="H118" s="18">
        <f t="shared" si="4"/>
        <v>48.626624999999997</v>
      </c>
      <c r="I118" s="5"/>
      <c r="J118" s="17">
        <v>952.62670000000003</v>
      </c>
      <c r="K118" s="18">
        <v>46.317799999999998</v>
      </c>
      <c r="L118" s="18">
        <v>49.261299999999999</v>
      </c>
      <c r="M118" s="18">
        <v>49.348599999999998</v>
      </c>
      <c r="N118" s="18">
        <v>9.8728999999999996</v>
      </c>
      <c r="O118" s="18">
        <f t="shared" si="5"/>
        <v>47.064587499999995</v>
      </c>
      <c r="P118" s="7"/>
      <c r="Q118" s="10"/>
      <c r="R118" s="11"/>
      <c r="S118" s="11"/>
      <c r="T118" s="26"/>
      <c r="U118" s="28">
        <f t="shared" si="3"/>
        <v>0.59240322580645155</v>
      </c>
    </row>
    <row r="119" spans="2:21" x14ac:dyDescent="0.25">
      <c r="B119" s="9"/>
      <c r="C119" s="17">
        <v>1076.95</v>
      </c>
      <c r="D119" s="18">
        <v>44.610999999999997</v>
      </c>
      <c r="E119" s="18">
        <v>46.567</v>
      </c>
      <c r="F119" s="18">
        <v>46.802</v>
      </c>
      <c r="G119" s="18">
        <v>6.78</v>
      </c>
      <c r="H119" s="18">
        <f t="shared" si="4"/>
        <v>45.129375000000003</v>
      </c>
      <c r="I119" s="5"/>
      <c r="J119" s="17">
        <v>623.98490000000004</v>
      </c>
      <c r="K119" s="18">
        <v>43.230600000000003</v>
      </c>
      <c r="L119" s="18">
        <v>46.342700000000001</v>
      </c>
      <c r="M119" s="18">
        <v>46.622599999999998</v>
      </c>
      <c r="N119" s="18">
        <v>12.0092</v>
      </c>
      <c r="O119" s="18">
        <f t="shared" si="5"/>
        <v>44.043612499999995</v>
      </c>
      <c r="P119" s="7"/>
      <c r="Q119" s="10"/>
      <c r="R119" s="11"/>
      <c r="S119" s="11"/>
      <c r="T119" s="26"/>
      <c r="U119" s="28">
        <f t="shared" si="3"/>
        <v>0.77126843657817101</v>
      </c>
    </row>
    <row r="120" spans="2:21" ht="16.5" thickBot="1" x14ac:dyDescent="0.3">
      <c r="B120" s="12"/>
      <c r="C120" s="19">
        <v>497.87</v>
      </c>
      <c r="D120" s="20">
        <v>39.332000000000001</v>
      </c>
      <c r="E120" s="20">
        <v>41.866999999999997</v>
      </c>
      <c r="F120" s="20">
        <v>42.125999999999998</v>
      </c>
      <c r="G120" s="20">
        <v>8.36</v>
      </c>
      <c r="H120" s="20">
        <f t="shared" si="4"/>
        <v>39.998125000000002</v>
      </c>
      <c r="I120" s="5"/>
      <c r="J120" s="19">
        <v>352.17469999999997</v>
      </c>
      <c r="K120" s="20">
        <v>38.938099999999999</v>
      </c>
      <c r="L120" s="20">
        <v>42.594299999999997</v>
      </c>
      <c r="M120" s="20">
        <v>42.8857</v>
      </c>
      <c r="N120" s="20">
        <v>18.262799999999999</v>
      </c>
      <c r="O120" s="20">
        <f t="shared" si="5"/>
        <v>39.888574999999996</v>
      </c>
      <c r="P120" s="7"/>
      <c r="Q120" s="13"/>
      <c r="R120" s="14"/>
      <c r="S120" s="14"/>
      <c r="T120" s="27"/>
      <c r="U120" s="28">
        <f t="shared" si="3"/>
        <v>1.1845454545454546</v>
      </c>
    </row>
    <row r="121" spans="2:21" x14ac:dyDescent="0.25">
      <c r="B121" s="6" t="s">
        <v>105</v>
      </c>
      <c r="C121" s="29">
        <v>2129.65</v>
      </c>
      <c r="D121" s="30">
        <v>35.151000000000003</v>
      </c>
      <c r="E121" s="30">
        <v>38.011000000000003</v>
      </c>
      <c r="F121" s="30">
        <v>36.963000000000001</v>
      </c>
      <c r="G121" s="16">
        <v>3.95</v>
      </c>
      <c r="H121" s="16">
        <f t="shared" si="4"/>
        <v>35.734999999999999</v>
      </c>
      <c r="I121" s="5"/>
      <c r="J121" s="29">
        <v>1511.2566999999999</v>
      </c>
      <c r="K121" s="30">
        <v>33.836399999999998</v>
      </c>
      <c r="L121" s="30">
        <v>38.158900000000003</v>
      </c>
      <c r="M121" s="30">
        <v>36.990499999999997</v>
      </c>
      <c r="N121" s="16">
        <v>5.0712000000000002</v>
      </c>
      <c r="O121" s="16">
        <f t="shared" si="5"/>
        <v>34.770975</v>
      </c>
      <c r="P121" s="7"/>
      <c r="Q121" s="8">
        <f>bdrate(C121:C124,D121:D124,J121:J124,K121:K124)</f>
        <v>-0.2016422551339796</v>
      </c>
      <c r="R121" s="8">
        <f>bdrate(C121:C124,E121:E124,J121:J124,L121:L124)</f>
        <v>-0.39397691935605517</v>
      </c>
      <c r="S121" s="8">
        <f>bdrate(C121:C124,F121:F124,J121:J124,M121:M124)</f>
        <v>-0.36869144326091829</v>
      </c>
      <c r="T121" s="25">
        <f>bdrate(C121:C124,H121:H124,J121:J124,O121:O124)</f>
        <v>-0.23247567161635208</v>
      </c>
      <c r="U121" s="28">
        <f t="shared" si="3"/>
        <v>0.28384810126582277</v>
      </c>
    </row>
    <row r="122" spans="2:21" x14ac:dyDescent="0.25">
      <c r="B122" s="9"/>
      <c r="C122" s="31">
        <v>1413.54</v>
      </c>
      <c r="D122" s="32">
        <v>32.976999999999997</v>
      </c>
      <c r="E122" s="32">
        <v>36.677</v>
      </c>
      <c r="F122" s="32">
        <v>35.56</v>
      </c>
      <c r="G122" s="18">
        <v>4.4000000000000004</v>
      </c>
      <c r="H122" s="18">
        <f t="shared" si="4"/>
        <v>33.762374999999992</v>
      </c>
      <c r="I122" s="5"/>
      <c r="J122" s="31">
        <v>1010.1383</v>
      </c>
      <c r="K122" s="32">
        <v>31.947099999999999</v>
      </c>
      <c r="L122" s="32">
        <v>37.043700000000001</v>
      </c>
      <c r="M122" s="32">
        <v>35.8324</v>
      </c>
      <c r="N122" s="18">
        <v>6.0801999999999996</v>
      </c>
      <c r="O122" s="18">
        <f t="shared" si="5"/>
        <v>33.069837499999998</v>
      </c>
      <c r="P122" s="7"/>
      <c r="Q122" s="10"/>
      <c r="R122" s="11"/>
      <c r="S122" s="11"/>
      <c r="T122" s="26"/>
      <c r="U122" s="28">
        <f t="shared" si="3"/>
        <v>0.38186363636363618</v>
      </c>
    </row>
    <row r="123" spans="2:21" x14ac:dyDescent="0.25">
      <c r="B123" s="9"/>
      <c r="C123" s="31">
        <v>850.95</v>
      </c>
      <c r="D123" s="32">
        <v>30.199000000000002</v>
      </c>
      <c r="E123" s="32">
        <v>35.215000000000003</v>
      </c>
      <c r="F123" s="32">
        <v>34.006999999999998</v>
      </c>
      <c r="G123" s="18">
        <v>5.18</v>
      </c>
      <c r="H123" s="18">
        <f t="shared" si="4"/>
        <v>31.302000000000003</v>
      </c>
      <c r="I123" s="5"/>
      <c r="J123" s="31">
        <v>605.46410000000003</v>
      </c>
      <c r="K123" s="32">
        <v>29.645299999999999</v>
      </c>
      <c r="L123" s="32">
        <v>35.7256</v>
      </c>
      <c r="M123" s="32">
        <v>34.430799999999998</v>
      </c>
      <c r="N123" s="18">
        <v>7.8993000000000002</v>
      </c>
      <c r="O123" s="18">
        <f t="shared" si="5"/>
        <v>31.003525</v>
      </c>
      <c r="P123" s="7"/>
      <c r="Q123" s="10"/>
      <c r="R123" s="11"/>
      <c r="S123" s="11"/>
      <c r="T123" s="26"/>
      <c r="U123" s="28">
        <f t="shared" si="3"/>
        <v>0.52496138996139008</v>
      </c>
    </row>
    <row r="124" spans="2:21" ht="16.5" thickBot="1" x14ac:dyDescent="0.3">
      <c r="B124" s="12"/>
      <c r="C124" s="33">
        <v>395.53</v>
      </c>
      <c r="D124" s="34">
        <v>26.006</v>
      </c>
      <c r="E124" s="34">
        <v>33.354999999999997</v>
      </c>
      <c r="F124" s="34">
        <v>31.963000000000001</v>
      </c>
      <c r="G124" s="20">
        <v>7.34</v>
      </c>
      <c r="H124" s="20">
        <f t="shared" si="4"/>
        <v>27.669249999999998</v>
      </c>
      <c r="I124" s="5"/>
      <c r="J124" s="33">
        <v>304.346</v>
      </c>
      <c r="K124" s="34">
        <v>27.040400000000002</v>
      </c>
      <c r="L124" s="34">
        <v>34.0593</v>
      </c>
      <c r="M124" s="34">
        <v>32.642099999999999</v>
      </c>
      <c r="N124" s="20">
        <v>11.399800000000001</v>
      </c>
      <c r="O124" s="20">
        <f t="shared" si="5"/>
        <v>28.617975000000001</v>
      </c>
      <c r="P124" s="7"/>
      <c r="Q124" s="13"/>
      <c r="R124" s="14"/>
      <c r="S124" s="14"/>
      <c r="T124" s="27"/>
      <c r="U124" s="28">
        <f t="shared" si="3"/>
        <v>0.5531062670299729</v>
      </c>
    </row>
    <row r="125" spans="2:21" ht="16.5" thickBot="1" x14ac:dyDescent="0.3">
      <c r="B125" s="22" t="s">
        <v>164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-0.30579497154618845</v>
      </c>
      <c r="R125" s="21">
        <f>AVERAGE(R9:R124)</f>
        <v>-0.53557522474649744</v>
      </c>
      <c r="S125" s="21">
        <f>AVERAGE(S9:S124)</f>
        <v>-0.53602346137454537</v>
      </c>
      <c r="T125" s="21">
        <f>AVERAGE(T9:T124)</f>
        <v>-0.35314587776008821</v>
      </c>
      <c r="U125" s="21">
        <f>AVERAGE(U9:U124)</f>
        <v>0.83274757509759245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753" priority="33" operator="greaterThan">
      <formula>0.03</formula>
    </cfRule>
    <cfRule type="cellIs" dxfId="752" priority="34" stopIfTrue="1" operator="lessThan">
      <formula>-0.03</formula>
    </cfRule>
  </conditionalFormatting>
  <conditionalFormatting sqref="Q33:T36">
    <cfRule type="cellIs" dxfId="751" priority="31" operator="greaterThan">
      <formula>0.03</formula>
    </cfRule>
    <cfRule type="cellIs" dxfId="750" priority="32" stopIfTrue="1" operator="lessThan">
      <formula>-0.03</formula>
    </cfRule>
  </conditionalFormatting>
  <conditionalFormatting sqref="Q45:T48 Q61:T64">
    <cfRule type="cellIs" dxfId="749" priority="29" operator="greaterThan">
      <formula>0.03</formula>
    </cfRule>
    <cfRule type="cellIs" dxfId="748" priority="30" stopIfTrue="1" operator="lessThan">
      <formula>-0.03</formula>
    </cfRule>
  </conditionalFormatting>
  <conditionalFormatting sqref="Q49:T60">
    <cfRule type="cellIs" dxfId="747" priority="27" operator="greaterThan">
      <formula>0.03</formula>
    </cfRule>
    <cfRule type="cellIs" dxfId="746" priority="28" stopIfTrue="1" operator="lessThan">
      <formula>-0.03</formula>
    </cfRule>
  </conditionalFormatting>
  <conditionalFormatting sqref="Q69:T76">
    <cfRule type="cellIs" dxfId="745" priority="25" operator="greaterThan">
      <formula>0.03</formula>
    </cfRule>
    <cfRule type="cellIs" dxfId="744" priority="26" stopIfTrue="1" operator="lessThan">
      <formula>-0.03</formula>
    </cfRule>
  </conditionalFormatting>
  <conditionalFormatting sqref="Q65:T68">
    <cfRule type="cellIs" dxfId="743" priority="23" operator="greaterThan">
      <formula>0.03</formula>
    </cfRule>
    <cfRule type="cellIs" dxfId="742" priority="24" stopIfTrue="1" operator="lessThan">
      <formula>-0.03</formula>
    </cfRule>
  </conditionalFormatting>
  <conditionalFormatting sqref="Q77:T80">
    <cfRule type="cellIs" dxfId="741" priority="21" operator="greaterThan">
      <formula>0.03</formula>
    </cfRule>
    <cfRule type="cellIs" dxfId="740" priority="22" stopIfTrue="1" operator="lessThan">
      <formula>-0.03</formula>
    </cfRule>
  </conditionalFormatting>
  <conditionalFormatting sqref="Q21:T28">
    <cfRule type="cellIs" dxfId="739" priority="19" operator="greaterThan">
      <formula>0.03</formula>
    </cfRule>
    <cfRule type="cellIs" dxfId="738" priority="20" stopIfTrue="1" operator="lessThan">
      <formula>-0.03</formula>
    </cfRule>
  </conditionalFormatting>
  <conditionalFormatting sqref="Q117:T117">
    <cfRule type="cellIs" dxfId="737" priority="3" operator="greaterThan">
      <formula>0.03</formula>
    </cfRule>
    <cfRule type="cellIs" dxfId="736" priority="4" stopIfTrue="1" operator="lessThan">
      <formula>-0.03</formula>
    </cfRule>
  </conditionalFormatting>
  <conditionalFormatting sqref="Q93:T96 Q101:T108 Q81:T84">
    <cfRule type="cellIs" dxfId="735" priority="17" operator="greaterThan">
      <formula>0.03</formula>
    </cfRule>
    <cfRule type="cellIs" dxfId="734" priority="18" stopIfTrue="1" operator="lessThan">
      <formula>-0.03</formula>
    </cfRule>
  </conditionalFormatting>
  <conditionalFormatting sqref="Q97:T100">
    <cfRule type="cellIs" dxfId="733" priority="15" operator="greaterThan">
      <formula>0.03</formula>
    </cfRule>
    <cfRule type="cellIs" dxfId="732" priority="16" stopIfTrue="1" operator="lessThan">
      <formula>-0.03</formula>
    </cfRule>
  </conditionalFormatting>
  <conditionalFormatting sqref="Q110:T112 Q122:T124">
    <cfRule type="cellIs" dxfId="731" priority="13" operator="greaterThan">
      <formula>0.03</formula>
    </cfRule>
    <cfRule type="cellIs" dxfId="730" priority="14" stopIfTrue="1" operator="lessThan">
      <formula>-0.03</formula>
    </cfRule>
  </conditionalFormatting>
  <conditionalFormatting sqref="Q114:T116 Q118:T120">
    <cfRule type="cellIs" dxfId="729" priority="11" operator="greaterThan">
      <formula>0.03</formula>
    </cfRule>
    <cfRule type="cellIs" dxfId="728" priority="12" stopIfTrue="1" operator="lessThan">
      <formula>-0.03</formula>
    </cfRule>
  </conditionalFormatting>
  <conditionalFormatting sqref="Q85:T92">
    <cfRule type="cellIs" dxfId="727" priority="9" operator="greaterThan">
      <formula>0.03</formula>
    </cfRule>
    <cfRule type="cellIs" dxfId="726" priority="10" stopIfTrue="1" operator="lessThan">
      <formula>-0.03</formula>
    </cfRule>
  </conditionalFormatting>
  <conditionalFormatting sqref="Q109:T109">
    <cfRule type="cellIs" dxfId="725" priority="7" operator="greaterThan">
      <formula>0.03</formula>
    </cfRule>
    <cfRule type="cellIs" dxfId="724" priority="8" stopIfTrue="1" operator="lessThan">
      <formula>-0.03</formula>
    </cfRule>
  </conditionalFormatting>
  <conditionalFormatting sqref="Q113:T113">
    <cfRule type="cellIs" dxfId="723" priority="5" operator="greaterThan">
      <formula>0.03</formula>
    </cfRule>
    <cfRule type="cellIs" dxfId="722" priority="6" stopIfTrue="1" operator="lessThan">
      <formula>-0.03</formula>
    </cfRule>
  </conditionalFormatting>
  <conditionalFormatting sqref="Q121:T121">
    <cfRule type="cellIs" dxfId="721" priority="1" operator="greaterThan">
      <formula>0.03</formula>
    </cfRule>
    <cfRule type="cellIs" dxfId="720" priority="2" stopIfTrue="1" operator="lessThan">
      <formula>-0.03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166</v>
      </c>
    </row>
    <row r="2" spans="1:21" x14ac:dyDescent="0.25">
      <c r="A2" t="s">
        <v>82</v>
      </c>
    </row>
    <row r="3" spans="1:21" x14ac:dyDescent="0.25">
      <c r="A3" t="s">
        <v>122</v>
      </c>
    </row>
    <row r="4" spans="1:21" x14ac:dyDescent="0.25">
      <c r="A4" t="s">
        <v>81</v>
      </c>
    </row>
    <row r="5" spans="1:21" s="35" customFormat="1" ht="15.75" customHeight="1" x14ac:dyDescent="0.25">
      <c r="B5" s="61" t="s">
        <v>29</v>
      </c>
      <c r="C5" s="63" t="s">
        <v>195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66</v>
      </c>
      <c r="D7" s="70"/>
      <c r="E7" s="70"/>
      <c r="F7" s="70"/>
      <c r="G7" s="70"/>
      <c r="H7" s="70"/>
      <c r="I7" s="5"/>
      <c r="J7" s="69" t="s">
        <v>177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3857.66</v>
      </c>
      <c r="D9" s="16">
        <v>36.154000000000003</v>
      </c>
      <c r="E9" s="16">
        <v>38.130000000000003</v>
      </c>
      <c r="F9" s="16">
        <v>40.404000000000003</v>
      </c>
      <c r="G9" s="16">
        <v>11.61</v>
      </c>
      <c r="H9" s="16">
        <f t="shared" ref="H9:H80" si="0">(6*D9+E9+F9)/8</f>
        <v>36.932250000000003</v>
      </c>
      <c r="I9" s="5"/>
      <c r="J9" s="15">
        <v>4058.9823999999999</v>
      </c>
      <c r="K9" s="16">
        <v>37.585500000000003</v>
      </c>
      <c r="L9" s="16">
        <v>39.415700000000001</v>
      </c>
      <c r="M9" s="16">
        <v>41.8825</v>
      </c>
      <c r="N9" s="16">
        <v>25.7776</v>
      </c>
      <c r="O9" s="16">
        <f t="shared" ref="O9:O80" si="1">(6*K9+L9+M9)/8</f>
        <v>38.351400000000005</v>
      </c>
      <c r="P9" s="7"/>
      <c r="Q9" s="8">
        <f>bdrate(C9:C12,D9:D12,J9:J12,K9:K12)</f>
        <v>-0.21661082357627615</v>
      </c>
      <c r="R9" s="8">
        <f>bdrate(C9:C12,E9:E12,J9:J12,L9:L12)</f>
        <v>-0.46800021616883247</v>
      </c>
      <c r="S9" s="8">
        <f>bdrate(C9:C12,F9:F12,J9:J12,M9:M12)</f>
        <v>-0.4550312771593219</v>
      </c>
      <c r="T9" s="25">
        <f>bdrate(C9:C12,H9:H12,J9:J12,O9:O12)</f>
        <v>-0.25070257023119558</v>
      </c>
      <c r="U9" s="28">
        <f t="shared" ref="U9:U72" si="2">(N9-G9)/G9</f>
        <v>1.2202928509905255</v>
      </c>
    </row>
    <row r="10" spans="1:21" x14ac:dyDescent="0.25">
      <c r="A10" s="9" t="s">
        <v>36</v>
      </c>
      <c r="B10" s="9"/>
      <c r="C10" s="17">
        <v>2859.39</v>
      </c>
      <c r="D10" s="18">
        <v>35.261000000000003</v>
      </c>
      <c r="E10" s="18">
        <v>37.652999999999999</v>
      </c>
      <c r="F10" s="18">
        <v>39.957999999999998</v>
      </c>
      <c r="G10" s="18">
        <v>13.05</v>
      </c>
      <c r="H10" s="18">
        <f t="shared" si="0"/>
        <v>36.147125000000003</v>
      </c>
      <c r="I10" s="5"/>
      <c r="J10" s="17">
        <v>2921.9151999999999</v>
      </c>
      <c r="K10" s="18">
        <v>36.564300000000003</v>
      </c>
      <c r="L10" s="18">
        <v>38.825800000000001</v>
      </c>
      <c r="M10" s="18">
        <v>41.169600000000003</v>
      </c>
      <c r="N10" s="18">
        <v>28.9575</v>
      </c>
      <c r="O10" s="18">
        <f t="shared" si="1"/>
        <v>37.422650000000004</v>
      </c>
      <c r="P10" s="7"/>
      <c r="Q10" s="10"/>
      <c r="R10" s="11"/>
      <c r="S10" s="11"/>
      <c r="T10" s="26"/>
      <c r="U10" s="28">
        <f t="shared" si="2"/>
        <v>1.2189655172413791</v>
      </c>
    </row>
    <row r="11" spans="1:21" x14ac:dyDescent="0.25">
      <c r="B11" s="9"/>
      <c r="C11" s="17">
        <v>1882.88</v>
      </c>
      <c r="D11" s="18">
        <v>34.024000000000001</v>
      </c>
      <c r="E11" s="18">
        <v>37.143000000000001</v>
      </c>
      <c r="F11" s="18">
        <v>39.444000000000003</v>
      </c>
      <c r="G11" s="18">
        <v>14.79</v>
      </c>
      <c r="H11" s="18">
        <f t="shared" si="0"/>
        <v>35.091374999999999</v>
      </c>
      <c r="I11" s="5"/>
      <c r="J11" s="17">
        <v>1945.9232</v>
      </c>
      <c r="K11" s="18">
        <v>35.019199999999998</v>
      </c>
      <c r="L11" s="18">
        <v>38.162199999999999</v>
      </c>
      <c r="M11" s="18">
        <v>40.474600000000002</v>
      </c>
      <c r="N11" s="18">
        <v>33.982799999999997</v>
      </c>
      <c r="O11" s="18">
        <f t="shared" si="1"/>
        <v>36.094000000000001</v>
      </c>
      <c r="P11" s="7"/>
      <c r="Q11" s="10"/>
      <c r="R11" s="11"/>
      <c r="S11" s="11"/>
      <c r="T11" s="26"/>
      <c r="U11" s="28">
        <f t="shared" si="2"/>
        <v>1.2976876267748478</v>
      </c>
    </row>
    <row r="12" spans="1:21" ht="16.5" thickBot="1" x14ac:dyDescent="0.3">
      <c r="B12" s="12"/>
      <c r="C12" s="19">
        <v>886.87</v>
      </c>
      <c r="D12" s="20">
        <v>31.638000000000002</v>
      </c>
      <c r="E12" s="20">
        <v>36.494</v>
      </c>
      <c r="F12" s="20">
        <v>38.743000000000002</v>
      </c>
      <c r="G12" s="20">
        <v>17.91</v>
      </c>
      <c r="H12" s="20">
        <f t="shared" si="0"/>
        <v>33.133125</v>
      </c>
      <c r="I12" s="5"/>
      <c r="J12" s="19">
        <v>916.40319999999997</v>
      </c>
      <c r="K12" s="20">
        <v>32.1372</v>
      </c>
      <c r="L12" s="20">
        <v>36.864800000000002</v>
      </c>
      <c r="M12" s="20">
        <v>39.103999999999999</v>
      </c>
      <c r="N12" s="20">
        <v>44.313099999999999</v>
      </c>
      <c r="O12" s="20">
        <f t="shared" si="1"/>
        <v>33.598999999999997</v>
      </c>
      <c r="P12" s="7"/>
      <c r="Q12" s="13"/>
      <c r="R12" s="14"/>
      <c r="S12" s="14"/>
      <c r="T12" s="27"/>
      <c r="U12" s="28">
        <f t="shared" si="2"/>
        <v>1.4742099385817977</v>
      </c>
    </row>
    <row r="13" spans="1:21" x14ac:dyDescent="0.25">
      <c r="B13" s="6" t="s">
        <v>47</v>
      </c>
      <c r="C13" s="15">
        <v>4091.06</v>
      </c>
      <c r="D13" s="16">
        <v>28.952000000000002</v>
      </c>
      <c r="E13" s="16">
        <v>38.279000000000003</v>
      </c>
      <c r="F13" s="16">
        <v>39.305</v>
      </c>
      <c r="G13" s="16">
        <v>8.11</v>
      </c>
      <c r="H13" s="16">
        <f t="shared" si="0"/>
        <v>31.412000000000003</v>
      </c>
      <c r="I13" s="5"/>
      <c r="J13" s="15">
        <v>4065.6080000000002</v>
      </c>
      <c r="K13" s="16">
        <v>29.096</v>
      </c>
      <c r="L13" s="16">
        <v>39.217300000000002</v>
      </c>
      <c r="M13" s="16">
        <v>40.177199999999999</v>
      </c>
      <c r="N13" s="16">
        <v>19.040400000000002</v>
      </c>
      <c r="O13" s="16">
        <f t="shared" si="1"/>
        <v>31.746312499999998</v>
      </c>
      <c r="P13" s="7"/>
      <c r="Q13" s="8">
        <f>bdrate(C13:C16,D13:D16,J13:J16,K13:K16)</f>
        <v>2.4755301692274134E-3</v>
      </c>
      <c r="R13" s="8">
        <f>bdrate(C13:C16,E13:E16,J13:J16,L13:L16)</f>
        <v>-0.41285755045645878</v>
      </c>
      <c r="S13" s="8">
        <f>bdrate(C13:C16,F13:F16,J13:J16,M13:M16)</f>
        <v>-0.43179123252557983</v>
      </c>
      <c r="T13" s="25">
        <f>bdrate(C13:C16,H13:H16,J13:J16,O13:O16)</f>
        <v>-7.1214752022025651E-2</v>
      </c>
      <c r="U13" s="28">
        <f t="shared" si="2"/>
        <v>1.347768187422935</v>
      </c>
    </row>
    <row r="14" spans="1:21" x14ac:dyDescent="0.25">
      <c r="B14" s="9"/>
      <c r="C14" s="17">
        <v>3041.3</v>
      </c>
      <c r="D14" s="18">
        <v>27.774000000000001</v>
      </c>
      <c r="E14" s="18">
        <v>37.781999999999996</v>
      </c>
      <c r="F14" s="18">
        <v>38.831000000000003</v>
      </c>
      <c r="G14" s="18">
        <v>9.08</v>
      </c>
      <c r="H14" s="18">
        <f t="shared" si="0"/>
        <v>30.407125000000001</v>
      </c>
      <c r="I14" s="5"/>
      <c r="J14" s="17">
        <v>3037.0992000000001</v>
      </c>
      <c r="K14" s="18">
        <v>27.774699999999999</v>
      </c>
      <c r="L14" s="18">
        <v>38.736600000000003</v>
      </c>
      <c r="M14" s="18">
        <v>39.744399999999999</v>
      </c>
      <c r="N14" s="18">
        <v>22.055599999999998</v>
      </c>
      <c r="O14" s="18">
        <f t="shared" si="1"/>
        <v>30.641150000000003</v>
      </c>
      <c r="P14" s="7"/>
      <c r="Q14" s="10"/>
      <c r="R14" s="11"/>
      <c r="S14" s="11"/>
      <c r="T14" s="26"/>
      <c r="U14" s="28">
        <f t="shared" si="2"/>
        <v>1.4290308370044051</v>
      </c>
    </row>
    <row r="15" spans="1:21" x14ac:dyDescent="0.25">
      <c r="B15" s="9"/>
      <c r="C15" s="17">
        <v>2013.28</v>
      </c>
      <c r="D15" s="18">
        <v>26.129000000000001</v>
      </c>
      <c r="E15" s="18">
        <v>36.71</v>
      </c>
      <c r="F15" s="18">
        <v>37.887999999999998</v>
      </c>
      <c r="G15" s="18">
        <v>10.8</v>
      </c>
      <c r="H15" s="18">
        <f t="shared" si="0"/>
        <v>28.921500000000002</v>
      </c>
      <c r="I15" s="5"/>
      <c r="J15" s="17">
        <v>2015.5568000000001</v>
      </c>
      <c r="K15" s="18">
        <v>25.9907</v>
      </c>
      <c r="L15" s="18">
        <v>38.021700000000003</v>
      </c>
      <c r="M15" s="18">
        <v>39.135399999999997</v>
      </c>
      <c r="N15" s="18">
        <v>28.2805</v>
      </c>
      <c r="O15" s="18">
        <f t="shared" si="1"/>
        <v>29.137662500000001</v>
      </c>
      <c r="P15" s="7"/>
      <c r="Q15" s="10"/>
      <c r="R15" s="11"/>
      <c r="S15" s="11"/>
      <c r="T15" s="26"/>
      <c r="U15" s="28">
        <f t="shared" si="2"/>
        <v>1.6185648148148146</v>
      </c>
    </row>
    <row r="16" spans="1:21" ht="16.5" thickBot="1" x14ac:dyDescent="0.3">
      <c r="B16" s="12"/>
      <c r="C16" s="19">
        <v>1023.1</v>
      </c>
      <c r="D16" s="20">
        <v>23.209</v>
      </c>
      <c r="E16" s="20">
        <v>35.368000000000002</v>
      </c>
      <c r="F16" s="20">
        <v>36.598999999999997</v>
      </c>
      <c r="G16" s="20">
        <v>13.89</v>
      </c>
      <c r="H16" s="20">
        <f t="shared" si="0"/>
        <v>26.402624999999997</v>
      </c>
      <c r="I16" s="5"/>
      <c r="J16" s="19">
        <v>1122.6976</v>
      </c>
      <c r="K16" s="20">
        <v>23.915800000000001</v>
      </c>
      <c r="L16" s="20">
        <v>36.488799999999998</v>
      </c>
      <c r="M16" s="20">
        <v>37.700400000000002</v>
      </c>
      <c r="N16" s="20">
        <v>36.014400000000002</v>
      </c>
      <c r="O16" s="20">
        <f t="shared" si="1"/>
        <v>27.2105</v>
      </c>
      <c r="P16" s="7"/>
      <c r="Q16" s="13"/>
      <c r="R16" s="14"/>
      <c r="S16" s="14"/>
      <c r="T16" s="27"/>
      <c r="U16" s="28">
        <f t="shared" si="2"/>
        <v>1.592829373650108</v>
      </c>
    </row>
    <row r="17" spans="1:21" x14ac:dyDescent="0.25">
      <c r="A17" s="6" t="s">
        <v>37</v>
      </c>
      <c r="B17" s="6" t="s">
        <v>48</v>
      </c>
      <c r="C17" s="15">
        <v>2020.19</v>
      </c>
      <c r="D17" s="16">
        <v>38.427</v>
      </c>
      <c r="E17" s="16">
        <v>41.067</v>
      </c>
      <c r="F17" s="16">
        <v>42.21</v>
      </c>
      <c r="G17" s="16">
        <v>15.98</v>
      </c>
      <c r="H17" s="16">
        <f t="shared" si="0"/>
        <v>39.229875</v>
      </c>
      <c r="I17" s="5"/>
      <c r="J17" s="15">
        <v>2377.9312</v>
      </c>
      <c r="K17" s="16">
        <v>38.9178</v>
      </c>
      <c r="L17" s="16">
        <v>41.872100000000003</v>
      </c>
      <c r="M17" s="16">
        <v>43.188899999999997</v>
      </c>
      <c r="N17" s="16">
        <v>50.282800000000002</v>
      </c>
      <c r="O17" s="16">
        <f t="shared" si="1"/>
        <v>39.820974999999997</v>
      </c>
      <c r="P17" s="7"/>
      <c r="Q17" s="8">
        <f>bdrate(C17:C20,D17:D20,J17:J20,K17:K20)</f>
        <v>-7.9384349878965921E-3</v>
      </c>
      <c r="R17" s="8">
        <f>bdrate(C17:C20,E17:E20,J17:J20,L17:L20)</f>
        <v>-0.33899239914948354</v>
      </c>
      <c r="S17" s="8">
        <f>bdrate(C17:C20,F17:F20,J17:J20,M17:M20)</f>
        <v>-0.35427251762099754</v>
      </c>
      <c r="T17" s="25">
        <f>bdrate(C17:C20,H17:H20,J17:J20,O17:O20)</f>
        <v>-6.4574757557905982E-2</v>
      </c>
      <c r="U17" s="28">
        <f t="shared" si="2"/>
        <v>2.1466082603254071</v>
      </c>
    </row>
    <row r="18" spans="1:21" x14ac:dyDescent="0.25">
      <c r="A18" s="9" t="s">
        <v>38</v>
      </c>
      <c r="B18" s="9"/>
      <c r="C18" s="17">
        <v>1320.52</v>
      </c>
      <c r="D18" s="18">
        <v>37.113</v>
      </c>
      <c r="E18" s="18">
        <v>40.229999999999997</v>
      </c>
      <c r="F18" s="18">
        <v>41.363999999999997</v>
      </c>
      <c r="G18" s="18">
        <v>18.760000000000002</v>
      </c>
      <c r="H18" s="18">
        <f t="shared" si="0"/>
        <v>38.033999999999999</v>
      </c>
      <c r="I18" s="5"/>
      <c r="J18" s="17">
        <v>1572.5976000000001</v>
      </c>
      <c r="K18" s="18">
        <v>37.6785</v>
      </c>
      <c r="L18" s="18">
        <v>41.195300000000003</v>
      </c>
      <c r="M18" s="18">
        <v>42.41</v>
      </c>
      <c r="N18" s="18">
        <v>56.153500000000001</v>
      </c>
      <c r="O18" s="18">
        <f t="shared" si="1"/>
        <v>38.709537499999996</v>
      </c>
      <c r="P18" s="7"/>
      <c r="Q18" s="10"/>
      <c r="R18" s="11"/>
      <c r="S18" s="11"/>
      <c r="T18" s="26"/>
      <c r="U18" s="28">
        <f t="shared" si="2"/>
        <v>1.9932569296375267</v>
      </c>
    </row>
    <row r="19" spans="1:21" x14ac:dyDescent="0.25">
      <c r="B19" s="9"/>
      <c r="C19" s="17">
        <v>807.94</v>
      </c>
      <c r="D19" s="18">
        <v>35.459000000000003</v>
      </c>
      <c r="E19" s="18">
        <v>39.409999999999997</v>
      </c>
      <c r="F19" s="18">
        <v>40.652999999999999</v>
      </c>
      <c r="G19" s="18">
        <v>22.36</v>
      </c>
      <c r="H19" s="18">
        <f t="shared" si="0"/>
        <v>36.602125000000001</v>
      </c>
      <c r="I19" s="5"/>
      <c r="J19" s="17">
        <v>962.66639999999995</v>
      </c>
      <c r="K19" s="18">
        <v>36.082700000000003</v>
      </c>
      <c r="L19" s="18">
        <v>40.391800000000003</v>
      </c>
      <c r="M19" s="18">
        <v>41.5623</v>
      </c>
      <c r="N19" s="18">
        <v>64.360399999999998</v>
      </c>
      <c r="O19" s="18">
        <f t="shared" si="1"/>
        <v>37.306287500000003</v>
      </c>
      <c r="P19" s="7"/>
      <c r="Q19" s="10"/>
      <c r="R19" s="11"/>
      <c r="S19" s="11"/>
      <c r="T19" s="26"/>
      <c r="U19" s="28">
        <f t="shared" si="2"/>
        <v>1.8783720930232559</v>
      </c>
    </row>
    <row r="20" spans="1:21" ht="16.5" thickBot="1" x14ac:dyDescent="0.3">
      <c r="B20" s="12"/>
      <c r="C20" s="19">
        <v>480.24</v>
      </c>
      <c r="D20" s="20">
        <v>33.645000000000003</v>
      </c>
      <c r="E20" s="20">
        <v>38.622999999999998</v>
      </c>
      <c r="F20" s="20">
        <v>40.037999999999997</v>
      </c>
      <c r="G20" s="20">
        <v>25.94</v>
      </c>
      <c r="H20" s="20">
        <f t="shared" si="0"/>
        <v>35.066375000000001</v>
      </c>
      <c r="I20" s="5"/>
      <c r="J20" s="19">
        <v>560.93280000000004</v>
      </c>
      <c r="K20" s="20">
        <v>34.255299999999998</v>
      </c>
      <c r="L20" s="20">
        <v>39.650500000000001</v>
      </c>
      <c r="M20" s="20">
        <v>40.861400000000003</v>
      </c>
      <c r="N20" s="20">
        <v>78.482699999999994</v>
      </c>
      <c r="O20" s="20">
        <f t="shared" si="1"/>
        <v>35.755462499999993</v>
      </c>
      <c r="P20" s="7"/>
      <c r="Q20" s="13"/>
      <c r="R20" s="14"/>
      <c r="S20" s="14"/>
      <c r="T20" s="27"/>
      <c r="U20" s="28">
        <f t="shared" si="2"/>
        <v>2.0255474171164223</v>
      </c>
    </row>
    <row r="21" spans="1:21" x14ac:dyDescent="0.25">
      <c r="B21" s="6" t="s">
        <v>49</v>
      </c>
      <c r="C21" s="15">
        <v>2295.88</v>
      </c>
      <c r="D21" s="16">
        <v>34.701999999999998</v>
      </c>
      <c r="E21" s="16">
        <v>38.478999999999999</v>
      </c>
      <c r="F21" s="16">
        <v>39.643999999999998</v>
      </c>
      <c r="G21" s="16">
        <v>19.649999999999999</v>
      </c>
      <c r="H21" s="16">
        <f t="shared" si="0"/>
        <v>35.791874999999997</v>
      </c>
      <c r="I21" s="5"/>
      <c r="J21" s="15">
        <v>2442.8368</v>
      </c>
      <c r="K21" s="16">
        <v>35.7211</v>
      </c>
      <c r="L21" s="16">
        <v>39.8065</v>
      </c>
      <c r="M21" s="16">
        <v>41.0351</v>
      </c>
      <c r="N21" s="16">
        <v>44.8598</v>
      </c>
      <c r="O21" s="16">
        <f t="shared" si="1"/>
        <v>36.896024999999995</v>
      </c>
      <c r="P21" s="7"/>
      <c r="Q21" s="8">
        <f>bdrate(C21:C24,D21:D24,J21:J24,K21:K24)</f>
        <v>-0.20051350877094176</v>
      </c>
      <c r="R21" s="8">
        <f>bdrate(C21:C24,E21:E24,J21:J24,L21:L24)</f>
        <v>-0.49519448780604591</v>
      </c>
      <c r="S21" s="8">
        <f>bdrate(C21:C24,F21:F24,J21:J24,M21:M24)</f>
        <v>-0.51544587861935487</v>
      </c>
      <c r="T21" s="25">
        <f>bdrate(C21:C24,H21:H24,J21:J24,O21:O24)</f>
        <v>-0.25586390822340055</v>
      </c>
      <c r="U21" s="28">
        <f t="shared" si="2"/>
        <v>1.2829414758269722</v>
      </c>
    </row>
    <row r="22" spans="1:21" x14ac:dyDescent="0.25">
      <c r="B22" s="9"/>
      <c r="C22" s="17">
        <v>1522.38</v>
      </c>
      <c r="D22" s="18">
        <v>33.531999999999996</v>
      </c>
      <c r="E22" s="18">
        <v>37.683</v>
      </c>
      <c r="F22" s="18">
        <v>39.064999999999998</v>
      </c>
      <c r="G22" s="18">
        <v>22.93</v>
      </c>
      <c r="H22" s="18">
        <f t="shared" si="0"/>
        <v>34.742499999999993</v>
      </c>
      <c r="I22" s="5"/>
      <c r="J22" s="17">
        <v>1662.2144000000001</v>
      </c>
      <c r="K22" s="18">
        <v>34.493000000000002</v>
      </c>
      <c r="L22" s="18">
        <v>39.086300000000001</v>
      </c>
      <c r="M22" s="18">
        <v>40.338000000000001</v>
      </c>
      <c r="N22" s="18">
        <v>52.504899999999999</v>
      </c>
      <c r="O22" s="18">
        <f t="shared" si="1"/>
        <v>35.797787500000005</v>
      </c>
      <c r="P22" s="7"/>
      <c r="Q22" s="10"/>
      <c r="R22" s="11"/>
      <c r="S22" s="11"/>
      <c r="T22" s="26"/>
      <c r="U22" s="28">
        <f t="shared" si="2"/>
        <v>1.2897906672481465</v>
      </c>
    </row>
    <row r="23" spans="1:21" x14ac:dyDescent="0.25">
      <c r="B23" s="9"/>
      <c r="C23" s="17">
        <v>950.08</v>
      </c>
      <c r="D23" s="18">
        <v>32.231000000000002</v>
      </c>
      <c r="E23" s="18">
        <v>36.929000000000002</v>
      </c>
      <c r="F23" s="18">
        <v>38.554000000000002</v>
      </c>
      <c r="G23" s="18">
        <v>26.12</v>
      </c>
      <c r="H23" s="18">
        <f t="shared" si="0"/>
        <v>33.608625000000004</v>
      </c>
      <c r="I23" s="5"/>
      <c r="J23" s="17">
        <v>1005.8712</v>
      </c>
      <c r="K23" s="18">
        <v>33.011400000000002</v>
      </c>
      <c r="L23" s="18">
        <v>38.168799999999997</v>
      </c>
      <c r="M23" s="18">
        <v>39.502899999999997</v>
      </c>
      <c r="N23" s="18">
        <v>62.7943</v>
      </c>
      <c r="O23" s="18">
        <f t="shared" si="1"/>
        <v>34.467512499999998</v>
      </c>
      <c r="P23" s="7"/>
      <c r="Q23" s="10"/>
      <c r="R23" s="11"/>
      <c r="S23" s="11"/>
      <c r="T23" s="26"/>
      <c r="U23" s="28">
        <f t="shared" si="2"/>
        <v>1.4040696784073508</v>
      </c>
    </row>
    <row r="24" spans="1:21" ht="16.5" thickBot="1" x14ac:dyDescent="0.3">
      <c r="B24" s="12"/>
      <c r="C24" s="19">
        <v>564.26</v>
      </c>
      <c r="D24" s="20">
        <v>30.81</v>
      </c>
      <c r="E24" s="20">
        <v>36.201999999999998</v>
      </c>
      <c r="F24" s="20">
        <v>38.063000000000002</v>
      </c>
      <c r="G24" s="20">
        <v>29.59</v>
      </c>
      <c r="H24" s="20">
        <f t="shared" si="0"/>
        <v>32.390625</v>
      </c>
      <c r="I24" s="5"/>
      <c r="J24" s="19">
        <v>585.22559999999999</v>
      </c>
      <c r="K24" s="20">
        <v>31.407499999999999</v>
      </c>
      <c r="L24" s="20">
        <v>37.2425</v>
      </c>
      <c r="M24" s="20">
        <v>38.762700000000002</v>
      </c>
      <c r="N24" s="20">
        <v>75.781499999999994</v>
      </c>
      <c r="O24" s="20">
        <f t="shared" si="1"/>
        <v>33.056274999999999</v>
      </c>
      <c r="P24" s="7"/>
      <c r="Q24" s="13"/>
      <c r="R24" s="14"/>
      <c r="S24" s="14"/>
      <c r="T24" s="27"/>
      <c r="U24" s="28">
        <f t="shared" si="2"/>
        <v>1.5610510307536327</v>
      </c>
    </row>
    <row r="25" spans="1:21" x14ac:dyDescent="0.25">
      <c r="B25" s="6" t="s">
        <v>50</v>
      </c>
      <c r="C25" s="15">
        <v>2390.2800000000002</v>
      </c>
      <c r="D25" s="16">
        <v>32.920999999999999</v>
      </c>
      <c r="E25" s="16">
        <v>37.292000000000002</v>
      </c>
      <c r="F25" s="16">
        <v>38.625999999999998</v>
      </c>
      <c r="G25" s="16">
        <v>23.79</v>
      </c>
      <c r="H25" s="16">
        <f t="shared" si="0"/>
        <v>34.180500000000002</v>
      </c>
      <c r="I25" s="5"/>
      <c r="J25" s="15">
        <v>2409.7224000000001</v>
      </c>
      <c r="K25" s="16">
        <v>33.836300000000001</v>
      </c>
      <c r="L25" s="16">
        <v>38.1267</v>
      </c>
      <c r="M25" s="16">
        <v>40.048400000000001</v>
      </c>
      <c r="N25" s="16">
        <v>62.484400000000001</v>
      </c>
      <c r="O25" s="16">
        <f t="shared" si="1"/>
        <v>35.149112500000001</v>
      </c>
      <c r="P25" s="7"/>
      <c r="Q25" s="8">
        <f>bdrate(C25:C28,D25:D28,J25:J28,K25:K28)</f>
        <v>-0.12448265374373235</v>
      </c>
      <c r="R25" s="8">
        <f>bdrate(C25:C28,E25:E28,J25:J28,L25:L28)</f>
        <v>-0.42634549739960548</v>
      </c>
      <c r="S25" s="8">
        <f>bdrate(C25:C28,F25:F28,J25:J28,M25:M28)</f>
        <v>-0.41634038078594093</v>
      </c>
      <c r="T25" s="25">
        <f>bdrate(C25:C28,H25:H28,J25:J28,O25:O28)</f>
        <v>-0.17798758093691835</v>
      </c>
      <c r="U25" s="28">
        <f t="shared" si="2"/>
        <v>1.6264985287936109</v>
      </c>
    </row>
    <row r="26" spans="1:21" x14ac:dyDescent="0.25">
      <c r="B26" s="9"/>
      <c r="C26" s="17">
        <v>1583.21</v>
      </c>
      <c r="D26" s="18">
        <v>31.888000000000002</v>
      </c>
      <c r="E26" s="18">
        <v>36.875999999999998</v>
      </c>
      <c r="F26" s="18">
        <v>37.972000000000001</v>
      </c>
      <c r="G26" s="18">
        <v>26.84</v>
      </c>
      <c r="H26" s="18">
        <f t="shared" si="0"/>
        <v>33.271999999999998</v>
      </c>
      <c r="I26" s="5"/>
      <c r="J26" s="17">
        <v>1606.556</v>
      </c>
      <c r="K26" s="18">
        <v>32.605499999999999</v>
      </c>
      <c r="L26" s="18">
        <v>37.658799999999999</v>
      </c>
      <c r="M26" s="18">
        <v>39.224499999999999</v>
      </c>
      <c r="N26" s="18">
        <v>73.844300000000004</v>
      </c>
      <c r="O26" s="18">
        <f t="shared" si="1"/>
        <v>34.064537499999993</v>
      </c>
      <c r="P26" s="7"/>
      <c r="Q26" s="10"/>
      <c r="R26" s="11"/>
      <c r="S26" s="11"/>
      <c r="T26" s="26"/>
      <c r="U26" s="28">
        <f t="shared" si="2"/>
        <v>1.7512779433681074</v>
      </c>
    </row>
    <row r="27" spans="1:21" x14ac:dyDescent="0.25">
      <c r="B27" s="9"/>
      <c r="C27" s="17">
        <v>978.4</v>
      </c>
      <c r="D27" s="18">
        <v>30.614000000000001</v>
      </c>
      <c r="E27" s="18">
        <v>36.335000000000001</v>
      </c>
      <c r="F27" s="18">
        <v>37.1</v>
      </c>
      <c r="G27" s="18">
        <v>29.84</v>
      </c>
      <c r="H27" s="18">
        <f t="shared" si="0"/>
        <v>32.139875000000004</v>
      </c>
      <c r="I27" s="5"/>
      <c r="J27" s="17">
        <v>1002.6904</v>
      </c>
      <c r="K27" s="18">
        <v>30.9574</v>
      </c>
      <c r="L27" s="18">
        <v>37.004100000000001</v>
      </c>
      <c r="M27" s="18">
        <v>38.144599999999997</v>
      </c>
      <c r="N27" s="18">
        <v>88.043700000000001</v>
      </c>
      <c r="O27" s="18">
        <f t="shared" si="1"/>
        <v>32.611637500000001</v>
      </c>
      <c r="P27" s="7"/>
      <c r="Q27" s="10"/>
      <c r="R27" s="11"/>
      <c r="S27" s="11"/>
      <c r="T27" s="26"/>
      <c r="U27" s="28">
        <f t="shared" si="2"/>
        <v>1.9505261394101876</v>
      </c>
    </row>
    <row r="28" spans="1:21" ht="16.5" thickBot="1" x14ac:dyDescent="0.3">
      <c r="B28" s="12"/>
      <c r="C28" s="19">
        <v>575.30999999999995</v>
      </c>
      <c r="D28" s="20">
        <v>29.02</v>
      </c>
      <c r="E28" s="20">
        <v>35.506999999999998</v>
      </c>
      <c r="F28" s="20">
        <v>35.840000000000003</v>
      </c>
      <c r="G28" s="20">
        <v>34.1</v>
      </c>
      <c r="H28" s="20">
        <f t="shared" si="0"/>
        <v>30.683375000000002</v>
      </c>
      <c r="I28" s="5"/>
      <c r="J28" s="19">
        <v>597.01520000000005</v>
      </c>
      <c r="K28" s="20">
        <v>29.245200000000001</v>
      </c>
      <c r="L28" s="20">
        <v>36.348300000000002</v>
      </c>
      <c r="M28" s="20">
        <v>37.083100000000002</v>
      </c>
      <c r="N28" s="20">
        <v>105.08620000000001</v>
      </c>
      <c r="O28" s="20">
        <f t="shared" si="1"/>
        <v>31.112825000000001</v>
      </c>
      <c r="P28" s="7"/>
      <c r="Q28" s="13"/>
      <c r="R28" s="14"/>
      <c r="S28" s="14"/>
      <c r="T28" s="27"/>
      <c r="U28" s="28">
        <f t="shared" si="2"/>
        <v>2.0817067448680349</v>
      </c>
    </row>
    <row r="29" spans="1:21" x14ac:dyDescent="0.25">
      <c r="B29" s="6" t="s">
        <v>51</v>
      </c>
      <c r="C29" s="29">
        <v>2401</v>
      </c>
      <c r="D29" s="30">
        <v>33.546999999999997</v>
      </c>
      <c r="E29" s="30">
        <v>39.5</v>
      </c>
      <c r="F29" s="30">
        <v>38.985999999999997</v>
      </c>
      <c r="G29" s="16">
        <v>21.28</v>
      </c>
      <c r="H29" s="16">
        <f t="shared" si="0"/>
        <v>34.970999999999997</v>
      </c>
      <c r="I29" s="5"/>
      <c r="J29" s="29">
        <v>2417.5832</v>
      </c>
      <c r="K29" s="30">
        <v>33.792400000000001</v>
      </c>
      <c r="L29" s="30">
        <v>40.195399999999999</v>
      </c>
      <c r="M29" s="30">
        <v>39.774000000000001</v>
      </c>
      <c r="N29" s="16">
        <v>54.5137</v>
      </c>
      <c r="O29" s="16">
        <f t="shared" si="1"/>
        <v>35.340474999999998</v>
      </c>
      <c r="P29" s="7"/>
      <c r="Q29" s="8">
        <f>bdrate(C29:C32,D29:D32,J29:J32,K29:K32)</f>
        <v>-2.5634988753289512E-2</v>
      </c>
      <c r="R29" s="8">
        <f>bdrate(C29:C32,E29:E32,J29:J32,L29:L32)</f>
        <v>-0.27569592510404739</v>
      </c>
      <c r="S29" s="8">
        <f>bdrate(C29:C32,F29:F32,J29:J32,M29:M32)</f>
        <v>-0.27095400142824622</v>
      </c>
      <c r="T29" s="25">
        <f>bdrate(C29:C32,H29:H32,J29:J32,O29:O32)</f>
        <v>-7.9053210035539445E-2</v>
      </c>
      <c r="U29" s="28">
        <f t="shared" si="2"/>
        <v>1.5617340225563909</v>
      </c>
    </row>
    <row r="30" spans="1:21" x14ac:dyDescent="0.25">
      <c r="B30" s="9"/>
      <c r="C30" s="31">
        <v>1592.54</v>
      </c>
      <c r="D30" s="32">
        <v>32.220999999999997</v>
      </c>
      <c r="E30" s="32">
        <v>38.695999999999998</v>
      </c>
      <c r="F30" s="32">
        <v>37.953000000000003</v>
      </c>
      <c r="G30" s="18">
        <v>24.34</v>
      </c>
      <c r="H30" s="18">
        <f t="shared" si="0"/>
        <v>33.746874999999996</v>
      </c>
      <c r="I30" s="5"/>
      <c r="J30" s="31">
        <v>1607.204</v>
      </c>
      <c r="K30" s="32">
        <v>32.406799999999997</v>
      </c>
      <c r="L30" s="32">
        <v>39.451999999999998</v>
      </c>
      <c r="M30" s="32">
        <v>38.789499999999997</v>
      </c>
      <c r="N30" s="18">
        <v>62.964399999999998</v>
      </c>
      <c r="O30" s="18">
        <f t="shared" si="1"/>
        <v>34.085287499999993</v>
      </c>
      <c r="P30" s="7"/>
      <c r="Q30" s="10"/>
      <c r="R30" s="11"/>
      <c r="S30" s="11"/>
      <c r="T30" s="26"/>
      <c r="U30" s="28">
        <f t="shared" si="2"/>
        <v>1.5868693508627771</v>
      </c>
    </row>
    <row r="31" spans="1:21" x14ac:dyDescent="0.25">
      <c r="B31" s="9"/>
      <c r="C31" s="31">
        <v>986.69</v>
      </c>
      <c r="D31" s="32">
        <v>30.59</v>
      </c>
      <c r="E31" s="32">
        <v>37.795999999999999</v>
      </c>
      <c r="F31" s="32">
        <v>36.676000000000002</v>
      </c>
      <c r="G31" s="18">
        <v>27.56</v>
      </c>
      <c r="H31" s="18">
        <f t="shared" si="0"/>
        <v>32.2515</v>
      </c>
      <c r="I31" s="5"/>
      <c r="J31" s="31">
        <v>1002.6224</v>
      </c>
      <c r="K31" s="32">
        <v>30.676300000000001</v>
      </c>
      <c r="L31" s="32">
        <v>38.503300000000003</v>
      </c>
      <c r="M31" s="32">
        <v>37.6128</v>
      </c>
      <c r="N31" s="18">
        <v>76.675399999999996</v>
      </c>
      <c r="O31" s="18">
        <f t="shared" si="1"/>
        <v>32.5217375</v>
      </c>
      <c r="P31" s="7"/>
      <c r="Q31" s="10"/>
      <c r="R31" s="11"/>
      <c r="S31" s="11"/>
      <c r="T31" s="26"/>
      <c r="U31" s="28">
        <f t="shared" si="2"/>
        <v>1.7821262699564584</v>
      </c>
    </row>
    <row r="32" spans="1:21" ht="16.5" thickBot="1" x14ac:dyDescent="0.3">
      <c r="B32" s="12"/>
      <c r="C32" s="33">
        <v>588.29999999999995</v>
      </c>
      <c r="D32" s="34">
        <v>28.725000000000001</v>
      </c>
      <c r="E32" s="34">
        <v>36.012999999999998</v>
      </c>
      <c r="F32" s="34">
        <v>34.893999999999998</v>
      </c>
      <c r="G32" s="20">
        <v>31.49</v>
      </c>
      <c r="H32" s="20">
        <f t="shared" si="0"/>
        <v>30.407125000000004</v>
      </c>
      <c r="I32" s="5"/>
      <c r="J32" s="33">
        <v>589.32719999999995</v>
      </c>
      <c r="K32" s="34">
        <v>28.7759</v>
      </c>
      <c r="L32" s="34">
        <v>37.069000000000003</v>
      </c>
      <c r="M32" s="34">
        <v>35.953699999999998</v>
      </c>
      <c r="N32" s="20">
        <v>91.844200000000001</v>
      </c>
      <c r="O32" s="20">
        <f t="shared" si="1"/>
        <v>30.7097625</v>
      </c>
      <c r="P32" s="7"/>
      <c r="Q32" s="13"/>
      <c r="R32" s="14"/>
      <c r="S32" s="14"/>
      <c r="T32" s="27"/>
      <c r="U32" s="28">
        <f t="shared" si="2"/>
        <v>1.9166147983486823</v>
      </c>
    </row>
    <row r="33" spans="1:21" x14ac:dyDescent="0.25">
      <c r="B33" s="6" t="s">
        <v>52</v>
      </c>
      <c r="C33" s="15">
        <v>2393.4499999999998</v>
      </c>
      <c r="D33" s="16">
        <v>31.86</v>
      </c>
      <c r="E33" s="16">
        <v>38.426000000000002</v>
      </c>
      <c r="F33" s="16">
        <v>41.128</v>
      </c>
      <c r="G33" s="16">
        <v>28.75</v>
      </c>
      <c r="H33" s="16">
        <f t="shared" si="0"/>
        <v>33.83925</v>
      </c>
      <c r="I33" s="5"/>
      <c r="J33" s="15">
        <v>2425.6648</v>
      </c>
      <c r="K33" s="16">
        <v>33.364600000000003</v>
      </c>
      <c r="L33" s="16">
        <v>39.7517</v>
      </c>
      <c r="M33" s="16">
        <v>42.264699999999998</v>
      </c>
      <c r="N33" s="16">
        <v>69.052800000000005</v>
      </c>
      <c r="O33" s="16">
        <f t="shared" si="1"/>
        <v>35.275500000000001</v>
      </c>
      <c r="P33" s="7"/>
      <c r="Q33" s="8">
        <f>bdrate(C33:C36,D33:D36,J33:J36,K33:K36)</f>
        <v>-0.47519661550136538</v>
      </c>
      <c r="R33" s="8">
        <f>bdrate(C33:C36,E33:E36,J33:J36,L33:L36)</f>
        <v>-0.61018121852124596</v>
      </c>
      <c r="S33" s="8">
        <f>bdrate(C33:C36,F33:F36,J33:J36,M33:M36)</f>
        <v>-0.54381221324811002</v>
      </c>
      <c r="T33" s="25">
        <f>bdrate(C33:C36,H33:H36,J33:J36,O33:O36)</f>
        <v>-0.48765864905243494</v>
      </c>
      <c r="U33" s="28">
        <f t="shared" si="2"/>
        <v>1.4018365217391306</v>
      </c>
    </row>
    <row r="34" spans="1:21" x14ac:dyDescent="0.25">
      <c r="B34" s="9"/>
      <c r="C34" s="17">
        <v>1572.72</v>
      </c>
      <c r="D34" s="18">
        <v>30.983000000000001</v>
      </c>
      <c r="E34" s="18">
        <v>38.063000000000002</v>
      </c>
      <c r="F34" s="18">
        <v>40.795999999999999</v>
      </c>
      <c r="G34" s="18">
        <v>33.04</v>
      </c>
      <c r="H34" s="18">
        <f t="shared" si="0"/>
        <v>33.094625000000001</v>
      </c>
      <c r="I34" s="5"/>
      <c r="J34" s="17">
        <v>1628.7840000000001</v>
      </c>
      <c r="K34" s="18">
        <v>32.6753</v>
      </c>
      <c r="L34" s="18">
        <v>39.288899999999998</v>
      </c>
      <c r="M34" s="18">
        <v>41.832799999999999</v>
      </c>
      <c r="N34" s="18">
        <v>76.923100000000005</v>
      </c>
      <c r="O34" s="18">
        <f t="shared" si="1"/>
        <v>34.646687500000006</v>
      </c>
      <c r="P34" s="7"/>
      <c r="Q34" s="10"/>
      <c r="R34" s="11"/>
      <c r="S34" s="11"/>
      <c r="T34" s="26"/>
      <c r="U34" s="28">
        <f t="shared" si="2"/>
        <v>1.3281809927360777</v>
      </c>
    </row>
    <row r="35" spans="1:21" x14ac:dyDescent="0.25">
      <c r="B35" s="9"/>
      <c r="C35" s="17">
        <v>942.97</v>
      </c>
      <c r="D35" s="18">
        <v>29.69</v>
      </c>
      <c r="E35" s="18">
        <v>37.567999999999998</v>
      </c>
      <c r="F35" s="18">
        <v>40.378999999999998</v>
      </c>
      <c r="G35" s="18">
        <v>37.229999999999997</v>
      </c>
      <c r="H35" s="18">
        <f t="shared" si="0"/>
        <v>32.010875000000006</v>
      </c>
      <c r="I35" s="5"/>
      <c r="J35" s="17">
        <v>1027.5047999999999</v>
      </c>
      <c r="K35" s="18">
        <v>31.555299999999999</v>
      </c>
      <c r="L35" s="18">
        <v>38.597099999999998</v>
      </c>
      <c r="M35" s="18">
        <v>41.156700000000001</v>
      </c>
      <c r="N35" s="18">
        <v>88.823099999999997</v>
      </c>
      <c r="O35" s="18">
        <f t="shared" si="1"/>
        <v>33.6357</v>
      </c>
      <c r="P35" s="7"/>
      <c r="Q35" s="10"/>
      <c r="R35" s="11"/>
      <c r="S35" s="11"/>
      <c r="T35" s="26"/>
      <c r="U35" s="28">
        <f t="shared" si="2"/>
        <v>1.3857937147461725</v>
      </c>
    </row>
    <row r="36" spans="1:21" ht="16.5" thickBot="1" x14ac:dyDescent="0.3">
      <c r="B36" s="12"/>
      <c r="C36" s="19">
        <v>497.87</v>
      </c>
      <c r="D36" s="20">
        <v>27.187999999999999</v>
      </c>
      <c r="E36" s="20">
        <v>36.585999999999999</v>
      </c>
      <c r="F36" s="20">
        <v>39.475000000000001</v>
      </c>
      <c r="G36" s="20">
        <v>41.76</v>
      </c>
      <c r="H36" s="20">
        <f t="shared" si="0"/>
        <v>29.898624999999999</v>
      </c>
      <c r="I36" s="5"/>
      <c r="J36" s="19">
        <v>605.79999999999995</v>
      </c>
      <c r="K36" s="20">
        <v>30.087499999999999</v>
      </c>
      <c r="L36" s="20">
        <v>38.028100000000002</v>
      </c>
      <c r="M36" s="20">
        <v>40.616999999999997</v>
      </c>
      <c r="N36" s="20">
        <v>101.7467</v>
      </c>
      <c r="O36" s="20">
        <f t="shared" si="1"/>
        <v>32.396262499999999</v>
      </c>
      <c r="P36" s="7"/>
      <c r="Q36" s="13"/>
      <c r="R36" s="14"/>
      <c r="S36" s="14"/>
      <c r="T36" s="27"/>
      <c r="U36" s="28">
        <f t="shared" si="2"/>
        <v>1.4364631226053641</v>
      </c>
    </row>
    <row r="37" spans="1:21" x14ac:dyDescent="0.25">
      <c r="A37" s="6" t="s">
        <v>39</v>
      </c>
      <c r="B37" s="6" t="s">
        <v>53</v>
      </c>
      <c r="C37" s="15">
        <v>1223.3900000000001</v>
      </c>
      <c r="D37" s="16">
        <v>33.704000000000001</v>
      </c>
      <c r="E37" s="16">
        <v>37.445999999999998</v>
      </c>
      <c r="F37" s="16">
        <v>37.22</v>
      </c>
      <c r="G37" s="16">
        <v>74.900000000000006</v>
      </c>
      <c r="H37" s="16">
        <f t="shared" si="0"/>
        <v>34.611249999999998</v>
      </c>
      <c r="I37" s="5"/>
      <c r="J37" s="15">
        <v>1215.5944</v>
      </c>
      <c r="K37" s="16">
        <v>34.619100000000003</v>
      </c>
      <c r="L37" s="16">
        <v>38.746499999999997</v>
      </c>
      <c r="M37" s="16">
        <v>38.545999999999999</v>
      </c>
      <c r="N37" s="16">
        <v>212.22409999999999</v>
      </c>
      <c r="O37" s="16">
        <f t="shared" si="1"/>
        <v>35.625887500000005</v>
      </c>
      <c r="P37" s="7"/>
      <c r="Q37" s="8">
        <f>bdrate(C37:C40,D37:D40,J37:J40,K37:K40)</f>
        <v>-0.14973709248889044</v>
      </c>
      <c r="R37" s="8">
        <f>bdrate(C37:C40,E37:E40,J37:J40,L37:L40)</f>
        <v>-0.32098356778739356</v>
      </c>
      <c r="S37" s="8">
        <f>bdrate(C37:C40,F37:F40,J37:J40,M37:M40)</f>
        <v>-0.31398856616797022</v>
      </c>
      <c r="T37" s="25">
        <f>bdrate(C37:C40,H37:H40,J37:J40,O37:O40)</f>
        <v>-0.18515636245177658</v>
      </c>
      <c r="U37" s="28">
        <f t="shared" si="2"/>
        <v>1.8334325767690252</v>
      </c>
    </row>
    <row r="38" spans="1:21" x14ac:dyDescent="0.25">
      <c r="A38" s="9" t="s">
        <v>40</v>
      </c>
      <c r="B38" s="9"/>
      <c r="C38" s="17">
        <v>814.55</v>
      </c>
      <c r="D38" s="18">
        <v>32.316000000000003</v>
      </c>
      <c r="E38" s="18">
        <v>36.503</v>
      </c>
      <c r="F38" s="18">
        <v>36.128999999999998</v>
      </c>
      <c r="G38" s="18">
        <v>88.31</v>
      </c>
      <c r="H38" s="18">
        <f t="shared" si="0"/>
        <v>33.316000000000003</v>
      </c>
      <c r="I38" s="5"/>
      <c r="J38" s="17">
        <v>812.40239999999994</v>
      </c>
      <c r="K38" s="18">
        <v>33.1036</v>
      </c>
      <c r="L38" s="18">
        <v>37.655099999999997</v>
      </c>
      <c r="M38" s="18">
        <v>37.3232</v>
      </c>
      <c r="N38" s="18">
        <v>252.39779999999999</v>
      </c>
      <c r="O38" s="18">
        <f t="shared" si="1"/>
        <v>34.199987499999999</v>
      </c>
      <c r="P38" s="7"/>
      <c r="Q38" s="10"/>
      <c r="R38" s="11"/>
      <c r="S38" s="11"/>
      <c r="T38" s="26"/>
      <c r="U38" s="28">
        <f t="shared" si="2"/>
        <v>1.8580885516928998</v>
      </c>
    </row>
    <row r="39" spans="1:21" x14ac:dyDescent="0.25">
      <c r="B39" s="9"/>
      <c r="C39" s="17">
        <v>505.79</v>
      </c>
      <c r="D39" s="18">
        <v>30.802</v>
      </c>
      <c r="E39" s="18">
        <v>35.579000000000001</v>
      </c>
      <c r="F39" s="18">
        <v>35.045000000000002</v>
      </c>
      <c r="G39" s="18">
        <v>101.75</v>
      </c>
      <c r="H39" s="18">
        <f t="shared" si="0"/>
        <v>31.929500000000004</v>
      </c>
      <c r="I39" s="5"/>
      <c r="J39" s="17">
        <v>506.31920000000002</v>
      </c>
      <c r="K39" s="18">
        <v>31.317499999999999</v>
      </c>
      <c r="L39" s="18">
        <v>36.363999999999997</v>
      </c>
      <c r="M39" s="18">
        <v>35.918300000000002</v>
      </c>
      <c r="N39" s="18">
        <v>311.1388</v>
      </c>
      <c r="O39" s="18">
        <f t="shared" si="1"/>
        <v>32.523412499999999</v>
      </c>
      <c r="P39" s="7"/>
      <c r="Q39" s="10"/>
      <c r="R39" s="11"/>
      <c r="S39" s="11"/>
      <c r="T39" s="26"/>
      <c r="U39" s="28">
        <f t="shared" si="2"/>
        <v>2.0578751842751841</v>
      </c>
    </row>
    <row r="40" spans="1:21" ht="16.5" thickBot="1" x14ac:dyDescent="0.3">
      <c r="B40" s="12"/>
      <c r="C40" s="19">
        <v>300.69</v>
      </c>
      <c r="D40" s="20">
        <v>29.253</v>
      </c>
      <c r="E40" s="20">
        <v>34.545000000000002</v>
      </c>
      <c r="F40" s="20">
        <v>33.808999999999997</v>
      </c>
      <c r="G40" s="20">
        <v>121.42</v>
      </c>
      <c r="H40" s="20">
        <f t="shared" si="0"/>
        <v>30.483999999999998</v>
      </c>
      <c r="I40" s="5"/>
      <c r="J40" s="19">
        <v>305.87119999999999</v>
      </c>
      <c r="K40" s="20">
        <v>29.3581</v>
      </c>
      <c r="L40" s="20">
        <v>35.102800000000002</v>
      </c>
      <c r="M40" s="20">
        <v>34.552999999999997</v>
      </c>
      <c r="N40" s="20">
        <v>390.93040000000002</v>
      </c>
      <c r="O40" s="20">
        <f t="shared" si="1"/>
        <v>30.725549999999998</v>
      </c>
      <c r="P40" s="7"/>
      <c r="Q40" s="13"/>
      <c r="R40" s="14"/>
      <c r="S40" s="14"/>
      <c r="T40" s="27"/>
      <c r="U40" s="28">
        <f t="shared" si="2"/>
        <v>2.2196540932301105</v>
      </c>
    </row>
    <row r="41" spans="1:21" x14ac:dyDescent="0.25">
      <c r="B41" s="6" t="s">
        <v>54</v>
      </c>
      <c r="C41" s="15">
        <v>1230.0999999999999</v>
      </c>
      <c r="D41" s="16">
        <v>33.517000000000003</v>
      </c>
      <c r="E41" s="16">
        <v>38.883000000000003</v>
      </c>
      <c r="F41" s="16">
        <v>39.709000000000003</v>
      </c>
      <c r="G41" s="16">
        <v>88.42</v>
      </c>
      <c r="H41" s="16">
        <f t="shared" si="0"/>
        <v>34.961750000000009</v>
      </c>
      <c r="I41" s="5"/>
      <c r="J41" s="15">
        <v>1245.2159999999999</v>
      </c>
      <c r="K41" s="16">
        <v>34.869100000000003</v>
      </c>
      <c r="L41" s="16">
        <v>40.353999999999999</v>
      </c>
      <c r="M41" s="16">
        <v>41.1907</v>
      </c>
      <c r="N41" s="16">
        <v>216.06049999999999</v>
      </c>
      <c r="O41" s="16">
        <f t="shared" si="1"/>
        <v>36.3449125</v>
      </c>
      <c r="P41" s="7"/>
      <c r="Q41" s="8">
        <f>bdrate(C41:C44,D41:D44,J41:J44,K41:K44)</f>
        <v>-0.24864167663418391</v>
      </c>
      <c r="R41" s="8">
        <f>bdrate(C41:C44,E41:E44,J41:J44,L41:L44)</f>
        <v>-0.4736648693284099</v>
      </c>
      <c r="S41" s="8">
        <f>bdrate(C41:C44,F41:F44,J41:J44,M41:M44)</f>
        <v>-0.43319899626428993</v>
      </c>
      <c r="T41" s="25">
        <f>bdrate(C41:C44,H41:H44,J41:J44,O41:O44)</f>
        <v>-0.28823908181692881</v>
      </c>
      <c r="U41" s="28">
        <f t="shared" si="2"/>
        <v>1.4435704591721328</v>
      </c>
    </row>
    <row r="42" spans="1:21" x14ac:dyDescent="0.25">
      <c r="B42" s="9"/>
      <c r="C42" s="17">
        <v>817.97</v>
      </c>
      <c r="D42" s="18">
        <v>32.079000000000001</v>
      </c>
      <c r="E42" s="18">
        <v>37.996000000000002</v>
      </c>
      <c r="F42" s="18">
        <v>38.713999999999999</v>
      </c>
      <c r="G42" s="18">
        <v>106.53</v>
      </c>
      <c r="H42" s="18">
        <f t="shared" si="0"/>
        <v>33.647999999999996</v>
      </c>
      <c r="I42" s="5"/>
      <c r="J42" s="17">
        <v>830.2192</v>
      </c>
      <c r="K42" s="18">
        <v>33.331899999999997</v>
      </c>
      <c r="L42" s="18">
        <v>39.404499999999999</v>
      </c>
      <c r="M42" s="18">
        <v>40.1327</v>
      </c>
      <c r="N42" s="18">
        <v>254.66890000000001</v>
      </c>
      <c r="O42" s="18">
        <f t="shared" si="1"/>
        <v>34.941074999999998</v>
      </c>
      <c r="P42" s="7"/>
      <c r="Q42" s="10"/>
      <c r="R42" s="11"/>
      <c r="S42" s="11"/>
      <c r="T42" s="26"/>
      <c r="U42" s="28">
        <f t="shared" si="2"/>
        <v>1.3905838730873932</v>
      </c>
    </row>
    <row r="43" spans="1:21" x14ac:dyDescent="0.25">
      <c r="B43" s="9"/>
      <c r="C43" s="17">
        <v>509.54</v>
      </c>
      <c r="D43" s="18">
        <v>30.443999999999999</v>
      </c>
      <c r="E43" s="18">
        <v>37.031999999999996</v>
      </c>
      <c r="F43" s="18">
        <v>37.581000000000003</v>
      </c>
      <c r="G43" s="18">
        <v>122.1</v>
      </c>
      <c r="H43" s="18">
        <f t="shared" si="0"/>
        <v>32.159624999999998</v>
      </c>
      <c r="I43" s="5"/>
      <c r="J43" s="17">
        <v>518.36959999999999</v>
      </c>
      <c r="K43" s="18">
        <v>31.500900000000001</v>
      </c>
      <c r="L43" s="18">
        <v>38.388199999999998</v>
      </c>
      <c r="M43" s="18">
        <v>38.982300000000002</v>
      </c>
      <c r="N43" s="18">
        <v>312.6628</v>
      </c>
      <c r="O43" s="18">
        <f t="shared" si="1"/>
        <v>33.2969875</v>
      </c>
      <c r="P43" s="7"/>
      <c r="Q43" s="10"/>
      <c r="R43" s="11"/>
      <c r="S43" s="11"/>
      <c r="T43" s="26"/>
      <c r="U43" s="28">
        <f t="shared" si="2"/>
        <v>1.5607108927108928</v>
      </c>
    </row>
    <row r="44" spans="1:21" ht="16.5" thickBot="1" x14ac:dyDescent="0.3">
      <c r="B44" s="12"/>
      <c r="C44" s="19">
        <v>301.95</v>
      </c>
      <c r="D44" s="20">
        <v>28.59</v>
      </c>
      <c r="E44" s="20">
        <v>35.853000000000002</v>
      </c>
      <c r="F44" s="20">
        <v>36.268000000000001</v>
      </c>
      <c r="G44" s="20">
        <v>140.35</v>
      </c>
      <c r="H44" s="20">
        <f t="shared" si="0"/>
        <v>30.457625</v>
      </c>
      <c r="I44" s="5"/>
      <c r="J44" s="19">
        <v>310.99759999999998</v>
      </c>
      <c r="K44" s="20">
        <v>29.470300000000002</v>
      </c>
      <c r="L44" s="20">
        <v>37.348100000000002</v>
      </c>
      <c r="M44" s="20">
        <v>37.773699999999998</v>
      </c>
      <c r="N44" s="20">
        <v>400.80160000000001</v>
      </c>
      <c r="O44" s="20">
        <f t="shared" si="1"/>
        <v>31.492949999999997</v>
      </c>
      <c r="P44" s="7"/>
      <c r="Q44" s="13"/>
      <c r="R44" s="14"/>
      <c r="S44" s="14"/>
      <c r="T44" s="27"/>
      <c r="U44" s="28">
        <f t="shared" si="2"/>
        <v>1.8557292483078018</v>
      </c>
    </row>
    <row r="45" spans="1:21" x14ac:dyDescent="0.25">
      <c r="B45" s="6" t="s">
        <v>55</v>
      </c>
      <c r="C45" s="15">
        <v>1096.5999999999999</v>
      </c>
      <c r="D45" s="16">
        <v>28.033000000000001</v>
      </c>
      <c r="E45" s="16">
        <v>34.576000000000001</v>
      </c>
      <c r="F45" s="16">
        <v>35.366999999999997</v>
      </c>
      <c r="G45" s="16">
        <v>88.54</v>
      </c>
      <c r="H45" s="16">
        <f t="shared" si="0"/>
        <v>29.767624999999999</v>
      </c>
      <c r="I45" s="5"/>
      <c r="J45" s="15">
        <v>1224.4248</v>
      </c>
      <c r="K45" s="16">
        <v>29.975300000000001</v>
      </c>
      <c r="L45" s="16">
        <v>36.5321</v>
      </c>
      <c r="M45" s="16">
        <v>37.310099999999998</v>
      </c>
      <c r="N45" s="16">
        <v>189.68129999999999</v>
      </c>
      <c r="O45" s="16">
        <f t="shared" si="1"/>
        <v>31.711749999999999</v>
      </c>
      <c r="P45" s="7"/>
      <c r="Q45" s="8">
        <f>bdrate(C45:C48,D45:D48,J45:J48,K45:K48)</f>
        <v>-0.38420686382800695</v>
      </c>
      <c r="R45" s="8">
        <f>bdrate(C45:C48,E45:E48,J45:J48,L45:L48)</f>
        <v>-0.63771602582219677</v>
      </c>
      <c r="S45" s="8">
        <f>bdrate(C45:C48,F45:F48,J45:J48,M45:M48)</f>
        <v>-0.59752742979373152</v>
      </c>
      <c r="T45" s="25">
        <f>bdrate(C45:C48,H45:H48,J45:J48,O45:O48)</f>
        <v>-0.425704449901395</v>
      </c>
      <c r="U45" s="28">
        <f t="shared" si="2"/>
        <v>1.1423232437316464</v>
      </c>
    </row>
    <row r="46" spans="1:21" x14ac:dyDescent="0.25">
      <c r="B46" s="9"/>
      <c r="C46" s="17">
        <v>729.95</v>
      </c>
      <c r="D46" s="18">
        <v>26.817</v>
      </c>
      <c r="E46" s="18">
        <v>34.018000000000001</v>
      </c>
      <c r="F46" s="18">
        <v>34.814999999999998</v>
      </c>
      <c r="G46" s="18">
        <v>105.42</v>
      </c>
      <c r="H46" s="18">
        <f t="shared" si="0"/>
        <v>28.716874999999998</v>
      </c>
      <c r="I46" s="5"/>
      <c r="J46" s="17">
        <v>818.68960000000004</v>
      </c>
      <c r="K46" s="18">
        <v>28.6708</v>
      </c>
      <c r="L46" s="18">
        <v>35.812600000000003</v>
      </c>
      <c r="M46" s="18">
        <v>36.571599999999997</v>
      </c>
      <c r="N46" s="18">
        <v>228.93770000000001</v>
      </c>
      <c r="O46" s="18">
        <f t="shared" si="1"/>
        <v>30.551124999999999</v>
      </c>
      <c r="P46" s="7"/>
      <c r="Q46" s="10"/>
      <c r="R46" s="11"/>
      <c r="S46" s="11"/>
      <c r="T46" s="26"/>
      <c r="U46" s="28">
        <f t="shared" si="2"/>
        <v>1.1716723581863024</v>
      </c>
    </row>
    <row r="47" spans="1:21" x14ac:dyDescent="0.25">
      <c r="B47" s="9"/>
      <c r="C47" s="17">
        <v>452.39</v>
      </c>
      <c r="D47" s="18">
        <v>25.504999999999999</v>
      </c>
      <c r="E47" s="18">
        <v>33.320999999999998</v>
      </c>
      <c r="F47" s="18">
        <v>34.189</v>
      </c>
      <c r="G47" s="18">
        <v>121.86</v>
      </c>
      <c r="H47" s="18">
        <f t="shared" si="0"/>
        <v>27.567499999999999</v>
      </c>
      <c r="I47" s="5"/>
      <c r="J47" s="17">
        <v>514.62959999999998</v>
      </c>
      <c r="K47" s="18">
        <v>27.2212</v>
      </c>
      <c r="L47" s="18">
        <v>34.994</v>
      </c>
      <c r="M47" s="18">
        <v>35.689700000000002</v>
      </c>
      <c r="N47" s="18">
        <v>286.20490000000001</v>
      </c>
      <c r="O47" s="18">
        <f t="shared" si="1"/>
        <v>29.251362499999999</v>
      </c>
      <c r="P47" s="7"/>
      <c r="Q47" s="10"/>
      <c r="R47" s="11"/>
      <c r="S47" s="11"/>
      <c r="T47" s="26"/>
      <c r="U47" s="28">
        <f t="shared" si="2"/>
        <v>1.3486369604464139</v>
      </c>
    </row>
    <row r="48" spans="1:21" ht="16.5" thickBot="1" x14ac:dyDescent="0.3">
      <c r="B48" s="12"/>
      <c r="C48" s="19">
        <v>263.56</v>
      </c>
      <c r="D48" s="20">
        <v>23.991</v>
      </c>
      <c r="E48" s="20">
        <v>32.43</v>
      </c>
      <c r="F48" s="20">
        <v>33.298999999999999</v>
      </c>
      <c r="G48" s="20">
        <v>143.1</v>
      </c>
      <c r="H48" s="20">
        <f t="shared" si="0"/>
        <v>26.209375000000001</v>
      </c>
      <c r="I48" s="5"/>
      <c r="J48" s="19">
        <v>309.48320000000001</v>
      </c>
      <c r="K48" s="20">
        <v>25.7592</v>
      </c>
      <c r="L48" s="20">
        <v>34.229100000000003</v>
      </c>
      <c r="M48" s="20">
        <v>34.843299999999999</v>
      </c>
      <c r="N48" s="20">
        <v>368.45979999999997</v>
      </c>
      <c r="O48" s="20">
        <f t="shared" si="1"/>
        <v>27.953450000000004</v>
      </c>
      <c r="P48" s="7"/>
      <c r="Q48" s="13"/>
      <c r="R48" s="14"/>
      <c r="S48" s="14"/>
      <c r="T48" s="27"/>
      <c r="U48" s="28">
        <f t="shared" si="2"/>
        <v>1.5748413696715582</v>
      </c>
    </row>
    <row r="49" spans="1:21" x14ac:dyDescent="0.25">
      <c r="B49" s="6" t="s">
        <v>56</v>
      </c>
      <c r="C49" s="15">
        <v>1116.45</v>
      </c>
      <c r="D49" s="16">
        <v>31.451000000000001</v>
      </c>
      <c r="E49" s="16">
        <v>36.024000000000001</v>
      </c>
      <c r="F49" s="16">
        <v>37.664000000000001</v>
      </c>
      <c r="G49" s="16">
        <v>53.42</v>
      </c>
      <c r="H49" s="16">
        <f t="shared" si="0"/>
        <v>32.799250000000001</v>
      </c>
      <c r="I49" s="5"/>
      <c r="J49" s="15">
        <v>1213.9552000000001</v>
      </c>
      <c r="K49" s="16">
        <v>31.970500000000001</v>
      </c>
      <c r="L49" s="16">
        <v>36.679499999999997</v>
      </c>
      <c r="M49" s="16">
        <v>38.245699999999999</v>
      </c>
      <c r="N49" s="16">
        <v>138.37639999999999</v>
      </c>
      <c r="O49" s="16">
        <f t="shared" si="1"/>
        <v>33.343525</v>
      </c>
      <c r="P49" s="7"/>
      <c r="Q49" s="8">
        <f>bdrate(C49:C52,D49:D52,J49:J52,K49:K52)</f>
        <v>8.752367226432467E-3</v>
      </c>
      <c r="R49" s="8">
        <f>bdrate(C49:C52,E49:E52,J49:J52,L49:L52)</f>
        <v>-0.19371712417109455</v>
      </c>
      <c r="S49" s="8">
        <f>bdrate(C49:C52,F49:F52,J49:J52,M49:M52)</f>
        <v>-0.18250017438872235</v>
      </c>
      <c r="T49" s="25">
        <f>bdrate(C49:C52,H49:H52,J49:J52,O49:O52)</f>
        <v>-2.7307427811963825E-2</v>
      </c>
      <c r="U49" s="28">
        <f t="shared" si="2"/>
        <v>1.5903481842006737</v>
      </c>
    </row>
    <row r="50" spans="1:21" x14ac:dyDescent="0.25">
      <c r="B50" s="9"/>
      <c r="C50" s="17">
        <v>754.26</v>
      </c>
      <c r="D50" s="18">
        <v>30.184999999999999</v>
      </c>
      <c r="E50" s="18">
        <v>35.295000000000002</v>
      </c>
      <c r="F50" s="18">
        <v>36.901000000000003</v>
      </c>
      <c r="G50" s="18">
        <v>65.19</v>
      </c>
      <c r="H50" s="18">
        <f t="shared" si="0"/>
        <v>31.663249999999998</v>
      </c>
      <c r="I50" s="5"/>
      <c r="J50" s="17">
        <v>807.64400000000001</v>
      </c>
      <c r="K50" s="18">
        <v>30.496300000000002</v>
      </c>
      <c r="L50" s="18">
        <v>35.790100000000002</v>
      </c>
      <c r="M50" s="18">
        <v>37.3596</v>
      </c>
      <c r="N50" s="18">
        <v>167.22409999999999</v>
      </c>
      <c r="O50" s="18">
        <f t="shared" si="1"/>
        <v>32.0159375</v>
      </c>
      <c r="P50" s="7"/>
      <c r="Q50" s="10"/>
      <c r="R50" s="11"/>
      <c r="S50" s="11"/>
      <c r="T50" s="26"/>
      <c r="U50" s="28">
        <f t="shared" si="2"/>
        <v>1.5651802423684613</v>
      </c>
    </row>
    <row r="51" spans="1:21" x14ac:dyDescent="0.25">
      <c r="B51" s="9"/>
      <c r="C51" s="17">
        <v>480.03</v>
      </c>
      <c r="D51" s="18">
        <v>28.843</v>
      </c>
      <c r="E51" s="18">
        <v>34.456000000000003</v>
      </c>
      <c r="F51" s="18">
        <v>35.933</v>
      </c>
      <c r="G51" s="18">
        <v>75.41</v>
      </c>
      <c r="H51" s="18">
        <f t="shared" si="0"/>
        <v>30.430875</v>
      </c>
      <c r="I51" s="5"/>
      <c r="J51" s="17">
        <v>504.81439999999998</v>
      </c>
      <c r="K51" s="18">
        <v>28.904299999999999</v>
      </c>
      <c r="L51" s="18">
        <v>34.956299999999999</v>
      </c>
      <c r="M51" s="18">
        <v>36.482300000000002</v>
      </c>
      <c r="N51" s="18">
        <v>209.0592</v>
      </c>
      <c r="O51" s="18">
        <f t="shared" si="1"/>
        <v>30.608049999999999</v>
      </c>
      <c r="P51" s="7"/>
      <c r="Q51" s="10"/>
      <c r="R51" s="11"/>
      <c r="S51" s="11"/>
      <c r="T51" s="26"/>
      <c r="U51" s="28">
        <f t="shared" si="2"/>
        <v>1.7723007558679222</v>
      </c>
    </row>
    <row r="52" spans="1:21" ht="16.5" thickBot="1" x14ac:dyDescent="0.3">
      <c r="B52" s="12"/>
      <c r="C52" s="19">
        <v>290.83999999999997</v>
      </c>
      <c r="D52" s="20">
        <v>27.518000000000001</v>
      </c>
      <c r="E52" s="20">
        <v>33.552999999999997</v>
      </c>
      <c r="F52" s="20">
        <v>34.889000000000003</v>
      </c>
      <c r="G52" s="20">
        <v>88.21</v>
      </c>
      <c r="H52" s="20">
        <f t="shared" si="0"/>
        <v>29.193750000000001</v>
      </c>
      <c r="I52" s="5"/>
      <c r="J52" s="19">
        <v>302.53039999999999</v>
      </c>
      <c r="K52" s="20">
        <v>27.377500000000001</v>
      </c>
      <c r="L52" s="20">
        <v>34.039299999999997</v>
      </c>
      <c r="M52" s="20">
        <v>35.508400000000002</v>
      </c>
      <c r="N52" s="20">
        <v>270.75810000000001</v>
      </c>
      <c r="O52" s="20">
        <f t="shared" si="1"/>
        <v>29.226587500000001</v>
      </c>
      <c r="P52" s="7"/>
      <c r="Q52" s="13"/>
      <c r="R52" s="14"/>
      <c r="S52" s="14"/>
      <c r="T52" s="27"/>
      <c r="U52" s="28">
        <f t="shared" si="2"/>
        <v>2.0694717152250317</v>
      </c>
    </row>
    <row r="53" spans="1:21" x14ac:dyDescent="0.25">
      <c r="A53" s="6" t="s">
        <v>41</v>
      </c>
      <c r="B53" s="6" t="s">
        <v>57</v>
      </c>
      <c r="C53" s="15">
        <v>639.05999999999995</v>
      </c>
      <c r="D53" s="16">
        <v>33.51</v>
      </c>
      <c r="E53" s="16">
        <v>38.473999999999997</v>
      </c>
      <c r="F53" s="16">
        <v>37.188000000000002</v>
      </c>
      <c r="G53" s="16">
        <v>228.94</v>
      </c>
      <c r="H53" s="16">
        <f t="shared" si="0"/>
        <v>34.590249999999997</v>
      </c>
      <c r="I53" s="5"/>
      <c r="J53" s="15">
        <v>607.45680000000004</v>
      </c>
      <c r="K53" s="16">
        <v>34.095399999999998</v>
      </c>
      <c r="L53" s="16">
        <v>39.463200000000001</v>
      </c>
      <c r="M53" s="16">
        <v>37.921799999999998</v>
      </c>
      <c r="N53" s="16">
        <v>508.64699999999999</v>
      </c>
      <c r="O53" s="16">
        <f t="shared" si="1"/>
        <v>35.244675000000001</v>
      </c>
      <c r="P53" s="7"/>
      <c r="Q53" s="8">
        <f>bdrate(C53:C56,D53:D56,J53:J56,K53:K56)</f>
        <v>-6.8802152726392563E-2</v>
      </c>
      <c r="R53" s="8">
        <f>bdrate(C53:C56,E53:E56,J53:J56,L53:L56)</f>
        <v>-0.33552616119445888</v>
      </c>
      <c r="S53" s="8">
        <f>bdrate(C53:C56,F53:F56,J53:J56,M53:M56)</f>
        <v>-0.25173035426342183</v>
      </c>
      <c r="T53" s="25">
        <f>bdrate(C53:C56,H53:H56,J53:J56,O53:O56)</f>
        <v>-0.10981741569705761</v>
      </c>
      <c r="U53" s="28">
        <f t="shared" si="2"/>
        <v>1.221748056259282</v>
      </c>
    </row>
    <row r="54" spans="1:21" x14ac:dyDescent="0.25">
      <c r="A54" s="9" t="s">
        <v>42</v>
      </c>
      <c r="B54" s="9"/>
      <c r="C54" s="17">
        <v>429.22</v>
      </c>
      <c r="D54" s="18">
        <v>31.97</v>
      </c>
      <c r="E54" s="18">
        <v>37.472999999999999</v>
      </c>
      <c r="F54" s="18">
        <v>36.043999999999997</v>
      </c>
      <c r="G54" s="18">
        <v>264.83</v>
      </c>
      <c r="H54" s="18">
        <f t="shared" si="0"/>
        <v>33.167124999999999</v>
      </c>
      <c r="I54" s="5"/>
      <c r="J54" s="17">
        <v>404.95119999999997</v>
      </c>
      <c r="K54" s="18">
        <v>32.276699999999998</v>
      </c>
      <c r="L54" s="18">
        <v>38.339599999999997</v>
      </c>
      <c r="M54" s="18">
        <v>36.672600000000003</v>
      </c>
      <c r="N54" s="18">
        <v>604.59490000000005</v>
      </c>
      <c r="O54" s="18">
        <f t="shared" si="1"/>
        <v>33.584049999999998</v>
      </c>
      <c r="P54" s="7"/>
      <c r="Q54" s="10"/>
      <c r="R54" s="11"/>
      <c r="S54" s="11"/>
      <c r="T54" s="26"/>
      <c r="U54" s="28">
        <f t="shared" si="2"/>
        <v>1.2829547256730736</v>
      </c>
    </row>
    <row r="55" spans="1:21" x14ac:dyDescent="0.25">
      <c r="B55" s="9"/>
      <c r="C55" s="17">
        <v>268.95999999999998</v>
      </c>
      <c r="D55" s="18">
        <v>30.349</v>
      </c>
      <c r="E55" s="18">
        <v>36.515000000000001</v>
      </c>
      <c r="F55" s="18">
        <v>34.854999999999997</v>
      </c>
      <c r="G55" s="18">
        <v>305.25</v>
      </c>
      <c r="H55" s="18">
        <f t="shared" si="0"/>
        <v>31.682999999999996</v>
      </c>
      <c r="I55" s="5"/>
      <c r="J55" s="17">
        <v>254.876</v>
      </c>
      <c r="K55" s="18">
        <v>30.368500000000001</v>
      </c>
      <c r="L55" s="18">
        <v>37.269300000000001</v>
      </c>
      <c r="M55" s="18">
        <v>35.477400000000003</v>
      </c>
      <c r="N55" s="18">
        <v>763.35879999999997</v>
      </c>
      <c r="O55" s="18">
        <f t="shared" si="1"/>
        <v>31.869712499999999</v>
      </c>
      <c r="P55" s="7"/>
      <c r="Q55" s="10"/>
      <c r="R55" s="11"/>
      <c r="S55" s="11"/>
      <c r="T55" s="26"/>
      <c r="U55" s="28">
        <f t="shared" si="2"/>
        <v>1.5007659295659295</v>
      </c>
    </row>
    <row r="56" spans="1:21" ht="16.5" thickBot="1" x14ac:dyDescent="0.3">
      <c r="B56" s="12"/>
      <c r="C56" s="19">
        <v>128.41999999999999</v>
      </c>
      <c r="D56" s="20">
        <v>28</v>
      </c>
      <c r="E56" s="20">
        <v>35.084000000000003</v>
      </c>
      <c r="F56" s="20">
        <v>32.978999999999999</v>
      </c>
      <c r="G56" s="20">
        <v>395.57</v>
      </c>
      <c r="H56" s="20">
        <f t="shared" si="0"/>
        <v>29.507874999999999</v>
      </c>
      <c r="I56" s="5"/>
      <c r="J56" s="19">
        <v>122.82080000000001</v>
      </c>
      <c r="K56" s="20">
        <v>27.605399999999999</v>
      </c>
      <c r="L56" s="20">
        <v>35.7102</v>
      </c>
      <c r="M56" s="20">
        <v>33.566699999999997</v>
      </c>
      <c r="N56" s="20">
        <v>1103.7528</v>
      </c>
      <c r="O56" s="20">
        <f t="shared" si="1"/>
        <v>29.3636625</v>
      </c>
      <c r="P56" s="7"/>
      <c r="Q56" s="13"/>
      <c r="R56" s="14"/>
      <c r="S56" s="14"/>
      <c r="T56" s="27"/>
      <c r="U56" s="28">
        <f t="shared" si="2"/>
        <v>1.7902843997269764</v>
      </c>
    </row>
    <row r="57" spans="1:21" x14ac:dyDescent="0.25">
      <c r="B57" s="6" t="s">
        <v>58</v>
      </c>
      <c r="C57" s="15">
        <v>556.13</v>
      </c>
      <c r="D57" s="16">
        <v>30.18</v>
      </c>
      <c r="E57" s="16">
        <v>38.613</v>
      </c>
      <c r="F57" s="16">
        <v>39.31</v>
      </c>
      <c r="G57" s="16">
        <v>384.62</v>
      </c>
      <c r="H57" s="16">
        <f t="shared" si="0"/>
        <v>32.375374999999998</v>
      </c>
      <c r="I57" s="5"/>
      <c r="J57" s="15">
        <v>605.34640000000002</v>
      </c>
      <c r="K57" s="16">
        <v>33.275500000000001</v>
      </c>
      <c r="L57" s="16">
        <v>41.145800000000001</v>
      </c>
      <c r="M57" s="16">
        <v>41.970199999999998</v>
      </c>
      <c r="N57" s="16">
        <v>620.47569999999996</v>
      </c>
      <c r="O57" s="16">
        <f t="shared" si="1"/>
        <v>35.346125000000001</v>
      </c>
      <c r="P57" s="7"/>
      <c r="Q57" s="8">
        <f>bdrate(C57:C60,D57:D60,J57:J60,K57:K60)</f>
        <v>-0.57702525169483709</v>
      </c>
      <c r="R57" s="8">
        <f>bdrate(C57:C60,E57:E60,J57:J60,L57:L60)</f>
        <v>-0.70648009824899138</v>
      </c>
      <c r="S57" s="8">
        <f>bdrate(C57:C60,F57:F60,J57:J60,M57:M60)</f>
        <v>-0.65623218870625588</v>
      </c>
      <c r="T57" s="25">
        <f>bdrate(C57:C60,H57:H60,J57:J60,O57:O60)</f>
        <v>-0.59183643019225818</v>
      </c>
      <c r="U57" s="28">
        <f t="shared" si="2"/>
        <v>0.61321746139046318</v>
      </c>
    </row>
    <row r="58" spans="1:21" x14ac:dyDescent="0.25">
      <c r="B58" s="9"/>
      <c r="C58" s="17">
        <v>367.45</v>
      </c>
      <c r="D58" s="18">
        <v>28.838999999999999</v>
      </c>
      <c r="E58" s="18">
        <v>38.183</v>
      </c>
      <c r="F58" s="18">
        <v>38.762999999999998</v>
      </c>
      <c r="G58" s="18">
        <v>463.32</v>
      </c>
      <c r="H58" s="18">
        <f t="shared" si="0"/>
        <v>31.247499999999999</v>
      </c>
      <c r="I58" s="5"/>
      <c r="J58" s="17">
        <v>402.61279999999999</v>
      </c>
      <c r="K58" s="18">
        <v>32.0017</v>
      </c>
      <c r="L58" s="18">
        <v>40.324100000000001</v>
      </c>
      <c r="M58" s="18">
        <v>41.129199999999997</v>
      </c>
      <c r="N58" s="18">
        <v>753.76880000000006</v>
      </c>
      <c r="O58" s="18">
        <f t="shared" si="1"/>
        <v>34.182937499999994</v>
      </c>
      <c r="P58" s="7"/>
      <c r="Q58" s="10"/>
      <c r="R58" s="11"/>
      <c r="S58" s="11"/>
      <c r="T58" s="26"/>
      <c r="U58" s="28">
        <f t="shared" si="2"/>
        <v>0.62688595355262033</v>
      </c>
    </row>
    <row r="59" spans="1:21" x14ac:dyDescent="0.25">
      <c r="B59" s="9"/>
      <c r="C59" s="17">
        <v>229.47</v>
      </c>
      <c r="D59" s="18">
        <v>27.422999999999998</v>
      </c>
      <c r="E59" s="18">
        <v>37.771000000000001</v>
      </c>
      <c r="F59" s="18">
        <v>38.325000000000003</v>
      </c>
      <c r="G59" s="18">
        <v>519.48</v>
      </c>
      <c r="H59" s="18">
        <f t="shared" si="0"/>
        <v>30.079249999999995</v>
      </c>
      <c r="I59" s="5"/>
      <c r="J59" s="17">
        <v>252.16800000000001</v>
      </c>
      <c r="K59" s="18">
        <v>30.473700000000001</v>
      </c>
      <c r="L59" s="18">
        <v>39.392800000000001</v>
      </c>
      <c r="M59" s="18">
        <v>40.111199999999997</v>
      </c>
      <c r="N59" s="18">
        <v>961.5385</v>
      </c>
      <c r="O59" s="18">
        <f t="shared" si="1"/>
        <v>32.793274999999994</v>
      </c>
      <c r="P59" s="7"/>
      <c r="Q59" s="10"/>
      <c r="R59" s="11"/>
      <c r="S59" s="11"/>
      <c r="T59" s="26"/>
      <c r="U59" s="28">
        <f t="shared" si="2"/>
        <v>0.85096346346346341</v>
      </c>
    </row>
    <row r="60" spans="1:21" ht="16.5" thickBot="1" x14ac:dyDescent="0.3">
      <c r="B60" s="12"/>
      <c r="C60" s="19">
        <v>106.01</v>
      </c>
      <c r="D60" s="20">
        <v>25.094999999999999</v>
      </c>
      <c r="E60" s="20">
        <v>37.063000000000002</v>
      </c>
      <c r="F60" s="20">
        <v>37.323</v>
      </c>
      <c r="G60" s="20">
        <v>611</v>
      </c>
      <c r="H60" s="20">
        <f t="shared" si="0"/>
        <v>28.119499999999999</v>
      </c>
      <c r="I60" s="5"/>
      <c r="J60" s="19">
        <v>121.27679999999999</v>
      </c>
      <c r="K60" s="20">
        <v>27.9711</v>
      </c>
      <c r="L60" s="20">
        <v>38.247300000000003</v>
      </c>
      <c r="M60" s="20">
        <v>38.568300000000001</v>
      </c>
      <c r="N60" s="20">
        <v>1239.6694</v>
      </c>
      <c r="O60" s="20">
        <f t="shared" si="1"/>
        <v>30.580274999999997</v>
      </c>
      <c r="P60" s="7"/>
      <c r="Q60" s="13"/>
      <c r="R60" s="14"/>
      <c r="S60" s="14"/>
      <c r="T60" s="27"/>
      <c r="U60" s="28">
        <f t="shared" si="2"/>
        <v>1.028918821603928</v>
      </c>
    </row>
    <row r="61" spans="1:21" x14ac:dyDescent="0.25">
      <c r="B61" s="6" t="s">
        <v>59</v>
      </c>
      <c r="C61" s="29">
        <v>641.41</v>
      </c>
      <c r="D61" s="30">
        <v>31.187000000000001</v>
      </c>
      <c r="E61" s="30">
        <v>35.997999999999998</v>
      </c>
      <c r="F61" s="30">
        <v>36.554000000000002</v>
      </c>
      <c r="G61" s="16">
        <v>286.2</v>
      </c>
      <c r="H61" s="16">
        <f t="shared" si="0"/>
        <v>32.459249999999997</v>
      </c>
      <c r="I61" s="5"/>
      <c r="J61" s="29">
        <v>644.10080000000005</v>
      </c>
      <c r="K61" s="30">
        <v>32.893000000000001</v>
      </c>
      <c r="L61" s="30">
        <v>38.021799999999999</v>
      </c>
      <c r="M61" s="30">
        <v>38.760599999999997</v>
      </c>
      <c r="N61" s="16">
        <v>552.48620000000005</v>
      </c>
      <c r="O61" s="16">
        <f t="shared" si="1"/>
        <v>34.26755</v>
      </c>
      <c r="P61" s="7"/>
      <c r="Q61" s="8">
        <f>bdrate(C61:C64,D61:D64,J61:J64,K61:K64)</f>
        <v>-0.34780565466892654</v>
      </c>
      <c r="R61" s="8">
        <f>bdrate(C61:C64,E61:E64,J61:J64,L61:L64)</f>
        <v>-0.57986966338764989</v>
      </c>
      <c r="S61" s="8">
        <f>bdrate(C61:C64,F61:F64,J61:J64,M61:M64)</f>
        <v>-0.60999665229266453</v>
      </c>
      <c r="T61" s="25">
        <f>bdrate(C61:C64,H61:H64,J61:J64,O61:O64)</f>
        <v>-0.40000613125356366</v>
      </c>
      <c r="U61" s="28">
        <f t="shared" si="2"/>
        <v>0.93041998602375986</v>
      </c>
    </row>
    <row r="62" spans="1:21" x14ac:dyDescent="0.25">
      <c r="B62" s="9"/>
      <c r="C62" s="31">
        <v>425.85</v>
      </c>
      <c r="D62" s="32">
        <v>29.783999999999999</v>
      </c>
      <c r="E62" s="32">
        <v>35.03</v>
      </c>
      <c r="F62" s="32">
        <v>35.570999999999998</v>
      </c>
      <c r="G62" s="18">
        <v>337.38</v>
      </c>
      <c r="H62" s="18">
        <f t="shared" si="0"/>
        <v>31.163125000000001</v>
      </c>
      <c r="I62" s="5"/>
      <c r="J62" s="31">
        <v>426.93360000000001</v>
      </c>
      <c r="K62" s="32">
        <v>31.354900000000001</v>
      </c>
      <c r="L62" s="32">
        <v>36.994100000000003</v>
      </c>
      <c r="M62" s="32">
        <v>37.695900000000002</v>
      </c>
      <c r="N62" s="18">
        <v>667.55669999999998</v>
      </c>
      <c r="O62" s="18">
        <f t="shared" si="1"/>
        <v>32.852425000000004</v>
      </c>
      <c r="P62" s="7"/>
      <c r="Q62" s="10"/>
      <c r="R62" s="11"/>
      <c r="S62" s="11"/>
      <c r="T62" s="26"/>
      <c r="U62" s="28">
        <f t="shared" si="2"/>
        <v>0.97864929752800989</v>
      </c>
    </row>
    <row r="63" spans="1:21" x14ac:dyDescent="0.25">
      <c r="B63" s="9"/>
      <c r="C63" s="31">
        <v>264.64999999999998</v>
      </c>
      <c r="D63" s="32">
        <v>28.318000000000001</v>
      </c>
      <c r="E63" s="32">
        <v>34.161000000000001</v>
      </c>
      <c r="F63" s="32">
        <v>34.718000000000004</v>
      </c>
      <c r="G63" s="18">
        <v>386.1</v>
      </c>
      <c r="H63" s="18">
        <f t="shared" si="0"/>
        <v>29.848375000000004</v>
      </c>
      <c r="I63" s="5"/>
      <c r="J63" s="31">
        <v>266.40640000000002</v>
      </c>
      <c r="K63" s="32">
        <v>29.711099999999998</v>
      </c>
      <c r="L63" s="32">
        <v>35.935299999999998</v>
      </c>
      <c r="M63" s="32">
        <v>36.619100000000003</v>
      </c>
      <c r="N63" s="18">
        <v>843.1703</v>
      </c>
      <c r="O63" s="18">
        <f t="shared" si="1"/>
        <v>31.352624999999996</v>
      </c>
      <c r="P63" s="7"/>
      <c r="Q63" s="10"/>
      <c r="R63" s="11"/>
      <c r="S63" s="11"/>
      <c r="T63" s="26"/>
      <c r="U63" s="28">
        <f t="shared" si="2"/>
        <v>1.1838132608132608</v>
      </c>
    </row>
    <row r="64" spans="1:21" ht="16.5" thickBot="1" x14ac:dyDescent="0.3">
      <c r="B64" s="12"/>
      <c r="C64" s="33">
        <v>124.87</v>
      </c>
      <c r="D64" s="34">
        <v>26.242999999999999</v>
      </c>
      <c r="E64" s="34">
        <v>32.799999999999997</v>
      </c>
      <c r="F64" s="34">
        <v>33.417999999999999</v>
      </c>
      <c r="G64" s="20">
        <v>478.47</v>
      </c>
      <c r="H64" s="20">
        <f t="shared" si="0"/>
        <v>27.959499999999998</v>
      </c>
      <c r="I64" s="5"/>
      <c r="J64" s="33">
        <v>129.35599999999999</v>
      </c>
      <c r="K64" s="34">
        <v>27.313300000000002</v>
      </c>
      <c r="L64" s="34">
        <v>34.354100000000003</v>
      </c>
      <c r="M64" s="34">
        <v>35.078000000000003</v>
      </c>
      <c r="N64" s="20">
        <v>1282.0513000000001</v>
      </c>
      <c r="O64" s="20">
        <f t="shared" si="1"/>
        <v>29.163987500000001</v>
      </c>
      <c r="P64" s="7"/>
      <c r="Q64" s="13"/>
      <c r="R64" s="14"/>
      <c r="S64" s="14"/>
      <c r="T64" s="27"/>
      <c r="U64" s="28">
        <f t="shared" si="2"/>
        <v>1.6794810541935754</v>
      </c>
    </row>
    <row r="65" spans="1:21" x14ac:dyDescent="0.25">
      <c r="B65" s="6" t="s">
        <v>60</v>
      </c>
      <c r="C65" s="15">
        <v>582.86</v>
      </c>
      <c r="D65" s="16">
        <v>32.643999999999998</v>
      </c>
      <c r="E65" s="16">
        <v>36.655000000000001</v>
      </c>
      <c r="F65" s="16">
        <v>37.756999999999998</v>
      </c>
      <c r="G65" s="16">
        <v>174.83</v>
      </c>
      <c r="H65" s="16">
        <f t="shared" si="0"/>
        <v>33.784499999999994</v>
      </c>
      <c r="I65" s="5"/>
      <c r="J65" s="15">
        <v>607.76400000000001</v>
      </c>
      <c r="K65" s="16">
        <v>33.5899</v>
      </c>
      <c r="L65" s="16">
        <v>37.471499999999999</v>
      </c>
      <c r="M65" s="16">
        <v>38.566800000000001</v>
      </c>
      <c r="N65" s="16">
        <v>355.87189999999998</v>
      </c>
      <c r="O65" s="16">
        <f t="shared" si="1"/>
        <v>34.697212499999999</v>
      </c>
      <c r="P65" s="7"/>
      <c r="Q65" s="8">
        <f>bdrate(C65:C68,D65:D68,J65:J68,K65:K68)</f>
        <v>-5.4718104134003243E-2</v>
      </c>
      <c r="R65" s="8">
        <f>bdrate(C65:C68,E65:E68,J65:J68,L65:L68)</f>
        <v>-0.22752958968143133</v>
      </c>
      <c r="S65" s="8">
        <f>bdrate(C65:C68,F65:F68,J65:J68,M65:M68)</f>
        <v>-0.23170521812167311</v>
      </c>
      <c r="T65" s="25">
        <f>bdrate(C65:C68,H65:H68,J65:J68,O65:O68)</f>
        <v>-9.0595517092473377E-2</v>
      </c>
      <c r="U65" s="28">
        <f t="shared" si="2"/>
        <v>1.0355310873419892</v>
      </c>
    </row>
    <row r="66" spans="1:21" x14ac:dyDescent="0.25">
      <c r="B66" s="9"/>
      <c r="C66" s="17">
        <v>390.46</v>
      </c>
      <c r="D66" s="18">
        <v>31.132000000000001</v>
      </c>
      <c r="E66" s="18">
        <v>35.609000000000002</v>
      </c>
      <c r="F66" s="18">
        <v>36.652000000000001</v>
      </c>
      <c r="G66" s="18">
        <v>202.43</v>
      </c>
      <c r="H66" s="18">
        <f t="shared" si="0"/>
        <v>32.381625</v>
      </c>
      <c r="I66" s="5"/>
      <c r="J66" s="17">
        <v>404.29680000000002</v>
      </c>
      <c r="K66" s="18">
        <v>31.689599999999999</v>
      </c>
      <c r="L66" s="18">
        <v>36.379899999999999</v>
      </c>
      <c r="M66" s="18">
        <v>37.455399999999997</v>
      </c>
      <c r="N66" s="18">
        <v>427.35039999999998</v>
      </c>
      <c r="O66" s="18">
        <f t="shared" si="1"/>
        <v>32.996612499999998</v>
      </c>
      <c r="P66" s="7"/>
      <c r="Q66" s="10"/>
      <c r="R66" s="11"/>
      <c r="S66" s="11"/>
      <c r="T66" s="26"/>
      <c r="U66" s="28">
        <f t="shared" si="2"/>
        <v>1.1111021093711404</v>
      </c>
    </row>
    <row r="67" spans="1:21" x14ac:dyDescent="0.25">
      <c r="B67" s="9"/>
      <c r="C67" s="17">
        <v>245.46</v>
      </c>
      <c r="D67" s="18">
        <v>29.599</v>
      </c>
      <c r="E67" s="18">
        <v>34.603999999999999</v>
      </c>
      <c r="F67" s="18">
        <v>35.564</v>
      </c>
      <c r="G67" s="18">
        <v>237.34</v>
      </c>
      <c r="H67" s="18">
        <f t="shared" si="0"/>
        <v>30.970249999999997</v>
      </c>
      <c r="I67" s="5"/>
      <c r="J67" s="17">
        <v>253.34479999999999</v>
      </c>
      <c r="K67" s="18">
        <v>29.872199999999999</v>
      </c>
      <c r="L67" s="18">
        <v>35.190100000000001</v>
      </c>
      <c r="M67" s="18">
        <v>36.2239</v>
      </c>
      <c r="N67" s="18">
        <v>564.97180000000003</v>
      </c>
      <c r="O67" s="18">
        <f t="shared" si="1"/>
        <v>31.3309</v>
      </c>
      <c r="P67" s="7"/>
      <c r="Q67" s="10"/>
      <c r="R67" s="11"/>
      <c r="S67" s="11"/>
      <c r="T67" s="26"/>
      <c r="U67" s="28">
        <f t="shared" si="2"/>
        <v>1.3804322912277744</v>
      </c>
    </row>
    <row r="68" spans="1:21" ht="16.5" thickBot="1" x14ac:dyDescent="0.3">
      <c r="B68" s="12"/>
      <c r="C68" s="19">
        <v>117.94</v>
      </c>
      <c r="D68" s="20">
        <v>27.460999999999999</v>
      </c>
      <c r="E68" s="20">
        <v>32.972000000000001</v>
      </c>
      <c r="F68" s="20">
        <v>33.832999999999998</v>
      </c>
      <c r="G68" s="20">
        <v>300.60000000000002</v>
      </c>
      <c r="H68" s="20">
        <f t="shared" si="0"/>
        <v>28.946375</v>
      </c>
      <c r="I68" s="5"/>
      <c r="J68" s="19">
        <v>122.276</v>
      </c>
      <c r="K68" s="20">
        <v>27.390699999999999</v>
      </c>
      <c r="L68" s="20">
        <v>33.728099999999998</v>
      </c>
      <c r="M68" s="20">
        <v>34.632599999999996</v>
      </c>
      <c r="N68" s="20">
        <v>835.65459999999996</v>
      </c>
      <c r="O68" s="20">
        <f t="shared" si="1"/>
        <v>29.088112499999998</v>
      </c>
      <c r="P68" s="7"/>
      <c r="Q68" s="13"/>
      <c r="R68" s="14"/>
      <c r="S68" s="14"/>
      <c r="T68" s="27"/>
      <c r="U68" s="28">
        <f t="shared" si="2"/>
        <v>1.7799554224883563</v>
      </c>
    </row>
    <row r="69" spans="1:21" x14ac:dyDescent="0.25">
      <c r="A69" s="6" t="s">
        <v>43</v>
      </c>
      <c r="B69" s="6" t="s">
        <v>61</v>
      </c>
      <c r="C69" s="15">
        <v>1389.93</v>
      </c>
      <c r="D69" s="16">
        <v>39.808999999999997</v>
      </c>
      <c r="E69" s="16">
        <v>44.103000000000002</v>
      </c>
      <c r="F69" s="16">
        <v>45.277000000000001</v>
      </c>
      <c r="G69" s="16">
        <v>60.57</v>
      </c>
      <c r="H69" s="16">
        <f t="shared" si="0"/>
        <v>41.029249999999998</v>
      </c>
      <c r="I69" s="5"/>
      <c r="J69" s="15">
        <v>1497.2016000000001</v>
      </c>
      <c r="K69" s="16">
        <v>41.1479</v>
      </c>
      <c r="L69" s="16">
        <v>45.6875</v>
      </c>
      <c r="M69" s="16">
        <v>46.848300000000002</v>
      </c>
      <c r="N69" s="16">
        <v>170.9402</v>
      </c>
      <c r="O69" s="16">
        <f t="shared" si="1"/>
        <v>42.427900000000001</v>
      </c>
      <c r="P69" s="7"/>
      <c r="Q69" s="8">
        <f>bdrate(C69:C72,D69:D72,J69:J72,K69:K72)</f>
        <v>-0.2749440683326686</v>
      </c>
      <c r="R69" s="8">
        <f>bdrate(C69:C72,E69:E72,J69:J72,L69:L72)</f>
        <v>-0.4063404403864167</v>
      </c>
      <c r="S69" s="8">
        <f>bdrate(C69:C72,F69:F72,J69:J72,M69:M72)</f>
        <v>-0.38433500234850126</v>
      </c>
      <c r="T69" s="25">
        <f>bdrate(C69:C72,H69:H72,J69:J72,O69:O72)</f>
        <v>-0.29717247529154844</v>
      </c>
      <c r="U69" s="28">
        <f t="shared" si="2"/>
        <v>1.8221925045402017</v>
      </c>
    </row>
    <row r="70" spans="1:21" x14ac:dyDescent="0.25">
      <c r="A70" s="9" t="s">
        <v>44</v>
      </c>
      <c r="B70" s="9"/>
      <c r="C70" s="17">
        <v>917.35</v>
      </c>
      <c r="D70" s="18">
        <v>38.454000000000001</v>
      </c>
      <c r="E70" s="18">
        <v>43.052999999999997</v>
      </c>
      <c r="F70" s="18">
        <v>44.213999999999999</v>
      </c>
      <c r="G70" s="18">
        <v>73.260000000000005</v>
      </c>
      <c r="H70" s="18">
        <f t="shared" si="0"/>
        <v>39.748874999999998</v>
      </c>
      <c r="I70" s="5"/>
      <c r="J70" s="17">
        <v>992.70960000000002</v>
      </c>
      <c r="K70" s="18">
        <v>40.046100000000003</v>
      </c>
      <c r="L70" s="18">
        <v>44.819200000000002</v>
      </c>
      <c r="M70" s="18">
        <v>45.955199999999998</v>
      </c>
      <c r="N70" s="18">
        <v>192.30770000000001</v>
      </c>
      <c r="O70" s="18">
        <f t="shared" si="1"/>
        <v>41.381375000000006</v>
      </c>
      <c r="P70" s="7"/>
      <c r="Q70" s="10"/>
      <c r="R70" s="11"/>
      <c r="S70" s="11"/>
      <c r="T70" s="26"/>
      <c r="U70" s="28">
        <f t="shared" si="2"/>
        <v>1.6250027300027299</v>
      </c>
    </row>
    <row r="71" spans="1:21" x14ac:dyDescent="0.25">
      <c r="B71" s="9"/>
      <c r="C71" s="17">
        <v>544.66</v>
      </c>
      <c r="D71" s="18">
        <v>36.58</v>
      </c>
      <c r="E71" s="18">
        <v>42.073</v>
      </c>
      <c r="F71" s="18">
        <v>43.143000000000001</v>
      </c>
      <c r="G71" s="18">
        <v>82.18</v>
      </c>
      <c r="H71" s="18">
        <f t="shared" si="0"/>
        <v>38.087000000000003</v>
      </c>
      <c r="I71" s="5"/>
      <c r="J71" s="17">
        <v>574.35360000000003</v>
      </c>
      <c r="K71" s="18">
        <v>38.080100000000002</v>
      </c>
      <c r="L71" s="18">
        <v>43.377099999999999</v>
      </c>
      <c r="M71" s="18">
        <v>44.4358</v>
      </c>
      <c r="N71" s="18">
        <v>223.63030000000001</v>
      </c>
      <c r="O71" s="18">
        <f t="shared" si="1"/>
        <v>39.536687499999999</v>
      </c>
      <c r="P71" s="7"/>
      <c r="Q71" s="10"/>
      <c r="R71" s="11"/>
      <c r="S71" s="11"/>
      <c r="T71" s="26"/>
      <c r="U71" s="28">
        <f t="shared" si="2"/>
        <v>1.7212253589681186</v>
      </c>
    </row>
    <row r="72" spans="1:21" ht="16.5" thickBot="1" x14ac:dyDescent="0.3">
      <c r="B72" s="12"/>
      <c r="C72" s="19">
        <v>259.68</v>
      </c>
      <c r="D72" s="20">
        <v>34.432000000000002</v>
      </c>
      <c r="E72" s="20">
        <v>41.05</v>
      </c>
      <c r="F72" s="20">
        <v>41.984000000000002</v>
      </c>
      <c r="G72" s="20">
        <v>92.68</v>
      </c>
      <c r="H72" s="20">
        <f t="shared" si="0"/>
        <v>36.203249999999997</v>
      </c>
      <c r="I72" s="5"/>
      <c r="J72" s="19">
        <v>279.38159999999999</v>
      </c>
      <c r="K72" s="20">
        <v>34.951999999999998</v>
      </c>
      <c r="L72" s="20">
        <v>41.464100000000002</v>
      </c>
      <c r="M72" s="20">
        <v>42.446100000000001</v>
      </c>
      <c r="N72" s="20">
        <v>276.62520000000001</v>
      </c>
      <c r="O72" s="20">
        <f t="shared" si="1"/>
        <v>36.702775000000003</v>
      </c>
      <c r="P72" s="7"/>
      <c r="Q72" s="13"/>
      <c r="R72" s="14"/>
      <c r="S72" s="14"/>
      <c r="T72" s="27"/>
      <c r="U72" s="28">
        <f t="shared" si="2"/>
        <v>1.984734570565386</v>
      </c>
    </row>
    <row r="73" spans="1:21" x14ac:dyDescent="0.25">
      <c r="B73" s="6" t="s">
        <v>62</v>
      </c>
      <c r="C73" s="15">
        <v>1436.16</v>
      </c>
      <c r="D73" s="16">
        <v>41.62</v>
      </c>
      <c r="E73" s="16">
        <v>46.527000000000001</v>
      </c>
      <c r="F73" s="16">
        <v>47.133000000000003</v>
      </c>
      <c r="G73" s="16">
        <v>65.3</v>
      </c>
      <c r="H73" s="16">
        <f t="shared" si="0"/>
        <v>42.922499999999992</v>
      </c>
      <c r="I73" s="5"/>
      <c r="J73" s="15">
        <v>1490.6304</v>
      </c>
      <c r="K73" s="16">
        <v>42.461799999999997</v>
      </c>
      <c r="L73" s="16">
        <v>47.7027</v>
      </c>
      <c r="M73" s="16">
        <v>48.408900000000003</v>
      </c>
      <c r="N73" s="16">
        <v>190.3553</v>
      </c>
      <c r="O73" s="16">
        <f t="shared" si="1"/>
        <v>43.860300000000002</v>
      </c>
      <c r="P73" s="7"/>
      <c r="Q73" s="8">
        <f>bdrate(C73:C76,D73:D76,J73:J76,K73:K76)</f>
        <v>-0.36551546307914762</v>
      </c>
      <c r="R73" s="8">
        <f>bdrate(C73:C76,E73:E76,J73:J76,L73:L76)</f>
        <v>-0.51279229137023385</v>
      </c>
      <c r="S73" s="8">
        <f>bdrate(C73:C76,F73:F76,J73:J76,M73:M76)</f>
        <v>-0.54246645955850203</v>
      </c>
      <c r="T73" s="25">
        <f>bdrate(C73:C76,H73:H76,J73:J76,O73:O76)</f>
        <v>-0.40821941823884433</v>
      </c>
      <c r="U73" s="28">
        <f t="shared" ref="U73:U124" si="3">(N73-G73)/G73</f>
        <v>1.9150888208269528</v>
      </c>
    </row>
    <row r="74" spans="1:21" x14ac:dyDescent="0.25">
      <c r="B74" s="9"/>
      <c r="C74" s="17">
        <v>950.67</v>
      </c>
      <c r="D74" s="18">
        <v>40.945999999999998</v>
      </c>
      <c r="E74" s="18">
        <v>45.841999999999999</v>
      </c>
      <c r="F74" s="18">
        <v>46.405999999999999</v>
      </c>
      <c r="G74" s="18">
        <v>76.02</v>
      </c>
      <c r="H74" s="18">
        <f t="shared" si="0"/>
        <v>42.240499999999997</v>
      </c>
      <c r="I74" s="5"/>
      <c r="J74" s="17">
        <v>982.048</v>
      </c>
      <c r="K74" s="18">
        <v>41.911499999999997</v>
      </c>
      <c r="L74" s="18">
        <v>47.215000000000003</v>
      </c>
      <c r="M74" s="18">
        <v>47.922699999999999</v>
      </c>
      <c r="N74" s="18">
        <v>217.3126</v>
      </c>
      <c r="O74" s="18">
        <f t="shared" si="1"/>
        <v>43.325837499999999</v>
      </c>
      <c r="P74" s="7"/>
      <c r="Q74" s="10"/>
      <c r="R74" s="11"/>
      <c r="S74" s="11"/>
      <c r="T74" s="26"/>
      <c r="U74" s="28">
        <f t="shared" si="3"/>
        <v>1.8586240463036043</v>
      </c>
    </row>
    <row r="75" spans="1:21" x14ac:dyDescent="0.25">
      <c r="B75" s="9"/>
      <c r="C75" s="17">
        <v>562.48</v>
      </c>
      <c r="D75" s="18">
        <v>39.950000000000003</v>
      </c>
      <c r="E75" s="18">
        <v>44.927999999999997</v>
      </c>
      <c r="F75" s="18">
        <v>45.381999999999998</v>
      </c>
      <c r="G75" s="18">
        <v>83.8</v>
      </c>
      <c r="H75" s="18">
        <f t="shared" si="0"/>
        <v>41.251250000000006</v>
      </c>
      <c r="I75" s="5"/>
      <c r="J75" s="17">
        <v>583.5856</v>
      </c>
      <c r="K75" s="18">
        <v>40.972799999999999</v>
      </c>
      <c r="L75" s="18">
        <v>46.360999999999997</v>
      </c>
      <c r="M75" s="18">
        <v>47.037100000000002</v>
      </c>
      <c r="N75" s="18">
        <v>248.13900000000001</v>
      </c>
      <c r="O75" s="18">
        <f t="shared" si="1"/>
        <v>42.404362499999998</v>
      </c>
      <c r="P75" s="7"/>
      <c r="Q75" s="10"/>
      <c r="R75" s="11"/>
      <c r="S75" s="11"/>
      <c r="T75" s="26"/>
      <c r="U75" s="28">
        <f t="shared" si="3"/>
        <v>1.9610859188544154</v>
      </c>
    </row>
    <row r="76" spans="1:21" ht="16.5" thickBot="1" x14ac:dyDescent="0.3">
      <c r="B76" s="12"/>
      <c r="C76" s="19">
        <v>269.95999999999998</v>
      </c>
      <c r="D76" s="20">
        <v>38.088000000000001</v>
      </c>
      <c r="E76" s="20">
        <v>43.744999999999997</v>
      </c>
      <c r="F76" s="20">
        <v>44.005000000000003</v>
      </c>
      <c r="G76" s="20">
        <v>94.74</v>
      </c>
      <c r="H76" s="20">
        <f t="shared" si="0"/>
        <v>39.534750000000003</v>
      </c>
      <c r="I76" s="5"/>
      <c r="J76" s="19">
        <v>283.17759999999998</v>
      </c>
      <c r="K76" s="20">
        <v>39.186700000000002</v>
      </c>
      <c r="L76" s="20">
        <v>44.7455</v>
      </c>
      <c r="M76" s="20">
        <v>45.388800000000003</v>
      </c>
      <c r="N76" s="20">
        <v>291.26209999999998</v>
      </c>
      <c r="O76" s="20">
        <f t="shared" si="1"/>
        <v>40.656812500000001</v>
      </c>
      <c r="P76" s="7"/>
      <c r="Q76" s="13"/>
      <c r="R76" s="14"/>
      <c r="S76" s="14"/>
      <c r="T76" s="27"/>
      <c r="U76" s="28">
        <f t="shared" si="3"/>
        <v>2.0743308000844416</v>
      </c>
    </row>
    <row r="77" spans="1:21" x14ac:dyDescent="0.25">
      <c r="B77" s="6" t="s">
        <v>63</v>
      </c>
      <c r="C77" s="15">
        <v>1506.51</v>
      </c>
      <c r="D77" s="16">
        <v>41.381999999999998</v>
      </c>
      <c r="E77" s="16">
        <v>45.531999999999996</v>
      </c>
      <c r="F77" s="16">
        <v>46.335000000000001</v>
      </c>
      <c r="G77" s="16">
        <v>58.9</v>
      </c>
      <c r="H77" s="16">
        <f t="shared" si="0"/>
        <v>42.519874999999992</v>
      </c>
      <c r="I77" s="5"/>
      <c r="J77" s="15">
        <v>1543.652</v>
      </c>
      <c r="K77" s="16">
        <v>42.3125</v>
      </c>
      <c r="L77" s="16">
        <v>46.7699</v>
      </c>
      <c r="M77" s="16">
        <v>47.611899999999999</v>
      </c>
      <c r="N77" s="16">
        <v>163.6661</v>
      </c>
      <c r="O77" s="16">
        <f t="shared" si="1"/>
        <v>43.5321</v>
      </c>
      <c r="P77" s="7"/>
      <c r="Q77" s="8">
        <f>bdrate(C77:C80,D77:D80,J77:J80,K77:K80)</f>
        <v>-0.3108216767461971</v>
      </c>
      <c r="R77" s="8">
        <f>bdrate(C77:C80,E77:E80,J77:J80,L77:L80)</f>
        <v>-0.42850315429458941</v>
      </c>
      <c r="S77" s="8">
        <f>bdrate(C77:C80,F77:F80,J77:J80,M77:M80)</f>
        <v>-0.40864388141003005</v>
      </c>
      <c r="T77" s="25">
        <f>bdrate(C77:C80,H77:H80,J77:J80,O77:O80)</f>
        <v>-0.33457726140745803</v>
      </c>
      <c r="U77" s="28">
        <f t="shared" si="3"/>
        <v>1.7787113752122241</v>
      </c>
    </row>
    <row r="78" spans="1:21" x14ac:dyDescent="0.25">
      <c r="B78" s="9"/>
      <c r="C78" s="17">
        <v>997.43</v>
      </c>
      <c r="D78" s="18">
        <v>40.338000000000001</v>
      </c>
      <c r="E78" s="18">
        <v>44.648000000000003</v>
      </c>
      <c r="F78" s="18">
        <v>45.463000000000001</v>
      </c>
      <c r="G78" s="18">
        <v>68.8</v>
      </c>
      <c r="H78" s="18">
        <f t="shared" si="0"/>
        <v>41.517375000000008</v>
      </c>
      <c r="I78" s="5"/>
      <c r="J78" s="17">
        <v>1017.9968</v>
      </c>
      <c r="K78" s="18">
        <v>41.445099999999996</v>
      </c>
      <c r="L78" s="18">
        <v>46.0137</v>
      </c>
      <c r="M78" s="18">
        <v>46.835299999999997</v>
      </c>
      <c r="N78" s="18">
        <v>188.5607</v>
      </c>
      <c r="O78" s="18">
        <f t="shared" si="1"/>
        <v>42.689950000000003</v>
      </c>
      <c r="P78" s="7"/>
      <c r="Q78" s="10"/>
      <c r="R78" s="11"/>
      <c r="S78" s="11"/>
      <c r="T78" s="26"/>
      <c r="U78" s="28">
        <f t="shared" si="3"/>
        <v>1.7407078488372094</v>
      </c>
    </row>
    <row r="79" spans="1:21" x14ac:dyDescent="0.25">
      <c r="B79" s="9"/>
      <c r="C79" s="17">
        <v>592.64</v>
      </c>
      <c r="D79" s="18">
        <v>38.78</v>
      </c>
      <c r="E79" s="18">
        <v>43.375999999999998</v>
      </c>
      <c r="F79" s="18">
        <v>44.317999999999998</v>
      </c>
      <c r="G79" s="18">
        <v>77.55</v>
      </c>
      <c r="H79" s="18">
        <f t="shared" si="0"/>
        <v>40.046749999999996</v>
      </c>
      <c r="I79" s="5"/>
      <c r="J79" s="17">
        <v>607.8048</v>
      </c>
      <c r="K79" s="18">
        <v>40.066099999999999</v>
      </c>
      <c r="L79" s="18">
        <v>44.863799999999998</v>
      </c>
      <c r="M79" s="18">
        <v>45.670900000000003</v>
      </c>
      <c r="N79" s="18">
        <v>219.78020000000001</v>
      </c>
      <c r="O79" s="18">
        <f t="shared" si="1"/>
        <v>41.366412500000003</v>
      </c>
      <c r="P79" s="7"/>
      <c r="Q79" s="10"/>
      <c r="R79" s="11"/>
      <c r="S79" s="11"/>
      <c r="T79" s="26"/>
      <c r="U79" s="28">
        <f t="shared" si="3"/>
        <v>1.8340451321727922</v>
      </c>
    </row>
    <row r="80" spans="1:21" ht="16.5" thickBot="1" x14ac:dyDescent="0.3">
      <c r="B80" s="12"/>
      <c r="C80" s="19">
        <v>286.72000000000003</v>
      </c>
      <c r="D80" s="20">
        <v>36.561999999999998</v>
      </c>
      <c r="E80" s="20">
        <v>42.082999999999998</v>
      </c>
      <c r="F80" s="20">
        <v>43.018999999999998</v>
      </c>
      <c r="G80" s="20">
        <v>88.82</v>
      </c>
      <c r="H80" s="20">
        <f t="shared" si="0"/>
        <v>38.059249999999999</v>
      </c>
      <c r="I80" s="5"/>
      <c r="J80" s="19">
        <v>297.49119999999999</v>
      </c>
      <c r="K80" s="20">
        <v>37.478900000000003</v>
      </c>
      <c r="L80" s="20">
        <v>42.852499999999999</v>
      </c>
      <c r="M80" s="20">
        <v>43.639299999999999</v>
      </c>
      <c r="N80" s="20">
        <v>267.02269999999999</v>
      </c>
      <c r="O80" s="20">
        <f t="shared" si="1"/>
        <v>38.920650000000002</v>
      </c>
      <c r="P80" s="7"/>
      <c r="Q80" s="13"/>
      <c r="R80" s="14"/>
      <c r="S80" s="14"/>
      <c r="T80" s="27"/>
      <c r="U80" s="28">
        <f t="shared" si="3"/>
        <v>2.0063352848457554</v>
      </c>
    </row>
    <row r="81" spans="1:21" x14ac:dyDescent="0.25">
      <c r="A81" s="6" t="s">
        <v>94</v>
      </c>
      <c r="B81" s="6" t="s">
        <v>95</v>
      </c>
      <c r="C81" s="29">
        <v>1209.01</v>
      </c>
      <c r="D81" s="30">
        <v>41.692</v>
      </c>
      <c r="E81" s="30">
        <v>47.286000000000001</v>
      </c>
      <c r="F81" s="30">
        <v>48.220999999999997</v>
      </c>
      <c r="G81" s="16">
        <v>36.5</v>
      </c>
      <c r="H81" s="16">
        <f t="shared" ref="H81:H124" si="4">(6*D81+E81+F81)/8</f>
        <v>43.207374999999999</v>
      </c>
      <c r="I81" s="5"/>
      <c r="J81" s="15">
        <v>1285.7333000000001</v>
      </c>
      <c r="K81" s="16">
        <v>42.965899999999998</v>
      </c>
      <c r="L81" s="16">
        <v>48.388500000000001</v>
      </c>
      <c r="M81" s="16">
        <v>49.6584</v>
      </c>
      <c r="N81" s="16">
        <v>103.02200000000001</v>
      </c>
      <c r="O81" s="16">
        <f t="shared" ref="O81:O124" si="5">(6*K81+L81+M81)/8</f>
        <v>44.480287500000003</v>
      </c>
      <c r="P81" s="7"/>
      <c r="Q81" s="8">
        <f>bdrate(C81:C84,D81:D84,J81:J84,K81:K84)</f>
        <v>-0.22290468341391101</v>
      </c>
      <c r="R81" s="8">
        <f>bdrate(C81:C84,E81:E84,J81:J84,L81:L84)</f>
        <v>-0.37185545316799762</v>
      </c>
      <c r="S81" s="8">
        <f>bdrate(C81:C84,F81:F84,J81:J84,M81:M84)</f>
        <v>-0.35037291522287861</v>
      </c>
      <c r="T81" s="25">
        <f>bdrate(C81:C84,H81:H84,J81:J84,O81:O84)</f>
        <v>-0.25182406337950036</v>
      </c>
      <c r="U81" s="28">
        <f t="shared" si="3"/>
        <v>1.8225205479452056</v>
      </c>
    </row>
    <row r="82" spans="1:21" x14ac:dyDescent="0.25">
      <c r="A82" s="9" t="s">
        <v>77</v>
      </c>
      <c r="B82" s="9"/>
      <c r="C82" s="31">
        <v>808.92</v>
      </c>
      <c r="D82" s="32">
        <v>39.585999999999999</v>
      </c>
      <c r="E82" s="32">
        <v>45.71</v>
      </c>
      <c r="F82" s="32">
        <v>46.779000000000003</v>
      </c>
      <c r="G82" s="18">
        <v>41.02</v>
      </c>
      <c r="H82" s="18">
        <f t="shared" si="4"/>
        <v>41.250624999999999</v>
      </c>
      <c r="I82" s="5"/>
      <c r="J82" s="17">
        <v>878.8184</v>
      </c>
      <c r="K82" s="18">
        <v>41.3354</v>
      </c>
      <c r="L82" s="18">
        <v>47.233600000000003</v>
      </c>
      <c r="M82" s="18">
        <v>48.520800000000001</v>
      </c>
      <c r="N82" s="18">
        <v>119.8163</v>
      </c>
      <c r="O82" s="18">
        <f t="shared" si="5"/>
        <v>42.970850000000006</v>
      </c>
      <c r="P82" s="7"/>
      <c r="Q82" s="10"/>
      <c r="R82" s="11"/>
      <c r="S82" s="11"/>
      <c r="T82" s="26"/>
      <c r="U82" s="28">
        <f t="shared" si="3"/>
        <v>1.9209239395416868</v>
      </c>
    </row>
    <row r="83" spans="1:21" x14ac:dyDescent="0.25">
      <c r="B83" s="9"/>
      <c r="C83" s="31">
        <v>490.42</v>
      </c>
      <c r="D83" s="32">
        <v>37.491</v>
      </c>
      <c r="E83" s="32">
        <v>43.927999999999997</v>
      </c>
      <c r="F83" s="32">
        <v>45.097999999999999</v>
      </c>
      <c r="G83" s="18">
        <v>46.38</v>
      </c>
      <c r="H83" s="18">
        <f t="shared" si="4"/>
        <v>39.246500000000005</v>
      </c>
      <c r="I83" s="5"/>
      <c r="J83" s="17">
        <v>542.01160000000004</v>
      </c>
      <c r="K83" s="18">
        <v>38.988599999999998</v>
      </c>
      <c r="L83" s="18">
        <v>46.0456</v>
      </c>
      <c r="M83" s="18">
        <v>46.8369</v>
      </c>
      <c r="N83" s="18">
        <v>148.11160000000001</v>
      </c>
      <c r="O83" s="18">
        <f t="shared" si="5"/>
        <v>40.8517625</v>
      </c>
      <c r="P83" s="7"/>
      <c r="Q83" s="10"/>
      <c r="R83" s="11"/>
      <c r="S83" s="11"/>
      <c r="T83" s="26"/>
      <c r="U83" s="28">
        <f t="shared" si="3"/>
        <v>2.1934368262181976</v>
      </c>
    </row>
    <row r="84" spans="1:21" ht="16.5" thickBot="1" x14ac:dyDescent="0.3">
      <c r="B84" s="12"/>
      <c r="C84" s="33">
        <v>249.38</v>
      </c>
      <c r="D84" s="34">
        <v>34.552</v>
      </c>
      <c r="E84" s="34">
        <v>41.731000000000002</v>
      </c>
      <c r="F84" s="34">
        <v>42.889000000000003</v>
      </c>
      <c r="G84" s="20">
        <v>55.61</v>
      </c>
      <c r="H84" s="20">
        <f t="shared" si="4"/>
        <v>36.491500000000002</v>
      </c>
      <c r="I84" s="5"/>
      <c r="J84" s="19">
        <v>279.7919</v>
      </c>
      <c r="K84" s="20">
        <v>36.0428</v>
      </c>
      <c r="L84" s="20">
        <v>43.412500000000001</v>
      </c>
      <c r="M84" s="20">
        <v>44.834899999999998</v>
      </c>
      <c r="N84" s="20">
        <v>194.91069999999999</v>
      </c>
      <c r="O84" s="20">
        <f t="shared" si="5"/>
        <v>38.063025000000003</v>
      </c>
      <c r="P84" s="7"/>
      <c r="Q84" s="13"/>
      <c r="R84" s="14"/>
      <c r="S84" s="14"/>
      <c r="T84" s="27"/>
      <c r="U84" s="28">
        <f t="shared" si="3"/>
        <v>2.5049577414134152</v>
      </c>
    </row>
    <row r="85" spans="1:21" x14ac:dyDescent="0.25">
      <c r="B85" s="6" t="s">
        <v>96</v>
      </c>
      <c r="C85" s="15">
        <v>1476</v>
      </c>
      <c r="D85" s="16">
        <v>48.845999999999997</v>
      </c>
      <c r="E85" s="16">
        <v>49.991</v>
      </c>
      <c r="F85" s="16">
        <v>50.442</v>
      </c>
      <c r="G85" s="16">
        <v>74.63</v>
      </c>
      <c r="H85" s="16">
        <f t="shared" si="4"/>
        <v>49.188624999999995</v>
      </c>
      <c r="I85" s="5"/>
      <c r="J85" s="15">
        <v>1426.7552000000001</v>
      </c>
      <c r="K85" s="16">
        <v>51.106000000000002</v>
      </c>
      <c r="L85" s="16">
        <v>51.646799999999999</v>
      </c>
      <c r="M85" s="16">
        <v>52.105899999999998</v>
      </c>
      <c r="N85" s="16">
        <v>174.0307</v>
      </c>
      <c r="O85" s="16">
        <f t="shared" si="5"/>
        <v>51.298587500000004</v>
      </c>
      <c r="P85" s="7"/>
      <c r="Q85" s="8">
        <f>bdrate(C85:C88,D85:D88,J85:J88,K85:K88)</f>
        <v>-0.38756007018408989</v>
      </c>
      <c r="R85" s="8">
        <f>bdrate(C85:C88,E85:E88,J85:J88,L85:L88)</f>
        <v>-0.37203775739493006</v>
      </c>
      <c r="S85" s="8">
        <f>bdrate(C85:C88,F85:F88,J85:J88,M85:M88)</f>
        <v>-0.37202424397772182</v>
      </c>
      <c r="T85" s="25">
        <f>bdrate(C85:C88,H85:H88,J85:J88,O85:O88)</f>
        <v>-0.38413977862714255</v>
      </c>
      <c r="U85" s="28">
        <f t="shared" si="3"/>
        <v>1.3319134396355354</v>
      </c>
    </row>
    <row r="86" spans="1:21" x14ac:dyDescent="0.25">
      <c r="B86" s="9"/>
      <c r="C86" s="17">
        <v>982.36</v>
      </c>
      <c r="D86" s="18">
        <v>46.203000000000003</v>
      </c>
      <c r="E86" s="18">
        <v>47.573</v>
      </c>
      <c r="F86" s="18">
        <v>48.113</v>
      </c>
      <c r="G86" s="18">
        <v>84.72</v>
      </c>
      <c r="H86" s="18">
        <f t="shared" si="4"/>
        <v>46.613</v>
      </c>
      <c r="I86" s="5"/>
      <c r="J86" s="17">
        <v>966.60590000000002</v>
      </c>
      <c r="K86" s="18">
        <v>49.014000000000003</v>
      </c>
      <c r="L86" s="18">
        <v>49.827599999999997</v>
      </c>
      <c r="M86" s="18">
        <v>50.333599999999997</v>
      </c>
      <c r="N86" s="18">
        <v>218.12889999999999</v>
      </c>
      <c r="O86" s="18">
        <f t="shared" si="5"/>
        <v>49.280650000000001</v>
      </c>
      <c r="P86" s="7"/>
      <c r="Q86" s="10"/>
      <c r="R86" s="11"/>
      <c r="S86" s="11"/>
      <c r="T86" s="26"/>
      <c r="U86" s="28">
        <f t="shared" si="3"/>
        <v>1.5747037299338997</v>
      </c>
    </row>
    <row r="87" spans="1:21" x14ac:dyDescent="0.25">
      <c r="B87" s="9"/>
      <c r="C87" s="17">
        <v>591.54999999999995</v>
      </c>
      <c r="D87" s="18">
        <v>43.290999999999997</v>
      </c>
      <c r="E87" s="18">
        <v>44.972999999999999</v>
      </c>
      <c r="F87" s="18">
        <v>45.5</v>
      </c>
      <c r="G87" s="18">
        <v>89.24</v>
      </c>
      <c r="H87" s="18">
        <f t="shared" si="4"/>
        <v>43.777374999999999</v>
      </c>
      <c r="I87" s="5"/>
      <c r="J87" s="17">
        <v>588.99990000000003</v>
      </c>
      <c r="K87" s="18">
        <v>46.1599</v>
      </c>
      <c r="L87" s="18">
        <v>47.439399999999999</v>
      </c>
      <c r="M87" s="18">
        <v>47.96</v>
      </c>
      <c r="N87" s="18">
        <v>252.45439999999999</v>
      </c>
      <c r="O87" s="18">
        <f t="shared" si="5"/>
        <v>46.544849999999997</v>
      </c>
      <c r="P87" s="7"/>
      <c r="Q87" s="10"/>
      <c r="R87" s="11"/>
      <c r="S87" s="11"/>
      <c r="T87" s="26"/>
      <c r="U87" s="28">
        <f t="shared" si="3"/>
        <v>1.8289376961004036</v>
      </c>
    </row>
    <row r="88" spans="1:21" ht="16.5" thickBot="1" x14ac:dyDescent="0.3">
      <c r="B88" s="12"/>
      <c r="C88" s="19">
        <v>294.92</v>
      </c>
      <c r="D88" s="20">
        <v>39.771999999999998</v>
      </c>
      <c r="E88" s="20">
        <v>41.905000000000001</v>
      </c>
      <c r="F88" s="20">
        <v>42.493000000000002</v>
      </c>
      <c r="G88" s="20">
        <v>95.75</v>
      </c>
      <c r="H88" s="20">
        <f t="shared" si="4"/>
        <v>40.378750000000004</v>
      </c>
      <c r="I88" s="5"/>
      <c r="J88" s="19">
        <v>298.38200000000001</v>
      </c>
      <c r="K88" s="20">
        <v>42.095100000000002</v>
      </c>
      <c r="L88" s="20">
        <v>43.802</v>
      </c>
      <c r="M88" s="20">
        <v>44.325000000000003</v>
      </c>
      <c r="N88" s="20">
        <v>290.60379999999998</v>
      </c>
      <c r="O88" s="20">
        <f t="shared" si="5"/>
        <v>42.587200000000003</v>
      </c>
      <c r="P88" s="7"/>
      <c r="Q88" s="13"/>
      <c r="R88" s="14"/>
      <c r="S88" s="14"/>
      <c r="T88" s="27"/>
      <c r="U88" s="28">
        <f t="shared" si="3"/>
        <v>2.0350266318537855</v>
      </c>
    </row>
    <row r="89" spans="1:21" x14ac:dyDescent="0.25">
      <c r="B89" s="6" t="s">
        <v>97</v>
      </c>
      <c r="C89" s="15">
        <v>1552.4</v>
      </c>
      <c r="D89" s="16">
        <v>40.667000000000002</v>
      </c>
      <c r="E89" s="16">
        <v>43.362000000000002</v>
      </c>
      <c r="F89" s="16">
        <v>43.866999999999997</v>
      </c>
      <c r="G89" s="16">
        <v>48.16</v>
      </c>
      <c r="H89" s="16">
        <f t="shared" si="4"/>
        <v>41.403875000000006</v>
      </c>
      <c r="I89" s="5"/>
      <c r="J89" s="15">
        <v>1478.2372</v>
      </c>
      <c r="K89" s="16">
        <v>42.093000000000004</v>
      </c>
      <c r="L89" s="16">
        <v>44.513399999999997</v>
      </c>
      <c r="M89" s="16">
        <v>44.914999999999999</v>
      </c>
      <c r="N89" s="16">
        <v>127.07380000000001</v>
      </c>
      <c r="O89" s="16">
        <f t="shared" si="5"/>
        <v>42.748300000000008</v>
      </c>
      <c r="P89" s="7"/>
      <c r="Q89" s="8">
        <f>bdrate(C89:C92,D89:D92,J89:J92,K89:K92)</f>
        <v>-0.28272138453689588</v>
      </c>
      <c r="R89" s="8">
        <f>bdrate(C89:C92,E89:E92,J89:J92,L89:L92)</f>
        <v>-0.3166321708160128</v>
      </c>
      <c r="S89" s="8">
        <f>bdrate(C89:C92,F89:F92,J89:J92,M89:M92)</f>
        <v>-0.29911865834642892</v>
      </c>
      <c r="T89" s="25">
        <f>bdrate(C89:C92,H89:H92,J89:J92,O89:O92)</f>
        <v>-0.28759760726493755</v>
      </c>
      <c r="U89" s="28">
        <f t="shared" si="3"/>
        <v>1.6385755813953491</v>
      </c>
    </row>
    <row r="90" spans="1:21" x14ac:dyDescent="0.25">
      <c r="B90" s="9"/>
      <c r="C90" s="17">
        <v>1033.94</v>
      </c>
      <c r="D90" s="18">
        <v>38.677</v>
      </c>
      <c r="E90" s="18">
        <v>41.887999999999998</v>
      </c>
      <c r="F90" s="18">
        <v>42.401000000000003</v>
      </c>
      <c r="G90" s="18">
        <v>53.89</v>
      </c>
      <c r="H90" s="18">
        <f t="shared" si="4"/>
        <v>39.543875</v>
      </c>
      <c r="I90" s="5"/>
      <c r="J90" s="17">
        <v>983.27970000000005</v>
      </c>
      <c r="K90" s="18">
        <v>40.1021</v>
      </c>
      <c r="L90" s="18">
        <v>43.085099999999997</v>
      </c>
      <c r="M90" s="18">
        <v>43.496600000000001</v>
      </c>
      <c r="N90" s="18">
        <v>149.08070000000001</v>
      </c>
      <c r="O90" s="18">
        <f t="shared" si="5"/>
        <v>40.8992875</v>
      </c>
      <c r="P90" s="7"/>
      <c r="Q90" s="10"/>
      <c r="R90" s="11"/>
      <c r="S90" s="11"/>
      <c r="T90" s="26"/>
      <c r="U90" s="28">
        <f t="shared" si="3"/>
        <v>1.7663889404342179</v>
      </c>
    </row>
    <row r="91" spans="1:21" x14ac:dyDescent="0.25">
      <c r="B91" s="9"/>
      <c r="C91" s="17">
        <v>623.16</v>
      </c>
      <c r="D91" s="18">
        <v>36.075000000000003</v>
      </c>
      <c r="E91" s="18">
        <v>40.198999999999998</v>
      </c>
      <c r="F91" s="18">
        <v>40.722000000000001</v>
      </c>
      <c r="G91" s="18">
        <v>58.36</v>
      </c>
      <c r="H91" s="18">
        <f t="shared" si="4"/>
        <v>37.171374999999998</v>
      </c>
      <c r="I91" s="5"/>
      <c r="J91" s="17">
        <v>589.28599999999994</v>
      </c>
      <c r="K91" s="18">
        <v>37.483199999999997</v>
      </c>
      <c r="L91" s="18">
        <v>41.260800000000003</v>
      </c>
      <c r="M91" s="18">
        <v>41.676600000000001</v>
      </c>
      <c r="N91" s="18">
        <v>178.0592</v>
      </c>
      <c r="O91" s="18">
        <f t="shared" si="5"/>
        <v>38.479574999999997</v>
      </c>
      <c r="P91" s="7"/>
      <c r="Q91" s="10"/>
      <c r="R91" s="11"/>
      <c r="S91" s="11"/>
      <c r="T91" s="26"/>
      <c r="U91" s="28">
        <f t="shared" si="3"/>
        <v>2.0510486634681291</v>
      </c>
    </row>
    <row r="92" spans="1:21" ht="16.5" thickBot="1" x14ac:dyDescent="0.3">
      <c r="B92" s="12"/>
      <c r="C92" s="19">
        <v>313.12</v>
      </c>
      <c r="D92" s="20">
        <v>32.835000000000001</v>
      </c>
      <c r="E92" s="20">
        <v>37.765000000000001</v>
      </c>
      <c r="F92" s="20">
        <v>38.286999999999999</v>
      </c>
      <c r="G92" s="20">
        <v>68.599999999999994</v>
      </c>
      <c r="H92" s="20">
        <f t="shared" si="4"/>
        <v>34.132749999999994</v>
      </c>
      <c r="I92" s="5"/>
      <c r="J92" s="19">
        <v>295.38069999999999</v>
      </c>
      <c r="K92" s="20">
        <v>34.029600000000002</v>
      </c>
      <c r="L92" s="20">
        <v>38.995899999999999</v>
      </c>
      <c r="M92" s="20">
        <v>39.485599999999998</v>
      </c>
      <c r="N92" s="20">
        <v>219.78020000000001</v>
      </c>
      <c r="O92" s="20">
        <f t="shared" si="5"/>
        <v>35.332387500000003</v>
      </c>
      <c r="P92" s="7"/>
      <c r="Q92" s="13"/>
      <c r="R92" s="14"/>
      <c r="S92" s="14"/>
      <c r="T92" s="27"/>
      <c r="U92" s="28">
        <f t="shared" si="3"/>
        <v>2.2037930029154524</v>
      </c>
    </row>
    <row r="93" spans="1:21" x14ac:dyDescent="0.25">
      <c r="B93" s="6" t="s">
        <v>98</v>
      </c>
      <c r="C93" s="15">
        <v>1376.1</v>
      </c>
      <c r="D93" s="16">
        <v>37.389000000000003</v>
      </c>
      <c r="E93" s="16">
        <v>42.19</v>
      </c>
      <c r="F93" s="16">
        <v>42.204999999999998</v>
      </c>
      <c r="G93" s="16">
        <v>39.17</v>
      </c>
      <c r="H93" s="16">
        <f t="shared" si="4"/>
        <v>38.591124999999998</v>
      </c>
      <c r="I93" s="5"/>
      <c r="J93" s="29">
        <v>1508.1143</v>
      </c>
      <c r="K93" s="30">
        <v>38.5608</v>
      </c>
      <c r="L93" s="30">
        <v>43.139499999999998</v>
      </c>
      <c r="M93" s="30">
        <v>43.120199999999997</v>
      </c>
      <c r="N93" s="16">
        <v>107.6362</v>
      </c>
      <c r="O93" s="16">
        <f t="shared" si="5"/>
        <v>39.703062500000001</v>
      </c>
      <c r="P93" s="7"/>
      <c r="Q93" s="8">
        <f>bdrate(C93:C96,D93:D96,J93:J96,K93:K96)</f>
        <v>-9.2885188330170232E-2</v>
      </c>
      <c r="R93" s="8">
        <f>bdrate(C93:C96,E93:E96,J93:J96,L93:L96)</f>
        <v>-0.22604625562973446</v>
      </c>
      <c r="S93" s="8">
        <f>bdrate(C93:C96,F93:F96,J93:J96,M93:M96)</f>
        <v>-0.21788321495643148</v>
      </c>
      <c r="T93" s="25">
        <f>bdrate(C93:C96,H93:H96,J93:J96,O93:O96)</f>
        <v>-0.11985200685285535</v>
      </c>
      <c r="U93" s="28">
        <f t="shared" si="3"/>
        <v>1.7479244319632372</v>
      </c>
    </row>
    <row r="94" spans="1:21" x14ac:dyDescent="0.25">
      <c r="B94" s="9"/>
      <c r="C94" s="17">
        <v>912.69</v>
      </c>
      <c r="D94" s="18">
        <v>35.709000000000003</v>
      </c>
      <c r="E94" s="18">
        <v>40.94</v>
      </c>
      <c r="F94" s="18">
        <v>40.929000000000002</v>
      </c>
      <c r="G94" s="18">
        <v>44.28</v>
      </c>
      <c r="H94" s="18">
        <f t="shared" si="4"/>
        <v>37.015375000000006</v>
      </c>
      <c r="I94" s="5"/>
      <c r="J94" s="31">
        <v>1004.4443</v>
      </c>
      <c r="K94" s="32">
        <v>36.725900000000003</v>
      </c>
      <c r="L94" s="32">
        <v>41.955100000000002</v>
      </c>
      <c r="M94" s="32">
        <v>41.9146</v>
      </c>
      <c r="N94" s="18">
        <v>125.1477</v>
      </c>
      <c r="O94" s="18">
        <f t="shared" si="5"/>
        <v>38.028137500000007</v>
      </c>
      <c r="P94" s="7"/>
      <c r="Q94" s="10"/>
      <c r="R94" s="11"/>
      <c r="S94" s="11"/>
      <c r="T94" s="26"/>
      <c r="U94" s="28">
        <f t="shared" si="3"/>
        <v>1.8262804878048779</v>
      </c>
    </row>
    <row r="95" spans="1:21" x14ac:dyDescent="0.25">
      <c r="B95" s="9"/>
      <c r="C95" s="17">
        <v>546.53</v>
      </c>
      <c r="D95" s="18">
        <v>33.695999999999998</v>
      </c>
      <c r="E95" s="18">
        <v>39.444000000000003</v>
      </c>
      <c r="F95" s="18">
        <v>39.439</v>
      </c>
      <c r="G95" s="18">
        <v>50.61</v>
      </c>
      <c r="H95" s="18">
        <f t="shared" si="4"/>
        <v>35.132375000000003</v>
      </c>
      <c r="I95" s="5"/>
      <c r="J95" s="31">
        <v>601.63570000000004</v>
      </c>
      <c r="K95" s="32">
        <v>34.442300000000003</v>
      </c>
      <c r="L95" s="32">
        <v>40.430999999999997</v>
      </c>
      <c r="M95" s="32">
        <v>40.424700000000001</v>
      </c>
      <c r="N95" s="18">
        <v>151.63</v>
      </c>
      <c r="O95" s="18">
        <f t="shared" si="5"/>
        <v>35.9386875</v>
      </c>
      <c r="P95" s="7"/>
      <c r="Q95" s="10"/>
      <c r="R95" s="11"/>
      <c r="S95" s="11"/>
      <c r="T95" s="26"/>
      <c r="U95" s="28">
        <f t="shared" si="3"/>
        <v>1.9960482118158467</v>
      </c>
    </row>
    <row r="96" spans="1:21" ht="16.5" thickBot="1" x14ac:dyDescent="0.3">
      <c r="B96" s="12"/>
      <c r="C96" s="19">
        <v>272.52</v>
      </c>
      <c r="D96" s="20">
        <v>30.957000000000001</v>
      </c>
      <c r="E96" s="20">
        <v>37.386000000000003</v>
      </c>
      <c r="F96" s="20">
        <v>37.381999999999998</v>
      </c>
      <c r="G96" s="20">
        <v>60.1</v>
      </c>
      <c r="H96" s="20">
        <f t="shared" si="4"/>
        <v>32.563749999999999</v>
      </c>
      <c r="I96" s="5"/>
      <c r="J96" s="33">
        <v>302.55849999999998</v>
      </c>
      <c r="K96" s="34">
        <v>31.496500000000001</v>
      </c>
      <c r="L96" s="34">
        <v>38.6342</v>
      </c>
      <c r="M96" s="34">
        <v>38.514099999999999</v>
      </c>
      <c r="N96" s="20">
        <v>195.88640000000001</v>
      </c>
      <c r="O96" s="20">
        <f t="shared" si="5"/>
        <v>33.265912499999999</v>
      </c>
      <c r="P96" s="7"/>
      <c r="Q96" s="13"/>
      <c r="R96" s="14"/>
      <c r="S96" s="14"/>
      <c r="T96" s="27"/>
      <c r="U96" s="28">
        <f t="shared" si="3"/>
        <v>2.2593410981697173</v>
      </c>
    </row>
    <row r="97" spans="2:21" x14ac:dyDescent="0.25">
      <c r="B97" s="6" t="s">
        <v>99</v>
      </c>
      <c r="C97" s="29">
        <v>1533.02</v>
      </c>
      <c r="D97" s="30">
        <v>34.432000000000002</v>
      </c>
      <c r="E97" s="30">
        <v>39.052</v>
      </c>
      <c r="F97" s="30">
        <v>39.604999999999997</v>
      </c>
      <c r="G97" s="16">
        <v>47.1</v>
      </c>
      <c r="H97" s="16">
        <f t="shared" si="4"/>
        <v>35.656125000000003</v>
      </c>
      <c r="I97" s="5"/>
      <c r="J97" s="15">
        <v>1491.3096</v>
      </c>
      <c r="K97" s="16">
        <v>36.406399999999998</v>
      </c>
      <c r="L97" s="16">
        <v>41.079900000000002</v>
      </c>
      <c r="M97" s="16">
        <v>41.643099999999997</v>
      </c>
      <c r="N97" s="16">
        <v>109.5757</v>
      </c>
      <c r="O97" s="16">
        <f t="shared" si="5"/>
        <v>37.645175000000002</v>
      </c>
      <c r="P97" s="7"/>
      <c r="Q97" s="8">
        <f>bdrate(C97:C100,D97:D100,J97:J100,K97:K100)</f>
        <v>-0.30707504543992548</v>
      </c>
      <c r="R97" s="8">
        <f>bdrate(C97:C100,E97:E100,J97:J100,L97:L100)</f>
        <v>-0.46452629829784309</v>
      </c>
      <c r="S97" s="8">
        <f>bdrate(C97:C100,F97:F100,J97:J100,M97:M100)</f>
        <v>-0.47812764309740863</v>
      </c>
      <c r="T97" s="25">
        <f>bdrate(C97:C100,H97:H100,J97:J100,O97:O100)</f>
        <v>-0.34062815236311705</v>
      </c>
      <c r="U97" s="28">
        <f t="shared" si="3"/>
        <v>1.3264479830148619</v>
      </c>
    </row>
    <row r="98" spans="2:21" x14ac:dyDescent="0.25">
      <c r="B98" s="9"/>
      <c r="C98" s="31">
        <v>1020.5</v>
      </c>
      <c r="D98" s="32">
        <v>32.759</v>
      </c>
      <c r="E98" s="32">
        <v>37.75</v>
      </c>
      <c r="F98" s="32">
        <v>38.344999999999999</v>
      </c>
      <c r="G98" s="18">
        <v>54.87</v>
      </c>
      <c r="H98" s="18">
        <f t="shared" si="4"/>
        <v>34.081125</v>
      </c>
      <c r="I98" s="5"/>
      <c r="J98" s="17">
        <v>992.35839999999996</v>
      </c>
      <c r="K98" s="18">
        <v>34.438099999999999</v>
      </c>
      <c r="L98" s="18">
        <v>39.679099999999998</v>
      </c>
      <c r="M98" s="18">
        <v>40.286499999999997</v>
      </c>
      <c r="N98" s="18">
        <v>127.49679999999999</v>
      </c>
      <c r="O98" s="18">
        <f t="shared" si="5"/>
        <v>35.824275</v>
      </c>
      <c r="P98" s="7"/>
      <c r="Q98" s="10"/>
      <c r="R98" s="11"/>
      <c r="S98" s="11"/>
      <c r="T98" s="26"/>
      <c r="U98" s="28">
        <f t="shared" si="3"/>
        <v>1.3236158192090397</v>
      </c>
    </row>
    <row r="99" spans="2:21" x14ac:dyDescent="0.25">
      <c r="B99" s="9"/>
      <c r="C99" s="31">
        <v>614.19000000000005</v>
      </c>
      <c r="D99" s="32">
        <v>30.745999999999999</v>
      </c>
      <c r="E99" s="32">
        <v>36.380000000000003</v>
      </c>
      <c r="F99" s="32">
        <v>37.027000000000001</v>
      </c>
      <c r="G99" s="18">
        <v>61.47</v>
      </c>
      <c r="H99" s="18">
        <f t="shared" si="4"/>
        <v>32.235374999999998</v>
      </c>
      <c r="I99" s="5"/>
      <c r="J99" s="17">
        <v>596.18889999999999</v>
      </c>
      <c r="K99" s="18">
        <v>32.132800000000003</v>
      </c>
      <c r="L99" s="18">
        <v>38.054499999999997</v>
      </c>
      <c r="M99" s="18">
        <v>38.705300000000001</v>
      </c>
      <c r="N99" s="18">
        <v>153.43960000000001</v>
      </c>
      <c r="O99" s="18">
        <f t="shared" si="5"/>
        <v>33.694575</v>
      </c>
      <c r="P99" s="7"/>
      <c r="Q99" s="10"/>
      <c r="R99" s="11"/>
      <c r="S99" s="11"/>
      <c r="T99" s="26"/>
      <c r="U99" s="28">
        <f t="shared" si="3"/>
        <v>1.4961704896697579</v>
      </c>
    </row>
    <row r="100" spans="2:21" ht="16.5" thickBot="1" x14ac:dyDescent="0.3">
      <c r="B100" s="12"/>
      <c r="C100" s="33">
        <v>305.81</v>
      </c>
      <c r="D100" s="34">
        <v>28.033000000000001</v>
      </c>
      <c r="E100" s="34">
        <v>34.566000000000003</v>
      </c>
      <c r="F100" s="34">
        <v>35.390999999999998</v>
      </c>
      <c r="G100" s="20">
        <v>71.62</v>
      </c>
      <c r="H100" s="20">
        <f t="shared" si="4"/>
        <v>29.769375</v>
      </c>
      <c r="I100" s="5"/>
      <c r="J100" s="19">
        <v>299.27870000000001</v>
      </c>
      <c r="K100" s="20">
        <v>29.0626</v>
      </c>
      <c r="L100" s="20">
        <v>36.046999999999997</v>
      </c>
      <c r="M100" s="20">
        <v>36.786799999999999</v>
      </c>
      <c r="N100" s="20">
        <v>197.93270000000001</v>
      </c>
      <c r="O100" s="20">
        <f t="shared" si="5"/>
        <v>30.901174999999999</v>
      </c>
      <c r="P100" s="7"/>
      <c r="Q100" s="13"/>
      <c r="R100" s="14"/>
      <c r="S100" s="14"/>
      <c r="T100" s="27"/>
      <c r="U100" s="28">
        <f t="shared" si="3"/>
        <v>1.7636512147444847</v>
      </c>
    </row>
    <row r="101" spans="2:21" x14ac:dyDescent="0.25">
      <c r="B101" s="6" t="s">
        <v>100</v>
      </c>
      <c r="C101" s="15">
        <v>1491.58</v>
      </c>
      <c r="D101" s="16">
        <v>36.084000000000003</v>
      </c>
      <c r="E101" s="16">
        <v>41.704000000000001</v>
      </c>
      <c r="F101" s="16">
        <v>43.116</v>
      </c>
      <c r="G101" s="16">
        <v>35.35</v>
      </c>
      <c r="H101" s="16">
        <f t="shared" si="4"/>
        <v>37.665500000000002</v>
      </c>
      <c r="I101" s="5"/>
      <c r="J101" s="15">
        <v>1511.3155999999999</v>
      </c>
      <c r="K101" s="16">
        <v>36.775599999999997</v>
      </c>
      <c r="L101" s="16">
        <v>42.8</v>
      </c>
      <c r="M101" s="16">
        <v>44.199399999999997</v>
      </c>
      <c r="N101" s="16">
        <v>105.27549999999999</v>
      </c>
      <c r="O101" s="16">
        <f t="shared" si="5"/>
        <v>38.456625000000003</v>
      </c>
      <c r="P101" s="7"/>
      <c r="Q101" s="8">
        <f>bdrate(C101:C104,D101:D104,J101:J104,K101:K104)</f>
        <v>-0.17489441780807236</v>
      </c>
      <c r="R101" s="8">
        <f>bdrate(C101:C104,E101:E104,J101:J104,L101:L104)</f>
        <v>-0.42634774744076953</v>
      </c>
      <c r="S101" s="8">
        <f>bdrate(C101:C104,F101:F104,J101:J104,M101:M104)</f>
        <v>-0.39639638762429596</v>
      </c>
      <c r="T101" s="25">
        <f>bdrate(C101:C104,H101:H104,J101:J104,O101:O104)</f>
        <v>-0.2301313790911923</v>
      </c>
      <c r="U101" s="28">
        <f t="shared" si="3"/>
        <v>1.9780905233380479</v>
      </c>
    </row>
    <row r="102" spans="2:21" x14ac:dyDescent="0.25">
      <c r="B102" s="9"/>
      <c r="C102" s="17">
        <v>999.28</v>
      </c>
      <c r="D102" s="18">
        <v>34.784999999999997</v>
      </c>
      <c r="E102" s="18">
        <v>40.701999999999998</v>
      </c>
      <c r="F102" s="18">
        <v>41.926000000000002</v>
      </c>
      <c r="G102" s="18">
        <v>40.08</v>
      </c>
      <c r="H102" s="18">
        <f t="shared" si="4"/>
        <v>36.417249999999996</v>
      </c>
      <c r="I102" s="5"/>
      <c r="J102" s="17">
        <v>1005.9118999999999</v>
      </c>
      <c r="K102" s="18">
        <v>35.424799999999998</v>
      </c>
      <c r="L102" s="18">
        <v>41.923900000000003</v>
      </c>
      <c r="M102" s="18">
        <v>43.1967</v>
      </c>
      <c r="N102" s="18">
        <v>121.71210000000001</v>
      </c>
      <c r="O102" s="18">
        <f t="shared" si="5"/>
        <v>37.208674999999999</v>
      </c>
      <c r="P102" s="7"/>
      <c r="Q102" s="10"/>
      <c r="R102" s="11"/>
      <c r="S102" s="11"/>
      <c r="T102" s="26"/>
      <c r="U102" s="28">
        <f t="shared" si="3"/>
        <v>2.0367290419161681</v>
      </c>
    </row>
    <row r="103" spans="2:21" x14ac:dyDescent="0.25">
      <c r="B103" s="9"/>
      <c r="C103" s="17">
        <v>601.41999999999996</v>
      </c>
      <c r="D103" s="18">
        <v>33.225999999999999</v>
      </c>
      <c r="E103" s="18">
        <v>39.548999999999999</v>
      </c>
      <c r="F103" s="18">
        <v>40.561999999999998</v>
      </c>
      <c r="G103" s="18">
        <v>46.01</v>
      </c>
      <c r="H103" s="18">
        <f t="shared" si="4"/>
        <v>34.933374999999998</v>
      </c>
      <c r="I103" s="5"/>
      <c r="J103" s="17">
        <v>603.5779</v>
      </c>
      <c r="K103" s="18">
        <v>33.816699999999997</v>
      </c>
      <c r="L103" s="18">
        <v>40.7789</v>
      </c>
      <c r="M103" s="18">
        <v>41.908200000000001</v>
      </c>
      <c r="N103" s="18">
        <v>146.2345</v>
      </c>
      <c r="O103" s="18">
        <f t="shared" si="5"/>
        <v>35.698412499999996</v>
      </c>
      <c r="P103" s="7"/>
      <c r="Q103" s="10"/>
      <c r="R103" s="11"/>
      <c r="S103" s="11"/>
      <c r="T103" s="26"/>
      <c r="U103" s="28">
        <f t="shared" si="3"/>
        <v>2.1783199304499026</v>
      </c>
    </row>
    <row r="104" spans="2:21" ht="16.5" thickBot="1" x14ac:dyDescent="0.3">
      <c r="B104" s="12"/>
      <c r="C104" s="19">
        <v>305.91000000000003</v>
      </c>
      <c r="D104" s="20">
        <v>31.289000000000001</v>
      </c>
      <c r="E104" s="20">
        <v>38.255000000000003</v>
      </c>
      <c r="F104" s="20">
        <v>38.984999999999999</v>
      </c>
      <c r="G104" s="20">
        <v>56.23</v>
      </c>
      <c r="H104" s="20">
        <f t="shared" si="4"/>
        <v>33.121749999999999</v>
      </c>
      <c r="I104" s="5"/>
      <c r="J104" s="19">
        <v>301.2928</v>
      </c>
      <c r="K104" s="20">
        <v>31.775600000000001</v>
      </c>
      <c r="L104" s="20">
        <v>39.428199999999997</v>
      </c>
      <c r="M104" s="20">
        <v>40.234299999999998</v>
      </c>
      <c r="N104" s="20">
        <v>189.77330000000001</v>
      </c>
      <c r="O104" s="20">
        <f t="shared" si="5"/>
        <v>33.789512500000001</v>
      </c>
      <c r="P104" s="7"/>
      <c r="Q104" s="13"/>
      <c r="R104" s="14"/>
      <c r="S104" s="14"/>
      <c r="T104" s="27"/>
      <c r="U104" s="28">
        <f t="shared" si="3"/>
        <v>2.3749475369020101</v>
      </c>
    </row>
    <row r="105" spans="2:21" x14ac:dyDescent="0.25">
      <c r="B105" s="6" t="s">
        <v>101</v>
      </c>
      <c r="C105" s="15">
        <v>1591.17</v>
      </c>
      <c r="D105" s="16">
        <v>45.276000000000003</v>
      </c>
      <c r="E105" s="16">
        <v>50.405000000000001</v>
      </c>
      <c r="F105" s="16">
        <v>51.802</v>
      </c>
      <c r="G105" s="16">
        <v>45.62</v>
      </c>
      <c r="H105" s="16">
        <f t="shared" si="4"/>
        <v>46.732875000000007</v>
      </c>
      <c r="I105" s="5"/>
      <c r="J105" s="15">
        <v>1500.8197</v>
      </c>
      <c r="K105" s="16">
        <v>46.777000000000001</v>
      </c>
      <c r="L105" s="16">
        <v>51.483699999999999</v>
      </c>
      <c r="M105" s="16">
        <v>53.000300000000003</v>
      </c>
      <c r="N105" s="16">
        <v>127.426</v>
      </c>
      <c r="O105" s="16">
        <f t="shared" si="5"/>
        <v>48.143250000000002</v>
      </c>
      <c r="P105" s="7"/>
      <c r="Q105" s="8">
        <f>bdrate(C105:C108,D105:D108,J105:J108,K105:K108)</f>
        <v>-0.32169132312926607</v>
      </c>
      <c r="R105" s="8">
        <f>bdrate(C105:C108,E105:E108,J105:J108,L105:L108)</f>
        <v>-0.34326034114926229</v>
      </c>
      <c r="S105" s="8">
        <f>bdrate(C105:C108,F105:F108,J105:J108,M105:M108)</f>
        <v>-0.33961887292291371</v>
      </c>
      <c r="T105" s="25">
        <f>bdrate(C105:C108,H105:H108,J105:J108,O105:O108)</f>
        <v>-0.32618511248173532</v>
      </c>
      <c r="U105" s="28">
        <f t="shared" si="3"/>
        <v>1.7932047347654541</v>
      </c>
    </row>
    <row r="106" spans="2:21" x14ac:dyDescent="0.25">
      <c r="B106" s="9"/>
      <c r="C106" s="17">
        <v>1059.03</v>
      </c>
      <c r="D106" s="18">
        <v>43.518999999999998</v>
      </c>
      <c r="E106" s="18">
        <v>48.866</v>
      </c>
      <c r="F106" s="18">
        <v>50.314</v>
      </c>
      <c r="G106" s="18">
        <v>54.89</v>
      </c>
      <c r="H106" s="18">
        <f t="shared" si="4"/>
        <v>45.036749999999998</v>
      </c>
      <c r="I106" s="5"/>
      <c r="J106" s="17">
        <v>1001.8855</v>
      </c>
      <c r="K106" s="18">
        <v>45.042700000000004</v>
      </c>
      <c r="L106" s="18">
        <v>50.261899999999997</v>
      </c>
      <c r="M106" s="18">
        <v>51.763199999999998</v>
      </c>
      <c r="N106" s="18">
        <v>149.76689999999999</v>
      </c>
      <c r="O106" s="18">
        <f t="shared" si="5"/>
        <v>46.535162499999998</v>
      </c>
      <c r="P106" s="7"/>
      <c r="Q106" s="10"/>
      <c r="R106" s="11"/>
      <c r="S106" s="11"/>
      <c r="T106" s="26"/>
      <c r="U106" s="28">
        <f t="shared" si="3"/>
        <v>1.7284915285115685</v>
      </c>
    </row>
    <row r="107" spans="2:21" x14ac:dyDescent="0.25">
      <c r="B107" s="9"/>
      <c r="C107" s="17">
        <v>637.45000000000005</v>
      </c>
      <c r="D107" s="18">
        <v>41.338999999999999</v>
      </c>
      <c r="E107" s="18">
        <v>47.006999999999998</v>
      </c>
      <c r="F107" s="18">
        <v>48.460999999999999</v>
      </c>
      <c r="G107" s="18">
        <v>64.03</v>
      </c>
      <c r="H107" s="18">
        <f t="shared" si="4"/>
        <v>42.937750000000001</v>
      </c>
      <c r="I107" s="5"/>
      <c r="J107" s="17">
        <v>603.56899999999996</v>
      </c>
      <c r="K107" s="18">
        <v>42.811199999999999</v>
      </c>
      <c r="L107" s="18">
        <v>48.3947</v>
      </c>
      <c r="M107" s="18">
        <v>49.890599999999999</v>
      </c>
      <c r="N107" s="18">
        <v>181.04060000000001</v>
      </c>
      <c r="O107" s="18">
        <f t="shared" si="5"/>
        <v>44.394062500000004</v>
      </c>
      <c r="P107" s="7"/>
      <c r="Q107" s="10"/>
      <c r="R107" s="11"/>
      <c r="S107" s="11"/>
      <c r="T107" s="26"/>
      <c r="U107" s="28">
        <f t="shared" si="3"/>
        <v>1.8274340153053257</v>
      </c>
    </row>
    <row r="108" spans="2:21" ht="16.5" thickBot="1" x14ac:dyDescent="0.3">
      <c r="B108" s="12"/>
      <c r="C108" s="19">
        <v>320.86</v>
      </c>
      <c r="D108" s="20">
        <v>38.466999999999999</v>
      </c>
      <c r="E108" s="20">
        <v>44.551000000000002</v>
      </c>
      <c r="F108" s="20">
        <v>46.085999999999999</v>
      </c>
      <c r="G108" s="20">
        <v>82.72</v>
      </c>
      <c r="H108" s="20">
        <f t="shared" si="4"/>
        <v>40.179875000000003</v>
      </c>
      <c r="I108" s="5"/>
      <c r="J108" s="19">
        <v>300.81139999999999</v>
      </c>
      <c r="K108" s="20">
        <v>39.618499999999997</v>
      </c>
      <c r="L108" s="20">
        <v>45.633000000000003</v>
      </c>
      <c r="M108" s="20">
        <v>46.873399999999997</v>
      </c>
      <c r="N108" s="20">
        <v>230.19829999999999</v>
      </c>
      <c r="O108" s="20">
        <f t="shared" si="5"/>
        <v>41.277175</v>
      </c>
      <c r="P108" s="7"/>
      <c r="Q108" s="13"/>
      <c r="R108" s="14"/>
      <c r="S108" s="14"/>
      <c r="T108" s="27"/>
      <c r="U108" s="28">
        <f t="shared" si="3"/>
        <v>1.7828614603481623</v>
      </c>
    </row>
    <row r="109" spans="2:21" x14ac:dyDescent="0.25">
      <c r="B109" s="6" t="s">
        <v>102</v>
      </c>
      <c r="C109" s="15">
        <v>1465.48</v>
      </c>
      <c r="D109" s="16">
        <v>31.027999999999999</v>
      </c>
      <c r="E109" s="16">
        <v>39.042999999999999</v>
      </c>
      <c r="F109" s="16">
        <v>38.432000000000002</v>
      </c>
      <c r="G109" s="16">
        <v>31.93</v>
      </c>
      <c r="H109" s="16">
        <f t="shared" si="4"/>
        <v>32.955375000000004</v>
      </c>
      <c r="I109" s="5"/>
      <c r="J109" s="15">
        <v>1496.6699000000001</v>
      </c>
      <c r="K109" s="16">
        <v>31.395</v>
      </c>
      <c r="L109" s="16">
        <v>39.9499</v>
      </c>
      <c r="M109" s="16">
        <v>39.327599999999997</v>
      </c>
      <c r="N109" s="16">
        <v>82.591499999999996</v>
      </c>
      <c r="O109" s="16">
        <f t="shared" si="5"/>
        <v>33.455937500000005</v>
      </c>
      <c r="P109" s="7"/>
      <c r="Q109" s="8">
        <f>bdrate(C109:C112,D109:D112,J109:J112,K109:K112)</f>
        <v>-3.0650647785409046E-2</v>
      </c>
      <c r="R109" s="8">
        <f>bdrate(C109:C112,E109:E112,J109:J112,L109:L112)</f>
        <v>-0.31480382303374965</v>
      </c>
      <c r="S109" s="8">
        <f>bdrate(C109:C112,F109:F112,J109:J112,M109:M112)</f>
        <v>-0.31514061107388414</v>
      </c>
      <c r="T109" s="25">
        <f>bdrate(C109:C112,H109:H112,J109:J112,O109:O112)</f>
        <v>-9.5714912872704838E-2</v>
      </c>
      <c r="U109" s="28">
        <f t="shared" si="3"/>
        <v>1.5866426558095834</v>
      </c>
    </row>
    <row r="110" spans="2:21" x14ac:dyDescent="0.25">
      <c r="B110" s="9"/>
      <c r="C110" s="17">
        <v>978</v>
      </c>
      <c r="D110" s="18">
        <v>29.417999999999999</v>
      </c>
      <c r="E110" s="18">
        <v>37.881999999999998</v>
      </c>
      <c r="F110" s="18">
        <v>37.247</v>
      </c>
      <c r="G110" s="18">
        <v>36.32</v>
      </c>
      <c r="H110" s="18">
        <f t="shared" si="4"/>
        <v>31.454625</v>
      </c>
      <c r="I110" s="5"/>
      <c r="J110" s="17">
        <v>996.2396</v>
      </c>
      <c r="K110" s="18">
        <v>29.677800000000001</v>
      </c>
      <c r="L110" s="18">
        <v>38.986199999999997</v>
      </c>
      <c r="M110" s="18">
        <v>38.3123</v>
      </c>
      <c r="N110" s="18">
        <v>99.557500000000005</v>
      </c>
      <c r="O110" s="18">
        <f t="shared" si="5"/>
        <v>31.920662499999999</v>
      </c>
      <c r="P110" s="7"/>
      <c r="Q110" s="10"/>
      <c r="R110" s="11"/>
      <c r="S110" s="11"/>
      <c r="T110" s="26"/>
      <c r="U110" s="28">
        <f t="shared" si="3"/>
        <v>1.7411205947136565</v>
      </c>
    </row>
    <row r="111" spans="2:21" x14ac:dyDescent="0.25">
      <c r="B111" s="9"/>
      <c r="C111" s="17">
        <v>586.13</v>
      </c>
      <c r="D111" s="18">
        <v>27.416</v>
      </c>
      <c r="E111" s="18">
        <v>36.378999999999998</v>
      </c>
      <c r="F111" s="18">
        <v>35.72</v>
      </c>
      <c r="G111" s="18">
        <v>41.99</v>
      </c>
      <c r="H111" s="18">
        <f t="shared" si="4"/>
        <v>29.574375</v>
      </c>
      <c r="I111" s="5"/>
      <c r="J111" s="17">
        <v>598.98270000000002</v>
      </c>
      <c r="K111" s="18">
        <v>27.579899999999999</v>
      </c>
      <c r="L111" s="18">
        <v>37.607900000000001</v>
      </c>
      <c r="M111" s="18">
        <v>36.9328</v>
      </c>
      <c r="N111" s="18">
        <v>127.0827</v>
      </c>
      <c r="O111" s="18">
        <f t="shared" si="5"/>
        <v>30.002512500000002</v>
      </c>
      <c r="P111" s="7"/>
      <c r="Q111" s="10"/>
      <c r="R111" s="11"/>
      <c r="S111" s="11"/>
      <c r="T111" s="26"/>
      <c r="U111" s="28">
        <f t="shared" si="3"/>
        <v>2.0264991664682066</v>
      </c>
    </row>
    <row r="112" spans="2:21" ht="16.5" thickBot="1" x14ac:dyDescent="0.3">
      <c r="B112" s="12"/>
      <c r="C112" s="19">
        <v>292.58</v>
      </c>
      <c r="D112" s="20">
        <v>24.788</v>
      </c>
      <c r="E112" s="20">
        <v>33.906999999999996</v>
      </c>
      <c r="F112" s="20">
        <v>33.374000000000002</v>
      </c>
      <c r="G112" s="20">
        <v>52.31</v>
      </c>
      <c r="H112" s="20">
        <f t="shared" si="4"/>
        <v>27.001124999999998</v>
      </c>
      <c r="I112" s="5"/>
      <c r="J112" s="19">
        <v>299.82029999999997</v>
      </c>
      <c r="K112" s="20">
        <v>24.9481</v>
      </c>
      <c r="L112" s="20">
        <v>35.313499999999998</v>
      </c>
      <c r="M112" s="20">
        <v>34.821300000000001</v>
      </c>
      <c r="N112" s="20">
        <v>170.4384</v>
      </c>
      <c r="O112" s="20">
        <f t="shared" si="5"/>
        <v>27.477925000000003</v>
      </c>
      <c r="P112" s="7"/>
      <c r="Q112" s="13"/>
      <c r="R112" s="14"/>
      <c r="S112" s="14"/>
      <c r="T112" s="27"/>
      <c r="U112" s="28">
        <f t="shared" si="3"/>
        <v>2.2582374307015867</v>
      </c>
    </row>
    <row r="113" spans="2:21" x14ac:dyDescent="0.25">
      <c r="B113" s="6" t="s">
        <v>103</v>
      </c>
      <c r="C113" s="15">
        <v>1508.73</v>
      </c>
      <c r="D113" s="16">
        <v>42.213999999999999</v>
      </c>
      <c r="E113" s="16">
        <v>43.609000000000002</v>
      </c>
      <c r="F113" s="16">
        <v>43.478000000000002</v>
      </c>
      <c r="G113" s="16">
        <v>50.58</v>
      </c>
      <c r="H113" s="16">
        <f t="shared" si="4"/>
        <v>42.546374999999998</v>
      </c>
      <c r="I113" s="5"/>
      <c r="J113" s="15">
        <v>1377.2832000000001</v>
      </c>
      <c r="K113" s="16">
        <v>44.1813</v>
      </c>
      <c r="L113" s="16">
        <v>45.3245</v>
      </c>
      <c r="M113" s="16">
        <v>45.203499999999998</v>
      </c>
      <c r="N113" s="16">
        <v>109.7829</v>
      </c>
      <c r="O113" s="16">
        <f t="shared" si="5"/>
        <v>44.451975000000004</v>
      </c>
      <c r="P113" s="7"/>
      <c r="Q113" s="8">
        <f>bdrate(C113:C116,D113:D116,J113:J116,K113:K116)</f>
        <v>-0.32506253850558409</v>
      </c>
      <c r="R113" s="8">
        <f>bdrate(C113:C116,E113:E116,J113:J116,L113:L116)</f>
        <v>-0.37304460932878825</v>
      </c>
      <c r="S113" s="8">
        <f>bdrate(C113:C116,F113:F116,J113:J116,M113:M116)</f>
        <v>-0.36736235815477447</v>
      </c>
      <c r="T113" s="25">
        <f>bdrate(C113:C116,H113:H116,J113:J116,O113:O116)</f>
        <v>-0.33492221103097641</v>
      </c>
      <c r="U113" s="28">
        <f t="shared" si="3"/>
        <v>1.1704804270462634</v>
      </c>
    </row>
    <row r="114" spans="2:21" x14ac:dyDescent="0.25">
      <c r="B114" s="9"/>
      <c r="C114" s="17">
        <v>1003.96</v>
      </c>
      <c r="D114" s="18">
        <v>39.954999999999998</v>
      </c>
      <c r="E114" s="18">
        <v>41.686999999999998</v>
      </c>
      <c r="F114" s="18">
        <v>41.524999999999999</v>
      </c>
      <c r="G114" s="18">
        <v>57.58</v>
      </c>
      <c r="H114" s="18">
        <f t="shared" si="4"/>
        <v>40.367749999999994</v>
      </c>
      <c r="I114" s="5"/>
      <c r="J114" s="17">
        <v>939.96730000000002</v>
      </c>
      <c r="K114" s="18">
        <v>42.176099999999998</v>
      </c>
      <c r="L114" s="18">
        <v>43.6982</v>
      </c>
      <c r="M114" s="18">
        <v>43.582099999999997</v>
      </c>
      <c r="N114" s="18">
        <v>142.982</v>
      </c>
      <c r="O114" s="18">
        <f t="shared" si="5"/>
        <v>42.542112500000002</v>
      </c>
      <c r="P114" s="7"/>
      <c r="Q114" s="10"/>
      <c r="R114" s="11"/>
      <c r="S114" s="11"/>
      <c r="T114" s="26"/>
      <c r="U114" s="28">
        <f t="shared" si="3"/>
        <v>1.4831886071552622</v>
      </c>
    </row>
    <row r="115" spans="2:21" x14ac:dyDescent="0.25">
      <c r="B115" s="9"/>
      <c r="C115" s="17">
        <v>604.13</v>
      </c>
      <c r="D115" s="18">
        <v>37.219000000000001</v>
      </c>
      <c r="E115" s="18">
        <v>39.433</v>
      </c>
      <c r="F115" s="18">
        <v>39.302</v>
      </c>
      <c r="G115" s="18">
        <v>63.57</v>
      </c>
      <c r="H115" s="18">
        <f t="shared" si="4"/>
        <v>37.756125000000004</v>
      </c>
      <c r="I115" s="5"/>
      <c r="J115" s="17">
        <v>576.96590000000003</v>
      </c>
      <c r="K115" s="18">
        <v>39.164000000000001</v>
      </c>
      <c r="L115" s="18">
        <v>41.330800000000004</v>
      </c>
      <c r="M115" s="18">
        <v>41.183799999999998</v>
      </c>
      <c r="N115" s="18">
        <v>180</v>
      </c>
      <c r="O115" s="18">
        <f t="shared" si="5"/>
        <v>39.687325000000001</v>
      </c>
      <c r="P115" s="7"/>
      <c r="Q115" s="10"/>
      <c r="R115" s="11"/>
      <c r="S115" s="11"/>
      <c r="T115" s="26"/>
      <c r="U115" s="28">
        <f t="shared" si="3"/>
        <v>1.831524303916942</v>
      </c>
    </row>
    <row r="116" spans="2:21" ht="16.5" thickBot="1" x14ac:dyDescent="0.3">
      <c r="B116" s="12"/>
      <c r="C116" s="19">
        <v>301.82</v>
      </c>
      <c r="D116" s="20">
        <v>33.393999999999998</v>
      </c>
      <c r="E116" s="20">
        <v>36.44</v>
      </c>
      <c r="F116" s="20">
        <v>36.281999999999996</v>
      </c>
      <c r="G116" s="20">
        <v>72.98</v>
      </c>
      <c r="H116" s="20">
        <f t="shared" si="4"/>
        <v>34.135749999999994</v>
      </c>
      <c r="I116" s="5"/>
      <c r="J116" s="19">
        <v>292.42110000000002</v>
      </c>
      <c r="K116" s="20">
        <v>34.941000000000003</v>
      </c>
      <c r="L116" s="20">
        <v>38.1312</v>
      </c>
      <c r="M116" s="20">
        <v>37.821199999999997</v>
      </c>
      <c r="N116" s="20">
        <v>223.1866</v>
      </c>
      <c r="O116" s="20">
        <f t="shared" si="5"/>
        <v>35.699800000000003</v>
      </c>
      <c r="P116" s="7"/>
      <c r="Q116" s="13"/>
      <c r="R116" s="14"/>
      <c r="S116" s="14"/>
      <c r="T116" s="27"/>
      <c r="U116" s="28">
        <f t="shared" si="3"/>
        <v>2.058188544806796</v>
      </c>
    </row>
    <row r="117" spans="2:21" x14ac:dyDescent="0.25">
      <c r="B117" s="6" t="s">
        <v>104</v>
      </c>
      <c r="C117" s="15">
        <v>1991.04</v>
      </c>
      <c r="D117" s="16">
        <v>42.204999999999998</v>
      </c>
      <c r="E117" s="16">
        <v>44.415999999999997</v>
      </c>
      <c r="F117" s="16">
        <v>44.619</v>
      </c>
      <c r="G117" s="16">
        <v>49.44</v>
      </c>
      <c r="H117" s="16">
        <f t="shared" si="4"/>
        <v>42.783124999999998</v>
      </c>
      <c r="I117" s="5"/>
      <c r="J117" s="15">
        <v>1355.0355999999999</v>
      </c>
      <c r="K117" s="16">
        <v>45.404699999999998</v>
      </c>
      <c r="L117" s="16">
        <v>47.719200000000001</v>
      </c>
      <c r="M117" s="16">
        <v>47.954999999999998</v>
      </c>
      <c r="N117" s="16">
        <v>105.9571</v>
      </c>
      <c r="O117" s="16">
        <f t="shared" si="5"/>
        <v>46.012799999999999</v>
      </c>
      <c r="P117" s="7"/>
      <c r="Q117" s="8">
        <f>bdrate(C117:C120,D117:D120,J117:J120,K117:K120)</f>
        <v>-0.55658498883699237</v>
      </c>
      <c r="R117" s="8">
        <f>bdrate(C117:C120,E117:E120,J117:J120,L117:L120)</f>
        <v>-0.61290181280627687</v>
      </c>
      <c r="S117" s="8">
        <f>bdrate(C117:C120,F117:F120,J117:J120,M117:M120)</f>
        <v>-0.6151622878277172</v>
      </c>
      <c r="T117" s="25">
        <f>bdrate(C117:C120,H117:H120,J117:J120,O117:O120)</f>
        <v>-0.5701425144289276</v>
      </c>
      <c r="U117" s="28">
        <f t="shared" si="3"/>
        <v>1.1431452265372168</v>
      </c>
    </row>
    <row r="118" spans="2:21" x14ac:dyDescent="0.25">
      <c r="B118" s="9"/>
      <c r="C118" s="17">
        <v>1299.76</v>
      </c>
      <c r="D118" s="18">
        <v>40.21</v>
      </c>
      <c r="E118" s="18">
        <v>42.610999999999997</v>
      </c>
      <c r="F118" s="18">
        <v>42.820999999999998</v>
      </c>
      <c r="G118" s="18">
        <v>59.91</v>
      </c>
      <c r="H118" s="18">
        <f t="shared" si="4"/>
        <v>40.836500000000001</v>
      </c>
      <c r="I118" s="5"/>
      <c r="J118" s="17">
        <v>950.48649999999998</v>
      </c>
      <c r="K118" s="18">
        <v>43.885899999999999</v>
      </c>
      <c r="L118" s="18">
        <v>46.4298</v>
      </c>
      <c r="M118" s="18">
        <v>46.652099999999997</v>
      </c>
      <c r="N118" s="18">
        <v>118.4678</v>
      </c>
      <c r="O118" s="18">
        <f t="shared" si="5"/>
        <v>44.549662500000004</v>
      </c>
      <c r="P118" s="7"/>
      <c r="Q118" s="10"/>
      <c r="R118" s="11"/>
      <c r="S118" s="11"/>
      <c r="T118" s="26"/>
      <c r="U118" s="28">
        <f t="shared" si="3"/>
        <v>0.97742947754965792</v>
      </c>
    </row>
    <row r="119" spans="2:21" x14ac:dyDescent="0.25">
      <c r="B119" s="9"/>
      <c r="C119" s="17">
        <v>759.32</v>
      </c>
      <c r="D119" s="18">
        <v>37.908000000000001</v>
      </c>
      <c r="E119" s="18">
        <v>40.588000000000001</v>
      </c>
      <c r="F119" s="18">
        <v>40.843000000000004</v>
      </c>
      <c r="G119" s="18">
        <v>67.709999999999994</v>
      </c>
      <c r="H119" s="18">
        <f t="shared" si="4"/>
        <v>38.609875000000002</v>
      </c>
      <c r="I119" s="5"/>
      <c r="J119" s="17">
        <v>628.11749999999995</v>
      </c>
      <c r="K119" s="18">
        <v>41.026400000000002</v>
      </c>
      <c r="L119" s="18">
        <v>43.908499999999997</v>
      </c>
      <c r="M119" s="18">
        <v>44.134399999999999</v>
      </c>
      <c r="N119" s="18">
        <v>130.97579999999999</v>
      </c>
      <c r="O119" s="18">
        <f t="shared" si="5"/>
        <v>41.775162500000008</v>
      </c>
      <c r="P119" s="7"/>
      <c r="Q119" s="10"/>
      <c r="R119" s="11"/>
      <c r="S119" s="11"/>
      <c r="T119" s="26"/>
      <c r="U119" s="28">
        <f t="shared" si="3"/>
        <v>0.93436420026583966</v>
      </c>
    </row>
    <row r="120" spans="2:21" ht="16.5" thickBot="1" x14ac:dyDescent="0.3">
      <c r="B120" s="12"/>
      <c r="C120" s="19">
        <v>365.11</v>
      </c>
      <c r="D120" s="20">
        <v>34.862000000000002</v>
      </c>
      <c r="E120" s="20">
        <v>38.177</v>
      </c>
      <c r="F120" s="20">
        <v>38.475000000000001</v>
      </c>
      <c r="G120" s="20">
        <v>79.41</v>
      </c>
      <c r="H120" s="20">
        <f t="shared" si="4"/>
        <v>35.728000000000002</v>
      </c>
      <c r="I120" s="5"/>
      <c r="J120" s="19">
        <v>347.30919999999998</v>
      </c>
      <c r="K120" s="20">
        <v>37.266800000000003</v>
      </c>
      <c r="L120" s="20">
        <v>40.6905</v>
      </c>
      <c r="M120" s="20">
        <v>40.959899999999998</v>
      </c>
      <c r="N120" s="20">
        <v>201.3648</v>
      </c>
      <c r="O120" s="20">
        <f t="shared" si="5"/>
        <v>38.156400000000005</v>
      </c>
      <c r="P120" s="7"/>
      <c r="Q120" s="13"/>
      <c r="R120" s="14"/>
      <c r="S120" s="14"/>
      <c r="T120" s="27"/>
      <c r="U120" s="28">
        <f t="shared" si="3"/>
        <v>1.5357612391386477</v>
      </c>
    </row>
    <row r="121" spans="2:21" x14ac:dyDescent="0.25">
      <c r="B121" s="6" t="s">
        <v>105</v>
      </c>
      <c r="C121" s="15">
        <v>1534.03</v>
      </c>
      <c r="D121" s="16">
        <v>31.283000000000001</v>
      </c>
      <c r="E121" s="16">
        <v>35.308</v>
      </c>
      <c r="F121" s="16">
        <v>34.235999999999997</v>
      </c>
      <c r="G121" s="16">
        <v>37.840000000000003</v>
      </c>
      <c r="H121" s="16">
        <f t="shared" si="4"/>
        <v>32.155250000000002</v>
      </c>
      <c r="I121" s="5"/>
      <c r="J121" s="29">
        <v>1504.3878999999999</v>
      </c>
      <c r="K121" s="30">
        <v>31.8871</v>
      </c>
      <c r="L121" s="30">
        <v>36.294600000000003</v>
      </c>
      <c r="M121" s="30">
        <v>35.179099999999998</v>
      </c>
      <c r="N121" s="16">
        <v>94.652199999999993</v>
      </c>
      <c r="O121" s="16">
        <f t="shared" si="5"/>
        <v>32.849537499999997</v>
      </c>
      <c r="P121" s="7"/>
      <c r="Q121" s="8">
        <f>bdrate(C121:C124,D121:D124,J121:J124,K121:K124)</f>
        <v>-7.7928716746605398E-2</v>
      </c>
      <c r="R121" s="8">
        <f>bdrate(C121:C124,E121:E124,J121:J124,L121:L124)</f>
        <v>-0.35292437060022219</v>
      </c>
      <c r="S121" s="8">
        <f>bdrate(C121:C124,F121:F124,J121:J124,M121:M124)</f>
        <v>-0.31833654331220007</v>
      </c>
      <c r="T121" s="25">
        <f>bdrate(C121:C124,H121:H124,J121:J124,O121:O124)</f>
        <v>-0.13180478419202413</v>
      </c>
      <c r="U121" s="28">
        <f t="shared" si="3"/>
        <v>1.5013794926004225</v>
      </c>
    </row>
    <row r="122" spans="2:21" x14ac:dyDescent="0.25">
      <c r="B122" s="9"/>
      <c r="C122" s="17">
        <v>1020.31</v>
      </c>
      <c r="D122" s="18">
        <v>29.670999999999999</v>
      </c>
      <c r="E122" s="18">
        <v>34.271000000000001</v>
      </c>
      <c r="F122" s="18">
        <v>33.145000000000003</v>
      </c>
      <c r="G122" s="18">
        <v>43.28</v>
      </c>
      <c r="H122" s="18">
        <f t="shared" si="4"/>
        <v>30.680250000000004</v>
      </c>
      <c r="I122" s="5"/>
      <c r="J122" s="31">
        <v>1005.8521</v>
      </c>
      <c r="K122" s="32">
        <v>30.0501</v>
      </c>
      <c r="L122" s="32">
        <v>35.277700000000003</v>
      </c>
      <c r="M122" s="32">
        <v>34.100099999999998</v>
      </c>
      <c r="N122" s="18">
        <v>113.4573</v>
      </c>
      <c r="O122" s="18">
        <f t="shared" si="5"/>
        <v>31.209800000000001</v>
      </c>
      <c r="P122" s="7"/>
      <c r="Q122" s="10"/>
      <c r="R122" s="11"/>
      <c r="S122" s="11"/>
      <c r="T122" s="26"/>
      <c r="U122" s="28">
        <f t="shared" si="3"/>
        <v>1.6214718114602589</v>
      </c>
    </row>
    <row r="123" spans="2:21" x14ac:dyDescent="0.25">
      <c r="B123" s="9"/>
      <c r="C123" s="17">
        <v>608.66</v>
      </c>
      <c r="D123" s="18">
        <v>27.763999999999999</v>
      </c>
      <c r="E123" s="18">
        <v>33.009</v>
      </c>
      <c r="F123" s="18">
        <v>31.797000000000001</v>
      </c>
      <c r="G123" s="18">
        <v>49.88</v>
      </c>
      <c r="H123" s="18">
        <f t="shared" si="4"/>
        <v>28.923750000000002</v>
      </c>
      <c r="I123" s="5"/>
      <c r="J123" s="31">
        <v>602.41010000000006</v>
      </c>
      <c r="K123" s="32">
        <v>27.962900000000001</v>
      </c>
      <c r="L123" s="32">
        <v>34.071899999999999</v>
      </c>
      <c r="M123" s="32">
        <v>32.792900000000003</v>
      </c>
      <c r="N123" s="18">
        <v>142.61940000000001</v>
      </c>
      <c r="O123" s="18">
        <f t="shared" si="5"/>
        <v>29.330275</v>
      </c>
      <c r="P123" s="7"/>
      <c r="Q123" s="10"/>
      <c r="R123" s="11"/>
      <c r="S123" s="11"/>
      <c r="T123" s="26"/>
      <c r="U123" s="28">
        <f t="shared" si="3"/>
        <v>1.8592502004811551</v>
      </c>
    </row>
    <row r="124" spans="2:21" ht="16.5" thickBot="1" x14ac:dyDescent="0.3">
      <c r="B124" s="12"/>
      <c r="C124" s="19">
        <v>300.41000000000003</v>
      </c>
      <c r="D124" s="20">
        <v>25.385000000000002</v>
      </c>
      <c r="E124" s="20">
        <v>31.166</v>
      </c>
      <c r="F124" s="20">
        <v>29.895</v>
      </c>
      <c r="G124" s="20">
        <v>59.51</v>
      </c>
      <c r="H124" s="20">
        <f t="shared" si="4"/>
        <v>26.671375000000001</v>
      </c>
      <c r="I124" s="5"/>
      <c r="J124" s="33">
        <v>302.86649999999997</v>
      </c>
      <c r="K124" s="34">
        <v>25.5425</v>
      </c>
      <c r="L124" s="34">
        <v>32.329700000000003</v>
      </c>
      <c r="M124" s="34">
        <v>30.927299999999999</v>
      </c>
      <c r="N124" s="20">
        <v>193.9237</v>
      </c>
      <c r="O124" s="20">
        <f t="shared" si="5"/>
        <v>27.064</v>
      </c>
      <c r="P124" s="7"/>
      <c r="Q124" s="13"/>
      <c r="R124" s="14"/>
      <c r="S124" s="14"/>
      <c r="T124" s="27"/>
      <c r="U124" s="28">
        <f t="shared" si="3"/>
        <v>2.2586741724079986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-0.22763193575820753</v>
      </c>
      <c r="R125" s="21">
        <f>AVERAGE(R9:R124)</f>
        <v>-0.41464727310152311</v>
      </c>
      <c r="S125" s="21">
        <f>AVERAGE(S9:S124)</f>
        <v>-0.40239710900758519</v>
      </c>
      <c r="T125" s="21">
        <f>AVERAGE(T9:T124)</f>
        <v>-0.2627113766137863</v>
      </c>
      <c r="U125" s="21">
        <f>AVERAGE(U9:U124)</f>
        <v>1.6436326299054711</v>
      </c>
    </row>
    <row r="127" spans="2:21" s="35" customFormat="1" ht="15.75" customHeight="1" x14ac:dyDescent="0.25">
      <c r="B127" s="61" t="s">
        <v>29</v>
      </c>
      <c r="C127" s="63" t="s">
        <v>196</v>
      </c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5"/>
    </row>
    <row r="128" spans="2:21" s="35" customFormat="1" x14ac:dyDescent="0.25">
      <c r="B128" s="62"/>
      <c r="C128" s="66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8"/>
    </row>
    <row r="129" spans="1:21" ht="16.5" customHeight="1" thickBot="1" x14ac:dyDescent="0.3">
      <c r="C129" s="69" t="s">
        <v>78</v>
      </c>
      <c r="D129" s="70"/>
      <c r="E129" s="70"/>
      <c r="F129" s="70"/>
      <c r="G129" s="70"/>
      <c r="H129" s="70"/>
      <c r="I129" s="5"/>
      <c r="J129" s="69" t="s">
        <v>178</v>
      </c>
      <c r="K129" s="70"/>
      <c r="L129" s="70"/>
      <c r="M129" s="70"/>
      <c r="N129" s="70"/>
      <c r="O129" s="70"/>
      <c r="Q129" s="69" t="s">
        <v>7</v>
      </c>
      <c r="R129" s="70"/>
      <c r="S129" s="71"/>
      <c r="T129" s="36"/>
      <c r="U129" s="7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2"/>
    </row>
    <row r="131" spans="1:21" x14ac:dyDescent="0.25">
      <c r="A131" s="6" t="s">
        <v>35</v>
      </c>
      <c r="B131" s="6" t="s">
        <v>46</v>
      </c>
      <c r="C131" s="15">
        <v>3796.74</v>
      </c>
      <c r="D131" s="16">
        <v>35.981000000000002</v>
      </c>
      <c r="E131" s="16">
        <v>38.018000000000001</v>
      </c>
      <c r="F131" s="16">
        <v>40.314999999999998</v>
      </c>
      <c r="G131" s="16">
        <v>26.13</v>
      </c>
      <c r="H131" s="16">
        <f t="shared" ref="H131:H202" si="6">(6*D131+E131+F131)/8</f>
        <v>36.777375000000006</v>
      </c>
      <c r="I131" s="5"/>
      <c r="J131" s="15">
        <v>4024.36</v>
      </c>
      <c r="K131" s="16">
        <v>37.527299999999997</v>
      </c>
      <c r="L131" s="16">
        <v>39.407800000000002</v>
      </c>
      <c r="M131" s="16">
        <v>41.864400000000003</v>
      </c>
      <c r="N131" s="16">
        <v>76.923100000000005</v>
      </c>
      <c r="O131" s="16">
        <f t="shared" ref="O131:O202" si="7">(6*K131+L131+M131)/8</f>
        <v>38.304499999999997</v>
      </c>
      <c r="P131" s="7"/>
      <c r="Q131" s="8">
        <f>bdrate(C131:C134,D131:D134,J131:J134,K131:K134)</f>
        <v>-0.22551499947298814</v>
      </c>
      <c r="R131" s="8">
        <f>bdrate(C131:C134,E131:E134,J131:J134,L131:L134)</f>
        <v>-0.47106452608345839</v>
      </c>
      <c r="S131" s="8">
        <f>bdrate(C131:C134,F131:F134,J131:J134,M131:M134)</f>
        <v>-0.45078789446326328</v>
      </c>
      <c r="T131" s="25">
        <f>bdrate(C131:C134,H131:H134,J131:J134,O131:O134)</f>
        <v>-0.25756759542368235</v>
      </c>
      <c r="U131" s="28">
        <f t="shared" ref="U131:U194" si="8">(N131-G131)/G131</f>
        <v>1.9438614619211638</v>
      </c>
    </row>
    <row r="132" spans="1:21" x14ac:dyDescent="0.25">
      <c r="A132" s="9" t="s">
        <v>36</v>
      </c>
      <c r="B132" s="9"/>
      <c r="C132" s="17">
        <v>2829.02</v>
      </c>
      <c r="D132" s="18">
        <v>35.122</v>
      </c>
      <c r="E132" s="18">
        <v>37.582999999999998</v>
      </c>
      <c r="F132" s="18">
        <v>39.884</v>
      </c>
      <c r="G132" s="18">
        <v>34.47</v>
      </c>
      <c r="H132" s="18">
        <f t="shared" si="6"/>
        <v>36.024875000000002</v>
      </c>
      <c r="I132" s="5"/>
      <c r="J132" s="17">
        <v>2919.1392000000001</v>
      </c>
      <c r="K132" s="18">
        <v>36.499499999999998</v>
      </c>
      <c r="L132" s="18">
        <v>38.811900000000001</v>
      </c>
      <c r="M132" s="18">
        <v>41.1633</v>
      </c>
      <c r="N132" s="18">
        <v>83.611999999999995</v>
      </c>
      <c r="O132" s="18">
        <f t="shared" si="7"/>
        <v>37.371524999999998</v>
      </c>
      <c r="P132" s="7"/>
      <c r="Q132" s="10"/>
      <c r="R132" s="11"/>
      <c r="S132" s="11"/>
      <c r="T132" s="26"/>
      <c r="U132" s="28">
        <f t="shared" si="8"/>
        <v>1.4256454888308674</v>
      </c>
    </row>
    <row r="133" spans="1:21" x14ac:dyDescent="0.25">
      <c r="B133" s="9"/>
      <c r="C133" s="17">
        <v>1850.36</v>
      </c>
      <c r="D133" s="18">
        <v>33.85</v>
      </c>
      <c r="E133" s="18">
        <v>37.091000000000001</v>
      </c>
      <c r="F133" s="18">
        <v>39.384</v>
      </c>
      <c r="G133" s="18">
        <v>37.56</v>
      </c>
      <c r="H133" s="18">
        <f t="shared" si="6"/>
        <v>34.946875000000006</v>
      </c>
      <c r="I133" s="5"/>
      <c r="J133" s="17">
        <v>1931.9567999999999</v>
      </c>
      <c r="K133" s="18">
        <v>34.9253</v>
      </c>
      <c r="L133" s="18">
        <v>38.128100000000003</v>
      </c>
      <c r="M133" s="18">
        <v>40.421599999999998</v>
      </c>
      <c r="N133" s="18">
        <v>95.177700000000002</v>
      </c>
      <c r="O133" s="18">
        <f t="shared" si="7"/>
        <v>36.012687500000006</v>
      </c>
      <c r="P133" s="7"/>
      <c r="Q133" s="10"/>
      <c r="R133" s="11"/>
      <c r="S133" s="11"/>
      <c r="T133" s="26"/>
      <c r="U133" s="28">
        <f t="shared" si="8"/>
        <v>1.534017571884984</v>
      </c>
    </row>
    <row r="134" spans="1:21" ht="16.5" thickBot="1" x14ac:dyDescent="0.3">
      <c r="B134" s="12"/>
      <c r="C134" s="19">
        <v>869.54</v>
      </c>
      <c r="D134" s="20">
        <v>31.26</v>
      </c>
      <c r="E134" s="20">
        <v>36.460999999999999</v>
      </c>
      <c r="F134" s="20">
        <v>38.677999999999997</v>
      </c>
      <c r="G134" s="20">
        <v>41.99</v>
      </c>
      <c r="H134" s="20">
        <f t="shared" si="6"/>
        <v>32.837375000000002</v>
      </c>
      <c r="I134" s="5"/>
      <c r="J134" s="19">
        <v>923.01760000000002</v>
      </c>
      <c r="K134" s="20">
        <v>32.016800000000003</v>
      </c>
      <c r="L134" s="20">
        <v>36.833100000000002</v>
      </c>
      <c r="M134" s="20">
        <v>39.053600000000003</v>
      </c>
      <c r="N134" s="20">
        <v>114.5038</v>
      </c>
      <c r="O134" s="20">
        <f t="shared" si="7"/>
        <v>33.498437500000001</v>
      </c>
      <c r="P134" s="7"/>
      <c r="Q134" s="13"/>
      <c r="R134" s="14"/>
      <c r="S134" s="14"/>
      <c r="T134" s="27"/>
      <c r="U134" s="28">
        <f t="shared" si="8"/>
        <v>1.7269302214813051</v>
      </c>
    </row>
    <row r="135" spans="1:21" x14ac:dyDescent="0.25">
      <c r="B135" s="6" t="s">
        <v>47</v>
      </c>
      <c r="C135" s="15">
        <v>4018.41</v>
      </c>
      <c r="D135" s="16">
        <v>28.745999999999999</v>
      </c>
      <c r="E135" s="16">
        <v>38.197000000000003</v>
      </c>
      <c r="F135" s="16">
        <v>39.201000000000001</v>
      </c>
      <c r="G135" s="16">
        <v>23.23</v>
      </c>
      <c r="H135" s="16">
        <f t="shared" si="6"/>
        <v>31.234249999999999</v>
      </c>
      <c r="I135" s="5"/>
      <c r="J135" s="15">
        <v>4044.6640000000002</v>
      </c>
      <c r="K135" s="16">
        <v>28.979600000000001</v>
      </c>
      <c r="L135" s="16">
        <v>39.219900000000003</v>
      </c>
      <c r="M135" s="16">
        <v>40.175800000000002</v>
      </c>
      <c r="N135" s="16">
        <v>61.627000000000002</v>
      </c>
      <c r="O135" s="16">
        <f t="shared" si="7"/>
        <v>31.659162500000001</v>
      </c>
      <c r="P135" s="7"/>
      <c r="Q135" s="8">
        <f>bdrate(C135:C138,D135:D138,J135:J138,K135:K138)</f>
        <v>-2.2059236809534144E-2</v>
      </c>
      <c r="R135" s="8">
        <f>bdrate(C135:C138,E135:E138,J135:J138,L135:L138)</f>
        <v>-0.42457243808015011</v>
      </c>
      <c r="S135" s="8">
        <f>bdrate(C135:C138,F135:F138,J135:J138,M135:M138)</f>
        <v>-0.43575232349877457</v>
      </c>
      <c r="T135" s="25">
        <f>bdrate(C135:C138,H135:H138,J135:J138,O135:O138)</f>
        <v>-9.3574640130195341E-2</v>
      </c>
      <c r="U135" s="28">
        <f t="shared" si="8"/>
        <v>1.6529057253551445</v>
      </c>
    </row>
    <row r="136" spans="1:21" x14ac:dyDescent="0.25">
      <c r="B136" s="9"/>
      <c r="C136" s="17">
        <v>2988.52</v>
      </c>
      <c r="D136" s="18">
        <v>27.524000000000001</v>
      </c>
      <c r="E136" s="18">
        <v>37.619999999999997</v>
      </c>
      <c r="F136" s="18">
        <v>38.722999999999999</v>
      </c>
      <c r="G136" s="18">
        <v>26.79</v>
      </c>
      <c r="H136" s="18">
        <f t="shared" si="6"/>
        <v>30.185875000000003</v>
      </c>
      <c r="I136" s="5"/>
      <c r="J136" s="17">
        <v>3036.0128</v>
      </c>
      <c r="K136" s="18">
        <v>27.6752</v>
      </c>
      <c r="L136" s="18">
        <v>38.726199999999999</v>
      </c>
      <c r="M136" s="18">
        <v>39.721400000000003</v>
      </c>
      <c r="N136" s="18">
        <v>68.681299999999993</v>
      </c>
      <c r="O136" s="18">
        <f t="shared" si="7"/>
        <v>30.562350000000002</v>
      </c>
      <c r="P136" s="7"/>
      <c r="Q136" s="10"/>
      <c r="R136" s="11"/>
      <c r="S136" s="11"/>
      <c r="T136" s="26"/>
      <c r="U136" s="28">
        <f t="shared" si="8"/>
        <v>1.5636916759985067</v>
      </c>
    </row>
    <row r="137" spans="1:21" x14ac:dyDescent="0.25">
      <c r="B137" s="9"/>
      <c r="C137" s="17">
        <v>1981.94</v>
      </c>
      <c r="D137" s="18">
        <v>25.853999999999999</v>
      </c>
      <c r="E137" s="18">
        <v>36.542999999999999</v>
      </c>
      <c r="F137" s="18">
        <v>37.774000000000001</v>
      </c>
      <c r="G137" s="18">
        <v>29.67</v>
      </c>
      <c r="H137" s="18">
        <f t="shared" si="6"/>
        <v>28.680125</v>
      </c>
      <c r="I137" s="5"/>
      <c r="J137" s="17">
        <v>2009.9952000000001</v>
      </c>
      <c r="K137" s="18">
        <v>25.883199999999999</v>
      </c>
      <c r="L137" s="18">
        <v>37.955599999999997</v>
      </c>
      <c r="M137" s="18">
        <v>39.076599999999999</v>
      </c>
      <c r="N137" s="18">
        <v>82.918700000000001</v>
      </c>
      <c r="O137" s="18">
        <f t="shared" si="7"/>
        <v>29.041424999999997</v>
      </c>
      <c r="P137" s="7"/>
      <c r="Q137" s="10"/>
      <c r="R137" s="11"/>
      <c r="S137" s="11"/>
      <c r="T137" s="26"/>
      <c r="U137" s="28">
        <f t="shared" si="8"/>
        <v>1.7946983485001684</v>
      </c>
    </row>
    <row r="138" spans="1:21" ht="16.5" thickBot="1" x14ac:dyDescent="0.3">
      <c r="B138" s="12"/>
      <c r="C138" s="19">
        <v>1014.78</v>
      </c>
      <c r="D138" s="20">
        <v>22.782</v>
      </c>
      <c r="E138" s="20">
        <v>35.311</v>
      </c>
      <c r="F138" s="20">
        <v>36.475999999999999</v>
      </c>
      <c r="G138" s="20">
        <v>35.61</v>
      </c>
      <c r="H138" s="20">
        <f t="shared" si="6"/>
        <v>26.059875000000002</v>
      </c>
      <c r="I138" s="5"/>
      <c r="J138" s="19">
        <v>1155.0784000000001</v>
      </c>
      <c r="K138" s="20">
        <v>23.900700000000001</v>
      </c>
      <c r="L138" s="20">
        <v>36.508200000000002</v>
      </c>
      <c r="M138" s="20">
        <v>37.731499999999997</v>
      </c>
      <c r="N138" s="20">
        <v>98.103300000000004</v>
      </c>
      <c r="O138" s="20">
        <f t="shared" si="7"/>
        <v>27.205487499999997</v>
      </c>
      <c r="P138" s="7"/>
      <c r="Q138" s="13"/>
      <c r="R138" s="14"/>
      <c r="S138" s="14"/>
      <c r="T138" s="27"/>
      <c r="U138" s="28">
        <f t="shared" si="8"/>
        <v>1.7549368155012639</v>
      </c>
    </row>
    <row r="139" spans="1:21" x14ac:dyDescent="0.25">
      <c r="A139" s="6" t="s">
        <v>37</v>
      </c>
      <c r="B139" s="6" t="s">
        <v>48</v>
      </c>
      <c r="C139" s="15">
        <v>2006.45</v>
      </c>
      <c r="D139" s="16">
        <v>38.311</v>
      </c>
      <c r="E139" s="16">
        <v>41.008000000000003</v>
      </c>
      <c r="F139" s="16">
        <v>42.143000000000001</v>
      </c>
      <c r="G139" s="16">
        <v>36.630000000000003</v>
      </c>
      <c r="H139" s="16">
        <f t="shared" si="6"/>
        <v>39.127124999999992</v>
      </c>
      <c r="I139" s="5"/>
      <c r="J139" s="15">
        <v>2397.1215999999999</v>
      </c>
      <c r="K139" s="16">
        <v>38.895600000000002</v>
      </c>
      <c r="L139" s="16">
        <v>41.8797</v>
      </c>
      <c r="M139" s="16">
        <v>43.189900000000002</v>
      </c>
      <c r="N139" s="16">
        <v>155.44040000000001</v>
      </c>
      <c r="O139" s="16">
        <f t="shared" si="7"/>
        <v>39.805400000000006</v>
      </c>
      <c r="P139" s="7"/>
      <c r="Q139" s="8">
        <f>bdrate(C139:C142,D139:D142,J139:J142,K139:K142)</f>
        <v>-3.7546633940250262E-2</v>
      </c>
      <c r="R139" s="8">
        <f>bdrate(C139:C142,E139:E142,J139:J142,L139:L142)</f>
        <v>-0.36610839211435509</v>
      </c>
      <c r="S139" s="8">
        <f>bdrate(C139:C142,F139:F142,J139:J142,M139:M142)</f>
        <v>-0.37303170390846585</v>
      </c>
      <c r="T139" s="25">
        <f>bdrate(C139:C142,H139:H142,J139:J142,O139:O142)</f>
        <v>-9.2480939463222556E-2</v>
      </c>
      <c r="U139" s="28">
        <f t="shared" si="8"/>
        <v>3.2435271635271636</v>
      </c>
    </row>
    <row r="140" spans="1:21" x14ac:dyDescent="0.25">
      <c r="A140" s="9" t="s">
        <v>38</v>
      </c>
      <c r="B140" s="9"/>
      <c r="C140" s="17">
        <v>1311.39</v>
      </c>
      <c r="D140" s="18">
        <v>36.954000000000001</v>
      </c>
      <c r="E140" s="18">
        <v>40.158000000000001</v>
      </c>
      <c r="F140" s="18">
        <v>41.325000000000003</v>
      </c>
      <c r="G140" s="18">
        <v>53.98</v>
      </c>
      <c r="H140" s="18">
        <f t="shared" si="6"/>
        <v>37.900874999999999</v>
      </c>
      <c r="I140" s="5"/>
      <c r="J140" s="17">
        <v>1566.6120000000001</v>
      </c>
      <c r="K140" s="18">
        <v>37.6342</v>
      </c>
      <c r="L140" s="18">
        <v>41.1798</v>
      </c>
      <c r="M140" s="18">
        <v>42.404600000000002</v>
      </c>
      <c r="N140" s="18">
        <v>169.13319999999999</v>
      </c>
      <c r="O140" s="18">
        <f t="shared" si="7"/>
        <v>38.673700000000004</v>
      </c>
      <c r="P140" s="7"/>
      <c r="Q140" s="10"/>
      <c r="R140" s="11"/>
      <c r="S140" s="11"/>
      <c r="T140" s="26"/>
      <c r="U140" s="28">
        <f t="shared" si="8"/>
        <v>2.1332567617636164</v>
      </c>
    </row>
    <row r="141" spans="1:21" x14ac:dyDescent="0.25">
      <c r="B141" s="9"/>
      <c r="C141" s="17">
        <v>804.87</v>
      </c>
      <c r="D141" s="18">
        <v>35.305999999999997</v>
      </c>
      <c r="E141" s="18">
        <v>39.347999999999999</v>
      </c>
      <c r="F141" s="18">
        <v>40.607999999999997</v>
      </c>
      <c r="G141" s="18">
        <v>60.82</v>
      </c>
      <c r="H141" s="18">
        <f t="shared" si="6"/>
        <v>36.473999999999997</v>
      </c>
      <c r="I141" s="5"/>
      <c r="J141" s="17">
        <v>953.86080000000004</v>
      </c>
      <c r="K141" s="18">
        <v>36.024500000000003</v>
      </c>
      <c r="L141" s="18">
        <v>40.404400000000003</v>
      </c>
      <c r="M141" s="18">
        <v>41.578699999999998</v>
      </c>
      <c r="N141" s="18">
        <v>192.30770000000001</v>
      </c>
      <c r="O141" s="18">
        <f t="shared" si="7"/>
        <v>37.266262499999996</v>
      </c>
      <c r="P141" s="7"/>
      <c r="Q141" s="10"/>
      <c r="R141" s="11"/>
      <c r="S141" s="11"/>
      <c r="T141" s="26"/>
      <c r="U141" s="28">
        <f t="shared" si="8"/>
        <v>2.1619154883262088</v>
      </c>
    </row>
    <row r="142" spans="1:21" ht="16.5" thickBot="1" x14ac:dyDescent="0.3">
      <c r="B142" s="12"/>
      <c r="C142" s="19">
        <v>479.08</v>
      </c>
      <c r="D142" s="20">
        <v>33.421999999999997</v>
      </c>
      <c r="E142" s="20">
        <v>38.536000000000001</v>
      </c>
      <c r="F142" s="20">
        <v>39.944000000000003</v>
      </c>
      <c r="G142" s="20">
        <v>66.319999999999993</v>
      </c>
      <c r="H142" s="20">
        <f t="shared" si="6"/>
        <v>34.8765</v>
      </c>
      <c r="I142" s="5"/>
      <c r="J142" s="19">
        <v>559.24080000000004</v>
      </c>
      <c r="K142" s="20">
        <v>34.1755</v>
      </c>
      <c r="L142" s="20">
        <v>39.612900000000003</v>
      </c>
      <c r="M142" s="20">
        <v>40.8048</v>
      </c>
      <c r="N142" s="20">
        <v>213.7133</v>
      </c>
      <c r="O142" s="20">
        <f t="shared" si="7"/>
        <v>35.683837499999996</v>
      </c>
      <c r="P142" s="7"/>
      <c r="Q142" s="13"/>
      <c r="R142" s="14"/>
      <c r="S142" s="14"/>
      <c r="T142" s="27"/>
      <c r="U142" s="28">
        <f t="shared" si="8"/>
        <v>2.2224562726176118</v>
      </c>
    </row>
    <row r="143" spans="1:21" x14ac:dyDescent="0.25">
      <c r="B143" s="6" t="s">
        <v>49</v>
      </c>
      <c r="C143" s="15">
        <v>2282.4699999999998</v>
      </c>
      <c r="D143" s="16">
        <v>34.588000000000001</v>
      </c>
      <c r="E143" s="16">
        <v>38.436</v>
      </c>
      <c r="F143" s="16">
        <v>39.613999999999997</v>
      </c>
      <c r="G143" s="16">
        <v>42.03</v>
      </c>
      <c r="H143" s="16">
        <f t="shared" si="6"/>
        <v>35.697250000000004</v>
      </c>
      <c r="I143" s="5"/>
      <c r="J143" s="15">
        <v>2447.3488000000002</v>
      </c>
      <c r="K143" s="16">
        <v>35.699399999999997</v>
      </c>
      <c r="L143" s="16">
        <v>39.798999999999999</v>
      </c>
      <c r="M143" s="16">
        <v>41.032899999999998</v>
      </c>
      <c r="N143" s="16">
        <v>139.86009999999999</v>
      </c>
      <c r="O143" s="16">
        <f t="shared" si="7"/>
        <v>36.8785375</v>
      </c>
      <c r="P143" s="7"/>
      <c r="Q143" s="8">
        <f>bdrate(C143:C146,D143:D146,J143:J146,K143:K146)</f>
        <v>-0.20880709890711857</v>
      </c>
      <c r="R143" s="8">
        <f>bdrate(C143:C146,E143:E146,J143:J146,L143:L146)</f>
        <v>-0.48846770164319864</v>
      </c>
      <c r="S143" s="8">
        <f>bdrate(C143:C146,F143:F146,J143:J146,M143:M146)</f>
        <v>-0.51737628623001775</v>
      </c>
      <c r="T143" s="25">
        <f>bdrate(C143:C146,H143:H146,J143:J146,O143:O146)</f>
        <v>-0.26103676943526188</v>
      </c>
      <c r="U143" s="28">
        <f t="shared" si="8"/>
        <v>2.3276255055912438</v>
      </c>
    </row>
    <row r="144" spans="1:21" x14ac:dyDescent="0.25">
      <c r="B144" s="9"/>
      <c r="C144" s="17">
        <v>1516.63</v>
      </c>
      <c r="D144" s="18">
        <v>33.436</v>
      </c>
      <c r="E144" s="18">
        <v>37.643999999999998</v>
      </c>
      <c r="F144" s="18">
        <v>39.033999999999999</v>
      </c>
      <c r="G144" s="18">
        <v>63.32</v>
      </c>
      <c r="H144" s="18">
        <f t="shared" si="6"/>
        <v>34.661749999999998</v>
      </c>
      <c r="I144" s="5"/>
      <c r="J144" s="17">
        <v>1645.7944</v>
      </c>
      <c r="K144" s="18">
        <v>34.451500000000003</v>
      </c>
      <c r="L144" s="18">
        <v>39.058799999999998</v>
      </c>
      <c r="M144" s="18">
        <v>40.303899999999999</v>
      </c>
      <c r="N144" s="18">
        <v>150.8485</v>
      </c>
      <c r="O144" s="18">
        <f t="shared" si="7"/>
        <v>35.758962499999996</v>
      </c>
      <c r="P144" s="7"/>
      <c r="Q144" s="10"/>
      <c r="R144" s="11"/>
      <c r="S144" s="11"/>
      <c r="T144" s="26"/>
      <c r="U144" s="28">
        <f t="shared" si="8"/>
        <v>1.3823199620972837</v>
      </c>
    </row>
    <row r="145" spans="1:21" x14ac:dyDescent="0.25">
      <c r="B145" s="9"/>
      <c r="C145" s="17">
        <v>943.75</v>
      </c>
      <c r="D145" s="18">
        <v>32.095999999999997</v>
      </c>
      <c r="E145" s="18">
        <v>36.869999999999997</v>
      </c>
      <c r="F145" s="18">
        <v>38.517000000000003</v>
      </c>
      <c r="G145" s="18">
        <v>68.67</v>
      </c>
      <c r="H145" s="18">
        <f t="shared" si="6"/>
        <v>33.495374999999996</v>
      </c>
      <c r="I145" s="5"/>
      <c r="J145" s="17">
        <v>1020.8424</v>
      </c>
      <c r="K145" s="18">
        <v>32.962699999999998</v>
      </c>
      <c r="L145" s="18">
        <v>38.144599999999997</v>
      </c>
      <c r="M145" s="18">
        <v>39.506900000000002</v>
      </c>
      <c r="N145" s="18">
        <v>180.99549999999999</v>
      </c>
      <c r="O145" s="18">
        <f t="shared" si="7"/>
        <v>34.428462499999995</v>
      </c>
      <c r="P145" s="7"/>
      <c r="Q145" s="10"/>
      <c r="R145" s="11"/>
      <c r="S145" s="11"/>
      <c r="T145" s="26"/>
      <c r="U145" s="28">
        <f t="shared" si="8"/>
        <v>1.635728848114169</v>
      </c>
    </row>
    <row r="146" spans="1:21" ht="16.5" thickBot="1" x14ac:dyDescent="0.3">
      <c r="B146" s="12"/>
      <c r="C146" s="19">
        <v>559.39</v>
      </c>
      <c r="D146" s="20">
        <v>30.602</v>
      </c>
      <c r="E146" s="20">
        <v>36.125</v>
      </c>
      <c r="F146" s="20">
        <v>38.021999999999998</v>
      </c>
      <c r="G146" s="20">
        <v>72.55</v>
      </c>
      <c r="H146" s="20">
        <f t="shared" si="6"/>
        <v>32.219875000000002</v>
      </c>
      <c r="I146" s="5"/>
      <c r="J146" s="19">
        <v>584.19359999999995</v>
      </c>
      <c r="K146" s="20">
        <v>31.320599999999999</v>
      </c>
      <c r="L146" s="20">
        <v>37.175699999999999</v>
      </c>
      <c r="M146" s="20">
        <v>38.738599999999998</v>
      </c>
      <c r="N146" s="20">
        <v>205.12819999999999</v>
      </c>
      <c r="O146" s="20">
        <f t="shared" si="7"/>
        <v>32.979737499999999</v>
      </c>
      <c r="P146" s="7"/>
      <c r="Q146" s="13"/>
      <c r="R146" s="14"/>
      <c r="S146" s="14"/>
      <c r="T146" s="27"/>
      <c r="U146" s="28">
        <f t="shared" si="8"/>
        <v>1.827404548587181</v>
      </c>
    </row>
    <row r="147" spans="1:21" x14ac:dyDescent="0.25">
      <c r="B147" s="6" t="s">
        <v>50</v>
      </c>
      <c r="C147" s="15">
        <v>2374.02</v>
      </c>
      <c r="D147" s="16">
        <v>32.795000000000002</v>
      </c>
      <c r="E147" s="16">
        <v>37.246000000000002</v>
      </c>
      <c r="F147" s="16">
        <v>38.512</v>
      </c>
      <c r="G147" s="16">
        <v>48.56</v>
      </c>
      <c r="H147" s="16">
        <f t="shared" si="6"/>
        <v>34.066000000000003</v>
      </c>
      <c r="I147" s="5"/>
      <c r="J147" s="15">
        <v>2407.6680000000001</v>
      </c>
      <c r="K147" s="16">
        <v>33.7667</v>
      </c>
      <c r="L147" s="16">
        <v>38.1066</v>
      </c>
      <c r="M147" s="16">
        <v>40.0246</v>
      </c>
      <c r="N147" s="16">
        <v>187.47659999999999</v>
      </c>
      <c r="O147" s="16">
        <f t="shared" si="7"/>
        <v>35.091425000000001</v>
      </c>
      <c r="P147" s="7"/>
      <c r="Q147" s="8">
        <f>bdrate(C147:C150,D147:D150,J147:J150,K147:K150)</f>
        <v>-0.17293572406887225</v>
      </c>
      <c r="R147" s="8">
        <f>bdrate(C147:C150,E147:E150,J147:J150,L147:L150)</f>
        <v>-0.44841193415136915</v>
      </c>
      <c r="S147" s="8">
        <f>bdrate(C147:C150,F147:F150,J147:J150,M147:M150)</f>
        <v>-0.44886821828935963</v>
      </c>
      <c r="T147" s="25">
        <f>bdrate(C147:C150,H147:H150,J147:J150,O147:O150)</f>
        <v>-0.22188174572986097</v>
      </c>
      <c r="U147" s="28">
        <f t="shared" si="8"/>
        <v>2.8607207578253702</v>
      </c>
    </row>
    <row r="148" spans="1:21" x14ac:dyDescent="0.25">
      <c r="B148" s="9"/>
      <c r="C148" s="17">
        <v>1581.23</v>
      </c>
      <c r="D148" s="18">
        <v>31.72</v>
      </c>
      <c r="E148" s="18">
        <v>36.807000000000002</v>
      </c>
      <c r="F148" s="18">
        <v>37.814</v>
      </c>
      <c r="G148" s="18">
        <v>68.78</v>
      </c>
      <c r="H148" s="18">
        <f t="shared" si="6"/>
        <v>33.117625000000004</v>
      </c>
      <c r="I148" s="5"/>
      <c r="J148" s="17">
        <v>1605.7944</v>
      </c>
      <c r="K148" s="18">
        <v>32.541600000000003</v>
      </c>
      <c r="L148" s="18">
        <v>37.651000000000003</v>
      </c>
      <c r="M148" s="18">
        <v>39.1843</v>
      </c>
      <c r="N148" s="18">
        <v>204.16499999999999</v>
      </c>
      <c r="O148" s="18">
        <f t="shared" si="7"/>
        <v>34.010612500000001</v>
      </c>
      <c r="P148" s="7"/>
      <c r="Q148" s="10"/>
      <c r="R148" s="11"/>
      <c r="S148" s="11"/>
      <c r="T148" s="26"/>
      <c r="U148" s="28">
        <f t="shared" si="8"/>
        <v>1.9683774353009593</v>
      </c>
    </row>
    <row r="149" spans="1:21" x14ac:dyDescent="0.25">
      <c r="B149" s="9"/>
      <c r="C149" s="17">
        <v>975.79</v>
      </c>
      <c r="D149" s="18">
        <v>30.309000000000001</v>
      </c>
      <c r="E149" s="18">
        <v>36.234000000000002</v>
      </c>
      <c r="F149" s="18">
        <v>36.908000000000001</v>
      </c>
      <c r="G149" s="18">
        <v>72.52</v>
      </c>
      <c r="H149" s="18">
        <f t="shared" si="6"/>
        <v>31.874500000000005</v>
      </c>
      <c r="I149" s="5"/>
      <c r="J149" s="17">
        <v>1001.5568</v>
      </c>
      <c r="K149" s="18">
        <v>30.919499999999999</v>
      </c>
      <c r="L149" s="18">
        <v>37.006100000000004</v>
      </c>
      <c r="M149" s="18">
        <v>38.143700000000003</v>
      </c>
      <c r="N149" s="18">
        <v>235.7379</v>
      </c>
      <c r="O149" s="18">
        <f t="shared" si="7"/>
        <v>32.583350000000003</v>
      </c>
      <c r="P149" s="7"/>
      <c r="Q149" s="10"/>
      <c r="R149" s="11"/>
      <c r="S149" s="11"/>
      <c r="T149" s="26"/>
      <c r="U149" s="28">
        <f t="shared" si="8"/>
        <v>2.2506605074462218</v>
      </c>
    </row>
    <row r="150" spans="1:21" ht="16.5" thickBot="1" x14ac:dyDescent="0.3">
      <c r="B150" s="12"/>
      <c r="C150" s="19">
        <v>570.09</v>
      </c>
      <c r="D150" s="20">
        <v>28.535</v>
      </c>
      <c r="E150" s="20">
        <v>35.271999999999998</v>
      </c>
      <c r="F150" s="20">
        <v>35.456000000000003</v>
      </c>
      <c r="G150" s="20">
        <v>78.17</v>
      </c>
      <c r="H150" s="20">
        <f t="shared" si="6"/>
        <v>30.242249999999999</v>
      </c>
      <c r="I150" s="5"/>
      <c r="J150" s="19">
        <v>600.10879999999997</v>
      </c>
      <c r="K150" s="20">
        <v>29.091000000000001</v>
      </c>
      <c r="L150" s="20">
        <v>36.284599999999998</v>
      </c>
      <c r="M150" s="20">
        <v>36.968800000000002</v>
      </c>
      <c r="N150" s="20">
        <v>262.74299999999999</v>
      </c>
      <c r="O150" s="20">
        <f t="shared" si="7"/>
        <v>30.974924999999999</v>
      </c>
      <c r="P150" s="7"/>
      <c r="Q150" s="13"/>
      <c r="R150" s="14"/>
      <c r="S150" s="14"/>
      <c r="T150" s="27"/>
      <c r="U150" s="28">
        <f t="shared" si="8"/>
        <v>2.3611743635665854</v>
      </c>
    </row>
    <row r="151" spans="1:21" x14ac:dyDescent="0.25">
      <c r="B151" s="6" t="s">
        <v>51</v>
      </c>
      <c r="C151" s="29">
        <v>2397.6</v>
      </c>
      <c r="D151" s="30">
        <v>33.392000000000003</v>
      </c>
      <c r="E151" s="30">
        <v>39.447000000000003</v>
      </c>
      <c r="F151" s="30">
        <v>38.893999999999998</v>
      </c>
      <c r="G151" s="16">
        <v>51.78</v>
      </c>
      <c r="H151" s="16">
        <f t="shared" si="6"/>
        <v>34.836625000000005</v>
      </c>
      <c r="I151" s="5"/>
      <c r="J151" s="29">
        <v>2416.1648</v>
      </c>
      <c r="K151" s="30">
        <v>33.7254</v>
      </c>
      <c r="L151" s="30">
        <v>40.179299999999998</v>
      </c>
      <c r="M151" s="30">
        <v>39.728000000000002</v>
      </c>
      <c r="N151" s="16">
        <v>165.18</v>
      </c>
      <c r="O151" s="16">
        <f t="shared" si="7"/>
        <v>35.282462500000001</v>
      </c>
      <c r="P151" s="7"/>
      <c r="Q151" s="8">
        <f>bdrate(C151:C154,D151:D154,J151:J154,K151:K154)</f>
        <v>-6.656193392969123E-2</v>
      </c>
      <c r="R151" s="8">
        <f>bdrate(C151:C154,E151:E154,J151:J154,L151:L154)</f>
        <v>-0.28371758860616947</v>
      </c>
      <c r="S151" s="8">
        <f>bdrate(C151:C154,F151:F154,J151:J154,M151:M154)</f>
        <v>-0.28982535796106335</v>
      </c>
      <c r="T151" s="25">
        <f>bdrate(C151:C154,H151:H154,J151:J154,O151:O154)</f>
        <v>-0.11402535458530361</v>
      </c>
      <c r="U151" s="28">
        <f t="shared" si="8"/>
        <v>2.190034762456547</v>
      </c>
    </row>
    <row r="152" spans="1:21" x14ac:dyDescent="0.25">
      <c r="B152" s="9"/>
      <c r="C152" s="31">
        <v>1586.47</v>
      </c>
      <c r="D152" s="32">
        <v>31.988</v>
      </c>
      <c r="E152" s="32">
        <v>38.610999999999997</v>
      </c>
      <c r="F152" s="32">
        <v>37.786999999999999</v>
      </c>
      <c r="G152" s="18">
        <v>64.23</v>
      </c>
      <c r="H152" s="18">
        <f t="shared" si="6"/>
        <v>33.540749999999996</v>
      </c>
      <c r="I152" s="5"/>
      <c r="J152" s="31">
        <v>1609.1464000000001</v>
      </c>
      <c r="K152" s="32">
        <v>32.299700000000001</v>
      </c>
      <c r="L152" s="32">
        <v>39.401600000000002</v>
      </c>
      <c r="M152" s="32">
        <v>38.732300000000002</v>
      </c>
      <c r="N152" s="18">
        <v>187.40629999999999</v>
      </c>
      <c r="O152" s="18">
        <f t="shared" si="7"/>
        <v>33.991512499999999</v>
      </c>
      <c r="P152" s="7"/>
      <c r="Q152" s="10"/>
      <c r="R152" s="11"/>
      <c r="S152" s="11"/>
      <c r="T152" s="26"/>
      <c r="U152" s="28">
        <f t="shared" si="8"/>
        <v>1.9177378172193675</v>
      </c>
    </row>
    <row r="153" spans="1:21" x14ac:dyDescent="0.25">
      <c r="B153" s="9"/>
      <c r="C153" s="31">
        <v>989.57</v>
      </c>
      <c r="D153" s="32">
        <v>30.251000000000001</v>
      </c>
      <c r="E153" s="32">
        <v>37.542000000000002</v>
      </c>
      <c r="F153" s="32">
        <v>36.441000000000003</v>
      </c>
      <c r="G153" s="18">
        <v>68.78</v>
      </c>
      <c r="H153" s="18">
        <f t="shared" si="6"/>
        <v>31.936125000000001</v>
      </c>
      <c r="I153" s="5"/>
      <c r="J153" s="31">
        <v>1001.1752</v>
      </c>
      <c r="K153" s="32">
        <v>30.5182</v>
      </c>
      <c r="L153" s="32">
        <v>38.3553</v>
      </c>
      <c r="M153" s="32">
        <v>37.5075</v>
      </c>
      <c r="N153" s="18">
        <v>213.67519999999999</v>
      </c>
      <c r="O153" s="18">
        <f t="shared" si="7"/>
        <v>32.371499999999997</v>
      </c>
      <c r="P153" s="7"/>
      <c r="Q153" s="10"/>
      <c r="R153" s="11"/>
      <c r="S153" s="11"/>
      <c r="T153" s="26"/>
      <c r="U153" s="28">
        <f t="shared" si="8"/>
        <v>2.1066472811863912</v>
      </c>
    </row>
    <row r="154" spans="1:21" ht="16.5" thickBot="1" x14ac:dyDescent="0.3">
      <c r="B154" s="12"/>
      <c r="C154" s="33">
        <v>585.49</v>
      </c>
      <c r="D154" s="34">
        <v>28.207999999999998</v>
      </c>
      <c r="E154" s="34">
        <v>35.715000000000003</v>
      </c>
      <c r="F154" s="34">
        <v>34.274999999999999</v>
      </c>
      <c r="G154" s="20">
        <v>73.84</v>
      </c>
      <c r="H154" s="20">
        <f t="shared" si="6"/>
        <v>29.90475</v>
      </c>
      <c r="I154" s="5"/>
      <c r="J154" s="33">
        <v>599.34400000000005</v>
      </c>
      <c r="K154" s="34">
        <v>28.6051</v>
      </c>
      <c r="L154" s="34">
        <v>36.97</v>
      </c>
      <c r="M154" s="34">
        <v>35.814500000000002</v>
      </c>
      <c r="N154" s="20">
        <v>240.9639</v>
      </c>
      <c r="O154" s="20">
        <f t="shared" si="7"/>
        <v>30.551887500000003</v>
      </c>
      <c r="P154" s="7"/>
      <c r="Q154" s="13"/>
      <c r="R154" s="14"/>
      <c r="S154" s="14"/>
      <c r="T154" s="27"/>
      <c r="U154" s="28">
        <f t="shared" si="8"/>
        <v>2.2633247562296854</v>
      </c>
    </row>
    <row r="155" spans="1:21" x14ac:dyDescent="0.25">
      <c r="B155" s="6" t="s">
        <v>52</v>
      </c>
      <c r="C155" s="15">
        <v>2387.5300000000002</v>
      </c>
      <c r="D155" s="16">
        <v>31.777000000000001</v>
      </c>
      <c r="E155" s="16">
        <v>38.433</v>
      </c>
      <c r="F155" s="16">
        <v>41.101999999999997</v>
      </c>
      <c r="G155" s="16">
        <v>49.69</v>
      </c>
      <c r="H155" s="16">
        <f t="shared" si="6"/>
        <v>33.774625</v>
      </c>
      <c r="I155" s="5"/>
      <c r="J155" s="15">
        <v>2410.7559999999999</v>
      </c>
      <c r="K155" s="16">
        <v>33.329700000000003</v>
      </c>
      <c r="L155" s="16">
        <v>39.746600000000001</v>
      </c>
      <c r="M155" s="16">
        <v>42.285499999999999</v>
      </c>
      <c r="N155" s="16">
        <v>198.2816</v>
      </c>
      <c r="O155" s="16">
        <f t="shared" si="7"/>
        <v>35.251287500000004</v>
      </c>
      <c r="P155" s="7"/>
      <c r="Q155" s="8">
        <f>bdrate(C155:C158,D155:D158,J155:J158,K155:K158)</f>
        <v>-0.48698846509708393</v>
      </c>
      <c r="R155" s="8">
        <f>bdrate(C155:C158,E155:E158,J155:J158,L155:L158)</f>
        <v>-0.60829108809964882</v>
      </c>
      <c r="S155" s="8">
        <f>bdrate(C155:C158,F155:F158,J155:J158,M155:M158)</f>
        <v>-0.5278220385286263</v>
      </c>
      <c r="T155" s="25">
        <f>bdrate(C155:C158,H155:H158,J155:J158,O155:O158)</f>
        <v>-0.49641277306802822</v>
      </c>
      <c r="U155" s="28">
        <f t="shared" si="8"/>
        <v>2.9903723083115317</v>
      </c>
    </row>
    <row r="156" spans="1:21" x14ac:dyDescent="0.25">
      <c r="B156" s="9"/>
      <c r="C156" s="17">
        <v>1561.94</v>
      </c>
      <c r="D156" s="18">
        <v>30.827999999999999</v>
      </c>
      <c r="E156" s="18">
        <v>38.042999999999999</v>
      </c>
      <c r="F156" s="18">
        <v>40.774000000000001</v>
      </c>
      <c r="G156" s="18">
        <v>76.319999999999993</v>
      </c>
      <c r="H156" s="18">
        <f t="shared" si="6"/>
        <v>32.973124999999996</v>
      </c>
      <c r="I156" s="5"/>
      <c r="J156" s="17">
        <v>1610.8327999999999</v>
      </c>
      <c r="K156" s="18">
        <v>32.604900000000001</v>
      </c>
      <c r="L156" s="18">
        <v>39.2639</v>
      </c>
      <c r="M156" s="18">
        <v>41.827599999999997</v>
      </c>
      <c r="N156" s="18">
        <v>217.3126</v>
      </c>
      <c r="O156" s="18">
        <f t="shared" si="7"/>
        <v>34.590112500000004</v>
      </c>
      <c r="P156" s="7"/>
      <c r="Q156" s="10"/>
      <c r="R156" s="11"/>
      <c r="S156" s="11"/>
      <c r="T156" s="26"/>
      <c r="U156" s="28">
        <f t="shared" si="8"/>
        <v>1.8473873165618451</v>
      </c>
    </row>
    <row r="157" spans="1:21" x14ac:dyDescent="0.25">
      <c r="B157" s="9"/>
      <c r="C157" s="17">
        <v>928.43</v>
      </c>
      <c r="D157" s="18">
        <v>29.388999999999999</v>
      </c>
      <c r="E157" s="18">
        <v>37.521999999999998</v>
      </c>
      <c r="F157" s="18">
        <v>40.268000000000001</v>
      </c>
      <c r="G157" s="18">
        <v>81.150000000000006</v>
      </c>
      <c r="H157" s="18">
        <f t="shared" si="6"/>
        <v>31.765499999999999</v>
      </c>
      <c r="I157" s="5"/>
      <c r="J157" s="17">
        <v>1020.504</v>
      </c>
      <c r="K157" s="18">
        <v>31.482500000000002</v>
      </c>
      <c r="L157" s="18">
        <v>38.567399999999999</v>
      </c>
      <c r="M157" s="18">
        <v>41.113100000000003</v>
      </c>
      <c r="N157" s="18">
        <v>237.34180000000001</v>
      </c>
      <c r="O157" s="18">
        <f t="shared" si="7"/>
        <v>33.571937500000004</v>
      </c>
      <c r="P157" s="7"/>
      <c r="Q157" s="10"/>
      <c r="R157" s="11"/>
      <c r="S157" s="11"/>
      <c r="T157" s="26"/>
      <c r="U157" s="28">
        <f t="shared" si="8"/>
        <v>1.9247295132470732</v>
      </c>
    </row>
    <row r="158" spans="1:21" ht="16.5" thickBot="1" x14ac:dyDescent="0.3">
      <c r="B158" s="12"/>
      <c r="C158" s="19">
        <v>480.9</v>
      </c>
      <c r="D158" s="20">
        <v>26.317</v>
      </c>
      <c r="E158" s="20">
        <v>36.234000000000002</v>
      </c>
      <c r="F158" s="20">
        <v>39.18</v>
      </c>
      <c r="G158" s="20">
        <v>86.62</v>
      </c>
      <c r="H158" s="20">
        <f t="shared" si="6"/>
        <v>29.1645</v>
      </c>
      <c r="I158" s="5"/>
      <c r="J158" s="19">
        <v>602.26800000000003</v>
      </c>
      <c r="K158" s="20">
        <v>29.941800000000001</v>
      </c>
      <c r="L158" s="20">
        <v>38.023099999999999</v>
      </c>
      <c r="M158" s="20">
        <v>40.5501</v>
      </c>
      <c r="N158" s="20">
        <v>256.41030000000001</v>
      </c>
      <c r="O158" s="20">
        <f t="shared" si="7"/>
        <v>32.277999999999999</v>
      </c>
      <c r="P158" s="7"/>
      <c r="Q158" s="13"/>
      <c r="R158" s="14"/>
      <c r="S158" s="14"/>
      <c r="T158" s="27"/>
      <c r="U158" s="28">
        <f t="shared" si="8"/>
        <v>1.9601743246363426</v>
      </c>
    </row>
    <row r="159" spans="1:21" x14ac:dyDescent="0.25">
      <c r="A159" s="6" t="s">
        <v>39</v>
      </c>
      <c r="B159" s="6" t="s">
        <v>53</v>
      </c>
      <c r="C159" s="15">
        <v>1222.9000000000001</v>
      </c>
      <c r="D159" s="16">
        <v>33.567999999999998</v>
      </c>
      <c r="E159" s="16">
        <v>37.313000000000002</v>
      </c>
      <c r="F159" s="16">
        <v>37.046999999999997</v>
      </c>
      <c r="G159" s="16">
        <v>174.22</v>
      </c>
      <c r="H159" s="16">
        <f t="shared" si="6"/>
        <v>34.471000000000004</v>
      </c>
      <c r="I159" s="5"/>
      <c r="J159" s="15">
        <v>1208.4536000000001</v>
      </c>
      <c r="K159" s="16">
        <v>34.513199999999998</v>
      </c>
      <c r="L159" s="16">
        <v>38.640700000000002</v>
      </c>
      <c r="M159" s="16">
        <v>38.443800000000003</v>
      </c>
      <c r="N159" s="16">
        <v>696.37879999999996</v>
      </c>
      <c r="O159" s="16">
        <f t="shared" si="7"/>
        <v>35.520462500000001</v>
      </c>
      <c r="P159" s="7"/>
      <c r="Q159" s="8">
        <f>bdrate(C159:C162,D159:D162,J159:J162,K159:K162)</f>
        <v>-0.16422779031532142</v>
      </c>
      <c r="R159" s="8">
        <f>bdrate(C159:C162,E159:E162,J159:J162,L159:L162)</f>
        <v>-0.31719553661056943</v>
      </c>
      <c r="S159" s="8">
        <f>bdrate(C159:C162,F159:F162,J159:J162,M159:M162)</f>
        <v>-0.32559552088508881</v>
      </c>
      <c r="T159" s="25">
        <f>bdrate(C159:C162,H159:H162,J159:J162,O159:O162)</f>
        <v>-0.19755160608406297</v>
      </c>
      <c r="U159" s="28">
        <f t="shared" si="8"/>
        <v>2.9971231775915506</v>
      </c>
    </row>
    <row r="160" spans="1:21" x14ac:dyDescent="0.25">
      <c r="A160" s="9" t="s">
        <v>40</v>
      </c>
      <c r="B160" s="9"/>
      <c r="C160" s="17">
        <v>811.34</v>
      </c>
      <c r="D160" s="18">
        <v>32.134</v>
      </c>
      <c r="E160" s="18">
        <v>36.415999999999997</v>
      </c>
      <c r="F160" s="18">
        <v>36.014000000000003</v>
      </c>
      <c r="G160" s="18">
        <v>266.95</v>
      </c>
      <c r="H160" s="18">
        <f t="shared" si="6"/>
        <v>33.154249999999998</v>
      </c>
      <c r="I160" s="5"/>
      <c r="J160" s="17">
        <v>806.63840000000005</v>
      </c>
      <c r="K160" s="18">
        <v>32.9739</v>
      </c>
      <c r="L160" s="18">
        <v>37.535800000000002</v>
      </c>
      <c r="M160" s="18">
        <v>37.231000000000002</v>
      </c>
      <c r="N160" s="18">
        <v>822.36839999999995</v>
      </c>
      <c r="O160" s="18">
        <f t="shared" si="7"/>
        <v>34.076275000000003</v>
      </c>
      <c r="P160" s="7"/>
      <c r="Q160" s="10"/>
      <c r="R160" s="11"/>
      <c r="S160" s="11"/>
      <c r="T160" s="26"/>
      <c r="U160" s="28">
        <f t="shared" si="8"/>
        <v>2.0806083536242745</v>
      </c>
    </row>
    <row r="161" spans="1:21" x14ac:dyDescent="0.25">
      <c r="B161" s="9"/>
      <c r="C161" s="17">
        <v>506</v>
      </c>
      <c r="D161" s="18">
        <v>30.568999999999999</v>
      </c>
      <c r="E161" s="18">
        <v>35.412999999999997</v>
      </c>
      <c r="F161" s="18">
        <v>34.853000000000002</v>
      </c>
      <c r="G161" s="18">
        <v>296.74</v>
      </c>
      <c r="H161" s="18">
        <f t="shared" si="6"/>
        <v>31.71</v>
      </c>
      <c r="I161" s="5"/>
      <c r="J161" s="17">
        <v>503.79039999999998</v>
      </c>
      <c r="K161" s="18">
        <v>31.144500000000001</v>
      </c>
      <c r="L161" s="18">
        <v>36.241999999999997</v>
      </c>
      <c r="M161" s="18">
        <v>35.840800000000002</v>
      </c>
      <c r="N161" s="18">
        <v>915.7509</v>
      </c>
      <c r="O161" s="18">
        <f t="shared" si="7"/>
        <v>32.368724999999998</v>
      </c>
      <c r="P161" s="7"/>
      <c r="Q161" s="10"/>
      <c r="R161" s="11"/>
      <c r="S161" s="11"/>
      <c r="T161" s="26"/>
      <c r="U161" s="28">
        <f t="shared" si="8"/>
        <v>2.0860379456763494</v>
      </c>
    </row>
    <row r="162" spans="1:21" ht="16.5" thickBot="1" x14ac:dyDescent="0.3">
      <c r="B162" s="12"/>
      <c r="C162" s="19">
        <v>300.07</v>
      </c>
      <c r="D162" s="20">
        <v>28.902999999999999</v>
      </c>
      <c r="E162" s="20">
        <v>34.223999999999997</v>
      </c>
      <c r="F162" s="20">
        <v>33.527000000000001</v>
      </c>
      <c r="G162" s="20">
        <v>344.59</v>
      </c>
      <c r="H162" s="20">
        <f t="shared" si="6"/>
        <v>30.146124999999998</v>
      </c>
      <c r="I162" s="5"/>
      <c r="J162" s="19">
        <v>303.29759999999999</v>
      </c>
      <c r="K162" s="20">
        <v>29.111999999999998</v>
      </c>
      <c r="L162" s="20">
        <v>34.8872</v>
      </c>
      <c r="M162" s="20">
        <v>34.334299999999999</v>
      </c>
      <c r="N162" s="20">
        <v>1144.1648</v>
      </c>
      <c r="O162" s="20">
        <f t="shared" si="7"/>
        <v>30.486687500000002</v>
      </c>
      <c r="P162" s="7"/>
      <c r="Q162" s="13"/>
      <c r="R162" s="14"/>
      <c r="S162" s="14"/>
      <c r="T162" s="27"/>
      <c r="U162" s="28">
        <f t="shared" si="8"/>
        <v>2.3203656519341833</v>
      </c>
    </row>
    <row r="163" spans="1:21" x14ac:dyDescent="0.25">
      <c r="B163" s="6" t="s">
        <v>54</v>
      </c>
      <c r="C163" s="15">
        <v>1224.2</v>
      </c>
      <c r="D163" s="16">
        <v>33.381999999999998</v>
      </c>
      <c r="E163" s="16">
        <v>38.817999999999998</v>
      </c>
      <c r="F163" s="16">
        <v>39.613999999999997</v>
      </c>
      <c r="G163" s="16">
        <v>178.89</v>
      </c>
      <c r="H163" s="16">
        <f t="shared" si="6"/>
        <v>34.840499999999992</v>
      </c>
      <c r="I163" s="5"/>
      <c r="J163" s="15">
        <v>1236.0871999999999</v>
      </c>
      <c r="K163" s="16">
        <v>34.782800000000002</v>
      </c>
      <c r="L163" s="16">
        <v>40.318399999999997</v>
      </c>
      <c r="M163" s="16">
        <v>41.155700000000003</v>
      </c>
      <c r="N163" s="16">
        <v>686.49890000000005</v>
      </c>
      <c r="O163" s="16">
        <f t="shared" si="7"/>
        <v>36.271362500000002</v>
      </c>
      <c r="P163" s="7"/>
      <c r="Q163" s="8">
        <f>bdrate(C163:C166,D163:D166,J163:J166,K163:K166)</f>
        <v>-0.26451098158375552</v>
      </c>
      <c r="R163" s="8">
        <f>bdrate(C163:C166,E163:E166,J163:J166,L163:L166)</f>
        <v>-0.48908187937294734</v>
      </c>
      <c r="S163" s="8">
        <f>bdrate(C163:C166,F163:F166,J163:J166,M163:M166)</f>
        <v>-0.45430328260967467</v>
      </c>
      <c r="T163" s="25">
        <f>bdrate(C163:C166,H163:H166,J163:J166,O163:O166)</f>
        <v>-0.30352603206208473</v>
      </c>
      <c r="U163" s="28">
        <f t="shared" si="8"/>
        <v>2.8375476549835099</v>
      </c>
    </row>
    <row r="164" spans="1:21" x14ac:dyDescent="0.25">
      <c r="B164" s="9"/>
      <c r="C164" s="17">
        <v>813.92</v>
      </c>
      <c r="D164" s="18">
        <v>31.914999999999999</v>
      </c>
      <c r="E164" s="18">
        <v>37.895000000000003</v>
      </c>
      <c r="F164" s="18">
        <v>38.593000000000004</v>
      </c>
      <c r="G164" s="18">
        <v>298.20999999999998</v>
      </c>
      <c r="H164" s="18">
        <f t="shared" si="6"/>
        <v>33.497250000000001</v>
      </c>
      <c r="I164" s="5"/>
      <c r="J164" s="17">
        <v>824.68719999999996</v>
      </c>
      <c r="K164" s="18">
        <v>33.2453</v>
      </c>
      <c r="L164" s="18">
        <v>39.406799999999997</v>
      </c>
      <c r="M164" s="18">
        <v>40.116900000000001</v>
      </c>
      <c r="N164" s="18">
        <v>785.34029999999996</v>
      </c>
      <c r="O164" s="18">
        <f t="shared" si="7"/>
        <v>34.874437499999999</v>
      </c>
      <c r="P164" s="7"/>
      <c r="Q164" s="10"/>
      <c r="R164" s="11"/>
      <c r="S164" s="11"/>
      <c r="T164" s="26"/>
      <c r="U164" s="28">
        <f t="shared" si="8"/>
        <v>1.6335143020019449</v>
      </c>
    </row>
    <row r="165" spans="1:21" x14ac:dyDescent="0.25">
      <c r="B165" s="9"/>
      <c r="C165" s="17">
        <v>505.66</v>
      </c>
      <c r="D165" s="18">
        <v>30.186</v>
      </c>
      <c r="E165" s="18">
        <v>36.933999999999997</v>
      </c>
      <c r="F165" s="18">
        <v>37.499000000000002</v>
      </c>
      <c r="G165" s="18">
        <v>340.33</v>
      </c>
      <c r="H165" s="18">
        <f t="shared" si="6"/>
        <v>31.943624999999997</v>
      </c>
      <c r="I165" s="5"/>
      <c r="J165" s="17">
        <v>514.37279999999998</v>
      </c>
      <c r="K165" s="18">
        <v>31.360900000000001</v>
      </c>
      <c r="L165" s="18">
        <v>38.353000000000002</v>
      </c>
      <c r="M165" s="18">
        <v>38.955500000000001</v>
      </c>
      <c r="N165" s="18">
        <v>817.43870000000004</v>
      </c>
      <c r="O165" s="18">
        <f t="shared" si="7"/>
        <v>33.184237500000002</v>
      </c>
      <c r="P165" s="7"/>
      <c r="Q165" s="10"/>
      <c r="R165" s="11"/>
      <c r="S165" s="11"/>
      <c r="T165" s="26"/>
      <c r="U165" s="28">
        <f t="shared" si="8"/>
        <v>1.4019002144976938</v>
      </c>
    </row>
    <row r="166" spans="1:21" ht="16.5" thickBot="1" x14ac:dyDescent="0.3">
      <c r="B166" s="12"/>
      <c r="C166" s="19">
        <v>299.04000000000002</v>
      </c>
      <c r="D166" s="20">
        <v>28.209</v>
      </c>
      <c r="E166" s="20">
        <v>35.683999999999997</v>
      </c>
      <c r="F166" s="20">
        <v>36.017000000000003</v>
      </c>
      <c r="G166" s="20">
        <v>356.08</v>
      </c>
      <c r="H166" s="20">
        <f t="shared" si="6"/>
        <v>30.119374999999998</v>
      </c>
      <c r="I166" s="5"/>
      <c r="J166" s="19">
        <v>308.2072</v>
      </c>
      <c r="K166" s="20">
        <v>29.313800000000001</v>
      </c>
      <c r="L166" s="20">
        <v>37.307899999999997</v>
      </c>
      <c r="M166" s="20">
        <v>37.756100000000004</v>
      </c>
      <c r="N166" s="20">
        <v>1098.9011</v>
      </c>
      <c r="O166" s="20">
        <f t="shared" si="7"/>
        <v>31.36835</v>
      </c>
      <c r="P166" s="7"/>
      <c r="Q166" s="13"/>
      <c r="R166" s="14"/>
      <c r="S166" s="14"/>
      <c r="T166" s="27"/>
      <c r="U166" s="28">
        <f t="shared" si="8"/>
        <v>2.0861073354302406</v>
      </c>
    </row>
    <row r="167" spans="1:21" x14ac:dyDescent="0.25">
      <c r="B167" s="6" t="s">
        <v>55</v>
      </c>
      <c r="C167" s="15">
        <v>1091.33</v>
      </c>
      <c r="D167" s="16">
        <v>27.916</v>
      </c>
      <c r="E167" s="16">
        <v>34.521999999999998</v>
      </c>
      <c r="F167" s="16">
        <v>35.317999999999998</v>
      </c>
      <c r="G167" s="16">
        <v>168.69</v>
      </c>
      <c r="H167" s="16">
        <f t="shared" si="6"/>
        <v>29.667000000000002</v>
      </c>
      <c r="I167" s="5"/>
      <c r="J167" s="15">
        <v>1217.8096</v>
      </c>
      <c r="K167" s="16">
        <v>29.919799999999999</v>
      </c>
      <c r="L167" s="16">
        <v>36.532600000000002</v>
      </c>
      <c r="M167" s="16">
        <v>37.337600000000002</v>
      </c>
      <c r="N167" s="16">
        <v>616.52279999999996</v>
      </c>
      <c r="O167" s="16">
        <f t="shared" si="7"/>
        <v>31.673625000000001</v>
      </c>
      <c r="P167" s="7"/>
      <c r="Q167" s="8">
        <f>bdrate(C167:C170,D167:D170,J167:J170,K167:K170)</f>
        <v>-0.40112822827405492</v>
      </c>
      <c r="R167" s="8">
        <f>bdrate(C167:C170,E167:E170,J167:J170,L167:L170)</f>
        <v>-0.63158442139903614</v>
      </c>
      <c r="S167" s="8">
        <f>bdrate(C167:C170,F167:F170,J167:J170,M167:M170)</f>
        <v>-0.59130570092874057</v>
      </c>
      <c r="T167" s="25">
        <f>bdrate(C167:C170,H167:H170,J167:J170,O167:O170)</f>
        <v>-0.4385188238808394</v>
      </c>
      <c r="U167" s="28">
        <f t="shared" si="8"/>
        <v>2.6547679174817711</v>
      </c>
    </row>
    <row r="168" spans="1:21" x14ac:dyDescent="0.25">
      <c r="B168" s="9"/>
      <c r="C168" s="17">
        <v>727.92</v>
      </c>
      <c r="D168" s="18">
        <v>26.68</v>
      </c>
      <c r="E168" s="18">
        <v>33.932000000000002</v>
      </c>
      <c r="F168" s="18">
        <v>34.765999999999998</v>
      </c>
      <c r="G168" s="18">
        <v>305.25</v>
      </c>
      <c r="H168" s="18">
        <f t="shared" si="6"/>
        <v>28.597249999999999</v>
      </c>
      <c r="I168" s="5"/>
      <c r="J168" s="17">
        <v>809.85519999999997</v>
      </c>
      <c r="K168" s="18">
        <v>28.5776</v>
      </c>
      <c r="L168" s="18">
        <v>35.7577</v>
      </c>
      <c r="M168" s="18">
        <v>36.514200000000002</v>
      </c>
      <c r="N168" s="18">
        <v>745.15650000000005</v>
      </c>
      <c r="O168" s="18">
        <f t="shared" si="7"/>
        <v>30.467187500000001</v>
      </c>
      <c r="P168" s="7"/>
      <c r="Q168" s="10"/>
      <c r="R168" s="11"/>
      <c r="S168" s="11"/>
      <c r="T168" s="26"/>
      <c r="U168" s="28">
        <f t="shared" si="8"/>
        <v>1.4411351351351354</v>
      </c>
    </row>
    <row r="169" spans="1:21" x14ac:dyDescent="0.25">
      <c r="B169" s="9"/>
      <c r="C169" s="17">
        <v>450.55</v>
      </c>
      <c r="D169" s="18">
        <v>25.311</v>
      </c>
      <c r="E169" s="18">
        <v>33.262999999999998</v>
      </c>
      <c r="F169" s="18">
        <v>34.119999999999997</v>
      </c>
      <c r="G169" s="18">
        <v>337.38</v>
      </c>
      <c r="H169" s="18">
        <f t="shared" si="6"/>
        <v>27.406124999999999</v>
      </c>
      <c r="I169" s="5"/>
      <c r="J169" s="17">
        <v>508.80799999999999</v>
      </c>
      <c r="K169" s="18">
        <v>27.1465</v>
      </c>
      <c r="L169" s="18">
        <v>34.926400000000001</v>
      </c>
      <c r="M169" s="18">
        <v>35.624699999999997</v>
      </c>
      <c r="N169" s="18">
        <v>889.67970000000003</v>
      </c>
      <c r="O169" s="18">
        <f t="shared" si="7"/>
        <v>29.178762499999998</v>
      </c>
      <c r="P169" s="7"/>
      <c r="Q169" s="10"/>
      <c r="R169" s="11"/>
      <c r="S169" s="11"/>
      <c r="T169" s="26"/>
      <c r="U169" s="28">
        <f t="shared" si="8"/>
        <v>1.6370256091054598</v>
      </c>
    </row>
    <row r="170" spans="1:21" ht="16.5" thickBot="1" x14ac:dyDescent="0.3">
      <c r="B170" s="12"/>
      <c r="C170" s="19">
        <v>259.01</v>
      </c>
      <c r="D170" s="20">
        <v>23.658999999999999</v>
      </c>
      <c r="E170" s="20">
        <v>32.264000000000003</v>
      </c>
      <c r="F170" s="20">
        <v>33.064</v>
      </c>
      <c r="G170" s="20">
        <v>352.11</v>
      </c>
      <c r="H170" s="20">
        <f t="shared" si="6"/>
        <v>25.910250000000001</v>
      </c>
      <c r="I170" s="5"/>
      <c r="J170" s="19">
        <v>305.80239999999998</v>
      </c>
      <c r="K170" s="20">
        <v>25.6599</v>
      </c>
      <c r="L170" s="20">
        <v>34.107900000000001</v>
      </c>
      <c r="M170" s="20">
        <v>34.7517</v>
      </c>
      <c r="N170" s="20">
        <v>1068.3761</v>
      </c>
      <c r="O170" s="20">
        <f t="shared" si="7"/>
        <v>27.852375000000002</v>
      </c>
      <c r="P170" s="7"/>
      <c r="Q170" s="13"/>
      <c r="R170" s="14"/>
      <c r="S170" s="14"/>
      <c r="T170" s="27"/>
      <c r="U170" s="28">
        <f t="shared" si="8"/>
        <v>2.0342111840049983</v>
      </c>
    </row>
    <row r="171" spans="1:21" x14ac:dyDescent="0.25">
      <c r="B171" s="6" t="s">
        <v>56</v>
      </c>
      <c r="C171" s="15">
        <v>1110</v>
      </c>
      <c r="D171" s="16">
        <v>31.341000000000001</v>
      </c>
      <c r="E171" s="16">
        <v>35.962000000000003</v>
      </c>
      <c r="F171" s="16">
        <v>37.597999999999999</v>
      </c>
      <c r="G171" s="16">
        <v>174.83</v>
      </c>
      <c r="H171" s="16">
        <f t="shared" si="6"/>
        <v>32.700749999999999</v>
      </c>
      <c r="I171" s="5"/>
      <c r="J171" s="15">
        <v>1207.212</v>
      </c>
      <c r="K171" s="16">
        <v>31.835999999999999</v>
      </c>
      <c r="L171" s="16">
        <v>36.6038</v>
      </c>
      <c r="M171" s="16">
        <v>38.166200000000003</v>
      </c>
      <c r="N171" s="16">
        <v>480.76920000000001</v>
      </c>
      <c r="O171" s="16">
        <f t="shared" si="7"/>
        <v>33.22325</v>
      </c>
      <c r="P171" s="7"/>
      <c r="Q171" s="8">
        <f>bdrate(C171:C174,D171:D174,J171:J174,K171:K174)</f>
        <v>-3.7128163545374626E-4</v>
      </c>
      <c r="R171" s="8">
        <f>bdrate(C171:C174,E171:E174,J171:J174,L171:L174)</f>
        <v>-0.19707643945871556</v>
      </c>
      <c r="S171" s="8">
        <f>bdrate(C171:C174,F171:F174,J171:J174,M171:M174)</f>
        <v>-0.18852367941170023</v>
      </c>
      <c r="T171" s="25">
        <f>bdrate(C171:C174,H171:H174,J171:J174,O171:O174)</f>
        <v>-3.6793006486262159E-2</v>
      </c>
      <c r="U171" s="28">
        <f t="shared" si="8"/>
        <v>1.7499239260996398</v>
      </c>
    </row>
    <row r="172" spans="1:21" x14ac:dyDescent="0.25">
      <c r="B172" s="9"/>
      <c r="C172" s="17">
        <v>753.59</v>
      </c>
      <c r="D172" s="18">
        <v>30.064</v>
      </c>
      <c r="E172" s="18">
        <v>35.231999999999999</v>
      </c>
      <c r="F172" s="18">
        <v>36.825000000000003</v>
      </c>
      <c r="G172" s="18">
        <v>202.43</v>
      </c>
      <c r="H172" s="18">
        <f t="shared" si="6"/>
        <v>31.555125000000004</v>
      </c>
      <c r="I172" s="5"/>
      <c r="J172" s="17">
        <v>803.23599999999999</v>
      </c>
      <c r="K172" s="18">
        <v>30.3721</v>
      </c>
      <c r="L172" s="18">
        <v>35.762</v>
      </c>
      <c r="M172" s="18">
        <v>37.323999999999998</v>
      </c>
      <c r="N172" s="18">
        <v>582.52430000000004</v>
      </c>
      <c r="O172" s="18">
        <f t="shared" si="7"/>
        <v>31.914825</v>
      </c>
      <c r="P172" s="7"/>
      <c r="Q172" s="10"/>
      <c r="R172" s="11"/>
      <c r="S172" s="11"/>
      <c r="T172" s="26"/>
      <c r="U172" s="28">
        <f t="shared" si="8"/>
        <v>1.8776579558365856</v>
      </c>
    </row>
    <row r="173" spans="1:21" x14ac:dyDescent="0.25">
      <c r="B173" s="9"/>
      <c r="C173" s="17">
        <v>478.65</v>
      </c>
      <c r="D173" s="18">
        <v>28.672000000000001</v>
      </c>
      <c r="E173" s="18">
        <v>34.378</v>
      </c>
      <c r="F173" s="18">
        <v>35.841999999999999</v>
      </c>
      <c r="G173" s="18">
        <v>231.66</v>
      </c>
      <c r="H173" s="18">
        <f t="shared" si="6"/>
        <v>30.281500000000001</v>
      </c>
      <c r="I173" s="5"/>
      <c r="J173" s="17">
        <v>501.7552</v>
      </c>
      <c r="K173" s="18">
        <v>28.7775</v>
      </c>
      <c r="L173" s="18">
        <v>34.881</v>
      </c>
      <c r="M173" s="18">
        <v>36.405299999999997</v>
      </c>
      <c r="N173" s="18">
        <v>686.49890000000005</v>
      </c>
      <c r="O173" s="18">
        <f t="shared" si="7"/>
        <v>30.4939125</v>
      </c>
      <c r="P173" s="7"/>
      <c r="Q173" s="10"/>
      <c r="R173" s="11"/>
      <c r="S173" s="11"/>
      <c r="T173" s="26"/>
      <c r="U173" s="28">
        <f t="shared" si="8"/>
        <v>1.9633898817232154</v>
      </c>
    </row>
    <row r="174" spans="1:21" ht="16.5" thickBot="1" x14ac:dyDescent="0.3">
      <c r="B174" s="12"/>
      <c r="C174" s="19">
        <v>289.14999999999998</v>
      </c>
      <c r="D174" s="20">
        <v>27.303999999999998</v>
      </c>
      <c r="E174" s="20">
        <v>33.378999999999998</v>
      </c>
      <c r="F174" s="20">
        <v>34.694000000000003</v>
      </c>
      <c r="G174" s="20">
        <v>263.39</v>
      </c>
      <c r="H174" s="20">
        <f t="shared" si="6"/>
        <v>28.987124999999999</v>
      </c>
      <c r="I174" s="5"/>
      <c r="J174" s="19">
        <v>299.9504</v>
      </c>
      <c r="K174" s="20">
        <v>27.200800000000001</v>
      </c>
      <c r="L174" s="20">
        <v>33.913200000000003</v>
      </c>
      <c r="M174" s="20">
        <v>35.352699999999999</v>
      </c>
      <c r="N174" s="20">
        <v>835.65459999999996</v>
      </c>
      <c r="O174" s="20">
        <f t="shared" si="7"/>
        <v>29.058837499999999</v>
      </c>
      <c r="P174" s="7"/>
      <c r="Q174" s="13"/>
      <c r="R174" s="14"/>
      <c r="S174" s="14"/>
      <c r="T174" s="27"/>
      <c r="U174" s="28">
        <f t="shared" si="8"/>
        <v>2.1726891681536884</v>
      </c>
    </row>
    <row r="175" spans="1:21" x14ac:dyDescent="0.25">
      <c r="A175" s="6" t="s">
        <v>41</v>
      </c>
      <c r="B175" s="6" t="s">
        <v>57</v>
      </c>
      <c r="C175" s="15">
        <v>636.58000000000004</v>
      </c>
      <c r="D175" s="16">
        <v>33.348999999999997</v>
      </c>
      <c r="E175" s="16">
        <v>38.371000000000002</v>
      </c>
      <c r="F175" s="16">
        <v>37.048000000000002</v>
      </c>
      <c r="G175" s="16">
        <v>552.49</v>
      </c>
      <c r="H175" s="16">
        <f t="shared" si="6"/>
        <v>34.439125000000004</v>
      </c>
      <c r="I175" s="5"/>
      <c r="J175" s="15">
        <v>605.38080000000002</v>
      </c>
      <c r="K175" s="16">
        <v>34.012</v>
      </c>
      <c r="L175" s="16">
        <v>39.433300000000003</v>
      </c>
      <c r="M175" s="16">
        <v>37.883299999999998</v>
      </c>
      <c r="N175" s="16">
        <v>1457.7258999999999</v>
      </c>
      <c r="O175" s="16">
        <f t="shared" si="7"/>
        <v>35.173575</v>
      </c>
      <c r="P175" s="7"/>
      <c r="Q175" s="8">
        <f>bdrate(C175:C178,D175:D178,J175:J178,K175:K178)</f>
        <v>-9.4390326921988676E-2</v>
      </c>
      <c r="R175" s="8">
        <f>bdrate(C175:C178,E175:E178,J175:J178,L175:L178)</f>
        <v>-0.357523681004281</v>
      </c>
      <c r="S175" s="8">
        <f>bdrate(C175:C178,F175:F178,J175:J178,M175:M178)</f>
        <v>-0.2776625725210865</v>
      </c>
      <c r="T175" s="25">
        <f>bdrate(C175:C178,H175:H178,J175:J178,O175:O178)</f>
        <v>-0.13572726473075414</v>
      </c>
      <c r="U175" s="28">
        <f t="shared" si="8"/>
        <v>1.6384656735868521</v>
      </c>
    </row>
    <row r="176" spans="1:21" x14ac:dyDescent="0.25">
      <c r="A176" s="9" t="s">
        <v>42</v>
      </c>
      <c r="B176" s="9"/>
      <c r="C176" s="17">
        <v>427.25</v>
      </c>
      <c r="D176" s="18">
        <v>31.794</v>
      </c>
      <c r="E176" s="18">
        <v>37.377000000000002</v>
      </c>
      <c r="F176" s="18">
        <v>35.883000000000003</v>
      </c>
      <c r="G176" s="18">
        <v>712.25</v>
      </c>
      <c r="H176" s="18">
        <f t="shared" si="6"/>
        <v>33.003</v>
      </c>
      <c r="I176" s="5"/>
      <c r="J176" s="17">
        <v>403.81599999999997</v>
      </c>
      <c r="K176" s="18">
        <v>32.216999999999999</v>
      </c>
      <c r="L176" s="18">
        <v>38.3127</v>
      </c>
      <c r="M176" s="18">
        <v>36.631799999999998</v>
      </c>
      <c r="N176" s="18">
        <v>1683.5017</v>
      </c>
      <c r="O176" s="18">
        <f t="shared" si="7"/>
        <v>33.530812499999996</v>
      </c>
      <c r="P176" s="7"/>
      <c r="Q176" s="10"/>
      <c r="R176" s="11"/>
      <c r="S176" s="11"/>
      <c r="T176" s="26"/>
      <c r="U176" s="28">
        <f t="shared" si="8"/>
        <v>1.3636387504387504</v>
      </c>
    </row>
    <row r="177" spans="1:21" x14ac:dyDescent="0.25">
      <c r="B177" s="9"/>
      <c r="C177" s="17">
        <v>267.64999999999998</v>
      </c>
      <c r="D177" s="18">
        <v>30.14</v>
      </c>
      <c r="E177" s="18">
        <v>36.381</v>
      </c>
      <c r="F177" s="18">
        <v>34.667000000000002</v>
      </c>
      <c r="G177" s="18">
        <v>821.02</v>
      </c>
      <c r="H177" s="18">
        <f t="shared" si="6"/>
        <v>31.486000000000001</v>
      </c>
      <c r="I177" s="5"/>
      <c r="J177" s="17">
        <v>253.83760000000001</v>
      </c>
      <c r="K177" s="18">
        <v>30.267900000000001</v>
      </c>
      <c r="L177" s="18">
        <v>37.2318</v>
      </c>
      <c r="M177" s="18">
        <v>35.392200000000003</v>
      </c>
      <c r="N177" s="18">
        <v>2008.0320999999999</v>
      </c>
      <c r="O177" s="18">
        <f t="shared" si="7"/>
        <v>31.778925000000001</v>
      </c>
      <c r="P177" s="7"/>
      <c r="Q177" s="10"/>
      <c r="R177" s="11"/>
      <c r="S177" s="11"/>
      <c r="T177" s="26"/>
      <c r="U177" s="28">
        <f t="shared" si="8"/>
        <v>1.4457773257655111</v>
      </c>
    </row>
    <row r="178" spans="1:21" ht="16.5" thickBot="1" x14ac:dyDescent="0.3">
      <c r="B178" s="12"/>
      <c r="C178" s="19">
        <v>128.63999999999999</v>
      </c>
      <c r="D178" s="20">
        <v>27.709</v>
      </c>
      <c r="E178" s="20">
        <v>34.912999999999997</v>
      </c>
      <c r="F178" s="20">
        <v>32.71</v>
      </c>
      <c r="G178" s="20">
        <v>1033.06</v>
      </c>
      <c r="H178" s="20">
        <f t="shared" si="6"/>
        <v>29.234624999999998</v>
      </c>
      <c r="I178" s="5"/>
      <c r="J178" s="19">
        <v>122.11839999999999</v>
      </c>
      <c r="K178" s="20">
        <v>27.457799999999999</v>
      </c>
      <c r="L178" s="20">
        <v>35.641599999999997</v>
      </c>
      <c r="M178" s="20">
        <v>33.434800000000003</v>
      </c>
      <c r="N178" s="20">
        <v>2906.9767000000002</v>
      </c>
      <c r="O178" s="20">
        <f t="shared" si="7"/>
        <v>29.227899999999998</v>
      </c>
      <c r="P178" s="7"/>
      <c r="Q178" s="13"/>
      <c r="R178" s="14"/>
      <c r="S178" s="14"/>
      <c r="T178" s="27"/>
      <c r="U178" s="28">
        <f t="shared" si="8"/>
        <v>1.8139475925890076</v>
      </c>
    </row>
    <row r="179" spans="1:21" x14ac:dyDescent="0.25">
      <c r="B179" s="6" t="s">
        <v>58</v>
      </c>
      <c r="C179" s="15">
        <v>553.52</v>
      </c>
      <c r="D179" s="16">
        <v>30.085000000000001</v>
      </c>
      <c r="E179" s="16">
        <v>38.537999999999997</v>
      </c>
      <c r="F179" s="16">
        <v>39.232999999999997</v>
      </c>
      <c r="G179" s="16">
        <v>712.59</v>
      </c>
      <c r="H179" s="16">
        <f t="shared" si="6"/>
        <v>32.285125000000001</v>
      </c>
      <c r="I179" s="5"/>
      <c r="J179" s="15">
        <v>599.03520000000003</v>
      </c>
      <c r="K179" s="16">
        <v>33.218200000000003</v>
      </c>
      <c r="L179" s="16">
        <v>41.1678</v>
      </c>
      <c r="M179" s="16">
        <v>41.987900000000003</v>
      </c>
      <c r="N179" s="16">
        <v>1749.2710999999999</v>
      </c>
      <c r="O179" s="16">
        <f t="shared" si="7"/>
        <v>35.308112500000007</v>
      </c>
      <c r="P179" s="7"/>
      <c r="Q179" s="8">
        <f>bdrate(C179:C182,D179:D182,J179:J182,K179:K182)</f>
        <v>-0.57712821961967542</v>
      </c>
      <c r="R179" s="8">
        <f>bdrate(C179:C182,E179:E182,J179:J182,L179:L182)</f>
        <v>-0.67199725717061465</v>
      </c>
      <c r="S179" s="8">
        <f>bdrate(C179:C182,F179:F182,J179:J182,M179:M182)</f>
        <v>-0.68068358885027758</v>
      </c>
      <c r="T179" s="25">
        <f>bdrate(C179:C182,H179:H182,J179:J182,O179:O182)</f>
        <v>-0.59096799639486886</v>
      </c>
      <c r="U179" s="28">
        <f t="shared" si="8"/>
        <v>1.4548072524172382</v>
      </c>
    </row>
    <row r="180" spans="1:21" x14ac:dyDescent="0.25">
      <c r="B180" s="9"/>
      <c r="C180" s="17">
        <v>367.25</v>
      </c>
      <c r="D180" s="18">
        <v>28.736000000000001</v>
      </c>
      <c r="E180" s="18">
        <v>38.189</v>
      </c>
      <c r="F180" s="18">
        <v>38.729999999999997</v>
      </c>
      <c r="G180" s="18">
        <v>1167.32</v>
      </c>
      <c r="H180" s="18">
        <f t="shared" si="6"/>
        <v>31.166874999999997</v>
      </c>
      <c r="I180" s="5"/>
      <c r="J180" s="17">
        <v>399.61200000000002</v>
      </c>
      <c r="K180" s="18">
        <v>31.918099999999999</v>
      </c>
      <c r="L180" s="18">
        <v>40.319899999999997</v>
      </c>
      <c r="M180" s="18">
        <v>41.1586</v>
      </c>
      <c r="N180" s="18">
        <v>2135.2312999999999</v>
      </c>
      <c r="O180" s="18">
        <f t="shared" si="7"/>
        <v>34.1233875</v>
      </c>
      <c r="P180" s="7"/>
      <c r="Q180" s="10"/>
      <c r="R180" s="11"/>
      <c r="S180" s="11"/>
      <c r="T180" s="26"/>
      <c r="U180" s="28">
        <f t="shared" si="8"/>
        <v>0.82917391974779842</v>
      </c>
    </row>
    <row r="181" spans="1:21" x14ac:dyDescent="0.25">
      <c r="B181" s="9"/>
      <c r="C181" s="17">
        <v>228.04</v>
      </c>
      <c r="D181" s="18">
        <v>27.259</v>
      </c>
      <c r="E181" s="18">
        <v>37.780999999999999</v>
      </c>
      <c r="F181" s="18">
        <v>38.341999999999999</v>
      </c>
      <c r="G181" s="18">
        <v>1327.43</v>
      </c>
      <c r="H181" s="18">
        <f t="shared" si="6"/>
        <v>29.959625000000003</v>
      </c>
      <c r="I181" s="5"/>
      <c r="J181" s="17">
        <v>250.09119999999999</v>
      </c>
      <c r="K181" s="18">
        <v>30.372399999999999</v>
      </c>
      <c r="L181" s="18">
        <v>39.3339</v>
      </c>
      <c r="M181" s="18">
        <v>40.097200000000001</v>
      </c>
      <c r="N181" s="18">
        <v>2564.1026000000002</v>
      </c>
      <c r="O181" s="18">
        <f t="shared" si="7"/>
        <v>32.708187500000001</v>
      </c>
      <c r="P181" s="7"/>
      <c r="Q181" s="10"/>
      <c r="R181" s="11"/>
      <c r="S181" s="11"/>
      <c r="T181" s="26"/>
      <c r="U181" s="28">
        <f t="shared" si="8"/>
        <v>0.93162923845325185</v>
      </c>
    </row>
    <row r="182" spans="1:21" ht="16.5" thickBot="1" x14ac:dyDescent="0.3">
      <c r="B182" s="12"/>
      <c r="C182" s="19">
        <v>104.48</v>
      </c>
      <c r="D182" s="20">
        <v>24.67</v>
      </c>
      <c r="E182" s="20">
        <v>36.956000000000003</v>
      </c>
      <c r="F182" s="20">
        <v>37.183999999999997</v>
      </c>
      <c r="G182" s="20">
        <v>1477.83</v>
      </c>
      <c r="H182" s="20">
        <f t="shared" si="6"/>
        <v>27.77</v>
      </c>
      <c r="I182" s="5"/>
      <c r="J182" s="19">
        <v>119.69759999999999</v>
      </c>
      <c r="K182" s="20">
        <v>27.811900000000001</v>
      </c>
      <c r="L182" s="20">
        <v>38.0779</v>
      </c>
      <c r="M182" s="20">
        <v>38.6357</v>
      </c>
      <c r="N182" s="20">
        <v>2955.665</v>
      </c>
      <c r="O182" s="20">
        <f t="shared" si="7"/>
        <v>30.448124999999997</v>
      </c>
      <c r="P182" s="7"/>
      <c r="Q182" s="13"/>
      <c r="R182" s="14"/>
      <c r="S182" s="14"/>
      <c r="T182" s="27"/>
      <c r="U182" s="28">
        <f t="shared" si="8"/>
        <v>1.0000033833390851</v>
      </c>
    </row>
    <row r="183" spans="1:21" x14ac:dyDescent="0.25">
      <c r="B183" s="6" t="s">
        <v>59</v>
      </c>
      <c r="C183" s="29">
        <v>639.15</v>
      </c>
      <c r="D183" s="30">
        <v>31.071000000000002</v>
      </c>
      <c r="E183" s="30">
        <v>35.896000000000001</v>
      </c>
      <c r="F183" s="30">
        <v>36.439</v>
      </c>
      <c r="G183" s="16">
        <v>696.38</v>
      </c>
      <c r="H183" s="16">
        <f t="shared" si="6"/>
        <v>32.345125000000003</v>
      </c>
      <c r="I183" s="5"/>
      <c r="J183" s="29">
        <v>642.44240000000002</v>
      </c>
      <c r="K183" s="30">
        <v>32.835799999999999</v>
      </c>
      <c r="L183" s="30">
        <v>37.982100000000003</v>
      </c>
      <c r="M183" s="30">
        <v>38.734299999999998</v>
      </c>
      <c r="N183" s="16">
        <v>1602.5641000000001</v>
      </c>
      <c r="O183" s="16">
        <f t="shared" si="7"/>
        <v>34.2164</v>
      </c>
      <c r="P183" s="7"/>
      <c r="Q183" s="8">
        <f>bdrate(C183:C186,D183:D186,J183:J186,K183:K186)</f>
        <v>-0.35865697829534882</v>
      </c>
      <c r="R183" s="8">
        <f>bdrate(C183:C186,E183:E186,J183:J186,L183:L186)</f>
        <v>-0.58991197592327493</v>
      </c>
      <c r="S183" s="8">
        <f>bdrate(C183:C186,F183:F186,J183:J186,M183:M186)</f>
        <v>-0.61672304686489299</v>
      </c>
      <c r="T183" s="25">
        <f>bdrate(C183:C186,H183:H186,J183:J186,O183:O186)</f>
        <v>-0.41048141516003955</v>
      </c>
      <c r="U183" s="28">
        <f t="shared" si="8"/>
        <v>1.3012781814526553</v>
      </c>
    </row>
    <row r="184" spans="1:21" x14ac:dyDescent="0.25">
      <c r="B184" s="9"/>
      <c r="C184" s="31">
        <v>423.42</v>
      </c>
      <c r="D184" s="32">
        <v>29.646999999999998</v>
      </c>
      <c r="E184" s="32">
        <v>34.911999999999999</v>
      </c>
      <c r="F184" s="32">
        <v>35.484999999999999</v>
      </c>
      <c r="G184" s="18">
        <v>915.75</v>
      </c>
      <c r="H184" s="18">
        <f t="shared" si="6"/>
        <v>31.034875</v>
      </c>
      <c r="I184" s="5"/>
      <c r="J184" s="31">
        <v>426.2072</v>
      </c>
      <c r="K184" s="32">
        <v>31.2898</v>
      </c>
      <c r="L184" s="32">
        <v>36.943199999999997</v>
      </c>
      <c r="M184" s="32">
        <v>37.689900000000002</v>
      </c>
      <c r="N184" s="18">
        <v>1779.3594000000001</v>
      </c>
      <c r="O184" s="18">
        <f t="shared" si="7"/>
        <v>32.796487499999998</v>
      </c>
      <c r="P184" s="7"/>
      <c r="Q184" s="10"/>
      <c r="R184" s="11"/>
      <c r="S184" s="11"/>
      <c r="T184" s="26"/>
      <c r="U184" s="28">
        <f t="shared" si="8"/>
        <v>0.94306240786240791</v>
      </c>
    </row>
    <row r="185" spans="1:21" x14ac:dyDescent="0.25">
      <c r="B185" s="9"/>
      <c r="C185" s="31">
        <v>263.58999999999997</v>
      </c>
      <c r="D185" s="32">
        <v>28.161999999999999</v>
      </c>
      <c r="E185" s="32">
        <v>34.03</v>
      </c>
      <c r="F185" s="32">
        <v>34.590000000000003</v>
      </c>
      <c r="G185" s="18">
        <v>1035.2</v>
      </c>
      <c r="H185" s="18">
        <f t="shared" si="6"/>
        <v>29.698999999999998</v>
      </c>
      <c r="I185" s="5"/>
      <c r="J185" s="31">
        <v>263.73039999999997</v>
      </c>
      <c r="K185" s="32">
        <v>29.601400000000002</v>
      </c>
      <c r="L185" s="32">
        <v>35.837200000000003</v>
      </c>
      <c r="M185" s="32">
        <v>36.569299999999998</v>
      </c>
      <c r="N185" s="18">
        <v>2136.7521000000002</v>
      </c>
      <c r="O185" s="18">
        <f t="shared" si="7"/>
        <v>31.251862500000001</v>
      </c>
      <c r="P185" s="7"/>
      <c r="Q185" s="10"/>
      <c r="R185" s="11"/>
      <c r="S185" s="11"/>
      <c r="T185" s="26"/>
      <c r="U185" s="28">
        <f t="shared" si="8"/>
        <v>1.0640959234930449</v>
      </c>
    </row>
    <row r="186" spans="1:21" ht="16.5" thickBot="1" x14ac:dyDescent="0.3">
      <c r="B186" s="12"/>
      <c r="C186" s="33">
        <v>123.35</v>
      </c>
      <c r="D186" s="34">
        <v>25.963000000000001</v>
      </c>
      <c r="E186" s="34">
        <v>32.531999999999996</v>
      </c>
      <c r="F186" s="34">
        <v>33.186</v>
      </c>
      <c r="G186" s="20">
        <v>1231.53</v>
      </c>
      <c r="H186" s="20">
        <f t="shared" si="6"/>
        <v>27.687000000000001</v>
      </c>
      <c r="I186" s="5"/>
      <c r="J186" s="33">
        <v>128.33760000000001</v>
      </c>
      <c r="K186" s="34">
        <v>27.202999999999999</v>
      </c>
      <c r="L186" s="34">
        <v>34.322699999999998</v>
      </c>
      <c r="M186" s="34">
        <v>35.000900000000001</v>
      </c>
      <c r="N186" s="20">
        <v>2906.9767000000002</v>
      </c>
      <c r="O186" s="20">
        <f t="shared" si="7"/>
        <v>29.067699999999999</v>
      </c>
      <c r="P186" s="7"/>
      <c r="Q186" s="13"/>
      <c r="R186" s="14"/>
      <c r="S186" s="14"/>
      <c r="T186" s="27"/>
      <c r="U186" s="28">
        <f t="shared" si="8"/>
        <v>1.3604595097155572</v>
      </c>
    </row>
    <row r="187" spans="1:21" x14ac:dyDescent="0.25">
      <c r="B187" s="6" t="s">
        <v>60</v>
      </c>
      <c r="C187" s="15">
        <v>579.54999999999995</v>
      </c>
      <c r="D187" s="16">
        <v>32.527000000000001</v>
      </c>
      <c r="E187" s="16">
        <v>36.576999999999998</v>
      </c>
      <c r="F187" s="16">
        <v>37.69</v>
      </c>
      <c r="G187" s="16">
        <v>480.77</v>
      </c>
      <c r="H187" s="16">
        <f t="shared" si="6"/>
        <v>33.678624999999997</v>
      </c>
      <c r="I187" s="5"/>
      <c r="J187" s="15">
        <v>603.26800000000003</v>
      </c>
      <c r="K187" s="16">
        <v>33.445500000000003</v>
      </c>
      <c r="L187" s="16">
        <v>37.404299999999999</v>
      </c>
      <c r="M187" s="16">
        <v>38.442500000000003</v>
      </c>
      <c r="N187" s="16">
        <v>1067.6157000000001</v>
      </c>
      <c r="O187" s="16">
        <f t="shared" si="7"/>
        <v>34.564975000000004</v>
      </c>
      <c r="P187" s="7"/>
      <c r="Q187" s="8">
        <f>bdrate(C187:C190,D187:D190,J187:J190,K187:K190)</f>
        <v>-6.837517400389026E-2</v>
      </c>
      <c r="R187" s="8">
        <f>bdrate(C187:C190,E187:E190,J187:J190,L187:L190)</f>
        <v>-0.24570974913391452</v>
      </c>
      <c r="S187" s="8">
        <f>bdrate(C187:C190,F187:F190,J187:J190,M187:M190)</f>
        <v>-0.24288398903877861</v>
      </c>
      <c r="T187" s="25">
        <f>bdrate(C187:C190,H187:H190,J187:J190,O187:O190)</f>
        <v>-0.10533109848116085</v>
      </c>
      <c r="U187" s="28">
        <f t="shared" si="8"/>
        <v>1.2206371029806355</v>
      </c>
    </row>
    <row r="188" spans="1:21" x14ac:dyDescent="0.25">
      <c r="B188" s="9"/>
      <c r="C188" s="17">
        <v>389.35</v>
      </c>
      <c r="D188" s="18">
        <v>30.991</v>
      </c>
      <c r="E188" s="18">
        <v>35.518999999999998</v>
      </c>
      <c r="F188" s="18">
        <v>36.57</v>
      </c>
      <c r="G188" s="18">
        <v>564.97</v>
      </c>
      <c r="H188" s="18">
        <f t="shared" si="6"/>
        <v>32.254375000000003</v>
      </c>
      <c r="I188" s="5"/>
      <c r="J188" s="17">
        <v>400.8888</v>
      </c>
      <c r="K188" s="18">
        <v>31.555099999999999</v>
      </c>
      <c r="L188" s="18">
        <v>36.328099999999999</v>
      </c>
      <c r="M188" s="18">
        <v>37.392200000000003</v>
      </c>
      <c r="N188" s="18">
        <v>1282.0513000000001</v>
      </c>
      <c r="O188" s="18">
        <f t="shared" si="7"/>
        <v>32.881362500000002</v>
      </c>
      <c r="P188" s="7"/>
      <c r="Q188" s="10"/>
      <c r="R188" s="11"/>
      <c r="S188" s="11"/>
      <c r="T188" s="26"/>
      <c r="U188" s="28">
        <f t="shared" si="8"/>
        <v>1.2692378356372904</v>
      </c>
    </row>
    <row r="189" spans="1:21" x14ac:dyDescent="0.25">
      <c r="B189" s="9"/>
      <c r="C189" s="17">
        <v>245.14</v>
      </c>
      <c r="D189" s="18">
        <v>29.443999999999999</v>
      </c>
      <c r="E189" s="18">
        <v>34.503</v>
      </c>
      <c r="F189" s="18">
        <v>35.476999999999997</v>
      </c>
      <c r="G189" s="18">
        <v>641.03</v>
      </c>
      <c r="H189" s="18">
        <f t="shared" si="6"/>
        <v>30.830499999999997</v>
      </c>
      <c r="I189" s="5"/>
      <c r="J189" s="17">
        <v>251.4016</v>
      </c>
      <c r="K189" s="18">
        <v>29.766200000000001</v>
      </c>
      <c r="L189" s="18">
        <v>35.148499999999999</v>
      </c>
      <c r="M189" s="18">
        <v>36.180999999999997</v>
      </c>
      <c r="N189" s="18">
        <v>1604.2781</v>
      </c>
      <c r="O189" s="18">
        <f t="shared" si="7"/>
        <v>31.240837499999998</v>
      </c>
      <c r="P189" s="7"/>
      <c r="Q189" s="10"/>
      <c r="R189" s="11"/>
      <c r="S189" s="11"/>
      <c r="T189" s="26"/>
      <c r="U189" s="28">
        <f t="shared" si="8"/>
        <v>1.5026568179336381</v>
      </c>
    </row>
    <row r="190" spans="1:21" ht="16.5" thickBot="1" x14ac:dyDescent="0.3">
      <c r="B190" s="12"/>
      <c r="C190" s="19">
        <v>117.49</v>
      </c>
      <c r="D190" s="20">
        <v>27.260999999999999</v>
      </c>
      <c r="E190" s="20">
        <v>32.802999999999997</v>
      </c>
      <c r="F190" s="20">
        <v>33.728999999999999</v>
      </c>
      <c r="G190" s="20">
        <v>835.65</v>
      </c>
      <c r="H190" s="20">
        <f t="shared" si="6"/>
        <v>28.762250000000002</v>
      </c>
      <c r="I190" s="5"/>
      <c r="J190" s="19">
        <v>121.5056</v>
      </c>
      <c r="K190" s="20">
        <v>27.255800000000001</v>
      </c>
      <c r="L190" s="20">
        <v>33.641199999999998</v>
      </c>
      <c r="M190" s="20">
        <v>34.527500000000003</v>
      </c>
      <c r="N190" s="20">
        <v>2419.3548000000001</v>
      </c>
      <c r="O190" s="20">
        <f t="shared" si="7"/>
        <v>28.962937500000002</v>
      </c>
      <c r="P190" s="7"/>
      <c r="Q190" s="13"/>
      <c r="R190" s="14"/>
      <c r="S190" s="14"/>
      <c r="T190" s="27"/>
      <c r="U190" s="28">
        <f t="shared" si="8"/>
        <v>1.8951771674744211</v>
      </c>
    </row>
    <row r="191" spans="1:21" x14ac:dyDescent="0.25">
      <c r="A191" s="6" t="s">
        <v>43</v>
      </c>
      <c r="B191" s="6" t="s">
        <v>61</v>
      </c>
      <c r="C191" s="15">
        <v>1380.84</v>
      </c>
      <c r="D191" s="16">
        <v>39.643000000000001</v>
      </c>
      <c r="E191" s="16">
        <v>43.965000000000003</v>
      </c>
      <c r="F191" s="16">
        <v>45.154000000000003</v>
      </c>
      <c r="G191" s="16">
        <v>113.81</v>
      </c>
      <c r="H191" s="16">
        <f t="shared" si="6"/>
        <v>40.872124999999997</v>
      </c>
      <c r="I191" s="5"/>
      <c r="J191" s="15">
        <v>1499.9151999999999</v>
      </c>
      <c r="K191" s="16">
        <v>41.126399999999997</v>
      </c>
      <c r="L191" s="16">
        <v>45.6751</v>
      </c>
      <c r="M191" s="16">
        <v>46.859200000000001</v>
      </c>
      <c r="N191" s="16">
        <v>436.99930000000001</v>
      </c>
      <c r="O191" s="16">
        <f t="shared" si="7"/>
        <v>42.411587499999996</v>
      </c>
      <c r="P191" s="7"/>
      <c r="Q191" s="8">
        <f>bdrate(C191:C194,D191:D194,J191:J194,K191:K194)</f>
        <v>-0.30666968987841636</v>
      </c>
      <c r="R191" s="8">
        <f>bdrate(C191:C194,E191:E194,J191:J194,L191:L194)</f>
        <v>-0.41695161300645678</v>
      </c>
      <c r="S191" s="8">
        <f>bdrate(C191:C194,F191:F194,J191:J194,M191:M194)</f>
        <v>-0.39283651962603539</v>
      </c>
      <c r="T191" s="25">
        <f>bdrate(C191:C194,H191:H194,J191:J194,O191:O194)</f>
        <v>-0.32388708489574025</v>
      </c>
      <c r="U191" s="28">
        <f t="shared" si="8"/>
        <v>2.839726737545031</v>
      </c>
    </row>
    <row r="192" spans="1:21" x14ac:dyDescent="0.25">
      <c r="A192" s="9" t="s">
        <v>44</v>
      </c>
      <c r="B192" s="9"/>
      <c r="C192" s="17">
        <v>915.93</v>
      </c>
      <c r="D192" s="18">
        <v>38.26</v>
      </c>
      <c r="E192" s="18">
        <v>42.927</v>
      </c>
      <c r="F192" s="18">
        <v>44.13</v>
      </c>
      <c r="G192" s="18">
        <v>176.42</v>
      </c>
      <c r="H192" s="18">
        <f t="shared" si="6"/>
        <v>39.577125000000002</v>
      </c>
      <c r="I192" s="5"/>
      <c r="J192" s="17">
        <v>991.87519999999995</v>
      </c>
      <c r="K192" s="18">
        <v>39.963700000000003</v>
      </c>
      <c r="L192" s="18">
        <v>44.723700000000001</v>
      </c>
      <c r="M192" s="18">
        <v>45.8523</v>
      </c>
      <c r="N192" s="18">
        <v>493.01560000000001</v>
      </c>
      <c r="O192" s="18">
        <f t="shared" si="7"/>
        <v>41.294775000000001</v>
      </c>
      <c r="P192" s="7"/>
      <c r="Q192" s="10"/>
      <c r="R192" s="11"/>
      <c r="S192" s="11"/>
      <c r="T192" s="26"/>
      <c r="U192" s="28">
        <f t="shared" si="8"/>
        <v>1.7945561727695274</v>
      </c>
    </row>
    <row r="193" spans="1:21" x14ac:dyDescent="0.25">
      <c r="B193" s="9"/>
      <c r="C193" s="17">
        <v>543.62</v>
      </c>
      <c r="D193" s="18">
        <v>36.271000000000001</v>
      </c>
      <c r="E193" s="18">
        <v>41.994999999999997</v>
      </c>
      <c r="F193" s="18">
        <v>43.075000000000003</v>
      </c>
      <c r="G193" s="18">
        <v>186.68</v>
      </c>
      <c r="H193" s="18">
        <f t="shared" si="6"/>
        <v>37.836999999999996</v>
      </c>
      <c r="I193" s="5"/>
      <c r="J193" s="17">
        <v>576.10479999999995</v>
      </c>
      <c r="K193" s="18">
        <v>38.019500000000001</v>
      </c>
      <c r="L193" s="18">
        <v>43.292400000000001</v>
      </c>
      <c r="M193" s="18">
        <v>44.410400000000003</v>
      </c>
      <c r="N193" s="18">
        <v>542.00540000000001</v>
      </c>
      <c r="O193" s="18">
        <f t="shared" si="7"/>
        <v>39.477474999999998</v>
      </c>
      <c r="P193" s="7"/>
      <c r="Q193" s="10"/>
      <c r="R193" s="11"/>
      <c r="S193" s="11"/>
      <c r="T193" s="26"/>
      <c r="U193" s="28">
        <f t="shared" si="8"/>
        <v>1.9033929719305764</v>
      </c>
    </row>
    <row r="194" spans="1:21" ht="16.5" thickBot="1" x14ac:dyDescent="0.3">
      <c r="B194" s="12"/>
      <c r="C194" s="19">
        <v>258.33</v>
      </c>
      <c r="D194" s="20">
        <v>33.881</v>
      </c>
      <c r="E194" s="20">
        <v>40.893999999999998</v>
      </c>
      <c r="F194" s="20">
        <v>41.746000000000002</v>
      </c>
      <c r="G194" s="20">
        <v>202.43</v>
      </c>
      <c r="H194" s="20">
        <f t="shared" si="6"/>
        <v>35.740749999999998</v>
      </c>
      <c r="I194" s="5"/>
      <c r="J194" s="19">
        <v>283.01760000000002</v>
      </c>
      <c r="K194" s="20">
        <v>34.805700000000002</v>
      </c>
      <c r="L194" s="20">
        <v>41.462699999999998</v>
      </c>
      <c r="M194" s="20">
        <v>42.4</v>
      </c>
      <c r="N194" s="20">
        <v>630.25210000000004</v>
      </c>
      <c r="O194" s="20">
        <f t="shared" si="7"/>
        <v>36.587112499999996</v>
      </c>
      <c r="P194" s="7"/>
      <c r="Q194" s="13"/>
      <c r="R194" s="14"/>
      <c r="S194" s="14"/>
      <c r="T194" s="27"/>
      <c r="U194" s="28">
        <f t="shared" si="8"/>
        <v>2.11343229758435</v>
      </c>
    </row>
    <row r="195" spans="1:21" x14ac:dyDescent="0.25">
      <c r="B195" s="6" t="s">
        <v>62</v>
      </c>
      <c r="C195" s="15">
        <v>1427.49</v>
      </c>
      <c r="D195" s="16">
        <v>41.518999999999998</v>
      </c>
      <c r="E195" s="16">
        <v>46.395000000000003</v>
      </c>
      <c r="F195" s="16">
        <v>47.003</v>
      </c>
      <c r="G195" s="16">
        <v>113.79</v>
      </c>
      <c r="H195" s="16">
        <f t="shared" si="6"/>
        <v>42.813999999999993</v>
      </c>
      <c r="I195" s="5"/>
      <c r="J195" s="15">
        <v>1492.9784</v>
      </c>
      <c r="K195" s="16">
        <v>42.447200000000002</v>
      </c>
      <c r="L195" s="16">
        <v>47.663600000000002</v>
      </c>
      <c r="M195" s="16">
        <v>48.304299999999998</v>
      </c>
      <c r="N195" s="16">
        <v>447.09390000000002</v>
      </c>
      <c r="O195" s="16">
        <f t="shared" si="7"/>
        <v>43.831387500000005</v>
      </c>
      <c r="P195" s="7"/>
      <c r="Q195" s="8">
        <f>bdrate(C195:C198,D195:D198,J195:J198,K195:K198)</f>
        <v>-0.39999811137931418</v>
      </c>
      <c r="R195" s="8">
        <f>bdrate(C195:C198,E195:E198,J195:J198,L195:L198)</f>
        <v>-0.53848105228865029</v>
      </c>
      <c r="S195" s="8">
        <f>bdrate(C195:C198,F195:F198,J195:J198,M195:M198)</f>
        <v>-0.53350309801007467</v>
      </c>
      <c r="T195" s="25">
        <f>bdrate(C195:C198,H195:H198,J195:J198,O195:O198)</f>
        <v>-0.43528896807020423</v>
      </c>
      <c r="U195" s="28">
        <f t="shared" ref="U195:U246" si="9">(N195-G195)/G195</f>
        <v>2.9291141576588449</v>
      </c>
    </row>
    <row r="196" spans="1:21" x14ac:dyDescent="0.25">
      <c r="B196" s="9"/>
      <c r="C196" s="17">
        <v>947.21</v>
      </c>
      <c r="D196" s="18">
        <v>40.816000000000003</v>
      </c>
      <c r="E196" s="18">
        <v>45.709000000000003</v>
      </c>
      <c r="F196" s="18">
        <v>46.337000000000003</v>
      </c>
      <c r="G196" s="18">
        <v>178.04</v>
      </c>
      <c r="H196" s="18">
        <f t="shared" si="6"/>
        <v>42.117750000000001</v>
      </c>
      <c r="I196" s="5"/>
      <c r="J196" s="17">
        <v>979.55920000000003</v>
      </c>
      <c r="K196" s="18">
        <v>41.871699999999997</v>
      </c>
      <c r="L196" s="18">
        <v>47.213299999999997</v>
      </c>
      <c r="M196" s="18">
        <v>47.8962</v>
      </c>
      <c r="N196" s="18">
        <v>557.62080000000003</v>
      </c>
      <c r="O196" s="18">
        <f t="shared" si="7"/>
        <v>43.292462499999999</v>
      </c>
      <c r="P196" s="7"/>
      <c r="Q196" s="10"/>
      <c r="R196" s="11"/>
      <c r="S196" s="11"/>
      <c r="T196" s="26"/>
      <c r="U196" s="28">
        <f t="shared" si="9"/>
        <v>2.1319973039766351</v>
      </c>
    </row>
    <row r="197" spans="1:21" x14ac:dyDescent="0.25">
      <c r="B197" s="9"/>
      <c r="C197" s="17">
        <v>557.84</v>
      </c>
      <c r="D197" s="18">
        <v>39.713000000000001</v>
      </c>
      <c r="E197" s="18">
        <v>44.707000000000001</v>
      </c>
      <c r="F197" s="18">
        <v>45.22</v>
      </c>
      <c r="G197" s="18">
        <v>188.56</v>
      </c>
      <c r="H197" s="18">
        <f t="shared" si="6"/>
        <v>41.025625000000005</v>
      </c>
      <c r="I197" s="5"/>
      <c r="J197" s="17">
        <v>580.14080000000001</v>
      </c>
      <c r="K197" s="18">
        <v>40.927799999999998</v>
      </c>
      <c r="L197" s="18">
        <v>46.344499999999996</v>
      </c>
      <c r="M197" s="18">
        <v>46.948999999999998</v>
      </c>
      <c r="N197" s="18">
        <v>610.37639999999999</v>
      </c>
      <c r="O197" s="18">
        <f t="shared" si="7"/>
        <v>42.357537499999999</v>
      </c>
      <c r="P197" s="7"/>
      <c r="Q197" s="10"/>
      <c r="R197" s="11"/>
      <c r="S197" s="11"/>
      <c r="T197" s="26"/>
      <c r="U197" s="28">
        <f t="shared" si="9"/>
        <v>2.2370407297411963</v>
      </c>
    </row>
    <row r="198" spans="1:21" ht="16.5" thickBot="1" x14ac:dyDescent="0.3">
      <c r="B198" s="12"/>
      <c r="C198" s="19">
        <v>265.36</v>
      </c>
      <c r="D198" s="20">
        <v>37.515000000000001</v>
      </c>
      <c r="E198" s="20">
        <v>43.505000000000003</v>
      </c>
      <c r="F198" s="20">
        <v>43.811999999999998</v>
      </c>
      <c r="G198" s="20">
        <v>204.57</v>
      </c>
      <c r="H198" s="20">
        <f t="shared" si="6"/>
        <v>39.050875000000005</v>
      </c>
      <c r="I198" s="5"/>
      <c r="J198" s="19">
        <v>281.8064</v>
      </c>
      <c r="K198" s="20">
        <v>39.0717</v>
      </c>
      <c r="L198" s="20">
        <v>44.629800000000003</v>
      </c>
      <c r="M198" s="20">
        <v>45.196800000000003</v>
      </c>
      <c r="N198" s="20">
        <v>674.15729999999996</v>
      </c>
      <c r="O198" s="20">
        <f t="shared" si="7"/>
        <v>40.5321</v>
      </c>
      <c r="P198" s="7"/>
      <c r="Q198" s="13"/>
      <c r="R198" s="14"/>
      <c r="S198" s="14"/>
      <c r="T198" s="27"/>
      <c r="U198" s="28">
        <f t="shared" si="9"/>
        <v>2.2954846751723128</v>
      </c>
    </row>
    <row r="199" spans="1:21" x14ac:dyDescent="0.25">
      <c r="B199" s="6" t="s">
        <v>63</v>
      </c>
      <c r="C199" s="15">
        <v>1496.55</v>
      </c>
      <c r="D199" s="16">
        <v>41.255000000000003</v>
      </c>
      <c r="E199" s="16">
        <v>45.408000000000001</v>
      </c>
      <c r="F199" s="16">
        <v>46.223999999999997</v>
      </c>
      <c r="G199" s="16">
        <v>94.04</v>
      </c>
      <c r="H199" s="16">
        <f t="shared" si="6"/>
        <v>42.395250000000004</v>
      </c>
      <c r="I199" s="5"/>
      <c r="J199" s="15">
        <v>1539.9416000000001</v>
      </c>
      <c r="K199" s="16">
        <v>42.294600000000003</v>
      </c>
      <c r="L199" s="16">
        <v>46.773099999999999</v>
      </c>
      <c r="M199" s="16">
        <v>47.639000000000003</v>
      </c>
      <c r="N199" s="16">
        <v>452.48869999999999</v>
      </c>
      <c r="O199" s="16">
        <f t="shared" si="7"/>
        <v>43.522462500000003</v>
      </c>
      <c r="P199" s="7"/>
      <c r="Q199" s="8">
        <f>bdrate(C199:C202,D199:D202,J199:J202,K199:K202)</f>
        <v>-0.35167469838990995</v>
      </c>
      <c r="R199" s="8">
        <f>bdrate(C199:C202,E199:E202,J199:J202,L199:L202)</f>
        <v>-0.45213969590481651</v>
      </c>
      <c r="S199" s="8">
        <f>bdrate(C199:C202,F199:F202,J199:J202,M199:M202)</f>
        <v>-0.44354834728094472</v>
      </c>
      <c r="T199" s="25">
        <f>bdrate(C199:C202,H199:H202,J199:J202,O199:O202)</f>
        <v>-0.37233242664546096</v>
      </c>
      <c r="U199" s="28">
        <f t="shared" si="9"/>
        <v>3.8116620586984258</v>
      </c>
    </row>
    <row r="200" spans="1:21" x14ac:dyDescent="0.25">
      <c r="B200" s="9"/>
      <c r="C200" s="17">
        <v>993.05</v>
      </c>
      <c r="D200" s="18">
        <v>40.148000000000003</v>
      </c>
      <c r="E200" s="18">
        <v>44.441000000000003</v>
      </c>
      <c r="F200" s="18">
        <v>45.262</v>
      </c>
      <c r="G200" s="18">
        <v>171.72</v>
      </c>
      <c r="H200" s="18">
        <f t="shared" si="6"/>
        <v>41.323875000000008</v>
      </c>
      <c r="I200" s="5"/>
      <c r="J200" s="17">
        <v>1015.0592</v>
      </c>
      <c r="K200" s="18">
        <v>41.413899999999998</v>
      </c>
      <c r="L200" s="18">
        <v>45.994500000000002</v>
      </c>
      <c r="M200" s="18">
        <v>46.821800000000003</v>
      </c>
      <c r="N200" s="18">
        <v>493.01560000000001</v>
      </c>
      <c r="O200" s="18">
        <f t="shared" si="7"/>
        <v>42.662462499999997</v>
      </c>
      <c r="P200" s="7"/>
      <c r="Q200" s="10"/>
      <c r="R200" s="11"/>
      <c r="S200" s="11"/>
      <c r="T200" s="26"/>
      <c r="U200" s="28">
        <f t="shared" si="9"/>
        <v>1.8710435592825532</v>
      </c>
    </row>
    <row r="201" spans="1:21" x14ac:dyDescent="0.25">
      <c r="B201" s="9"/>
      <c r="C201" s="17">
        <v>588.17999999999995</v>
      </c>
      <c r="D201" s="18">
        <v>38.427</v>
      </c>
      <c r="E201" s="18">
        <v>43.21</v>
      </c>
      <c r="F201" s="18">
        <v>44.085000000000001</v>
      </c>
      <c r="G201" s="18">
        <v>178.89</v>
      </c>
      <c r="H201" s="18">
        <f t="shared" si="6"/>
        <v>39.732124999999996</v>
      </c>
      <c r="I201" s="5"/>
      <c r="J201" s="17">
        <v>601.57039999999995</v>
      </c>
      <c r="K201" s="18">
        <v>39.991599999999998</v>
      </c>
      <c r="L201" s="18">
        <v>44.791699999999999</v>
      </c>
      <c r="M201" s="18">
        <v>45.595799999999997</v>
      </c>
      <c r="N201" s="18">
        <v>534.28319999999997</v>
      </c>
      <c r="O201" s="18">
        <f t="shared" si="7"/>
        <v>41.292137499999995</v>
      </c>
      <c r="P201" s="7"/>
      <c r="Q201" s="10"/>
      <c r="R201" s="11"/>
      <c r="S201" s="11"/>
      <c r="T201" s="26"/>
      <c r="U201" s="28">
        <f t="shared" si="9"/>
        <v>1.9866577226228408</v>
      </c>
    </row>
    <row r="202" spans="1:21" ht="16.5" thickBot="1" x14ac:dyDescent="0.3">
      <c r="B202" s="12"/>
      <c r="C202" s="19">
        <v>281.20999999999998</v>
      </c>
      <c r="D202" s="20">
        <v>35.996000000000002</v>
      </c>
      <c r="E202" s="20">
        <v>41.795999999999999</v>
      </c>
      <c r="F202" s="20">
        <v>42.76</v>
      </c>
      <c r="G202" s="20">
        <v>196.27</v>
      </c>
      <c r="H202" s="20">
        <f t="shared" si="6"/>
        <v>37.566499999999998</v>
      </c>
      <c r="I202" s="5"/>
      <c r="J202" s="19">
        <v>298.04320000000001</v>
      </c>
      <c r="K202" s="20">
        <v>37.335900000000002</v>
      </c>
      <c r="L202" s="20">
        <v>42.754899999999999</v>
      </c>
      <c r="M202" s="20">
        <v>43.576799999999999</v>
      </c>
      <c r="N202" s="20">
        <v>641.02560000000005</v>
      </c>
      <c r="O202" s="20">
        <f t="shared" si="7"/>
        <v>38.793387500000001</v>
      </c>
      <c r="P202" s="7"/>
      <c r="Q202" s="13"/>
      <c r="R202" s="14"/>
      <c r="S202" s="14"/>
      <c r="T202" s="27"/>
      <c r="U202" s="28">
        <f t="shared" si="9"/>
        <v>2.2660396392724311</v>
      </c>
    </row>
    <row r="203" spans="1:21" x14ac:dyDescent="0.25">
      <c r="A203" s="6" t="s">
        <v>94</v>
      </c>
      <c r="B203" s="6" t="s">
        <v>95</v>
      </c>
      <c r="C203" s="29">
        <v>1209.51</v>
      </c>
      <c r="D203" s="30">
        <v>41.524999999999999</v>
      </c>
      <c r="E203" s="30">
        <v>47.045000000000002</v>
      </c>
      <c r="F203" s="30">
        <v>48.156999999999996</v>
      </c>
      <c r="G203" s="16">
        <v>98.54</v>
      </c>
      <c r="H203" s="16">
        <f t="shared" ref="H203:H246" si="10">(6*D203+E203+F203)/8</f>
        <v>43.043999999999997</v>
      </c>
      <c r="I203" s="5"/>
      <c r="J203" s="15">
        <v>1287.8276000000001</v>
      </c>
      <c r="K203" s="16">
        <v>43.029299999999999</v>
      </c>
      <c r="L203" s="16">
        <v>47.979599999999998</v>
      </c>
      <c r="M203" s="16">
        <v>49.533099999999997</v>
      </c>
      <c r="N203" s="16">
        <v>325.02710000000002</v>
      </c>
      <c r="O203" s="16">
        <f t="shared" ref="O203:O246" si="11">(6*K203+L203+M203)/8</f>
        <v>44.461062499999997</v>
      </c>
      <c r="P203" s="7"/>
      <c r="Q203" s="8">
        <f>bdrate(C203:C206,D203:D206,J203:J206,K203:K206)</f>
        <v>-0.28568587154940639</v>
      </c>
      <c r="R203" s="8">
        <f>bdrate(C203:C206,E203:E206,J203:J206,L203:L206)</f>
        <v>-0.36936567569849588</v>
      </c>
      <c r="S203" s="8">
        <f>bdrate(C203:C206,F203:F206,J203:J206,M203:M206)</f>
        <v>-0.38024086989443584</v>
      </c>
      <c r="T203" s="25">
        <f>bdrate(C203:C206,H203:H206,J203:J206,O203:O206)</f>
        <v>-0.30284693234842008</v>
      </c>
      <c r="U203" s="28">
        <f t="shared" si="9"/>
        <v>2.2984280495230363</v>
      </c>
    </row>
    <row r="204" spans="1:21" x14ac:dyDescent="0.25">
      <c r="A204" s="9" t="s">
        <v>77</v>
      </c>
      <c r="B204" s="9"/>
      <c r="C204" s="31">
        <v>809.45</v>
      </c>
      <c r="D204" s="32">
        <v>39.354999999999997</v>
      </c>
      <c r="E204" s="32">
        <v>45.499000000000002</v>
      </c>
      <c r="F204" s="32">
        <v>46.645000000000003</v>
      </c>
      <c r="G204" s="18">
        <v>122.49</v>
      </c>
      <c r="H204" s="18">
        <f t="shared" si="10"/>
        <v>41.03425</v>
      </c>
      <c r="I204" s="5"/>
      <c r="J204" s="17">
        <v>876.29510000000005</v>
      </c>
      <c r="K204" s="18">
        <v>41.234699999999997</v>
      </c>
      <c r="L204" s="18">
        <v>47.253900000000002</v>
      </c>
      <c r="M204" s="18">
        <v>48.405799999999999</v>
      </c>
      <c r="N204" s="18">
        <v>369.83769999999998</v>
      </c>
      <c r="O204" s="18">
        <f t="shared" si="11"/>
        <v>42.883487499999994</v>
      </c>
      <c r="P204" s="7"/>
      <c r="Q204" s="10"/>
      <c r="R204" s="11"/>
      <c r="S204" s="11"/>
      <c r="T204" s="26"/>
      <c r="U204" s="28">
        <f t="shared" si="9"/>
        <v>2.0193297412033635</v>
      </c>
    </row>
    <row r="205" spans="1:21" x14ac:dyDescent="0.25">
      <c r="B205" s="9"/>
      <c r="C205" s="31">
        <v>490.4</v>
      </c>
      <c r="D205" s="32">
        <v>36.546999999999997</v>
      </c>
      <c r="E205" s="32">
        <v>43.71</v>
      </c>
      <c r="F205" s="32">
        <v>44.92</v>
      </c>
      <c r="G205" s="18">
        <v>134.16999999999999</v>
      </c>
      <c r="H205" s="18">
        <f t="shared" si="10"/>
        <v>38.488999999999997</v>
      </c>
      <c r="I205" s="5"/>
      <c r="J205" s="17">
        <v>542.11149999999998</v>
      </c>
      <c r="K205" s="18">
        <v>38.909500000000001</v>
      </c>
      <c r="L205" s="18">
        <v>45.695099999999996</v>
      </c>
      <c r="M205" s="18">
        <v>46.882800000000003</v>
      </c>
      <c r="N205" s="18">
        <v>436.99930000000001</v>
      </c>
      <c r="O205" s="18">
        <f t="shared" si="11"/>
        <v>40.754362499999999</v>
      </c>
      <c r="P205" s="7"/>
      <c r="Q205" s="10"/>
      <c r="R205" s="11"/>
      <c r="S205" s="11"/>
      <c r="T205" s="26"/>
      <c r="U205" s="28">
        <f t="shared" si="9"/>
        <v>2.2570567190877249</v>
      </c>
    </row>
    <row r="206" spans="1:21" ht="16.5" thickBot="1" x14ac:dyDescent="0.3">
      <c r="B206" s="12"/>
      <c r="C206" s="33">
        <v>249.29</v>
      </c>
      <c r="D206" s="34">
        <v>34.134</v>
      </c>
      <c r="E206" s="34">
        <v>41.457999999999998</v>
      </c>
      <c r="F206" s="34">
        <v>42.524999999999999</v>
      </c>
      <c r="G206" s="20">
        <v>155.08000000000001</v>
      </c>
      <c r="H206" s="20">
        <f t="shared" si="10"/>
        <v>36.098374999999997</v>
      </c>
      <c r="I206" s="5"/>
      <c r="J206" s="19">
        <v>279.91879999999998</v>
      </c>
      <c r="K206" s="20">
        <v>35.8003</v>
      </c>
      <c r="L206" s="20">
        <v>43.443600000000004</v>
      </c>
      <c r="M206" s="20">
        <v>44.853000000000002</v>
      </c>
      <c r="N206" s="20">
        <v>536.67259999999999</v>
      </c>
      <c r="O206" s="20">
        <f t="shared" si="11"/>
        <v>37.887300000000003</v>
      </c>
      <c r="P206" s="7"/>
      <c r="Q206" s="13"/>
      <c r="R206" s="14"/>
      <c r="S206" s="14"/>
      <c r="T206" s="27"/>
      <c r="U206" s="28">
        <f t="shared" si="9"/>
        <v>2.4606177456796487</v>
      </c>
    </row>
    <row r="207" spans="1:21" x14ac:dyDescent="0.25">
      <c r="B207" s="6" t="s">
        <v>96</v>
      </c>
      <c r="C207" s="15">
        <v>1472.64</v>
      </c>
      <c r="D207" s="16">
        <v>48.671999999999997</v>
      </c>
      <c r="E207" s="16">
        <v>49.750999999999998</v>
      </c>
      <c r="F207" s="16">
        <v>50.223999999999997</v>
      </c>
      <c r="G207" s="16">
        <v>117.14</v>
      </c>
      <c r="H207" s="16">
        <f t="shared" si="10"/>
        <v>49.000874999999994</v>
      </c>
      <c r="I207" s="5"/>
      <c r="J207" s="15">
        <v>1425.0488</v>
      </c>
      <c r="K207" s="16">
        <v>51.102600000000002</v>
      </c>
      <c r="L207" s="16">
        <v>51.630899999999997</v>
      </c>
      <c r="M207" s="16">
        <v>52.079799999999999</v>
      </c>
      <c r="N207" s="16">
        <v>467.16840000000002</v>
      </c>
      <c r="O207" s="16">
        <f t="shared" si="11"/>
        <v>51.2907875</v>
      </c>
      <c r="P207" s="7"/>
      <c r="Q207" s="8">
        <f>bdrate(C207:C210,D207:D210,J207:J210,K207:K210)</f>
        <v>-0.39916218461361319</v>
      </c>
      <c r="R207" s="8">
        <f>bdrate(C207:C210,E207:E210,J207:J210,L207:L210)</f>
        <v>-0.39141680587309924</v>
      </c>
      <c r="S207" s="8">
        <f>bdrate(C207:C210,F207:F210,J207:J210,M207:M210)</f>
        <v>-0.38879149517008249</v>
      </c>
      <c r="T207" s="25">
        <f>bdrate(C207:C210,H207:H210,J207:J210,O207:O210)</f>
        <v>-0.39715077826637546</v>
      </c>
      <c r="U207" s="28">
        <f t="shared" si="9"/>
        <v>2.9881201980536112</v>
      </c>
    </row>
    <row r="208" spans="1:21" x14ac:dyDescent="0.25">
      <c r="B208" s="9"/>
      <c r="C208" s="17">
        <v>981.61</v>
      </c>
      <c r="D208" s="18">
        <v>46.033999999999999</v>
      </c>
      <c r="E208" s="18">
        <v>47.353999999999999</v>
      </c>
      <c r="F208" s="18">
        <v>47.902999999999999</v>
      </c>
      <c r="G208" s="18">
        <v>220.62</v>
      </c>
      <c r="H208" s="18">
        <f t="shared" si="10"/>
        <v>46.432625000000002</v>
      </c>
      <c r="I208" s="5"/>
      <c r="J208" s="17">
        <v>964.42359999999996</v>
      </c>
      <c r="K208" s="18">
        <v>48.961500000000001</v>
      </c>
      <c r="L208" s="18">
        <v>49.776200000000003</v>
      </c>
      <c r="M208" s="18">
        <v>50.2883</v>
      </c>
      <c r="N208" s="18">
        <v>552.1472</v>
      </c>
      <c r="O208" s="18">
        <f t="shared" si="11"/>
        <v>49.229187500000002</v>
      </c>
      <c r="P208" s="7"/>
      <c r="Q208" s="10"/>
      <c r="R208" s="11"/>
      <c r="S208" s="11"/>
      <c r="T208" s="26"/>
      <c r="U208" s="28">
        <f t="shared" si="9"/>
        <v>1.5027069168706373</v>
      </c>
    </row>
    <row r="209" spans="2:21" x14ac:dyDescent="0.25">
      <c r="B209" s="9"/>
      <c r="C209" s="17">
        <v>590.30999999999995</v>
      </c>
      <c r="D209" s="18">
        <v>42.978999999999999</v>
      </c>
      <c r="E209" s="18">
        <v>44.613999999999997</v>
      </c>
      <c r="F209" s="18">
        <v>45.16</v>
      </c>
      <c r="G209" s="18">
        <v>228.95</v>
      </c>
      <c r="H209" s="18">
        <f t="shared" si="10"/>
        <v>43.456000000000003</v>
      </c>
      <c r="I209" s="5"/>
      <c r="J209" s="17">
        <v>589.29290000000003</v>
      </c>
      <c r="K209" s="18">
        <v>46.097000000000001</v>
      </c>
      <c r="L209" s="18">
        <v>47.368099999999998</v>
      </c>
      <c r="M209" s="18">
        <v>47.893599999999999</v>
      </c>
      <c r="N209" s="18">
        <v>610.37639999999999</v>
      </c>
      <c r="O209" s="18">
        <f t="shared" si="11"/>
        <v>46.480462500000002</v>
      </c>
      <c r="P209" s="7"/>
      <c r="Q209" s="10"/>
      <c r="R209" s="11"/>
      <c r="S209" s="11"/>
      <c r="T209" s="26"/>
      <c r="U209" s="28">
        <f t="shared" si="9"/>
        <v>1.6659812186066827</v>
      </c>
    </row>
    <row r="210" spans="2:21" ht="16.5" thickBot="1" x14ac:dyDescent="0.3">
      <c r="B210" s="12"/>
      <c r="C210" s="19">
        <v>294.37</v>
      </c>
      <c r="D210" s="20">
        <v>39.411000000000001</v>
      </c>
      <c r="E210" s="20">
        <v>41.576000000000001</v>
      </c>
      <c r="F210" s="20">
        <v>42.152999999999999</v>
      </c>
      <c r="G210" s="20">
        <v>238.89</v>
      </c>
      <c r="H210" s="20">
        <f t="shared" si="10"/>
        <v>40.024375000000006</v>
      </c>
      <c r="I210" s="5"/>
      <c r="J210" s="19">
        <v>297.48079999999999</v>
      </c>
      <c r="K210" s="20">
        <v>41.841799999999999</v>
      </c>
      <c r="L210" s="20">
        <v>43.532899999999998</v>
      </c>
      <c r="M210" s="20">
        <v>44.0077</v>
      </c>
      <c r="N210" s="20">
        <v>663.22770000000003</v>
      </c>
      <c r="O210" s="20">
        <f t="shared" si="11"/>
        <v>42.323924999999996</v>
      </c>
      <c r="P210" s="7"/>
      <c r="Q210" s="13"/>
      <c r="R210" s="14"/>
      <c r="S210" s="14"/>
      <c r="T210" s="27"/>
      <c r="U210" s="28">
        <f t="shared" si="9"/>
        <v>1.7762890870275025</v>
      </c>
    </row>
    <row r="211" spans="2:21" x14ac:dyDescent="0.25">
      <c r="B211" s="6" t="s">
        <v>97</v>
      </c>
      <c r="C211" s="15">
        <v>1553</v>
      </c>
      <c r="D211" s="16">
        <v>40.56</v>
      </c>
      <c r="E211" s="16">
        <v>43.265999999999998</v>
      </c>
      <c r="F211" s="16">
        <v>43.777999999999999</v>
      </c>
      <c r="G211" s="16">
        <v>115.04</v>
      </c>
      <c r="H211" s="16">
        <f t="shared" si="10"/>
        <v>41.300500000000007</v>
      </c>
      <c r="I211" s="5"/>
      <c r="J211" s="15">
        <v>1474.924</v>
      </c>
      <c r="K211" s="16">
        <v>41.980200000000004</v>
      </c>
      <c r="L211" s="16">
        <v>44.412700000000001</v>
      </c>
      <c r="M211" s="16">
        <v>44.818399999999997</v>
      </c>
      <c r="N211" s="16">
        <v>356.15350000000001</v>
      </c>
      <c r="O211" s="16">
        <f t="shared" si="11"/>
        <v>42.639037500000001</v>
      </c>
      <c r="P211" s="7"/>
      <c r="Q211" s="8">
        <f>bdrate(C211:C214,D211:D214,J211:J214,K211:K214)</f>
        <v>-0.29125933310105412</v>
      </c>
      <c r="R211" s="8">
        <f>bdrate(C211:C214,E211:E214,J211:J214,L211:L214)</f>
        <v>-0.33140810490052597</v>
      </c>
      <c r="S211" s="8">
        <f>bdrate(C211:C214,F211:F214,J211:J214,M211:M214)</f>
        <v>-0.31379302033364409</v>
      </c>
      <c r="T211" s="25">
        <f>bdrate(C211:C214,H211:H214,J211:J214,O211:O214)</f>
        <v>-0.29728133860808581</v>
      </c>
      <c r="U211" s="28">
        <f t="shared" si="9"/>
        <v>2.0959101182197495</v>
      </c>
    </row>
    <row r="212" spans="2:21" x14ac:dyDescent="0.25">
      <c r="B212" s="9"/>
      <c r="C212" s="17">
        <v>1034.6199999999999</v>
      </c>
      <c r="D212" s="18">
        <v>38.53</v>
      </c>
      <c r="E212" s="18">
        <v>41.776000000000003</v>
      </c>
      <c r="F212" s="18">
        <v>42.283999999999999</v>
      </c>
      <c r="G212" s="18">
        <v>151.22</v>
      </c>
      <c r="H212" s="18">
        <f t="shared" si="10"/>
        <v>39.405000000000001</v>
      </c>
      <c r="I212" s="5"/>
      <c r="J212" s="17">
        <v>986.20050000000003</v>
      </c>
      <c r="K212" s="18">
        <v>40.049999999999997</v>
      </c>
      <c r="L212" s="18">
        <v>43.056100000000001</v>
      </c>
      <c r="M212" s="18">
        <v>43.4544</v>
      </c>
      <c r="N212" s="18">
        <v>413.60289999999998</v>
      </c>
      <c r="O212" s="18">
        <f t="shared" si="11"/>
        <v>40.851312499999999</v>
      </c>
      <c r="P212" s="7"/>
      <c r="Q212" s="10"/>
      <c r="R212" s="11"/>
      <c r="S212" s="11"/>
      <c r="T212" s="26"/>
      <c r="U212" s="28">
        <f t="shared" si="9"/>
        <v>1.7351071286866813</v>
      </c>
    </row>
    <row r="213" spans="2:21" x14ac:dyDescent="0.25">
      <c r="B213" s="9"/>
      <c r="C213" s="17">
        <v>623.02</v>
      </c>
      <c r="D213" s="18">
        <v>35.795000000000002</v>
      </c>
      <c r="E213" s="18">
        <v>39.985999999999997</v>
      </c>
      <c r="F213" s="18">
        <v>40.536000000000001</v>
      </c>
      <c r="G213" s="18">
        <v>162.05000000000001</v>
      </c>
      <c r="H213" s="18">
        <f t="shared" si="10"/>
        <v>36.911500000000004</v>
      </c>
      <c r="I213" s="5"/>
      <c r="J213" s="17">
        <v>591.0729</v>
      </c>
      <c r="K213" s="18">
        <v>37.339599999999997</v>
      </c>
      <c r="L213" s="18">
        <v>41.177199999999999</v>
      </c>
      <c r="M213" s="18">
        <v>41.601900000000001</v>
      </c>
      <c r="N213" s="18">
        <v>474.80880000000002</v>
      </c>
      <c r="O213" s="18">
        <f t="shared" si="11"/>
        <v>38.352087499999996</v>
      </c>
      <c r="P213" s="7"/>
      <c r="Q213" s="10"/>
      <c r="R213" s="11"/>
      <c r="S213" s="11"/>
      <c r="T213" s="26"/>
      <c r="U213" s="28">
        <f t="shared" si="9"/>
        <v>1.9300141931502621</v>
      </c>
    </row>
    <row r="214" spans="2:21" ht="16.5" thickBot="1" x14ac:dyDescent="0.3">
      <c r="B214" s="12"/>
      <c r="C214" s="19">
        <v>313.95</v>
      </c>
      <c r="D214" s="20">
        <v>32.439</v>
      </c>
      <c r="E214" s="20">
        <v>37.537999999999997</v>
      </c>
      <c r="F214" s="20">
        <v>38.085999999999999</v>
      </c>
      <c r="G214" s="20">
        <v>177.24</v>
      </c>
      <c r="H214" s="20">
        <f t="shared" si="10"/>
        <v>33.782250000000005</v>
      </c>
      <c r="I214" s="5"/>
      <c r="J214" s="19">
        <v>299.3775</v>
      </c>
      <c r="K214" s="20">
        <v>33.835299999999997</v>
      </c>
      <c r="L214" s="20">
        <v>38.9452</v>
      </c>
      <c r="M214" s="20">
        <v>39.460999999999999</v>
      </c>
      <c r="N214" s="20">
        <v>560.0498</v>
      </c>
      <c r="O214" s="20">
        <f t="shared" si="11"/>
        <v>35.177250000000001</v>
      </c>
      <c r="P214" s="7"/>
      <c r="Q214" s="13"/>
      <c r="R214" s="14"/>
      <c r="S214" s="14"/>
      <c r="T214" s="27"/>
      <c r="U214" s="28">
        <f t="shared" si="9"/>
        <v>2.1598386368765516</v>
      </c>
    </row>
    <row r="215" spans="2:21" x14ac:dyDescent="0.25">
      <c r="B215" s="6" t="s">
        <v>98</v>
      </c>
      <c r="C215" s="15">
        <v>1374.85</v>
      </c>
      <c r="D215" s="16">
        <v>37.283999999999999</v>
      </c>
      <c r="E215" s="16">
        <v>42.143000000000001</v>
      </c>
      <c r="F215" s="16">
        <v>42.078000000000003</v>
      </c>
      <c r="G215" s="16">
        <v>105.66</v>
      </c>
      <c r="H215" s="16">
        <f t="shared" si="10"/>
        <v>38.490624999999994</v>
      </c>
      <c r="I215" s="5"/>
      <c r="J215" s="29">
        <v>1505.5669</v>
      </c>
      <c r="K215" s="30">
        <v>38.476100000000002</v>
      </c>
      <c r="L215" s="30">
        <v>43.099299999999999</v>
      </c>
      <c r="M215" s="30">
        <v>43.0794</v>
      </c>
      <c r="N215" s="16">
        <v>331.55279999999999</v>
      </c>
      <c r="O215" s="16">
        <f t="shared" si="11"/>
        <v>39.629412500000008</v>
      </c>
      <c r="P215" s="7"/>
      <c r="Q215" s="8">
        <f>bdrate(C215:C218,D215:D218,J215:J218,K215:K218)</f>
        <v>-0.11531560501510763</v>
      </c>
      <c r="R215" s="8">
        <f>bdrate(C215:C218,E215:E218,J215:J218,L215:L218)</f>
        <v>-0.23413404603630683</v>
      </c>
      <c r="S215" s="8">
        <f>bdrate(C215:C218,F215:F218,J215:J218,M215:M218)</f>
        <v>-0.22733998595302585</v>
      </c>
      <c r="T215" s="25">
        <f>bdrate(C215:C218,H215:H218,J215:J218,O215:O218)</f>
        <v>-0.13902208872251121</v>
      </c>
      <c r="U215" s="28">
        <f t="shared" si="9"/>
        <v>2.1379216354344122</v>
      </c>
    </row>
    <row r="216" spans="2:21" x14ac:dyDescent="0.25">
      <c r="B216" s="9"/>
      <c r="C216" s="17">
        <v>912.5</v>
      </c>
      <c r="D216" s="18">
        <v>35.561999999999998</v>
      </c>
      <c r="E216" s="18">
        <v>40.831000000000003</v>
      </c>
      <c r="F216" s="18">
        <v>40.799999999999997</v>
      </c>
      <c r="G216" s="18">
        <v>128.63999999999999</v>
      </c>
      <c r="H216" s="18">
        <f t="shared" si="10"/>
        <v>36.875374999999998</v>
      </c>
      <c r="I216" s="5"/>
      <c r="J216" s="31">
        <v>1002.7932</v>
      </c>
      <c r="K216" s="32">
        <v>36.642099999999999</v>
      </c>
      <c r="L216" s="32">
        <v>41.892899999999997</v>
      </c>
      <c r="M216" s="32">
        <v>41.846400000000003</v>
      </c>
      <c r="N216" s="18">
        <v>374.60980000000001</v>
      </c>
      <c r="O216" s="18">
        <f t="shared" si="11"/>
        <v>37.948987500000001</v>
      </c>
      <c r="P216" s="7"/>
      <c r="Q216" s="10"/>
      <c r="R216" s="11"/>
      <c r="S216" s="11"/>
      <c r="T216" s="26"/>
      <c r="U216" s="28">
        <f t="shared" si="9"/>
        <v>1.9120786691542293</v>
      </c>
    </row>
    <row r="217" spans="2:21" x14ac:dyDescent="0.25">
      <c r="B217" s="9"/>
      <c r="C217" s="17">
        <v>544.57000000000005</v>
      </c>
      <c r="D217" s="18">
        <v>33.435000000000002</v>
      </c>
      <c r="E217" s="18">
        <v>39.290999999999997</v>
      </c>
      <c r="F217" s="18">
        <v>39.274000000000001</v>
      </c>
      <c r="G217" s="18">
        <v>142.44999999999999</v>
      </c>
      <c r="H217" s="18">
        <f t="shared" si="10"/>
        <v>34.896875000000001</v>
      </c>
      <c r="I217" s="5"/>
      <c r="J217" s="31">
        <v>602.00189999999998</v>
      </c>
      <c r="K217" s="32">
        <v>34.349499999999999</v>
      </c>
      <c r="L217" s="32">
        <v>40.361699999999999</v>
      </c>
      <c r="M217" s="32">
        <v>40.3294</v>
      </c>
      <c r="N217" s="18">
        <v>438.70339999999999</v>
      </c>
      <c r="O217" s="18">
        <f t="shared" si="11"/>
        <v>35.848512499999998</v>
      </c>
      <c r="P217" s="7"/>
      <c r="Q217" s="10"/>
      <c r="R217" s="11"/>
      <c r="S217" s="11"/>
      <c r="T217" s="26"/>
      <c r="U217" s="28">
        <f t="shared" si="9"/>
        <v>2.0797009477009478</v>
      </c>
    </row>
    <row r="218" spans="2:21" ht="16.5" thickBot="1" x14ac:dyDescent="0.3">
      <c r="B218" s="12"/>
      <c r="C218" s="19">
        <v>271.89</v>
      </c>
      <c r="D218" s="20">
        <v>30.524000000000001</v>
      </c>
      <c r="E218" s="20">
        <v>37.076000000000001</v>
      </c>
      <c r="F218" s="20">
        <v>37.091000000000001</v>
      </c>
      <c r="G218" s="20">
        <v>160.04</v>
      </c>
      <c r="H218" s="20">
        <f t="shared" si="10"/>
        <v>32.163874999999997</v>
      </c>
      <c r="I218" s="5"/>
      <c r="J218" s="33">
        <v>301.70679999999999</v>
      </c>
      <c r="K218" s="34">
        <v>31.29</v>
      </c>
      <c r="L218" s="34">
        <v>38.460700000000003</v>
      </c>
      <c r="M218" s="34">
        <v>38.323599999999999</v>
      </c>
      <c r="N218" s="20">
        <v>534.12459999999999</v>
      </c>
      <c r="O218" s="20">
        <f t="shared" si="11"/>
        <v>33.065537500000005</v>
      </c>
      <c r="P218" s="7"/>
      <c r="Q218" s="13"/>
      <c r="R218" s="14"/>
      <c r="S218" s="14"/>
      <c r="T218" s="27"/>
      <c r="U218" s="28">
        <f t="shared" si="9"/>
        <v>2.3374443889027745</v>
      </c>
    </row>
    <row r="219" spans="2:21" x14ac:dyDescent="0.25">
      <c r="B219" s="6" t="s">
        <v>99</v>
      </c>
      <c r="C219" s="29">
        <v>1531</v>
      </c>
      <c r="D219" s="30">
        <v>34.323</v>
      </c>
      <c r="E219" s="30">
        <v>38.927999999999997</v>
      </c>
      <c r="F219" s="30">
        <v>39.503999999999998</v>
      </c>
      <c r="G219" s="16">
        <v>120.44</v>
      </c>
      <c r="H219" s="16">
        <f t="shared" si="10"/>
        <v>35.546250000000001</v>
      </c>
      <c r="I219" s="5"/>
      <c r="J219" s="15">
        <v>1494.7057</v>
      </c>
      <c r="K219" s="16">
        <v>36.344000000000001</v>
      </c>
      <c r="L219" s="16">
        <v>41.052999999999997</v>
      </c>
      <c r="M219" s="16">
        <v>41.620899999999999</v>
      </c>
      <c r="N219" s="16">
        <v>336.38569999999999</v>
      </c>
      <c r="O219" s="16">
        <f t="shared" si="11"/>
        <v>37.592237500000003</v>
      </c>
      <c r="P219" s="7"/>
      <c r="Q219" s="8">
        <f>bdrate(C219:C222,D219:D222,J219:J222,K219:K222)</f>
        <v>-0.31410666664234776</v>
      </c>
      <c r="R219" s="8">
        <f>bdrate(C219:C222,E219:E222,J219:J222,L219:L222)</f>
        <v>-0.47092086828068014</v>
      </c>
      <c r="S219" s="8">
        <f>bdrate(C219:C222,F219:F222,J219:J222,M219:M222)</f>
        <v>-0.48904525779241759</v>
      </c>
      <c r="T219" s="25">
        <f>bdrate(C219:C222,H219:H222,J219:J222,O219:O222)</f>
        <v>-0.34747258993981145</v>
      </c>
      <c r="U219" s="28">
        <f t="shared" si="9"/>
        <v>1.7929732646961143</v>
      </c>
    </row>
    <row r="220" spans="2:21" x14ac:dyDescent="0.25">
      <c r="B220" s="9"/>
      <c r="C220" s="31">
        <v>1020.58</v>
      </c>
      <c r="D220" s="32">
        <v>32.619</v>
      </c>
      <c r="E220" s="32">
        <v>37.634</v>
      </c>
      <c r="F220" s="32">
        <v>38.235999999999997</v>
      </c>
      <c r="G220" s="18">
        <v>152.63</v>
      </c>
      <c r="H220" s="18">
        <f t="shared" si="10"/>
        <v>33.948</v>
      </c>
      <c r="I220" s="5"/>
      <c r="J220" s="17">
        <v>992.49890000000005</v>
      </c>
      <c r="K220" s="18">
        <v>34.356099999999998</v>
      </c>
      <c r="L220" s="18">
        <v>39.619999999999997</v>
      </c>
      <c r="M220" s="18">
        <v>40.240499999999997</v>
      </c>
      <c r="N220" s="18">
        <v>385.9348</v>
      </c>
      <c r="O220" s="18">
        <f t="shared" si="11"/>
        <v>35.749637499999999</v>
      </c>
      <c r="P220" s="7"/>
      <c r="Q220" s="10"/>
      <c r="R220" s="11"/>
      <c r="S220" s="11"/>
      <c r="T220" s="26"/>
      <c r="U220" s="28">
        <f t="shared" si="9"/>
        <v>1.5285645023914041</v>
      </c>
    </row>
    <row r="221" spans="2:21" x14ac:dyDescent="0.25">
      <c r="B221" s="9"/>
      <c r="C221" s="31">
        <v>612.96</v>
      </c>
      <c r="D221" s="32">
        <v>30.524999999999999</v>
      </c>
      <c r="E221" s="32">
        <v>36.246000000000002</v>
      </c>
      <c r="F221" s="32">
        <v>36.902000000000001</v>
      </c>
      <c r="G221" s="18">
        <v>163.43</v>
      </c>
      <c r="H221" s="18">
        <f t="shared" si="10"/>
        <v>32.03725</v>
      </c>
      <c r="I221" s="5"/>
      <c r="J221" s="17">
        <v>594.57830000000001</v>
      </c>
      <c r="K221" s="18">
        <v>31.981000000000002</v>
      </c>
      <c r="L221" s="18">
        <v>37.986699999999999</v>
      </c>
      <c r="M221" s="18">
        <v>38.681199999999997</v>
      </c>
      <c r="N221" s="18">
        <v>427.35039999999998</v>
      </c>
      <c r="O221" s="18">
        <f t="shared" si="11"/>
        <v>33.5692375</v>
      </c>
      <c r="P221" s="7"/>
      <c r="Q221" s="10"/>
      <c r="R221" s="11"/>
      <c r="S221" s="11"/>
      <c r="T221" s="26"/>
      <c r="U221" s="28">
        <f t="shared" si="9"/>
        <v>1.6148834363335982</v>
      </c>
    </row>
    <row r="222" spans="2:21" ht="16.5" thickBot="1" x14ac:dyDescent="0.3">
      <c r="B222" s="12"/>
      <c r="C222" s="33">
        <v>305.27999999999997</v>
      </c>
      <c r="D222" s="34">
        <v>27.622</v>
      </c>
      <c r="E222" s="34">
        <v>34.298999999999999</v>
      </c>
      <c r="F222" s="34">
        <v>35.203000000000003</v>
      </c>
      <c r="G222" s="20">
        <v>180.27</v>
      </c>
      <c r="H222" s="20">
        <f t="shared" si="10"/>
        <v>29.404250000000001</v>
      </c>
      <c r="I222" s="5"/>
      <c r="J222" s="19">
        <v>298.43329999999997</v>
      </c>
      <c r="K222" s="20">
        <v>28.866499999999998</v>
      </c>
      <c r="L222" s="20">
        <v>35.898099999999999</v>
      </c>
      <c r="M222" s="20">
        <v>36.652500000000003</v>
      </c>
      <c r="N222" s="20">
        <v>536.67259999999999</v>
      </c>
      <c r="O222" s="20">
        <f t="shared" si="11"/>
        <v>30.718699999999998</v>
      </c>
      <c r="P222" s="7"/>
      <c r="Q222" s="13"/>
      <c r="R222" s="14"/>
      <c r="S222" s="14"/>
      <c r="T222" s="27"/>
      <c r="U222" s="28">
        <f t="shared" si="9"/>
        <v>1.9770488711377379</v>
      </c>
    </row>
    <row r="223" spans="2:21" x14ac:dyDescent="0.25">
      <c r="B223" s="6" t="s">
        <v>100</v>
      </c>
      <c r="C223" s="15">
        <v>1491.96</v>
      </c>
      <c r="D223" s="16">
        <v>35.993000000000002</v>
      </c>
      <c r="E223" s="16">
        <v>41.628999999999998</v>
      </c>
      <c r="F223" s="16">
        <v>43.048000000000002</v>
      </c>
      <c r="G223" s="16">
        <v>101.84</v>
      </c>
      <c r="H223" s="16">
        <f t="shared" si="10"/>
        <v>37.579375000000006</v>
      </c>
      <c r="I223" s="5"/>
      <c r="J223" s="15">
        <v>1510.2439999999999</v>
      </c>
      <c r="K223" s="16">
        <v>36.758000000000003</v>
      </c>
      <c r="L223" s="16">
        <v>42.8309</v>
      </c>
      <c r="M223" s="16">
        <v>44.223500000000001</v>
      </c>
      <c r="N223" s="16">
        <v>318.69690000000003</v>
      </c>
      <c r="O223" s="16">
        <f t="shared" si="11"/>
        <v>38.450299999999999</v>
      </c>
      <c r="P223" s="7"/>
      <c r="Q223" s="8">
        <f>bdrate(C223:C226,D223:D226,J223:J226,K223:K226)</f>
        <v>-0.18668910614377066</v>
      </c>
      <c r="R223" s="8">
        <f>bdrate(C223:C226,E223:E226,J223:J226,L223:L226)</f>
        <v>-0.43319048185526787</v>
      </c>
      <c r="S223" s="8">
        <f>bdrate(C223:C226,F223:F226,J223:J226,M223:M226)</f>
        <v>-0.3957455427549823</v>
      </c>
      <c r="T223" s="25">
        <f>bdrate(C223:C226,H223:H226,J223:J226,O223:O226)</f>
        <v>-0.23908023234454445</v>
      </c>
      <c r="U223" s="28">
        <f t="shared" si="9"/>
        <v>2.1293882560879811</v>
      </c>
    </row>
    <row r="224" spans="2:21" x14ac:dyDescent="0.25">
      <c r="B224" s="9"/>
      <c r="C224" s="17">
        <v>998.1</v>
      </c>
      <c r="D224" s="18">
        <v>34.664000000000001</v>
      </c>
      <c r="E224" s="18">
        <v>40.597999999999999</v>
      </c>
      <c r="F224" s="18">
        <v>41.868000000000002</v>
      </c>
      <c r="G224" s="18">
        <v>119.7</v>
      </c>
      <c r="H224" s="18">
        <f t="shared" si="10"/>
        <v>36.306249999999999</v>
      </c>
      <c r="I224" s="5"/>
      <c r="J224" s="17">
        <v>1008.3977</v>
      </c>
      <c r="K224" s="18">
        <v>35.377400000000002</v>
      </c>
      <c r="L224" s="18">
        <v>41.8947</v>
      </c>
      <c r="M224" s="18">
        <v>43.162500000000001</v>
      </c>
      <c r="N224" s="18">
        <v>372.20839999999998</v>
      </c>
      <c r="O224" s="18">
        <f t="shared" si="11"/>
        <v>37.165200000000006</v>
      </c>
      <c r="P224" s="7"/>
      <c r="Q224" s="10"/>
      <c r="R224" s="11"/>
      <c r="S224" s="11"/>
      <c r="T224" s="26"/>
      <c r="U224" s="28">
        <f t="shared" si="9"/>
        <v>2.1095104427736007</v>
      </c>
    </row>
    <row r="225" spans="2:21" x14ac:dyDescent="0.25">
      <c r="B225" s="9"/>
      <c r="C225" s="17">
        <v>599.89</v>
      </c>
      <c r="D225" s="18">
        <v>33.054000000000002</v>
      </c>
      <c r="E225" s="18">
        <v>39.454999999999998</v>
      </c>
      <c r="F225" s="18">
        <v>40.454999999999998</v>
      </c>
      <c r="G225" s="18">
        <v>133.86000000000001</v>
      </c>
      <c r="H225" s="18">
        <f t="shared" si="10"/>
        <v>34.779249999999998</v>
      </c>
      <c r="I225" s="5"/>
      <c r="J225" s="17">
        <v>603.4701</v>
      </c>
      <c r="K225" s="18">
        <v>33.707000000000001</v>
      </c>
      <c r="L225" s="18">
        <v>40.729500000000002</v>
      </c>
      <c r="M225" s="18">
        <v>41.848500000000001</v>
      </c>
      <c r="N225" s="18">
        <v>432.06909999999999</v>
      </c>
      <c r="O225" s="18">
        <f t="shared" si="11"/>
        <v>35.602500000000006</v>
      </c>
      <c r="P225" s="7"/>
      <c r="Q225" s="10"/>
      <c r="R225" s="11"/>
      <c r="S225" s="11"/>
      <c r="T225" s="26"/>
      <c r="U225" s="28">
        <f t="shared" si="9"/>
        <v>2.2277685641715221</v>
      </c>
    </row>
    <row r="226" spans="2:21" ht="16.5" thickBot="1" x14ac:dyDescent="0.3">
      <c r="B226" s="12"/>
      <c r="C226" s="19">
        <v>306.2</v>
      </c>
      <c r="D226" s="20">
        <v>31.050999999999998</v>
      </c>
      <c r="E226" s="20">
        <v>38.130000000000003</v>
      </c>
      <c r="F226" s="20">
        <v>38.816000000000003</v>
      </c>
      <c r="G226" s="20">
        <v>155.93</v>
      </c>
      <c r="H226" s="20">
        <f t="shared" si="10"/>
        <v>32.906499999999994</v>
      </c>
      <c r="I226" s="5"/>
      <c r="J226" s="19">
        <v>301.30270000000002</v>
      </c>
      <c r="K226" s="20">
        <v>31.6248</v>
      </c>
      <c r="L226" s="20">
        <v>39.303100000000001</v>
      </c>
      <c r="M226" s="20">
        <v>40.093899999999998</v>
      </c>
      <c r="N226" s="20">
        <v>529.25609999999995</v>
      </c>
      <c r="O226" s="20">
        <f t="shared" si="11"/>
        <v>33.643225000000001</v>
      </c>
      <c r="P226" s="7"/>
      <c r="Q226" s="13"/>
      <c r="R226" s="14"/>
      <c r="S226" s="14"/>
      <c r="T226" s="27"/>
      <c r="U226" s="28">
        <f t="shared" si="9"/>
        <v>2.394190341820047</v>
      </c>
    </row>
    <row r="227" spans="2:21" x14ac:dyDescent="0.25">
      <c r="B227" s="6" t="s">
        <v>101</v>
      </c>
      <c r="C227" s="15">
        <v>1589.28</v>
      </c>
      <c r="D227" s="16">
        <v>45.186</v>
      </c>
      <c r="E227" s="16">
        <v>50.283999999999999</v>
      </c>
      <c r="F227" s="16">
        <v>51.69</v>
      </c>
      <c r="G227" s="16">
        <v>122.68</v>
      </c>
      <c r="H227" s="16">
        <f t="shared" si="10"/>
        <v>46.636249999999997</v>
      </c>
      <c r="I227" s="5"/>
      <c r="J227" s="15">
        <v>1496.4305999999999</v>
      </c>
      <c r="K227" s="16">
        <v>46.7087</v>
      </c>
      <c r="L227" s="16">
        <v>51.449599999999997</v>
      </c>
      <c r="M227" s="16">
        <v>52.984499999999997</v>
      </c>
      <c r="N227" s="16">
        <v>378.1</v>
      </c>
      <c r="O227" s="16">
        <f t="shared" si="11"/>
        <v>48.085787499999995</v>
      </c>
      <c r="P227" s="7"/>
      <c r="Q227" s="8">
        <f>bdrate(C227:C230,D227:D230,J227:J230,K227:K230)</f>
        <v>-0.32456459106150948</v>
      </c>
      <c r="R227" s="8">
        <f>bdrate(C227:C230,E227:E230,J227:J230,L227:L230)</f>
        <v>-0.34991650326193557</v>
      </c>
      <c r="S227" s="8">
        <f>bdrate(C227:C230,F227:F230,J227:J230,M227:M230)</f>
        <v>-0.33579028504029684</v>
      </c>
      <c r="T227" s="25">
        <f>bdrate(C227:C230,H227:H230,J227:J230,O227:O230)</f>
        <v>-0.32875967940476125</v>
      </c>
      <c r="U227" s="28">
        <f t="shared" si="9"/>
        <v>2.0820019563090968</v>
      </c>
    </row>
    <row r="228" spans="2:21" x14ac:dyDescent="0.25">
      <c r="B228" s="9"/>
      <c r="C228" s="17">
        <v>1059.45</v>
      </c>
      <c r="D228" s="18">
        <v>43.395000000000003</v>
      </c>
      <c r="E228" s="18">
        <v>48.691000000000003</v>
      </c>
      <c r="F228" s="18">
        <v>50.177</v>
      </c>
      <c r="G228" s="18">
        <v>151.55000000000001</v>
      </c>
      <c r="H228" s="18">
        <f t="shared" si="10"/>
        <v>44.904750000000007</v>
      </c>
      <c r="I228" s="5"/>
      <c r="J228" s="17">
        <v>1002.8758</v>
      </c>
      <c r="K228" s="18">
        <v>44.9604</v>
      </c>
      <c r="L228" s="18">
        <v>50.197400000000002</v>
      </c>
      <c r="M228" s="18">
        <v>51.683300000000003</v>
      </c>
      <c r="N228" s="18">
        <v>427.113</v>
      </c>
      <c r="O228" s="18">
        <f t="shared" si="11"/>
        <v>46.455387500000001</v>
      </c>
      <c r="P228" s="7"/>
      <c r="Q228" s="10"/>
      <c r="R228" s="11"/>
      <c r="S228" s="11"/>
      <c r="T228" s="26"/>
      <c r="U228" s="28">
        <f t="shared" si="9"/>
        <v>1.8182975915539423</v>
      </c>
    </row>
    <row r="229" spans="2:21" x14ac:dyDescent="0.25">
      <c r="B229" s="9"/>
      <c r="C229" s="17">
        <v>636.83000000000004</v>
      </c>
      <c r="D229" s="18">
        <v>41.156999999999996</v>
      </c>
      <c r="E229" s="18">
        <v>46.805999999999997</v>
      </c>
      <c r="F229" s="18">
        <v>48.345999999999997</v>
      </c>
      <c r="G229" s="18">
        <v>171.11</v>
      </c>
      <c r="H229" s="18">
        <f t="shared" si="10"/>
        <v>42.761749999999999</v>
      </c>
      <c r="I229" s="5"/>
      <c r="J229" s="17">
        <v>602.42430000000002</v>
      </c>
      <c r="K229" s="18">
        <v>42.708599999999997</v>
      </c>
      <c r="L229" s="18">
        <v>48.274799999999999</v>
      </c>
      <c r="M229" s="18">
        <v>49.750500000000002</v>
      </c>
      <c r="N229" s="18">
        <v>497.09859999999998</v>
      </c>
      <c r="O229" s="18">
        <f t="shared" si="11"/>
        <v>44.284612499999994</v>
      </c>
      <c r="P229" s="7"/>
      <c r="Q229" s="10"/>
      <c r="R229" s="11"/>
      <c r="S229" s="11"/>
      <c r="T229" s="26"/>
      <c r="U229" s="28">
        <f t="shared" si="9"/>
        <v>1.9051405528607326</v>
      </c>
    </row>
    <row r="230" spans="2:21" ht="16.5" thickBot="1" x14ac:dyDescent="0.3">
      <c r="B230" s="12"/>
      <c r="C230" s="19">
        <v>320.41000000000003</v>
      </c>
      <c r="D230" s="20">
        <v>38.165999999999997</v>
      </c>
      <c r="E230" s="20">
        <v>44.218000000000004</v>
      </c>
      <c r="F230" s="20">
        <v>45.777999999999999</v>
      </c>
      <c r="G230" s="20">
        <v>194.47</v>
      </c>
      <c r="H230" s="20">
        <f t="shared" si="10"/>
        <v>39.874000000000002</v>
      </c>
      <c r="I230" s="5"/>
      <c r="J230" s="19">
        <v>302.31459999999998</v>
      </c>
      <c r="K230" s="20">
        <v>39.363700000000001</v>
      </c>
      <c r="L230" s="20">
        <v>45.369799999999998</v>
      </c>
      <c r="M230" s="20">
        <v>46.660600000000002</v>
      </c>
      <c r="N230" s="20">
        <v>588.29300000000001</v>
      </c>
      <c r="O230" s="20">
        <f t="shared" si="11"/>
        <v>41.026575000000001</v>
      </c>
      <c r="P230" s="7"/>
      <c r="Q230" s="13"/>
      <c r="R230" s="14"/>
      <c r="S230" s="14"/>
      <c r="T230" s="27"/>
      <c r="U230" s="28">
        <f t="shared" si="9"/>
        <v>2.0251092713529077</v>
      </c>
    </row>
    <row r="231" spans="2:21" x14ac:dyDescent="0.25">
      <c r="B231" s="6" t="s">
        <v>102</v>
      </c>
      <c r="C231" s="15">
        <v>1464.32</v>
      </c>
      <c r="D231" s="16">
        <v>30.920999999999999</v>
      </c>
      <c r="E231" s="16">
        <v>38.965000000000003</v>
      </c>
      <c r="F231" s="16">
        <v>38.357999999999997</v>
      </c>
      <c r="G231" s="16">
        <v>91.5</v>
      </c>
      <c r="H231" s="16">
        <f t="shared" si="10"/>
        <v>32.856124999999999</v>
      </c>
      <c r="I231" s="5"/>
      <c r="J231" s="15">
        <v>1497.8923</v>
      </c>
      <c r="K231" s="16">
        <v>31.343499999999999</v>
      </c>
      <c r="L231" s="16">
        <v>39.9283</v>
      </c>
      <c r="M231" s="16">
        <v>39.295000000000002</v>
      </c>
      <c r="N231" s="16">
        <v>276.66770000000002</v>
      </c>
      <c r="O231" s="16">
        <f t="shared" si="11"/>
        <v>33.410537499999997</v>
      </c>
      <c r="P231" s="7"/>
      <c r="Q231" s="8">
        <f>bdrate(C231:C234,D231:D234,J231:J234,K231:K234)</f>
        <v>-5.6330762842917048E-2</v>
      </c>
      <c r="R231" s="8">
        <f>bdrate(C231:C234,E231:E234,J231:J234,L231:L234)</f>
        <v>-0.31766135569638143</v>
      </c>
      <c r="S231" s="8">
        <f>bdrate(C231:C234,F231:F234,J231:J234,M231:M234)</f>
        <v>-0.31876838867137836</v>
      </c>
      <c r="T231" s="25">
        <f>bdrate(C231:C234,H231:H234,J231:J234,O231:O234)</f>
        <v>-0.11572695149881229</v>
      </c>
      <c r="U231" s="28">
        <f t="shared" si="9"/>
        <v>2.0236907103825139</v>
      </c>
    </row>
    <row r="232" spans="2:21" x14ac:dyDescent="0.25">
      <c r="B232" s="9"/>
      <c r="C232" s="17">
        <v>976.02</v>
      </c>
      <c r="D232" s="18">
        <v>29.26</v>
      </c>
      <c r="E232" s="18">
        <v>37.798000000000002</v>
      </c>
      <c r="F232" s="18">
        <v>37.137</v>
      </c>
      <c r="G232" s="18">
        <v>108.34</v>
      </c>
      <c r="H232" s="18">
        <f t="shared" si="10"/>
        <v>31.311875000000001</v>
      </c>
      <c r="I232" s="5"/>
      <c r="J232" s="17">
        <v>995.80759999999998</v>
      </c>
      <c r="K232" s="18">
        <v>29.587900000000001</v>
      </c>
      <c r="L232" s="18">
        <v>38.9358</v>
      </c>
      <c r="M232" s="18">
        <v>38.261800000000001</v>
      </c>
      <c r="N232" s="18">
        <v>326.85669999999999</v>
      </c>
      <c r="O232" s="18">
        <f t="shared" si="11"/>
        <v>31.840624999999999</v>
      </c>
      <c r="P232" s="7"/>
      <c r="Q232" s="10"/>
      <c r="R232" s="11"/>
      <c r="S232" s="11"/>
      <c r="T232" s="26"/>
      <c r="U232" s="28">
        <f t="shared" si="9"/>
        <v>2.0169531105778105</v>
      </c>
    </row>
    <row r="233" spans="2:21" x14ac:dyDescent="0.25">
      <c r="B233" s="9"/>
      <c r="C233" s="17">
        <v>587.14</v>
      </c>
      <c r="D233" s="18">
        <v>27.202999999999999</v>
      </c>
      <c r="E233" s="18">
        <v>36.244</v>
      </c>
      <c r="F233" s="18">
        <v>35.590000000000003</v>
      </c>
      <c r="G233" s="18">
        <v>122.36</v>
      </c>
      <c r="H233" s="18">
        <f t="shared" si="10"/>
        <v>29.381499999999999</v>
      </c>
      <c r="I233" s="5"/>
      <c r="J233" s="17">
        <v>598.83079999999995</v>
      </c>
      <c r="K233" s="18">
        <v>27.487100000000002</v>
      </c>
      <c r="L233" s="18">
        <v>37.522399999999998</v>
      </c>
      <c r="M233" s="18">
        <v>36.8508</v>
      </c>
      <c r="N233" s="18">
        <v>399.29020000000003</v>
      </c>
      <c r="O233" s="18">
        <f t="shared" si="11"/>
        <v>29.911975000000002</v>
      </c>
      <c r="P233" s="7"/>
      <c r="Q233" s="10"/>
      <c r="R233" s="11"/>
      <c r="S233" s="11"/>
      <c r="T233" s="26"/>
      <c r="U233" s="28">
        <f t="shared" si="9"/>
        <v>2.2632412553121934</v>
      </c>
    </row>
    <row r="234" spans="2:21" ht="16.5" thickBot="1" x14ac:dyDescent="0.3">
      <c r="B234" s="12"/>
      <c r="C234" s="19">
        <v>292.18</v>
      </c>
      <c r="D234" s="20">
        <v>24.408999999999999</v>
      </c>
      <c r="E234" s="20">
        <v>33.613999999999997</v>
      </c>
      <c r="F234" s="20">
        <v>33.091000000000001</v>
      </c>
      <c r="G234" s="20">
        <v>139.02000000000001</v>
      </c>
      <c r="H234" s="20">
        <f t="shared" si="10"/>
        <v>26.644875000000003</v>
      </c>
      <c r="I234" s="5"/>
      <c r="J234" s="19">
        <v>300.6139</v>
      </c>
      <c r="K234" s="20">
        <v>24.793199999999999</v>
      </c>
      <c r="L234" s="20">
        <v>35.160299999999999</v>
      </c>
      <c r="M234" s="20">
        <v>34.633400000000002</v>
      </c>
      <c r="N234" s="20">
        <v>499.44510000000002</v>
      </c>
      <c r="O234" s="20">
        <f t="shared" si="11"/>
        <v>27.319112499999999</v>
      </c>
      <c r="P234" s="7"/>
      <c r="Q234" s="13"/>
      <c r="R234" s="14"/>
      <c r="S234" s="14"/>
      <c r="T234" s="27"/>
      <c r="U234" s="28">
        <f t="shared" si="9"/>
        <v>2.5926132930513597</v>
      </c>
    </row>
    <row r="235" spans="2:21" x14ac:dyDescent="0.25">
      <c r="B235" s="6" t="s">
        <v>103</v>
      </c>
      <c r="C235" s="15">
        <v>1508.08</v>
      </c>
      <c r="D235" s="16">
        <v>42.093000000000004</v>
      </c>
      <c r="E235" s="16">
        <v>43.423000000000002</v>
      </c>
      <c r="F235" s="16">
        <v>43.304000000000002</v>
      </c>
      <c r="G235" s="16">
        <v>96.15</v>
      </c>
      <c r="H235" s="16">
        <f t="shared" si="10"/>
        <v>42.410624999999996</v>
      </c>
      <c r="I235" s="5"/>
      <c r="J235" s="15">
        <v>1377.7435</v>
      </c>
      <c r="K235" s="16">
        <v>44.129399999999997</v>
      </c>
      <c r="L235" s="16">
        <v>45.282800000000002</v>
      </c>
      <c r="M235" s="16">
        <v>45.168999999999997</v>
      </c>
      <c r="N235" s="16">
        <v>325.96890000000002</v>
      </c>
      <c r="O235" s="16">
        <f t="shared" si="11"/>
        <v>44.403524999999995</v>
      </c>
      <c r="P235" s="7"/>
      <c r="Q235" s="8">
        <f>bdrate(C235:C238,D235:D238,J235:J238,K235:K238)</f>
        <v>-0.32144933094550809</v>
      </c>
      <c r="R235" s="8">
        <f>bdrate(C235:C238,E235:E238,J235:J238,L235:L238)</f>
        <v>-0.37208554108366532</v>
      </c>
      <c r="S235" s="8">
        <f>bdrate(C235:C238,F235:F238,J235:J238,M235:M238)</f>
        <v>-0.35875232436063087</v>
      </c>
      <c r="T235" s="25">
        <f>bdrate(C235:C238,H235:H238,J235:J238,O235:O238)</f>
        <v>-0.33103461366321651</v>
      </c>
      <c r="U235" s="28">
        <f t="shared" si="9"/>
        <v>2.3902121684867397</v>
      </c>
    </row>
    <row r="236" spans="2:21" x14ac:dyDescent="0.25">
      <c r="B236" s="9"/>
      <c r="C236" s="17">
        <v>1004.7</v>
      </c>
      <c r="D236" s="18">
        <v>39.814999999999998</v>
      </c>
      <c r="E236" s="18">
        <v>41.566000000000003</v>
      </c>
      <c r="F236" s="18">
        <v>41.404000000000003</v>
      </c>
      <c r="G236" s="18">
        <v>159.15</v>
      </c>
      <c r="H236" s="18">
        <f t="shared" si="10"/>
        <v>40.232500000000002</v>
      </c>
      <c r="I236" s="5"/>
      <c r="J236" s="17">
        <v>935.16129999999998</v>
      </c>
      <c r="K236" s="18">
        <v>42.047899999999998</v>
      </c>
      <c r="L236" s="18">
        <v>43.574300000000001</v>
      </c>
      <c r="M236" s="18">
        <v>43.459800000000001</v>
      </c>
      <c r="N236" s="18">
        <v>412.08789999999999</v>
      </c>
      <c r="O236" s="18">
        <f t="shared" si="11"/>
        <v>42.415187500000002</v>
      </c>
      <c r="P236" s="7"/>
      <c r="Q236" s="10"/>
      <c r="R236" s="11"/>
      <c r="S236" s="11"/>
      <c r="T236" s="26"/>
      <c r="U236" s="28">
        <f t="shared" si="9"/>
        <v>1.5893050581212691</v>
      </c>
    </row>
    <row r="237" spans="2:21" x14ac:dyDescent="0.25">
      <c r="B237" s="9"/>
      <c r="C237" s="17">
        <v>606.12</v>
      </c>
      <c r="D237" s="18">
        <v>36.97</v>
      </c>
      <c r="E237" s="18">
        <v>39.198999999999998</v>
      </c>
      <c r="F237" s="18">
        <v>39.098999999999997</v>
      </c>
      <c r="G237" s="18">
        <v>172.22</v>
      </c>
      <c r="H237" s="18">
        <f t="shared" si="10"/>
        <v>37.514749999999999</v>
      </c>
      <c r="I237" s="5"/>
      <c r="J237" s="17">
        <v>577.86429999999996</v>
      </c>
      <c r="K237" s="18">
        <v>38.883200000000002</v>
      </c>
      <c r="L237" s="18">
        <v>41.102600000000002</v>
      </c>
      <c r="M237" s="18">
        <v>40.883400000000002</v>
      </c>
      <c r="N237" s="18">
        <v>484.78320000000002</v>
      </c>
      <c r="O237" s="18">
        <f t="shared" si="11"/>
        <v>39.410650000000004</v>
      </c>
      <c r="P237" s="7"/>
      <c r="Q237" s="10"/>
      <c r="R237" s="11"/>
      <c r="S237" s="11"/>
      <c r="T237" s="26"/>
      <c r="U237" s="28">
        <f t="shared" si="9"/>
        <v>1.8149065149227734</v>
      </c>
    </row>
    <row r="238" spans="2:21" ht="16.5" thickBot="1" x14ac:dyDescent="0.3">
      <c r="B238" s="12"/>
      <c r="C238" s="19">
        <v>301.60000000000002</v>
      </c>
      <c r="D238" s="20">
        <v>33.005000000000003</v>
      </c>
      <c r="E238" s="20">
        <v>36.249000000000002</v>
      </c>
      <c r="F238" s="20">
        <v>35.756999999999998</v>
      </c>
      <c r="G238" s="20">
        <v>188.23</v>
      </c>
      <c r="H238" s="20">
        <f t="shared" si="10"/>
        <v>33.7545</v>
      </c>
      <c r="I238" s="5"/>
      <c r="J238" s="19">
        <v>290.69650000000001</v>
      </c>
      <c r="K238" s="20">
        <v>34.682899999999997</v>
      </c>
      <c r="L238" s="20">
        <v>37.974400000000003</v>
      </c>
      <c r="M238" s="20">
        <v>37.629899999999999</v>
      </c>
      <c r="N238" s="20">
        <v>573.9796</v>
      </c>
      <c r="O238" s="20">
        <f t="shared" si="11"/>
        <v>35.462712500000002</v>
      </c>
      <c r="P238" s="7"/>
      <c r="Q238" s="13"/>
      <c r="R238" s="14"/>
      <c r="S238" s="14"/>
      <c r="T238" s="27"/>
      <c r="U238" s="28">
        <f t="shared" si="9"/>
        <v>2.0493523880359135</v>
      </c>
    </row>
    <row r="239" spans="2:21" x14ac:dyDescent="0.25">
      <c r="B239" s="6" t="s">
        <v>104</v>
      </c>
      <c r="C239" s="15">
        <v>1986.62</v>
      </c>
      <c r="D239" s="16">
        <v>42.1</v>
      </c>
      <c r="E239" s="16">
        <v>44.296999999999997</v>
      </c>
      <c r="F239" s="16">
        <v>44.512</v>
      </c>
      <c r="G239" s="16">
        <v>80.52</v>
      </c>
      <c r="H239" s="16">
        <f t="shared" si="10"/>
        <v>42.676125000000006</v>
      </c>
      <c r="I239" s="5"/>
      <c r="J239" s="15">
        <v>1354.8562999999999</v>
      </c>
      <c r="K239" s="16">
        <v>45.375300000000003</v>
      </c>
      <c r="L239" s="16">
        <v>47.697800000000001</v>
      </c>
      <c r="M239" s="16">
        <v>47.929400000000001</v>
      </c>
      <c r="N239" s="16">
        <v>334.44819999999999</v>
      </c>
      <c r="O239" s="16">
        <f t="shared" si="11"/>
        <v>45.984875000000002</v>
      </c>
      <c r="P239" s="7"/>
      <c r="Q239" s="8">
        <f>bdrate(C239:C242,D239:D242,J239:J242,K239:K242)</f>
        <v>-0.55648381291225646</v>
      </c>
      <c r="R239" s="8">
        <f>bdrate(C239:C242,E239:E242,J239:J242,L239:L242)</f>
        <v>-0.61252967692124161</v>
      </c>
      <c r="S239" s="8">
        <f>bdrate(C239:C242,F239:F242,J239:J242,M239:M242)</f>
        <v>-0.61347350275316814</v>
      </c>
      <c r="T239" s="25">
        <f>bdrate(C239:C242,H239:H242,J239:J242,O239:O242)</f>
        <v>-0.56980578501274559</v>
      </c>
      <c r="U239" s="28">
        <f t="shared" si="9"/>
        <v>3.1536040735221067</v>
      </c>
    </row>
    <row r="240" spans="2:21" x14ac:dyDescent="0.25">
      <c r="B240" s="9"/>
      <c r="C240" s="17">
        <v>1298.25</v>
      </c>
      <c r="D240" s="18">
        <v>40.106000000000002</v>
      </c>
      <c r="E240" s="18">
        <v>42.497</v>
      </c>
      <c r="F240" s="18">
        <v>42.725000000000001</v>
      </c>
      <c r="G240" s="18">
        <v>161.61000000000001</v>
      </c>
      <c r="H240" s="18">
        <f t="shared" si="10"/>
        <v>40.732250000000008</v>
      </c>
      <c r="I240" s="5"/>
      <c r="J240" s="17">
        <v>951.19150000000002</v>
      </c>
      <c r="K240" s="18">
        <v>43.749000000000002</v>
      </c>
      <c r="L240" s="18">
        <v>46.32</v>
      </c>
      <c r="M240" s="18">
        <v>46.555100000000003</v>
      </c>
      <c r="N240" s="18">
        <v>361.73630000000003</v>
      </c>
      <c r="O240" s="18">
        <f t="shared" si="11"/>
        <v>44.4211375</v>
      </c>
      <c r="P240" s="7"/>
      <c r="Q240" s="10"/>
      <c r="R240" s="11"/>
      <c r="S240" s="11"/>
      <c r="T240" s="26"/>
      <c r="U240" s="28">
        <f t="shared" si="9"/>
        <v>1.2383286925314028</v>
      </c>
    </row>
    <row r="241" spans="2:21" x14ac:dyDescent="0.25">
      <c r="B241" s="9"/>
      <c r="C241" s="17">
        <v>755.41</v>
      </c>
      <c r="D241" s="18">
        <v>37.735999999999997</v>
      </c>
      <c r="E241" s="18">
        <v>40.427999999999997</v>
      </c>
      <c r="F241" s="18">
        <v>40.692</v>
      </c>
      <c r="G241" s="18">
        <v>181.71</v>
      </c>
      <c r="H241" s="18">
        <f t="shared" si="10"/>
        <v>38.442</v>
      </c>
      <c r="I241" s="5"/>
      <c r="J241" s="17">
        <v>627.25530000000003</v>
      </c>
      <c r="K241" s="18">
        <v>40.990600000000001</v>
      </c>
      <c r="L241" s="18">
        <v>43.888800000000003</v>
      </c>
      <c r="M241" s="18">
        <v>44.127099999999999</v>
      </c>
      <c r="N241" s="18">
        <v>385.85210000000001</v>
      </c>
      <c r="O241" s="18">
        <f t="shared" si="11"/>
        <v>41.744937499999999</v>
      </c>
      <c r="P241" s="7"/>
      <c r="Q241" s="10"/>
      <c r="R241" s="11"/>
      <c r="S241" s="11"/>
      <c r="T241" s="26"/>
      <c r="U241" s="28">
        <f t="shared" si="9"/>
        <v>1.1234500027516372</v>
      </c>
    </row>
    <row r="242" spans="2:21" ht="16.5" thickBot="1" x14ac:dyDescent="0.3">
      <c r="B242" s="12"/>
      <c r="C242" s="19">
        <v>363.18</v>
      </c>
      <c r="D242" s="20">
        <v>34.506999999999998</v>
      </c>
      <c r="E242" s="20">
        <v>37.880000000000003</v>
      </c>
      <c r="F242" s="20">
        <v>38.207999999999998</v>
      </c>
      <c r="G242" s="20">
        <v>197.93</v>
      </c>
      <c r="H242" s="20">
        <f t="shared" si="10"/>
        <v>35.391249999999999</v>
      </c>
      <c r="I242" s="5"/>
      <c r="J242" s="19">
        <v>343.39679999999998</v>
      </c>
      <c r="K242" s="20">
        <v>36.985300000000002</v>
      </c>
      <c r="L242" s="20">
        <v>40.404600000000002</v>
      </c>
      <c r="M242" s="20">
        <v>40.662999999999997</v>
      </c>
      <c r="N242" s="20">
        <v>552.1472</v>
      </c>
      <c r="O242" s="20">
        <f t="shared" si="11"/>
        <v>37.872425000000007</v>
      </c>
      <c r="P242" s="7"/>
      <c r="Q242" s="13"/>
      <c r="R242" s="14"/>
      <c r="S242" s="14"/>
      <c r="T242" s="27"/>
      <c r="U242" s="28">
        <f t="shared" si="9"/>
        <v>1.7896084474309097</v>
      </c>
    </row>
    <row r="243" spans="2:21" x14ac:dyDescent="0.25">
      <c r="B243" s="6" t="s">
        <v>105</v>
      </c>
      <c r="C243" s="15">
        <v>1532.07</v>
      </c>
      <c r="D243" s="16">
        <v>31.146000000000001</v>
      </c>
      <c r="E243" s="16">
        <v>35.21</v>
      </c>
      <c r="F243" s="16">
        <v>34.131</v>
      </c>
      <c r="G243" s="16">
        <v>80.459999999999994</v>
      </c>
      <c r="H243" s="16">
        <f t="shared" si="10"/>
        <v>32.027124999999998</v>
      </c>
      <c r="I243" s="5"/>
      <c r="J243" s="29">
        <v>1510.1925000000001</v>
      </c>
      <c r="K243" s="30">
        <v>31.8276</v>
      </c>
      <c r="L243" s="30">
        <v>36.243600000000001</v>
      </c>
      <c r="M243" s="30">
        <v>35.136099999999999</v>
      </c>
      <c r="N243" s="16">
        <v>297.3732</v>
      </c>
      <c r="O243" s="16">
        <f t="shared" si="11"/>
        <v>32.793162500000001</v>
      </c>
      <c r="P243" s="7"/>
      <c r="Q243" s="8">
        <f>bdrate(C243:C246,D243:D246,J243:J246,K243:K246)</f>
        <v>-0.10727147452380537</v>
      </c>
      <c r="R243" s="8">
        <f>bdrate(C243:C246,E243:E246,J243:J246,L243:L246)</f>
        <v>-0.36389956123413902</v>
      </c>
      <c r="S243" s="8">
        <f>bdrate(C243:C246,F243:F246,J243:J246,M243:M246)</f>
        <v>-0.33535003820275988</v>
      </c>
      <c r="T243" s="25">
        <f>bdrate(C243:C246,H243:H246,J243:J246,O243:O246)</f>
        <v>-0.15751317264851739</v>
      </c>
      <c r="U243" s="28">
        <f t="shared" si="9"/>
        <v>2.6959134973900079</v>
      </c>
    </row>
    <row r="244" spans="2:21" x14ac:dyDescent="0.25">
      <c r="B244" s="9"/>
      <c r="C244" s="17">
        <v>1019.13</v>
      </c>
      <c r="D244" s="18">
        <v>29.492000000000001</v>
      </c>
      <c r="E244" s="18">
        <v>34.142000000000003</v>
      </c>
      <c r="F244" s="18">
        <v>33.011000000000003</v>
      </c>
      <c r="G244" s="18">
        <v>128.34</v>
      </c>
      <c r="H244" s="18">
        <f t="shared" si="10"/>
        <v>30.513124999999999</v>
      </c>
      <c r="I244" s="5"/>
      <c r="J244" s="31">
        <v>1005.1581</v>
      </c>
      <c r="K244" s="32">
        <v>29.984300000000001</v>
      </c>
      <c r="L244" s="32">
        <v>35.228200000000001</v>
      </c>
      <c r="M244" s="32">
        <v>34.055399999999999</v>
      </c>
      <c r="N244" s="18">
        <v>346.48700000000002</v>
      </c>
      <c r="O244" s="18">
        <f t="shared" si="11"/>
        <v>31.148675000000001</v>
      </c>
      <c r="P244" s="7"/>
      <c r="Q244" s="10"/>
      <c r="R244" s="11"/>
      <c r="S244" s="11"/>
      <c r="T244" s="26"/>
      <c r="U244" s="28">
        <f t="shared" si="9"/>
        <v>1.6997584541062802</v>
      </c>
    </row>
    <row r="245" spans="2:21" x14ac:dyDescent="0.25">
      <c r="B245" s="9"/>
      <c r="C245" s="17">
        <v>606.74</v>
      </c>
      <c r="D245" s="18">
        <v>27.518000000000001</v>
      </c>
      <c r="E245" s="18">
        <v>32.856999999999999</v>
      </c>
      <c r="F245" s="18">
        <v>31.619</v>
      </c>
      <c r="G245" s="18">
        <v>142.44999999999999</v>
      </c>
      <c r="H245" s="18">
        <f t="shared" si="10"/>
        <v>28.698</v>
      </c>
      <c r="I245" s="5"/>
      <c r="J245" s="31">
        <v>602.00009999999997</v>
      </c>
      <c r="K245" s="32">
        <v>27.848099999999999</v>
      </c>
      <c r="L245" s="32">
        <v>33.997999999999998</v>
      </c>
      <c r="M245" s="32">
        <v>32.7209</v>
      </c>
      <c r="N245" s="18">
        <v>418.11849999999998</v>
      </c>
      <c r="O245" s="18">
        <f t="shared" si="11"/>
        <v>29.225937499999997</v>
      </c>
      <c r="P245" s="7"/>
      <c r="Q245" s="10"/>
      <c r="R245" s="11"/>
      <c r="S245" s="11"/>
      <c r="T245" s="26"/>
      <c r="U245" s="28">
        <f t="shared" si="9"/>
        <v>1.9351948051948054</v>
      </c>
    </row>
    <row r="246" spans="2:21" ht="16.5" thickBot="1" x14ac:dyDescent="0.3">
      <c r="B246" s="12"/>
      <c r="C246" s="19">
        <v>300.39999999999998</v>
      </c>
      <c r="D246" s="20">
        <v>24.998000000000001</v>
      </c>
      <c r="E246" s="20">
        <v>30.875</v>
      </c>
      <c r="F246" s="20">
        <v>29.581</v>
      </c>
      <c r="G246" s="20">
        <v>162.51</v>
      </c>
      <c r="H246" s="20">
        <f t="shared" si="10"/>
        <v>26.305499999999999</v>
      </c>
      <c r="I246" s="5"/>
      <c r="J246" s="33">
        <v>302.60079999999999</v>
      </c>
      <c r="K246" s="34">
        <v>25.383299999999998</v>
      </c>
      <c r="L246" s="34">
        <v>32.163800000000002</v>
      </c>
      <c r="M246" s="34">
        <v>30.783000000000001</v>
      </c>
      <c r="N246" s="20">
        <v>529.41179999999997</v>
      </c>
      <c r="O246" s="20">
        <f t="shared" si="11"/>
        <v>26.905825</v>
      </c>
      <c r="P246" s="7"/>
      <c r="Q246" s="13"/>
      <c r="R246" s="14"/>
      <c r="S246" s="14"/>
      <c r="T246" s="27"/>
      <c r="U246" s="28">
        <f t="shared" si="9"/>
        <v>2.2577182942588148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-0.24709876937496428</v>
      </c>
      <c r="R247" s="21">
        <f>AVERAGE(R131:R246)</f>
        <v>-0.42223502037563321</v>
      </c>
      <c r="S247" s="21">
        <f>AVERAGE(S131:S246)</f>
        <v>-0.41200427171840309</v>
      </c>
      <c r="T247" s="21">
        <f>AVERAGE(T131:T246)</f>
        <v>-0.27976136907533916</v>
      </c>
      <c r="U247" s="21">
        <f>AVERAGE(U131:U246)</f>
        <v>1.9720322218814732</v>
      </c>
    </row>
  </sheetData>
  <mergeCells count="12">
    <mergeCell ref="B127:B128"/>
    <mergeCell ref="C127:U128"/>
    <mergeCell ref="C129:H129"/>
    <mergeCell ref="J129:O129"/>
    <mergeCell ref="Q129:S129"/>
    <mergeCell ref="U129:U130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719" priority="85" operator="greaterThan">
      <formula>0.03</formula>
    </cfRule>
    <cfRule type="cellIs" dxfId="718" priority="86" stopIfTrue="1" operator="lessThan">
      <formula>-0.03</formula>
    </cfRule>
  </conditionalFormatting>
  <conditionalFormatting sqref="Q33:T36">
    <cfRule type="cellIs" dxfId="717" priority="83" operator="greaterThan">
      <formula>0.03</formula>
    </cfRule>
    <cfRule type="cellIs" dxfId="716" priority="84" stopIfTrue="1" operator="lessThan">
      <formula>-0.03</formula>
    </cfRule>
  </conditionalFormatting>
  <conditionalFormatting sqref="Q46:T48 Q62:T64">
    <cfRule type="cellIs" dxfId="715" priority="81" operator="greaterThan">
      <formula>0.03</formula>
    </cfRule>
    <cfRule type="cellIs" dxfId="714" priority="82" stopIfTrue="1" operator="lessThan">
      <formula>-0.03</formula>
    </cfRule>
  </conditionalFormatting>
  <conditionalFormatting sqref="Q50:T52 Q54:T56 Q58:T60">
    <cfRule type="cellIs" dxfId="713" priority="79" operator="greaterThan">
      <formula>0.03</formula>
    </cfRule>
    <cfRule type="cellIs" dxfId="712" priority="80" stopIfTrue="1" operator="lessThan">
      <formula>-0.03</formula>
    </cfRule>
  </conditionalFormatting>
  <conditionalFormatting sqref="Q70:T72 Q74:T76">
    <cfRule type="cellIs" dxfId="711" priority="77" operator="greaterThan">
      <formula>0.03</formula>
    </cfRule>
    <cfRule type="cellIs" dxfId="710" priority="78" stopIfTrue="1" operator="lessThan">
      <formula>-0.03</formula>
    </cfRule>
  </conditionalFormatting>
  <conditionalFormatting sqref="Q66:T68">
    <cfRule type="cellIs" dxfId="709" priority="75" operator="greaterThan">
      <formula>0.03</formula>
    </cfRule>
    <cfRule type="cellIs" dxfId="708" priority="76" stopIfTrue="1" operator="lessThan">
      <formula>-0.03</formula>
    </cfRule>
  </conditionalFormatting>
  <conditionalFormatting sqref="Q78:T80">
    <cfRule type="cellIs" dxfId="707" priority="73" operator="greaterThan">
      <formula>0.03</formula>
    </cfRule>
    <cfRule type="cellIs" dxfId="706" priority="74" stopIfTrue="1" operator="lessThan">
      <formula>-0.03</formula>
    </cfRule>
  </conditionalFormatting>
  <conditionalFormatting sqref="Q21:T28">
    <cfRule type="cellIs" dxfId="705" priority="71" operator="greaterThan">
      <formula>0.03</formula>
    </cfRule>
    <cfRule type="cellIs" dxfId="704" priority="72" stopIfTrue="1" operator="lessThan">
      <formula>-0.03</formula>
    </cfRule>
  </conditionalFormatting>
  <conditionalFormatting sqref="Q151:T154 Q159:T166 Q131:T142">
    <cfRule type="cellIs" dxfId="703" priority="69" operator="greaterThan">
      <formula>0.03</formula>
    </cfRule>
    <cfRule type="cellIs" dxfId="702" priority="70" stopIfTrue="1" operator="lessThan">
      <formula>-0.03</formula>
    </cfRule>
  </conditionalFormatting>
  <conditionalFormatting sqref="Q155:T158">
    <cfRule type="cellIs" dxfId="701" priority="67" operator="greaterThan">
      <formula>0.03</formula>
    </cfRule>
    <cfRule type="cellIs" dxfId="700" priority="68" stopIfTrue="1" operator="lessThan">
      <formula>-0.03</formula>
    </cfRule>
  </conditionalFormatting>
  <conditionalFormatting sqref="Q167:T170 Q183:T186">
    <cfRule type="cellIs" dxfId="699" priority="65" operator="greaterThan">
      <formula>0.03</formula>
    </cfRule>
    <cfRule type="cellIs" dxfId="698" priority="66" stopIfTrue="1" operator="lessThan">
      <formula>-0.03</formula>
    </cfRule>
  </conditionalFormatting>
  <conditionalFormatting sqref="Q171:T182">
    <cfRule type="cellIs" dxfId="697" priority="63" operator="greaterThan">
      <formula>0.03</formula>
    </cfRule>
    <cfRule type="cellIs" dxfId="696" priority="64" stopIfTrue="1" operator="lessThan">
      <formula>-0.03</formula>
    </cfRule>
  </conditionalFormatting>
  <conditionalFormatting sqref="Q191:T198">
    <cfRule type="cellIs" dxfId="695" priority="61" operator="greaterThan">
      <formula>0.03</formula>
    </cfRule>
    <cfRule type="cellIs" dxfId="694" priority="62" stopIfTrue="1" operator="lessThan">
      <formula>-0.03</formula>
    </cfRule>
  </conditionalFormatting>
  <conditionalFormatting sqref="Q187:T190">
    <cfRule type="cellIs" dxfId="693" priority="59" operator="greaterThan">
      <formula>0.03</formula>
    </cfRule>
    <cfRule type="cellIs" dxfId="692" priority="60" stopIfTrue="1" operator="lessThan">
      <formula>-0.03</formula>
    </cfRule>
  </conditionalFormatting>
  <conditionalFormatting sqref="Q199:T202">
    <cfRule type="cellIs" dxfId="691" priority="57" operator="greaterThan">
      <formula>0.03</formula>
    </cfRule>
    <cfRule type="cellIs" dxfId="690" priority="58" stopIfTrue="1" operator="lessThan">
      <formula>-0.03</formula>
    </cfRule>
  </conditionalFormatting>
  <conditionalFormatting sqref="Q143:T150">
    <cfRule type="cellIs" dxfId="689" priority="55" operator="greaterThan">
      <formula>0.03</formula>
    </cfRule>
    <cfRule type="cellIs" dxfId="688" priority="56" stopIfTrue="1" operator="lessThan">
      <formula>-0.03</formula>
    </cfRule>
  </conditionalFormatting>
  <conditionalFormatting sqref="Q45:T45">
    <cfRule type="cellIs" dxfId="687" priority="53" operator="greaterThan">
      <formula>0.03</formula>
    </cfRule>
    <cfRule type="cellIs" dxfId="686" priority="54" stopIfTrue="1" operator="lessThan">
      <formula>-0.03</formula>
    </cfRule>
  </conditionalFormatting>
  <conditionalFormatting sqref="Q49:T49">
    <cfRule type="cellIs" dxfId="685" priority="51" operator="greaterThan">
      <formula>0.03</formula>
    </cfRule>
    <cfRule type="cellIs" dxfId="684" priority="52" stopIfTrue="1" operator="lessThan">
      <formula>-0.03</formula>
    </cfRule>
  </conditionalFormatting>
  <conditionalFormatting sqref="Q53:T53">
    <cfRule type="cellIs" dxfId="683" priority="49" operator="greaterThan">
      <formula>0.03</formula>
    </cfRule>
    <cfRule type="cellIs" dxfId="682" priority="50" stopIfTrue="1" operator="lessThan">
      <formula>-0.03</formula>
    </cfRule>
  </conditionalFormatting>
  <conditionalFormatting sqref="Q57:T57">
    <cfRule type="cellIs" dxfId="681" priority="47" operator="greaterThan">
      <formula>0.03</formula>
    </cfRule>
    <cfRule type="cellIs" dxfId="680" priority="48" stopIfTrue="1" operator="lessThan">
      <formula>-0.03</formula>
    </cfRule>
  </conditionalFormatting>
  <conditionalFormatting sqref="Q61:T61">
    <cfRule type="cellIs" dxfId="679" priority="45" operator="greaterThan">
      <formula>0.03</formula>
    </cfRule>
    <cfRule type="cellIs" dxfId="678" priority="46" stopIfTrue="1" operator="lessThan">
      <formula>-0.03</formula>
    </cfRule>
  </conditionalFormatting>
  <conditionalFormatting sqref="Q65:T65">
    <cfRule type="cellIs" dxfId="677" priority="43" operator="greaterThan">
      <formula>0.03</formula>
    </cfRule>
    <cfRule type="cellIs" dxfId="676" priority="44" stopIfTrue="1" operator="lessThan">
      <formula>-0.03</formula>
    </cfRule>
  </conditionalFormatting>
  <conditionalFormatting sqref="Q69:T69">
    <cfRule type="cellIs" dxfId="675" priority="41" operator="greaterThan">
      <formula>0.03</formula>
    </cfRule>
    <cfRule type="cellIs" dxfId="674" priority="42" stopIfTrue="1" operator="lessThan">
      <formula>-0.03</formula>
    </cfRule>
  </conditionalFormatting>
  <conditionalFormatting sqref="Q73:T73">
    <cfRule type="cellIs" dxfId="673" priority="39" operator="greaterThan">
      <formula>0.03</formula>
    </cfRule>
    <cfRule type="cellIs" dxfId="672" priority="40" stopIfTrue="1" operator="lessThan">
      <formula>-0.03</formula>
    </cfRule>
  </conditionalFormatting>
  <conditionalFormatting sqref="Q77:T77">
    <cfRule type="cellIs" dxfId="671" priority="37" operator="greaterThan">
      <formula>0.03</formula>
    </cfRule>
    <cfRule type="cellIs" dxfId="670" priority="38" stopIfTrue="1" operator="lessThan">
      <formula>-0.03</formula>
    </cfRule>
  </conditionalFormatting>
  <conditionalFormatting sqref="Q117:T117">
    <cfRule type="cellIs" dxfId="669" priority="21" operator="greaterThan">
      <formula>0.03</formula>
    </cfRule>
    <cfRule type="cellIs" dxfId="668" priority="22" stopIfTrue="1" operator="lessThan">
      <formula>-0.03</formula>
    </cfRule>
  </conditionalFormatting>
  <conditionalFormatting sqref="Q93:T96 Q101:T108 Q81:T84">
    <cfRule type="cellIs" dxfId="667" priority="35" operator="greaterThan">
      <formula>0.03</formula>
    </cfRule>
    <cfRule type="cellIs" dxfId="666" priority="36" stopIfTrue="1" operator="lessThan">
      <formula>-0.03</formula>
    </cfRule>
  </conditionalFormatting>
  <conditionalFormatting sqref="Q97:T100">
    <cfRule type="cellIs" dxfId="665" priority="33" operator="greaterThan">
      <formula>0.03</formula>
    </cfRule>
    <cfRule type="cellIs" dxfId="664" priority="34" stopIfTrue="1" operator="lessThan">
      <formula>-0.03</formula>
    </cfRule>
  </conditionalFormatting>
  <conditionalFormatting sqref="Q110:T112 Q122:T124">
    <cfRule type="cellIs" dxfId="663" priority="31" operator="greaterThan">
      <formula>0.03</formula>
    </cfRule>
    <cfRule type="cellIs" dxfId="662" priority="32" stopIfTrue="1" operator="lessThan">
      <formula>-0.03</formula>
    </cfRule>
  </conditionalFormatting>
  <conditionalFormatting sqref="Q114:T116 Q118:T120">
    <cfRule type="cellIs" dxfId="661" priority="29" operator="greaterThan">
      <formula>0.03</formula>
    </cfRule>
    <cfRule type="cellIs" dxfId="660" priority="30" stopIfTrue="1" operator="lessThan">
      <formula>-0.03</formula>
    </cfRule>
  </conditionalFormatting>
  <conditionalFormatting sqref="Q85:T92">
    <cfRule type="cellIs" dxfId="659" priority="27" operator="greaterThan">
      <formula>0.03</formula>
    </cfRule>
    <cfRule type="cellIs" dxfId="658" priority="28" stopIfTrue="1" operator="lessThan">
      <formula>-0.03</formula>
    </cfRule>
  </conditionalFormatting>
  <conditionalFormatting sqref="Q109:T109">
    <cfRule type="cellIs" dxfId="657" priority="25" operator="greaterThan">
      <formula>0.03</formula>
    </cfRule>
    <cfRule type="cellIs" dxfId="656" priority="26" stopIfTrue="1" operator="lessThan">
      <formula>-0.03</formula>
    </cfRule>
  </conditionalFormatting>
  <conditionalFormatting sqref="Q113:T113">
    <cfRule type="cellIs" dxfId="655" priority="23" operator="greaterThan">
      <formula>0.03</formula>
    </cfRule>
    <cfRule type="cellIs" dxfId="654" priority="24" stopIfTrue="1" operator="lessThan">
      <formula>-0.03</formula>
    </cfRule>
  </conditionalFormatting>
  <conditionalFormatting sqref="Q121:T121">
    <cfRule type="cellIs" dxfId="653" priority="19" operator="greaterThan">
      <formula>0.03</formula>
    </cfRule>
    <cfRule type="cellIs" dxfId="652" priority="20" stopIfTrue="1" operator="lessThan">
      <formula>-0.03</formula>
    </cfRule>
  </conditionalFormatting>
  <conditionalFormatting sqref="Q239:T239">
    <cfRule type="cellIs" dxfId="651" priority="3" operator="greaterThan">
      <formula>0.03</formula>
    </cfRule>
    <cfRule type="cellIs" dxfId="650" priority="4" stopIfTrue="1" operator="lessThan">
      <formula>-0.03</formula>
    </cfRule>
  </conditionalFormatting>
  <conditionalFormatting sqref="Q215:T218 Q223:T230 Q203:T206">
    <cfRule type="cellIs" dxfId="649" priority="17" operator="greaterThan">
      <formula>0.03</formula>
    </cfRule>
    <cfRule type="cellIs" dxfId="648" priority="18" stopIfTrue="1" operator="lessThan">
      <formula>-0.03</formula>
    </cfRule>
  </conditionalFormatting>
  <conditionalFormatting sqref="Q219:T222">
    <cfRule type="cellIs" dxfId="647" priority="15" operator="greaterThan">
      <formula>0.03</formula>
    </cfRule>
    <cfRule type="cellIs" dxfId="646" priority="16" stopIfTrue="1" operator="lessThan">
      <formula>-0.03</formula>
    </cfRule>
  </conditionalFormatting>
  <conditionalFormatting sqref="Q232:T234 Q244:T246">
    <cfRule type="cellIs" dxfId="645" priority="13" operator="greaterThan">
      <formula>0.03</formula>
    </cfRule>
    <cfRule type="cellIs" dxfId="644" priority="14" stopIfTrue="1" operator="lessThan">
      <formula>-0.03</formula>
    </cfRule>
  </conditionalFormatting>
  <conditionalFormatting sqref="Q236:T238 Q240:T242">
    <cfRule type="cellIs" dxfId="643" priority="11" operator="greaterThan">
      <formula>0.03</formula>
    </cfRule>
    <cfRule type="cellIs" dxfId="642" priority="12" stopIfTrue="1" operator="lessThan">
      <formula>-0.03</formula>
    </cfRule>
  </conditionalFormatting>
  <conditionalFormatting sqref="Q207:T214">
    <cfRule type="cellIs" dxfId="641" priority="9" operator="greaterThan">
      <formula>0.03</formula>
    </cfRule>
    <cfRule type="cellIs" dxfId="640" priority="10" stopIfTrue="1" operator="lessThan">
      <formula>-0.03</formula>
    </cfRule>
  </conditionalFormatting>
  <conditionalFormatting sqref="Q231:T231">
    <cfRule type="cellIs" dxfId="639" priority="7" operator="greaterThan">
      <formula>0.03</formula>
    </cfRule>
    <cfRule type="cellIs" dxfId="638" priority="8" stopIfTrue="1" operator="lessThan">
      <formula>-0.03</formula>
    </cfRule>
  </conditionalFormatting>
  <conditionalFormatting sqref="Q235:T235">
    <cfRule type="cellIs" dxfId="637" priority="5" operator="greaterThan">
      <formula>0.03</formula>
    </cfRule>
    <cfRule type="cellIs" dxfId="636" priority="6" stopIfTrue="1" operator="lessThan">
      <formula>-0.03</formula>
    </cfRule>
  </conditionalFormatting>
  <conditionalFormatting sqref="Q243:T243">
    <cfRule type="cellIs" dxfId="635" priority="1" operator="greaterThan">
      <formula>0.03</formula>
    </cfRule>
    <cfRule type="cellIs" dxfId="634" priority="2" stopIfTrue="1" operator="lessThan">
      <formula>-0.03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166</v>
      </c>
    </row>
    <row r="2" spans="1:21" x14ac:dyDescent="0.25">
      <c r="A2" t="s">
        <v>82</v>
      </c>
    </row>
    <row r="3" spans="1:21" x14ac:dyDescent="0.25">
      <c r="A3" t="s">
        <v>85</v>
      </c>
    </row>
    <row r="4" spans="1:21" x14ac:dyDescent="0.25">
      <c r="A4" t="s">
        <v>83</v>
      </c>
    </row>
    <row r="5" spans="1:21" s="35" customFormat="1" ht="15.75" customHeight="1" x14ac:dyDescent="0.25">
      <c r="B5" s="61" t="s">
        <v>29</v>
      </c>
      <c r="C5" s="63" t="s">
        <v>197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66</v>
      </c>
      <c r="D7" s="70"/>
      <c r="E7" s="70"/>
      <c r="F7" s="70"/>
      <c r="G7" s="70"/>
      <c r="H7" s="70"/>
      <c r="I7" s="5"/>
      <c r="J7" s="69" t="s">
        <v>179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3857.66</v>
      </c>
      <c r="D9" s="16">
        <v>36.154000000000003</v>
      </c>
      <c r="E9" s="16">
        <v>38.130000000000003</v>
      </c>
      <c r="F9" s="16">
        <v>40.404000000000003</v>
      </c>
      <c r="G9" s="16">
        <v>11.61</v>
      </c>
      <c r="H9" s="16">
        <f t="shared" ref="H9:H80" si="0">(6*D9+E9+F9)/8</f>
        <v>36.932250000000003</v>
      </c>
      <c r="I9" s="5"/>
      <c r="J9" s="15">
        <v>4022.6143999999999</v>
      </c>
      <c r="K9" s="16">
        <v>37.903100000000002</v>
      </c>
      <c r="L9" s="16">
        <v>39.505899999999997</v>
      </c>
      <c r="M9" s="16">
        <v>41.9831</v>
      </c>
      <c r="N9" s="16">
        <v>17.674099999999999</v>
      </c>
      <c r="O9" s="16">
        <f t="shared" ref="O9:O80" si="1">(6*K9+L9+M9)/8</f>
        <v>38.61345</v>
      </c>
      <c r="P9" s="7"/>
      <c r="Q9" s="8">
        <f>bdrate(C9:C12,D9:D12,J9:J12,K9:K12)</f>
        <v>-0.29785527691592573</v>
      </c>
      <c r="R9" s="8">
        <f>bdrate(C9:C12,E9:E12,J9:J12,L9:L12)</f>
        <v>-0.49526441602205939</v>
      </c>
      <c r="S9" s="8">
        <f>bdrate(C9:C12,F9:F12,J9:J12,M9:M12)</f>
        <v>-0.47744737850800101</v>
      </c>
      <c r="T9" s="25">
        <f>bdrate(C9:C12,H9:H12,J9:J12,O9:O12)</f>
        <v>-0.32441191727688057</v>
      </c>
      <c r="U9" s="28">
        <f t="shared" ref="U9:U72" si="2">(N9-G9)/G9</f>
        <v>0.52231696813092165</v>
      </c>
    </row>
    <row r="10" spans="1:21" x14ac:dyDescent="0.25">
      <c r="A10" s="9" t="s">
        <v>36</v>
      </c>
      <c r="B10" s="9"/>
      <c r="C10" s="17">
        <v>2859.39</v>
      </c>
      <c r="D10" s="18">
        <v>35.261000000000003</v>
      </c>
      <c r="E10" s="18">
        <v>37.652999999999999</v>
      </c>
      <c r="F10" s="18">
        <v>39.957999999999998</v>
      </c>
      <c r="G10" s="18">
        <v>13.05</v>
      </c>
      <c r="H10" s="18">
        <f t="shared" si="0"/>
        <v>36.147125000000003</v>
      </c>
      <c r="I10" s="5"/>
      <c r="J10" s="17">
        <v>2943.9839999999999</v>
      </c>
      <c r="K10" s="18">
        <v>36.929400000000001</v>
      </c>
      <c r="L10" s="18">
        <v>38.935499999999998</v>
      </c>
      <c r="M10" s="18">
        <v>41.287199999999999</v>
      </c>
      <c r="N10" s="18">
        <v>19.7837</v>
      </c>
      <c r="O10" s="18">
        <f t="shared" si="1"/>
        <v>37.724887500000001</v>
      </c>
      <c r="P10" s="7"/>
      <c r="Q10" s="10"/>
      <c r="R10" s="11"/>
      <c r="S10" s="11"/>
      <c r="T10" s="26"/>
      <c r="U10" s="28">
        <f t="shared" si="2"/>
        <v>0.51599233716475079</v>
      </c>
    </row>
    <row r="11" spans="1:21" x14ac:dyDescent="0.25">
      <c r="B11" s="9"/>
      <c r="C11" s="17">
        <v>1882.88</v>
      </c>
      <c r="D11" s="18">
        <v>34.024000000000001</v>
      </c>
      <c r="E11" s="18">
        <v>37.143000000000001</v>
      </c>
      <c r="F11" s="18">
        <v>39.444000000000003</v>
      </c>
      <c r="G11" s="18">
        <v>14.79</v>
      </c>
      <c r="H11" s="18">
        <f t="shared" si="0"/>
        <v>35.091374999999999</v>
      </c>
      <c r="I11" s="5"/>
      <c r="J11" s="17">
        <v>1941.8112000000001</v>
      </c>
      <c r="K11" s="18">
        <v>35.381900000000002</v>
      </c>
      <c r="L11" s="18">
        <v>38.250799999999998</v>
      </c>
      <c r="M11" s="18">
        <v>40.5593</v>
      </c>
      <c r="N11" s="18">
        <v>23.227</v>
      </c>
      <c r="O11" s="18">
        <f t="shared" si="1"/>
        <v>36.387687499999998</v>
      </c>
      <c r="P11" s="7"/>
      <c r="Q11" s="10"/>
      <c r="R11" s="11"/>
      <c r="S11" s="11"/>
      <c r="T11" s="26"/>
      <c r="U11" s="28">
        <f t="shared" si="2"/>
        <v>0.57045300878972294</v>
      </c>
    </row>
    <row r="12" spans="1:21" ht="16.5" thickBot="1" x14ac:dyDescent="0.3">
      <c r="B12" s="12"/>
      <c r="C12" s="19">
        <v>886.87</v>
      </c>
      <c r="D12" s="20">
        <v>31.638000000000002</v>
      </c>
      <c r="E12" s="20">
        <v>36.494</v>
      </c>
      <c r="F12" s="20">
        <v>38.743000000000002</v>
      </c>
      <c r="G12" s="20">
        <v>17.91</v>
      </c>
      <c r="H12" s="20">
        <f t="shared" si="0"/>
        <v>33.133125</v>
      </c>
      <c r="I12" s="5"/>
      <c r="J12" s="19">
        <v>924.39840000000004</v>
      </c>
      <c r="K12" s="20">
        <v>32.535400000000003</v>
      </c>
      <c r="L12" s="20">
        <v>36.930999999999997</v>
      </c>
      <c r="M12" s="20">
        <v>39.154299999999999</v>
      </c>
      <c r="N12" s="20">
        <v>29.492699999999999</v>
      </c>
      <c r="O12" s="20">
        <f t="shared" si="1"/>
        <v>33.912212499999995</v>
      </c>
      <c r="P12" s="7"/>
      <c r="Q12" s="13"/>
      <c r="R12" s="14"/>
      <c r="S12" s="14"/>
      <c r="T12" s="27"/>
      <c r="U12" s="28">
        <f t="shared" si="2"/>
        <v>0.64671691792294805</v>
      </c>
    </row>
    <row r="13" spans="1:21" x14ac:dyDescent="0.25">
      <c r="B13" s="6" t="s">
        <v>47</v>
      </c>
      <c r="C13" s="15">
        <v>4091.06</v>
      </c>
      <c r="D13" s="16">
        <v>28.952000000000002</v>
      </c>
      <c r="E13" s="16">
        <v>38.279000000000003</v>
      </c>
      <c r="F13" s="16">
        <v>39.305</v>
      </c>
      <c r="G13" s="16">
        <v>8.11</v>
      </c>
      <c r="H13" s="16">
        <f t="shared" si="0"/>
        <v>31.412000000000003</v>
      </c>
      <c r="I13" s="5"/>
      <c r="J13" s="15">
        <v>4056.4688000000001</v>
      </c>
      <c r="K13" s="16">
        <v>29.521999999999998</v>
      </c>
      <c r="L13" s="16">
        <v>39.341099999999997</v>
      </c>
      <c r="M13" s="16">
        <v>40.2699</v>
      </c>
      <c r="N13" s="16">
        <v>12.126099999999999</v>
      </c>
      <c r="O13" s="16">
        <f t="shared" si="1"/>
        <v>32.092874999999999</v>
      </c>
      <c r="P13" s="7"/>
      <c r="Q13" s="8">
        <f>bdrate(C13:C16,D13:D16,J13:J16,K13:K16)</f>
        <v>-9.1674091046168193E-2</v>
      </c>
      <c r="R13" s="8">
        <f>bdrate(C13:C16,E13:E16,J13:J16,L13:L16)</f>
        <v>-0.44752924602817423</v>
      </c>
      <c r="S13" s="8">
        <f>bdrate(C13:C16,F13:F16,J13:J16,M13:M16)</f>
        <v>-0.46845368649933428</v>
      </c>
      <c r="T13" s="25">
        <f>bdrate(C13:C16,H13:H16,J13:J16,O13:O16)</f>
        <v>-0.1546835953798843</v>
      </c>
      <c r="U13" s="28">
        <f t="shared" si="2"/>
        <v>0.49520345252774356</v>
      </c>
    </row>
    <row r="14" spans="1:21" x14ac:dyDescent="0.25">
      <c r="B14" s="9"/>
      <c r="C14" s="17">
        <v>3041.3</v>
      </c>
      <c r="D14" s="18">
        <v>27.774000000000001</v>
      </c>
      <c r="E14" s="18">
        <v>37.781999999999996</v>
      </c>
      <c r="F14" s="18">
        <v>38.831000000000003</v>
      </c>
      <c r="G14" s="18">
        <v>9.08</v>
      </c>
      <c r="H14" s="18">
        <f t="shared" si="0"/>
        <v>30.407125000000001</v>
      </c>
      <c r="I14" s="5"/>
      <c r="J14" s="17">
        <v>3049.3744000000002</v>
      </c>
      <c r="K14" s="18">
        <v>28.228300000000001</v>
      </c>
      <c r="L14" s="18">
        <v>38.856200000000001</v>
      </c>
      <c r="M14" s="18">
        <v>39.847900000000003</v>
      </c>
      <c r="N14" s="18">
        <v>14.724600000000001</v>
      </c>
      <c r="O14" s="18">
        <f t="shared" si="1"/>
        <v>31.009237500000001</v>
      </c>
      <c r="P14" s="7"/>
      <c r="Q14" s="10"/>
      <c r="R14" s="11"/>
      <c r="S14" s="11"/>
      <c r="T14" s="26"/>
      <c r="U14" s="28">
        <f t="shared" si="2"/>
        <v>0.62165198237885466</v>
      </c>
    </row>
    <row r="15" spans="1:21" x14ac:dyDescent="0.25">
      <c r="B15" s="9"/>
      <c r="C15" s="17">
        <v>2013.28</v>
      </c>
      <c r="D15" s="18">
        <v>26.129000000000001</v>
      </c>
      <c r="E15" s="18">
        <v>36.71</v>
      </c>
      <c r="F15" s="18">
        <v>37.887999999999998</v>
      </c>
      <c r="G15" s="18">
        <v>10.8</v>
      </c>
      <c r="H15" s="18">
        <f t="shared" si="0"/>
        <v>28.921500000000002</v>
      </c>
      <c r="I15" s="5"/>
      <c r="J15" s="17">
        <v>2013.3504</v>
      </c>
      <c r="K15" s="18">
        <v>26.4132</v>
      </c>
      <c r="L15" s="18">
        <v>38.150799999999997</v>
      </c>
      <c r="M15" s="18">
        <v>39.242899999999999</v>
      </c>
      <c r="N15" s="18">
        <v>18.454699999999999</v>
      </c>
      <c r="O15" s="18">
        <f t="shared" si="1"/>
        <v>29.484112499999998</v>
      </c>
      <c r="P15" s="7"/>
      <c r="Q15" s="10"/>
      <c r="R15" s="11"/>
      <c r="S15" s="11"/>
      <c r="T15" s="26"/>
      <c r="U15" s="28">
        <f t="shared" si="2"/>
        <v>0.7087685185185183</v>
      </c>
    </row>
    <row r="16" spans="1:21" ht="16.5" thickBot="1" x14ac:dyDescent="0.3">
      <c r="B16" s="12"/>
      <c r="C16" s="19">
        <v>1023.1</v>
      </c>
      <c r="D16" s="20">
        <v>23.209</v>
      </c>
      <c r="E16" s="20">
        <v>35.368000000000002</v>
      </c>
      <c r="F16" s="20">
        <v>36.598999999999997</v>
      </c>
      <c r="G16" s="20">
        <v>13.89</v>
      </c>
      <c r="H16" s="20">
        <f t="shared" si="0"/>
        <v>26.402624999999997</v>
      </c>
      <c r="I16" s="5"/>
      <c r="J16" s="19">
        <v>1104.9680000000001</v>
      </c>
      <c r="K16" s="20">
        <v>24.195599999999999</v>
      </c>
      <c r="L16" s="20">
        <v>36.599800000000002</v>
      </c>
      <c r="M16" s="20">
        <v>37.86</v>
      </c>
      <c r="N16" s="20">
        <v>23.977</v>
      </c>
      <c r="O16" s="20">
        <f t="shared" si="1"/>
        <v>27.454174999999999</v>
      </c>
      <c r="P16" s="7"/>
      <c r="Q16" s="13"/>
      <c r="R16" s="14"/>
      <c r="S16" s="14"/>
      <c r="T16" s="27"/>
      <c r="U16" s="28">
        <f t="shared" si="2"/>
        <v>0.72620590352771774</v>
      </c>
    </row>
    <row r="17" spans="1:21" x14ac:dyDescent="0.25">
      <c r="A17" s="6" t="s">
        <v>37</v>
      </c>
      <c r="B17" s="6" t="s">
        <v>48</v>
      </c>
      <c r="C17" s="15">
        <v>2020.19</v>
      </c>
      <c r="D17" s="16">
        <v>38.427</v>
      </c>
      <c r="E17" s="16">
        <v>41.067</v>
      </c>
      <c r="F17" s="16">
        <v>42.21</v>
      </c>
      <c r="G17" s="16">
        <v>15.98</v>
      </c>
      <c r="H17" s="16">
        <f t="shared" si="0"/>
        <v>39.229875</v>
      </c>
      <c r="I17" s="5"/>
      <c r="J17" s="15">
        <v>2379.4816000000001</v>
      </c>
      <c r="K17" s="16">
        <v>39.094499999999996</v>
      </c>
      <c r="L17" s="16">
        <v>41.933799999999998</v>
      </c>
      <c r="M17" s="16">
        <v>43.271299999999997</v>
      </c>
      <c r="N17" s="16">
        <v>34.261200000000002</v>
      </c>
      <c r="O17" s="16">
        <f t="shared" si="1"/>
        <v>39.971512499999996</v>
      </c>
      <c r="P17" s="7"/>
      <c r="Q17" s="8">
        <f>bdrate(C17:C20,D17:D20,J17:J20,K17:K20)</f>
        <v>-6.2339975367596612E-2</v>
      </c>
      <c r="R17" s="8">
        <f>bdrate(C17:C20,E17:E20,J17:J20,L17:L20)</f>
        <v>-0.35569262884536734</v>
      </c>
      <c r="S17" s="8">
        <f>bdrate(C17:C20,F17:F20,J17:J20,M17:M20)</f>
        <v>-0.37716452190289773</v>
      </c>
      <c r="T17" s="25">
        <f>bdrate(C17:C20,H17:H20,J17:J20,O17:O20)</f>
        <v>-0.11304445407046193</v>
      </c>
      <c r="U17" s="28">
        <f t="shared" si="2"/>
        <v>1.1440050062578224</v>
      </c>
    </row>
    <row r="18" spans="1:21" x14ac:dyDescent="0.25">
      <c r="A18" s="9" t="s">
        <v>38</v>
      </c>
      <c r="B18" s="9"/>
      <c r="C18" s="17">
        <v>1320.52</v>
      </c>
      <c r="D18" s="18">
        <v>37.113</v>
      </c>
      <c r="E18" s="18">
        <v>40.229999999999997</v>
      </c>
      <c r="F18" s="18">
        <v>41.363999999999997</v>
      </c>
      <c r="G18" s="18">
        <v>18.760000000000002</v>
      </c>
      <c r="H18" s="18">
        <f t="shared" si="0"/>
        <v>38.033999999999999</v>
      </c>
      <c r="I18" s="5"/>
      <c r="J18" s="17">
        <v>1572.1016</v>
      </c>
      <c r="K18" s="18">
        <v>37.856200000000001</v>
      </c>
      <c r="L18" s="18">
        <v>41.245899999999999</v>
      </c>
      <c r="M18" s="18">
        <v>42.485599999999998</v>
      </c>
      <c r="N18" s="18">
        <v>38.369300000000003</v>
      </c>
      <c r="O18" s="18">
        <f t="shared" si="1"/>
        <v>38.858587499999999</v>
      </c>
      <c r="P18" s="7"/>
      <c r="Q18" s="10"/>
      <c r="R18" s="11"/>
      <c r="S18" s="11"/>
      <c r="T18" s="26"/>
      <c r="U18" s="28">
        <f t="shared" si="2"/>
        <v>1.045271855010661</v>
      </c>
    </row>
    <row r="19" spans="1:21" x14ac:dyDescent="0.25">
      <c r="B19" s="9"/>
      <c r="C19" s="17">
        <v>807.94</v>
      </c>
      <c r="D19" s="18">
        <v>35.459000000000003</v>
      </c>
      <c r="E19" s="18">
        <v>39.409999999999997</v>
      </c>
      <c r="F19" s="18">
        <v>40.652999999999999</v>
      </c>
      <c r="G19" s="18">
        <v>22.36</v>
      </c>
      <c r="H19" s="18">
        <f t="shared" si="0"/>
        <v>36.602125000000001</v>
      </c>
      <c r="I19" s="5"/>
      <c r="J19" s="17">
        <v>965.09839999999997</v>
      </c>
      <c r="K19" s="18">
        <v>36.272399999999998</v>
      </c>
      <c r="L19" s="18">
        <v>40.4358</v>
      </c>
      <c r="M19" s="18">
        <v>41.624699999999997</v>
      </c>
      <c r="N19" s="18">
        <v>45.1128</v>
      </c>
      <c r="O19" s="18">
        <f t="shared" si="1"/>
        <v>37.461862500000002</v>
      </c>
      <c r="P19" s="7"/>
      <c r="Q19" s="10"/>
      <c r="R19" s="11"/>
      <c r="S19" s="11"/>
      <c r="T19" s="26"/>
      <c r="U19" s="28">
        <f t="shared" si="2"/>
        <v>1.0175670840787121</v>
      </c>
    </row>
    <row r="20" spans="1:21" ht="16.5" thickBot="1" x14ac:dyDescent="0.3">
      <c r="B20" s="12"/>
      <c r="C20" s="19">
        <v>480.24</v>
      </c>
      <c r="D20" s="20">
        <v>33.645000000000003</v>
      </c>
      <c r="E20" s="20">
        <v>38.622999999999998</v>
      </c>
      <c r="F20" s="20">
        <v>40.037999999999997</v>
      </c>
      <c r="G20" s="20">
        <v>25.94</v>
      </c>
      <c r="H20" s="20">
        <f t="shared" si="0"/>
        <v>35.066375000000001</v>
      </c>
      <c r="I20" s="5"/>
      <c r="J20" s="19">
        <v>558.00319999999999</v>
      </c>
      <c r="K20" s="20">
        <v>34.451000000000001</v>
      </c>
      <c r="L20" s="20">
        <v>39.686399999999999</v>
      </c>
      <c r="M20" s="20">
        <v>40.898699999999998</v>
      </c>
      <c r="N20" s="20">
        <v>54.545499999999997</v>
      </c>
      <c r="O20" s="20">
        <f t="shared" si="1"/>
        <v>35.911387500000004</v>
      </c>
      <c r="P20" s="7"/>
      <c r="Q20" s="13"/>
      <c r="R20" s="14"/>
      <c r="S20" s="14"/>
      <c r="T20" s="27"/>
      <c r="U20" s="28">
        <f t="shared" si="2"/>
        <v>1.1027563608326907</v>
      </c>
    </row>
    <row r="21" spans="1:21" x14ac:dyDescent="0.25">
      <c r="B21" s="6" t="s">
        <v>49</v>
      </c>
      <c r="C21" s="15">
        <v>2295.88</v>
      </c>
      <c r="D21" s="16">
        <v>34.701999999999998</v>
      </c>
      <c r="E21" s="16">
        <v>38.478999999999999</v>
      </c>
      <c r="F21" s="16">
        <v>39.643999999999998</v>
      </c>
      <c r="G21" s="16">
        <v>19.649999999999999</v>
      </c>
      <c r="H21" s="16">
        <f t="shared" si="0"/>
        <v>35.791874999999997</v>
      </c>
      <c r="I21" s="5"/>
      <c r="J21" s="15">
        <v>2477.4872</v>
      </c>
      <c r="K21" s="16">
        <v>36.015999999999998</v>
      </c>
      <c r="L21" s="16">
        <v>39.965400000000002</v>
      </c>
      <c r="M21" s="16">
        <v>41.177399999999999</v>
      </c>
      <c r="N21" s="16">
        <v>31.08</v>
      </c>
      <c r="O21" s="16">
        <f t="shared" si="1"/>
        <v>37.154849999999996</v>
      </c>
      <c r="P21" s="7"/>
      <c r="Q21" s="8">
        <f>bdrate(C21:C24,D21:D24,J21:J24,K21:K24)</f>
        <v>-0.25398840730878225</v>
      </c>
      <c r="R21" s="8">
        <f>bdrate(C21:C24,E21:E24,J21:J24,L21:L24)</f>
        <v>-0.50235383087254726</v>
      </c>
      <c r="S21" s="8">
        <f>bdrate(C21:C24,F21:F24,J21:J24,M21:M24)</f>
        <v>-0.52301064956400667</v>
      </c>
      <c r="T21" s="25">
        <f>bdrate(C21:C24,H21:H24,J21:J24,O21:O24)</f>
        <v>-0.29978458900781291</v>
      </c>
      <c r="U21" s="28">
        <f t="shared" si="2"/>
        <v>0.58167938931297714</v>
      </c>
    </row>
    <row r="22" spans="1:21" x14ac:dyDescent="0.25">
      <c r="B22" s="9"/>
      <c r="C22" s="17">
        <v>1522.38</v>
      </c>
      <c r="D22" s="18">
        <v>33.531999999999996</v>
      </c>
      <c r="E22" s="18">
        <v>37.683</v>
      </c>
      <c r="F22" s="18">
        <v>39.064999999999998</v>
      </c>
      <c r="G22" s="18">
        <v>22.93</v>
      </c>
      <c r="H22" s="18">
        <f t="shared" si="0"/>
        <v>34.742499999999993</v>
      </c>
      <c r="I22" s="5"/>
      <c r="J22" s="17">
        <v>1634.6967999999999</v>
      </c>
      <c r="K22" s="18">
        <v>34.734900000000003</v>
      </c>
      <c r="L22" s="18">
        <v>39.170400000000001</v>
      </c>
      <c r="M22" s="18">
        <v>40.383800000000001</v>
      </c>
      <c r="N22" s="18">
        <v>36.985700000000001</v>
      </c>
      <c r="O22" s="18">
        <f t="shared" si="1"/>
        <v>35.995449999999998</v>
      </c>
      <c r="P22" s="7"/>
      <c r="Q22" s="10"/>
      <c r="R22" s="11"/>
      <c r="S22" s="11"/>
      <c r="T22" s="26"/>
      <c r="U22" s="28">
        <f t="shared" si="2"/>
        <v>0.61298299171391202</v>
      </c>
    </row>
    <row r="23" spans="1:21" x14ac:dyDescent="0.25">
      <c r="B23" s="9"/>
      <c r="C23" s="17">
        <v>950.08</v>
      </c>
      <c r="D23" s="18">
        <v>32.231000000000002</v>
      </c>
      <c r="E23" s="18">
        <v>36.929000000000002</v>
      </c>
      <c r="F23" s="18">
        <v>38.554000000000002</v>
      </c>
      <c r="G23" s="18">
        <v>26.12</v>
      </c>
      <c r="H23" s="18">
        <f t="shared" si="0"/>
        <v>33.608625000000004</v>
      </c>
      <c r="I23" s="5"/>
      <c r="J23" s="17">
        <v>1021.0544</v>
      </c>
      <c r="K23" s="18">
        <v>33.238</v>
      </c>
      <c r="L23" s="18">
        <v>38.230200000000004</v>
      </c>
      <c r="M23" s="18">
        <v>39.545200000000001</v>
      </c>
      <c r="N23" s="18">
        <v>44.460900000000002</v>
      </c>
      <c r="O23" s="18">
        <f t="shared" si="1"/>
        <v>34.650424999999998</v>
      </c>
      <c r="P23" s="7"/>
      <c r="Q23" s="10"/>
      <c r="R23" s="11"/>
      <c r="S23" s="11"/>
      <c r="T23" s="26"/>
      <c r="U23" s="28">
        <f t="shared" si="2"/>
        <v>0.70217840735068915</v>
      </c>
    </row>
    <row r="24" spans="1:21" ht="16.5" thickBot="1" x14ac:dyDescent="0.3">
      <c r="B24" s="12"/>
      <c r="C24" s="19">
        <v>564.26</v>
      </c>
      <c r="D24" s="20">
        <v>30.81</v>
      </c>
      <c r="E24" s="20">
        <v>36.201999999999998</v>
      </c>
      <c r="F24" s="20">
        <v>38.063000000000002</v>
      </c>
      <c r="G24" s="20">
        <v>29.59</v>
      </c>
      <c r="H24" s="20">
        <f t="shared" si="0"/>
        <v>32.390625</v>
      </c>
      <c r="I24" s="5"/>
      <c r="J24" s="19">
        <v>597.27359999999999</v>
      </c>
      <c r="K24" s="20">
        <v>31.619199999999999</v>
      </c>
      <c r="L24" s="20">
        <v>37.292900000000003</v>
      </c>
      <c r="M24" s="20">
        <v>38.813600000000001</v>
      </c>
      <c r="N24" s="20">
        <v>53.981099999999998</v>
      </c>
      <c r="O24" s="20">
        <f t="shared" si="1"/>
        <v>33.227712499999996</v>
      </c>
      <c r="P24" s="7"/>
      <c r="Q24" s="13"/>
      <c r="R24" s="14"/>
      <c r="S24" s="14"/>
      <c r="T24" s="27"/>
      <c r="U24" s="28">
        <f t="shared" si="2"/>
        <v>0.82430212909766809</v>
      </c>
    </row>
    <row r="25" spans="1:21" x14ac:dyDescent="0.25">
      <c r="B25" s="6" t="s">
        <v>50</v>
      </c>
      <c r="C25" s="15">
        <v>2390.2800000000002</v>
      </c>
      <c r="D25" s="16">
        <v>32.920999999999999</v>
      </c>
      <c r="E25" s="16">
        <v>37.292000000000002</v>
      </c>
      <c r="F25" s="16">
        <v>38.625999999999998</v>
      </c>
      <c r="G25" s="16">
        <v>23.79</v>
      </c>
      <c r="H25" s="16">
        <f t="shared" si="0"/>
        <v>34.180500000000002</v>
      </c>
      <c r="I25" s="5"/>
      <c r="J25" s="15">
        <v>2413.9096</v>
      </c>
      <c r="K25" s="16">
        <v>34.110199999999999</v>
      </c>
      <c r="L25" s="16">
        <v>38.195900000000002</v>
      </c>
      <c r="M25" s="16">
        <v>40.166499999999999</v>
      </c>
      <c r="N25" s="16">
        <v>43.963799999999999</v>
      </c>
      <c r="O25" s="16">
        <f t="shared" si="1"/>
        <v>35.377949999999998</v>
      </c>
      <c r="P25" s="7"/>
      <c r="Q25" s="8">
        <f>bdrate(C25:C28,D25:D28,J25:J28,K25:K28)</f>
        <v>-0.23322740278578835</v>
      </c>
      <c r="R25" s="8">
        <f>bdrate(C25:C28,E25:E28,J25:J28,L25:L28)</f>
        <v>-0.48804365397251459</v>
      </c>
      <c r="S25" s="8">
        <f>bdrate(C25:C28,F25:F28,J25:J28,M25:M28)</f>
        <v>-0.47824634234025021</v>
      </c>
      <c r="T25" s="25">
        <f>bdrate(C25:C28,H25:H28,J25:J28,O25:O28)</f>
        <v>-0.2771192379867552</v>
      </c>
      <c r="U25" s="28">
        <f t="shared" si="2"/>
        <v>0.84799495586380835</v>
      </c>
    </row>
    <row r="26" spans="1:21" x14ac:dyDescent="0.25">
      <c r="B26" s="9"/>
      <c r="C26" s="17">
        <v>1583.21</v>
      </c>
      <c r="D26" s="18">
        <v>31.888000000000002</v>
      </c>
      <c r="E26" s="18">
        <v>36.875999999999998</v>
      </c>
      <c r="F26" s="18">
        <v>37.972000000000001</v>
      </c>
      <c r="G26" s="18">
        <v>26.84</v>
      </c>
      <c r="H26" s="18">
        <f t="shared" si="0"/>
        <v>33.271999999999998</v>
      </c>
      <c r="I26" s="5"/>
      <c r="J26" s="17">
        <v>1608.1744000000001</v>
      </c>
      <c r="K26" s="18">
        <v>32.920200000000001</v>
      </c>
      <c r="L26" s="18">
        <v>37.722999999999999</v>
      </c>
      <c r="M26" s="18">
        <v>39.359400000000001</v>
      </c>
      <c r="N26" s="18">
        <v>50.875100000000003</v>
      </c>
      <c r="O26" s="18">
        <f t="shared" si="1"/>
        <v>34.325450000000004</v>
      </c>
      <c r="P26" s="7"/>
      <c r="Q26" s="10"/>
      <c r="R26" s="11"/>
      <c r="S26" s="11"/>
      <c r="T26" s="26"/>
      <c r="U26" s="28">
        <f t="shared" si="2"/>
        <v>0.89549552906110297</v>
      </c>
    </row>
    <row r="27" spans="1:21" x14ac:dyDescent="0.25">
      <c r="B27" s="9"/>
      <c r="C27" s="17">
        <v>978.4</v>
      </c>
      <c r="D27" s="18">
        <v>30.614000000000001</v>
      </c>
      <c r="E27" s="18">
        <v>36.335000000000001</v>
      </c>
      <c r="F27" s="18">
        <v>37.1</v>
      </c>
      <c r="G27" s="18">
        <v>29.84</v>
      </c>
      <c r="H27" s="18">
        <f t="shared" si="0"/>
        <v>32.139875000000004</v>
      </c>
      <c r="I27" s="5"/>
      <c r="J27" s="17">
        <v>996.95839999999998</v>
      </c>
      <c r="K27" s="18">
        <v>31.369399999999999</v>
      </c>
      <c r="L27" s="18">
        <v>37.124000000000002</v>
      </c>
      <c r="M27" s="18">
        <v>38.350700000000003</v>
      </c>
      <c r="N27" s="18">
        <v>60.5914</v>
      </c>
      <c r="O27" s="18">
        <f t="shared" si="1"/>
        <v>32.961387500000001</v>
      </c>
      <c r="P27" s="7"/>
      <c r="Q27" s="10"/>
      <c r="R27" s="11"/>
      <c r="S27" s="11"/>
      <c r="T27" s="26"/>
      <c r="U27" s="28">
        <f t="shared" si="2"/>
        <v>1.0305428954423592</v>
      </c>
    </row>
    <row r="28" spans="1:21" ht="16.5" thickBot="1" x14ac:dyDescent="0.3">
      <c r="B28" s="12"/>
      <c r="C28" s="19">
        <v>575.30999999999995</v>
      </c>
      <c r="D28" s="20">
        <v>29.02</v>
      </c>
      <c r="E28" s="20">
        <v>35.506999999999998</v>
      </c>
      <c r="F28" s="20">
        <v>35.840000000000003</v>
      </c>
      <c r="G28" s="20">
        <v>34.1</v>
      </c>
      <c r="H28" s="20">
        <f t="shared" si="0"/>
        <v>30.683375000000002</v>
      </c>
      <c r="I28" s="5"/>
      <c r="J28" s="19">
        <v>584.17600000000004</v>
      </c>
      <c r="K28" s="20">
        <v>29.616299999999999</v>
      </c>
      <c r="L28" s="20">
        <v>36.469900000000003</v>
      </c>
      <c r="M28" s="20">
        <v>37.256500000000003</v>
      </c>
      <c r="N28" s="20">
        <v>72.348399999999998</v>
      </c>
      <c r="O28" s="20">
        <f t="shared" si="1"/>
        <v>31.428024999999998</v>
      </c>
      <c r="P28" s="7"/>
      <c r="Q28" s="13"/>
      <c r="R28" s="14"/>
      <c r="S28" s="14"/>
      <c r="T28" s="27"/>
      <c r="U28" s="28">
        <f t="shared" si="2"/>
        <v>1.1216539589442813</v>
      </c>
    </row>
    <row r="29" spans="1:21" x14ac:dyDescent="0.25">
      <c r="B29" s="6" t="s">
        <v>51</v>
      </c>
      <c r="C29" s="29">
        <v>2401</v>
      </c>
      <c r="D29" s="30">
        <v>33.546999999999997</v>
      </c>
      <c r="E29" s="30">
        <v>39.5</v>
      </c>
      <c r="F29" s="30">
        <v>38.985999999999997</v>
      </c>
      <c r="G29" s="16">
        <v>21.28</v>
      </c>
      <c r="H29" s="16">
        <f t="shared" si="0"/>
        <v>34.970999999999997</v>
      </c>
      <c r="I29" s="5"/>
      <c r="J29" s="29">
        <v>2415.6855999999998</v>
      </c>
      <c r="K29" s="30">
        <v>34.043500000000002</v>
      </c>
      <c r="L29" s="30">
        <v>40.366199999999999</v>
      </c>
      <c r="M29" s="30">
        <v>39.964700000000001</v>
      </c>
      <c r="N29" s="16">
        <v>38.384799999999998</v>
      </c>
      <c r="O29" s="16">
        <f t="shared" si="1"/>
        <v>35.573987500000001</v>
      </c>
      <c r="P29" s="7"/>
      <c r="Q29" s="8">
        <f>bdrate(C29:C32,D29:D32,J29:J32,K29:K32)</f>
        <v>-0.10732792966436222</v>
      </c>
      <c r="R29" s="8">
        <f>bdrate(C29:C32,E29:E32,J29:J32,L29:L32)</f>
        <v>-0.38662153548737299</v>
      </c>
      <c r="S29" s="8">
        <f>bdrate(C29:C32,F29:F32,J29:J32,M29:M32)</f>
        <v>-0.34771980798395186</v>
      </c>
      <c r="T29" s="25">
        <f>bdrate(C29:C32,H29:H32,J29:J32,O29:O32)</f>
        <v>-0.16133947584016251</v>
      </c>
      <c r="U29" s="28">
        <f t="shared" si="2"/>
        <v>0.80379699248120284</v>
      </c>
    </row>
    <row r="30" spans="1:21" x14ac:dyDescent="0.25">
      <c r="B30" s="9"/>
      <c r="C30" s="31">
        <v>1592.54</v>
      </c>
      <c r="D30" s="32">
        <v>32.220999999999997</v>
      </c>
      <c r="E30" s="32">
        <v>38.695999999999998</v>
      </c>
      <c r="F30" s="32">
        <v>37.953000000000003</v>
      </c>
      <c r="G30" s="18">
        <v>24.34</v>
      </c>
      <c r="H30" s="18">
        <f t="shared" si="0"/>
        <v>33.746874999999996</v>
      </c>
      <c r="I30" s="5"/>
      <c r="J30" s="31">
        <v>1609.4952000000001</v>
      </c>
      <c r="K30" s="32">
        <v>32.690199999999997</v>
      </c>
      <c r="L30" s="32">
        <v>39.654200000000003</v>
      </c>
      <c r="M30" s="32">
        <v>39.034700000000001</v>
      </c>
      <c r="N30" s="18">
        <v>44.891399999999997</v>
      </c>
      <c r="O30" s="18">
        <f t="shared" si="1"/>
        <v>34.353762499999995</v>
      </c>
      <c r="P30" s="7"/>
      <c r="Q30" s="10"/>
      <c r="R30" s="11"/>
      <c r="S30" s="11"/>
      <c r="T30" s="26"/>
      <c r="U30" s="28">
        <f t="shared" si="2"/>
        <v>0.84434675431388651</v>
      </c>
    </row>
    <row r="31" spans="1:21" x14ac:dyDescent="0.25">
      <c r="B31" s="9"/>
      <c r="C31" s="31">
        <v>986.69</v>
      </c>
      <c r="D31" s="32">
        <v>30.59</v>
      </c>
      <c r="E31" s="32">
        <v>37.795999999999999</v>
      </c>
      <c r="F31" s="32">
        <v>36.676000000000002</v>
      </c>
      <c r="G31" s="18">
        <v>27.56</v>
      </c>
      <c r="H31" s="18">
        <f t="shared" si="0"/>
        <v>32.2515</v>
      </c>
      <c r="I31" s="5"/>
      <c r="J31" s="31">
        <v>1001.1888</v>
      </c>
      <c r="K31" s="32">
        <v>30.991800000000001</v>
      </c>
      <c r="L31" s="32">
        <v>38.807600000000001</v>
      </c>
      <c r="M31" s="32">
        <v>37.891100000000002</v>
      </c>
      <c r="N31" s="18">
        <v>54.048200000000001</v>
      </c>
      <c r="O31" s="18">
        <f t="shared" si="1"/>
        <v>32.831187500000006</v>
      </c>
      <c r="P31" s="7"/>
      <c r="Q31" s="10"/>
      <c r="R31" s="11"/>
      <c r="S31" s="11"/>
      <c r="T31" s="26"/>
      <c r="U31" s="28">
        <f t="shared" si="2"/>
        <v>0.96111030478955017</v>
      </c>
    </row>
    <row r="32" spans="1:21" ht="16.5" thickBot="1" x14ac:dyDescent="0.3">
      <c r="B32" s="12"/>
      <c r="C32" s="33">
        <v>588.29999999999995</v>
      </c>
      <c r="D32" s="34">
        <v>28.725000000000001</v>
      </c>
      <c r="E32" s="34">
        <v>36.012999999999998</v>
      </c>
      <c r="F32" s="34">
        <v>34.893999999999998</v>
      </c>
      <c r="G32" s="20">
        <v>31.49</v>
      </c>
      <c r="H32" s="20">
        <f t="shared" si="0"/>
        <v>30.407125000000004</v>
      </c>
      <c r="I32" s="5"/>
      <c r="J32" s="33">
        <v>594.51520000000005</v>
      </c>
      <c r="K32" s="34">
        <v>29.151900000000001</v>
      </c>
      <c r="L32" s="34">
        <v>37.622799999999998</v>
      </c>
      <c r="M32" s="34">
        <v>36.3752</v>
      </c>
      <c r="N32" s="20">
        <v>65.274199999999993</v>
      </c>
      <c r="O32" s="20">
        <f t="shared" si="1"/>
        <v>31.113675000000001</v>
      </c>
      <c r="P32" s="7"/>
      <c r="Q32" s="13"/>
      <c r="R32" s="14"/>
      <c r="S32" s="14"/>
      <c r="T32" s="27"/>
      <c r="U32" s="28">
        <f t="shared" si="2"/>
        <v>1.0728548745633535</v>
      </c>
    </row>
    <row r="33" spans="1:21" x14ac:dyDescent="0.25">
      <c r="B33" s="6" t="s">
        <v>52</v>
      </c>
      <c r="C33" s="15">
        <v>2393.4499999999998</v>
      </c>
      <c r="D33" s="16">
        <v>31.86</v>
      </c>
      <c r="E33" s="16">
        <v>38.426000000000002</v>
      </c>
      <c r="F33" s="16">
        <v>41.128</v>
      </c>
      <c r="G33" s="16">
        <v>28.75</v>
      </c>
      <c r="H33" s="16">
        <f t="shared" si="0"/>
        <v>33.83925</v>
      </c>
      <c r="I33" s="5"/>
      <c r="J33" s="15">
        <v>2425.6632</v>
      </c>
      <c r="K33" s="16">
        <v>33.603000000000002</v>
      </c>
      <c r="L33" s="16">
        <v>39.814</v>
      </c>
      <c r="M33" s="16">
        <v>42.2928</v>
      </c>
      <c r="N33" s="16">
        <v>48.685499999999998</v>
      </c>
      <c r="O33" s="16">
        <f t="shared" si="1"/>
        <v>35.465599999999995</v>
      </c>
      <c r="P33" s="7"/>
      <c r="Q33" s="8">
        <f>bdrate(C33:C36,D33:D36,J33:J36,K33:K36)</f>
        <v>-0.54724166186997725</v>
      </c>
      <c r="R33" s="8">
        <f>bdrate(C33:C36,E33:E36,J33:J36,L33:L36)</f>
        <v>-0.64206650304218138</v>
      </c>
      <c r="S33" s="8">
        <f>bdrate(C33:C36,F33:F36,J33:J36,M33:M36)</f>
        <v>-0.55831196836386043</v>
      </c>
      <c r="T33" s="25">
        <f>bdrate(C33:C36,H33:H36,J33:J36,O33:O36)</f>
        <v>-0.55312469401692943</v>
      </c>
      <c r="U33" s="28">
        <f t="shared" si="2"/>
        <v>0.69340869565217378</v>
      </c>
    </row>
    <row r="34" spans="1:21" x14ac:dyDescent="0.25">
      <c r="B34" s="9"/>
      <c r="C34" s="17">
        <v>1572.72</v>
      </c>
      <c r="D34" s="18">
        <v>30.983000000000001</v>
      </c>
      <c r="E34" s="18">
        <v>38.063000000000002</v>
      </c>
      <c r="F34" s="18">
        <v>40.795999999999999</v>
      </c>
      <c r="G34" s="18">
        <v>33.04</v>
      </c>
      <c r="H34" s="18">
        <f t="shared" si="0"/>
        <v>33.094625000000001</v>
      </c>
      <c r="I34" s="5"/>
      <c r="J34" s="17">
        <v>1605.8664000000001</v>
      </c>
      <c r="K34" s="18">
        <v>32.902000000000001</v>
      </c>
      <c r="L34" s="18">
        <v>39.333500000000001</v>
      </c>
      <c r="M34" s="18">
        <v>41.871200000000002</v>
      </c>
      <c r="N34" s="18">
        <v>54.864699999999999</v>
      </c>
      <c r="O34" s="18">
        <f t="shared" si="1"/>
        <v>34.827087499999998</v>
      </c>
      <c r="P34" s="7"/>
      <c r="Q34" s="10"/>
      <c r="R34" s="11"/>
      <c r="S34" s="11"/>
      <c r="T34" s="26"/>
      <c r="U34" s="28">
        <f t="shared" si="2"/>
        <v>0.66055387409200972</v>
      </c>
    </row>
    <row r="35" spans="1:21" x14ac:dyDescent="0.25">
      <c r="B35" s="9"/>
      <c r="C35" s="17">
        <v>942.97</v>
      </c>
      <c r="D35" s="18">
        <v>29.69</v>
      </c>
      <c r="E35" s="18">
        <v>37.567999999999998</v>
      </c>
      <c r="F35" s="18">
        <v>40.378999999999998</v>
      </c>
      <c r="G35" s="18">
        <v>37.229999999999997</v>
      </c>
      <c r="H35" s="18">
        <f t="shared" si="0"/>
        <v>32.010875000000006</v>
      </c>
      <c r="I35" s="5"/>
      <c r="J35" s="17">
        <v>1024.164</v>
      </c>
      <c r="K35" s="18">
        <v>31.872599999999998</v>
      </c>
      <c r="L35" s="18">
        <v>38.655099999999997</v>
      </c>
      <c r="M35" s="18">
        <v>41.165999999999997</v>
      </c>
      <c r="N35" s="18">
        <v>62.945900000000002</v>
      </c>
      <c r="O35" s="18">
        <f t="shared" si="1"/>
        <v>33.882087499999997</v>
      </c>
      <c r="P35" s="7"/>
      <c r="Q35" s="10"/>
      <c r="R35" s="11"/>
      <c r="S35" s="11"/>
      <c r="T35" s="26"/>
      <c r="U35" s="28">
        <f t="shared" si="2"/>
        <v>0.69073059360730615</v>
      </c>
    </row>
    <row r="36" spans="1:21" ht="16.5" thickBot="1" x14ac:dyDescent="0.3">
      <c r="B36" s="12"/>
      <c r="C36" s="19">
        <v>497.87</v>
      </c>
      <c r="D36" s="20">
        <v>27.187999999999999</v>
      </c>
      <c r="E36" s="20">
        <v>36.585999999999999</v>
      </c>
      <c r="F36" s="20">
        <v>39.475000000000001</v>
      </c>
      <c r="G36" s="20">
        <v>41.76</v>
      </c>
      <c r="H36" s="20">
        <f t="shared" si="0"/>
        <v>29.898624999999999</v>
      </c>
      <c r="I36" s="5"/>
      <c r="J36" s="19">
        <v>596.14800000000002</v>
      </c>
      <c r="K36" s="20">
        <v>30.4481</v>
      </c>
      <c r="L36" s="20">
        <v>38.105400000000003</v>
      </c>
      <c r="M36" s="20">
        <v>40.650700000000001</v>
      </c>
      <c r="N36" s="20">
        <v>71.761799999999994</v>
      </c>
      <c r="O36" s="20">
        <f t="shared" si="1"/>
        <v>32.680587500000001</v>
      </c>
      <c r="P36" s="7"/>
      <c r="Q36" s="13"/>
      <c r="R36" s="14"/>
      <c r="S36" s="14"/>
      <c r="T36" s="27"/>
      <c r="U36" s="28">
        <f t="shared" si="2"/>
        <v>0.71843390804597695</v>
      </c>
    </row>
    <row r="37" spans="1:21" x14ac:dyDescent="0.25">
      <c r="A37" s="6" t="s">
        <v>39</v>
      </c>
      <c r="B37" s="6" t="s">
        <v>53</v>
      </c>
      <c r="C37" s="15">
        <v>1223.3900000000001</v>
      </c>
      <c r="D37" s="16">
        <v>33.704000000000001</v>
      </c>
      <c r="E37" s="16">
        <v>37.445999999999998</v>
      </c>
      <c r="F37" s="16">
        <v>37.22</v>
      </c>
      <c r="G37" s="16">
        <v>74.900000000000006</v>
      </c>
      <c r="H37" s="16">
        <f t="shared" si="0"/>
        <v>34.611249999999998</v>
      </c>
      <c r="I37" s="5"/>
      <c r="J37" s="15">
        <v>1215.22</v>
      </c>
      <c r="K37" s="16">
        <v>35.049399999999999</v>
      </c>
      <c r="L37" s="16">
        <v>39.264200000000002</v>
      </c>
      <c r="M37" s="16">
        <v>39.177100000000003</v>
      </c>
      <c r="N37" s="16">
        <v>143.10249999999999</v>
      </c>
      <c r="O37" s="16">
        <f t="shared" si="1"/>
        <v>36.092212500000002</v>
      </c>
      <c r="P37" s="7"/>
      <c r="Q37" s="8">
        <f>bdrate(C37:C40,D37:D40,J37:J40,K37:K40)</f>
        <v>-0.25751935452260755</v>
      </c>
      <c r="R37" s="8">
        <f>bdrate(C37:C40,E37:E40,J37:J40,L37:L40)</f>
        <v>-0.44394749260863831</v>
      </c>
      <c r="S37" s="8">
        <f>bdrate(C37:C40,F37:F40,J37:J40,M37:M40)</f>
        <v>-0.44182139404953336</v>
      </c>
      <c r="T37" s="25">
        <f>bdrate(C37:C40,H37:H40,J37:J40,O37:O40)</f>
        <v>-0.2972316747882483</v>
      </c>
      <c r="U37" s="28">
        <f t="shared" si="2"/>
        <v>0.91058077436582086</v>
      </c>
    </row>
    <row r="38" spans="1:21" x14ac:dyDescent="0.25">
      <c r="A38" s="9" t="s">
        <v>40</v>
      </c>
      <c r="B38" s="9"/>
      <c r="C38" s="17">
        <v>814.55</v>
      </c>
      <c r="D38" s="18">
        <v>32.316000000000003</v>
      </c>
      <c r="E38" s="18">
        <v>36.503</v>
      </c>
      <c r="F38" s="18">
        <v>36.128999999999998</v>
      </c>
      <c r="G38" s="18">
        <v>88.31</v>
      </c>
      <c r="H38" s="18">
        <f t="shared" si="0"/>
        <v>33.316000000000003</v>
      </c>
      <c r="I38" s="5"/>
      <c r="J38" s="17">
        <v>810.69119999999998</v>
      </c>
      <c r="K38" s="18">
        <v>33.507300000000001</v>
      </c>
      <c r="L38" s="18">
        <v>38.052100000000003</v>
      </c>
      <c r="M38" s="18">
        <v>37.832599999999999</v>
      </c>
      <c r="N38" s="18">
        <v>169.54900000000001</v>
      </c>
      <c r="O38" s="18">
        <f t="shared" si="1"/>
        <v>34.616062499999998</v>
      </c>
      <c r="P38" s="7"/>
      <c r="Q38" s="10"/>
      <c r="R38" s="11"/>
      <c r="S38" s="11"/>
      <c r="T38" s="26"/>
      <c r="U38" s="28">
        <f t="shared" si="2"/>
        <v>0.91992979277545017</v>
      </c>
    </row>
    <row r="39" spans="1:21" x14ac:dyDescent="0.25">
      <c r="B39" s="9"/>
      <c r="C39" s="17">
        <v>505.79</v>
      </c>
      <c r="D39" s="18">
        <v>30.802</v>
      </c>
      <c r="E39" s="18">
        <v>35.579000000000001</v>
      </c>
      <c r="F39" s="18">
        <v>35.045000000000002</v>
      </c>
      <c r="G39" s="18">
        <v>101.75</v>
      </c>
      <c r="H39" s="18">
        <f t="shared" si="0"/>
        <v>31.929500000000004</v>
      </c>
      <c r="I39" s="5"/>
      <c r="J39" s="17">
        <v>506.96960000000001</v>
      </c>
      <c r="K39" s="18">
        <v>31.778500000000001</v>
      </c>
      <c r="L39" s="18">
        <v>36.831400000000002</v>
      </c>
      <c r="M39" s="18">
        <v>36.479199999999999</v>
      </c>
      <c r="N39" s="18">
        <v>209.46799999999999</v>
      </c>
      <c r="O39" s="18">
        <f t="shared" si="1"/>
        <v>32.997700000000002</v>
      </c>
      <c r="P39" s="7"/>
      <c r="Q39" s="10"/>
      <c r="R39" s="11"/>
      <c r="S39" s="11"/>
      <c r="T39" s="26"/>
      <c r="U39" s="28">
        <f t="shared" si="2"/>
        <v>1.0586535626535625</v>
      </c>
    </row>
    <row r="40" spans="1:21" ht="16.5" thickBot="1" x14ac:dyDescent="0.3">
      <c r="B40" s="12"/>
      <c r="C40" s="19">
        <v>300.69</v>
      </c>
      <c r="D40" s="20">
        <v>29.253</v>
      </c>
      <c r="E40" s="20">
        <v>34.545000000000002</v>
      </c>
      <c r="F40" s="20">
        <v>33.808999999999997</v>
      </c>
      <c r="G40" s="20">
        <v>121.42</v>
      </c>
      <c r="H40" s="20">
        <f t="shared" si="0"/>
        <v>30.483999999999998</v>
      </c>
      <c r="I40" s="5"/>
      <c r="J40" s="19">
        <v>303.30560000000003</v>
      </c>
      <c r="K40" s="20">
        <v>29.852599999999999</v>
      </c>
      <c r="L40" s="20">
        <v>35.532600000000002</v>
      </c>
      <c r="M40" s="20">
        <v>35.0274</v>
      </c>
      <c r="N40" s="20">
        <v>271.5915</v>
      </c>
      <c r="O40" s="20">
        <f t="shared" si="1"/>
        <v>31.20945</v>
      </c>
      <c r="P40" s="7"/>
      <c r="Q40" s="13"/>
      <c r="R40" s="14"/>
      <c r="S40" s="14"/>
      <c r="T40" s="27"/>
      <c r="U40" s="28">
        <f t="shared" si="2"/>
        <v>1.2367937736781418</v>
      </c>
    </row>
    <row r="41" spans="1:21" x14ac:dyDescent="0.25">
      <c r="B41" s="6" t="s">
        <v>54</v>
      </c>
      <c r="C41" s="15">
        <v>1230.0999999999999</v>
      </c>
      <c r="D41" s="16">
        <v>33.517000000000003</v>
      </c>
      <c r="E41" s="16">
        <v>38.883000000000003</v>
      </c>
      <c r="F41" s="16">
        <v>39.709000000000003</v>
      </c>
      <c r="G41" s="16">
        <v>88.42</v>
      </c>
      <c r="H41" s="16">
        <f t="shared" si="0"/>
        <v>34.961750000000009</v>
      </c>
      <c r="I41" s="5"/>
      <c r="J41" s="15">
        <v>1244.7023999999999</v>
      </c>
      <c r="K41" s="16">
        <v>35.2485</v>
      </c>
      <c r="L41" s="16">
        <v>40.559699999999999</v>
      </c>
      <c r="M41" s="16">
        <v>41.436799999999998</v>
      </c>
      <c r="N41" s="16">
        <v>150.8296</v>
      </c>
      <c r="O41" s="16">
        <f t="shared" si="1"/>
        <v>36.685937499999994</v>
      </c>
      <c r="P41" s="7"/>
      <c r="Q41" s="8">
        <f>bdrate(C41:C44,D41:D44,J41:J44,K41:K44)</f>
        <v>-0.31486619327024845</v>
      </c>
      <c r="R41" s="8">
        <f>bdrate(C41:C44,E41:E44,J41:J44,L41:L44)</f>
        <v>-0.49906458260081565</v>
      </c>
      <c r="S41" s="8">
        <f>bdrate(C41:C44,F41:F44,J41:J44,M41:M44)</f>
        <v>-0.47232809062904291</v>
      </c>
      <c r="T41" s="25">
        <f>bdrate(C41:C44,H41:H44,J41:J44,O41:O44)</f>
        <v>-0.34738788310337487</v>
      </c>
      <c r="U41" s="28">
        <f t="shared" si="2"/>
        <v>0.70583125989595108</v>
      </c>
    </row>
    <row r="42" spans="1:21" x14ac:dyDescent="0.25">
      <c r="B42" s="9"/>
      <c r="C42" s="17">
        <v>817.97</v>
      </c>
      <c r="D42" s="18">
        <v>32.079000000000001</v>
      </c>
      <c r="E42" s="18">
        <v>37.996000000000002</v>
      </c>
      <c r="F42" s="18">
        <v>38.713999999999999</v>
      </c>
      <c r="G42" s="18">
        <v>106.53</v>
      </c>
      <c r="H42" s="18">
        <f t="shared" si="0"/>
        <v>33.647999999999996</v>
      </c>
      <c r="I42" s="5"/>
      <c r="J42" s="17">
        <v>829.51440000000002</v>
      </c>
      <c r="K42" s="18">
        <v>33.689399999999999</v>
      </c>
      <c r="L42" s="18">
        <v>39.537300000000002</v>
      </c>
      <c r="M42" s="18">
        <v>40.2896</v>
      </c>
      <c r="N42" s="18">
        <v>178.04150000000001</v>
      </c>
      <c r="O42" s="18">
        <f t="shared" si="1"/>
        <v>35.2454125</v>
      </c>
      <c r="P42" s="7"/>
      <c r="Q42" s="10"/>
      <c r="R42" s="11"/>
      <c r="S42" s="11"/>
      <c r="T42" s="26"/>
      <c r="U42" s="28">
        <f t="shared" si="2"/>
        <v>0.67128039050032862</v>
      </c>
    </row>
    <row r="43" spans="1:21" x14ac:dyDescent="0.25">
      <c r="B43" s="9"/>
      <c r="C43" s="17">
        <v>509.54</v>
      </c>
      <c r="D43" s="18">
        <v>30.443999999999999</v>
      </c>
      <c r="E43" s="18">
        <v>37.031999999999996</v>
      </c>
      <c r="F43" s="18">
        <v>37.581000000000003</v>
      </c>
      <c r="G43" s="18">
        <v>122.1</v>
      </c>
      <c r="H43" s="18">
        <f t="shared" si="0"/>
        <v>32.159624999999998</v>
      </c>
      <c r="I43" s="5"/>
      <c r="J43" s="17">
        <v>518.21360000000004</v>
      </c>
      <c r="K43" s="18">
        <v>31.839500000000001</v>
      </c>
      <c r="L43" s="18">
        <v>38.480899999999998</v>
      </c>
      <c r="M43" s="18">
        <v>39.149700000000003</v>
      </c>
      <c r="N43" s="18">
        <v>218.49959999999999</v>
      </c>
      <c r="O43" s="18">
        <f t="shared" si="1"/>
        <v>33.583449999999999</v>
      </c>
      <c r="P43" s="7"/>
      <c r="Q43" s="10"/>
      <c r="R43" s="11"/>
      <c r="S43" s="11"/>
      <c r="T43" s="26"/>
      <c r="U43" s="28">
        <f t="shared" si="2"/>
        <v>0.78951351351351351</v>
      </c>
    </row>
    <row r="44" spans="1:21" ht="16.5" thickBot="1" x14ac:dyDescent="0.3">
      <c r="B44" s="12"/>
      <c r="C44" s="19">
        <v>301.95</v>
      </c>
      <c r="D44" s="20">
        <v>28.59</v>
      </c>
      <c r="E44" s="20">
        <v>35.853000000000002</v>
      </c>
      <c r="F44" s="20">
        <v>36.268000000000001</v>
      </c>
      <c r="G44" s="20">
        <v>140.35</v>
      </c>
      <c r="H44" s="20">
        <f t="shared" si="0"/>
        <v>30.457625</v>
      </c>
      <c r="I44" s="5"/>
      <c r="J44" s="19">
        <v>310.65120000000002</v>
      </c>
      <c r="K44" s="20">
        <v>29.796700000000001</v>
      </c>
      <c r="L44" s="20">
        <v>37.474800000000002</v>
      </c>
      <c r="M44" s="20">
        <v>37.955199999999998</v>
      </c>
      <c r="N44" s="20">
        <v>265.25200000000001</v>
      </c>
      <c r="O44" s="20">
        <f t="shared" si="1"/>
        <v>31.776274999999998</v>
      </c>
      <c r="P44" s="7"/>
      <c r="Q44" s="13"/>
      <c r="R44" s="14"/>
      <c r="S44" s="14"/>
      <c r="T44" s="27"/>
      <c r="U44" s="28">
        <f t="shared" si="2"/>
        <v>0.88993231207695067</v>
      </c>
    </row>
    <row r="45" spans="1:21" x14ac:dyDescent="0.25">
      <c r="B45" s="6" t="s">
        <v>55</v>
      </c>
      <c r="C45" s="15">
        <v>1096.5999999999999</v>
      </c>
      <c r="D45" s="16">
        <v>28.033000000000001</v>
      </c>
      <c r="E45" s="16">
        <v>34.576000000000001</v>
      </c>
      <c r="F45" s="16">
        <v>35.366999999999997</v>
      </c>
      <c r="G45" s="16">
        <v>88.54</v>
      </c>
      <c r="H45" s="16">
        <f t="shared" si="0"/>
        <v>29.767624999999999</v>
      </c>
      <c r="I45" s="5"/>
      <c r="J45" s="15">
        <v>1223.0672</v>
      </c>
      <c r="K45" s="16">
        <v>30.351199999999999</v>
      </c>
      <c r="L45" s="16">
        <v>36.814300000000003</v>
      </c>
      <c r="M45" s="16">
        <v>37.619300000000003</v>
      </c>
      <c r="N45" s="16">
        <v>134.66200000000001</v>
      </c>
      <c r="O45" s="16">
        <f t="shared" si="1"/>
        <v>32.067599999999999</v>
      </c>
      <c r="P45" s="7"/>
      <c r="Q45" s="8">
        <f>bdrate(C45:C48,D45:D48,J45:J48,K45:K48)</f>
        <v>-0.44492890825441056</v>
      </c>
      <c r="R45" s="8">
        <f>bdrate(C45:C48,E45:E48,J45:J48,L45:L48)</f>
        <v>-0.65570683292903609</v>
      </c>
      <c r="S45" s="8">
        <f>bdrate(C45:C48,F45:F48,J45:J48,M45:M48)</f>
        <v>-0.6393646732286824</v>
      </c>
      <c r="T45" s="25">
        <f>bdrate(C45:C48,H45:H48,J45:J48,O45:O48)</f>
        <v>-0.48199830934196985</v>
      </c>
      <c r="U45" s="28">
        <f t="shared" si="2"/>
        <v>0.52091709961599275</v>
      </c>
    </row>
    <row r="46" spans="1:21" x14ac:dyDescent="0.25">
      <c r="B46" s="9"/>
      <c r="C46" s="17">
        <v>729.95</v>
      </c>
      <c r="D46" s="18">
        <v>26.817</v>
      </c>
      <c r="E46" s="18">
        <v>34.018000000000001</v>
      </c>
      <c r="F46" s="18">
        <v>34.814999999999998</v>
      </c>
      <c r="G46" s="18">
        <v>105.42</v>
      </c>
      <c r="H46" s="18">
        <f t="shared" si="0"/>
        <v>28.716874999999998</v>
      </c>
      <c r="I46" s="5"/>
      <c r="J46" s="17">
        <v>818.59760000000006</v>
      </c>
      <c r="K46" s="18">
        <v>29.017900000000001</v>
      </c>
      <c r="L46" s="18">
        <v>36.0107</v>
      </c>
      <c r="M46" s="18">
        <v>36.7913</v>
      </c>
      <c r="N46" s="18">
        <v>162.70750000000001</v>
      </c>
      <c r="O46" s="18">
        <f t="shared" si="1"/>
        <v>30.863675000000004</v>
      </c>
      <c r="P46" s="7"/>
      <c r="Q46" s="10"/>
      <c r="R46" s="11"/>
      <c r="S46" s="11"/>
      <c r="T46" s="26"/>
      <c r="U46" s="28">
        <f t="shared" si="2"/>
        <v>0.54342155188768737</v>
      </c>
    </row>
    <row r="47" spans="1:21" x14ac:dyDescent="0.25">
      <c r="B47" s="9"/>
      <c r="C47" s="17">
        <v>452.39</v>
      </c>
      <c r="D47" s="18">
        <v>25.504999999999999</v>
      </c>
      <c r="E47" s="18">
        <v>33.320999999999998</v>
      </c>
      <c r="F47" s="18">
        <v>34.189</v>
      </c>
      <c r="G47" s="18">
        <v>121.86</v>
      </c>
      <c r="H47" s="18">
        <f t="shared" si="0"/>
        <v>27.567499999999999</v>
      </c>
      <c r="I47" s="5"/>
      <c r="J47" s="17">
        <v>514.82000000000005</v>
      </c>
      <c r="K47" s="18">
        <v>27.557700000000001</v>
      </c>
      <c r="L47" s="18">
        <v>35.1843</v>
      </c>
      <c r="M47" s="18">
        <v>35.928800000000003</v>
      </c>
      <c r="N47" s="18">
        <v>205.42320000000001</v>
      </c>
      <c r="O47" s="18">
        <f t="shared" si="1"/>
        <v>29.557412500000002</v>
      </c>
      <c r="P47" s="7"/>
      <c r="Q47" s="10"/>
      <c r="R47" s="11"/>
      <c r="S47" s="11"/>
      <c r="T47" s="26"/>
      <c r="U47" s="28">
        <f t="shared" si="2"/>
        <v>0.68573116691285085</v>
      </c>
    </row>
    <row r="48" spans="1:21" ht="16.5" thickBot="1" x14ac:dyDescent="0.3">
      <c r="B48" s="12"/>
      <c r="C48" s="19">
        <v>263.56</v>
      </c>
      <c r="D48" s="20">
        <v>23.991</v>
      </c>
      <c r="E48" s="20">
        <v>32.43</v>
      </c>
      <c r="F48" s="20">
        <v>33.298999999999999</v>
      </c>
      <c r="G48" s="20">
        <v>143.1</v>
      </c>
      <c r="H48" s="20">
        <f t="shared" si="0"/>
        <v>26.209375000000001</v>
      </c>
      <c r="I48" s="5"/>
      <c r="J48" s="19">
        <v>309.87520000000001</v>
      </c>
      <c r="K48" s="20">
        <v>25.994299999999999</v>
      </c>
      <c r="L48" s="20">
        <v>34.271099999999997</v>
      </c>
      <c r="M48" s="20">
        <v>34.9816</v>
      </c>
      <c r="N48" s="20">
        <v>250.37559999999999</v>
      </c>
      <c r="O48" s="20">
        <f t="shared" si="1"/>
        <v>28.152312500000001</v>
      </c>
      <c r="P48" s="7"/>
      <c r="Q48" s="13"/>
      <c r="R48" s="14"/>
      <c r="S48" s="14"/>
      <c r="T48" s="27"/>
      <c r="U48" s="28">
        <f t="shared" si="2"/>
        <v>0.749654786862334</v>
      </c>
    </row>
    <row r="49" spans="1:21" x14ac:dyDescent="0.25">
      <c r="B49" s="6" t="s">
        <v>56</v>
      </c>
      <c r="C49" s="15">
        <v>1116.45</v>
      </c>
      <c r="D49" s="16">
        <v>31.451000000000001</v>
      </c>
      <c r="E49" s="16">
        <v>36.024000000000001</v>
      </c>
      <c r="F49" s="16">
        <v>37.664000000000001</v>
      </c>
      <c r="G49" s="16">
        <v>53.42</v>
      </c>
      <c r="H49" s="16">
        <f t="shared" si="0"/>
        <v>32.799250000000001</v>
      </c>
      <c r="I49" s="5"/>
      <c r="J49" s="15">
        <v>1210.7056</v>
      </c>
      <c r="K49" s="16">
        <v>32.445799999999998</v>
      </c>
      <c r="L49" s="16">
        <v>36.927599999999998</v>
      </c>
      <c r="M49" s="16">
        <v>38.525700000000001</v>
      </c>
      <c r="N49" s="16">
        <v>95.663300000000007</v>
      </c>
      <c r="O49" s="16">
        <f t="shared" si="1"/>
        <v>33.766012500000002</v>
      </c>
      <c r="P49" s="7"/>
      <c r="Q49" s="8">
        <f>bdrate(C49:C52,D49:D52,J49:J52,K49:K52)</f>
        <v>-9.9507008617863879E-2</v>
      </c>
      <c r="R49" s="8">
        <f>bdrate(C49:C52,E49:E52,J49:J52,L49:L52)</f>
        <v>-0.27322066629995279</v>
      </c>
      <c r="S49" s="8">
        <f>bdrate(C49:C52,F49:F52,J49:J52,M49:M52)</f>
        <v>-0.26887646794077358</v>
      </c>
      <c r="T49" s="25">
        <f>bdrate(C49:C52,H49:H52,J49:J52,O49:O52)</f>
        <v>-0.13258675527194885</v>
      </c>
      <c r="U49" s="28">
        <f t="shared" si="2"/>
        <v>0.79077686259827784</v>
      </c>
    </row>
    <row r="50" spans="1:21" x14ac:dyDescent="0.25">
      <c r="B50" s="9"/>
      <c r="C50" s="17">
        <v>754.26</v>
      </c>
      <c r="D50" s="18">
        <v>30.184999999999999</v>
      </c>
      <c r="E50" s="18">
        <v>35.295000000000002</v>
      </c>
      <c r="F50" s="18">
        <v>36.901000000000003</v>
      </c>
      <c r="G50" s="18">
        <v>65.19</v>
      </c>
      <c r="H50" s="18">
        <f t="shared" si="0"/>
        <v>31.663249999999998</v>
      </c>
      <c r="I50" s="5"/>
      <c r="J50" s="17">
        <v>806.42560000000003</v>
      </c>
      <c r="K50" s="18">
        <v>30.911799999999999</v>
      </c>
      <c r="L50" s="18">
        <v>36.032800000000002</v>
      </c>
      <c r="M50" s="18">
        <v>37.619199999999999</v>
      </c>
      <c r="N50" s="18">
        <v>113.76560000000001</v>
      </c>
      <c r="O50" s="18">
        <f t="shared" si="1"/>
        <v>32.390349999999998</v>
      </c>
      <c r="P50" s="7"/>
      <c r="Q50" s="10"/>
      <c r="R50" s="11"/>
      <c r="S50" s="11"/>
      <c r="T50" s="26"/>
      <c r="U50" s="28">
        <f t="shared" si="2"/>
        <v>0.74513882497315553</v>
      </c>
    </row>
    <row r="51" spans="1:21" x14ac:dyDescent="0.25">
      <c r="B51" s="9"/>
      <c r="C51" s="17">
        <v>480.03</v>
      </c>
      <c r="D51" s="18">
        <v>28.843</v>
      </c>
      <c r="E51" s="18">
        <v>34.456000000000003</v>
      </c>
      <c r="F51" s="18">
        <v>35.933</v>
      </c>
      <c r="G51" s="18">
        <v>75.41</v>
      </c>
      <c r="H51" s="18">
        <f t="shared" si="0"/>
        <v>30.430875</v>
      </c>
      <c r="I51" s="5"/>
      <c r="J51" s="17">
        <v>504.0376</v>
      </c>
      <c r="K51" s="18">
        <v>29.257000000000001</v>
      </c>
      <c r="L51" s="18">
        <v>35.131999999999998</v>
      </c>
      <c r="M51" s="18">
        <v>36.702800000000003</v>
      </c>
      <c r="N51" s="18">
        <v>143.54069999999999</v>
      </c>
      <c r="O51" s="18">
        <f t="shared" si="1"/>
        <v>30.9221</v>
      </c>
      <c r="P51" s="7"/>
      <c r="Q51" s="10"/>
      <c r="R51" s="11"/>
      <c r="S51" s="11"/>
      <c r="T51" s="26"/>
      <c r="U51" s="28">
        <f t="shared" si="2"/>
        <v>0.90347036202095199</v>
      </c>
    </row>
    <row r="52" spans="1:21" ht="16.5" thickBot="1" x14ac:dyDescent="0.3">
      <c r="B52" s="12"/>
      <c r="C52" s="19">
        <v>290.83999999999997</v>
      </c>
      <c r="D52" s="20">
        <v>27.518000000000001</v>
      </c>
      <c r="E52" s="20">
        <v>33.552999999999997</v>
      </c>
      <c r="F52" s="20">
        <v>34.889000000000003</v>
      </c>
      <c r="G52" s="20">
        <v>88.21</v>
      </c>
      <c r="H52" s="20">
        <f t="shared" si="0"/>
        <v>29.193750000000001</v>
      </c>
      <c r="I52" s="5"/>
      <c r="J52" s="19">
        <v>302.73439999999999</v>
      </c>
      <c r="K52" s="20">
        <v>27.650700000000001</v>
      </c>
      <c r="L52" s="20">
        <v>34.209099999999999</v>
      </c>
      <c r="M52" s="20">
        <v>35.683</v>
      </c>
      <c r="N52" s="20">
        <v>186.6833</v>
      </c>
      <c r="O52" s="20">
        <f t="shared" si="1"/>
        <v>29.4745375</v>
      </c>
      <c r="P52" s="7"/>
      <c r="Q52" s="13"/>
      <c r="R52" s="14"/>
      <c r="S52" s="14"/>
      <c r="T52" s="27"/>
      <c r="U52" s="28">
        <f t="shared" si="2"/>
        <v>1.1163507538827799</v>
      </c>
    </row>
    <row r="53" spans="1:21" x14ac:dyDescent="0.25">
      <c r="A53" s="6" t="s">
        <v>41</v>
      </c>
      <c r="B53" s="6" t="s">
        <v>57</v>
      </c>
      <c r="C53" s="15">
        <v>639.05999999999995</v>
      </c>
      <c r="D53" s="16">
        <v>33.51</v>
      </c>
      <c r="E53" s="16">
        <v>38.473999999999997</v>
      </c>
      <c r="F53" s="16">
        <v>37.188000000000002</v>
      </c>
      <c r="G53" s="16">
        <v>228.94</v>
      </c>
      <c r="H53" s="16">
        <f t="shared" si="0"/>
        <v>34.590249999999997</v>
      </c>
      <c r="I53" s="5"/>
      <c r="J53" s="15">
        <v>605.77279999999996</v>
      </c>
      <c r="K53" s="16">
        <v>34.363900000000001</v>
      </c>
      <c r="L53" s="16">
        <v>39.734200000000001</v>
      </c>
      <c r="M53" s="16">
        <v>38.252099999999999</v>
      </c>
      <c r="N53" s="16">
        <v>381.67939999999999</v>
      </c>
      <c r="O53" s="16">
        <f t="shared" si="1"/>
        <v>35.521212499999997</v>
      </c>
      <c r="P53" s="7"/>
      <c r="Q53" s="8">
        <f>bdrate(C53:C56,D53:D56,J53:J56,K53:K56)</f>
        <v>-0.13471836052722097</v>
      </c>
      <c r="R53" s="8">
        <f>bdrate(C53:C56,E53:E56,J53:J56,L53:L56)</f>
        <v>-0.38602779355855532</v>
      </c>
      <c r="S53" s="8">
        <f>bdrate(C53:C56,F53:F56,J53:J56,M53:M56)</f>
        <v>-0.30821919051726565</v>
      </c>
      <c r="T53" s="25">
        <f>bdrate(C53:C56,H53:H56,J53:J56,O53:O56)</f>
        <v>-0.1758164966876018</v>
      </c>
      <c r="U53" s="28">
        <f t="shared" si="2"/>
        <v>0.66715908098191656</v>
      </c>
    </row>
    <row r="54" spans="1:21" x14ac:dyDescent="0.25">
      <c r="A54" s="9" t="s">
        <v>42</v>
      </c>
      <c r="B54" s="9"/>
      <c r="C54" s="17">
        <v>429.22</v>
      </c>
      <c r="D54" s="18">
        <v>31.97</v>
      </c>
      <c r="E54" s="18">
        <v>37.472999999999999</v>
      </c>
      <c r="F54" s="18">
        <v>36.043999999999997</v>
      </c>
      <c r="G54" s="18">
        <v>264.83</v>
      </c>
      <c r="H54" s="18">
        <f t="shared" si="0"/>
        <v>33.167124999999999</v>
      </c>
      <c r="I54" s="5"/>
      <c r="J54" s="17">
        <v>405.08479999999997</v>
      </c>
      <c r="K54" s="18">
        <v>32.584699999999998</v>
      </c>
      <c r="L54" s="18">
        <v>38.533799999999999</v>
      </c>
      <c r="M54" s="18">
        <v>36.893599999999999</v>
      </c>
      <c r="N54" s="18">
        <v>451.6712</v>
      </c>
      <c r="O54" s="18">
        <f t="shared" si="1"/>
        <v>33.866949999999996</v>
      </c>
      <c r="P54" s="7"/>
      <c r="Q54" s="10"/>
      <c r="R54" s="11"/>
      <c r="S54" s="11"/>
      <c r="T54" s="26"/>
      <c r="U54" s="28">
        <f t="shared" si="2"/>
        <v>0.70551372578635363</v>
      </c>
    </row>
    <row r="55" spans="1:21" x14ac:dyDescent="0.25">
      <c r="B55" s="9"/>
      <c r="C55" s="17">
        <v>268.95999999999998</v>
      </c>
      <c r="D55" s="18">
        <v>30.349</v>
      </c>
      <c r="E55" s="18">
        <v>36.515000000000001</v>
      </c>
      <c r="F55" s="18">
        <v>34.854999999999997</v>
      </c>
      <c r="G55" s="18">
        <v>305.25</v>
      </c>
      <c r="H55" s="18">
        <f t="shared" si="0"/>
        <v>31.682999999999996</v>
      </c>
      <c r="I55" s="5"/>
      <c r="J55" s="17">
        <v>254.43360000000001</v>
      </c>
      <c r="K55" s="18">
        <v>30.656500000000001</v>
      </c>
      <c r="L55" s="18">
        <v>37.442300000000003</v>
      </c>
      <c r="M55" s="18">
        <v>35.664900000000003</v>
      </c>
      <c r="N55" s="18">
        <v>561.79780000000005</v>
      </c>
      <c r="O55" s="18">
        <f t="shared" si="1"/>
        <v>32.130775</v>
      </c>
      <c r="P55" s="7"/>
      <c r="Q55" s="10"/>
      <c r="R55" s="11"/>
      <c r="S55" s="11"/>
      <c r="T55" s="26"/>
      <c r="U55" s="28">
        <f t="shared" si="2"/>
        <v>0.84045143325143346</v>
      </c>
    </row>
    <row r="56" spans="1:21" ht="16.5" thickBot="1" x14ac:dyDescent="0.3">
      <c r="B56" s="12"/>
      <c r="C56" s="19">
        <v>128.41999999999999</v>
      </c>
      <c r="D56" s="20">
        <v>28</v>
      </c>
      <c r="E56" s="20">
        <v>35.084000000000003</v>
      </c>
      <c r="F56" s="20">
        <v>32.978999999999999</v>
      </c>
      <c r="G56" s="20">
        <v>395.57</v>
      </c>
      <c r="H56" s="20">
        <f t="shared" si="0"/>
        <v>29.507874999999999</v>
      </c>
      <c r="I56" s="5"/>
      <c r="J56" s="19">
        <v>122.996</v>
      </c>
      <c r="K56" s="20">
        <v>27.891400000000001</v>
      </c>
      <c r="L56" s="20">
        <v>35.864199999999997</v>
      </c>
      <c r="M56" s="20">
        <v>33.802599999999998</v>
      </c>
      <c r="N56" s="20">
        <v>781.25</v>
      </c>
      <c r="O56" s="20">
        <f t="shared" si="1"/>
        <v>29.626899999999999</v>
      </c>
      <c r="P56" s="7"/>
      <c r="Q56" s="13"/>
      <c r="R56" s="14"/>
      <c r="S56" s="14"/>
      <c r="T56" s="27"/>
      <c r="U56" s="28">
        <f t="shared" si="2"/>
        <v>0.97499810400182019</v>
      </c>
    </row>
    <row r="57" spans="1:21" x14ac:dyDescent="0.25">
      <c r="B57" s="6" t="s">
        <v>58</v>
      </c>
      <c r="C57" s="15">
        <v>556.13</v>
      </c>
      <c r="D57" s="16">
        <v>30.18</v>
      </c>
      <c r="E57" s="16">
        <v>38.613</v>
      </c>
      <c r="F57" s="16">
        <v>39.31</v>
      </c>
      <c r="G57" s="16">
        <v>384.62</v>
      </c>
      <c r="H57" s="16">
        <f t="shared" si="0"/>
        <v>32.375374999999998</v>
      </c>
      <c r="I57" s="5"/>
      <c r="J57" s="15">
        <v>604.36559999999997</v>
      </c>
      <c r="K57" s="16">
        <v>33.636299999999999</v>
      </c>
      <c r="L57" s="16">
        <v>41.261499999999998</v>
      </c>
      <c r="M57" s="16">
        <v>42.127699999999997</v>
      </c>
      <c r="N57" s="16">
        <v>458.01530000000002</v>
      </c>
      <c r="O57" s="16">
        <f t="shared" si="1"/>
        <v>35.650874999999999</v>
      </c>
      <c r="P57" s="7"/>
      <c r="Q57" s="8">
        <f>bdrate(C57:C60,D57:D60,J57:J60,K57:K60)</f>
        <v>-0.62506581644876347</v>
      </c>
      <c r="R57" s="8">
        <f>bdrate(C57:C60,E57:E60,J57:J60,L57:L60)</f>
        <v>-0.73131982338217172</v>
      </c>
      <c r="S57" s="8">
        <f>bdrate(C57:C60,F57:F60,J57:J60,M57:M60)</f>
        <v>-0.70053667851065327</v>
      </c>
      <c r="T57" s="25">
        <f>bdrate(C57:C60,H57:H60,J57:J60,O57:O60)</f>
        <v>-0.63753592134337289</v>
      </c>
      <c r="U57" s="28">
        <f t="shared" si="2"/>
        <v>0.19082549009411892</v>
      </c>
    </row>
    <row r="58" spans="1:21" x14ac:dyDescent="0.25">
      <c r="B58" s="9"/>
      <c r="C58" s="17">
        <v>367.45</v>
      </c>
      <c r="D58" s="18">
        <v>28.838999999999999</v>
      </c>
      <c r="E58" s="18">
        <v>38.183</v>
      </c>
      <c r="F58" s="18">
        <v>38.762999999999998</v>
      </c>
      <c r="G58" s="18">
        <v>463.32</v>
      </c>
      <c r="H58" s="18">
        <f t="shared" si="0"/>
        <v>31.247499999999999</v>
      </c>
      <c r="I58" s="5"/>
      <c r="J58" s="17">
        <v>403.83920000000001</v>
      </c>
      <c r="K58" s="18">
        <v>32.382399999999997</v>
      </c>
      <c r="L58" s="18">
        <v>40.468800000000002</v>
      </c>
      <c r="M58" s="18">
        <v>41.338299999999997</v>
      </c>
      <c r="N58" s="18">
        <v>573.61379999999997</v>
      </c>
      <c r="O58" s="18">
        <f t="shared" si="1"/>
        <v>34.512687499999998</v>
      </c>
      <c r="P58" s="7"/>
      <c r="Q58" s="10"/>
      <c r="R58" s="11"/>
      <c r="S58" s="11"/>
      <c r="T58" s="26"/>
      <c r="U58" s="28">
        <f t="shared" si="2"/>
        <v>0.23805102305102299</v>
      </c>
    </row>
    <row r="59" spans="1:21" x14ac:dyDescent="0.25">
      <c r="B59" s="9"/>
      <c r="C59" s="17">
        <v>229.47</v>
      </c>
      <c r="D59" s="18">
        <v>27.422999999999998</v>
      </c>
      <c r="E59" s="18">
        <v>37.771000000000001</v>
      </c>
      <c r="F59" s="18">
        <v>38.325000000000003</v>
      </c>
      <c r="G59" s="18">
        <v>519.48</v>
      </c>
      <c r="H59" s="18">
        <f t="shared" si="0"/>
        <v>30.079249999999995</v>
      </c>
      <c r="I59" s="5"/>
      <c r="J59" s="17">
        <v>252.4776</v>
      </c>
      <c r="K59" s="18">
        <v>30.860900000000001</v>
      </c>
      <c r="L59" s="18">
        <v>39.5244</v>
      </c>
      <c r="M59" s="18">
        <v>40.261000000000003</v>
      </c>
      <c r="N59" s="18">
        <v>725.51390000000004</v>
      </c>
      <c r="O59" s="18">
        <f t="shared" si="1"/>
        <v>33.118850000000002</v>
      </c>
      <c r="P59" s="7"/>
      <c r="Q59" s="10"/>
      <c r="R59" s="11"/>
      <c r="S59" s="11"/>
      <c r="T59" s="26"/>
      <c r="U59" s="28">
        <f t="shared" si="2"/>
        <v>0.39661565411565414</v>
      </c>
    </row>
    <row r="60" spans="1:21" ht="16.5" thickBot="1" x14ac:dyDescent="0.3">
      <c r="B60" s="12"/>
      <c r="C60" s="19">
        <v>106.01</v>
      </c>
      <c r="D60" s="20">
        <v>25.094999999999999</v>
      </c>
      <c r="E60" s="20">
        <v>37.063000000000002</v>
      </c>
      <c r="F60" s="20">
        <v>37.323</v>
      </c>
      <c r="G60" s="20">
        <v>611</v>
      </c>
      <c r="H60" s="20">
        <f t="shared" si="0"/>
        <v>28.119499999999999</v>
      </c>
      <c r="I60" s="5"/>
      <c r="J60" s="19">
        <v>120.70959999999999</v>
      </c>
      <c r="K60" s="20">
        <v>28.351299999999998</v>
      </c>
      <c r="L60" s="20">
        <v>38.346200000000003</v>
      </c>
      <c r="M60" s="20">
        <v>38.786499999999997</v>
      </c>
      <c r="N60" s="20">
        <v>986.84209999999996</v>
      </c>
      <c r="O60" s="20">
        <f t="shared" si="1"/>
        <v>30.9050625</v>
      </c>
      <c r="P60" s="7"/>
      <c r="Q60" s="13"/>
      <c r="R60" s="14"/>
      <c r="S60" s="14"/>
      <c r="T60" s="27"/>
      <c r="U60" s="28">
        <f t="shared" si="2"/>
        <v>0.61512618657937801</v>
      </c>
    </row>
    <row r="61" spans="1:21" x14ac:dyDescent="0.25">
      <c r="B61" s="6" t="s">
        <v>59</v>
      </c>
      <c r="C61" s="29">
        <v>641.41</v>
      </c>
      <c r="D61" s="30">
        <v>31.187000000000001</v>
      </c>
      <c r="E61" s="30">
        <v>35.997999999999998</v>
      </c>
      <c r="F61" s="30">
        <v>36.554000000000002</v>
      </c>
      <c r="G61" s="16">
        <v>286.2</v>
      </c>
      <c r="H61" s="16">
        <f t="shared" si="0"/>
        <v>32.459249999999997</v>
      </c>
      <c r="I61" s="5"/>
      <c r="J61" s="29">
        <v>643.15440000000001</v>
      </c>
      <c r="K61" s="30">
        <v>33.180500000000002</v>
      </c>
      <c r="L61" s="30">
        <v>38.228499999999997</v>
      </c>
      <c r="M61" s="30">
        <v>38.942100000000003</v>
      </c>
      <c r="N61" s="16">
        <v>411.18419999999998</v>
      </c>
      <c r="O61" s="16">
        <f t="shared" si="1"/>
        <v>34.531700000000001</v>
      </c>
      <c r="P61" s="7"/>
      <c r="Q61" s="8">
        <f>bdrate(C61:C64,D61:D64,J61:J64,K61:K64)</f>
        <v>-0.39475094817271172</v>
      </c>
      <c r="R61" s="8">
        <f>bdrate(C61:C64,E61:E64,J61:J64,L61:L64)</f>
        <v>-0.60867652661063354</v>
      </c>
      <c r="S61" s="8">
        <f>bdrate(C61:C64,F61:F64,J61:J64,M61:M64)</f>
        <v>-0.62675520365537762</v>
      </c>
      <c r="T61" s="25">
        <f>bdrate(C61:C64,H61:H64,J61:J64,O61:O64)</f>
        <v>-0.44172908471036354</v>
      </c>
      <c r="U61" s="28">
        <f t="shared" si="2"/>
        <v>0.43670230607966454</v>
      </c>
    </row>
    <row r="62" spans="1:21" x14ac:dyDescent="0.25">
      <c r="B62" s="9"/>
      <c r="C62" s="31">
        <v>425.85</v>
      </c>
      <c r="D62" s="32">
        <v>29.783999999999999</v>
      </c>
      <c r="E62" s="32">
        <v>35.03</v>
      </c>
      <c r="F62" s="32">
        <v>35.570999999999998</v>
      </c>
      <c r="G62" s="18">
        <v>337.38</v>
      </c>
      <c r="H62" s="18">
        <f t="shared" si="0"/>
        <v>31.163125000000001</v>
      </c>
      <c r="I62" s="5"/>
      <c r="J62" s="31">
        <v>427.54719999999998</v>
      </c>
      <c r="K62" s="32">
        <v>31.614899999999999</v>
      </c>
      <c r="L62" s="32">
        <v>37.187399999999997</v>
      </c>
      <c r="M62" s="32">
        <v>37.8996</v>
      </c>
      <c r="N62" s="18">
        <v>501.00200000000001</v>
      </c>
      <c r="O62" s="18">
        <f t="shared" si="1"/>
        <v>33.097049999999996</v>
      </c>
      <c r="P62" s="7"/>
      <c r="Q62" s="10"/>
      <c r="R62" s="11"/>
      <c r="S62" s="11"/>
      <c r="T62" s="26"/>
      <c r="U62" s="28">
        <f t="shared" si="2"/>
        <v>0.48497836267710004</v>
      </c>
    </row>
    <row r="63" spans="1:21" x14ac:dyDescent="0.25">
      <c r="B63" s="9"/>
      <c r="C63" s="31">
        <v>264.64999999999998</v>
      </c>
      <c r="D63" s="32">
        <v>28.318000000000001</v>
      </c>
      <c r="E63" s="32">
        <v>34.161000000000001</v>
      </c>
      <c r="F63" s="32">
        <v>34.718000000000004</v>
      </c>
      <c r="G63" s="18">
        <v>386.1</v>
      </c>
      <c r="H63" s="18">
        <f t="shared" si="0"/>
        <v>29.848375000000004</v>
      </c>
      <c r="I63" s="5"/>
      <c r="J63" s="31">
        <v>266.7056</v>
      </c>
      <c r="K63" s="32">
        <v>29.956299999999999</v>
      </c>
      <c r="L63" s="32">
        <v>36.056399999999996</v>
      </c>
      <c r="M63" s="32">
        <v>36.7361</v>
      </c>
      <c r="N63" s="18">
        <v>616.52279999999996</v>
      </c>
      <c r="O63" s="18">
        <f t="shared" si="1"/>
        <v>31.566287499999998</v>
      </c>
      <c r="P63" s="7"/>
      <c r="Q63" s="10"/>
      <c r="R63" s="11"/>
      <c r="S63" s="11"/>
      <c r="T63" s="26"/>
      <c r="U63" s="28">
        <f t="shared" si="2"/>
        <v>0.59679564879564861</v>
      </c>
    </row>
    <row r="64" spans="1:21" ht="16.5" thickBot="1" x14ac:dyDescent="0.3">
      <c r="B64" s="12"/>
      <c r="C64" s="33">
        <v>124.87</v>
      </c>
      <c r="D64" s="34">
        <v>26.242999999999999</v>
      </c>
      <c r="E64" s="34">
        <v>32.799999999999997</v>
      </c>
      <c r="F64" s="34">
        <v>33.417999999999999</v>
      </c>
      <c r="G64" s="20">
        <v>478.47</v>
      </c>
      <c r="H64" s="20">
        <f t="shared" si="0"/>
        <v>27.959499999999998</v>
      </c>
      <c r="I64" s="5"/>
      <c r="J64" s="33">
        <v>127.91759999999999</v>
      </c>
      <c r="K64" s="34">
        <v>27.517499999999998</v>
      </c>
      <c r="L64" s="34">
        <v>34.535499999999999</v>
      </c>
      <c r="M64" s="34">
        <v>35.145400000000002</v>
      </c>
      <c r="N64" s="20">
        <v>891.26559999999995</v>
      </c>
      <c r="O64" s="20">
        <f t="shared" si="1"/>
        <v>29.348237499999996</v>
      </c>
      <c r="P64" s="7"/>
      <c r="Q64" s="13"/>
      <c r="R64" s="14"/>
      <c r="S64" s="14"/>
      <c r="T64" s="27"/>
      <c r="U64" s="28">
        <f t="shared" si="2"/>
        <v>0.86274081969611449</v>
      </c>
    </row>
    <row r="65" spans="1:21" x14ac:dyDescent="0.25">
      <c r="B65" s="6" t="s">
        <v>60</v>
      </c>
      <c r="C65" s="15">
        <v>582.86</v>
      </c>
      <c r="D65" s="16">
        <v>32.643999999999998</v>
      </c>
      <c r="E65" s="16">
        <v>36.655000000000001</v>
      </c>
      <c r="F65" s="16">
        <v>37.756999999999998</v>
      </c>
      <c r="G65" s="16">
        <v>174.83</v>
      </c>
      <c r="H65" s="16">
        <f t="shared" si="0"/>
        <v>33.784499999999994</v>
      </c>
      <c r="I65" s="5"/>
      <c r="J65" s="15">
        <v>605.52719999999999</v>
      </c>
      <c r="K65" s="16">
        <v>33.870600000000003</v>
      </c>
      <c r="L65" s="16">
        <v>37.7288</v>
      </c>
      <c r="M65" s="16">
        <v>38.817599999999999</v>
      </c>
      <c r="N65" s="16">
        <v>278.81040000000002</v>
      </c>
      <c r="O65" s="16">
        <f t="shared" si="1"/>
        <v>34.971250000000005</v>
      </c>
      <c r="P65" s="7"/>
      <c r="Q65" s="8">
        <f>bdrate(C65:C68,D65:D68,J65:J68,K65:K68)</f>
        <v>-0.14602317276903798</v>
      </c>
      <c r="R65" s="8">
        <f>bdrate(C65:C68,E65:E68,J65:J68,L65:L68)</f>
        <v>-0.29701307057760784</v>
      </c>
      <c r="S65" s="8">
        <f>bdrate(C65:C68,F65:F68,J65:J68,M65:M68)</f>
        <v>-0.30635836484150902</v>
      </c>
      <c r="T65" s="25">
        <f>bdrate(C65:C68,H65:H68,J65:J68,O65:O68)</f>
        <v>-0.1786321739959853</v>
      </c>
      <c r="U65" s="28">
        <f t="shared" si="2"/>
        <v>0.59475147285934904</v>
      </c>
    </row>
    <row r="66" spans="1:21" x14ac:dyDescent="0.25">
      <c r="B66" s="9"/>
      <c r="C66" s="17">
        <v>390.46</v>
      </c>
      <c r="D66" s="18">
        <v>31.132000000000001</v>
      </c>
      <c r="E66" s="18">
        <v>35.609000000000002</v>
      </c>
      <c r="F66" s="18">
        <v>36.652000000000001</v>
      </c>
      <c r="G66" s="18">
        <v>202.43</v>
      </c>
      <c r="H66" s="18">
        <f t="shared" si="0"/>
        <v>32.381625</v>
      </c>
      <c r="I66" s="5"/>
      <c r="J66" s="17">
        <v>403.67599999999999</v>
      </c>
      <c r="K66" s="18">
        <v>32.028399999999998</v>
      </c>
      <c r="L66" s="18">
        <v>36.571199999999997</v>
      </c>
      <c r="M66" s="18">
        <v>37.690199999999997</v>
      </c>
      <c r="N66" s="18">
        <v>315.45740000000001</v>
      </c>
      <c r="O66" s="18">
        <f t="shared" si="1"/>
        <v>33.303974999999994</v>
      </c>
      <c r="P66" s="7"/>
      <c r="Q66" s="10"/>
      <c r="R66" s="11"/>
      <c r="S66" s="11"/>
      <c r="T66" s="26"/>
      <c r="U66" s="28">
        <f t="shared" si="2"/>
        <v>0.55835301091735412</v>
      </c>
    </row>
    <row r="67" spans="1:21" x14ac:dyDescent="0.25">
      <c r="B67" s="9"/>
      <c r="C67" s="17">
        <v>245.46</v>
      </c>
      <c r="D67" s="18">
        <v>29.599</v>
      </c>
      <c r="E67" s="18">
        <v>34.603999999999999</v>
      </c>
      <c r="F67" s="18">
        <v>35.564</v>
      </c>
      <c r="G67" s="18">
        <v>237.34</v>
      </c>
      <c r="H67" s="18">
        <f t="shared" si="0"/>
        <v>30.970249999999997</v>
      </c>
      <c r="I67" s="5"/>
      <c r="J67" s="17">
        <v>252.88560000000001</v>
      </c>
      <c r="K67" s="18">
        <v>30.223700000000001</v>
      </c>
      <c r="L67" s="18">
        <v>35.4133</v>
      </c>
      <c r="M67" s="18">
        <v>36.466500000000003</v>
      </c>
      <c r="N67" s="18">
        <v>427.35039999999998</v>
      </c>
      <c r="O67" s="18">
        <f t="shared" si="1"/>
        <v>31.652749999999997</v>
      </c>
      <c r="P67" s="7"/>
      <c r="Q67" s="10"/>
      <c r="R67" s="11"/>
      <c r="S67" s="11"/>
      <c r="T67" s="26"/>
      <c r="U67" s="28">
        <f t="shared" si="2"/>
        <v>0.80058312968736822</v>
      </c>
    </row>
    <row r="68" spans="1:21" ht="16.5" thickBot="1" x14ac:dyDescent="0.3">
      <c r="B68" s="12"/>
      <c r="C68" s="19">
        <v>117.94</v>
      </c>
      <c r="D68" s="20">
        <v>27.460999999999999</v>
      </c>
      <c r="E68" s="20">
        <v>32.972000000000001</v>
      </c>
      <c r="F68" s="20">
        <v>33.832999999999998</v>
      </c>
      <c r="G68" s="20">
        <v>300.60000000000002</v>
      </c>
      <c r="H68" s="20">
        <f t="shared" si="0"/>
        <v>28.946375</v>
      </c>
      <c r="I68" s="5"/>
      <c r="J68" s="19">
        <v>122.1144</v>
      </c>
      <c r="K68" s="20">
        <v>27.742799999999999</v>
      </c>
      <c r="L68" s="20">
        <v>33.941800000000001</v>
      </c>
      <c r="M68" s="20">
        <v>34.902099999999997</v>
      </c>
      <c r="N68" s="20">
        <v>601.20240000000001</v>
      </c>
      <c r="O68" s="20">
        <f t="shared" si="1"/>
        <v>29.412587499999997</v>
      </c>
      <c r="P68" s="7"/>
      <c r="Q68" s="13"/>
      <c r="R68" s="14"/>
      <c r="S68" s="14"/>
      <c r="T68" s="27"/>
      <c r="U68" s="28">
        <f t="shared" si="2"/>
        <v>1.000007984031936</v>
      </c>
    </row>
    <row r="69" spans="1:21" x14ac:dyDescent="0.25">
      <c r="A69" s="6" t="s">
        <v>43</v>
      </c>
      <c r="B69" s="6" t="s">
        <v>61</v>
      </c>
      <c r="C69" s="15">
        <v>1389.93</v>
      </c>
      <c r="D69" s="16">
        <v>39.808999999999997</v>
      </c>
      <c r="E69" s="16">
        <v>44.103000000000002</v>
      </c>
      <c r="F69" s="16">
        <v>45.277000000000001</v>
      </c>
      <c r="G69" s="16">
        <v>60.57</v>
      </c>
      <c r="H69" s="16">
        <f t="shared" si="0"/>
        <v>41.029249999999998</v>
      </c>
      <c r="I69" s="5"/>
      <c r="J69" s="15">
        <v>1494.3152</v>
      </c>
      <c r="K69" s="16">
        <v>41.3508</v>
      </c>
      <c r="L69" s="16">
        <v>45.814900000000002</v>
      </c>
      <c r="M69" s="16">
        <v>47.022599999999997</v>
      </c>
      <c r="N69" s="16">
        <v>115.1631</v>
      </c>
      <c r="O69" s="16">
        <f t="shared" si="1"/>
        <v>42.617787500000006</v>
      </c>
      <c r="P69" s="7"/>
      <c r="Q69" s="8">
        <f>bdrate(C69:C72,D69:D72,J69:J72,K69:K72)</f>
        <v>-0.33678607772029434</v>
      </c>
      <c r="R69" s="8">
        <f>bdrate(C69:C72,E69:E72,J69:J72,L69:L72)</f>
        <v>-0.41816829423090174</v>
      </c>
      <c r="S69" s="8">
        <f>bdrate(C69:C72,F69:F72,J69:J72,M69:M72)</f>
        <v>-0.41386489950147487</v>
      </c>
      <c r="T69" s="25">
        <f>bdrate(C69:C72,H69:H72,J69:J72,O69:O72)</f>
        <v>-0.35104275350353664</v>
      </c>
      <c r="U69" s="28">
        <f t="shared" si="2"/>
        <v>0.90132243684992575</v>
      </c>
    </row>
    <row r="70" spans="1:21" x14ac:dyDescent="0.25">
      <c r="A70" s="9" t="s">
        <v>44</v>
      </c>
      <c r="B70" s="9"/>
      <c r="C70" s="17">
        <v>917.35</v>
      </c>
      <c r="D70" s="18">
        <v>38.454000000000001</v>
      </c>
      <c r="E70" s="18">
        <v>43.052999999999997</v>
      </c>
      <c r="F70" s="18">
        <v>44.213999999999999</v>
      </c>
      <c r="G70" s="18">
        <v>73.260000000000005</v>
      </c>
      <c r="H70" s="18">
        <f t="shared" si="0"/>
        <v>39.748874999999998</v>
      </c>
      <c r="I70" s="5"/>
      <c r="J70" s="17">
        <v>984.78319999999997</v>
      </c>
      <c r="K70" s="18">
        <v>40.255099999999999</v>
      </c>
      <c r="L70" s="18">
        <v>44.865600000000001</v>
      </c>
      <c r="M70" s="18">
        <v>46.0745</v>
      </c>
      <c r="N70" s="18">
        <v>129.50569999999999</v>
      </c>
      <c r="O70" s="18">
        <f t="shared" si="1"/>
        <v>41.558837500000003</v>
      </c>
      <c r="P70" s="7"/>
      <c r="Q70" s="10"/>
      <c r="R70" s="11"/>
      <c r="S70" s="11"/>
      <c r="T70" s="26"/>
      <c r="U70" s="28">
        <f t="shared" si="2"/>
        <v>0.76775457275457248</v>
      </c>
    </row>
    <row r="71" spans="1:21" x14ac:dyDescent="0.25">
      <c r="B71" s="9"/>
      <c r="C71" s="17">
        <v>544.66</v>
      </c>
      <c r="D71" s="18">
        <v>36.58</v>
      </c>
      <c r="E71" s="18">
        <v>42.073</v>
      </c>
      <c r="F71" s="18">
        <v>43.143000000000001</v>
      </c>
      <c r="G71" s="18">
        <v>82.18</v>
      </c>
      <c r="H71" s="18">
        <f t="shared" si="0"/>
        <v>38.087000000000003</v>
      </c>
      <c r="I71" s="5"/>
      <c r="J71" s="17">
        <v>574.80799999999999</v>
      </c>
      <c r="K71" s="18">
        <v>38.377200000000002</v>
      </c>
      <c r="L71" s="18">
        <v>43.377400000000002</v>
      </c>
      <c r="M71" s="18">
        <v>44.549300000000002</v>
      </c>
      <c r="N71" s="18">
        <v>150.8296</v>
      </c>
      <c r="O71" s="18">
        <f t="shared" si="1"/>
        <v>39.773737500000003</v>
      </c>
      <c r="P71" s="7"/>
      <c r="Q71" s="10"/>
      <c r="R71" s="11"/>
      <c r="S71" s="11"/>
      <c r="T71" s="26"/>
      <c r="U71" s="28">
        <f t="shared" si="2"/>
        <v>0.8353565344366024</v>
      </c>
    </row>
    <row r="72" spans="1:21" ht="16.5" thickBot="1" x14ac:dyDescent="0.3">
      <c r="B72" s="12"/>
      <c r="C72" s="19">
        <v>259.68</v>
      </c>
      <c r="D72" s="20">
        <v>34.432000000000002</v>
      </c>
      <c r="E72" s="20">
        <v>41.05</v>
      </c>
      <c r="F72" s="20">
        <v>41.984000000000002</v>
      </c>
      <c r="G72" s="20">
        <v>92.68</v>
      </c>
      <c r="H72" s="20">
        <f t="shared" si="0"/>
        <v>36.203249999999997</v>
      </c>
      <c r="I72" s="5"/>
      <c r="J72" s="19">
        <v>281.50319999999999</v>
      </c>
      <c r="K72" s="20">
        <v>35.328800000000001</v>
      </c>
      <c r="L72" s="20">
        <v>41.579799999999999</v>
      </c>
      <c r="M72" s="20">
        <v>42.572800000000001</v>
      </c>
      <c r="N72" s="20">
        <v>181.4333</v>
      </c>
      <c r="O72" s="20">
        <f t="shared" si="1"/>
        <v>37.015675000000002</v>
      </c>
      <c r="P72" s="7"/>
      <c r="Q72" s="13"/>
      <c r="R72" s="14"/>
      <c r="S72" s="14"/>
      <c r="T72" s="27"/>
      <c r="U72" s="28">
        <f t="shared" si="2"/>
        <v>0.95763163573586518</v>
      </c>
    </row>
    <row r="73" spans="1:21" x14ac:dyDescent="0.25">
      <c r="B73" s="6" t="s">
        <v>62</v>
      </c>
      <c r="C73" s="15">
        <v>1436.16</v>
      </c>
      <c r="D73" s="16">
        <v>41.62</v>
      </c>
      <c r="E73" s="16">
        <v>46.527000000000001</v>
      </c>
      <c r="F73" s="16">
        <v>47.133000000000003</v>
      </c>
      <c r="G73" s="16">
        <v>65.3</v>
      </c>
      <c r="H73" s="16">
        <f t="shared" si="0"/>
        <v>42.922499999999992</v>
      </c>
      <c r="I73" s="5"/>
      <c r="J73" s="15">
        <v>1477.9767999999999</v>
      </c>
      <c r="K73" s="16">
        <v>42.629199999999997</v>
      </c>
      <c r="L73" s="16">
        <v>47.865499999999997</v>
      </c>
      <c r="M73" s="16">
        <v>48.527700000000003</v>
      </c>
      <c r="N73" s="16">
        <v>129.50569999999999</v>
      </c>
      <c r="O73" s="16">
        <f t="shared" si="1"/>
        <v>44.021049999999995</v>
      </c>
      <c r="P73" s="7"/>
      <c r="Q73" s="8">
        <f>bdrate(C73:C76,D73:D76,J73:J76,K73:K76)</f>
        <v>-0.44335523591262627</v>
      </c>
      <c r="R73" s="8">
        <f>bdrate(C73:C76,E73:E76,J73:J76,L73:L76)</f>
        <v>-0.5544208990013515</v>
      </c>
      <c r="S73" s="8">
        <f>bdrate(C73:C76,F73:F76,J73:J76,M73:M76)</f>
        <v>-0.56937395009190761</v>
      </c>
      <c r="T73" s="25">
        <f>bdrate(C73:C76,H73:H76,J73:J76,O73:O76)</f>
        <v>-0.47511499288659909</v>
      </c>
      <c r="U73" s="28">
        <f t="shared" ref="U73:U91" si="3">(N73-G73)/G73</f>
        <v>0.98324196018376719</v>
      </c>
    </row>
    <row r="74" spans="1:21" x14ac:dyDescent="0.25">
      <c r="B74" s="9"/>
      <c r="C74" s="17">
        <v>950.67</v>
      </c>
      <c r="D74" s="18">
        <v>40.945999999999998</v>
      </c>
      <c r="E74" s="18">
        <v>45.841999999999999</v>
      </c>
      <c r="F74" s="18">
        <v>46.405999999999999</v>
      </c>
      <c r="G74" s="18">
        <v>76.02</v>
      </c>
      <c r="H74" s="18">
        <f t="shared" si="0"/>
        <v>42.240499999999997</v>
      </c>
      <c r="I74" s="5"/>
      <c r="J74" s="17">
        <v>971.61120000000005</v>
      </c>
      <c r="K74" s="18">
        <v>42.067399999999999</v>
      </c>
      <c r="L74" s="18">
        <v>47.371000000000002</v>
      </c>
      <c r="M74" s="18">
        <v>47.998100000000001</v>
      </c>
      <c r="N74" s="18">
        <v>145.70179999999999</v>
      </c>
      <c r="O74" s="18">
        <f t="shared" si="1"/>
        <v>43.471687500000002</v>
      </c>
      <c r="P74" s="7"/>
      <c r="Q74" s="10"/>
      <c r="R74" s="11"/>
      <c r="S74" s="11"/>
      <c r="T74" s="26"/>
      <c r="U74" s="28">
        <f t="shared" si="3"/>
        <v>0.9166245724809261</v>
      </c>
    </row>
    <row r="75" spans="1:21" x14ac:dyDescent="0.25">
      <c r="B75" s="9"/>
      <c r="C75" s="17">
        <v>562.48</v>
      </c>
      <c r="D75" s="18">
        <v>39.950000000000003</v>
      </c>
      <c r="E75" s="18">
        <v>44.927999999999997</v>
      </c>
      <c r="F75" s="18">
        <v>45.381999999999998</v>
      </c>
      <c r="G75" s="18">
        <v>83.8</v>
      </c>
      <c r="H75" s="18">
        <f t="shared" si="0"/>
        <v>41.251250000000006</v>
      </c>
      <c r="I75" s="5"/>
      <c r="J75" s="17">
        <v>577.4384</v>
      </c>
      <c r="K75" s="18">
        <v>41.207999999999998</v>
      </c>
      <c r="L75" s="18">
        <v>46.568800000000003</v>
      </c>
      <c r="M75" s="18">
        <v>47.177500000000002</v>
      </c>
      <c r="N75" s="18">
        <v>166.48169999999999</v>
      </c>
      <c r="O75" s="18">
        <f t="shared" si="1"/>
        <v>42.624287500000001</v>
      </c>
      <c r="P75" s="7"/>
      <c r="Q75" s="10"/>
      <c r="R75" s="11"/>
      <c r="S75" s="11"/>
      <c r="T75" s="26"/>
      <c r="U75" s="28">
        <f t="shared" si="3"/>
        <v>0.98665513126491644</v>
      </c>
    </row>
    <row r="76" spans="1:21" ht="16.5" thickBot="1" x14ac:dyDescent="0.3">
      <c r="B76" s="12"/>
      <c r="C76" s="19">
        <v>269.95999999999998</v>
      </c>
      <c r="D76" s="20">
        <v>38.088000000000001</v>
      </c>
      <c r="E76" s="20">
        <v>43.744999999999997</v>
      </c>
      <c r="F76" s="20">
        <v>44.005000000000003</v>
      </c>
      <c r="G76" s="20">
        <v>94.74</v>
      </c>
      <c r="H76" s="20">
        <f t="shared" si="0"/>
        <v>39.534750000000003</v>
      </c>
      <c r="I76" s="5"/>
      <c r="J76" s="19">
        <v>281.16320000000002</v>
      </c>
      <c r="K76" s="20">
        <v>39.445900000000002</v>
      </c>
      <c r="L76" s="20">
        <v>44.796599999999998</v>
      </c>
      <c r="M76" s="20">
        <v>45.404800000000002</v>
      </c>
      <c r="N76" s="20">
        <v>194.23759999999999</v>
      </c>
      <c r="O76" s="20">
        <f t="shared" si="1"/>
        <v>40.859600000000007</v>
      </c>
      <c r="P76" s="7"/>
      <c r="Q76" s="13"/>
      <c r="R76" s="14"/>
      <c r="S76" s="14"/>
      <c r="T76" s="27"/>
      <c r="U76" s="28">
        <f t="shared" si="3"/>
        <v>1.0502174371965378</v>
      </c>
    </row>
    <row r="77" spans="1:21" x14ac:dyDescent="0.25">
      <c r="B77" s="6" t="s">
        <v>63</v>
      </c>
      <c r="C77" s="15">
        <v>1506.51</v>
      </c>
      <c r="D77" s="16">
        <v>41.381999999999998</v>
      </c>
      <c r="E77" s="16">
        <v>45.531999999999996</v>
      </c>
      <c r="F77" s="16">
        <v>46.335000000000001</v>
      </c>
      <c r="G77" s="16">
        <v>58.9</v>
      </c>
      <c r="H77" s="16">
        <f t="shared" si="0"/>
        <v>42.519874999999992</v>
      </c>
      <c r="I77" s="5"/>
      <c r="J77" s="15">
        <v>1542.1432</v>
      </c>
      <c r="K77" s="16">
        <v>42.494900000000001</v>
      </c>
      <c r="L77" s="16">
        <v>46.9236</v>
      </c>
      <c r="M77" s="16">
        <v>47.825899999999997</v>
      </c>
      <c r="N77" s="16">
        <v>114.81059999999999</v>
      </c>
      <c r="O77" s="16">
        <f t="shared" si="1"/>
        <v>43.714862500000002</v>
      </c>
      <c r="P77" s="7"/>
      <c r="Q77" s="8">
        <f>bdrate(C77:C80,D77:D80,J77:J80,K77:K80)</f>
        <v>-0.37324901043442127</v>
      </c>
      <c r="R77" s="8">
        <f>bdrate(C77:C80,E77:E80,J77:J80,L77:L80)</f>
        <v>-0.44400604129821786</v>
      </c>
      <c r="S77" s="8">
        <f>bdrate(C77:C80,F77:F80,J77:J80,M77:M80)</f>
        <v>-0.44767011948321023</v>
      </c>
      <c r="T77" s="25">
        <f>bdrate(C77:C80,H77:H80,J77:J80,O77:O80)</f>
        <v>-0.38972777375915157</v>
      </c>
      <c r="U77" s="28">
        <f t="shared" si="3"/>
        <v>0.9492461799660441</v>
      </c>
    </row>
    <row r="78" spans="1:21" x14ac:dyDescent="0.25">
      <c r="B78" s="9"/>
      <c r="C78" s="17">
        <v>997.43</v>
      </c>
      <c r="D78" s="18">
        <v>40.338000000000001</v>
      </c>
      <c r="E78" s="18">
        <v>44.648000000000003</v>
      </c>
      <c r="F78" s="18">
        <v>45.463000000000001</v>
      </c>
      <c r="G78" s="18">
        <v>68.8</v>
      </c>
      <c r="H78" s="18">
        <f t="shared" si="0"/>
        <v>41.517375000000008</v>
      </c>
      <c r="I78" s="5"/>
      <c r="J78" s="17">
        <v>1014.0768</v>
      </c>
      <c r="K78" s="18">
        <v>41.68</v>
      </c>
      <c r="L78" s="18">
        <v>46.207099999999997</v>
      </c>
      <c r="M78" s="18">
        <v>47.0777</v>
      </c>
      <c r="N78" s="18">
        <v>129.50569999999999</v>
      </c>
      <c r="O78" s="18">
        <f t="shared" si="1"/>
        <v>42.9206</v>
      </c>
      <c r="P78" s="7"/>
      <c r="Q78" s="10"/>
      <c r="R78" s="11"/>
      <c r="S78" s="11"/>
      <c r="T78" s="26"/>
      <c r="U78" s="28">
        <f t="shared" si="3"/>
        <v>0.88235029069767434</v>
      </c>
    </row>
    <row r="79" spans="1:21" x14ac:dyDescent="0.25">
      <c r="B79" s="9"/>
      <c r="C79" s="17">
        <v>592.64</v>
      </c>
      <c r="D79" s="18">
        <v>38.78</v>
      </c>
      <c r="E79" s="18">
        <v>43.375999999999998</v>
      </c>
      <c r="F79" s="18">
        <v>44.317999999999998</v>
      </c>
      <c r="G79" s="18">
        <v>77.55</v>
      </c>
      <c r="H79" s="18">
        <f t="shared" si="0"/>
        <v>40.046749999999996</v>
      </c>
      <c r="I79" s="5"/>
      <c r="J79" s="17">
        <v>605.58960000000002</v>
      </c>
      <c r="K79" s="18">
        <v>40.362699999999997</v>
      </c>
      <c r="L79" s="18">
        <v>45.003</v>
      </c>
      <c r="M79" s="18">
        <v>45.888100000000001</v>
      </c>
      <c r="N79" s="18">
        <v>149.66329999999999</v>
      </c>
      <c r="O79" s="18">
        <f t="shared" si="1"/>
        <v>41.633412499999999</v>
      </c>
      <c r="P79" s="7"/>
      <c r="Q79" s="10"/>
      <c r="R79" s="11"/>
      <c r="S79" s="11"/>
      <c r="T79" s="26"/>
      <c r="U79" s="28">
        <f t="shared" si="3"/>
        <v>0.92989426176660217</v>
      </c>
    </row>
    <row r="80" spans="1:21" ht="16.5" thickBot="1" x14ac:dyDescent="0.3">
      <c r="B80" s="12"/>
      <c r="C80" s="19">
        <v>286.72000000000003</v>
      </c>
      <c r="D80" s="20">
        <v>36.561999999999998</v>
      </c>
      <c r="E80" s="20">
        <v>42.082999999999998</v>
      </c>
      <c r="F80" s="20">
        <v>43.018999999999998</v>
      </c>
      <c r="G80" s="20">
        <v>88.82</v>
      </c>
      <c r="H80" s="20">
        <f t="shared" si="0"/>
        <v>38.059249999999999</v>
      </c>
      <c r="I80" s="5"/>
      <c r="J80" s="19">
        <v>305.24079999999998</v>
      </c>
      <c r="K80" s="20">
        <v>37.771900000000002</v>
      </c>
      <c r="L80" s="20">
        <v>42.838999999999999</v>
      </c>
      <c r="M80" s="20">
        <v>43.744900000000001</v>
      </c>
      <c r="N80" s="20">
        <v>178.04150000000001</v>
      </c>
      <c r="O80" s="20">
        <f t="shared" si="1"/>
        <v>39.151912500000009</v>
      </c>
      <c r="P80" s="7"/>
      <c r="Q80" s="13"/>
      <c r="R80" s="14"/>
      <c r="S80" s="14"/>
      <c r="T80" s="27"/>
      <c r="U80" s="28">
        <f t="shared" si="3"/>
        <v>1.0045203782931775</v>
      </c>
    </row>
    <row r="81" spans="1:21" x14ac:dyDescent="0.25">
      <c r="A81" s="6" t="s">
        <v>94</v>
      </c>
      <c r="B81" s="6" t="s">
        <v>95</v>
      </c>
      <c r="C81" s="29">
        <v>1209.01</v>
      </c>
      <c r="D81" s="30">
        <v>41.692</v>
      </c>
      <c r="E81" s="30">
        <v>47.286000000000001</v>
      </c>
      <c r="F81" s="30">
        <v>48.220999999999997</v>
      </c>
      <c r="G81" s="16">
        <v>36.5</v>
      </c>
      <c r="H81" s="16">
        <f t="shared" ref="H81:H124" si="4">(6*D81+E81+F81)/8</f>
        <v>43.207374999999999</v>
      </c>
      <c r="I81" s="5"/>
      <c r="J81" s="15">
        <v>1285.4259</v>
      </c>
      <c r="K81" s="16">
        <v>43.733699999999999</v>
      </c>
      <c r="L81" s="16">
        <v>49.466500000000003</v>
      </c>
      <c r="M81" s="16">
        <v>50.424100000000003</v>
      </c>
      <c r="N81" s="16">
        <v>66.123000000000005</v>
      </c>
      <c r="O81" s="16">
        <f t="shared" ref="O81:O91" si="5">(6*K81+L81+M81)/8</f>
        <v>45.2866</v>
      </c>
      <c r="P81" s="7"/>
      <c r="Q81" s="8">
        <f>bdrate(C81:C84,D81:D84,J81:J84,K81:K84)</f>
        <v>-0.32438103815175667</v>
      </c>
      <c r="R81" s="8">
        <f>bdrate(C81:C84,E81:E84,J81:J84,L81:L84)</f>
        <v>-0.42493949329517133</v>
      </c>
      <c r="S81" s="8">
        <f>bdrate(C81:C84,F81:F84,J81:J84,M81:M84)</f>
        <v>-0.46417155431487911</v>
      </c>
      <c r="T81" s="25">
        <f>bdrate(C81:C84,H81:H84,J81:J84,O81:O84)</f>
        <v>-0.35118728597757209</v>
      </c>
      <c r="U81" s="28">
        <f t="shared" si="3"/>
        <v>0.81158904109589058</v>
      </c>
    </row>
    <row r="82" spans="1:21" x14ac:dyDescent="0.25">
      <c r="A82" s="9" t="s">
        <v>77</v>
      </c>
      <c r="B82" s="9"/>
      <c r="C82" s="31">
        <v>808.92</v>
      </c>
      <c r="D82" s="32">
        <v>39.585999999999999</v>
      </c>
      <c r="E82" s="32">
        <v>45.71</v>
      </c>
      <c r="F82" s="32">
        <v>46.779000000000003</v>
      </c>
      <c r="G82" s="18">
        <v>41.02</v>
      </c>
      <c r="H82" s="18">
        <f t="shared" si="4"/>
        <v>41.250624999999999</v>
      </c>
      <c r="I82" s="5"/>
      <c r="J82" s="17">
        <v>872.10630000000003</v>
      </c>
      <c r="K82" s="18">
        <v>42.0351</v>
      </c>
      <c r="L82" s="18">
        <v>48.264899999999997</v>
      </c>
      <c r="M82" s="18">
        <v>49.22</v>
      </c>
      <c r="N82" s="18">
        <v>73.918899999999994</v>
      </c>
      <c r="O82" s="18">
        <f t="shared" si="5"/>
        <v>43.711937500000005</v>
      </c>
      <c r="P82" s="7"/>
      <c r="Q82" s="10"/>
      <c r="R82" s="11"/>
      <c r="S82" s="11"/>
      <c r="T82" s="26"/>
      <c r="U82" s="28">
        <f t="shared" si="3"/>
        <v>0.80202096538273981</v>
      </c>
    </row>
    <row r="83" spans="1:21" x14ac:dyDescent="0.25">
      <c r="B83" s="9"/>
      <c r="C83" s="31">
        <v>490.42</v>
      </c>
      <c r="D83" s="32">
        <v>37.491</v>
      </c>
      <c r="E83" s="32">
        <v>43.927999999999997</v>
      </c>
      <c r="F83" s="32">
        <v>45.097999999999999</v>
      </c>
      <c r="G83" s="18">
        <v>46.38</v>
      </c>
      <c r="H83" s="18">
        <f t="shared" si="4"/>
        <v>39.246500000000005</v>
      </c>
      <c r="I83" s="5"/>
      <c r="J83" s="17">
        <v>535.25800000000004</v>
      </c>
      <c r="K83" s="18">
        <v>39.624000000000002</v>
      </c>
      <c r="L83" s="18">
        <v>46.189799999999998</v>
      </c>
      <c r="M83" s="18">
        <v>47.463799999999999</v>
      </c>
      <c r="N83" s="18">
        <v>95.278400000000005</v>
      </c>
      <c r="O83" s="18">
        <f t="shared" si="5"/>
        <v>41.424700000000001</v>
      </c>
      <c r="P83" s="7"/>
      <c r="Q83" s="10"/>
      <c r="R83" s="11"/>
      <c r="S83" s="11"/>
      <c r="T83" s="26"/>
      <c r="U83" s="28">
        <f t="shared" si="3"/>
        <v>1.0542992669253988</v>
      </c>
    </row>
    <row r="84" spans="1:21" ht="16.5" thickBot="1" x14ac:dyDescent="0.3">
      <c r="B84" s="12"/>
      <c r="C84" s="33">
        <v>249.38</v>
      </c>
      <c r="D84" s="34">
        <v>34.552</v>
      </c>
      <c r="E84" s="34">
        <v>41.731000000000002</v>
      </c>
      <c r="F84" s="34">
        <v>42.889000000000003</v>
      </c>
      <c r="G84" s="20">
        <v>55.61</v>
      </c>
      <c r="H84" s="20">
        <f t="shared" si="4"/>
        <v>36.491500000000002</v>
      </c>
      <c r="I84" s="5"/>
      <c r="J84" s="19">
        <v>274.5197</v>
      </c>
      <c r="K84" s="20">
        <v>36.4223</v>
      </c>
      <c r="L84" s="20">
        <v>43.944000000000003</v>
      </c>
      <c r="M84" s="20">
        <v>45.368299999999998</v>
      </c>
      <c r="N84" s="20">
        <v>127.2175</v>
      </c>
      <c r="O84" s="20">
        <f t="shared" si="5"/>
        <v>38.480762499999997</v>
      </c>
      <c r="P84" s="7"/>
      <c r="Q84" s="13"/>
      <c r="R84" s="14"/>
      <c r="S84" s="14"/>
      <c r="T84" s="27"/>
      <c r="U84" s="28">
        <f t="shared" si="3"/>
        <v>1.2876730803812264</v>
      </c>
    </row>
    <row r="85" spans="1:21" x14ac:dyDescent="0.25">
      <c r="B85" s="6" t="s">
        <v>96</v>
      </c>
      <c r="C85" s="15">
        <v>1476</v>
      </c>
      <c r="D85" s="16">
        <v>48.845999999999997</v>
      </c>
      <c r="E85" s="16">
        <v>49.991</v>
      </c>
      <c r="F85" s="16">
        <v>50.442</v>
      </c>
      <c r="G85" s="16">
        <v>74.63</v>
      </c>
      <c r="H85" s="16">
        <f t="shared" si="4"/>
        <v>49.188624999999995</v>
      </c>
      <c r="I85" s="5"/>
      <c r="J85" s="15">
        <v>1445.6994999999999</v>
      </c>
      <c r="K85" s="16">
        <v>51.702599999999997</v>
      </c>
      <c r="L85" s="16">
        <v>52.706299999999999</v>
      </c>
      <c r="M85" s="16">
        <v>53.203200000000002</v>
      </c>
      <c r="N85" s="16">
        <v>119.944</v>
      </c>
      <c r="O85" s="16">
        <f t="shared" si="5"/>
        <v>52.015637499999997</v>
      </c>
      <c r="P85" s="7"/>
      <c r="Q85" s="8">
        <f>bdrate(C85:C88,D85:D88,J85:J88,K85:K88)</f>
        <v>-0.41585047533424602</v>
      </c>
      <c r="R85" s="8">
        <f>bdrate(C85:C88,E85:E88,J85:J88,L85:L88)</f>
        <v>-0.42433297588130781</v>
      </c>
      <c r="S85" s="8">
        <f>bdrate(C85:C88,F85:F88,J85:J88,M85:M88)</f>
        <v>-0.43012994239546898</v>
      </c>
      <c r="T85" s="25">
        <f>bdrate(C85:C88,H85:H88,J85:J88,O85:O88)</f>
        <v>-0.41850207132524431</v>
      </c>
      <c r="U85" s="28">
        <f t="shared" si="3"/>
        <v>0.60718209835186931</v>
      </c>
    </row>
    <row r="86" spans="1:21" x14ac:dyDescent="0.25">
      <c r="B86" s="9"/>
      <c r="C86" s="17">
        <v>982.36</v>
      </c>
      <c r="D86" s="18">
        <v>46.203000000000003</v>
      </c>
      <c r="E86" s="18">
        <v>47.573</v>
      </c>
      <c r="F86" s="18">
        <v>48.113</v>
      </c>
      <c r="G86" s="18">
        <v>84.72</v>
      </c>
      <c r="H86" s="18">
        <f t="shared" si="4"/>
        <v>46.613</v>
      </c>
      <c r="I86" s="5"/>
      <c r="J86" s="17">
        <v>973.9511</v>
      </c>
      <c r="K86" s="18">
        <v>49.504199999999997</v>
      </c>
      <c r="L86" s="18">
        <v>50.674399999999999</v>
      </c>
      <c r="M86" s="18">
        <v>51.231000000000002</v>
      </c>
      <c r="N86" s="18">
        <v>146.2345</v>
      </c>
      <c r="O86" s="18">
        <f t="shared" si="5"/>
        <v>49.866324999999996</v>
      </c>
      <c r="P86" s="7"/>
      <c r="Q86" s="10"/>
      <c r="R86" s="11"/>
      <c r="S86" s="11"/>
      <c r="T86" s="26"/>
      <c r="U86" s="28">
        <f t="shared" si="3"/>
        <v>0.72609183191690274</v>
      </c>
    </row>
    <row r="87" spans="1:21" x14ac:dyDescent="0.25">
      <c r="B87" s="9"/>
      <c r="C87" s="17">
        <v>591.54999999999995</v>
      </c>
      <c r="D87" s="18">
        <v>43.290999999999997</v>
      </c>
      <c r="E87" s="18">
        <v>44.972999999999999</v>
      </c>
      <c r="F87" s="18">
        <v>45.5</v>
      </c>
      <c r="G87" s="18">
        <v>89.24</v>
      </c>
      <c r="H87" s="18">
        <f t="shared" si="4"/>
        <v>43.777374999999999</v>
      </c>
      <c r="I87" s="5"/>
      <c r="J87" s="17">
        <v>592.16800000000001</v>
      </c>
      <c r="K87" s="18">
        <v>46.430100000000003</v>
      </c>
      <c r="L87" s="18">
        <v>47.863199999999999</v>
      </c>
      <c r="M87" s="18">
        <v>48.459299999999999</v>
      </c>
      <c r="N87" s="18">
        <v>169.42769999999999</v>
      </c>
      <c r="O87" s="18">
        <f t="shared" si="5"/>
        <v>46.862887499999999</v>
      </c>
      <c r="P87" s="7"/>
      <c r="Q87" s="10"/>
      <c r="R87" s="11"/>
      <c r="S87" s="11"/>
      <c r="T87" s="26"/>
      <c r="U87" s="28">
        <f t="shared" si="3"/>
        <v>0.89856230389959657</v>
      </c>
    </row>
    <row r="88" spans="1:21" ht="16.5" thickBot="1" x14ac:dyDescent="0.3">
      <c r="B88" s="12"/>
      <c r="C88" s="19">
        <v>294.92</v>
      </c>
      <c r="D88" s="20">
        <v>39.771999999999998</v>
      </c>
      <c r="E88" s="20">
        <v>41.905000000000001</v>
      </c>
      <c r="F88" s="20">
        <v>42.493000000000002</v>
      </c>
      <c r="G88" s="20">
        <v>95.75</v>
      </c>
      <c r="H88" s="20">
        <f t="shared" si="4"/>
        <v>40.378750000000004</v>
      </c>
      <c r="I88" s="5"/>
      <c r="J88" s="19">
        <v>300.18650000000002</v>
      </c>
      <c r="K88" s="20">
        <v>42.445300000000003</v>
      </c>
      <c r="L88" s="20">
        <v>44.286200000000001</v>
      </c>
      <c r="M88" s="20">
        <v>44.813499999999998</v>
      </c>
      <c r="N88" s="20">
        <v>192.6164</v>
      </c>
      <c r="O88" s="20">
        <f t="shared" si="5"/>
        <v>42.9714375</v>
      </c>
      <c r="P88" s="7"/>
      <c r="Q88" s="13"/>
      <c r="R88" s="14"/>
      <c r="S88" s="14"/>
      <c r="T88" s="27"/>
      <c r="U88" s="28">
        <f t="shared" si="3"/>
        <v>1.0116595300261098</v>
      </c>
    </row>
    <row r="89" spans="1:21" x14ac:dyDescent="0.25">
      <c r="B89" s="6" t="s">
        <v>97</v>
      </c>
      <c r="C89" s="15">
        <v>1552.4</v>
      </c>
      <c r="D89" s="16">
        <v>40.667000000000002</v>
      </c>
      <c r="E89" s="16">
        <v>43.362000000000002</v>
      </c>
      <c r="F89" s="16">
        <v>43.866999999999997</v>
      </c>
      <c r="G89" s="16">
        <v>48.16</v>
      </c>
      <c r="H89" s="16">
        <f t="shared" si="4"/>
        <v>41.403875000000006</v>
      </c>
      <c r="I89" s="5"/>
      <c r="J89" s="15">
        <v>1472.0864999999999</v>
      </c>
      <c r="K89" s="16">
        <v>42.637700000000002</v>
      </c>
      <c r="L89" s="16">
        <v>45.135599999999997</v>
      </c>
      <c r="M89" s="16">
        <v>45.5745</v>
      </c>
      <c r="N89" s="16">
        <v>86.364099999999993</v>
      </c>
      <c r="O89" s="16">
        <f t="shared" si="5"/>
        <v>43.317037500000005</v>
      </c>
      <c r="P89" s="7"/>
      <c r="Q89" s="8">
        <f>bdrate(C89:C92,D89:D92,J89:J92,K89:K92)</f>
        <v>-0.3654538849340776</v>
      </c>
      <c r="R89" s="8">
        <f>bdrate(C89:C92,E89:E92,J89:J92,L89:L92)</f>
        <v>-0.40037464897299291</v>
      </c>
      <c r="S89" s="8">
        <f>bdrate(C89:C92,F89:F92,J89:J92,M89:M92)</f>
        <v>-0.38752118067996599</v>
      </c>
      <c r="T89" s="25">
        <f>bdrate(C89:C92,H89:H92,J89:J92,O89:O92)</f>
        <v>-0.37098968908427254</v>
      </c>
      <c r="U89" s="28">
        <f t="shared" si="3"/>
        <v>0.79327450166112956</v>
      </c>
    </row>
    <row r="90" spans="1:21" x14ac:dyDescent="0.25">
      <c r="B90" s="9"/>
      <c r="C90" s="17">
        <v>1033.94</v>
      </c>
      <c r="D90" s="18">
        <v>38.677</v>
      </c>
      <c r="E90" s="18">
        <v>41.887999999999998</v>
      </c>
      <c r="F90" s="18">
        <v>42.401000000000003</v>
      </c>
      <c r="G90" s="18">
        <v>53.89</v>
      </c>
      <c r="H90" s="18">
        <f t="shared" si="4"/>
        <v>39.543875</v>
      </c>
      <c r="I90" s="5"/>
      <c r="J90" s="17">
        <v>983.68320000000006</v>
      </c>
      <c r="K90" s="18">
        <v>40.726900000000001</v>
      </c>
      <c r="L90" s="18">
        <v>43.666699999999999</v>
      </c>
      <c r="M90" s="18">
        <v>44.097299999999997</v>
      </c>
      <c r="N90" s="18">
        <v>101.0385</v>
      </c>
      <c r="O90" s="18">
        <f t="shared" si="5"/>
        <v>41.515675000000002</v>
      </c>
      <c r="P90" s="7"/>
      <c r="Q90" s="10"/>
      <c r="R90" s="11"/>
      <c r="S90" s="11"/>
      <c r="T90" s="26"/>
      <c r="U90" s="28">
        <f t="shared" si="3"/>
        <v>0.87490257932826121</v>
      </c>
    </row>
    <row r="91" spans="1:21" x14ac:dyDescent="0.25">
      <c r="B91" s="9"/>
      <c r="C91" s="17">
        <v>623.16</v>
      </c>
      <c r="D91" s="18">
        <v>36.075000000000003</v>
      </c>
      <c r="E91" s="18">
        <v>40.198999999999998</v>
      </c>
      <c r="F91" s="18">
        <v>40.722000000000001</v>
      </c>
      <c r="G91" s="18">
        <v>58.36</v>
      </c>
      <c r="H91" s="18">
        <f t="shared" si="4"/>
        <v>37.171374999999998</v>
      </c>
      <c r="I91" s="5"/>
      <c r="J91" s="17">
        <v>593.0163</v>
      </c>
      <c r="K91" s="18">
        <v>38.184100000000001</v>
      </c>
      <c r="L91" s="18">
        <v>41.814100000000003</v>
      </c>
      <c r="M91" s="18">
        <v>42.237299999999998</v>
      </c>
      <c r="N91" s="18">
        <v>118.71</v>
      </c>
      <c r="O91" s="18">
        <f t="shared" si="5"/>
        <v>39.144500000000001</v>
      </c>
      <c r="P91" s="7"/>
      <c r="Q91" s="10"/>
      <c r="R91" s="11"/>
      <c r="S91" s="11"/>
      <c r="T91" s="26"/>
      <c r="U91" s="28">
        <f t="shared" si="3"/>
        <v>1.0340986977381768</v>
      </c>
    </row>
    <row r="92" spans="1:21" ht="16.5" thickBot="1" x14ac:dyDescent="0.3">
      <c r="B92" s="12"/>
      <c r="C92" s="19">
        <v>313.12</v>
      </c>
      <c r="D92" s="20">
        <v>32.835000000000001</v>
      </c>
      <c r="E92" s="20">
        <v>37.765000000000001</v>
      </c>
      <c r="F92" s="20">
        <v>38.286999999999999</v>
      </c>
      <c r="G92" s="20">
        <v>68.599999999999994</v>
      </c>
      <c r="H92" s="20">
        <f t="shared" si="4"/>
        <v>34.132749999999994</v>
      </c>
      <c r="I92" s="5"/>
      <c r="J92" s="19">
        <v>295.83530000000002</v>
      </c>
      <c r="K92" s="20">
        <v>34.495399999999997</v>
      </c>
      <c r="L92" s="20">
        <v>39.202399999999997</v>
      </c>
      <c r="M92" s="20">
        <v>39.693100000000001</v>
      </c>
      <c r="N92" s="20">
        <v>146.79499999999999</v>
      </c>
      <c r="O92" s="20">
        <f t="shared" ref="O92:O124" si="6">(6*K92+L92+M92)/8</f>
        <v>35.733487500000003</v>
      </c>
      <c r="P92" s="7"/>
      <c r="Q92" s="13"/>
      <c r="R92" s="14"/>
      <c r="S92" s="14"/>
      <c r="T92" s="27"/>
      <c r="U92" s="28">
        <f t="shared" ref="U92:U124" si="7">(N92-G92)/G92</f>
        <v>1.139868804664723</v>
      </c>
    </row>
    <row r="93" spans="1:21" x14ac:dyDescent="0.25">
      <c r="B93" s="6" t="s">
        <v>98</v>
      </c>
      <c r="C93" s="15">
        <v>1376.1</v>
      </c>
      <c r="D93" s="16">
        <v>37.389000000000003</v>
      </c>
      <c r="E93" s="16">
        <v>42.19</v>
      </c>
      <c r="F93" s="16">
        <v>42.204999999999998</v>
      </c>
      <c r="G93" s="16">
        <v>39.17</v>
      </c>
      <c r="H93" s="16">
        <f t="shared" si="4"/>
        <v>38.591124999999998</v>
      </c>
      <c r="I93" s="5"/>
      <c r="J93" s="29">
        <v>1497.3056999999999</v>
      </c>
      <c r="K93" s="30">
        <v>39.031799999999997</v>
      </c>
      <c r="L93" s="30">
        <v>43.633000000000003</v>
      </c>
      <c r="M93" s="30">
        <v>43.633499999999998</v>
      </c>
      <c r="N93" s="16">
        <v>74.202299999999994</v>
      </c>
      <c r="O93" s="16">
        <f t="shared" si="6"/>
        <v>40.18216249999999</v>
      </c>
      <c r="P93" s="7"/>
      <c r="Q93" s="8">
        <f>bdrate(C93:C96,D93:D96,J93:J96,K93:K96)</f>
        <v>-0.18779360759556518</v>
      </c>
      <c r="R93" s="8">
        <f>bdrate(C93:C96,E93:E96,J93:J96,L93:L96)</f>
        <v>-0.31981529968298505</v>
      </c>
      <c r="S93" s="8">
        <f>bdrate(C93:C96,F93:F96,J93:J96,M93:M96)</f>
        <v>-0.30592965770232983</v>
      </c>
      <c r="T93" s="25">
        <f>bdrate(C93:C96,H93:H96,J93:J96,O93:O96)</f>
        <v>-0.21384460345710299</v>
      </c>
      <c r="U93" s="28">
        <f t="shared" si="7"/>
        <v>0.89436558590758208</v>
      </c>
    </row>
    <row r="94" spans="1:21" x14ac:dyDescent="0.25">
      <c r="B94" s="9"/>
      <c r="C94" s="17">
        <v>912.69</v>
      </c>
      <c r="D94" s="18">
        <v>35.709000000000003</v>
      </c>
      <c r="E94" s="18">
        <v>40.94</v>
      </c>
      <c r="F94" s="18">
        <v>40.929000000000002</v>
      </c>
      <c r="G94" s="18">
        <v>44.28</v>
      </c>
      <c r="H94" s="18">
        <f t="shared" si="4"/>
        <v>37.015375000000006</v>
      </c>
      <c r="I94" s="5"/>
      <c r="J94" s="31">
        <v>999.99069999999995</v>
      </c>
      <c r="K94" s="32">
        <v>37.192</v>
      </c>
      <c r="L94" s="32">
        <v>42.327300000000001</v>
      </c>
      <c r="M94" s="32">
        <v>42.321800000000003</v>
      </c>
      <c r="N94" s="18">
        <v>85.409300000000002</v>
      </c>
      <c r="O94" s="18">
        <f t="shared" si="6"/>
        <v>38.475137499999995</v>
      </c>
      <c r="P94" s="7"/>
      <c r="Q94" s="10"/>
      <c r="R94" s="11"/>
      <c r="S94" s="11"/>
      <c r="T94" s="26"/>
      <c r="U94" s="28">
        <f t="shared" si="7"/>
        <v>0.92884598012646791</v>
      </c>
    </row>
    <row r="95" spans="1:21" x14ac:dyDescent="0.25">
      <c r="B95" s="9"/>
      <c r="C95" s="17">
        <v>546.53</v>
      </c>
      <c r="D95" s="18">
        <v>33.695999999999998</v>
      </c>
      <c r="E95" s="18">
        <v>39.444000000000003</v>
      </c>
      <c r="F95" s="18">
        <v>39.439</v>
      </c>
      <c r="G95" s="18">
        <v>50.61</v>
      </c>
      <c r="H95" s="18">
        <f t="shared" si="4"/>
        <v>35.132375000000003</v>
      </c>
      <c r="I95" s="5"/>
      <c r="J95" s="31">
        <v>599.79920000000004</v>
      </c>
      <c r="K95" s="32">
        <v>34.899799999999999</v>
      </c>
      <c r="L95" s="32">
        <v>40.840699999999998</v>
      </c>
      <c r="M95" s="32">
        <v>40.751300000000001</v>
      </c>
      <c r="N95" s="18">
        <v>103.1164</v>
      </c>
      <c r="O95" s="18">
        <f t="shared" si="6"/>
        <v>36.373849999999997</v>
      </c>
      <c r="P95" s="7"/>
      <c r="Q95" s="10"/>
      <c r="R95" s="11"/>
      <c r="S95" s="11"/>
      <c r="T95" s="26"/>
      <c r="U95" s="28">
        <f t="shared" si="7"/>
        <v>1.0374708555621419</v>
      </c>
    </row>
    <row r="96" spans="1:21" ht="16.5" thickBot="1" x14ac:dyDescent="0.3">
      <c r="B96" s="12"/>
      <c r="C96" s="19">
        <v>272.52</v>
      </c>
      <c r="D96" s="20">
        <v>30.957000000000001</v>
      </c>
      <c r="E96" s="20">
        <v>37.386000000000003</v>
      </c>
      <c r="F96" s="20">
        <v>37.381999999999998</v>
      </c>
      <c r="G96" s="20">
        <v>60.1</v>
      </c>
      <c r="H96" s="20">
        <f t="shared" si="4"/>
        <v>32.563749999999999</v>
      </c>
      <c r="I96" s="5"/>
      <c r="J96" s="33">
        <v>300.69810000000001</v>
      </c>
      <c r="K96" s="34">
        <v>31.897400000000001</v>
      </c>
      <c r="L96" s="34">
        <v>38.866700000000002</v>
      </c>
      <c r="M96" s="34">
        <v>38.844999999999999</v>
      </c>
      <c r="N96" s="20">
        <v>132.7825</v>
      </c>
      <c r="O96" s="20">
        <f t="shared" si="6"/>
        <v>33.637012499999997</v>
      </c>
      <c r="P96" s="7"/>
      <c r="Q96" s="13"/>
      <c r="R96" s="14"/>
      <c r="S96" s="14"/>
      <c r="T96" s="27"/>
      <c r="U96" s="28">
        <f t="shared" si="7"/>
        <v>1.2093594009983362</v>
      </c>
    </row>
    <row r="97" spans="2:21" x14ac:dyDescent="0.25">
      <c r="B97" s="6" t="s">
        <v>99</v>
      </c>
      <c r="C97" s="29">
        <v>1533.02</v>
      </c>
      <c r="D97" s="30">
        <v>34.432000000000002</v>
      </c>
      <c r="E97" s="30">
        <v>39.052</v>
      </c>
      <c r="F97" s="30">
        <v>39.604999999999997</v>
      </c>
      <c r="G97" s="16">
        <v>47.1</v>
      </c>
      <c r="H97" s="16">
        <f t="shared" si="4"/>
        <v>35.656125000000003</v>
      </c>
      <c r="I97" s="5"/>
      <c r="J97" s="15">
        <v>1502.7127</v>
      </c>
      <c r="K97" s="16">
        <v>36.952100000000002</v>
      </c>
      <c r="L97" s="16">
        <v>41.564500000000002</v>
      </c>
      <c r="M97" s="16">
        <v>42.107100000000003</v>
      </c>
      <c r="N97" s="16">
        <v>74.297300000000007</v>
      </c>
      <c r="O97" s="16">
        <f t="shared" si="6"/>
        <v>38.173025000000003</v>
      </c>
      <c r="P97" s="7"/>
      <c r="Q97" s="8">
        <f>bdrate(C97:C100,D97:D100,J97:J100,K97:K100)</f>
        <v>-0.38363048702433844</v>
      </c>
      <c r="R97" s="8">
        <f>bdrate(C97:C100,E97:E100,J97:J100,L97:L100)</f>
        <v>-0.52372809553437438</v>
      </c>
      <c r="S97" s="8">
        <f>bdrate(C97:C100,F97:F100,J97:J100,M97:M100)</f>
        <v>-0.53867915123021182</v>
      </c>
      <c r="T97" s="25">
        <f>bdrate(C97:C100,H97:H100,J97:J100,O97:O100)</f>
        <v>-0.41400403632970117</v>
      </c>
      <c r="U97" s="28">
        <f t="shared" si="7"/>
        <v>0.57743736730360939</v>
      </c>
    </row>
    <row r="98" spans="2:21" x14ac:dyDescent="0.25">
      <c r="B98" s="9"/>
      <c r="C98" s="31">
        <v>1020.5</v>
      </c>
      <c r="D98" s="32">
        <v>32.759</v>
      </c>
      <c r="E98" s="32">
        <v>37.75</v>
      </c>
      <c r="F98" s="32">
        <v>38.344999999999999</v>
      </c>
      <c r="G98" s="18">
        <v>54.87</v>
      </c>
      <c r="H98" s="18">
        <f t="shared" si="4"/>
        <v>34.081125</v>
      </c>
      <c r="I98" s="5"/>
      <c r="J98" s="17">
        <v>1003.7981</v>
      </c>
      <c r="K98" s="18">
        <v>35.0578</v>
      </c>
      <c r="L98" s="18">
        <v>40.175400000000003</v>
      </c>
      <c r="M98" s="18">
        <v>40.767400000000002</v>
      </c>
      <c r="N98" s="18">
        <v>85.596100000000007</v>
      </c>
      <c r="O98" s="18">
        <f t="shared" si="6"/>
        <v>36.411200000000001</v>
      </c>
      <c r="P98" s="7"/>
      <c r="Q98" s="10"/>
      <c r="R98" s="11"/>
      <c r="S98" s="11"/>
      <c r="T98" s="26"/>
      <c r="U98" s="28">
        <f t="shared" si="7"/>
        <v>0.55997995261527267</v>
      </c>
    </row>
    <row r="99" spans="2:21" x14ac:dyDescent="0.25">
      <c r="B99" s="9"/>
      <c r="C99" s="31">
        <v>614.19000000000005</v>
      </c>
      <c r="D99" s="32">
        <v>30.745999999999999</v>
      </c>
      <c r="E99" s="32">
        <v>36.380000000000003</v>
      </c>
      <c r="F99" s="32">
        <v>37.027000000000001</v>
      </c>
      <c r="G99" s="18">
        <v>61.47</v>
      </c>
      <c r="H99" s="18">
        <f t="shared" si="4"/>
        <v>32.235374999999998</v>
      </c>
      <c r="I99" s="5"/>
      <c r="J99" s="17">
        <v>604.43010000000004</v>
      </c>
      <c r="K99" s="18">
        <v>32.672699999999999</v>
      </c>
      <c r="L99" s="18">
        <v>38.453400000000002</v>
      </c>
      <c r="M99" s="18">
        <v>39.1126</v>
      </c>
      <c r="N99" s="18">
        <v>101.7467</v>
      </c>
      <c r="O99" s="18">
        <f t="shared" si="6"/>
        <v>34.200274999999998</v>
      </c>
      <c r="P99" s="7"/>
      <c r="Q99" s="10"/>
      <c r="R99" s="11"/>
      <c r="S99" s="11"/>
      <c r="T99" s="26"/>
      <c r="U99" s="28">
        <f t="shared" si="7"/>
        <v>0.65522531316089161</v>
      </c>
    </row>
    <row r="100" spans="2:21" ht="16.5" thickBot="1" x14ac:dyDescent="0.3">
      <c r="B100" s="12"/>
      <c r="C100" s="33">
        <v>305.81</v>
      </c>
      <c r="D100" s="34">
        <v>28.033000000000001</v>
      </c>
      <c r="E100" s="34">
        <v>34.566000000000003</v>
      </c>
      <c r="F100" s="34">
        <v>35.390999999999998</v>
      </c>
      <c r="G100" s="20">
        <v>71.62</v>
      </c>
      <c r="H100" s="20">
        <f t="shared" si="4"/>
        <v>29.769375</v>
      </c>
      <c r="I100" s="5"/>
      <c r="J100" s="19">
        <v>298.91129999999998</v>
      </c>
      <c r="K100" s="20">
        <v>29.5654</v>
      </c>
      <c r="L100" s="20">
        <v>36.362699999999997</v>
      </c>
      <c r="M100" s="20">
        <v>37.097099999999998</v>
      </c>
      <c r="N100" s="20">
        <v>129.3475</v>
      </c>
      <c r="O100" s="20">
        <f t="shared" si="6"/>
        <v>31.356524999999998</v>
      </c>
      <c r="P100" s="7"/>
      <c r="Q100" s="13"/>
      <c r="R100" s="14"/>
      <c r="S100" s="14"/>
      <c r="T100" s="27"/>
      <c r="U100" s="28">
        <f t="shared" si="7"/>
        <v>0.80602485339290686</v>
      </c>
    </row>
    <row r="101" spans="2:21" x14ac:dyDescent="0.25">
      <c r="B101" s="6" t="s">
        <v>100</v>
      </c>
      <c r="C101" s="15">
        <v>1491.58</v>
      </c>
      <c r="D101" s="16">
        <v>36.084000000000003</v>
      </c>
      <c r="E101" s="16">
        <v>41.704000000000001</v>
      </c>
      <c r="F101" s="16">
        <v>43.116</v>
      </c>
      <c r="G101" s="16">
        <v>35.35</v>
      </c>
      <c r="H101" s="16">
        <f t="shared" si="4"/>
        <v>37.665500000000002</v>
      </c>
      <c r="I101" s="5"/>
      <c r="J101" s="15">
        <v>1506.7999</v>
      </c>
      <c r="K101" s="16">
        <v>37.188699999999997</v>
      </c>
      <c r="L101" s="16">
        <v>43.180500000000002</v>
      </c>
      <c r="M101" s="16">
        <v>44.625300000000003</v>
      </c>
      <c r="N101" s="16">
        <v>70.7881</v>
      </c>
      <c r="O101" s="16">
        <f t="shared" si="6"/>
        <v>38.867249999999999</v>
      </c>
      <c r="P101" s="7"/>
      <c r="Q101" s="8">
        <f>bdrate(C101:C104,D101:D104,J101:J104,K101:K104)</f>
        <v>-0.2563461747121013</v>
      </c>
      <c r="R101" s="8">
        <f>bdrate(C101:C104,E101:E104,J101:J104,L101:L104)</f>
        <v>-0.48692415208691675</v>
      </c>
      <c r="S101" s="8">
        <f>bdrate(C101:C104,F101:F104,J101:J104,M101:M104)</f>
        <v>-0.46557773651718115</v>
      </c>
      <c r="T101" s="25">
        <f>bdrate(C101:C104,H101:H104,J101:J104,O101:O104)</f>
        <v>-0.30787015595388711</v>
      </c>
      <c r="U101" s="28">
        <f t="shared" si="7"/>
        <v>1.0024922206506364</v>
      </c>
    </row>
    <row r="102" spans="2:21" x14ac:dyDescent="0.25">
      <c r="B102" s="9"/>
      <c r="C102" s="17">
        <v>999.28</v>
      </c>
      <c r="D102" s="18">
        <v>34.784999999999997</v>
      </c>
      <c r="E102" s="18">
        <v>40.701999999999998</v>
      </c>
      <c r="F102" s="18">
        <v>41.926000000000002</v>
      </c>
      <c r="G102" s="18">
        <v>40.08</v>
      </c>
      <c r="H102" s="18">
        <f t="shared" si="4"/>
        <v>36.417249999999996</v>
      </c>
      <c r="I102" s="5"/>
      <c r="J102" s="17">
        <v>1007.7996000000001</v>
      </c>
      <c r="K102" s="18">
        <v>35.789000000000001</v>
      </c>
      <c r="L102" s="18">
        <v>42.189</v>
      </c>
      <c r="M102" s="18">
        <v>43.497999999999998</v>
      </c>
      <c r="N102" s="18">
        <v>82.004599999999996</v>
      </c>
      <c r="O102" s="18">
        <f t="shared" si="6"/>
        <v>37.552624999999999</v>
      </c>
      <c r="P102" s="7"/>
      <c r="Q102" s="10"/>
      <c r="R102" s="11"/>
      <c r="S102" s="11"/>
      <c r="T102" s="26"/>
      <c r="U102" s="28">
        <f t="shared" si="7"/>
        <v>1.0460229540918164</v>
      </c>
    </row>
    <row r="103" spans="2:21" x14ac:dyDescent="0.25">
      <c r="B103" s="9"/>
      <c r="C103" s="17">
        <v>601.41999999999996</v>
      </c>
      <c r="D103" s="18">
        <v>33.225999999999999</v>
      </c>
      <c r="E103" s="18">
        <v>39.548999999999999</v>
      </c>
      <c r="F103" s="18">
        <v>40.561999999999998</v>
      </c>
      <c r="G103" s="18">
        <v>46.01</v>
      </c>
      <c r="H103" s="18">
        <f t="shared" si="4"/>
        <v>34.933374999999998</v>
      </c>
      <c r="I103" s="5"/>
      <c r="J103" s="17">
        <v>604.84069999999997</v>
      </c>
      <c r="K103" s="18">
        <v>34.133000000000003</v>
      </c>
      <c r="L103" s="18">
        <v>41.045200000000001</v>
      </c>
      <c r="M103" s="18">
        <v>42.223500000000001</v>
      </c>
      <c r="N103" s="18">
        <v>98.787099999999995</v>
      </c>
      <c r="O103" s="18">
        <f t="shared" si="6"/>
        <v>36.008337499999996</v>
      </c>
      <c r="P103" s="7"/>
      <c r="Q103" s="10"/>
      <c r="R103" s="11"/>
      <c r="S103" s="11"/>
      <c r="T103" s="26"/>
      <c r="U103" s="28">
        <f t="shared" si="7"/>
        <v>1.1470788958921974</v>
      </c>
    </row>
    <row r="104" spans="2:21" ht="16.5" thickBot="1" x14ac:dyDescent="0.3">
      <c r="B104" s="12"/>
      <c r="C104" s="19">
        <v>305.91000000000003</v>
      </c>
      <c r="D104" s="20">
        <v>31.289000000000001</v>
      </c>
      <c r="E104" s="20">
        <v>38.255000000000003</v>
      </c>
      <c r="F104" s="20">
        <v>38.984999999999999</v>
      </c>
      <c r="G104" s="20">
        <v>56.23</v>
      </c>
      <c r="H104" s="20">
        <f t="shared" si="4"/>
        <v>33.121749999999999</v>
      </c>
      <c r="I104" s="5"/>
      <c r="J104" s="19">
        <v>302.68529999999998</v>
      </c>
      <c r="K104" s="20">
        <v>32.0916</v>
      </c>
      <c r="L104" s="20">
        <v>39.644199999999998</v>
      </c>
      <c r="M104" s="20">
        <v>40.593699999999998</v>
      </c>
      <c r="N104" s="20">
        <v>127.2085</v>
      </c>
      <c r="O104" s="20">
        <f t="shared" si="6"/>
        <v>34.098437500000003</v>
      </c>
      <c r="P104" s="7"/>
      <c r="Q104" s="13"/>
      <c r="R104" s="14"/>
      <c r="S104" s="14"/>
      <c r="T104" s="27"/>
      <c r="U104" s="28">
        <f t="shared" si="7"/>
        <v>1.2622888138004624</v>
      </c>
    </row>
    <row r="105" spans="2:21" x14ac:dyDescent="0.25">
      <c r="B105" s="6" t="s">
        <v>101</v>
      </c>
      <c r="C105" s="15">
        <v>1591.17</v>
      </c>
      <c r="D105" s="16">
        <v>45.276000000000003</v>
      </c>
      <c r="E105" s="16">
        <v>50.405000000000001</v>
      </c>
      <c r="F105" s="16">
        <v>51.802</v>
      </c>
      <c r="G105" s="16">
        <v>45.62</v>
      </c>
      <c r="H105" s="16">
        <f t="shared" si="4"/>
        <v>46.732875000000007</v>
      </c>
      <c r="I105" s="5"/>
      <c r="J105" s="15">
        <v>1499.3635999999999</v>
      </c>
      <c r="K105" s="16">
        <v>47.389499999999998</v>
      </c>
      <c r="L105" s="16">
        <v>53.001100000000001</v>
      </c>
      <c r="M105" s="16">
        <v>54.354799999999997</v>
      </c>
      <c r="N105" s="16">
        <v>87.897599999999997</v>
      </c>
      <c r="O105" s="16">
        <f t="shared" si="6"/>
        <v>48.961612500000001</v>
      </c>
      <c r="P105" s="7"/>
      <c r="Q105" s="8">
        <f>bdrate(C105:C108,D105:D108,J105:J108,K105:K108)</f>
        <v>-0.39727541227743868</v>
      </c>
      <c r="R105" s="8">
        <f>bdrate(C105:C108,E105:E108,J105:J108,L105:L108)</f>
        <v>-0.47857911403610931</v>
      </c>
      <c r="S105" s="8">
        <f>bdrate(C105:C108,F105:F108,J105:J108,M105:M108)</f>
        <v>-0.4693682022308272</v>
      </c>
      <c r="T105" s="25">
        <f>bdrate(C105:C108,H105:H108,J105:J108,O105:O108)</f>
        <v>-0.41602543114149726</v>
      </c>
      <c r="U105" s="28">
        <f t="shared" si="7"/>
        <v>0.92673388864533102</v>
      </c>
    </row>
    <row r="106" spans="2:21" x14ac:dyDescent="0.25">
      <c r="B106" s="9"/>
      <c r="C106" s="17">
        <v>1059.03</v>
      </c>
      <c r="D106" s="18">
        <v>43.518999999999998</v>
      </c>
      <c r="E106" s="18">
        <v>48.866</v>
      </c>
      <c r="F106" s="18">
        <v>50.314</v>
      </c>
      <c r="G106" s="18">
        <v>54.89</v>
      </c>
      <c r="H106" s="18">
        <f t="shared" si="4"/>
        <v>45.036749999999998</v>
      </c>
      <c r="I106" s="5"/>
      <c r="J106" s="17">
        <v>1001.5828</v>
      </c>
      <c r="K106" s="18">
        <v>45.580800000000004</v>
      </c>
      <c r="L106" s="18">
        <v>51.417000000000002</v>
      </c>
      <c r="M106" s="18">
        <v>52.7879</v>
      </c>
      <c r="N106" s="18">
        <v>103.4265</v>
      </c>
      <c r="O106" s="18">
        <f t="shared" si="6"/>
        <v>47.211212499999995</v>
      </c>
      <c r="P106" s="7"/>
      <c r="Q106" s="10"/>
      <c r="R106" s="11"/>
      <c r="S106" s="11"/>
      <c r="T106" s="26"/>
      <c r="U106" s="28">
        <f t="shared" si="7"/>
        <v>0.88425031881945715</v>
      </c>
    </row>
    <row r="107" spans="2:21" x14ac:dyDescent="0.25">
      <c r="B107" s="9"/>
      <c r="C107" s="17">
        <v>637.45000000000005</v>
      </c>
      <c r="D107" s="18">
        <v>41.338999999999999</v>
      </c>
      <c r="E107" s="18">
        <v>47.006999999999998</v>
      </c>
      <c r="F107" s="18">
        <v>48.460999999999999</v>
      </c>
      <c r="G107" s="18">
        <v>64.03</v>
      </c>
      <c r="H107" s="18">
        <f t="shared" si="4"/>
        <v>42.937750000000001</v>
      </c>
      <c r="I107" s="5"/>
      <c r="J107" s="17">
        <v>603.18269999999995</v>
      </c>
      <c r="K107" s="18">
        <v>43.337299999999999</v>
      </c>
      <c r="L107" s="18">
        <v>49.357399999999998</v>
      </c>
      <c r="M107" s="18">
        <v>50.732100000000003</v>
      </c>
      <c r="N107" s="18">
        <v>125.4795</v>
      </c>
      <c r="O107" s="18">
        <f t="shared" si="6"/>
        <v>45.014162499999998</v>
      </c>
      <c r="P107" s="7"/>
      <c r="Q107" s="10"/>
      <c r="R107" s="11"/>
      <c r="S107" s="11"/>
      <c r="T107" s="26"/>
      <c r="U107" s="28">
        <f t="shared" si="7"/>
        <v>0.95969857879119158</v>
      </c>
    </row>
    <row r="108" spans="2:21" ht="16.5" thickBot="1" x14ac:dyDescent="0.3">
      <c r="B108" s="12"/>
      <c r="C108" s="19">
        <v>320.86</v>
      </c>
      <c r="D108" s="20">
        <v>38.466999999999999</v>
      </c>
      <c r="E108" s="20">
        <v>44.551000000000002</v>
      </c>
      <c r="F108" s="20">
        <v>46.085999999999999</v>
      </c>
      <c r="G108" s="20">
        <v>82.72</v>
      </c>
      <c r="H108" s="20">
        <f t="shared" si="4"/>
        <v>40.179875000000003</v>
      </c>
      <c r="I108" s="5"/>
      <c r="J108" s="19">
        <v>302.9332</v>
      </c>
      <c r="K108" s="20">
        <v>40.121600000000001</v>
      </c>
      <c r="L108" s="20">
        <v>46.318199999999997</v>
      </c>
      <c r="M108" s="20">
        <v>47.703499999999998</v>
      </c>
      <c r="N108" s="20">
        <v>157.32400000000001</v>
      </c>
      <c r="O108" s="20">
        <f t="shared" si="6"/>
        <v>41.843912500000002</v>
      </c>
      <c r="P108" s="7"/>
      <c r="Q108" s="13"/>
      <c r="R108" s="14"/>
      <c r="S108" s="14"/>
      <c r="T108" s="27"/>
      <c r="U108" s="28">
        <f t="shared" si="7"/>
        <v>0.90188588007736958</v>
      </c>
    </row>
    <row r="109" spans="2:21" x14ac:dyDescent="0.25">
      <c r="B109" s="6" t="s">
        <v>102</v>
      </c>
      <c r="C109" s="15">
        <v>1465.48</v>
      </c>
      <c r="D109" s="16">
        <v>31.027999999999999</v>
      </c>
      <c r="E109" s="16">
        <v>39.042999999999999</v>
      </c>
      <c r="F109" s="16">
        <v>38.432000000000002</v>
      </c>
      <c r="G109" s="16">
        <v>31.93</v>
      </c>
      <c r="H109" s="16">
        <f t="shared" si="4"/>
        <v>32.955375000000004</v>
      </c>
      <c r="I109" s="5"/>
      <c r="J109" s="15">
        <v>1496.1239</v>
      </c>
      <c r="K109" s="16">
        <v>31.974599999999999</v>
      </c>
      <c r="L109" s="16">
        <v>40.315300000000001</v>
      </c>
      <c r="M109" s="16">
        <v>39.712699999999998</v>
      </c>
      <c r="N109" s="16">
        <v>53.270200000000003</v>
      </c>
      <c r="O109" s="16">
        <f t="shared" si="6"/>
        <v>33.984450000000002</v>
      </c>
      <c r="P109" s="7"/>
      <c r="Q109" s="8">
        <f>bdrate(C109:C112,D109:D112,J109:J112,K109:K112)</f>
        <v>-0.13889494829704052</v>
      </c>
      <c r="R109" s="8">
        <f>bdrate(C109:C112,E109:E112,J109:J112,L109:L112)</f>
        <v>-0.39812988176320885</v>
      </c>
      <c r="S109" s="8">
        <f>bdrate(C109:C112,F109:F112,J109:J112,M109:M112)</f>
        <v>-0.39269180421835526</v>
      </c>
      <c r="T109" s="25">
        <f>bdrate(C109:C112,H109:H112,J109:J112,O109:O112)</f>
        <v>-0.19692287080199311</v>
      </c>
      <c r="U109" s="28">
        <f t="shared" si="7"/>
        <v>0.66834325086125912</v>
      </c>
    </row>
    <row r="110" spans="2:21" x14ac:dyDescent="0.25">
      <c r="B110" s="9"/>
      <c r="C110" s="17">
        <v>978</v>
      </c>
      <c r="D110" s="18">
        <v>29.417999999999999</v>
      </c>
      <c r="E110" s="18">
        <v>37.881999999999998</v>
      </c>
      <c r="F110" s="18">
        <v>37.247</v>
      </c>
      <c r="G110" s="18">
        <v>36.32</v>
      </c>
      <c r="H110" s="18">
        <f t="shared" si="4"/>
        <v>31.454625</v>
      </c>
      <c r="I110" s="5"/>
      <c r="J110" s="17">
        <v>996.12909999999999</v>
      </c>
      <c r="K110" s="18">
        <v>30.223400000000002</v>
      </c>
      <c r="L110" s="18">
        <v>39.313699999999997</v>
      </c>
      <c r="M110" s="18">
        <v>38.685600000000001</v>
      </c>
      <c r="N110" s="18">
        <v>63.572800000000001</v>
      </c>
      <c r="O110" s="18">
        <f t="shared" si="6"/>
        <v>32.417462500000006</v>
      </c>
      <c r="P110" s="7"/>
      <c r="Q110" s="10"/>
      <c r="R110" s="11"/>
      <c r="S110" s="11"/>
      <c r="T110" s="26"/>
      <c r="U110" s="28">
        <f t="shared" si="7"/>
        <v>0.75035242290748905</v>
      </c>
    </row>
    <row r="111" spans="2:21" x14ac:dyDescent="0.25">
      <c r="B111" s="9"/>
      <c r="C111" s="17">
        <v>586.13</v>
      </c>
      <c r="D111" s="18">
        <v>27.416</v>
      </c>
      <c r="E111" s="18">
        <v>36.378999999999998</v>
      </c>
      <c r="F111" s="18">
        <v>35.72</v>
      </c>
      <c r="G111" s="18">
        <v>41.99</v>
      </c>
      <c r="H111" s="18">
        <f t="shared" si="4"/>
        <v>29.574375</v>
      </c>
      <c r="I111" s="5"/>
      <c r="J111" s="17">
        <v>598.29729999999995</v>
      </c>
      <c r="K111" s="18">
        <v>28.049600000000002</v>
      </c>
      <c r="L111" s="18">
        <v>37.989800000000002</v>
      </c>
      <c r="M111" s="18">
        <v>37.296100000000003</v>
      </c>
      <c r="N111" s="18">
        <v>80.238900000000001</v>
      </c>
      <c r="O111" s="18">
        <f t="shared" si="6"/>
        <v>30.447937500000002</v>
      </c>
      <c r="P111" s="7"/>
      <c r="Q111" s="10"/>
      <c r="R111" s="11"/>
      <c r="S111" s="11"/>
      <c r="T111" s="26"/>
      <c r="U111" s="28">
        <f t="shared" si="7"/>
        <v>0.91090497737556553</v>
      </c>
    </row>
    <row r="112" spans="2:21" ht="16.5" thickBot="1" x14ac:dyDescent="0.3">
      <c r="B112" s="12"/>
      <c r="C112" s="19">
        <v>292.58</v>
      </c>
      <c r="D112" s="20">
        <v>24.788</v>
      </c>
      <c r="E112" s="20">
        <v>33.906999999999996</v>
      </c>
      <c r="F112" s="20">
        <v>33.374000000000002</v>
      </c>
      <c r="G112" s="20">
        <v>52.31</v>
      </c>
      <c r="H112" s="20">
        <f t="shared" si="4"/>
        <v>27.001124999999998</v>
      </c>
      <c r="I112" s="5"/>
      <c r="J112" s="19">
        <v>299.09199999999998</v>
      </c>
      <c r="K112" s="20">
        <v>25.2942</v>
      </c>
      <c r="L112" s="20">
        <v>35.707799999999999</v>
      </c>
      <c r="M112" s="20">
        <v>35.117400000000004</v>
      </c>
      <c r="N112" s="20">
        <v>108.3424</v>
      </c>
      <c r="O112" s="20">
        <f t="shared" si="6"/>
        <v>27.823799999999999</v>
      </c>
      <c r="P112" s="7"/>
      <c r="Q112" s="13"/>
      <c r="R112" s="14"/>
      <c r="S112" s="14"/>
      <c r="T112" s="27"/>
      <c r="U112" s="28">
        <f t="shared" si="7"/>
        <v>1.0711603899827948</v>
      </c>
    </row>
    <row r="113" spans="2:21" x14ac:dyDescent="0.25">
      <c r="B113" s="6" t="s">
        <v>103</v>
      </c>
      <c r="C113" s="15">
        <v>1508.73</v>
      </c>
      <c r="D113" s="16">
        <v>42.213999999999999</v>
      </c>
      <c r="E113" s="16">
        <v>43.609000000000002</v>
      </c>
      <c r="F113" s="16">
        <v>43.478000000000002</v>
      </c>
      <c r="G113" s="16">
        <v>50.58</v>
      </c>
      <c r="H113" s="16">
        <f t="shared" si="4"/>
        <v>42.546374999999998</v>
      </c>
      <c r="I113" s="5"/>
      <c r="J113" s="15">
        <v>1403.1137000000001</v>
      </c>
      <c r="K113" s="16">
        <v>44.934100000000001</v>
      </c>
      <c r="L113" s="16">
        <v>46.1387</v>
      </c>
      <c r="M113" s="16">
        <v>46.026600000000002</v>
      </c>
      <c r="N113" s="16">
        <v>76.514300000000006</v>
      </c>
      <c r="O113" s="16">
        <f t="shared" si="6"/>
        <v>45.221237500000001</v>
      </c>
      <c r="P113" s="7"/>
      <c r="Q113" s="8">
        <f>bdrate(C113:C116,D113:D116,J113:J116,K113:K116)</f>
        <v>-0.40479437714036659</v>
      </c>
      <c r="R113" s="8">
        <f>bdrate(C113:C116,E113:E116,J113:J116,L113:L116)</f>
        <v>-0.4435943392606474</v>
      </c>
      <c r="S113" s="8">
        <f>bdrate(C113:C116,F113:F116,J113:J116,M113:M116)</f>
        <v>-0.43524726733059593</v>
      </c>
      <c r="T113" s="25">
        <f>bdrate(C113:C116,H113:H116,J113:J116,O113:O116)</f>
        <v>-0.412387458432247</v>
      </c>
      <c r="U113" s="28">
        <f t="shared" si="7"/>
        <v>0.51273823645709782</v>
      </c>
    </row>
    <row r="114" spans="2:21" x14ac:dyDescent="0.25">
      <c r="B114" s="9"/>
      <c r="C114" s="17">
        <v>1003.96</v>
      </c>
      <c r="D114" s="18">
        <v>39.954999999999998</v>
      </c>
      <c r="E114" s="18">
        <v>41.686999999999998</v>
      </c>
      <c r="F114" s="18">
        <v>41.524999999999999</v>
      </c>
      <c r="G114" s="18">
        <v>57.58</v>
      </c>
      <c r="H114" s="18">
        <f t="shared" si="4"/>
        <v>40.367749999999994</v>
      </c>
      <c r="I114" s="5"/>
      <c r="J114" s="17">
        <v>953.97749999999996</v>
      </c>
      <c r="K114" s="18">
        <v>43.059199999999997</v>
      </c>
      <c r="L114" s="18">
        <v>44.554099999999998</v>
      </c>
      <c r="M114" s="18">
        <v>44.394199999999998</v>
      </c>
      <c r="N114" s="18">
        <v>96.236099999999993</v>
      </c>
      <c r="O114" s="18">
        <f t="shared" si="6"/>
        <v>43.412937499999998</v>
      </c>
      <c r="P114" s="7"/>
      <c r="Q114" s="10"/>
      <c r="R114" s="11"/>
      <c r="S114" s="11"/>
      <c r="T114" s="26"/>
      <c r="U114" s="28">
        <f t="shared" si="7"/>
        <v>0.67134595345606107</v>
      </c>
    </row>
    <row r="115" spans="2:21" x14ac:dyDescent="0.25">
      <c r="B115" s="9"/>
      <c r="C115" s="17">
        <v>604.13</v>
      </c>
      <c r="D115" s="18">
        <v>37.219000000000001</v>
      </c>
      <c r="E115" s="18">
        <v>39.433</v>
      </c>
      <c r="F115" s="18">
        <v>39.302</v>
      </c>
      <c r="G115" s="18">
        <v>63.57</v>
      </c>
      <c r="H115" s="18">
        <f t="shared" si="4"/>
        <v>37.756125000000004</v>
      </c>
      <c r="I115" s="5"/>
      <c r="J115" s="17">
        <v>585.13329999999996</v>
      </c>
      <c r="K115" s="18">
        <v>40.0608</v>
      </c>
      <c r="L115" s="18">
        <v>42.039200000000001</v>
      </c>
      <c r="M115" s="18">
        <v>41.853700000000003</v>
      </c>
      <c r="N115" s="18">
        <v>117.9786</v>
      </c>
      <c r="O115" s="18">
        <f t="shared" si="6"/>
        <v>40.5322125</v>
      </c>
      <c r="P115" s="7"/>
      <c r="Q115" s="10"/>
      <c r="R115" s="11"/>
      <c r="S115" s="11"/>
      <c r="T115" s="26"/>
      <c r="U115" s="28">
        <f t="shared" si="7"/>
        <v>0.85588485134497405</v>
      </c>
    </row>
    <row r="116" spans="2:21" ht="16.5" thickBot="1" x14ac:dyDescent="0.3">
      <c r="B116" s="12"/>
      <c r="C116" s="19">
        <v>301.82</v>
      </c>
      <c r="D116" s="20">
        <v>33.393999999999998</v>
      </c>
      <c r="E116" s="20">
        <v>36.44</v>
      </c>
      <c r="F116" s="20">
        <v>36.281999999999996</v>
      </c>
      <c r="G116" s="20">
        <v>72.98</v>
      </c>
      <c r="H116" s="20">
        <f t="shared" si="4"/>
        <v>34.135749999999994</v>
      </c>
      <c r="I116" s="5"/>
      <c r="J116" s="19">
        <v>298.36720000000003</v>
      </c>
      <c r="K116" s="20">
        <v>35.584299999999999</v>
      </c>
      <c r="L116" s="20">
        <v>38.554499999999997</v>
      </c>
      <c r="M116" s="20">
        <v>38.272799999999997</v>
      </c>
      <c r="N116" s="20">
        <v>148.5026</v>
      </c>
      <c r="O116" s="20">
        <f t="shared" si="6"/>
        <v>36.2916375</v>
      </c>
      <c r="P116" s="7"/>
      <c r="Q116" s="13"/>
      <c r="R116" s="14"/>
      <c r="S116" s="14"/>
      <c r="T116" s="27"/>
      <c r="U116" s="28">
        <f t="shared" si="7"/>
        <v>1.0348396821046861</v>
      </c>
    </row>
    <row r="117" spans="2:21" x14ac:dyDescent="0.25">
      <c r="B117" s="6" t="s">
        <v>104</v>
      </c>
      <c r="C117" s="15">
        <v>1991.04</v>
      </c>
      <c r="D117" s="16">
        <v>42.204999999999998</v>
      </c>
      <c r="E117" s="16">
        <v>44.415999999999997</v>
      </c>
      <c r="F117" s="16">
        <v>44.619</v>
      </c>
      <c r="G117" s="16">
        <v>49.44</v>
      </c>
      <c r="H117" s="16">
        <f t="shared" si="4"/>
        <v>42.783124999999998</v>
      </c>
      <c r="I117" s="5"/>
      <c r="J117" s="15">
        <v>1355.6251</v>
      </c>
      <c r="K117" s="16">
        <v>45.491300000000003</v>
      </c>
      <c r="L117" s="16">
        <v>47.807000000000002</v>
      </c>
      <c r="M117" s="16">
        <v>48.050699999999999</v>
      </c>
      <c r="N117" s="16">
        <v>74.202299999999994</v>
      </c>
      <c r="O117" s="16">
        <f t="shared" si="6"/>
        <v>46.100687500000006</v>
      </c>
      <c r="P117" s="7"/>
      <c r="Q117" s="8">
        <f>bdrate(C117:C120,D117:D120,J117:J120,K117:K120)</f>
        <v>-0.56886468405486657</v>
      </c>
      <c r="R117" s="8">
        <f>bdrate(C117:C120,E117:E120,J117:J120,L117:L120)</f>
        <v>-0.61462031050854282</v>
      </c>
      <c r="S117" s="8">
        <f>bdrate(C117:C120,F117:F120,J117:J120,M117:M120)</f>
        <v>-0.61930503356869537</v>
      </c>
      <c r="T117" s="25">
        <f>bdrate(C117:C120,H117:H120,J117:J120,O117:O120)</f>
        <v>-0.58019557914044539</v>
      </c>
      <c r="U117" s="28">
        <f t="shared" si="7"/>
        <v>0.50085558252427176</v>
      </c>
    </row>
    <row r="118" spans="2:21" x14ac:dyDescent="0.25">
      <c r="B118" s="9"/>
      <c r="C118" s="17">
        <v>1299.76</v>
      </c>
      <c r="D118" s="18">
        <v>40.21</v>
      </c>
      <c r="E118" s="18">
        <v>42.610999999999997</v>
      </c>
      <c r="F118" s="18">
        <v>42.820999999999998</v>
      </c>
      <c r="G118" s="18">
        <v>59.91</v>
      </c>
      <c r="H118" s="18">
        <f t="shared" si="4"/>
        <v>40.836500000000001</v>
      </c>
      <c r="I118" s="5"/>
      <c r="J118" s="17">
        <v>944.79769999999996</v>
      </c>
      <c r="K118" s="18">
        <v>43.870699999999999</v>
      </c>
      <c r="L118" s="18">
        <v>46.406399999999998</v>
      </c>
      <c r="M118" s="18">
        <v>46.650599999999997</v>
      </c>
      <c r="N118" s="18">
        <v>81.374300000000005</v>
      </c>
      <c r="O118" s="18">
        <f t="shared" si="6"/>
        <v>44.535150000000002</v>
      </c>
      <c r="P118" s="7"/>
      <c r="Q118" s="10"/>
      <c r="R118" s="11"/>
      <c r="S118" s="11"/>
      <c r="T118" s="26"/>
      <c r="U118" s="28">
        <f t="shared" si="7"/>
        <v>0.35827574695376413</v>
      </c>
    </row>
    <row r="119" spans="2:21" x14ac:dyDescent="0.25">
      <c r="B119" s="9"/>
      <c r="C119" s="17">
        <v>759.32</v>
      </c>
      <c r="D119" s="18">
        <v>37.908000000000001</v>
      </c>
      <c r="E119" s="18">
        <v>40.588000000000001</v>
      </c>
      <c r="F119" s="18">
        <v>40.843000000000004</v>
      </c>
      <c r="G119" s="18">
        <v>67.709999999999994</v>
      </c>
      <c r="H119" s="18">
        <f t="shared" si="4"/>
        <v>38.609875000000002</v>
      </c>
      <c r="I119" s="5"/>
      <c r="J119" s="17">
        <v>622.52329999999995</v>
      </c>
      <c r="K119" s="18">
        <v>41.222200000000001</v>
      </c>
      <c r="L119" s="18">
        <v>44.002200000000002</v>
      </c>
      <c r="M119" s="18">
        <v>44.274500000000003</v>
      </c>
      <c r="N119" s="18">
        <v>93.206299999999999</v>
      </c>
      <c r="O119" s="18">
        <f t="shared" si="6"/>
        <v>41.951237499999998</v>
      </c>
      <c r="P119" s="7"/>
      <c r="Q119" s="10"/>
      <c r="R119" s="11"/>
      <c r="S119" s="11"/>
      <c r="T119" s="26"/>
      <c r="U119" s="28">
        <f t="shared" si="7"/>
        <v>0.37655146950228929</v>
      </c>
    </row>
    <row r="120" spans="2:21" ht="16.5" thickBot="1" x14ac:dyDescent="0.3">
      <c r="B120" s="12"/>
      <c r="C120" s="19">
        <v>365.11</v>
      </c>
      <c r="D120" s="20">
        <v>34.862000000000002</v>
      </c>
      <c r="E120" s="20">
        <v>38.177</v>
      </c>
      <c r="F120" s="20">
        <v>38.475000000000001</v>
      </c>
      <c r="G120" s="20">
        <v>79.41</v>
      </c>
      <c r="H120" s="20">
        <f t="shared" si="4"/>
        <v>35.728000000000002</v>
      </c>
      <c r="I120" s="5"/>
      <c r="J120" s="19">
        <v>339.50790000000001</v>
      </c>
      <c r="K120" s="20">
        <v>37.178699999999999</v>
      </c>
      <c r="L120" s="20">
        <v>40.481200000000001</v>
      </c>
      <c r="M120" s="20">
        <v>40.761699999999998</v>
      </c>
      <c r="N120" s="20">
        <v>145.87889999999999</v>
      </c>
      <c r="O120" s="20">
        <f t="shared" si="6"/>
        <v>38.039387500000004</v>
      </c>
      <c r="P120" s="7"/>
      <c r="Q120" s="13"/>
      <c r="R120" s="14"/>
      <c r="S120" s="14"/>
      <c r="T120" s="27"/>
      <c r="U120" s="28">
        <f t="shared" si="7"/>
        <v>0.83703437854174534</v>
      </c>
    </row>
    <row r="121" spans="2:21" x14ac:dyDescent="0.25">
      <c r="B121" s="6" t="s">
        <v>105</v>
      </c>
      <c r="C121" s="15">
        <v>1534.03</v>
      </c>
      <c r="D121" s="16">
        <v>31.283000000000001</v>
      </c>
      <c r="E121" s="16">
        <v>35.308</v>
      </c>
      <c r="F121" s="16">
        <v>34.235999999999997</v>
      </c>
      <c r="G121" s="16">
        <v>37.840000000000003</v>
      </c>
      <c r="H121" s="16">
        <f t="shared" si="4"/>
        <v>32.155250000000002</v>
      </c>
      <c r="I121" s="5"/>
      <c r="J121" s="29">
        <v>1504.7097000000001</v>
      </c>
      <c r="K121" s="30">
        <v>32.347299999999997</v>
      </c>
      <c r="L121" s="30">
        <v>36.641100000000002</v>
      </c>
      <c r="M121" s="30">
        <v>35.537399999999998</v>
      </c>
      <c r="N121" s="16">
        <v>64.317899999999995</v>
      </c>
      <c r="O121" s="16">
        <f t="shared" si="6"/>
        <v>33.282787499999998</v>
      </c>
      <c r="P121" s="7"/>
      <c r="Q121" s="8">
        <f>bdrate(C121:C124,D121:D124,J121:J124,K121:K124)</f>
        <v>-0.16490007841743892</v>
      </c>
      <c r="R121" s="8">
        <f>bdrate(C121:C124,E121:E124,J121:J124,L121:L124)</f>
        <v>-0.42000702189912154</v>
      </c>
      <c r="S121" s="8">
        <f>bdrate(C121:C124,F121:F124,J121:J124,M121:M124)</f>
        <v>-0.3946364855987603</v>
      </c>
      <c r="T121" s="25">
        <f>bdrate(C121:C124,H121:H124,J121:J124,O121:O124)</f>
        <v>-0.21560230986017526</v>
      </c>
      <c r="U121" s="28">
        <f t="shared" si="7"/>
        <v>0.69973308668076084</v>
      </c>
    </row>
    <row r="122" spans="2:21" x14ac:dyDescent="0.25">
      <c r="B122" s="9"/>
      <c r="C122" s="17">
        <v>1020.31</v>
      </c>
      <c r="D122" s="18">
        <v>29.670999999999999</v>
      </c>
      <c r="E122" s="18">
        <v>34.271000000000001</v>
      </c>
      <c r="F122" s="18">
        <v>33.145000000000003</v>
      </c>
      <c r="G122" s="18">
        <v>43.28</v>
      </c>
      <c r="H122" s="18">
        <f t="shared" si="4"/>
        <v>30.680250000000004</v>
      </c>
      <c r="I122" s="5"/>
      <c r="J122" s="31">
        <v>1002.8028</v>
      </c>
      <c r="K122" s="32">
        <v>30.457699999999999</v>
      </c>
      <c r="L122" s="32">
        <v>35.551499999999997</v>
      </c>
      <c r="M122" s="32">
        <v>34.405000000000001</v>
      </c>
      <c r="N122" s="18">
        <v>75.4148</v>
      </c>
      <c r="O122" s="18">
        <f t="shared" si="6"/>
        <v>31.587837499999999</v>
      </c>
      <c r="P122" s="7"/>
      <c r="Q122" s="10"/>
      <c r="R122" s="11"/>
      <c r="S122" s="11"/>
      <c r="T122" s="26"/>
      <c r="U122" s="28">
        <f t="shared" si="7"/>
        <v>0.74248613678373376</v>
      </c>
    </row>
    <row r="123" spans="2:21" x14ac:dyDescent="0.25">
      <c r="B123" s="9"/>
      <c r="C123" s="17">
        <v>608.66</v>
      </c>
      <c r="D123" s="18">
        <v>27.763999999999999</v>
      </c>
      <c r="E123" s="18">
        <v>33.009</v>
      </c>
      <c r="F123" s="18">
        <v>31.797000000000001</v>
      </c>
      <c r="G123" s="18">
        <v>49.88</v>
      </c>
      <c r="H123" s="18">
        <f t="shared" si="4"/>
        <v>28.923750000000002</v>
      </c>
      <c r="I123" s="5"/>
      <c r="J123" s="31">
        <v>603.75559999999996</v>
      </c>
      <c r="K123" s="32">
        <v>28.366800000000001</v>
      </c>
      <c r="L123" s="32">
        <v>34.352400000000003</v>
      </c>
      <c r="M123" s="32">
        <v>33.118299999999998</v>
      </c>
      <c r="N123" s="18">
        <v>94.577600000000004</v>
      </c>
      <c r="O123" s="18">
        <f t="shared" si="6"/>
        <v>29.708937500000001</v>
      </c>
      <c r="P123" s="7"/>
      <c r="Q123" s="10"/>
      <c r="R123" s="11"/>
      <c r="S123" s="11"/>
      <c r="T123" s="26"/>
      <c r="U123" s="28">
        <f t="shared" si="7"/>
        <v>0.89610264635124293</v>
      </c>
    </row>
    <row r="124" spans="2:21" ht="16.5" thickBot="1" x14ac:dyDescent="0.3">
      <c r="B124" s="12"/>
      <c r="C124" s="19">
        <v>300.41000000000003</v>
      </c>
      <c r="D124" s="20">
        <v>25.385000000000002</v>
      </c>
      <c r="E124" s="20">
        <v>31.166</v>
      </c>
      <c r="F124" s="20">
        <v>29.895</v>
      </c>
      <c r="G124" s="20">
        <v>59.51</v>
      </c>
      <c r="H124" s="20">
        <f t="shared" si="4"/>
        <v>26.671375000000001</v>
      </c>
      <c r="I124" s="5"/>
      <c r="J124" s="33">
        <v>303.1696</v>
      </c>
      <c r="K124" s="34">
        <v>25.8187</v>
      </c>
      <c r="L124" s="34">
        <v>32.5794</v>
      </c>
      <c r="M124" s="34">
        <v>31.2178</v>
      </c>
      <c r="N124" s="20">
        <v>126.65349999999999</v>
      </c>
      <c r="O124" s="20">
        <f t="shared" si="6"/>
        <v>27.338674999999999</v>
      </c>
      <c r="P124" s="7"/>
      <c r="Q124" s="13"/>
      <c r="R124" s="14"/>
      <c r="S124" s="14"/>
      <c r="T124" s="27"/>
      <c r="U124" s="28">
        <f t="shared" si="7"/>
        <v>1.1282725592337421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-0.30250379308786352</v>
      </c>
      <c r="R125" s="21">
        <f>AVERAGE(R9:R124)</f>
        <v>-0.46773066104446476</v>
      </c>
      <c r="S125" s="21">
        <f>AVERAGE(S9:S124)</f>
        <v>-0.45961315184134499</v>
      </c>
      <c r="T125" s="21">
        <f>AVERAGE(T9:T124)</f>
        <v>-0.33413252670604066</v>
      </c>
      <c r="U125" s="21">
        <f>AVERAGE(U9:U124)</f>
        <v>0.81379901891542283</v>
      </c>
    </row>
    <row r="127" spans="2:21" s="35" customFormat="1" ht="15.75" customHeight="1" x14ac:dyDescent="0.25">
      <c r="B127" s="61" t="s">
        <v>29</v>
      </c>
      <c r="C127" s="63" t="s">
        <v>198</v>
      </c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5"/>
    </row>
    <row r="128" spans="2:21" s="35" customFormat="1" x14ac:dyDescent="0.25">
      <c r="B128" s="62"/>
      <c r="C128" s="66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8"/>
    </row>
    <row r="129" spans="1:21" ht="16.5" customHeight="1" thickBot="1" x14ac:dyDescent="0.3">
      <c r="C129" s="69" t="s">
        <v>78</v>
      </c>
      <c r="D129" s="70"/>
      <c r="E129" s="70"/>
      <c r="F129" s="70"/>
      <c r="G129" s="70"/>
      <c r="H129" s="70"/>
      <c r="I129" s="5"/>
      <c r="J129" s="69" t="s">
        <v>180</v>
      </c>
      <c r="K129" s="70"/>
      <c r="L129" s="70"/>
      <c r="M129" s="70"/>
      <c r="N129" s="70"/>
      <c r="O129" s="70"/>
      <c r="Q129" s="69" t="s">
        <v>7</v>
      </c>
      <c r="R129" s="70"/>
      <c r="S129" s="71"/>
      <c r="T129" s="36"/>
      <c r="U129" s="7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2"/>
    </row>
    <row r="131" spans="1:21" x14ac:dyDescent="0.25">
      <c r="A131" s="6" t="s">
        <v>35</v>
      </c>
      <c r="B131" s="6" t="s">
        <v>46</v>
      </c>
      <c r="C131" s="15">
        <v>3796.74</v>
      </c>
      <c r="D131" s="16">
        <v>35.981000000000002</v>
      </c>
      <c r="E131" s="16">
        <v>38.018000000000001</v>
      </c>
      <c r="F131" s="16">
        <v>40.314999999999998</v>
      </c>
      <c r="G131" s="16">
        <v>26.13</v>
      </c>
      <c r="H131" s="16">
        <f t="shared" ref="H131:H202" si="8">(6*D131+E131+F131)/8</f>
        <v>36.777375000000006</v>
      </c>
      <c r="I131" s="5"/>
      <c r="J131" s="15">
        <v>3985.5632000000001</v>
      </c>
      <c r="K131" s="16">
        <v>37.829599999999999</v>
      </c>
      <c r="L131" s="16">
        <v>39.483199999999997</v>
      </c>
      <c r="M131" s="16">
        <v>41.954599999999999</v>
      </c>
      <c r="N131" s="16">
        <v>56.882800000000003</v>
      </c>
      <c r="O131" s="16">
        <f t="shared" ref="O131:O202" si="9">(6*K131+L131+M131)/8</f>
        <v>38.551924999999997</v>
      </c>
      <c r="P131" s="7"/>
      <c r="Q131" s="8">
        <f>bdrate(C131:C134,D131:D134,J131:J134,K131:K134)</f>
        <v>-0.30429455824873453</v>
      </c>
      <c r="R131" s="8">
        <f>bdrate(C131:C134,E131:E134,J131:J134,L131:L134)</f>
        <v>-0.50891606128433331</v>
      </c>
      <c r="S131" s="8">
        <f>bdrate(C131:C134,F131:F134,J131:J134,M131:M134)</f>
        <v>-0.48692604066262324</v>
      </c>
      <c r="T131" s="25">
        <f>bdrate(C131:C134,H131:H134,J131:J134,O131:O134)</f>
        <v>-0.33086143925406863</v>
      </c>
      <c r="U131" s="28">
        <f t="shared" ref="U131:U194" si="10">(N131-G131)/G131</f>
        <v>1.1769154228855723</v>
      </c>
    </row>
    <row r="132" spans="1:21" x14ac:dyDescent="0.25">
      <c r="A132" s="9" t="s">
        <v>36</v>
      </c>
      <c r="B132" s="9"/>
      <c r="C132" s="17">
        <v>2829.02</v>
      </c>
      <c r="D132" s="18">
        <v>35.122</v>
      </c>
      <c r="E132" s="18">
        <v>37.582999999999998</v>
      </c>
      <c r="F132" s="18">
        <v>39.884</v>
      </c>
      <c r="G132" s="18">
        <v>34.47</v>
      </c>
      <c r="H132" s="18">
        <f t="shared" si="8"/>
        <v>36.024875000000002</v>
      </c>
      <c r="I132" s="5"/>
      <c r="J132" s="17">
        <v>2974.7887999999998</v>
      </c>
      <c r="K132" s="18">
        <v>36.900700000000001</v>
      </c>
      <c r="L132" s="18">
        <v>38.922199999999997</v>
      </c>
      <c r="M132" s="18">
        <v>41.272500000000001</v>
      </c>
      <c r="N132" s="18">
        <v>62.448</v>
      </c>
      <c r="O132" s="18">
        <f t="shared" si="9"/>
        <v>37.699862499999995</v>
      </c>
      <c r="P132" s="7"/>
      <c r="Q132" s="10"/>
      <c r="R132" s="11"/>
      <c r="S132" s="11"/>
      <c r="T132" s="26"/>
      <c r="U132" s="28">
        <f t="shared" si="10"/>
        <v>0.81166231505657105</v>
      </c>
    </row>
    <row r="133" spans="1:21" x14ac:dyDescent="0.25">
      <c r="B133" s="9"/>
      <c r="C133" s="17">
        <v>1850.36</v>
      </c>
      <c r="D133" s="18">
        <v>33.85</v>
      </c>
      <c r="E133" s="18">
        <v>37.091000000000001</v>
      </c>
      <c r="F133" s="18">
        <v>39.384</v>
      </c>
      <c r="G133" s="18">
        <v>37.56</v>
      </c>
      <c r="H133" s="18">
        <f t="shared" si="8"/>
        <v>34.946875000000006</v>
      </c>
      <c r="I133" s="5"/>
      <c r="J133" s="17">
        <v>1925.2719999999999</v>
      </c>
      <c r="K133" s="18">
        <v>35.298200000000001</v>
      </c>
      <c r="L133" s="18">
        <v>38.231299999999997</v>
      </c>
      <c r="M133" s="18">
        <v>40.536299999999997</v>
      </c>
      <c r="N133" s="18">
        <v>70.688000000000002</v>
      </c>
      <c r="O133" s="18">
        <f t="shared" si="9"/>
        <v>36.319600000000001</v>
      </c>
      <c r="P133" s="7"/>
      <c r="Q133" s="10"/>
      <c r="R133" s="11"/>
      <c r="S133" s="11"/>
      <c r="T133" s="26"/>
      <c r="U133" s="28">
        <f t="shared" si="10"/>
        <v>0.88200212992545257</v>
      </c>
    </row>
    <row r="134" spans="1:21" ht="16.5" thickBot="1" x14ac:dyDescent="0.3">
      <c r="B134" s="12"/>
      <c r="C134" s="19">
        <v>869.54</v>
      </c>
      <c r="D134" s="20">
        <v>31.26</v>
      </c>
      <c r="E134" s="20">
        <v>36.460999999999999</v>
      </c>
      <c r="F134" s="20">
        <v>38.677999999999997</v>
      </c>
      <c r="G134" s="20">
        <v>41.99</v>
      </c>
      <c r="H134" s="20">
        <f t="shared" si="8"/>
        <v>32.837375000000002</v>
      </c>
      <c r="I134" s="5"/>
      <c r="J134" s="19">
        <v>916.8048</v>
      </c>
      <c r="K134" s="20">
        <v>32.348999999999997</v>
      </c>
      <c r="L134" s="20">
        <v>36.9099</v>
      </c>
      <c r="M134" s="20">
        <v>39.110199999999999</v>
      </c>
      <c r="N134" s="20">
        <v>88.235299999999995</v>
      </c>
      <c r="O134" s="20">
        <f t="shared" si="9"/>
        <v>33.764262500000001</v>
      </c>
      <c r="P134" s="7"/>
      <c r="Q134" s="13"/>
      <c r="R134" s="14"/>
      <c r="S134" s="14"/>
      <c r="T134" s="27"/>
      <c r="U134" s="28">
        <f t="shared" si="10"/>
        <v>1.1013407954274825</v>
      </c>
    </row>
    <row r="135" spans="1:21" x14ac:dyDescent="0.25">
      <c r="B135" s="6" t="s">
        <v>47</v>
      </c>
      <c r="C135" s="15">
        <v>4018.41</v>
      </c>
      <c r="D135" s="16">
        <v>28.745999999999999</v>
      </c>
      <c r="E135" s="16">
        <v>38.197000000000003</v>
      </c>
      <c r="F135" s="16">
        <v>39.201000000000001</v>
      </c>
      <c r="G135" s="16">
        <v>23.23</v>
      </c>
      <c r="H135" s="16">
        <f t="shared" si="8"/>
        <v>31.234249999999999</v>
      </c>
      <c r="I135" s="5"/>
      <c r="J135" s="15">
        <v>4065.6992</v>
      </c>
      <c r="K135" s="16">
        <v>29.452100000000002</v>
      </c>
      <c r="L135" s="16">
        <v>39.308</v>
      </c>
      <c r="M135" s="16">
        <v>40.256999999999998</v>
      </c>
      <c r="N135" s="16">
        <v>43.516100000000002</v>
      </c>
      <c r="O135" s="16">
        <f t="shared" si="9"/>
        <v>32.034700000000001</v>
      </c>
      <c r="P135" s="7"/>
      <c r="Q135" s="8">
        <f>bdrate(C135:C138,D135:D138,J135:J138,K135:K138)</f>
        <v>-0.1131575316256701</v>
      </c>
      <c r="R135" s="8">
        <f>bdrate(C135:C138,E135:E138,J135:J138,L135:L138)</f>
        <v>-0.45913992084010502</v>
      </c>
      <c r="S135" s="8">
        <f>bdrate(C135:C138,F135:F138,J135:J138,M135:M138)</f>
        <v>-0.4728187708472652</v>
      </c>
      <c r="T135" s="25">
        <f>bdrate(C135:C138,H135:H138,J135:J138,O135:O138)</f>
        <v>-0.17452687549886114</v>
      </c>
      <c r="U135" s="28">
        <f t="shared" si="10"/>
        <v>0.8732716315109772</v>
      </c>
    </row>
    <row r="136" spans="1:21" x14ac:dyDescent="0.25">
      <c r="B136" s="9"/>
      <c r="C136" s="17">
        <v>2988.52</v>
      </c>
      <c r="D136" s="18">
        <v>27.524000000000001</v>
      </c>
      <c r="E136" s="18">
        <v>37.619999999999997</v>
      </c>
      <c r="F136" s="18">
        <v>38.722999999999999</v>
      </c>
      <c r="G136" s="18">
        <v>26.79</v>
      </c>
      <c r="H136" s="18">
        <f t="shared" si="8"/>
        <v>30.185875000000003</v>
      </c>
      <c r="I136" s="5"/>
      <c r="J136" s="17">
        <v>3031.1792</v>
      </c>
      <c r="K136" s="18">
        <v>28.114699999999999</v>
      </c>
      <c r="L136" s="18">
        <v>38.8444</v>
      </c>
      <c r="M136" s="18">
        <v>39.823599999999999</v>
      </c>
      <c r="N136" s="18">
        <v>49.570399999999999</v>
      </c>
      <c r="O136" s="18">
        <f t="shared" si="9"/>
        <v>30.919525</v>
      </c>
      <c r="P136" s="7"/>
      <c r="Q136" s="10"/>
      <c r="R136" s="11"/>
      <c r="S136" s="11"/>
      <c r="T136" s="26"/>
      <c r="U136" s="28">
        <f t="shared" si="10"/>
        <v>0.85033221351250465</v>
      </c>
    </row>
    <row r="137" spans="1:21" x14ac:dyDescent="0.25">
      <c r="B137" s="9"/>
      <c r="C137" s="17">
        <v>1981.94</v>
      </c>
      <c r="D137" s="18">
        <v>25.853999999999999</v>
      </c>
      <c r="E137" s="18">
        <v>36.542999999999999</v>
      </c>
      <c r="F137" s="18">
        <v>37.774000000000001</v>
      </c>
      <c r="G137" s="18">
        <v>29.67</v>
      </c>
      <c r="H137" s="18">
        <f t="shared" si="8"/>
        <v>28.680125</v>
      </c>
      <c r="I137" s="5"/>
      <c r="J137" s="17">
        <v>2019.7072000000001</v>
      </c>
      <c r="K137" s="18">
        <v>26.331700000000001</v>
      </c>
      <c r="L137" s="18">
        <v>38.118699999999997</v>
      </c>
      <c r="M137" s="18">
        <v>39.212600000000002</v>
      </c>
      <c r="N137" s="18">
        <v>59.358899999999998</v>
      </c>
      <c r="O137" s="18">
        <f t="shared" si="9"/>
        <v>29.415187500000002</v>
      </c>
      <c r="P137" s="7"/>
      <c r="Q137" s="10"/>
      <c r="R137" s="11"/>
      <c r="S137" s="11"/>
      <c r="T137" s="26"/>
      <c r="U137" s="28">
        <f t="shared" si="10"/>
        <v>1.0006370070778563</v>
      </c>
    </row>
    <row r="138" spans="1:21" ht="16.5" thickBot="1" x14ac:dyDescent="0.3">
      <c r="B138" s="12"/>
      <c r="C138" s="19">
        <v>1014.78</v>
      </c>
      <c r="D138" s="20">
        <v>22.782</v>
      </c>
      <c r="E138" s="20">
        <v>35.311</v>
      </c>
      <c r="F138" s="20">
        <v>36.475999999999999</v>
      </c>
      <c r="G138" s="20">
        <v>35.61</v>
      </c>
      <c r="H138" s="20">
        <f t="shared" si="8"/>
        <v>26.059875000000002</v>
      </c>
      <c r="I138" s="5"/>
      <c r="J138" s="19">
        <v>1139.0224000000001</v>
      </c>
      <c r="K138" s="20">
        <v>24.173200000000001</v>
      </c>
      <c r="L138" s="20">
        <v>36.592700000000001</v>
      </c>
      <c r="M138" s="20">
        <v>37.866</v>
      </c>
      <c r="N138" s="20">
        <v>72.289199999999994</v>
      </c>
      <c r="O138" s="20">
        <f t="shared" si="9"/>
        <v>27.437237500000002</v>
      </c>
      <c r="P138" s="7"/>
      <c r="Q138" s="13"/>
      <c r="R138" s="14"/>
      <c r="S138" s="14"/>
      <c r="T138" s="27"/>
      <c r="U138" s="28">
        <f t="shared" si="10"/>
        <v>1.0300252737994944</v>
      </c>
    </row>
    <row r="139" spans="1:21" x14ac:dyDescent="0.25">
      <c r="A139" s="6" t="s">
        <v>37</v>
      </c>
      <c r="B139" s="6" t="s">
        <v>48</v>
      </c>
      <c r="C139" s="15">
        <v>2006.45</v>
      </c>
      <c r="D139" s="16">
        <v>38.311</v>
      </c>
      <c r="E139" s="16">
        <v>41.008000000000003</v>
      </c>
      <c r="F139" s="16">
        <v>42.143000000000001</v>
      </c>
      <c r="G139" s="16">
        <v>36.630000000000003</v>
      </c>
      <c r="H139" s="16">
        <f t="shared" si="8"/>
        <v>39.127124999999992</v>
      </c>
      <c r="I139" s="5"/>
      <c r="J139" s="15">
        <v>2379.8575999999998</v>
      </c>
      <c r="K139" s="16">
        <v>39.062899999999999</v>
      </c>
      <c r="L139" s="16">
        <v>41.921999999999997</v>
      </c>
      <c r="M139" s="16">
        <v>43.255400000000002</v>
      </c>
      <c r="N139" s="16">
        <v>112.2544</v>
      </c>
      <c r="O139" s="16">
        <f t="shared" si="9"/>
        <v>39.94435</v>
      </c>
      <c r="P139" s="7"/>
      <c r="Q139" s="8">
        <f>bdrate(C139:C142,D139:D142,J139:J142,K139:K142)</f>
        <v>-8.6922398929623057E-2</v>
      </c>
      <c r="R139" s="8">
        <f>bdrate(C139:C142,E139:E142,J139:J142,L139:L142)</f>
        <v>-0.3735022569003813</v>
      </c>
      <c r="S139" s="8">
        <f>bdrate(C139:C142,F139:F142,J139:J142,M139:M142)</f>
        <v>-0.38274319320530892</v>
      </c>
      <c r="T139" s="25">
        <f>bdrate(C139:C142,H139:H142,J139:J142,O139:O142)</f>
        <v>-0.13494683744468283</v>
      </c>
      <c r="U139" s="28">
        <f t="shared" si="10"/>
        <v>2.0645481845481846</v>
      </c>
    </row>
    <row r="140" spans="1:21" x14ac:dyDescent="0.25">
      <c r="A140" s="9" t="s">
        <v>38</v>
      </c>
      <c r="B140" s="9"/>
      <c r="C140" s="17">
        <v>1311.39</v>
      </c>
      <c r="D140" s="18">
        <v>36.954000000000001</v>
      </c>
      <c r="E140" s="18">
        <v>40.158000000000001</v>
      </c>
      <c r="F140" s="18">
        <v>41.325000000000003</v>
      </c>
      <c r="G140" s="18">
        <v>53.98</v>
      </c>
      <c r="H140" s="18">
        <f t="shared" si="8"/>
        <v>37.900874999999999</v>
      </c>
      <c r="I140" s="5"/>
      <c r="J140" s="17">
        <v>1575.9392</v>
      </c>
      <c r="K140" s="18">
        <v>37.814</v>
      </c>
      <c r="L140" s="18">
        <v>41.228000000000002</v>
      </c>
      <c r="M140" s="18">
        <v>42.464399999999998</v>
      </c>
      <c r="N140" s="18">
        <v>125.13030000000001</v>
      </c>
      <c r="O140" s="18">
        <f t="shared" si="9"/>
        <v>38.822050000000004</v>
      </c>
      <c r="P140" s="7"/>
      <c r="Q140" s="10"/>
      <c r="R140" s="11"/>
      <c r="S140" s="11"/>
      <c r="T140" s="26"/>
      <c r="U140" s="28">
        <f t="shared" si="10"/>
        <v>1.3180863282697299</v>
      </c>
    </row>
    <row r="141" spans="1:21" x14ac:dyDescent="0.25">
      <c r="B141" s="9"/>
      <c r="C141" s="17">
        <v>804.87</v>
      </c>
      <c r="D141" s="18">
        <v>35.305999999999997</v>
      </c>
      <c r="E141" s="18">
        <v>39.347999999999999</v>
      </c>
      <c r="F141" s="18">
        <v>40.607999999999997</v>
      </c>
      <c r="G141" s="18">
        <v>60.82</v>
      </c>
      <c r="H141" s="18">
        <f t="shared" si="8"/>
        <v>36.473999999999997</v>
      </c>
      <c r="I141" s="5"/>
      <c r="J141" s="17">
        <v>963.49120000000005</v>
      </c>
      <c r="K141" s="18">
        <v>36.228999999999999</v>
      </c>
      <c r="L141" s="18">
        <v>40.428800000000003</v>
      </c>
      <c r="M141" s="18">
        <v>41.600999999999999</v>
      </c>
      <c r="N141" s="18">
        <v>142.4332</v>
      </c>
      <c r="O141" s="18">
        <f t="shared" si="9"/>
        <v>37.425474999999999</v>
      </c>
      <c r="P141" s="7"/>
      <c r="Q141" s="10"/>
      <c r="R141" s="11"/>
      <c r="S141" s="11"/>
      <c r="T141" s="26"/>
      <c r="U141" s="28">
        <f t="shared" si="10"/>
        <v>1.3418809602104571</v>
      </c>
    </row>
    <row r="142" spans="1:21" ht="16.5" thickBot="1" x14ac:dyDescent="0.3">
      <c r="B142" s="12"/>
      <c r="C142" s="19">
        <v>479.08</v>
      </c>
      <c r="D142" s="20">
        <v>33.421999999999997</v>
      </c>
      <c r="E142" s="20">
        <v>38.536000000000001</v>
      </c>
      <c r="F142" s="20">
        <v>39.944000000000003</v>
      </c>
      <c r="G142" s="20">
        <v>66.319999999999993</v>
      </c>
      <c r="H142" s="20">
        <f t="shared" si="8"/>
        <v>34.8765</v>
      </c>
      <c r="I142" s="5"/>
      <c r="J142" s="19">
        <v>559.0136</v>
      </c>
      <c r="K142" s="20">
        <v>34.3902</v>
      </c>
      <c r="L142" s="20">
        <v>39.667999999999999</v>
      </c>
      <c r="M142" s="20">
        <v>40.888100000000001</v>
      </c>
      <c r="N142" s="20">
        <v>165.4032</v>
      </c>
      <c r="O142" s="20">
        <f t="shared" si="9"/>
        <v>35.862162500000004</v>
      </c>
      <c r="P142" s="7"/>
      <c r="Q142" s="13"/>
      <c r="R142" s="14"/>
      <c r="S142" s="14"/>
      <c r="T142" s="27"/>
      <c r="U142" s="28">
        <f t="shared" si="10"/>
        <v>1.4940168878166469</v>
      </c>
    </row>
    <row r="143" spans="1:21" x14ac:dyDescent="0.25">
      <c r="B143" s="6" t="s">
        <v>49</v>
      </c>
      <c r="C143" s="15">
        <v>2282.4699999999998</v>
      </c>
      <c r="D143" s="16">
        <v>34.588000000000001</v>
      </c>
      <c r="E143" s="16">
        <v>38.436</v>
      </c>
      <c r="F143" s="16">
        <v>39.613999999999997</v>
      </c>
      <c r="G143" s="16">
        <v>42.03</v>
      </c>
      <c r="H143" s="16">
        <f t="shared" si="8"/>
        <v>35.697250000000004</v>
      </c>
      <c r="I143" s="5"/>
      <c r="J143" s="15">
        <v>2481.3296</v>
      </c>
      <c r="K143" s="16">
        <v>36.008000000000003</v>
      </c>
      <c r="L143" s="16">
        <v>39.948999999999998</v>
      </c>
      <c r="M143" s="16">
        <v>41.1586</v>
      </c>
      <c r="N143" s="16">
        <v>102.5641</v>
      </c>
      <c r="O143" s="16">
        <f t="shared" si="9"/>
        <v>37.144449999999999</v>
      </c>
      <c r="P143" s="7"/>
      <c r="Q143" s="8">
        <f>bdrate(C143:C146,D143:D146,J143:J146,K143:K146)</f>
        <v>-0.27381218435592514</v>
      </c>
      <c r="R143" s="8">
        <f>bdrate(C143:C146,E143:E146,J143:J146,L143:L146)</f>
        <v>-0.5145481679541366</v>
      </c>
      <c r="S143" s="8">
        <f>bdrate(C143:C146,F143:F146,J143:J146,M143:M146)</f>
        <v>-0.53413281070287688</v>
      </c>
      <c r="T143" s="25">
        <f>bdrate(C143:C146,H143:H146,J143:J146,O143:O146)</f>
        <v>-0.31775421414474758</v>
      </c>
      <c r="U143" s="28">
        <f t="shared" si="10"/>
        <v>1.4402593385676896</v>
      </c>
    </row>
    <row r="144" spans="1:21" x14ac:dyDescent="0.25">
      <c r="B144" s="9"/>
      <c r="C144" s="17">
        <v>1516.63</v>
      </c>
      <c r="D144" s="18">
        <v>33.436</v>
      </c>
      <c r="E144" s="18">
        <v>37.643999999999998</v>
      </c>
      <c r="F144" s="18">
        <v>39.033999999999999</v>
      </c>
      <c r="G144" s="18">
        <v>63.32</v>
      </c>
      <c r="H144" s="18">
        <f t="shared" si="8"/>
        <v>34.661749999999998</v>
      </c>
      <c r="I144" s="5"/>
      <c r="J144" s="17">
        <v>1653.3712</v>
      </c>
      <c r="K144" s="18">
        <v>34.735799999999998</v>
      </c>
      <c r="L144" s="18">
        <v>39.166499999999999</v>
      </c>
      <c r="M144" s="18">
        <v>40.404600000000002</v>
      </c>
      <c r="N144" s="18">
        <v>118.3432</v>
      </c>
      <c r="O144" s="18">
        <f t="shared" si="9"/>
        <v>35.998237500000002</v>
      </c>
      <c r="P144" s="7"/>
      <c r="Q144" s="10"/>
      <c r="R144" s="11"/>
      <c r="S144" s="11"/>
      <c r="T144" s="26"/>
      <c r="U144" s="28">
        <f t="shared" si="10"/>
        <v>0.86897030953885024</v>
      </c>
    </row>
    <row r="145" spans="1:21" x14ac:dyDescent="0.25">
      <c r="B145" s="9"/>
      <c r="C145" s="17">
        <v>943.75</v>
      </c>
      <c r="D145" s="18">
        <v>32.095999999999997</v>
      </c>
      <c r="E145" s="18">
        <v>36.869999999999997</v>
      </c>
      <c r="F145" s="18">
        <v>38.517000000000003</v>
      </c>
      <c r="G145" s="18">
        <v>68.67</v>
      </c>
      <c r="H145" s="18">
        <f t="shared" si="8"/>
        <v>33.495374999999996</v>
      </c>
      <c r="I145" s="5"/>
      <c r="J145" s="17">
        <v>1017.412</v>
      </c>
      <c r="K145" s="18">
        <v>33.218400000000003</v>
      </c>
      <c r="L145" s="18">
        <v>38.2346</v>
      </c>
      <c r="M145" s="18">
        <v>39.548999999999999</v>
      </c>
      <c r="N145" s="18">
        <v>139.86009999999999</v>
      </c>
      <c r="O145" s="18">
        <f t="shared" si="9"/>
        <v>34.636749999999999</v>
      </c>
      <c r="P145" s="7"/>
      <c r="Q145" s="10"/>
      <c r="R145" s="11"/>
      <c r="S145" s="11"/>
      <c r="T145" s="26"/>
      <c r="U145" s="28">
        <f t="shared" si="10"/>
        <v>1.0366987039464102</v>
      </c>
    </row>
    <row r="146" spans="1:21" ht="16.5" thickBot="1" x14ac:dyDescent="0.3">
      <c r="B146" s="12"/>
      <c r="C146" s="19">
        <v>559.39</v>
      </c>
      <c r="D146" s="20">
        <v>30.602</v>
      </c>
      <c r="E146" s="20">
        <v>36.125</v>
      </c>
      <c r="F146" s="20">
        <v>38.021999999999998</v>
      </c>
      <c r="G146" s="20">
        <v>72.55</v>
      </c>
      <c r="H146" s="20">
        <f t="shared" si="8"/>
        <v>32.219875000000002</v>
      </c>
      <c r="I146" s="5"/>
      <c r="J146" s="19">
        <v>581.43759999999997</v>
      </c>
      <c r="K146" s="20">
        <v>31.517900000000001</v>
      </c>
      <c r="L146" s="20">
        <v>37.255800000000001</v>
      </c>
      <c r="M146" s="20">
        <v>38.785200000000003</v>
      </c>
      <c r="N146" s="20">
        <v>165.4032</v>
      </c>
      <c r="O146" s="20">
        <f t="shared" si="9"/>
        <v>33.143550000000005</v>
      </c>
      <c r="P146" s="7"/>
      <c r="Q146" s="13"/>
      <c r="R146" s="14"/>
      <c r="S146" s="14"/>
      <c r="T146" s="27"/>
      <c r="U146" s="28">
        <f t="shared" si="10"/>
        <v>1.2798511371467953</v>
      </c>
    </row>
    <row r="147" spans="1:21" x14ac:dyDescent="0.25">
      <c r="B147" s="6" t="s">
        <v>50</v>
      </c>
      <c r="C147" s="15">
        <v>2374.02</v>
      </c>
      <c r="D147" s="16">
        <v>32.795000000000002</v>
      </c>
      <c r="E147" s="16">
        <v>37.246000000000002</v>
      </c>
      <c r="F147" s="16">
        <v>38.512</v>
      </c>
      <c r="G147" s="16">
        <v>48.56</v>
      </c>
      <c r="H147" s="16">
        <f t="shared" si="8"/>
        <v>34.066000000000003</v>
      </c>
      <c r="I147" s="5"/>
      <c r="J147" s="15">
        <v>2410.0423999999998</v>
      </c>
      <c r="K147" s="16">
        <v>34.0212</v>
      </c>
      <c r="L147" s="16">
        <v>38.170099999999998</v>
      </c>
      <c r="M147" s="16">
        <v>40.130000000000003</v>
      </c>
      <c r="N147" s="16">
        <v>139.9384</v>
      </c>
      <c r="O147" s="16">
        <f t="shared" si="9"/>
        <v>35.3034125</v>
      </c>
      <c r="P147" s="7"/>
      <c r="Q147" s="8">
        <f>bdrate(C147:C150,D147:D150,J147:J150,K147:K150)</f>
        <v>-0.25129244080688962</v>
      </c>
      <c r="R147" s="8">
        <f>bdrate(C147:C150,E147:E150,J147:J150,L147:L150)</f>
        <v>-0.48120319934265987</v>
      </c>
      <c r="S147" s="8">
        <f>bdrate(C147:C150,F147:F150,J147:J150,M147:M150)</f>
        <v>-0.48815548436319789</v>
      </c>
      <c r="T147" s="25">
        <f>bdrate(C147:C150,H147:H150,J147:J150,O147:O150)</f>
        <v>-0.29168603095628387</v>
      </c>
      <c r="U147" s="28">
        <f t="shared" si="10"/>
        <v>1.8817627677100492</v>
      </c>
    </row>
    <row r="148" spans="1:21" x14ac:dyDescent="0.25">
      <c r="B148" s="9"/>
      <c r="C148" s="17">
        <v>1581.23</v>
      </c>
      <c r="D148" s="18">
        <v>31.72</v>
      </c>
      <c r="E148" s="18">
        <v>36.807000000000002</v>
      </c>
      <c r="F148" s="18">
        <v>37.814</v>
      </c>
      <c r="G148" s="18">
        <v>68.78</v>
      </c>
      <c r="H148" s="18">
        <f t="shared" si="8"/>
        <v>33.117625000000004</v>
      </c>
      <c r="I148" s="5"/>
      <c r="J148" s="17">
        <v>1605.8871999999999</v>
      </c>
      <c r="K148" s="18">
        <v>32.808900000000001</v>
      </c>
      <c r="L148" s="18">
        <v>37.694800000000001</v>
      </c>
      <c r="M148" s="18">
        <v>39.292700000000004</v>
      </c>
      <c r="N148" s="18">
        <v>162.70750000000001</v>
      </c>
      <c r="O148" s="18">
        <f t="shared" si="9"/>
        <v>34.230112500000004</v>
      </c>
      <c r="P148" s="7"/>
      <c r="Q148" s="10"/>
      <c r="R148" s="11"/>
      <c r="S148" s="11"/>
      <c r="T148" s="26"/>
      <c r="U148" s="28">
        <f t="shared" si="10"/>
        <v>1.3656222739168364</v>
      </c>
    </row>
    <row r="149" spans="1:21" x14ac:dyDescent="0.25">
      <c r="B149" s="9"/>
      <c r="C149" s="17">
        <v>975.79</v>
      </c>
      <c r="D149" s="18">
        <v>30.309000000000001</v>
      </c>
      <c r="E149" s="18">
        <v>36.234000000000002</v>
      </c>
      <c r="F149" s="18">
        <v>36.908000000000001</v>
      </c>
      <c r="G149" s="18">
        <v>72.52</v>
      </c>
      <c r="H149" s="18">
        <f t="shared" si="8"/>
        <v>31.874500000000005</v>
      </c>
      <c r="I149" s="5"/>
      <c r="J149" s="17">
        <v>1002.3216</v>
      </c>
      <c r="K149" s="18">
        <v>31.229399999999998</v>
      </c>
      <c r="L149" s="18">
        <v>37.074399999999997</v>
      </c>
      <c r="M149" s="18">
        <v>38.260399999999997</v>
      </c>
      <c r="N149" s="18">
        <v>185.32249999999999</v>
      </c>
      <c r="O149" s="18">
        <f t="shared" si="9"/>
        <v>32.838899999999995</v>
      </c>
      <c r="P149" s="7"/>
      <c r="Q149" s="10"/>
      <c r="R149" s="11"/>
      <c r="S149" s="11"/>
      <c r="T149" s="26"/>
      <c r="U149" s="28">
        <f t="shared" si="10"/>
        <v>1.5554674572531715</v>
      </c>
    </row>
    <row r="150" spans="1:21" ht="16.5" thickBot="1" x14ac:dyDescent="0.3">
      <c r="B150" s="12"/>
      <c r="C150" s="19">
        <v>570.09</v>
      </c>
      <c r="D150" s="20">
        <v>28.535</v>
      </c>
      <c r="E150" s="20">
        <v>35.271999999999998</v>
      </c>
      <c r="F150" s="20">
        <v>35.456000000000003</v>
      </c>
      <c r="G150" s="20">
        <v>78.17</v>
      </c>
      <c r="H150" s="20">
        <f t="shared" si="8"/>
        <v>30.242249999999999</v>
      </c>
      <c r="I150" s="5"/>
      <c r="J150" s="19">
        <v>596.05359999999996</v>
      </c>
      <c r="K150" s="20">
        <v>29.463000000000001</v>
      </c>
      <c r="L150" s="20">
        <v>36.367699999999999</v>
      </c>
      <c r="M150" s="20">
        <v>37.1569</v>
      </c>
      <c r="N150" s="20">
        <v>210.88149999999999</v>
      </c>
      <c r="O150" s="20">
        <f t="shared" si="9"/>
        <v>31.287825000000005</v>
      </c>
      <c r="P150" s="7"/>
      <c r="Q150" s="13"/>
      <c r="R150" s="14"/>
      <c r="S150" s="14"/>
      <c r="T150" s="27"/>
      <c r="U150" s="28">
        <f t="shared" si="10"/>
        <v>1.6977293079186389</v>
      </c>
    </row>
    <row r="151" spans="1:21" x14ac:dyDescent="0.25">
      <c r="B151" s="6" t="s">
        <v>51</v>
      </c>
      <c r="C151" s="29">
        <v>2397.6</v>
      </c>
      <c r="D151" s="30">
        <v>33.392000000000003</v>
      </c>
      <c r="E151" s="30">
        <v>39.447000000000003</v>
      </c>
      <c r="F151" s="30">
        <v>38.893999999999998</v>
      </c>
      <c r="G151" s="16">
        <v>51.78</v>
      </c>
      <c r="H151" s="16">
        <f t="shared" si="8"/>
        <v>34.836625000000005</v>
      </c>
      <c r="I151" s="5"/>
      <c r="J151" s="29">
        <v>2413.5639999999999</v>
      </c>
      <c r="K151" s="30">
        <v>33.969700000000003</v>
      </c>
      <c r="L151" s="30">
        <v>40.327100000000002</v>
      </c>
      <c r="M151" s="30">
        <v>39.897399999999998</v>
      </c>
      <c r="N151" s="16">
        <v>120.9482</v>
      </c>
      <c r="O151" s="16">
        <f t="shared" si="9"/>
        <v>35.505337500000003</v>
      </c>
      <c r="P151" s="7"/>
      <c r="Q151" s="8">
        <f>bdrate(C151:C154,D151:D154,J151:J154,K151:K154)</f>
        <v>-0.13921097216708667</v>
      </c>
      <c r="R151" s="8">
        <f>bdrate(C151:C154,E151:E154,J151:J154,L151:L154)</f>
        <v>-0.39696612028213507</v>
      </c>
      <c r="S151" s="8">
        <f>bdrate(C151:C154,F151:F154,J151:J154,M151:M154)</f>
        <v>-0.35650437343532548</v>
      </c>
      <c r="T151" s="25">
        <f>bdrate(C151:C154,H151:H154,J151:J154,O151:O154)</f>
        <v>-0.1883472269740073</v>
      </c>
      <c r="U151" s="28">
        <f t="shared" si="10"/>
        <v>1.335809192738509</v>
      </c>
    </row>
    <row r="152" spans="1:21" x14ac:dyDescent="0.25">
      <c r="B152" s="9"/>
      <c r="C152" s="31">
        <v>1586.47</v>
      </c>
      <c r="D152" s="32">
        <v>31.988</v>
      </c>
      <c r="E152" s="32">
        <v>38.610999999999997</v>
      </c>
      <c r="F152" s="32">
        <v>37.786999999999999</v>
      </c>
      <c r="G152" s="18">
        <v>64.23</v>
      </c>
      <c r="H152" s="18">
        <f t="shared" si="8"/>
        <v>33.540749999999996</v>
      </c>
      <c r="I152" s="5"/>
      <c r="J152" s="31">
        <v>1607.3152</v>
      </c>
      <c r="K152" s="32">
        <v>32.576700000000002</v>
      </c>
      <c r="L152" s="32">
        <v>39.596499999999999</v>
      </c>
      <c r="M152" s="32">
        <v>38.950899999999997</v>
      </c>
      <c r="N152" s="18">
        <v>135.2448</v>
      </c>
      <c r="O152" s="18">
        <f t="shared" si="9"/>
        <v>34.250950000000003</v>
      </c>
      <c r="P152" s="7"/>
      <c r="Q152" s="10"/>
      <c r="R152" s="11"/>
      <c r="S152" s="11"/>
      <c r="T152" s="26"/>
      <c r="U152" s="28">
        <f t="shared" si="10"/>
        <v>1.10563288183092</v>
      </c>
    </row>
    <row r="153" spans="1:21" x14ac:dyDescent="0.25">
      <c r="B153" s="9"/>
      <c r="C153" s="31">
        <v>989.57</v>
      </c>
      <c r="D153" s="32">
        <v>30.251000000000001</v>
      </c>
      <c r="E153" s="32">
        <v>37.542000000000002</v>
      </c>
      <c r="F153" s="32">
        <v>36.441000000000003</v>
      </c>
      <c r="G153" s="18">
        <v>68.78</v>
      </c>
      <c r="H153" s="18">
        <f t="shared" si="8"/>
        <v>31.936125000000001</v>
      </c>
      <c r="I153" s="5"/>
      <c r="J153" s="31">
        <v>998.91039999999998</v>
      </c>
      <c r="K153" s="32">
        <v>30.8139</v>
      </c>
      <c r="L153" s="32">
        <v>38.7361</v>
      </c>
      <c r="M153" s="32">
        <v>37.775300000000001</v>
      </c>
      <c r="N153" s="18">
        <v>165.2346</v>
      </c>
      <c r="O153" s="18">
        <f t="shared" si="9"/>
        <v>32.674349999999997</v>
      </c>
      <c r="P153" s="7"/>
      <c r="Q153" s="10"/>
      <c r="R153" s="11"/>
      <c r="S153" s="11"/>
      <c r="T153" s="26"/>
      <c r="U153" s="28">
        <f t="shared" si="10"/>
        <v>1.4023640593195696</v>
      </c>
    </row>
    <row r="154" spans="1:21" ht="16.5" thickBot="1" x14ac:dyDescent="0.3">
      <c r="B154" s="12"/>
      <c r="C154" s="33">
        <v>585.49</v>
      </c>
      <c r="D154" s="34">
        <v>28.207999999999998</v>
      </c>
      <c r="E154" s="34">
        <v>35.715000000000003</v>
      </c>
      <c r="F154" s="34">
        <v>34.274999999999999</v>
      </c>
      <c r="G154" s="20">
        <v>73.84</v>
      </c>
      <c r="H154" s="20">
        <f t="shared" si="8"/>
        <v>29.90475</v>
      </c>
      <c r="I154" s="5"/>
      <c r="J154" s="33">
        <v>598.96320000000003</v>
      </c>
      <c r="K154" s="34">
        <v>28.943000000000001</v>
      </c>
      <c r="L154" s="34">
        <v>37.488700000000001</v>
      </c>
      <c r="M154" s="34">
        <v>36.158900000000003</v>
      </c>
      <c r="N154" s="20">
        <v>191.93860000000001</v>
      </c>
      <c r="O154" s="20">
        <f t="shared" si="9"/>
        <v>30.913200000000003</v>
      </c>
      <c r="P154" s="7"/>
      <c r="Q154" s="13"/>
      <c r="R154" s="14"/>
      <c r="S154" s="14"/>
      <c r="T154" s="27"/>
      <c r="U154" s="28">
        <f t="shared" si="10"/>
        <v>1.5993851570964246</v>
      </c>
    </row>
    <row r="155" spans="1:21" x14ac:dyDescent="0.25">
      <c r="B155" s="6" t="s">
        <v>52</v>
      </c>
      <c r="C155" s="15">
        <v>2387.5300000000002</v>
      </c>
      <c r="D155" s="16">
        <v>31.777000000000001</v>
      </c>
      <c r="E155" s="16">
        <v>38.433</v>
      </c>
      <c r="F155" s="16">
        <v>41.101999999999997</v>
      </c>
      <c r="G155" s="16">
        <v>49.69</v>
      </c>
      <c r="H155" s="16">
        <f t="shared" si="8"/>
        <v>33.774625</v>
      </c>
      <c r="I155" s="5"/>
      <c r="J155" s="15">
        <v>2414.5848000000001</v>
      </c>
      <c r="K155" s="16">
        <v>33.574199999999998</v>
      </c>
      <c r="L155" s="16">
        <v>39.790799999999997</v>
      </c>
      <c r="M155" s="16">
        <v>42.293199999999999</v>
      </c>
      <c r="N155" s="16">
        <v>150.2253</v>
      </c>
      <c r="O155" s="16">
        <f t="shared" si="9"/>
        <v>35.44115</v>
      </c>
      <c r="P155" s="7"/>
      <c r="Q155" s="8">
        <f>bdrate(C155:C158,D155:D158,J155:J158,K155:K158)</f>
        <v>-0.54606699226156308</v>
      </c>
      <c r="R155" s="8">
        <f>bdrate(C155:C158,E155:E158,J155:J158,L155:L158)</f>
        <v>-0.63155193140653965</v>
      </c>
      <c r="S155" s="8">
        <f>bdrate(C155:C158,F155:F158,J155:J158,M155:M158)</f>
        <v>-0.57317319911622988</v>
      </c>
      <c r="T155" s="25">
        <f>bdrate(C155:C158,H155:H158,J155:J158,O155:O158)</f>
        <v>-0.5527564631105033</v>
      </c>
      <c r="U155" s="28">
        <f t="shared" si="10"/>
        <v>2.0232501509358021</v>
      </c>
    </row>
    <row r="156" spans="1:21" x14ac:dyDescent="0.25">
      <c r="B156" s="9"/>
      <c r="C156" s="17">
        <v>1561.94</v>
      </c>
      <c r="D156" s="18">
        <v>30.827999999999999</v>
      </c>
      <c r="E156" s="18">
        <v>38.042999999999999</v>
      </c>
      <c r="F156" s="18">
        <v>40.774000000000001</v>
      </c>
      <c r="G156" s="18">
        <v>76.319999999999993</v>
      </c>
      <c r="H156" s="18">
        <f t="shared" si="8"/>
        <v>32.973124999999996</v>
      </c>
      <c r="I156" s="5"/>
      <c r="J156" s="17">
        <v>1613.4824000000001</v>
      </c>
      <c r="K156" s="18">
        <v>32.866700000000002</v>
      </c>
      <c r="L156" s="18">
        <v>39.3063</v>
      </c>
      <c r="M156" s="18">
        <v>41.831899999999997</v>
      </c>
      <c r="N156" s="18">
        <v>167.22409999999999</v>
      </c>
      <c r="O156" s="18">
        <f t="shared" si="9"/>
        <v>34.792299999999997</v>
      </c>
      <c r="P156" s="7"/>
      <c r="Q156" s="10"/>
      <c r="R156" s="11"/>
      <c r="S156" s="11"/>
      <c r="T156" s="26"/>
      <c r="U156" s="28">
        <f t="shared" si="10"/>
        <v>1.1910914570230609</v>
      </c>
    </row>
    <row r="157" spans="1:21" x14ac:dyDescent="0.25">
      <c r="B157" s="9"/>
      <c r="C157" s="17">
        <v>928.43</v>
      </c>
      <c r="D157" s="18">
        <v>29.388999999999999</v>
      </c>
      <c r="E157" s="18">
        <v>37.521999999999998</v>
      </c>
      <c r="F157" s="18">
        <v>40.268000000000001</v>
      </c>
      <c r="G157" s="18">
        <v>81.150000000000006</v>
      </c>
      <c r="H157" s="18">
        <f t="shared" si="8"/>
        <v>31.765499999999999</v>
      </c>
      <c r="I157" s="5"/>
      <c r="J157" s="17">
        <v>1027.6168</v>
      </c>
      <c r="K157" s="18">
        <v>31.773</v>
      </c>
      <c r="L157" s="18">
        <v>38.645899999999997</v>
      </c>
      <c r="M157" s="18">
        <v>41.221699999999998</v>
      </c>
      <c r="N157" s="18">
        <v>184.04910000000001</v>
      </c>
      <c r="O157" s="18">
        <f t="shared" si="9"/>
        <v>33.813200000000002</v>
      </c>
      <c r="P157" s="7"/>
      <c r="Q157" s="10"/>
      <c r="R157" s="11"/>
      <c r="S157" s="11"/>
      <c r="T157" s="26"/>
      <c r="U157" s="28">
        <f t="shared" si="10"/>
        <v>1.2680110905730129</v>
      </c>
    </row>
    <row r="158" spans="1:21" ht="16.5" thickBot="1" x14ac:dyDescent="0.3">
      <c r="B158" s="12"/>
      <c r="C158" s="19">
        <v>480.9</v>
      </c>
      <c r="D158" s="20">
        <v>26.317</v>
      </c>
      <c r="E158" s="20">
        <v>36.234000000000002</v>
      </c>
      <c r="F158" s="20">
        <v>39.18</v>
      </c>
      <c r="G158" s="20">
        <v>86.62</v>
      </c>
      <c r="H158" s="20">
        <f t="shared" si="8"/>
        <v>29.1645</v>
      </c>
      <c r="I158" s="5"/>
      <c r="J158" s="19">
        <v>597.10559999999998</v>
      </c>
      <c r="K158" s="20">
        <v>30.3005</v>
      </c>
      <c r="L158" s="20">
        <v>38.066600000000001</v>
      </c>
      <c r="M158" s="20">
        <v>40.628300000000003</v>
      </c>
      <c r="N158" s="20">
        <v>207.90020000000001</v>
      </c>
      <c r="O158" s="20">
        <f t="shared" si="9"/>
        <v>32.562237500000002</v>
      </c>
      <c r="P158" s="7"/>
      <c r="Q158" s="13"/>
      <c r="R158" s="14"/>
      <c r="S158" s="14"/>
      <c r="T158" s="27"/>
      <c r="U158" s="28">
        <f t="shared" si="10"/>
        <v>1.4001408450704225</v>
      </c>
    </row>
    <row r="159" spans="1:21" x14ac:dyDescent="0.25">
      <c r="A159" s="6" t="s">
        <v>39</v>
      </c>
      <c r="B159" s="6" t="s">
        <v>53</v>
      </c>
      <c r="C159" s="15">
        <v>1222.9000000000001</v>
      </c>
      <c r="D159" s="16">
        <v>33.567999999999998</v>
      </c>
      <c r="E159" s="16">
        <v>37.313000000000002</v>
      </c>
      <c r="F159" s="16">
        <v>37.046999999999997</v>
      </c>
      <c r="G159" s="16">
        <v>174.22</v>
      </c>
      <c r="H159" s="16">
        <f t="shared" si="8"/>
        <v>34.471000000000004</v>
      </c>
      <c r="I159" s="5"/>
      <c r="J159" s="15">
        <v>1210.5583999999999</v>
      </c>
      <c r="K159" s="16">
        <v>34.966099999999997</v>
      </c>
      <c r="L159" s="16">
        <v>39.192500000000003</v>
      </c>
      <c r="M159" s="16">
        <v>39.061999999999998</v>
      </c>
      <c r="N159" s="16">
        <v>478.01150000000001</v>
      </c>
      <c r="O159" s="16">
        <f t="shared" si="9"/>
        <v>36.006387499999995</v>
      </c>
      <c r="P159" s="7"/>
      <c r="Q159" s="8">
        <f>bdrate(C159:C162,D159:D162,J159:J162,K159:K162)</f>
        <v>-0.27053331846010087</v>
      </c>
      <c r="R159" s="8">
        <f>bdrate(C159:C162,E159:E162,J159:J162,L159:L162)</f>
        <v>-0.45008066433548544</v>
      </c>
      <c r="S159" s="8">
        <f>bdrate(C159:C162,F159:F162,J159:J162,M159:M162)</f>
        <v>-0.44007832810779912</v>
      </c>
      <c r="T159" s="25">
        <f>bdrate(C159:C162,H159:H162,J159:J162,O159:O162)</f>
        <v>-0.3083488784582421</v>
      </c>
      <c r="U159" s="28">
        <f t="shared" si="10"/>
        <v>1.7437234531052694</v>
      </c>
    </row>
    <row r="160" spans="1:21" x14ac:dyDescent="0.25">
      <c r="A160" s="9" t="s">
        <v>40</v>
      </c>
      <c r="B160" s="9"/>
      <c r="C160" s="17">
        <v>811.34</v>
      </c>
      <c r="D160" s="18">
        <v>32.134</v>
      </c>
      <c r="E160" s="18">
        <v>36.415999999999997</v>
      </c>
      <c r="F160" s="18">
        <v>36.014000000000003</v>
      </c>
      <c r="G160" s="18">
        <v>266.95</v>
      </c>
      <c r="H160" s="18">
        <f t="shared" si="8"/>
        <v>33.154249999999998</v>
      </c>
      <c r="I160" s="5"/>
      <c r="J160" s="17">
        <v>805.48879999999997</v>
      </c>
      <c r="K160" s="18">
        <v>33.417700000000004</v>
      </c>
      <c r="L160" s="18">
        <v>38.041699999999999</v>
      </c>
      <c r="M160" s="18">
        <v>37.784700000000001</v>
      </c>
      <c r="N160" s="18">
        <v>572.08240000000001</v>
      </c>
      <c r="O160" s="18">
        <f t="shared" si="9"/>
        <v>34.541575000000002</v>
      </c>
      <c r="P160" s="7"/>
      <c r="Q160" s="10"/>
      <c r="R160" s="11"/>
      <c r="S160" s="11"/>
      <c r="T160" s="26"/>
      <c r="U160" s="28">
        <f t="shared" si="10"/>
        <v>1.143032028469751</v>
      </c>
    </row>
    <row r="161" spans="1:21" x14ac:dyDescent="0.25">
      <c r="B161" s="9"/>
      <c r="C161" s="17">
        <v>506</v>
      </c>
      <c r="D161" s="18">
        <v>30.568999999999999</v>
      </c>
      <c r="E161" s="18">
        <v>35.412999999999997</v>
      </c>
      <c r="F161" s="18">
        <v>34.853000000000002</v>
      </c>
      <c r="G161" s="18">
        <v>296.74</v>
      </c>
      <c r="H161" s="18">
        <f t="shared" si="8"/>
        <v>31.71</v>
      </c>
      <c r="I161" s="5"/>
      <c r="J161" s="17">
        <v>501.49759999999998</v>
      </c>
      <c r="K161" s="18">
        <v>31.601400000000002</v>
      </c>
      <c r="L161" s="18">
        <v>36.7592</v>
      </c>
      <c r="M161" s="18">
        <v>36.334099999999999</v>
      </c>
      <c r="N161" s="18">
        <v>682.12819999999999</v>
      </c>
      <c r="O161" s="18">
        <f t="shared" si="9"/>
        <v>32.837712500000002</v>
      </c>
      <c r="P161" s="7"/>
      <c r="Q161" s="10"/>
      <c r="R161" s="11"/>
      <c r="S161" s="11"/>
      <c r="T161" s="26"/>
      <c r="U161" s="28">
        <f t="shared" si="10"/>
        <v>1.2987403113837028</v>
      </c>
    </row>
    <row r="162" spans="1:21" ht="16.5" thickBot="1" x14ac:dyDescent="0.3">
      <c r="B162" s="12"/>
      <c r="C162" s="19">
        <v>300.07</v>
      </c>
      <c r="D162" s="20">
        <v>28.902999999999999</v>
      </c>
      <c r="E162" s="20">
        <v>34.223999999999997</v>
      </c>
      <c r="F162" s="20">
        <v>33.527000000000001</v>
      </c>
      <c r="G162" s="20">
        <v>344.59</v>
      </c>
      <c r="H162" s="20">
        <f t="shared" si="8"/>
        <v>30.146124999999998</v>
      </c>
      <c r="I162" s="5"/>
      <c r="J162" s="19">
        <v>301.04880000000003</v>
      </c>
      <c r="K162" s="20">
        <v>29.6219</v>
      </c>
      <c r="L162" s="20">
        <v>35.378399999999999</v>
      </c>
      <c r="M162" s="20">
        <v>34.809199999999997</v>
      </c>
      <c r="N162" s="20">
        <v>844.59460000000001</v>
      </c>
      <c r="O162" s="20">
        <f t="shared" si="9"/>
        <v>30.989875000000001</v>
      </c>
      <c r="P162" s="7"/>
      <c r="Q162" s="13"/>
      <c r="R162" s="14"/>
      <c r="S162" s="14"/>
      <c r="T162" s="27"/>
      <c r="U162" s="28">
        <f t="shared" si="10"/>
        <v>1.4510130880176444</v>
      </c>
    </row>
    <row r="163" spans="1:21" x14ac:dyDescent="0.25">
      <c r="B163" s="6" t="s">
        <v>54</v>
      </c>
      <c r="C163" s="15">
        <v>1224.2</v>
      </c>
      <c r="D163" s="16">
        <v>33.381999999999998</v>
      </c>
      <c r="E163" s="16">
        <v>38.817999999999998</v>
      </c>
      <c r="F163" s="16">
        <v>39.613999999999997</v>
      </c>
      <c r="G163" s="16">
        <v>178.89</v>
      </c>
      <c r="H163" s="16">
        <f t="shared" si="8"/>
        <v>34.840499999999992</v>
      </c>
      <c r="I163" s="5"/>
      <c r="J163" s="15">
        <v>1233.4176</v>
      </c>
      <c r="K163" s="16">
        <v>35.1601</v>
      </c>
      <c r="L163" s="16">
        <v>40.493899999999996</v>
      </c>
      <c r="M163" s="16">
        <v>41.369500000000002</v>
      </c>
      <c r="N163" s="16">
        <v>486.61799999999999</v>
      </c>
      <c r="O163" s="16">
        <f t="shared" si="9"/>
        <v>36.603000000000002</v>
      </c>
      <c r="P163" s="7"/>
      <c r="Q163" s="8">
        <f>bdrate(C163:C166,D163:D166,J163:J166,K163:K166)</f>
        <v>-0.32544976864991704</v>
      </c>
      <c r="R163" s="8">
        <f>bdrate(C163:C166,E163:E166,J163:J166,L163:L166)</f>
        <v>-0.513943700397541</v>
      </c>
      <c r="S163" s="8">
        <f>bdrate(C163:C166,F163:F166,J163:J166,M163:M166)</f>
        <v>-0.47663297506211466</v>
      </c>
      <c r="T163" s="25">
        <f>bdrate(C163:C166,H163:H166,J163:J166,O163:O166)</f>
        <v>-0.35717192766755579</v>
      </c>
      <c r="U163" s="28">
        <f t="shared" si="10"/>
        <v>1.7202079490189504</v>
      </c>
    </row>
    <row r="164" spans="1:21" x14ac:dyDescent="0.25">
      <c r="B164" s="9"/>
      <c r="C164" s="17">
        <v>813.92</v>
      </c>
      <c r="D164" s="18">
        <v>31.914999999999999</v>
      </c>
      <c r="E164" s="18">
        <v>37.895000000000003</v>
      </c>
      <c r="F164" s="18">
        <v>38.593000000000004</v>
      </c>
      <c r="G164" s="18">
        <v>298.20999999999998</v>
      </c>
      <c r="H164" s="18">
        <f t="shared" si="8"/>
        <v>33.497250000000001</v>
      </c>
      <c r="I164" s="5"/>
      <c r="J164" s="17">
        <v>822.11680000000001</v>
      </c>
      <c r="K164" s="18">
        <v>33.591900000000003</v>
      </c>
      <c r="L164" s="18">
        <v>39.5565</v>
      </c>
      <c r="M164" s="18">
        <v>40.3309</v>
      </c>
      <c r="N164" s="18">
        <v>583.09040000000005</v>
      </c>
      <c r="O164" s="18">
        <f t="shared" si="9"/>
        <v>35.179850000000002</v>
      </c>
      <c r="P164" s="7"/>
      <c r="Q164" s="10"/>
      <c r="R164" s="11"/>
      <c r="S164" s="11"/>
      <c r="T164" s="26"/>
      <c r="U164" s="28">
        <f t="shared" si="10"/>
        <v>0.95530129774320138</v>
      </c>
    </row>
    <row r="165" spans="1:21" x14ac:dyDescent="0.25">
      <c r="B165" s="9"/>
      <c r="C165" s="17">
        <v>505.66</v>
      </c>
      <c r="D165" s="18">
        <v>30.186</v>
      </c>
      <c r="E165" s="18">
        <v>36.933999999999997</v>
      </c>
      <c r="F165" s="18">
        <v>37.499000000000002</v>
      </c>
      <c r="G165" s="18">
        <v>340.33</v>
      </c>
      <c r="H165" s="18">
        <f t="shared" si="8"/>
        <v>31.943624999999997</v>
      </c>
      <c r="I165" s="5"/>
      <c r="J165" s="17">
        <v>512.96799999999996</v>
      </c>
      <c r="K165" s="18">
        <v>31.685300000000002</v>
      </c>
      <c r="L165" s="18">
        <v>38.461300000000001</v>
      </c>
      <c r="M165" s="18">
        <v>39.059800000000003</v>
      </c>
      <c r="N165" s="18">
        <v>699.30070000000001</v>
      </c>
      <c r="O165" s="18">
        <f t="shared" si="9"/>
        <v>33.454112500000001</v>
      </c>
      <c r="P165" s="7"/>
      <c r="Q165" s="10"/>
      <c r="R165" s="11"/>
      <c r="S165" s="11"/>
      <c r="T165" s="26"/>
      <c r="U165" s="28">
        <f t="shared" si="10"/>
        <v>1.0547724267622602</v>
      </c>
    </row>
    <row r="166" spans="1:21" ht="16.5" thickBot="1" x14ac:dyDescent="0.3">
      <c r="B166" s="12"/>
      <c r="C166" s="19">
        <v>299.04000000000002</v>
      </c>
      <c r="D166" s="20">
        <v>28.209</v>
      </c>
      <c r="E166" s="20">
        <v>35.683999999999997</v>
      </c>
      <c r="F166" s="20">
        <v>36.017000000000003</v>
      </c>
      <c r="G166" s="20">
        <v>356.08</v>
      </c>
      <c r="H166" s="20">
        <f t="shared" si="8"/>
        <v>30.119374999999998</v>
      </c>
      <c r="I166" s="5"/>
      <c r="J166" s="19">
        <v>307.70319999999998</v>
      </c>
      <c r="K166" s="20">
        <v>29.611499999999999</v>
      </c>
      <c r="L166" s="20">
        <v>37.393000000000001</v>
      </c>
      <c r="M166" s="20">
        <v>37.819699999999997</v>
      </c>
      <c r="N166" s="20">
        <v>818.5539</v>
      </c>
      <c r="O166" s="20">
        <f t="shared" si="9"/>
        <v>31.610212499999996</v>
      </c>
      <c r="P166" s="7"/>
      <c r="Q166" s="13"/>
      <c r="R166" s="14"/>
      <c r="S166" s="14"/>
      <c r="T166" s="27"/>
      <c r="U166" s="28">
        <f t="shared" si="10"/>
        <v>1.2987921253650867</v>
      </c>
    </row>
    <row r="167" spans="1:21" x14ac:dyDescent="0.25">
      <c r="B167" s="6" t="s">
        <v>55</v>
      </c>
      <c r="C167" s="15">
        <v>1091.33</v>
      </c>
      <c r="D167" s="16">
        <v>27.916</v>
      </c>
      <c r="E167" s="16">
        <v>34.521999999999998</v>
      </c>
      <c r="F167" s="16">
        <v>35.317999999999998</v>
      </c>
      <c r="G167" s="16">
        <v>168.69</v>
      </c>
      <c r="H167" s="16">
        <f t="shared" si="8"/>
        <v>29.667000000000002</v>
      </c>
      <c r="I167" s="5"/>
      <c r="J167" s="15">
        <v>1214.5552</v>
      </c>
      <c r="K167" s="16">
        <v>30.277999999999999</v>
      </c>
      <c r="L167" s="16">
        <v>36.765099999999997</v>
      </c>
      <c r="M167" s="16">
        <v>37.554000000000002</v>
      </c>
      <c r="N167" s="16">
        <v>421.58519999999999</v>
      </c>
      <c r="O167" s="16">
        <f t="shared" si="9"/>
        <v>31.9983875</v>
      </c>
      <c r="P167" s="7"/>
      <c r="Q167" s="8">
        <f>bdrate(C167:C170,D167:D170,J167:J170,K167:K170)</f>
        <v>-0.44804425334155362</v>
      </c>
      <c r="R167" s="8">
        <f>bdrate(C167:C170,E167:E170,J167:J170,L167:L170)</f>
        <v>-0.66053140123816445</v>
      </c>
      <c r="S167" s="8">
        <f>bdrate(C167:C170,F167:F170,J167:J170,M167:M170)</f>
        <v>-0.62921514297046355</v>
      </c>
      <c r="T167" s="25">
        <f>bdrate(C167:C170,H167:H170,J167:J170,O167:O170)</f>
        <v>-0.48221934587712523</v>
      </c>
      <c r="U167" s="28">
        <f t="shared" si="10"/>
        <v>1.4991712608927619</v>
      </c>
    </row>
    <row r="168" spans="1:21" x14ac:dyDescent="0.25">
      <c r="B168" s="9"/>
      <c r="C168" s="17">
        <v>727.92</v>
      </c>
      <c r="D168" s="18">
        <v>26.68</v>
      </c>
      <c r="E168" s="18">
        <v>33.932000000000002</v>
      </c>
      <c r="F168" s="18">
        <v>34.765999999999998</v>
      </c>
      <c r="G168" s="18">
        <v>305.25</v>
      </c>
      <c r="H168" s="18">
        <f t="shared" si="8"/>
        <v>28.597249999999999</v>
      </c>
      <c r="I168" s="5"/>
      <c r="J168" s="17">
        <v>809.55200000000002</v>
      </c>
      <c r="K168" s="18">
        <v>28.936199999999999</v>
      </c>
      <c r="L168" s="18">
        <v>35.966500000000003</v>
      </c>
      <c r="M168" s="18">
        <v>36.737299999999998</v>
      </c>
      <c r="N168" s="18">
        <v>543.47829999999999</v>
      </c>
      <c r="O168" s="18">
        <f t="shared" si="9"/>
        <v>30.790125</v>
      </c>
      <c r="P168" s="7"/>
      <c r="Q168" s="10"/>
      <c r="R168" s="11"/>
      <c r="S168" s="11"/>
      <c r="T168" s="26"/>
      <c r="U168" s="28">
        <f t="shared" si="10"/>
        <v>0.78043669123669124</v>
      </c>
    </row>
    <row r="169" spans="1:21" x14ac:dyDescent="0.25">
      <c r="B169" s="9"/>
      <c r="C169" s="17">
        <v>450.55</v>
      </c>
      <c r="D169" s="18">
        <v>25.311</v>
      </c>
      <c r="E169" s="18">
        <v>33.262999999999998</v>
      </c>
      <c r="F169" s="18">
        <v>34.119999999999997</v>
      </c>
      <c r="G169" s="18">
        <v>337.38</v>
      </c>
      <c r="H169" s="18">
        <f t="shared" si="8"/>
        <v>27.406124999999999</v>
      </c>
      <c r="I169" s="5"/>
      <c r="J169" s="17">
        <v>507.916</v>
      </c>
      <c r="K169" s="18">
        <v>27.407</v>
      </c>
      <c r="L169" s="18">
        <v>35.056199999999997</v>
      </c>
      <c r="M169" s="18">
        <v>35.779200000000003</v>
      </c>
      <c r="N169" s="18">
        <v>654.45029999999997</v>
      </c>
      <c r="O169" s="18">
        <f t="shared" si="9"/>
        <v>29.409675</v>
      </c>
      <c r="P169" s="7"/>
      <c r="Q169" s="10"/>
      <c r="R169" s="11"/>
      <c r="S169" s="11"/>
      <c r="T169" s="26"/>
      <c r="U169" s="28">
        <f t="shared" si="10"/>
        <v>0.93980170727369727</v>
      </c>
    </row>
    <row r="170" spans="1:21" ht="16.5" thickBot="1" x14ac:dyDescent="0.3">
      <c r="B170" s="12"/>
      <c r="C170" s="19">
        <v>259.01</v>
      </c>
      <c r="D170" s="20">
        <v>23.658999999999999</v>
      </c>
      <c r="E170" s="20">
        <v>32.264000000000003</v>
      </c>
      <c r="F170" s="20">
        <v>33.064</v>
      </c>
      <c r="G170" s="20">
        <v>352.11</v>
      </c>
      <c r="H170" s="20">
        <f t="shared" si="8"/>
        <v>25.910250000000001</v>
      </c>
      <c r="I170" s="5"/>
      <c r="J170" s="19">
        <v>305.35680000000002</v>
      </c>
      <c r="K170" s="20">
        <v>25.849</v>
      </c>
      <c r="L170" s="20">
        <v>34.232100000000003</v>
      </c>
      <c r="M170" s="20">
        <v>34.897599999999997</v>
      </c>
      <c r="N170" s="20">
        <v>745.15650000000005</v>
      </c>
      <c r="O170" s="20">
        <f t="shared" si="9"/>
        <v>28.027962500000001</v>
      </c>
      <c r="P170" s="7"/>
      <c r="Q170" s="13"/>
      <c r="R170" s="14"/>
      <c r="S170" s="14"/>
      <c r="T170" s="27"/>
      <c r="U170" s="28">
        <f t="shared" si="10"/>
        <v>1.1162605435801314</v>
      </c>
    </row>
    <row r="171" spans="1:21" x14ac:dyDescent="0.25">
      <c r="B171" s="6" t="s">
        <v>56</v>
      </c>
      <c r="C171" s="15">
        <v>1110</v>
      </c>
      <c r="D171" s="16">
        <v>31.341000000000001</v>
      </c>
      <c r="E171" s="16">
        <v>35.962000000000003</v>
      </c>
      <c r="F171" s="16">
        <v>37.597999999999999</v>
      </c>
      <c r="G171" s="16">
        <v>174.83</v>
      </c>
      <c r="H171" s="16">
        <f t="shared" si="8"/>
        <v>32.700749999999999</v>
      </c>
      <c r="I171" s="5"/>
      <c r="J171" s="15">
        <v>1204.2639999999999</v>
      </c>
      <c r="K171" s="16">
        <v>32.298000000000002</v>
      </c>
      <c r="L171" s="16">
        <v>36.855400000000003</v>
      </c>
      <c r="M171" s="16">
        <v>38.439</v>
      </c>
      <c r="N171" s="16">
        <v>331.85840000000002</v>
      </c>
      <c r="O171" s="16">
        <f t="shared" si="9"/>
        <v>33.635300000000001</v>
      </c>
      <c r="P171" s="7"/>
      <c r="Q171" s="8">
        <f>bdrate(C171:C174,D171:D174,J171:J174,K171:K174)</f>
        <v>-0.10955673829095391</v>
      </c>
      <c r="R171" s="8">
        <f>bdrate(C171:C174,E171:E174,J171:J174,L171:L174)</f>
        <v>-0.27669841128146488</v>
      </c>
      <c r="S171" s="8">
        <f>bdrate(C171:C174,F171:F174,J171:J174,M171:M174)</f>
        <v>-0.26575017888010999</v>
      </c>
      <c r="T171" s="25">
        <f>bdrate(C171:C174,H171:H174,J171:J174,O171:O174)</f>
        <v>-0.14085284256820974</v>
      </c>
      <c r="U171" s="28">
        <f t="shared" si="10"/>
        <v>0.89817765829663099</v>
      </c>
    </row>
    <row r="172" spans="1:21" x14ac:dyDescent="0.25">
      <c r="B172" s="9"/>
      <c r="C172" s="17">
        <v>753.59</v>
      </c>
      <c r="D172" s="18">
        <v>30.064</v>
      </c>
      <c r="E172" s="18">
        <v>35.231999999999999</v>
      </c>
      <c r="F172" s="18">
        <v>36.825000000000003</v>
      </c>
      <c r="G172" s="18">
        <v>202.43</v>
      </c>
      <c r="H172" s="18">
        <f t="shared" si="8"/>
        <v>31.555125000000004</v>
      </c>
      <c r="I172" s="5"/>
      <c r="J172" s="17">
        <v>800.8152</v>
      </c>
      <c r="K172" s="18">
        <v>30.796199999999999</v>
      </c>
      <c r="L172" s="18">
        <v>35.9861</v>
      </c>
      <c r="M172" s="18">
        <v>37.567700000000002</v>
      </c>
      <c r="N172" s="18">
        <v>392.67020000000002</v>
      </c>
      <c r="O172" s="18">
        <f t="shared" si="9"/>
        <v>32.291375000000002</v>
      </c>
      <c r="P172" s="7"/>
      <c r="Q172" s="10"/>
      <c r="R172" s="11"/>
      <c r="S172" s="11"/>
      <c r="T172" s="26"/>
      <c r="U172" s="28">
        <f t="shared" si="10"/>
        <v>0.9397826409129082</v>
      </c>
    </row>
    <row r="173" spans="1:21" x14ac:dyDescent="0.25">
      <c r="B173" s="9"/>
      <c r="C173" s="17">
        <v>478.65</v>
      </c>
      <c r="D173" s="18">
        <v>28.672000000000001</v>
      </c>
      <c r="E173" s="18">
        <v>34.378</v>
      </c>
      <c r="F173" s="18">
        <v>35.841999999999999</v>
      </c>
      <c r="G173" s="18">
        <v>231.66</v>
      </c>
      <c r="H173" s="18">
        <f t="shared" si="8"/>
        <v>30.281500000000001</v>
      </c>
      <c r="I173" s="5"/>
      <c r="J173" s="17">
        <v>500.94400000000002</v>
      </c>
      <c r="K173" s="18">
        <v>29.1297</v>
      </c>
      <c r="L173" s="18">
        <v>35.071899999999999</v>
      </c>
      <c r="M173" s="18">
        <v>36.597700000000003</v>
      </c>
      <c r="N173" s="18">
        <v>480.76920000000001</v>
      </c>
      <c r="O173" s="18">
        <f t="shared" si="9"/>
        <v>30.805975</v>
      </c>
      <c r="P173" s="7"/>
      <c r="Q173" s="10"/>
      <c r="R173" s="11"/>
      <c r="S173" s="11"/>
      <c r="T173" s="26"/>
      <c r="U173" s="28">
        <f t="shared" si="10"/>
        <v>1.0753224553224554</v>
      </c>
    </row>
    <row r="174" spans="1:21" ht="16.5" thickBot="1" x14ac:dyDescent="0.3">
      <c r="B174" s="12"/>
      <c r="C174" s="19">
        <v>289.14999999999998</v>
      </c>
      <c r="D174" s="20">
        <v>27.303999999999998</v>
      </c>
      <c r="E174" s="20">
        <v>33.378999999999998</v>
      </c>
      <c r="F174" s="20">
        <v>34.694000000000003</v>
      </c>
      <c r="G174" s="20">
        <v>263.39</v>
      </c>
      <c r="H174" s="20">
        <f t="shared" si="8"/>
        <v>28.987124999999999</v>
      </c>
      <c r="I174" s="5"/>
      <c r="J174" s="19">
        <v>300.01440000000002</v>
      </c>
      <c r="K174" s="20">
        <v>27.493500000000001</v>
      </c>
      <c r="L174" s="20">
        <v>34.097499999999997</v>
      </c>
      <c r="M174" s="20">
        <v>35.552999999999997</v>
      </c>
      <c r="N174" s="20">
        <v>601.20240000000001</v>
      </c>
      <c r="O174" s="20">
        <f t="shared" si="9"/>
        <v>29.326437500000001</v>
      </c>
      <c r="P174" s="7"/>
      <c r="Q174" s="13"/>
      <c r="R174" s="14"/>
      <c r="S174" s="14"/>
      <c r="T174" s="27"/>
      <c r="U174" s="28">
        <f t="shared" si="10"/>
        <v>1.2825559056911806</v>
      </c>
    </row>
    <row r="175" spans="1:21" x14ac:dyDescent="0.25">
      <c r="A175" s="6" t="s">
        <v>41</v>
      </c>
      <c r="B175" s="6" t="s">
        <v>57</v>
      </c>
      <c r="C175" s="15">
        <v>636.58000000000004</v>
      </c>
      <c r="D175" s="16">
        <v>33.348999999999997</v>
      </c>
      <c r="E175" s="16">
        <v>38.371000000000002</v>
      </c>
      <c r="F175" s="16">
        <v>37.048000000000002</v>
      </c>
      <c r="G175" s="16">
        <v>552.49</v>
      </c>
      <c r="H175" s="16">
        <f t="shared" si="8"/>
        <v>34.439125000000004</v>
      </c>
      <c r="I175" s="5"/>
      <c r="J175" s="15">
        <v>601.55280000000005</v>
      </c>
      <c r="K175" s="16">
        <v>34.286999999999999</v>
      </c>
      <c r="L175" s="16">
        <v>39.668500000000002</v>
      </c>
      <c r="M175" s="16">
        <v>38.181800000000003</v>
      </c>
      <c r="N175" s="16">
        <v>1144.1648</v>
      </c>
      <c r="O175" s="16">
        <f t="shared" si="9"/>
        <v>35.446537499999998</v>
      </c>
      <c r="P175" s="7"/>
      <c r="Q175" s="8">
        <f>bdrate(C175:C178,D175:D178,J175:J178,K175:K178)</f>
        <v>-0.15453643779619797</v>
      </c>
      <c r="R175" s="8">
        <f>bdrate(C175:C178,E175:E178,J175:J178,L175:L178)</f>
        <v>-0.40144612238044119</v>
      </c>
      <c r="S175" s="8">
        <f>bdrate(C175:C178,F175:F178,J175:J178,M175:M178)</f>
        <v>-0.33024296806872544</v>
      </c>
      <c r="T175" s="25">
        <f>bdrate(C175:C178,H175:H178,J175:J178,O175:O178)</f>
        <v>-0.19677801749697765</v>
      </c>
      <c r="U175" s="28">
        <f t="shared" si="10"/>
        <v>1.0709239986244095</v>
      </c>
    </row>
    <row r="176" spans="1:21" x14ac:dyDescent="0.25">
      <c r="A176" s="9" t="s">
        <v>42</v>
      </c>
      <c r="B176" s="9"/>
      <c r="C176" s="17">
        <v>427.25</v>
      </c>
      <c r="D176" s="18">
        <v>31.794</v>
      </c>
      <c r="E176" s="18">
        <v>37.377000000000002</v>
      </c>
      <c r="F176" s="18">
        <v>35.883000000000003</v>
      </c>
      <c r="G176" s="18">
        <v>712.25</v>
      </c>
      <c r="H176" s="18">
        <f t="shared" si="8"/>
        <v>33.003</v>
      </c>
      <c r="I176" s="5"/>
      <c r="J176" s="17">
        <v>402.02480000000003</v>
      </c>
      <c r="K176" s="18">
        <v>32.473100000000002</v>
      </c>
      <c r="L176" s="18">
        <v>38.492199999999997</v>
      </c>
      <c r="M176" s="18">
        <v>36.826000000000001</v>
      </c>
      <c r="N176" s="18">
        <v>1336.8984</v>
      </c>
      <c r="O176" s="18">
        <f t="shared" si="9"/>
        <v>33.769600000000004</v>
      </c>
      <c r="P176" s="7"/>
      <c r="Q176" s="10"/>
      <c r="R176" s="11"/>
      <c r="S176" s="11"/>
      <c r="T176" s="26"/>
      <c r="U176" s="28">
        <f t="shared" si="10"/>
        <v>0.87700723060723063</v>
      </c>
    </row>
    <row r="177" spans="1:21" x14ac:dyDescent="0.25">
      <c r="B177" s="9"/>
      <c r="C177" s="17">
        <v>267.64999999999998</v>
      </c>
      <c r="D177" s="18">
        <v>30.14</v>
      </c>
      <c r="E177" s="18">
        <v>36.381</v>
      </c>
      <c r="F177" s="18">
        <v>34.667000000000002</v>
      </c>
      <c r="G177" s="18">
        <v>821.02</v>
      </c>
      <c r="H177" s="18">
        <f t="shared" si="8"/>
        <v>31.486000000000001</v>
      </c>
      <c r="I177" s="5"/>
      <c r="J177" s="17">
        <v>253.55199999999999</v>
      </c>
      <c r="K177" s="18">
        <v>30.553999999999998</v>
      </c>
      <c r="L177" s="18">
        <v>37.395899999999997</v>
      </c>
      <c r="M177" s="18">
        <v>35.5959</v>
      </c>
      <c r="N177" s="18">
        <v>1602.5641000000001</v>
      </c>
      <c r="O177" s="18">
        <f t="shared" si="9"/>
        <v>32.039474999999996</v>
      </c>
      <c r="P177" s="7"/>
      <c r="Q177" s="10"/>
      <c r="R177" s="11"/>
      <c r="S177" s="11"/>
      <c r="T177" s="26"/>
      <c r="U177" s="28">
        <f t="shared" si="10"/>
        <v>0.95191846727241736</v>
      </c>
    </row>
    <row r="178" spans="1:21" ht="16.5" thickBot="1" x14ac:dyDescent="0.3">
      <c r="B178" s="12"/>
      <c r="C178" s="19">
        <v>128.63999999999999</v>
      </c>
      <c r="D178" s="20">
        <v>27.709</v>
      </c>
      <c r="E178" s="20">
        <v>34.912999999999997</v>
      </c>
      <c r="F178" s="20">
        <v>32.71</v>
      </c>
      <c r="G178" s="20">
        <v>1033.06</v>
      </c>
      <c r="H178" s="20">
        <f t="shared" si="8"/>
        <v>29.234624999999998</v>
      </c>
      <c r="I178" s="5"/>
      <c r="J178" s="19">
        <v>121.2984</v>
      </c>
      <c r="K178" s="20">
        <v>27.6828</v>
      </c>
      <c r="L178" s="20">
        <v>35.750999999999998</v>
      </c>
      <c r="M178" s="20">
        <v>33.612299999999998</v>
      </c>
      <c r="N178" s="20">
        <v>2293.578</v>
      </c>
      <c r="O178" s="20">
        <f t="shared" si="9"/>
        <v>29.432512500000001</v>
      </c>
      <c r="P178" s="7"/>
      <c r="Q178" s="13"/>
      <c r="R178" s="14"/>
      <c r="S178" s="14"/>
      <c r="T178" s="27"/>
      <c r="U178" s="28">
        <f t="shared" si="10"/>
        <v>1.2201788860279172</v>
      </c>
    </row>
    <row r="179" spans="1:21" x14ac:dyDescent="0.25">
      <c r="B179" s="6" t="s">
        <v>58</v>
      </c>
      <c r="C179" s="15">
        <v>553.52</v>
      </c>
      <c r="D179" s="16">
        <v>30.085000000000001</v>
      </c>
      <c r="E179" s="16">
        <v>38.537999999999997</v>
      </c>
      <c r="F179" s="16">
        <v>39.232999999999997</v>
      </c>
      <c r="G179" s="16">
        <v>712.59</v>
      </c>
      <c r="H179" s="16">
        <f t="shared" si="8"/>
        <v>32.285125000000001</v>
      </c>
      <c r="I179" s="5"/>
      <c r="J179" s="15">
        <v>599.77520000000004</v>
      </c>
      <c r="K179" s="16">
        <v>33.579000000000001</v>
      </c>
      <c r="L179" s="16">
        <v>41.312800000000003</v>
      </c>
      <c r="M179" s="16">
        <v>42.164400000000001</v>
      </c>
      <c r="N179" s="16">
        <v>1372.9976999999999</v>
      </c>
      <c r="O179" s="16">
        <f t="shared" si="9"/>
        <v>35.618899999999996</v>
      </c>
      <c r="P179" s="7"/>
      <c r="Q179" s="8">
        <f>bdrate(C179:C182,D179:D182,J179:J182,K179:K182)</f>
        <v>-0.62217937721115946</v>
      </c>
      <c r="R179" s="8">
        <f>bdrate(C179:C182,E179:E182,J179:J182,L179:L182)</f>
        <v>-0.7212010360644121</v>
      </c>
      <c r="S179" s="8">
        <f>bdrate(C179:C182,F179:F182,J179:J182,M179:M182)</f>
        <v>-0.72202038940844804</v>
      </c>
      <c r="T179" s="25">
        <f>bdrate(C179:C182,H179:H182,J179:J182,O179:O182)</f>
        <v>-0.63498153406793456</v>
      </c>
      <c r="U179" s="28">
        <f t="shared" si="10"/>
        <v>0.92677093419778533</v>
      </c>
    </row>
    <row r="180" spans="1:21" x14ac:dyDescent="0.25">
      <c r="B180" s="9"/>
      <c r="C180" s="17">
        <v>367.25</v>
      </c>
      <c r="D180" s="18">
        <v>28.736000000000001</v>
      </c>
      <c r="E180" s="18">
        <v>38.189</v>
      </c>
      <c r="F180" s="18">
        <v>38.729999999999997</v>
      </c>
      <c r="G180" s="18">
        <v>1167.32</v>
      </c>
      <c r="H180" s="18">
        <f t="shared" si="8"/>
        <v>31.166874999999997</v>
      </c>
      <c r="I180" s="5"/>
      <c r="J180" s="17">
        <v>399.54480000000001</v>
      </c>
      <c r="K180" s="18">
        <v>32.295999999999999</v>
      </c>
      <c r="L180" s="18">
        <v>40.393500000000003</v>
      </c>
      <c r="M180" s="18">
        <v>41.209099999999999</v>
      </c>
      <c r="N180" s="18">
        <v>1604.2781</v>
      </c>
      <c r="O180" s="18">
        <f t="shared" si="9"/>
        <v>34.422325000000001</v>
      </c>
      <c r="P180" s="7"/>
      <c r="Q180" s="10"/>
      <c r="R180" s="11"/>
      <c r="S180" s="11"/>
      <c r="T180" s="26"/>
      <c r="U180" s="28">
        <f t="shared" si="10"/>
        <v>0.37432589178631404</v>
      </c>
    </row>
    <row r="181" spans="1:21" x14ac:dyDescent="0.25">
      <c r="B181" s="9"/>
      <c r="C181" s="17">
        <v>228.04</v>
      </c>
      <c r="D181" s="18">
        <v>27.259</v>
      </c>
      <c r="E181" s="18">
        <v>37.780999999999999</v>
      </c>
      <c r="F181" s="18">
        <v>38.341999999999999</v>
      </c>
      <c r="G181" s="18">
        <v>1327.43</v>
      </c>
      <c r="H181" s="18">
        <f t="shared" si="8"/>
        <v>29.959625000000003</v>
      </c>
      <c r="I181" s="5"/>
      <c r="J181" s="17">
        <v>249.83840000000001</v>
      </c>
      <c r="K181" s="18">
        <v>30.7743</v>
      </c>
      <c r="L181" s="18">
        <v>39.4634</v>
      </c>
      <c r="M181" s="18">
        <v>40.216900000000003</v>
      </c>
      <c r="N181" s="18">
        <v>2020.202</v>
      </c>
      <c r="O181" s="18">
        <f t="shared" si="9"/>
        <v>33.0407625</v>
      </c>
      <c r="P181" s="7"/>
      <c r="Q181" s="10"/>
      <c r="R181" s="11"/>
      <c r="S181" s="11"/>
      <c r="T181" s="26"/>
      <c r="U181" s="28">
        <f t="shared" si="10"/>
        <v>0.52188966649842172</v>
      </c>
    </row>
    <row r="182" spans="1:21" ht="16.5" thickBot="1" x14ac:dyDescent="0.3">
      <c r="B182" s="12"/>
      <c r="C182" s="19">
        <v>104.48</v>
      </c>
      <c r="D182" s="20">
        <v>24.67</v>
      </c>
      <c r="E182" s="20">
        <v>36.956000000000003</v>
      </c>
      <c r="F182" s="20">
        <v>37.183999999999997</v>
      </c>
      <c r="G182" s="20">
        <v>1477.83</v>
      </c>
      <c r="H182" s="20">
        <f t="shared" si="8"/>
        <v>27.77</v>
      </c>
      <c r="I182" s="5"/>
      <c r="J182" s="19">
        <v>119.5424</v>
      </c>
      <c r="K182" s="20">
        <v>28.1419</v>
      </c>
      <c r="L182" s="20">
        <v>38.2607</v>
      </c>
      <c r="M182" s="20">
        <v>38.838900000000002</v>
      </c>
      <c r="N182" s="20">
        <v>2409.6386000000002</v>
      </c>
      <c r="O182" s="20">
        <f t="shared" si="9"/>
        <v>30.743874999999999</v>
      </c>
      <c r="P182" s="7"/>
      <c r="Q182" s="13"/>
      <c r="R182" s="14"/>
      <c r="S182" s="14"/>
      <c r="T182" s="27"/>
      <c r="U182" s="28">
        <f t="shared" si="10"/>
        <v>0.6305248912256487</v>
      </c>
    </row>
    <row r="183" spans="1:21" x14ac:dyDescent="0.25">
      <c r="B183" s="6" t="s">
        <v>59</v>
      </c>
      <c r="C183" s="29">
        <v>639.15</v>
      </c>
      <c r="D183" s="30">
        <v>31.071000000000002</v>
      </c>
      <c r="E183" s="30">
        <v>35.896000000000001</v>
      </c>
      <c r="F183" s="30">
        <v>36.439</v>
      </c>
      <c r="G183" s="16">
        <v>696.38</v>
      </c>
      <c r="H183" s="16">
        <f t="shared" si="8"/>
        <v>32.345125000000003</v>
      </c>
      <c r="I183" s="5"/>
      <c r="J183" s="29">
        <v>636.95360000000005</v>
      </c>
      <c r="K183" s="30">
        <v>33.086199999999998</v>
      </c>
      <c r="L183" s="30">
        <v>38.176400000000001</v>
      </c>
      <c r="M183" s="30">
        <v>38.917999999999999</v>
      </c>
      <c r="N183" s="16">
        <v>1231.5271</v>
      </c>
      <c r="O183" s="16">
        <f t="shared" si="9"/>
        <v>34.451450000000001</v>
      </c>
      <c r="P183" s="7"/>
      <c r="Q183" s="8">
        <f>bdrate(C183:C186,D183:D186,J183:J186,K183:K186)</f>
        <v>-0.40401398213886008</v>
      </c>
      <c r="R183" s="8">
        <f>bdrate(C183:C186,E183:E186,J183:J186,L183:L186)</f>
        <v>-0.61597083530929098</v>
      </c>
      <c r="S183" s="8">
        <f>bdrate(C183:C186,F183:F186,J183:J186,M183:M186)</f>
        <v>-0.63045470098491463</v>
      </c>
      <c r="T183" s="25">
        <f>bdrate(C183:C186,H183:H186,J183:J186,O183:O186)</f>
        <v>-0.45037440790958727</v>
      </c>
      <c r="U183" s="28">
        <f t="shared" si="10"/>
        <v>0.76846994457049311</v>
      </c>
    </row>
    <row r="184" spans="1:21" x14ac:dyDescent="0.25">
      <c r="B184" s="9"/>
      <c r="C184" s="31">
        <v>423.42</v>
      </c>
      <c r="D184" s="32">
        <v>29.646999999999998</v>
      </c>
      <c r="E184" s="32">
        <v>34.911999999999999</v>
      </c>
      <c r="F184" s="32">
        <v>35.484999999999999</v>
      </c>
      <c r="G184" s="18">
        <v>915.75</v>
      </c>
      <c r="H184" s="18">
        <f t="shared" si="8"/>
        <v>31.034875</v>
      </c>
      <c r="I184" s="5"/>
      <c r="J184" s="31">
        <v>427.60160000000002</v>
      </c>
      <c r="K184" s="32">
        <v>31.5245</v>
      </c>
      <c r="L184" s="32">
        <v>37.135399999999997</v>
      </c>
      <c r="M184" s="32">
        <v>37.889800000000001</v>
      </c>
      <c r="N184" s="18">
        <v>1392.7577000000001</v>
      </c>
      <c r="O184" s="18">
        <f t="shared" si="9"/>
        <v>33.021524999999997</v>
      </c>
      <c r="P184" s="7"/>
      <c r="Q184" s="10"/>
      <c r="R184" s="11"/>
      <c r="S184" s="11"/>
      <c r="T184" s="26"/>
      <c r="U184" s="28">
        <f t="shared" si="10"/>
        <v>0.52089292929292941</v>
      </c>
    </row>
    <row r="185" spans="1:21" x14ac:dyDescent="0.25">
      <c r="B185" s="9"/>
      <c r="C185" s="31">
        <v>263.58999999999997</v>
      </c>
      <c r="D185" s="32">
        <v>28.161999999999999</v>
      </c>
      <c r="E185" s="32">
        <v>34.03</v>
      </c>
      <c r="F185" s="32">
        <v>34.590000000000003</v>
      </c>
      <c r="G185" s="18">
        <v>1035.2</v>
      </c>
      <c r="H185" s="18">
        <f t="shared" si="8"/>
        <v>29.698999999999998</v>
      </c>
      <c r="I185" s="5"/>
      <c r="J185" s="31">
        <v>265.12959999999998</v>
      </c>
      <c r="K185" s="32">
        <v>29.8538</v>
      </c>
      <c r="L185" s="32">
        <v>35.983400000000003</v>
      </c>
      <c r="M185" s="32">
        <v>36.656999999999996</v>
      </c>
      <c r="N185" s="18">
        <v>1689.1892</v>
      </c>
      <c r="O185" s="18">
        <f t="shared" si="9"/>
        <v>31.470399999999998</v>
      </c>
      <c r="P185" s="7"/>
      <c r="Q185" s="10"/>
      <c r="R185" s="11"/>
      <c r="S185" s="11"/>
      <c r="T185" s="26"/>
      <c r="U185" s="28">
        <f t="shared" si="10"/>
        <v>0.63175154559505409</v>
      </c>
    </row>
    <row r="186" spans="1:21" ht="16.5" thickBot="1" x14ac:dyDescent="0.3">
      <c r="B186" s="12"/>
      <c r="C186" s="33">
        <v>123.35</v>
      </c>
      <c r="D186" s="34">
        <v>25.963000000000001</v>
      </c>
      <c r="E186" s="34">
        <v>32.531999999999996</v>
      </c>
      <c r="F186" s="34">
        <v>33.186</v>
      </c>
      <c r="G186" s="20">
        <v>1231.53</v>
      </c>
      <c r="H186" s="20">
        <f t="shared" si="8"/>
        <v>27.687000000000001</v>
      </c>
      <c r="I186" s="5"/>
      <c r="J186" s="33">
        <v>126.2824</v>
      </c>
      <c r="K186" s="34">
        <v>27.411300000000001</v>
      </c>
      <c r="L186" s="34">
        <v>34.443300000000001</v>
      </c>
      <c r="M186" s="34">
        <v>35.0764</v>
      </c>
      <c r="N186" s="20">
        <v>2463.0542</v>
      </c>
      <c r="O186" s="20">
        <f t="shared" si="9"/>
        <v>29.248437500000001</v>
      </c>
      <c r="P186" s="7"/>
      <c r="Q186" s="13"/>
      <c r="R186" s="14"/>
      <c r="S186" s="14"/>
      <c r="T186" s="27"/>
      <c r="U186" s="28">
        <f t="shared" si="10"/>
        <v>0.99999529041111468</v>
      </c>
    </row>
    <row r="187" spans="1:21" x14ac:dyDescent="0.25">
      <c r="B187" s="6" t="s">
        <v>60</v>
      </c>
      <c r="C187" s="15">
        <v>579.54999999999995</v>
      </c>
      <c r="D187" s="16">
        <v>32.527000000000001</v>
      </c>
      <c r="E187" s="16">
        <v>36.576999999999998</v>
      </c>
      <c r="F187" s="16">
        <v>37.69</v>
      </c>
      <c r="G187" s="16">
        <v>480.77</v>
      </c>
      <c r="H187" s="16">
        <f t="shared" si="8"/>
        <v>33.678624999999997</v>
      </c>
      <c r="I187" s="5"/>
      <c r="J187" s="15">
        <v>601.28319999999997</v>
      </c>
      <c r="K187" s="16">
        <v>33.8277</v>
      </c>
      <c r="L187" s="16">
        <v>37.668399999999998</v>
      </c>
      <c r="M187" s="16">
        <v>38.773400000000002</v>
      </c>
      <c r="N187" s="16">
        <v>802.13900000000001</v>
      </c>
      <c r="O187" s="16">
        <f t="shared" si="9"/>
        <v>34.926000000000002</v>
      </c>
      <c r="P187" s="7"/>
      <c r="Q187" s="8">
        <f>bdrate(C187:C190,D187:D190,J187:J190,K187:K190)</f>
        <v>-0.16238919326754953</v>
      </c>
      <c r="R187" s="8">
        <f>bdrate(C187:C190,E187:E190,J187:J190,L187:L190)</f>
        <v>-0.30703326342373805</v>
      </c>
      <c r="S187" s="8">
        <f>bdrate(C187:C190,F187:F190,J187:J190,M187:M190)</f>
        <v>-0.31020815896713883</v>
      </c>
      <c r="T187" s="25">
        <f>bdrate(C187:C190,H187:H190,J187:J190,O187:O190)</f>
        <v>-0.19280630192661785</v>
      </c>
      <c r="U187" s="28">
        <f t="shared" si="10"/>
        <v>0.6684464504856793</v>
      </c>
    </row>
    <row r="188" spans="1:21" x14ac:dyDescent="0.25">
      <c r="B188" s="9"/>
      <c r="C188" s="17">
        <v>389.35</v>
      </c>
      <c r="D188" s="18">
        <v>30.991</v>
      </c>
      <c r="E188" s="18">
        <v>35.518999999999998</v>
      </c>
      <c r="F188" s="18">
        <v>36.57</v>
      </c>
      <c r="G188" s="18">
        <v>564.97</v>
      </c>
      <c r="H188" s="18">
        <f t="shared" si="8"/>
        <v>32.254375000000003</v>
      </c>
      <c r="I188" s="5"/>
      <c r="J188" s="17">
        <v>401.03120000000001</v>
      </c>
      <c r="K188" s="18">
        <v>31.977499999999999</v>
      </c>
      <c r="L188" s="18">
        <v>36.5214</v>
      </c>
      <c r="M188" s="18">
        <v>37.622</v>
      </c>
      <c r="N188" s="18">
        <v>961.5385</v>
      </c>
      <c r="O188" s="18">
        <f t="shared" si="9"/>
        <v>33.251049999999999</v>
      </c>
      <c r="P188" s="7"/>
      <c r="Q188" s="10"/>
      <c r="R188" s="11"/>
      <c r="S188" s="11"/>
      <c r="T188" s="26"/>
      <c r="U188" s="28">
        <f t="shared" si="10"/>
        <v>0.70192842097810493</v>
      </c>
    </row>
    <row r="189" spans="1:21" x14ac:dyDescent="0.25">
      <c r="B189" s="9"/>
      <c r="C189" s="17">
        <v>245.14</v>
      </c>
      <c r="D189" s="18">
        <v>29.443999999999999</v>
      </c>
      <c r="E189" s="18">
        <v>34.503</v>
      </c>
      <c r="F189" s="18">
        <v>35.476999999999997</v>
      </c>
      <c r="G189" s="18">
        <v>641.03</v>
      </c>
      <c r="H189" s="18">
        <f t="shared" si="8"/>
        <v>30.830499999999997</v>
      </c>
      <c r="I189" s="5"/>
      <c r="J189" s="17">
        <v>251.49600000000001</v>
      </c>
      <c r="K189" s="18">
        <v>30.115500000000001</v>
      </c>
      <c r="L189" s="18">
        <v>35.3401</v>
      </c>
      <c r="M189" s="18">
        <v>36.3947</v>
      </c>
      <c r="N189" s="18">
        <v>1200</v>
      </c>
      <c r="O189" s="18">
        <f t="shared" si="9"/>
        <v>31.553475000000002</v>
      </c>
      <c r="P189" s="7"/>
      <c r="Q189" s="10"/>
      <c r="R189" s="11"/>
      <c r="S189" s="11"/>
      <c r="T189" s="26"/>
      <c r="U189" s="28">
        <f t="shared" si="10"/>
        <v>0.87198727048656077</v>
      </c>
    </row>
    <row r="190" spans="1:21" ht="16.5" thickBot="1" x14ac:dyDescent="0.3">
      <c r="B190" s="12"/>
      <c r="C190" s="19">
        <v>117.49</v>
      </c>
      <c r="D190" s="20">
        <v>27.260999999999999</v>
      </c>
      <c r="E190" s="20">
        <v>32.802999999999997</v>
      </c>
      <c r="F190" s="20">
        <v>33.728999999999999</v>
      </c>
      <c r="G190" s="20">
        <v>835.65</v>
      </c>
      <c r="H190" s="20">
        <f t="shared" si="8"/>
        <v>28.762250000000002</v>
      </c>
      <c r="I190" s="5"/>
      <c r="J190" s="19">
        <v>120.7672</v>
      </c>
      <c r="K190" s="20">
        <v>27.611599999999999</v>
      </c>
      <c r="L190" s="20">
        <v>33.860599999999998</v>
      </c>
      <c r="M190" s="20">
        <v>34.796399999999998</v>
      </c>
      <c r="N190" s="20">
        <v>1754.386</v>
      </c>
      <c r="O190" s="20">
        <f t="shared" si="9"/>
        <v>29.290825000000002</v>
      </c>
      <c r="P190" s="7"/>
      <c r="Q190" s="13"/>
      <c r="R190" s="14"/>
      <c r="S190" s="14"/>
      <c r="T190" s="27"/>
      <c r="U190" s="28">
        <f t="shared" si="10"/>
        <v>1.0994267935140309</v>
      </c>
    </row>
    <row r="191" spans="1:21" x14ac:dyDescent="0.25">
      <c r="A191" s="6" t="s">
        <v>43</v>
      </c>
      <c r="B191" s="6" t="s">
        <v>61</v>
      </c>
      <c r="C191" s="15">
        <v>1380.84</v>
      </c>
      <c r="D191" s="16">
        <v>39.643000000000001</v>
      </c>
      <c r="E191" s="16">
        <v>43.965000000000003</v>
      </c>
      <c r="F191" s="16">
        <v>45.154000000000003</v>
      </c>
      <c r="G191" s="16">
        <v>113.81</v>
      </c>
      <c r="H191" s="16">
        <f t="shared" si="8"/>
        <v>40.872124999999997</v>
      </c>
      <c r="I191" s="5"/>
      <c r="J191" s="15">
        <v>1494.3552</v>
      </c>
      <c r="K191" s="16">
        <v>41.330399999999997</v>
      </c>
      <c r="L191" s="16">
        <v>45.799700000000001</v>
      </c>
      <c r="M191" s="16">
        <v>47.013199999999998</v>
      </c>
      <c r="N191" s="16">
        <v>315.12610000000001</v>
      </c>
      <c r="O191" s="16">
        <f t="shared" si="9"/>
        <v>42.5994125</v>
      </c>
      <c r="P191" s="7"/>
      <c r="Q191" s="8">
        <f>bdrate(C191:C194,D191:D194,J191:J194,K191:K194)</f>
        <v>-0.34049501475936828</v>
      </c>
      <c r="R191" s="8">
        <f>bdrate(C191:C194,E191:E194,J191:J194,L191:L194)</f>
        <v>-0.39828180378247136</v>
      </c>
      <c r="S191" s="8">
        <f>bdrate(C191:C194,F191:F194,J191:J194,M191:M194)</f>
        <v>-0.37430744263180005</v>
      </c>
      <c r="T191" s="25">
        <f>bdrate(C191:C194,H191:H194,J191:J194,O191:O194)</f>
        <v>-0.34880878508697832</v>
      </c>
      <c r="U191" s="28">
        <f t="shared" si="10"/>
        <v>1.7688788331429577</v>
      </c>
    </row>
    <row r="192" spans="1:21" x14ac:dyDescent="0.25">
      <c r="A192" s="9" t="s">
        <v>44</v>
      </c>
      <c r="B192" s="9"/>
      <c r="C192" s="17">
        <v>915.93</v>
      </c>
      <c r="D192" s="18">
        <v>38.26</v>
      </c>
      <c r="E192" s="18">
        <v>42.927</v>
      </c>
      <c r="F192" s="18">
        <v>44.13</v>
      </c>
      <c r="G192" s="18">
        <v>176.42</v>
      </c>
      <c r="H192" s="18">
        <f t="shared" si="8"/>
        <v>39.577125000000002</v>
      </c>
      <c r="I192" s="5"/>
      <c r="J192" s="17">
        <v>987.96640000000002</v>
      </c>
      <c r="K192" s="18">
        <v>40.193600000000004</v>
      </c>
      <c r="L192" s="18">
        <v>44.851300000000002</v>
      </c>
      <c r="M192" s="18">
        <v>46.0321</v>
      </c>
      <c r="N192" s="18">
        <v>369.68579999999997</v>
      </c>
      <c r="O192" s="18">
        <f t="shared" si="9"/>
        <v>41.505625000000002</v>
      </c>
      <c r="P192" s="7"/>
      <c r="Q192" s="10"/>
      <c r="R192" s="11"/>
      <c r="S192" s="11"/>
      <c r="T192" s="26"/>
      <c r="U192" s="28">
        <f t="shared" si="10"/>
        <v>1.0954869062464574</v>
      </c>
    </row>
    <row r="193" spans="1:21" x14ac:dyDescent="0.25">
      <c r="B193" s="9"/>
      <c r="C193" s="17">
        <v>543.62</v>
      </c>
      <c r="D193" s="18">
        <v>36.271000000000001</v>
      </c>
      <c r="E193" s="18">
        <v>41.994999999999997</v>
      </c>
      <c r="F193" s="18">
        <v>43.075000000000003</v>
      </c>
      <c r="G193" s="18">
        <v>186.68</v>
      </c>
      <c r="H193" s="18">
        <f t="shared" si="8"/>
        <v>37.836999999999996</v>
      </c>
      <c r="I193" s="5"/>
      <c r="J193" s="17">
        <v>577.04</v>
      </c>
      <c r="K193" s="18">
        <v>38.244300000000003</v>
      </c>
      <c r="L193" s="18">
        <v>43.2971</v>
      </c>
      <c r="M193" s="18">
        <v>44.454300000000003</v>
      </c>
      <c r="N193" s="18">
        <v>432.27670000000001</v>
      </c>
      <c r="O193" s="18">
        <f t="shared" si="9"/>
        <v>39.652149999999999</v>
      </c>
      <c r="P193" s="7"/>
      <c r="Q193" s="10"/>
      <c r="R193" s="11"/>
      <c r="S193" s="11"/>
      <c r="T193" s="26"/>
      <c r="U193" s="28">
        <f t="shared" si="10"/>
        <v>1.3156026355260337</v>
      </c>
    </row>
    <row r="194" spans="1:21" ht="16.5" thickBot="1" x14ac:dyDescent="0.3">
      <c r="B194" s="12"/>
      <c r="C194" s="19">
        <v>258.33</v>
      </c>
      <c r="D194" s="20">
        <v>33.881</v>
      </c>
      <c r="E194" s="20">
        <v>40.893999999999998</v>
      </c>
      <c r="F194" s="20">
        <v>41.746000000000002</v>
      </c>
      <c r="G194" s="20">
        <v>202.43</v>
      </c>
      <c r="H194" s="20">
        <f t="shared" si="8"/>
        <v>35.740749999999998</v>
      </c>
      <c r="I194" s="5"/>
      <c r="J194" s="19">
        <v>283.3304</v>
      </c>
      <c r="K194" s="20">
        <v>34.923900000000003</v>
      </c>
      <c r="L194" s="20">
        <v>41.323799999999999</v>
      </c>
      <c r="M194" s="20">
        <v>42.199300000000001</v>
      </c>
      <c r="N194" s="20">
        <v>519.48050000000001</v>
      </c>
      <c r="O194" s="20">
        <f t="shared" si="9"/>
        <v>36.633312500000002</v>
      </c>
      <c r="P194" s="7"/>
      <c r="Q194" s="13"/>
      <c r="R194" s="14"/>
      <c r="S194" s="14"/>
      <c r="T194" s="27"/>
      <c r="U194" s="28">
        <f t="shared" si="10"/>
        <v>1.5662228918638541</v>
      </c>
    </row>
    <row r="195" spans="1:21" x14ac:dyDescent="0.25">
      <c r="B195" s="6" t="s">
        <v>62</v>
      </c>
      <c r="C195" s="15">
        <v>1427.49</v>
      </c>
      <c r="D195" s="16">
        <v>41.518999999999998</v>
      </c>
      <c r="E195" s="16">
        <v>46.395000000000003</v>
      </c>
      <c r="F195" s="16">
        <v>47.003</v>
      </c>
      <c r="G195" s="16">
        <v>113.79</v>
      </c>
      <c r="H195" s="16">
        <f t="shared" si="8"/>
        <v>42.813999999999993</v>
      </c>
      <c r="I195" s="5"/>
      <c r="J195" s="15">
        <v>1472.4856</v>
      </c>
      <c r="K195" s="16">
        <v>42.598799999999997</v>
      </c>
      <c r="L195" s="16">
        <v>47.848999999999997</v>
      </c>
      <c r="M195" s="16">
        <v>48.530700000000003</v>
      </c>
      <c r="N195" s="16">
        <v>388.601</v>
      </c>
      <c r="O195" s="16">
        <f t="shared" si="9"/>
        <v>43.996562500000003</v>
      </c>
      <c r="P195" s="7"/>
      <c r="Q195" s="8">
        <f>bdrate(C195:C198,D195:D198,J195:J198,K195:K198)</f>
        <v>-0.45369468218052733</v>
      </c>
      <c r="R195" s="8">
        <f>bdrate(C195:C198,E195:E198,J195:J198,L195:L198)</f>
        <v>-0.56173905037214322</v>
      </c>
      <c r="S195" s="8">
        <f>bdrate(C195:C198,F195:F198,J195:J198,M195:M198)</f>
        <v>-0.56703300055531969</v>
      </c>
      <c r="T195" s="25">
        <f>bdrate(C195:C198,H195:H198,J195:J198,O195:O198)</f>
        <v>-0.48221473543638038</v>
      </c>
      <c r="U195" s="28">
        <f t="shared" ref="U195:U213" si="11">(N195-G195)/G195</f>
        <v>2.4150716231654799</v>
      </c>
    </row>
    <row r="196" spans="1:21" x14ac:dyDescent="0.25">
      <c r="B196" s="9"/>
      <c r="C196" s="17">
        <v>947.21</v>
      </c>
      <c r="D196" s="18">
        <v>40.816000000000003</v>
      </c>
      <c r="E196" s="18">
        <v>45.709000000000003</v>
      </c>
      <c r="F196" s="18">
        <v>46.337000000000003</v>
      </c>
      <c r="G196" s="18">
        <v>178.04</v>
      </c>
      <c r="H196" s="18">
        <f t="shared" si="8"/>
        <v>42.117750000000001</v>
      </c>
      <c r="I196" s="5"/>
      <c r="J196" s="17">
        <v>970.45039999999995</v>
      </c>
      <c r="K196" s="18">
        <v>42.035699999999999</v>
      </c>
      <c r="L196" s="18">
        <v>47.316699999999997</v>
      </c>
      <c r="M196" s="18">
        <v>47.991100000000003</v>
      </c>
      <c r="N196" s="18">
        <v>431.96539999999999</v>
      </c>
      <c r="O196" s="18">
        <f t="shared" si="9"/>
        <v>43.440249999999999</v>
      </c>
      <c r="P196" s="7"/>
      <c r="Q196" s="10"/>
      <c r="R196" s="11"/>
      <c r="S196" s="11"/>
      <c r="T196" s="26"/>
      <c r="U196" s="28">
        <f t="shared" si="11"/>
        <v>1.4262266906313188</v>
      </c>
    </row>
    <row r="197" spans="1:21" x14ac:dyDescent="0.25">
      <c r="B197" s="9"/>
      <c r="C197" s="17">
        <v>557.84</v>
      </c>
      <c r="D197" s="18">
        <v>39.713000000000001</v>
      </c>
      <c r="E197" s="18">
        <v>44.707000000000001</v>
      </c>
      <c r="F197" s="18">
        <v>45.22</v>
      </c>
      <c r="G197" s="18">
        <v>188.56</v>
      </c>
      <c r="H197" s="18">
        <f t="shared" si="8"/>
        <v>41.025625000000005</v>
      </c>
      <c r="I197" s="5"/>
      <c r="J197" s="17">
        <v>572.89760000000001</v>
      </c>
      <c r="K197" s="18">
        <v>41.111199999999997</v>
      </c>
      <c r="L197" s="18">
        <v>46.433</v>
      </c>
      <c r="M197" s="18">
        <v>47.0901</v>
      </c>
      <c r="N197" s="18">
        <v>469.11649999999997</v>
      </c>
      <c r="O197" s="18">
        <f t="shared" si="9"/>
        <v>42.523787499999997</v>
      </c>
      <c r="P197" s="7"/>
      <c r="Q197" s="10"/>
      <c r="R197" s="11"/>
      <c r="S197" s="11"/>
      <c r="T197" s="26"/>
      <c r="U197" s="28">
        <f t="shared" si="11"/>
        <v>1.4878897963512938</v>
      </c>
    </row>
    <row r="198" spans="1:21" ht="16.5" thickBot="1" x14ac:dyDescent="0.3">
      <c r="B198" s="12"/>
      <c r="C198" s="19">
        <v>265.36</v>
      </c>
      <c r="D198" s="20">
        <v>37.515000000000001</v>
      </c>
      <c r="E198" s="20">
        <v>43.505000000000003</v>
      </c>
      <c r="F198" s="20">
        <v>43.811999999999998</v>
      </c>
      <c r="G198" s="20">
        <v>204.57</v>
      </c>
      <c r="H198" s="20">
        <f t="shared" si="8"/>
        <v>39.050875000000005</v>
      </c>
      <c r="I198" s="5"/>
      <c r="J198" s="19">
        <v>278.68639999999999</v>
      </c>
      <c r="K198" s="20">
        <v>39.234000000000002</v>
      </c>
      <c r="L198" s="20">
        <v>44.703699999999998</v>
      </c>
      <c r="M198" s="20">
        <v>45.296300000000002</v>
      </c>
      <c r="N198" s="20">
        <v>534.28319999999997</v>
      </c>
      <c r="O198" s="20">
        <f t="shared" si="9"/>
        <v>40.6755</v>
      </c>
      <c r="P198" s="7"/>
      <c r="Q198" s="13"/>
      <c r="R198" s="14"/>
      <c r="S198" s="14"/>
      <c r="T198" s="27"/>
      <c r="U198" s="28">
        <f t="shared" si="11"/>
        <v>1.6117377914650242</v>
      </c>
    </row>
    <row r="199" spans="1:21" x14ac:dyDescent="0.25">
      <c r="B199" s="6" t="s">
        <v>63</v>
      </c>
      <c r="C199" s="15">
        <v>1496.55</v>
      </c>
      <c r="D199" s="16">
        <v>41.255000000000003</v>
      </c>
      <c r="E199" s="16">
        <v>45.408000000000001</v>
      </c>
      <c r="F199" s="16">
        <v>46.223999999999997</v>
      </c>
      <c r="G199" s="16">
        <v>94.04</v>
      </c>
      <c r="H199" s="16">
        <f t="shared" si="8"/>
        <v>42.395250000000004</v>
      </c>
      <c r="I199" s="5"/>
      <c r="J199" s="15">
        <v>1542.096</v>
      </c>
      <c r="K199" s="16">
        <v>42.4831</v>
      </c>
      <c r="L199" s="16">
        <v>46.911799999999999</v>
      </c>
      <c r="M199" s="16">
        <v>47.799500000000002</v>
      </c>
      <c r="N199" s="16">
        <v>346.62049999999999</v>
      </c>
      <c r="O199" s="16">
        <f t="shared" si="9"/>
        <v>43.701237499999998</v>
      </c>
      <c r="P199" s="7"/>
      <c r="Q199" s="8">
        <f>bdrate(C199:C202,D199:D202,J199:J202,K199:K202)</f>
        <v>-0.40058185003658431</v>
      </c>
      <c r="R199" s="8">
        <f>bdrate(C199:C202,E199:E202,J199:J202,L199:L202)</f>
        <v>-0.4649632585872201</v>
      </c>
      <c r="S199" s="8">
        <f>bdrate(C199:C202,F199:F202,J199:J202,M199:M202)</f>
        <v>-0.47444294747413751</v>
      </c>
      <c r="T199" s="25">
        <f>bdrate(C199:C202,H199:H202,J199:J202,O199:O202)</f>
        <v>-0.41559122568835849</v>
      </c>
      <c r="U199" s="28">
        <f t="shared" si="11"/>
        <v>2.6858836665248824</v>
      </c>
    </row>
    <row r="200" spans="1:21" x14ac:dyDescent="0.25">
      <c r="B200" s="9"/>
      <c r="C200" s="17">
        <v>993.05</v>
      </c>
      <c r="D200" s="18">
        <v>40.148000000000003</v>
      </c>
      <c r="E200" s="18">
        <v>44.441000000000003</v>
      </c>
      <c r="F200" s="18">
        <v>45.262</v>
      </c>
      <c r="G200" s="18">
        <v>171.72</v>
      </c>
      <c r="H200" s="18">
        <f t="shared" si="8"/>
        <v>41.323875000000008</v>
      </c>
      <c r="I200" s="5"/>
      <c r="J200" s="17">
        <v>1005.5848</v>
      </c>
      <c r="K200" s="18">
        <v>41.636899999999997</v>
      </c>
      <c r="L200" s="18">
        <v>46.178100000000001</v>
      </c>
      <c r="M200" s="18">
        <v>47.057299999999998</v>
      </c>
      <c r="N200" s="18">
        <v>388.34949999999998</v>
      </c>
      <c r="O200" s="18">
        <f t="shared" si="9"/>
        <v>42.882100000000001</v>
      </c>
      <c r="P200" s="7"/>
      <c r="Q200" s="10"/>
      <c r="R200" s="11"/>
      <c r="S200" s="11"/>
      <c r="T200" s="26"/>
      <c r="U200" s="28">
        <f t="shared" si="11"/>
        <v>1.2615274866061028</v>
      </c>
    </row>
    <row r="201" spans="1:21" x14ac:dyDescent="0.25">
      <c r="B201" s="9"/>
      <c r="C201" s="17">
        <v>588.17999999999995</v>
      </c>
      <c r="D201" s="18">
        <v>38.427</v>
      </c>
      <c r="E201" s="18">
        <v>43.21</v>
      </c>
      <c r="F201" s="18">
        <v>44.085000000000001</v>
      </c>
      <c r="G201" s="18">
        <v>178.89</v>
      </c>
      <c r="H201" s="18">
        <f t="shared" si="8"/>
        <v>39.732124999999996</v>
      </c>
      <c r="I201" s="5"/>
      <c r="J201" s="17">
        <v>597.50879999999995</v>
      </c>
      <c r="K201" s="18">
        <v>40.2014</v>
      </c>
      <c r="L201" s="18">
        <v>44.8598</v>
      </c>
      <c r="M201" s="18">
        <v>45.721200000000003</v>
      </c>
      <c r="N201" s="18">
        <v>437.31779999999998</v>
      </c>
      <c r="O201" s="18">
        <f t="shared" si="9"/>
        <v>41.473675</v>
      </c>
      <c r="P201" s="7"/>
      <c r="Q201" s="10"/>
      <c r="R201" s="11"/>
      <c r="S201" s="11"/>
      <c r="T201" s="26"/>
      <c r="U201" s="28">
        <f t="shared" si="11"/>
        <v>1.4446184806305551</v>
      </c>
    </row>
    <row r="202" spans="1:21" ht="16.5" thickBot="1" x14ac:dyDescent="0.3">
      <c r="B202" s="12"/>
      <c r="C202" s="19">
        <v>281.20999999999998</v>
      </c>
      <c r="D202" s="20">
        <v>35.996000000000002</v>
      </c>
      <c r="E202" s="20">
        <v>41.795999999999999</v>
      </c>
      <c r="F202" s="20">
        <v>42.76</v>
      </c>
      <c r="G202" s="20">
        <v>196.27</v>
      </c>
      <c r="H202" s="20">
        <f t="shared" si="8"/>
        <v>37.566499999999998</v>
      </c>
      <c r="I202" s="5"/>
      <c r="J202" s="19">
        <v>294.60160000000002</v>
      </c>
      <c r="K202" s="20">
        <v>37.590600000000002</v>
      </c>
      <c r="L202" s="20">
        <v>42.765099999999997</v>
      </c>
      <c r="M202" s="20">
        <v>43.6995</v>
      </c>
      <c r="N202" s="20">
        <v>499.58370000000002</v>
      </c>
      <c r="O202" s="20">
        <f t="shared" si="9"/>
        <v>39.001025000000006</v>
      </c>
      <c r="P202" s="7"/>
      <c r="Q202" s="13"/>
      <c r="R202" s="14"/>
      <c r="S202" s="14"/>
      <c r="T202" s="27"/>
      <c r="U202" s="28">
        <f t="shared" si="11"/>
        <v>1.5453900239466043</v>
      </c>
    </row>
    <row r="203" spans="1:21" x14ac:dyDescent="0.25">
      <c r="A203" s="6" t="s">
        <v>94</v>
      </c>
      <c r="B203" s="6" t="s">
        <v>95</v>
      </c>
      <c r="C203" s="29">
        <v>1209.51</v>
      </c>
      <c r="D203" s="30">
        <v>41.524999999999999</v>
      </c>
      <c r="E203" s="30">
        <v>47.045000000000002</v>
      </c>
      <c r="F203" s="30">
        <v>48.156999999999996</v>
      </c>
      <c r="G203" s="16">
        <v>98.54</v>
      </c>
      <c r="H203" s="16">
        <f t="shared" ref="H203:H246" si="12">(6*D203+E203+F203)/8</f>
        <v>43.043999999999997</v>
      </c>
      <c r="I203" s="5"/>
      <c r="J203" s="15">
        <v>1285.8616999999999</v>
      </c>
      <c r="K203" s="16">
        <v>43.378100000000003</v>
      </c>
      <c r="L203" s="16">
        <v>49.314900000000002</v>
      </c>
      <c r="M203" s="16">
        <v>50.346899999999998</v>
      </c>
      <c r="N203" s="16">
        <v>224.94380000000001</v>
      </c>
      <c r="O203" s="16">
        <f t="shared" ref="O203:O213" si="13">(6*K203+L203+M203)/8</f>
        <v>44.991300000000003</v>
      </c>
      <c r="P203" s="7"/>
      <c r="Q203" s="8">
        <f>bdrate(C203:C206,D203:D206,J203:J206,K203:K206)</f>
        <v>-0.35724379592583044</v>
      </c>
      <c r="R203" s="8">
        <f>bdrate(C203:C206,E203:E206,J203:J206,L203:L206)</f>
        <v>-0.47343117042286964</v>
      </c>
      <c r="S203" s="8">
        <f>bdrate(C203:C206,F203:F206,J203:J206,M203:M206)</f>
        <v>-0.46692344800092034</v>
      </c>
      <c r="T203" s="25">
        <f>bdrate(C203:C206,H203:H206,J203:J206,O203:O206)</f>
        <v>-0.38083774469183995</v>
      </c>
      <c r="U203" s="28">
        <f t="shared" si="11"/>
        <v>1.2827663892835397</v>
      </c>
    </row>
    <row r="204" spans="1:21" x14ac:dyDescent="0.25">
      <c r="A204" s="9" t="s">
        <v>77</v>
      </c>
      <c r="B204" s="9"/>
      <c r="C204" s="31">
        <v>809.45</v>
      </c>
      <c r="D204" s="32">
        <v>39.354999999999997</v>
      </c>
      <c r="E204" s="32">
        <v>45.499000000000002</v>
      </c>
      <c r="F204" s="32">
        <v>46.645000000000003</v>
      </c>
      <c r="G204" s="18">
        <v>122.49</v>
      </c>
      <c r="H204" s="18">
        <f t="shared" si="12"/>
        <v>41.03425</v>
      </c>
      <c r="I204" s="5"/>
      <c r="J204" s="17">
        <v>874.06290000000001</v>
      </c>
      <c r="K204" s="18">
        <v>41.732700000000001</v>
      </c>
      <c r="L204" s="18">
        <v>48.180300000000003</v>
      </c>
      <c r="M204" s="18">
        <v>49.0242</v>
      </c>
      <c r="N204" s="18">
        <v>258.13850000000002</v>
      </c>
      <c r="O204" s="18">
        <f t="shared" si="13"/>
        <v>43.450087500000002</v>
      </c>
      <c r="P204" s="7"/>
      <c r="Q204" s="10"/>
      <c r="R204" s="11"/>
      <c r="S204" s="11"/>
      <c r="T204" s="26"/>
      <c r="U204" s="28">
        <f t="shared" si="11"/>
        <v>1.1074250959261982</v>
      </c>
    </row>
    <row r="205" spans="1:21" x14ac:dyDescent="0.25">
      <c r="B205" s="9"/>
      <c r="C205" s="31">
        <v>490.4</v>
      </c>
      <c r="D205" s="32">
        <v>36.546999999999997</v>
      </c>
      <c r="E205" s="32">
        <v>43.71</v>
      </c>
      <c r="F205" s="32">
        <v>44.92</v>
      </c>
      <c r="G205" s="18">
        <v>134.16999999999999</v>
      </c>
      <c r="H205" s="18">
        <f t="shared" si="12"/>
        <v>38.488999999999997</v>
      </c>
      <c r="I205" s="5"/>
      <c r="J205" s="17">
        <v>533.56209999999999</v>
      </c>
      <c r="K205" s="18">
        <v>39.346299999999999</v>
      </c>
      <c r="L205" s="18">
        <v>46.402000000000001</v>
      </c>
      <c r="M205" s="18">
        <v>47.399099999999997</v>
      </c>
      <c r="N205" s="18">
        <v>311.8503</v>
      </c>
      <c r="O205" s="18">
        <f t="shared" si="13"/>
        <v>41.234862499999998</v>
      </c>
      <c r="P205" s="7"/>
      <c r="Q205" s="10"/>
      <c r="R205" s="11"/>
      <c r="S205" s="11"/>
      <c r="T205" s="26"/>
      <c r="U205" s="28">
        <f t="shared" si="11"/>
        <v>1.3242923157188644</v>
      </c>
    </row>
    <row r="206" spans="1:21" ht="16.5" thickBot="1" x14ac:dyDescent="0.3">
      <c r="B206" s="12"/>
      <c r="C206" s="33">
        <v>249.29</v>
      </c>
      <c r="D206" s="34">
        <v>34.134</v>
      </c>
      <c r="E206" s="34">
        <v>41.457999999999998</v>
      </c>
      <c r="F206" s="34">
        <v>42.524999999999999</v>
      </c>
      <c r="G206" s="20">
        <v>155.08000000000001</v>
      </c>
      <c r="H206" s="20">
        <f t="shared" si="12"/>
        <v>36.098374999999997</v>
      </c>
      <c r="I206" s="5"/>
      <c r="J206" s="19">
        <v>279.87810000000002</v>
      </c>
      <c r="K206" s="20">
        <v>36.383400000000002</v>
      </c>
      <c r="L206" s="20">
        <v>43.835000000000001</v>
      </c>
      <c r="M206" s="20">
        <v>45.173200000000001</v>
      </c>
      <c r="N206" s="20">
        <v>396.47579999999999</v>
      </c>
      <c r="O206" s="20">
        <f t="shared" si="13"/>
        <v>38.413575000000002</v>
      </c>
      <c r="P206" s="7"/>
      <c r="Q206" s="13"/>
      <c r="R206" s="14"/>
      <c r="S206" s="14"/>
      <c r="T206" s="27"/>
      <c r="U206" s="28">
        <f t="shared" si="11"/>
        <v>1.556588857363941</v>
      </c>
    </row>
    <row r="207" spans="1:21" x14ac:dyDescent="0.25">
      <c r="B207" s="6" t="s">
        <v>96</v>
      </c>
      <c r="C207" s="15">
        <v>1472.64</v>
      </c>
      <c r="D207" s="16">
        <v>48.671999999999997</v>
      </c>
      <c r="E207" s="16">
        <v>49.750999999999998</v>
      </c>
      <c r="F207" s="16">
        <v>50.223999999999997</v>
      </c>
      <c r="G207" s="16">
        <v>117.14</v>
      </c>
      <c r="H207" s="16">
        <f t="shared" si="12"/>
        <v>49.000874999999994</v>
      </c>
      <c r="I207" s="5"/>
      <c r="J207" s="15">
        <v>1442.1204</v>
      </c>
      <c r="K207" s="16">
        <v>51.399700000000003</v>
      </c>
      <c r="L207" s="16">
        <v>52.3977</v>
      </c>
      <c r="M207" s="16">
        <v>52.907600000000002</v>
      </c>
      <c r="N207" s="16">
        <v>366.30040000000002</v>
      </c>
      <c r="O207" s="16">
        <f t="shared" si="13"/>
        <v>51.712937500000002</v>
      </c>
      <c r="P207" s="7"/>
      <c r="Q207" s="8">
        <f>bdrate(C207:C210,D207:D210,J207:J210,K207:K210)</f>
        <v>-0.42931778161027734</v>
      </c>
      <c r="R207" s="8">
        <f>bdrate(C207:C210,E207:E210,J207:J210,L207:L210)</f>
        <v>-0.4435214660407566</v>
      </c>
      <c r="S207" s="8">
        <f>bdrate(C207:C210,F207:F210,J207:J210,M207:M210)</f>
        <v>-0.44723421273933994</v>
      </c>
      <c r="T207" s="25">
        <f>bdrate(C207:C210,H207:H210,J207:J210,O207:O210)</f>
        <v>-0.43306101031216337</v>
      </c>
      <c r="U207" s="28">
        <f t="shared" si="11"/>
        <v>2.127030903192761</v>
      </c>
    </row>
    <row r="208" spans="1:21" x14ac:dyDescent="0.25">
      <c r="B208" s="9"/>
      <c r="C208" s="17">
        <v>981.61</v>
      </c>
      <c r="D208" s="18">
        <v>46.033999999999999</v>
      </c>
      <c r="E208" s="18">
        <v>47.353999999999999</v>
      </c>
      <c r="F208" s="18">
        <v>47.902999999999999</v>
      </c>
      <c r="G208" s="18">
        <v>220.62</v>
      </c>
      <c r="H208" s="18">
        <f t="shared" si="12"/>
        <v>46.432625000000002</v>
      </c>
      <c r="I208" s="5"/>
      <c r="J208" s="17">
        <v>975.17129999999997</v>
      </c>
      <c r="K208" s="18">
        <v>49.386800000000001</v>
      </c>
      <c r="L208" s="18">
        <v>50.5351</v>
      </c>
      <c r="M208" s="18">
        <v>51.102499999999999</v>
      </c>
      <c r="N208" s="18">
        <v>418.02140000000003</v>
      </c>
      <c r="O208" s="18">
        <f t="shared" si="13"/>
        <v>49.744800000000005</v>
      </c>
      <c r="P208" s="7"/>
      <c r="Q208" s="10"/>
      <c r="R208" s="11"/>
      <c r="S208" s="11"/>
      <c r="T208" s="26"/>
      <c r="U208" s="28">
        <f t="shared" si="11"/>
        <v>0.8947575015864383</v>
      </c>
    </row>
    <row r="209" spans="2:21" x14ac:dyDescent="0.25">
      <c r="B209" s="9"/>
      <c r="C209" s="17">
        <v>590.30999999999995</v>
      </c>
      <c r="D209" s="18">
        <v>42.978999999999999</v>
      </c>
      <c r="E209" s="18">
        <v>44.613999999999997</v>
      </c>
      <c r="F209" s="18">
        <v>45.16</v>
      </c>
      <c r="G209" s="18">
        <v>228.95</v>
      </c>
      <c r="H209" s="18">
        <f t="shared" si="12"/>
        <v>43.456000000000003</v>
      </c>
      <c r="I209" s="5"/>
      <c r="J209" s="17">
        <v>592.48969999999997</v>
      </c>
      <c r="K209" s="18">
        <v>46.4529</v>
      </c>
      <c r="L209" s="18">
        <v>47.869399999999999</v>
      </c>
      <c r="M209" s="18">
        <v>48.441800000000001</v>
      </c>
      <c r="N209" s="18">
        <v>472.9375</v>
      </c>
      <c r="O209" s="18">
        <f t="shared" si="13"/>
        <v>46.878574999999998</v>
      </c>
      <c r="P209" s="7"/>
      <c r="Q209" s="10"/>
      <c r="R209" s="11"/>
      <c r="S209" s="11"/>
      <c r="T209" s="26"/>
      <c r="U209" s="28">
        <f t="shared" si="11"/>
        <v>1.0656802795370168</v>
      </c>
    </row>
    <row r="210" spans="2:21" ht="16.5" thickBot="1" x14ac:dyDescent="0.3">
      <c r="B210" s="12"/>
      <c r="C210" s="19">
        <v>294.37</v>
      </c>
      <c r="D210" s="20">
        <v>39.411000000000001</v>
      </c>
      <c r="E210" s="20">
        <v>41.576000000000001</v>
      </c>
      <c r="F210" s="20">
        <v>42.152999999999999</v>
      </c>
      <c r="G210" s="20">
        <v>238.89</v>
      </c>
      <c r="H210" s="20">
        <f t="shared" si="12"/>
        <v>40.024375000000006</v>
      </c>
      <c r="I210" s="5"/>
      <c r="J210" s="19">
        <v>299.57049999999998</v>
      </c>
      <c r="K210" s="20">
        <v>42.117899999999999</v>
      </c>
      <c r="L210" s="20">
        <v>43.979900000000001</v>
      </c>
      <c r="M210" s="20">
        <v>44.548900000000003</v>
      </c>
      <c r="N210" s="20">
        <v>522.04179999999997</v>
      </c>
      <c r="O210" s="20">
        <f t="shared" si="13"/>
        <v>42.654525</v>
      </c>
      <c r="P210" s="7"/>
      <c r="Q210" s="13"/>
      <c r="R210" s="14"/>
      <c r="S210" s="14"/>
      <c r="T210" s="27"/>
      <c r="U210" s="28">
        <f t="shared" si="11"/>
        <v>1.1852810917158525</v>
      </c>
    </row>
    <row r="211" spans="2:21" x14ac:dyDescent="0.25">
      <c r="B211" s="6" t="s">
        <v>97</v>
      </c>
      <c r="C211" s="15">
        <v>1553</v>
      </c>
      <c r="D211" s="16">
        <v>40.56</v>
      </c>
      <c r="E211" s="16">
        <v>43.265999999999998</v>
      </c>
      <c r="F211" s="16">
        <v>43.777999999999999</v>
      </c>
      <c r="G211" s="16">
        <v>115.04</v>
      </c>
      <c r="H211" s="16">
        <f t="shared" si="12"/>
        <v>41.300500000000007</v>
      </c>
      <c r="I211" s="5"/>
      <c r="J211" s="15">
        <v>1470.5624</v>
      </c>
      <c r="K211" s="16">
        <v>42.555999999999997</v>
      </c>
      <c r="L211" s="16">
        <v>45.070599999999999</v>
      </c>
      <c r="M211" s="16">
        <v>45.501100000000001</v>
      </c>
      <c r="N211" s="16">
        <v>267.06229999999999</v>
      </c>
      <c r="O211" s="16">
        <f t="shared" si="13"/>
        <v>43.238462499999997</v>
      </c>
      <c r="P211" s="7"/>
      <c r="Q211" s="8">
        <f>bdrate(C211:C214,D211:D214,J211:J214,K211:K214)</f>
        <v>-0.37521143816786384</v>
      </c>
      <c r="R211" s="8">
        <f>bdrate(C211:C214,E211:E214,J211:J214,L211:L214)</f>
        <v>-0.41107993651479435</v>
      </c>
      <c r="S211" s="8">
        <f>bdrate(C211:C214,F211:F214,J211:J214,M211:M214)</f>
        <v>-0.39641894625456831</v>
      </c>
      <c r="T211" s="25">
        <f>bdrate(C211:C214,H211:H214,J211:J214,O211:O214)</f>
        <v>-0.38070087890581128</v>
      </c>
      <c r="U211" s="28">
        <f t="shared" si="11"/>
        <v>1.321473400556328</v>
      </c>
    </row>
    <row r="212" spans="2:21" x14ac:dyDescent="0.25">
      <c r="B212" s="9"/>
      <c r="C212" s="17">
        <v>1034.6199999999999</v>
      </c>
      <c r="D212" s="18">
        <v>38.53</v>
      </c>
      <c r="E212" s="18">
        <v>41.776000000000003</v>
      </c>
      <c r="F212" s="18">
        <v>42.283999999999999</v>
      </c>
      <c r="G212" s="18">
        <v>151.22</v>
      </c>
      <c r="H212" s="18">
        <f t="shared" si="12"/>
        <v>39.405000000000001</v>
      </c>
      <c r="I212" s="5"/>
      <c r="J212" s="17">
        <v>983.94799999999998</v>
      </c>
      <c r="K212" s="18">
        <v>40.645000000000003</v>
      </c>
      <c r="L212" s="18">
        <v>43.589599999999997</v>
      </c>
      <c r="M212" s="18">
        <v>44.027299999999997</v>
      </c>
      <c r="N212" s="18">
        <v>310.1309</v>
      </c>
      <c r="O212" s="18">
        <f t="shared" si="13"/>
        <v>41.435862499999999</v>
      </c>
      <c r="P212" s="7"/>
      <c r="Q212" s="10"/>
      <c r="R212" s="11"/>
      <c r="S212" s="11"/>
      <c r="T212" s="26"/>
      <c r="U212" s="28">
        <f t="shared" si="11"/>
        <v>1.0508590133580213</v>
      </c>
    </row>
    <row r="213" spans="2:21" x14ac:dyDescent="0.25">
      <c r="B213" s="9"/>
      <c r="C213" s="17">
        <v>623.02</v>
      </c>
      <c r="D213" s="18">
        <v>35.795000000000002</v>
      </c>
      <c r="E213" s="18">
        <v>39.985999999999997</v>
      </c>
      <c r="F213" s="18">
        <v>40.536000000000001</v>
      </c>
      <c r="G213" s="18">
        <v>162.05000000000001</v>
      </c>
      <c r="H213" s="18">
        <f t="shared" si="12"/>
        <v>36.911500000000004</v>
      </c>
      <c r="I213" s="5"/>
      <c r="J213" s="17">
        <v>593.23710000000005</v>
      </c>
      <c r="K213" s="18">
        <v>38.055599999999998</v>
      </c>
      <c r="L213" s="18">
        <v>41.712600000000002</v>
      </c>
      <c r="M213" s="18">
        <v>42.137300000000003</v>
      </c>
      <c r="N213" s="18">
        <v>356.0831</v>
      </c>
      <c r="O213" s="18">
        <f t="shared" si="13"/>
        <v>39.022937499999998</v>
      </c>
      <c r="P213" s="7"/>
      <c r="Q213" s="10"/>
      <c r="R213" s="11"/>
      <c r="S213" s="11"/>
      <c r="T213" s="26"/>
      <c r="U213" s="28">
        <f t="shared" si="11"/>
        <v>1.1973656278926257</v>
      </c>
    </row>
    <row r="214" spans="2:21" ht="16.5" thickBot="1" x14ac:dyDescent="0.3">
      <c r="B214" s="12"/>
      <c r="C214" s="19">
        <v>313.95</v>
      </c>
      <c r="D214" s="20">
        <v>32.439</v>
      </c>
      <c r="E214" s="20">
        <v>37.537999999999997</v>
      </c>
      <c r="F214" s="20">
        <v>38.085999999999999</v>
      </c>
      <c r="G214" s="20">
        <v>177.24</v>
      </c>
      <c r="H214" s="20">
        <f t="shared" si="12"/>
        <v>33.782250000000005</v>
      </c>
      <c r="I214" s="5"/>
      <c r="J214" s="19">
        <v>297.2321</v>
      </c>
      <c r="K214" s="20">
        <v>34.368400000000001</v>
      </c>
      <c r="L214" s="20">
        <v>39.151299999999999</v>
      </c>
      <c r="M214" s="20">
        <v>39.622</v>
      </c>
      <c r="N214" s="20">
        <v>422.7337</v>
      </c>
      <c r="O214" s="20">
        <f t="shared" ref="O214:O246" si="14">(6*K214+L214+M214)/8</f>
        <v>35.6229625</v>
      </c>
      <c r="P214" s="7"/>
      <c r="Q214" s="13"/>
      <c r="R214" s="14"/>
      <c r="S214" s="14"/>
      <c r="T214" s="27"/>
      <c r="U214" s="28">
        <f t="shared" ref="U214:U246" si="15">(N214-G214)/G214</f>
        <v>1.3850919656962311</v>
      </c>
    </row>
    <row r="215" spans="2:21" x14ac:dyDescent="0.25">
      <c r="B215" s="6" t="s">
        <v>98</v>
      </c>
      <c r="C215" s="15">
        <v>1374.85</v>
      </c>
      <c r="D215" s="16">
        <v>37.283999999999999</v>
      </c>
      <c r="E215" s="16">
        <v>42.143000000000001</v>
      </c>
      <c r="F215" s="16">
        <v>42.078000000000003</v>
      </c>
      <c r="G215" s="16">
        <v>105.66</v>
      </c>
      <c r="H215" s="16">
        <f t="shared" si="12"/>
        <v>38.490624999999994</v>
      </c>
      <c r="I215" s="5"/>
      <c r="J215" s="29">
        <v>1492.7491</v>
      </c>
      <c r="K215" s="30">
        <v>38.954999999999998</v>
      </c>
      <c r="L215" s="30">
        <v>43.576099999999997</v>
      </c>
      <c r="M215" s="30">
        <v>43.551400000000001</v>
      </c>
      <c r="N215" s="16">
        <v>244.4324</v>
      </c>
      <c r="O215" s="16">
        <f t="shared" si="14"/>
        <v>40.107187500000002</v>
      </c>
      <c r="P215" s="7"/>
      <c r="Q215" s="8">
        <f>bdrate(C215:C218,D215:D218,J215:J218,K215:K218)</f>
        <v>-0.19342569326501635</v>
      </c>
      <c r="R215" s="8">
        <f>bdrate(C215:C218,E215:E218,J215:J218,L215:L218)</f>
        <v>-0.31223685324239303</v>
      </c>
      <c r="S215" s="8">
        <f>bdrate(C215:C218,F215:F218,J215:J218,M215:M218)</f>
        <v>-0.30670461404162064</v>
      </c>
      <c r="T215" s="25">
        <f>bdrate(C215:C218,H215:H218,J215:J218,O215:O218)</f>
        <v>-0.21732933926409637</v>
      </c>
      <c r="U215" s="28">
        <f t="shared" si="15"/>
        <v>1.3133863335226199</v>
      </c>
    </row>
    <row r="216" spans="2:21" x14ac:dyDescent="0.25">
      <c r="B216" s="9"/>
      <c r="C216" s="17">
        <v>912.5</v>
      </c>
      <c r="D216" s="18">
        <v>35.561999999999998</v>
      </c>
      <c r="E216" s="18">
        <v>40.831000000000003</v>
      </c>
      <c r="F216" s="18">
        <v>40.799999999999997</v>
      </c>
      <c r="G216" s="18">
        <v>128.63999999999999</v>
      </c>
      <c r="H216" s="18">
        <f t="shared" si="12"/>
        <v>36.875374999999998</v>
      </c>
      <c r="I216" s="5"/>
      <c r="J216" s="31">
        <v>995.62639999999999</v>
      </c>
      <c r="K216" s="32">
        <v>37.047899999999998</v>
      </c>
      <c r="L216" s="32">
        <v>42.250999999999998</v>
      </c>
      <c r="M216" s="32">
        <v>42.221600000000002</v>
      </c>
      <c r="N216" s="18">
        <v>278.03519999999997</v>
      </c>
      <c r="O216" s="18">
        <f t="shared" si="14"/>
        <v>38.344999999999999</v>
      </c>
      <c r="P216" s="7"/>
      <c r="Q216" s="10"/>
      <c r="R216" s="11"/>
      <c r="S216" s="11"/>
      <c r="T216" s="26"/>
      <c r="U216" s="28">
        <f t="shared" si="15"/>
        <v>1.1613432835820896</v>
      </c>
    </row>
    <row r="217" spans="2:21" x14ac:dyDescent="0.25">
      <c r="B217" s="9"/>
      <c r="C217" s="17">
        <v>544.57000000000005</v>
      </c>
      <c r="D217" s="18">
        <v>33.435000000000002</v>
      </c>
      <c r="E217" s="18">
        <v>39.290999999999997</v>
      </c>
      <c r="F217" s="18">
        <v>39.274000000000001</v>
      </c>
      <c r="G217" s="18">
        <v>142.44999999999999</v>
      </c>
      <c r="H217" s="18">
        <f t="shared" si="12"/>
        <v>34.896875000000001</v>
      </c>
      <c r="I217" s="5"/>
      <c r="J217" s="31">
        <v>601.52790000000005</v>
      </c>
      <c r="K217" s="32">
        <v>34.741599999999998</v>
      </c>
      <c r="L217" s="32">
        <v>40.679099999999998</v>
      </c>
      <c r="M217" s="32">
        <v>40.638100000000001</v>
      </c>
      <c r="N217" s="18">
        <v>325.90980000000002</v>
      </c>
      <c r="O217" s="18">
        <f t="shared" si="14"/>
        <v>36.220849999999999</v>
      </c>
      <c r="P217" s="7"/>
      <c r="Q217" s="10"/>
      <c r="R217" s="11"/>
      <c r="S217" s="11"/>
      <c r="T217" s="26"/>
      <c r="U217" s="28">
        <f t="shared" si="15"/>
        <v>1.2878890838890842</v>
      </c>
    </row>
    <row r="218" spans="2:21" ht="16.5" thickBot="1" x14ac:dyDescent="0.3">
      <c r="B218" s="12"/>
      <c r="C218" s="19">
        <v>271.89</v>
      </c>
      <c r="D218" s="20">
        <v>30.524000000000001</v>
      </c>
      <c r="E218" s="20">
        <v>37.076000000000001</v>
      </c>
      <c r="F218" s="20">
        <v>37.091000000000001</v>
      </c>
      <c r="G218" s="20">
        <v>160.04</v>
      </c>
      <c r="H218" s="20">
        <f t="shared" si="12"/>
        <v>32.163874999999997</v>
      </c>
      <c r="I218" s="5"/>
      <c r="J218" s="33">
        <v>301.65769999999998</v>
      </c>
      <c r="K218" s="34">
        <v>31.673400000000001</v>
      </c>
      <c r="L218" s="34">
        <v>38.764299999999999</v>
      </c>
      <c r="M218" s="34">
        <v>38.654600000000002</v>
      </c>
      <c r="N218" s="20">
        <v>404.85829999999999</v>
      </c>
      <c r="O218" s="20">
        <f t="shared" si="14"/>
        <v>33.432412499999998</v>
      </c>
      <c r="P218" s="7"/>
      <c r="Q218" s="13"/>
      <c r="R218" s="14"/>
      <c r="S218" s="14"/>
      <c r="T218" s="27"/>
      <c r="U218" s="28">
        <f t="shared" si="15"/>
        <v>1.5297319420144964</v>
      </c>
    </row>
    <row r="219" spans="2:21" x14ac:dyDescent="0.25">
      <c r="B219" s="6" t="s">
        <v>99</v>
      </c>
      <c r="C219" s="29">
        <v>1531</v>
      </c>
      <c r="D219" s="30">
        <v>34.323</v>
      </c>
      <c r="E219" s="30">
        <v>38.927999999999997</v>
      </c>
      <c r="F219" s="30">
        <v>39.503999999999998</v>
      </c>
      <c r="G219" s="16">
        <v>120.44</v>
      </c>
      <c r="H219" s="16">
        <f t="shared" si="12"/>
        <v>35.546250000000001</v>
      </c>
      <c r="I219" s="5"/>
      <c r="J219" s="15">
        <v>1499.8879999999999</v>
      </c>
      <c r="K219" s="16">
        <v>36.868600000000001</v>
      </c>
      <c r="L219" s="16">
        <v>41.513399999999997</v>
      </c>
      <c r="M219" s="16">
        <v>42.047199999999997</v>
      </c>
      <c r="N219" s="16">
        <v>247.083</v>
      </c>
      <c r="O219" s="16">
        <f t="shared" si="14"/>
        <v>38.096525</v>
      </c>
      <c r="P219" s="7"/>
      <c r="Q219" s="8">
        <f>bdrate(C219:C222,D219:D222,J219:J222,K219:K222)</f>
        <v>-0.39527055494212038</v>
      </c>
      <c r="R219" s="8">
        <f>bdrate(C219:C222,E219:E222,J219:J222,L219:L222)</f>
        <v>-0.53376344863603453</v>
      </c>
      <c r="S219" s="8">
        <f>bdrate(C219:C222,F219:F222,J219:J222,M219:M222)</f>
        <v>-0.54719760841421394</v>
      </c>
      <c r="T219" s="25">
        <f>bdrate(C219:C222,H219:H222,J219:J222,O219:O222)</f>
        <v>-0.42479750681125383</v>
      </c>
      <c r="U219" s="28">
        <f t="shared" si="15"/>
        <v>1.0515028229823979</v>
      </c>
    </row>
    <row r="220" spans="2:21" x14ac:dyDescent="0.25">
      <c r="B220" s="9"/>
      <c r="C220" s="31">
        <v>1020.58</v>
      </c>
      <c r="D220" s="32">
        <v>32.619</v>
      </c>
      <c r="E220" s="32">
        <v>37.634</v>
      </c>
      <c r="F220" s="32">
        <v>38.235999999999997</v>
      </c>
      <c r="G220" s="18">
        <v>152.63</v>
      </c>
      <c r="H220" s="18">
        <f t="shared" si="12"/>
        <v>33.948</v>
      </c>
      <c r="I220" s="5"/>
      <c r="J220" s="17">
        <v>1003.8531</v>
      </c>
      <c r="K220" s="18">
        <v>34.947699999999998</v>
      </c>
      <c r="L220" s="18">
        <v>40.097999999999999</v>
      </c>
      <c r="M220" s="18">
        <v>40.685899999999997</v>
      </c>
      <c r="N220" s="18">
        <v>278.72410000000002</v>
      </c>
      <c r="O220" s="18">
        <f t="shared" si="14"/>
        <v>36.3087625</v>
      </c>
      <c r="P220" s="7"/>
      <c r="Q220" s="10"/>
      <c r="R220" s="11"/>
      <c r="S220" s="11"/>
      <c r="T220" s="26"/>
      <c r="U220" s="28">
        <f t="shared" si="15"/>
        <v>0.82614230492039598</v>
      </c>
    </row>
    <row r="221" spans="2:21" x14ac:dyDescent="0.25">
      <c r="B221" s="9"/>
      <c r="C221" s="31">
        <v>612.96</v>
      </c>
      <c r="D221" s="32">
        <v>30.524999999999999</v>
      </c>
      <c r="E221" s="32">
        <v>36.246000000000002</v>
      </c>
      <c r="F221" s="32">
        <v>36.902000000000001</v>
      </c>
      <c r="G221" s="18">
        <v>163.43</v>
      </c>
      <c r="H221" s="18">
        <f t="shared" si="12"/>
        <v>32.03725</v>
      </c>
      <c r="I221" s="5"/>
      <c r="J221" s="17">
        <v>599.44949999999994</v>
      </c>
      <c r="K221" s="18">
        <v>32.595799999999997</v>
      </c>
      <c r="L221" s="18">
        <v>38.411000000000001</v>
      </c>
      <c r="M221" s="18">
        <v>39.064300000000003</v>
      </c>
      <c r="N221" s="18">
        <v>327.8091</v>
      </c>
      <c r="O221" s="18">
        <f t="shared" si="14"/>
        <v>34.131262499999998</v>
      </c>
      <c r="P221" s="7"/>
      <c r="Q221" s="10"/>
      <c r="R221" s="11"/>
      <c r="S221" s="11"/>
      <c r="T221" s="26"/>
      <c r="U221" s="28">
        <f t="shared" si="15"/>
        <v>1.0058073793061248</v>
      </c>
    </row>
    <row r="222" spans="2:21" ht="16.5" thickBot="1" x14ac:dyDescent="0.3">
      <c r="B222" s="12"/>
      <c r="C222" s="33">
        <v>305.27999999999997</v>
      </c>
      <c r="D222" s="34">
        <v>27.622</v>
      </c>
      <c r="E222" s="34">
        <v>34.298999999999999</v>
      </c>
      <c r="F222" s="34">
        <v>35.203000000000003</v>
      </c>
      <c r="G222" s="20">
        <v>180.27</v>
      </c>
      <c r="H222" s="20">
        <f t="shared" si="12"/>
        <v>29.404250000000001</v>
      </c>
      <c r="I222" s="5"/>
      <c r="J222" s="19">
        <v>298.08749999999998</v>
      </c>
      <c r="K222" s="20">
        <v>29.343</v>
      </c>
      <c r="L222" s="20">
        <v>36.223700000000001</v>
      </c>
      <c r="M222" s="20">
        <v>36.969200000000001</v>
      </c>
      <c r="N222" s="20">
        <v>403.40649999999999</v>
      </c>
      <c r="O222" s="20">
        <f t="shared" si="14"/>
        <v>31.1563625</v>
      </c>
      <c r="P222" s="7"/>
      <c r="Q222" s="13"/>
      <c r="R222" s="14"/>
      <c r="S222" s="14"/>
      <c r="T222" s="27"/>
      <c r="U222" s="28">
        <f t="shared" si="15"/>
        <v>1.2377905364175956</v>
      </c>
    </row>
    <row r="223" spans="2:21" x14ac:dyDescent="0.25">
      <c r="B223" s="6" t="s">
        <v>100</v>
      </c>
      <c r="C223" s="15">
        <v>1491.96</v>
      </c>
      <c r="D223" s="16">
        <v>35.993000000000002</v>
      </c>
      <c r="E223" s="16">
        <v>41.628999999999998</v>
      </c>
      <c r="F223" s="16">
        <v>43.048000000000002</v>
      </c>
      <c r="G223" s="16">
        <v>101.84</v>
      </c>
      <c r="H223" s="16">
        <f t="shared" si="12"/>
        <v>37.579375000000006</v>
      </c>
      <c r="I223" s="5"/>
      <c r="J223" s="15">
        <v>1508.4127000000001</v>
      </c>
      <c r="K223" s="16">
        <v>37.103700000000003</v>
      </c>
      <c r="L223" s="16">
        <v>43.130099999999999</v>
      </c>
      <c r="M223" s="16">
        <v>44.557200000000002</v>
      </c>
      <c r="N223" s="16">
        <v>235.9418</v>
      </c>
      <c r="O223" s="16">
        <f t="shared" si="14"/>
        <v>38.788687500000002</v>
      </c>
      <c r="P223" s="7"/>
      <c r="Q223" s="8">
        <f>bdrate(C223:C226,D223:D226,J223:J226,K223:K226)</f>
        <v>-0.26517446427090241</v>
      </c>
      <c r="R223" s="8">
        <f>bdrate(C223:C226,E223:E226,J223:J226,L223:L226)</f>
        <v>-0.49019254095923359</v>
      </c>
      <c r="S223" s="8">
        <f>bdrate(C223:C226,F223:F226,J223:J226,M223:M226)</f>
        <v>-0.46219790249642689</v>
      </c>
      <c r="T223" s="25">
        <f>bdrate(C223:C226,H223:H226,J223:J226,O223:O226)</f>
        <v>-0.31407954669440141</v>
      </c>
      <c r="U223" s="28">
        <f t="shared" si="15"/>
        <v>1.3167890809112333</v>
      </c>
    </row>
    <row r="224" spans="2:21" x14ac:dyDescent="0.25">
      <c r="B224" s="9"/>
      <c r="C224" s="17">
        <v>998.1</v>
      </c>
      <c r="D224" s="18">
        <v>34.664000000000001</v>
      </c>
      <c r="E224" s="18">
        <v>40.597999999999999</v>
      </c>
      <c r="F224" s="18">
        <v>41.868000000000002</v>
      </c>
      <c r="G224" s="18">
        <v>119.7</v>
      </c>
      <c r="H224" s="18">
        <f t="shared" si="12"/>
        <v>36.306249999999999</v>
      </c>
      <c r="I224" s="5"/>
      <c r="J224" s="17">
        <v>1004.0333000000001</v>
      </c>
      <c r="K224" s="18">
        <v>35.679000000000002</v>
      </c>
      <c r="L224" s="18">
        <v>42.124600000000001</v>
      </c>
      <c r="M224" s="18">
        <v>43.435400000000001</v>
      </c>
      <c r="N224" s="18">
        <v>270.1891</v>
      </c>
      <c r="O224" s="18">
        <f t="shared" si="14"/>
        <v>37.454250000000002</v>
      </c>
      <c r="P224" s="7"/>
      <c r="Q224" s="10"/>
      <c r="R224" s="11"/>
      <c r="S224" s="11"/>
      <c r="T224" s="26"/>
      <c r="U224" s="28">
        <f t="shared" si="15"/>
        <v>1.25721888053467</v>
      </c>
    </row>
    <row r="225" spans="2:21" x14ac:dyDescent="0.25">
      <c r="B225" s="9"/>
      <c r="C225" s="17">
        <v>599.89</v>
      </c>
      <c r="D225" s="18">
        <v>33.054000000000002</v>
      </c>
      <c r="E225" s="18">
        <v>39.454999999999998</v>
      </c>
      <c r="F225" s="18">
        <v>40.454999999999998</v>
      </c>
      <c r="G225" s="18">
        <v>133.86000000000001</v>
      </c>
      <c r="H225" s="18">
        <f t="shared" si="12"/>
        <v>34.779249999999998</v>
      </c>
      <c r="I225" s="5"/>
      <c r="J225" s="17">
        <v>604.02449999999999</v>
      </c>
      <c r="K225" s="18">
        <v>34.034700000000001</v>
      </c>
      <c r="L225" s="18">
        <v>40.9803</v>
      </c>
      <c r="M225" s="18">
        <v>42.147199999999998</v>
      </c>
      <c r="N225" s="18">
        <v>317.85270000000003</v>
      </c>
      <c r="O225" s="18">
        <f t="shared" si="14"/>
        <v>35.916962499999997</v>
      </c>
      <c r="P225" s="7"/>
      <c r="Q225" s="10"/>
      <c r="R225" s="11"/>
      <c r="S225" s="11"/>
      <c r="T225" s="26"/>
      <c r="U225" s="28">
        <f t="shared" si="15"/>
        <v>1.3745159121470192</v>
      </c>
    </row>
    <row r="226" spans="2:21" ht="16.5" thickBot="1" x14ac:dyDescent="0.3">
      <c r="B226" s="12"/>
      <c r="C226" s="19">
        <v>306.2</v>
      </c>
      <c r="D226" s="20">
        <v>31.050999999999998</v>
      </c>
      <c r="E226" s="20">
        <v>38.130000000000003</v>
      </c>
      <c r="F226" s="20">
        <v>38.816000000000003</v>
      </c>
      <c r="G226" s="20">
        <v>155.93</v>
      </c>
      <c r="H226" s="20">
        <f t="shared" si="12"/>
        <v>32.906499999999994</v>
      </c>
      <c r="I226" s="5"/>
      <c r="J226" s="19">
        <v>302.57799999999997</v>
      </c>
      <c r="K226" s="20">
        <v>31.952000000000002</v>
      </c>
      <c r="L226" s="20">
        <v>39.515300000000003</v>
      </c>
      <c r="M226" s="20">
        <v>40.465200000000003</v>
      </c>
      <c r="N226" s="20">
        <v>395.17009999999999</v>
      </c>
      <c r="O226" s="20">
        <f t="shared" si="14"/>
        <v>33.961562499999999</v>
      </c>
      <c r="P226" s="7"/>
      <c r="Q226" s="13"/>
      <c r="R226" s="14"/>
      <c r="S226" s="14"/>
      <c r="T226" s="27"/>
      <c r="U226" s="28">
        <f t="shared" si="15"/>
        <v>1.5342788430706085</v>
      </c>
    </row>
    <row r="227" spans="2:21" x14ac:dyDescent="0.25">
      <c r="B227" s="6" t="s">
        <v>101</v>
      </c>
      <c r="C227" s="15">
        <v>1589.28</v>
      </c>
      <c r="D227" s="16">
        <v>45.186</v>
      </c>
      <c r="E227" s="16">
        <v>50.283999999999999</v>
      </c>
      <c r="F227" s="16">
        <v>51.69</v>
      </c>
      <c r="G227" s="16">
        <v>122.68</v>
      </c>
      <c r="H227" s="16">
        <f t="shared" si="12"/>
        <v>46.636249999999997</v>
      </c>
      <c r="I227" s="5"/>
      <c r="J227" s="15">
        <v>1499.5565999999999</v>
      </c>
      <c r="K227" s="16">
        <v>47.317300000000003</v>
      </c>
      <c r="L227" s="16">
        <v>52.920299999999997</v>
      </c>
      <c r="M227" s="16">
        <v>54.265700000000002</v>
      </c>
      <c r="N227" s="16">
        <v>286.14600000000002</v>
      </c>
      <c r="O227" s="16">
        <f t="shared" si="14"/>
        <v>48.886225000000003</v>
      </c>
      <c r="P227" s="7"/>
      <c r="Q227" s="8">
        <f>bdrate(C227:C230,D227:D230,J227:J230,K227:K230)</f>
        <v>-0.38536902487057634</v>
      </c>
      <c r="R227" s="8">
        <f>bdrate(C227:C230,E227:E230,J227:J230,L227:L230)</f>
        <v>-0.47187385407906124</v>
      </c>
      <c r="S227" s="8">
        <f>bdrate(C227:C230,F227:F230,J227:J230,M227:M230)</f>
        <v>-0.4583840634369174</v>
      </c>
      <c r="T227" s="25">
        <f>bdrate(C227:C230,H227:H230,J227:J230,O227:O230)</f>
        <v>-0.40471563186772019</v>
      </c>
      <c r="U227" s="28">
        <f t="shared" si="15"/>
        <v>1.3324584284316923</v>
      </c>
    </row>
    <row r="228" spans="2:21" x14ac:dyDescent="0.25">
      <c r="B228" s="9"/>
      <c r="C228" s="17">
        <v>1059.45</v>
      </c>
      <c r="D228" s="18">
        <v>43.395000000000003</v>
      </c>
      <c r="E228" s="18">
        <v>48.691000000000003</v>
      </c>
      <c r="F228" s="18">
        <v>50.177</v>
      </c>
      <c r="G228" s="18">
        <v>151.55000000000001</v>
      </c>
      <c r="H228" s="18">
        <f t="shared" si="12"/>
        <v>44.904750000000007</v>
      </c>
      <c r="I228" s="5"/>
      <c r="J228" s="17">
        <v>1002.3271999999999</v>
      </c>
      <c r="K228" s="18">
        <v>45.483600000000003</v>
      </c>
      <c r="L228" s="18">
        <v>51.296700000000001</v>
      </c>
      <c r="M228" s="18">
        <v>52.691600000000001</v>
      </c>
      <c r="N228" s="18">
        <v>328.52449999999999</v>
      </c>
      <c r="O228" s="18">
        <f t="shared" si="14"/>
        <v>47.111237500000001</v>
      </c>
      <c r="P228" s="7"/>
      <c r="Q228" s="10"/>
      <c r="R228" s="11"/>
      <c r="S228" s="11"/>
      <c r="T228" s="26"/>
      <c r="U228" s="28">
        <f t="shared" si="15"/>
        <v>1.1677631144836684</v>
      </c>
    </row>
    <row r="229" spans="2:21" x14ac:dyDescent="0.25">
      <c r="B229" s="9"/>
      <c r="C229" s="17">
        <v>636.83000000000004</v>
      </c>
      <c r="D229" s="18">
        <v>41.156999999999996</v>
      </c>
      <c r="E229" s="18">
        <v>46.805999999999997</v>
      </c>
      <c r="F229" s="18">
        <v>48.345999999999997</v>
      </c>
      <c r="G229" s="18">
        <v>171.11</v>
      </c>
      <c r="H229" s="18">
        <f t="shared" si="12"/>
        <v>42.761749999999999</v>
      </c>
      <c r="I229" s="5"/>
      <c r="J229" s="17">
        <v>602.36040000000003</v>
      </c>
      <c r="K229" s="18">
        <v>43.085700000000003</v>
      </c>
      <c r="L229" s="18">
        <v>49.121400000000001</v>
      </c>
      <c r="M229" s="18">
        <v>50.528399999999998</v>
      </c>
      <c r="N229" s="18">
        <v>386.9649</v>
      </c>
      <c r="O229" s="18">
        <f t="shared" si="14"/>
        <v>44.770499999999998</v>
      </c>
      <c r="P229" s="7"/>
      <c r="Q229" s="10"/>
      <c r="R229" s="11"/>
      <c r="S229" s="11"/>
      <c r="T229" s="26"/>
      <c r="U229" s="28">
        <f t="shared" si="15"/>
        <v>1.2614978668692651</v>
      </c>
    </row>
    <row r="230" spans="2:21" ht="16.5" thickBot="1" x14ac:dyDescent="0.3">
      <c r="B230" s="12"/>
      <c r="C230" s="19">
        <v>320.41000000000003</v>
      </c>
      <c r="D230" s="20">
        <v>38.165999999999997</v>
      </c>
      <c r="E230" s="20">
        <v>44.218000000000004</v>
      </c>
      <c r="F230" s="20">
        <v>45.777999999999999</v>
      </c>
      <c r="G230" s="20">
        <v>194.47</v>
      </c>
      <c r="H230" s="20">
        <f t="shared" si="12"/>
        <v>39.874000000000002</v>
      </c>
      <c r="I230" s="5"/>
      <c r="J230" s="19">
        <v>302.67750000000001</v>
      </c>
      <c r="K230" s="20">
        <v>39.863599999999998</v>
      </c>
      <c r="L230" s="20">
        <v>46.094099999999997</v>
      </c>
      <c r="M230" s="20">
        <v>47.488999999999997</v>
      </c>
      <c r="N230" s="20">
        <v>441.90620000000001</v>
      </c>
      <c r="O230" s="20">
        <f t="shared" si="14"/>
        <v>41.595587500000001</v>
      </c>
      <c r="P230" s="7"/>
      <c r="Q230" s="13"/>
      <c r="R230" s="14"/>
      <c r="S230" s="14"/>
      <c r="T230" s="27"/>
      <c r="U230" s="28">
        <f t="shared" si="15"/>
        <v>1.2723618038772049</v>
      </c>
    </row>
    <row r="231" spans="2:21" x14ac:dyDescent="0.25">
      <c r="B231" s="6" t="s">
        <v>102</v>
      </c>
      <c r="C231" s="15">
        <v>1464.32</v>
      </c>
      <c r="D231" s="16">
        <v>30.920999999999999</v>
      </c>
      <c r="E231" s="16">
        <v>38.965000000000003</v>
      </c>
      <c r="F231" s="16">
        <v>38.357999999999997</v>
      </c>
      <c r="G231" s="16">
        <v>91.5</v>
      </c>
      <c r="H231" s="16">
        <f t="shared" si="12"/>
        <v>32.856124999999999</v>
      </c>
      <c r="I231" s="5"/>
      <c r="J231" s="15">
        <v>1495.4557</v>
      </c>
      <c r="K231" s="16">
        <v>31.929500000000001</v>
      </c>
      <c r="L231" s="16">
        <v>40.285600000000002</v>
      </c>
      <c r="M231" s="16">
        <v>39.692399999999999</v>
      </c>
      <c r="N231" s="16">
        <v>188.54089999999999</v>
      </c>
      <c r="O231" s="16">
        <f t="shared" si="14"/>
        <v>33.944375000000001</v>
      </c>
      <c r="P231" s="7"/>
      <c r="Q231" s="8">
        <f>bdrate(C231:C234,D231:D234,J231:J234,K231:K234)</f>
        <v>-0.1576457443176883</v>
      </c>
      <c r="R231" s="8">
        <f>bdrate(C231:C234,E231:E234,J231:J234,L231:L234)</f>
        <v>-0.39796032550609461</v>
      </c>
      <c r="S231" s="8">
        <f>bdrate(C231:C234,F231:F234,J231:J234,M231:M234)</f>
        <v>-0.39018458753194651</v>
      </c>
      <c r="T231" s="25">
        <f>bdrate(C231:C234,H231:H234,J231:J234,O231:O234)</f>
        <v>-0.21077312827375649</v>
      </c>
      <c r="U231" s="28">
        <f t="shared" si="15"/>
        <v>1.0605562841530054</v>
      </c>
    </row>
    <row r="232" spans="2:21" x14ac:dyDescent="0.25">
      <c r="B232" s="9"/>
      <c r="C232" s="17">
        <v>976.02</v>
      </c>
      <c r="D232" s="18">
        <v>29.26</v>
      </c>
      <c r="E232" s="18">
        <v>37.798000000000002</v>
      </c>
      <c r="F232" s="18">
        <v>37.137</v>
      </c>
      <c r="G232" s="18">
        <v>108.34</v>
      </c>
      <c r="H232" s="18">
        <f t="shared" si="12"/>
        <v>31.311875000000001</v>
      </c>
      <c r="I232" s="5"/>
      <c r="J232" s="17">
        <v>995.61829999999998</v>
      </c>
      <c r="K232" s="18">
        <v>30.162299999999998</v>
      </c>
      <c r="L232" s="18">
        <v>39.290500000000002</v>
      </c>
      <c r="M232" s="18">
        <v>38.649099999999997</v>
      </c>
      <c r="N232" s="18">
        <v>221.48390000000001</v>
      </c>
      <c r="O232" s="18">
        <f t="shared" si="14"/>
        <v>32.364174999999996</v>
      </c>
      <c r="P232" s="7"/>
      <c r="Q232" s="10"/>
      <c r="R232" s="11"/>
      <c r="S232" s="11"/>
      <c r="T232" s="26"/>
      <c r="U232" s="28">
        <f t="shared" si="15"/>
        <v>1.0443409636330072</v>
      </c>
    </row>
    <row r="233" spans="2:21" x14ac:dyDescent="0.25">
      <c r="B233" s="9"/>
      <c r="C233" s="17">
        <v>587.14</v>
      </c>
      <c r="D233" s="18">
        <v>27.202999999999999</v>
      </c>
      <c r="E233" s="18">
        <v>36.244</v>
      </c>
      <c r="F233" s="18">
        <v>35.590000000000003</v>
      </c>
      <c r="G233" s="18">
        <v>122.36</v>
      </c>
      <c r="H233" s="18">
        <f t="shared" si="12"/>
        <v>29.381499999999999</v>
      </c>
      <c r="I233" s="5"/>
      <c r="J233" s="17">
        <v>597.88279999999997</v>
      </c>
      <c r="K233" s="18">
        <v>27.942399999999999</v>
      </c>
      <c r="L233" s="18">
        <v>37.915300000000002</v>
      </c>
      <c r="M233" s="18">
        <v>37.201999999999998</v>
      </c>
      <c r="N233" s="18">
        <v>272.10879999999997</v>
      </c>
      <c r="O233" s="18">
        <f t="shared" si="14"/>
        <v>30.346462500000001</v>
      </c>
      <c r="P233" s="7"/>
      <c r="Q233" s="10"/>
      <c r="R233" s="11"/>
      <c r="S233" s="11"/>
      <c r="T233" s="26"/>
      <c r="U233" s="28">
        <f t="shared" si="15"/>
        <v>1.2238378555083358</v>
      </c>
    </row>
    <row r="234" spans="2:21" ht="16.5" thickBot="1" x14ac:dyDescent="0.3">
      <c r="B234" s="12"/>
      <c r="C234" s="19">
        <v>292.18</v>
      </c>
      <c r="D234" s="20">
        <v>24.408999999999999</v>
      </c>
      <c r="E234" s="20">
        <v>33.613999999999997</v>
      </c>
      <c r="F234" s="20">
        <v>33.091000000000001</v>
      </c>
      <c r="G234" s="20">
        <v>139.02000000000001</v>
      </c>
      <c r="H234" s="20">
        <f t="shared" si="12"/>
        <v>26.644875000000003</v>
      </c>
      <c r="I234" s="5"/>
      <c r="J234" s="19">
        <v>299.48349999999999</v>
      </c>
      <c r="K234" s="20">
        <v>25.095300000000002</v>
      </c>
      <c r="L234" s="20">
        <v>35.507399999999997</v>
      </c>
      <c r="M234" s="20">
        <v>34.885300000000001</v>
      </c>
      <c r="N234" s="20">
        <v>355.02960000000002</v>
      </c>
      <c r="O234" s="20">
        <f t="shared" si="14"/>
        <v>27.620562499999998</v>
      </c>
      <c r="P234" s="7"/>
      <c r="Q234" s="13"/>
      <c r="R234" s="14"/>
      <c r="S234" s="14"/>
      <c r="T234" s="27"/>
      <c r="U234" s="28">
        <f t="shared" si="15"/>
        <v>1.5538023305999136</v>
      </c>
    </row>
    <row r="235" spans="2:21" x14ac:dyDescent="0.25">
      <c r="B235" s="6" t="s">
        <v>103</v>
      </c>
      <c r="C235" s="15">
        <v>1508.08</v>
      </c>
      <c r="D235" s="16">
        <v>42.093000000000004</v>
      </c>
      <c r="E235" s="16">
        <v>43.423000000000002</v>
      </c>
      <c r="F235" s="16">
        <v>43.304000000000002</v>
      </c>
      <c r="G235" s="16">
        <v>96.15</v>
      </c>
      <c r="H235" s="16">
        <f t="shared" si="12"/>
        <v>42.410624999999996</v>
      </c>
      <c r="I235" s="5"/>
      <c r="J235" s="15">
        <v>1402.2963999999999</v>
      </c>
      <c r="K235" s="16">
        <v>44.7956</v>
      </c>
      <c r="L235" s="16">
        <v>46.010199999999998</v>
      </c>
      <c r="M235" s="16">
        <v>45.927300000000002</v>
      </c>
      <c r="N235" s="16">
        <v>248.13900000000001</v>
      </c>
      <c r="O235" s="16">
        <f t="shared" si="14"/>
        <v>45.088887499999998</v>
      </c>
      <c r="P235" s="7"/>
      <c r="Q235" s="8">
        <f>bdrate(C235:C238,D235:D238,J235:J238,K235:K238)</f>
        <v>-0.41981073713944639</v>
      </c>
      <c r="R235" s="8">
        <f>bdrate(C235:C238,E235:E238,J235:J238,L235:L238)</f>
        <v>-0.45781129065365922</v>
      </c>
      <c r="S235" s="8">
        <f>bdrate(C235:C238,F235:F238,J235:J238,M235:M238)</f>
        <v>-0.45111945688371835</v>
      </c>
      <c r="T235" s="25">
        <f>bdrate(C235:C238,H235:H238,J235:J238,O235:O238)</f>
        <v>-0.42740962763224777</v>
      </c>
      <c r="U235" s="28">
        <f t="shared" si="15"/>
        <v>1.580748829953198</v>
      </c>
    </row>
    <row r="236" spans="2:21" x14ac:dyDescent="0.25">
      <c r="B236" s="9"/>
      <c r="C236" s="17">
        <v>1004.7</v>
      </c>
      <c r="D236" s="18">
        <v>39.814999999999998</v>
      </c>
      <c r="E236" s="18">
        <v>41.566000000000003</v>
      </c>
      <c r="F236" s="18">
        <v>41.404000000000003</v>
      </c>
      <c r="G236" s="18">
        <v>159.15</v>
      </c>
      <c r="H236" s="18">
        <f t="shared" si="12"/>
        <v>40.232500000000002</v>
      </c>
      <c r="I236" s="5"/>
      <c r="J236" s="17">
        <v>952.91510000000005</v>
      </c>
      <c r="K236" s="18">
        <v>42.893700000000003</v>
      </c>
      <c r="L236" s="18">
        <v>44.412199999999999</v>
      </c>
      <c r="M236" s="18">
        <v>44.278500000000001</v>
      </c>
      <c r="N236" s="18">
        <v>297.3732</v>
      </c>
      <c r="O236" s="18">
        <f t="shared" si="14"/>
        <v>43.256612500000003</v>
      </c>
      <c r="P236" s="7"/>
      <c r="Q236" s="10"/>
      <c r="R236" s="11"/>
      <c r="S236" s="11"/>
      <c r="T236" s="26"/>
      <c r="U236" s="28">
        <f t="shared" si="15"/>
        <v>0.86850895381715354</v>
      </c>
    </row>
    <row r="237" spans="2:21" x14ac:dyDescent="0.25">
      <c r="B237" s="9"/>
      <c r="C237" s="17">
        <v>606.12</v>
      </c>
      <c r="D237" s="18">
        <v>36.97</v>
      </c>
      <c r="E237" s="18">
        <v>39.198999999999998</v>
      </c>
      <c r="F237" s="18">
        <v>39.098999999999997</v>
      </c>
      <c r="G237" s="18">
        <v>172.22</v>
      </c>
      <c r="H237" s="18">
        <f t="shared" si="12"/>
        <v>37.514749999999999</v>
      </c>
      <c r="I237" s="5"/>
      <c r="J237" s="17">
        <v>585.03409999999997</v>
      </c>
      <c r="K237" s="18">
        <v>39.966200000000001</v>
      </c>
      <c r="L237" s="18">
        <v>41.914999999999999</v>
      </c>
      <c r="M237" s="18">
        <v>41.756</v>
      </c>
      <c r="N237" s="18">
        <v>359.42489999999998</v>
      </c>
      <c r="O237" s="18">
        <f t="shared" si="14"/>
        <v>40.433525000000003</v>
      </c>
      <c r="P237" s="7"/>
      <c r="Q237" s="10"/>
      <c r="R237" s="11"/>
      <c r="S237" s="11"/>
      <c r="T237" s="26"/>
      <c r="U237" s="28">
        <f t="shared" si="15"/>
        <v>1.0870102194867028</v>
      </c>
    </row>
    <row r="238" spans="2:21" ht="16.5" thickBot="1" x14ac:dyDescent="0.3">
      <c r="B238" s="12"/>
      <c r="C238" s="19">
        <v>301.60000000000002</v>
      </c>
      <c r="D238" s="20">
        <v>33.005000000000003</v>
      </c>
      <c r="E238" s="20">
        <v>36.249000000000002</v>
      </c>
      <c r="F238" s="20">
        <v>35.756999999999998</v>
      </c>
      <c r="G238" s="20">
        <v>188.23</v>
      </c>
      <c r="H238" s="20">
        <f t="shared" si="12"/>
        <v>33.7545</v>
      </c>
      <c r="I238" s="5"/>
      <c r="J238" s="19">
        <v>291.45150000000001</v>
      </c>
      <c r="K238" s="20">
        <v>35.511299999999999</v>
      </c>
      <c r="L238" s="20">
        <v>38.552599999999998</v>
      </c>
      <c r="M238" s="20">
        <v>38.290100000000002</v>
      </c>
      <c r="N238" s="20">
        <v>435.41359999999997</v>
      </c>
      <c r="O238" s="20">
        <f t="shared" si="14"/>
        <v>36.238812499999995</v>
      </c>
      <c r="P238" s="7"/>
      <c r="Q238" s="13"/>
      <c r="R238" s="14"/>
      <c r="S238" s="14"/>
      <c r="T238" s="27"/>
      <c r="U238" s="28">
        <f t="shared" si="15"/>
        <v>1.3131998087446208</v>
      </c>
    </row>
    <row r="239" spans="2:21" x14ac:dyDescent="0.25">
      <c r="B239" s="6" t="s">
        <v>104</v>
      </c>
      <c r="C239" s="15">
        <v>1986.62</v>
      </c>
      <c r="D239" s="16">
        <v>42.1</v>
      </c>
      <c r="E239" s="16">
        <v>44.296999999999997</v>
      </c>
      <c r="F239" s="16">
        <v>44.512</v>
      </c>
      <c r="G239" s="16">
        <v>80.52</v>
      </c>
      <c r="H239" s="16">
        <f t="shared" si="12"/>
        <v>42.676125000000006</v>
      </c>
      <c r="I239" s="5"/>
      <c r="J239" s="15">
        <v>1351.7563</v>
      </c>
      <c r="K239" s="16">
        <v>45.436100000000003</v>
      </c>
      <c r="L239" s="16">
        <v>47.747700000000002</v>
      </c>
      <c r="M239" s="16">
        <v>47.9923</v>
      </c>
      <c r="N239" s="16">
        <v>249.7225</v>
      </c>
      <c r="O239" s="16">
        <f t="shared" si="14"/>
        <v>46.044575000000002</v>
      </c>
      <c r="P239" s="7"/>
      <c r="Q239" s="8">
        <f>bdrate(C239:C242,D239:D242,J239:J242,K239:K242)</f>
        <v>-0.55838684170036967</v>
      </c>
      <c r="R239" s="8">
        <f>bdrate(C239:C242,E239:E242,J239:J242,L239:L242)</f>
        <v>-0.60337854982115458</v>
      </c>
      <c r="S239" s="8">
        <f>bdrate(C239:C242,F239:F242,J239:J242,M239:M242)</f>
        <v>-0.60704910251732369</v>
      </c>
      <c r="T239" s="25">
        <f>bdrate(C239:C242,H239:H242,J239:J242,O239:O242)</f>
        <v>-0.56939308688858192</v>
      </c>
      <c r="U239" s="28">
        <f t="shared" si="15"/>
        <v>2.1013723298559364</v>
      </c>
    </row>
    <row r="240" spans="2:21" x14ac:dyDescent="0.25">
      <c r="B240" s="9"/>
      <c r="C240" s="17">
        <v>1298.25</v>
      </c>
      <c r="D240" s="18">
        <v>40.106000000000002</v>
      </c>
      <c r="E240" s="18">
        <v>42.497</v>
      </c>
      <c r="F240" s="18">
        <v>42.725000000000001</v>
      </c>
      <c r="G240" s="18">
        <v>161.61000000000001</v>
      </c>
      <c r="H240" s="18">
        <f t="shared" si="12"/>
        <v>40.732250000000008</v>
      </c>
      <c r="I240" s="5"/>
      <c r="J240" s="17">
        <v>941.12720000000002</v>
      </c>
      <c r="K240" s="18">
        <v>43.634799999999998</v>
      </c>
      <c r="L240" s="18">
        <v>46.107799999999997</v>
      </c>
      <c r="M240" s="18">
        <v>46.377299999999998</v>
      </c>
      <c r="N240" s="18">
        <v>267.69779999999997</v>
      </c>
      <c r="O240" s="18">
        <f t="shared" si="14"/>
        <v>44.286737500000001</v>
      </c>
      <c r="P240" s="7"/>
      <c r="Q240" s="10"/>
      <c r="R240" s="11"/>
      <c r="S240" s="11"/>
      <c r="T240" s="26"/>
      <c r="U240" s="28">
        <f t="shared" si="15"/>
        <v>0.65644328940040808</v>
      </c>
    </row>
    <row r="241" spans="2:21" x14ac:dyDescent="0.25">
      <c r="B241" s="9"/>
      <c r="C241" s="17">
        <v>755.41</v>
      </c>
      <c r="D241" s="18">
        <v>37.735999999999997</v>
      </c>
      <c r="E241" s="18">
        <v>40.427999999999997</v>
      </c>
      <c r="F241" s="18">
        <v>40.692</v>
      </c>
      <c r="G241" s="18">
        <v>181.71</v>
      </c>
      <c r="H241" s="18">
        <f t="shared" si="12"/>
        <v>38.442</v>
      </c>
      <c r="I241" s="5"/>
      <c r="J241" s="17">
        <v>623.76229999999998</v>
      </c>
      <c r="K241" s="18">
        <v>41.211300000000001</v>
      </c>
      <c r="L241" s="18">
        <v>44.019399999999997</v>
      </c>
      <c r="M241" s="18">
        <v>44.305900000000001</v>
      </c>
      <c r="N241" s="18">
        <v>305.24</v>
      </c>
      <c r="O241" s="18">
        <f t="shared" si="14"/>
        <v>41.949137500000006</v>
      </c>
      <c r="P241" s="7"/>
      <c r="Q241" s="10"/>
      <c r="R241" s="11"/>
      <c r="S241" s="11"/>
      <c r="T241" s="26"/>
      <c r="U241" s="28">
        <f t="shared" si="15"/>
        <v>0.67981949259809582</v>
      </c>
    </row>
    <row r="242" spans="2:21" ht="16.5" thickBot="1" x14ac:dyDescent="0.3">
      <c r="B242" s="12"/>
      <c r="C242" s="19">
        <v>363.18</v>
      </c>
      <c r="D242" s="20">
        <v>34.506999999999998</v>
      </c>
      <c r="E242" s="20">
        <v>37.880000000000003</v>
      </c>
      <c r="F242" s="20">
        <v>38.207999999999998</v>
      </c>
      <c r="G242" s="20">
        <v>197.93</v>
      </c>
      <c r="H242" s="20">
        <f t="shared" si="12"/>
        <v>35.391249999999999</v>
      </c>
      <c r="I242" s="5"/>
      <c r="J242" s="19">
        <v>336.95370000000003</v>
      </c>
      <c r="K242" s="20">
        <v>36.607399999999998</v>
      </c>
      <c r="L242" s="20">
        <v>39.880299999999998</v>
      </c>
      <c r="M242" s="20">
        <v>40.162700000000001</v>
      </c>
      <c r="N242" s="20">
        <v>435.41359999999997</v>
      </c>
      <c r="O242" s="20">
        <f t="shared" si="14"/>
        <v>37.460925000000003</v>
      </c>
      <c r="P242" s="7"/>
      <c r="Q242" s="13"/>
      <c r="R242" s="14"/>
      <c r="S242" s="14"/>
      <c r="T242" s="27"/>
      <c r="U242" s="28">
        <f t="shared" si="15"/>
        <v>1.1998363057646642</v>
      </c>
    </row>
    <row r="243" spans="2:21" x14ac:dyDescent="0.25">
      <c r="B243" s="6" t="s">
        <v>105</v>
      </c>
      <c r="C243" s="15">
        <v>1532.07</v>
      </c>
      <c r="D243" s="16">
        <v>31.146000000000001</v>
      </c>
      <c r="E243" s="16">
        <v>35.21</v>
      </c>
      <c r="F243" s="16">
        <v>34.131</v>
      </c>
      <c r="G243" s="16">
        <v>80.459999999999994</v>
      </c>
      <c r="H243" s="16">
        <f t="shared" si="12"/>
        <v>32.027124999999998</v>
      </c>
      <c r="I243" s="5"/>
      <c r="J243" s="29">
        <v>1507.5583999999999</v>
      </c>
      <c r="K243" s="30">
        <v>32.290599999999998</v>
      </c>
      <c r="L243" s="30">
        <v>36.605400000000003</v>
      </c>
      <c r="M243" s="30">
        <v>35.502000000000002</v>
      </c>
      <c r="N243" s="16">
        <v>216.89359999999999</v>
      </c>
      <c r="O243" s="16">
        <f t="shared" si="14"/>
        <v>33.231375</v>
      </c>
      <c r="P243" s="7"/>
      <c r="Q243" s="8">
        <f>bdrate(C243:C246,D243:D246,J243:J246,K243:K246)</f>
        <v>-0.18561682291654447</v>
      </c>
      <c r="R243" s="8">
        <f>bdrate(C243:C246,E243:E246,J243:J246,L243:L246)</f>
        <v>-0.42243253712919204</v>
      </c>
      <c r="S243" s="8">
        <f>bdrate(C243:C246,F243:F246,J243:J246,M243:M246)</f>
        <v>-0.39742789262454348</v>
      </c>
      <c r="T243" s="25">
        <f>bdrate(C243:C246,H243:H246,J243:J246,O243:O246)</f>
        <v>-0.23216792793715124</v>
      </c>
      <c r="U243" s="28">
        <f t="shared" si="15"/>
        <v>1.6956698980860057</v>
      </c>
    </row>
    <row r="244" spans="2:21" x14ac:dyDescent="0.25">
      <c r="B244" s="9"/>
      <c r="C244" s="17">
        <v>1019.13</v>
      </c>
      <c r="D244" s="18">
        <v>29.492000000000001</v>
      </c>
      <c r="E244" s="18">
        <v>34.142000000000003</v>
      </c>
      <c r="F244" s="18">
        <v>33.011000000000003</v>
      </c>
      <c r="G244" s="18">
        <v>128.34</v>
      </c>
      <c r="H244" s="18">
        <f t="shared" si="12"/>
        <v>30.513124999999999</v>
      </c>
      <c r="I244" s="5"/>
      <c r="J244" s="31">
        <v>1003.6941</v>
      </c>
      <c r="K244" s="32">
        <v>30.3889</v>
      </c>
      <c r="L244" s="32">
        <v>35.511899999999997</v>
      </c>
      <c r="M244" s="32">
        <v>34.354700000000001</v>
      </c>
      <c r="N244" s="18">
        <v>251.92439999999999</v>
      </c>
      <c r="O244" s="18">
        <f t="shared" si="14"/>
        <v>31.524999999999999</v>
      </c>
      <c r="P244" s="7"/>
      <c r="Q244" s="10"/>
      <c r="R244" s="11"/>
      <c r="S244" s="11"/>
      <c r="T244" s="26"/>
      <c r="U244" s="28">
        <f t="shared" si="15"/>
        <v>0.96294530154277691</v>
      </c>
    </row>
    <row r="245" spans="2:21" x14ac:dyDescent="0.25">
      <c r="B245" s="9"/>
      <c r="C245" s="17">
        <v>606.74</v>
      </c>
      <c r="D245" s="18">
        <v>27.518000000000001</v>
      </c>
      <c r="E245" s="18">
        <v>32.856999999999999</v>
      </c>
      <c r="F245" s="18">
        <v>31.619</v>
      </c>
      <c r="G245" s="18">
        <v>142.44999999999999</v>
      </c>
      <c r="H245" s="18">
        <f t="shared" si="12"/>
        <v>28.698</v>
      </c>
      <c r="I245" s="5"/>
      <c r="J245" s="31">
        <v>602.20510000000002</v>
      </c>
      <c r="K245" s="32">
        <v>28.21</v>
      </c>
      <c r="L245" s="32">
        <v>34.238700000000001</v>
      </c>
      <c r="M245" s="32">
        <v>32.989800000000002</v>
      </c>
      <c r="N245" s="18">
        <v>306.07040000000001</v>
      </c>
      <c r="O245" s="18">
        <f t="shared" si="14"/>
        <v>29.561062499999998</v>
      </c>
      <c r="P245" s="7"/>
      <c r="Q245" s="10"/>
      <c r="R245" s="11"/>
      <c r="S245" s="11"/>
      <c r="T245" s="26"/>
      <c r="U245" s="28">
        <f t="shared" si="15"/>
        <v>1.1486163566163567</v>
      </c>
    </row>
    <row r="246" spans="2:21" ht="16.5" thickBot="1" x14ac:dyDescent="0.3">
      <c r="B246" s="12"/>
      <c r="C246" s="19">
        <v>300.39999999999998</v>
      </c>
      <c r="D246" s="20">
        <v>24.998000000000001</v>
      </c>
      <c r="E246" s="20">
        <v>30.875</v>
      </c>
      <c r="F246" s="20">
        <v>29.581</v>
      </c>
      <c r="G246" s="20">
        <v>162.51</v>
      </c>
      <c r="H246" s="20">
        <f t="shared" si="12"/>
        <v>26.305499999999999</v>
      </c>
      <c r="I246" s="5"/>
      <c r="J246" s="33">
        <v>303.54770000000002</v>
      </c>
      <c r="K246" s="34">
        <v>25.684100000000001</v>
      </c>
      <c r="L246" s="34">
        <v>32.421700000000001</v>
      </c>
      <c r="M246" s="34">
        <v>31.041599999999999</v>
      </c>
      <c r="N246" s="20">
        <v>373.44400000000002</v>
      </c>
      <c r="O246" s="20">
        <f t="shared" si="14"/>
        <v>27.195987499999998</v>
      </c>
      <c r="P246" s="7"/>
      <c r="Q246" s="13"/>
      <c r="R246" s="14"/>
      <c r="S246" s="14"/>
      <c r="T246" s="27"/>
      <c r="U246" s="28">
        <f t="shared" si="15"/>
        <v>1.2979755091994341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-0.31478291702258282</v>
      </c>
      <c r="R247" s="21">
        <f>AVERAGE(R131:R246)</f>
        <v>-0.47432410959268639</v>
      </c>
      <c r="S247" s="21">
        <f>AVERAGE(S131:S246)</f>
        <v>-0.46364420484087376</v>
      </c>
      <c r="T247" s="21">
        <f>AVERAGE(T131:T246)</f>
        <v>-0.34469974202917741</v>
      </c>
      <c r="U247" s="21">
        <f>AVERAGE(U131:U246)</f>
        <v>1.2324017762855319</v>
      </c>
    </row>
  </sheetData>
  <mergeCells count="12">
    <mergeCell ref="B5:B6"/>
    <mergeCell ref="C5:U6"/>
    <mergeCell ref="C7:H7"/>
    <mergeCell ref="J7:O7"/>
    <mergeCell ref="Q7:S7"/>
    <mergeCell ref="U7:U8"/>
    <mergeCell ref="B127:B128"/>
    <mergeCell ref="C127:U128"/>
    <mergeCell ref="C129:H129"/>
    <mergeCell ref="J129:O129"/>
    <mergeCell ref="Q129:S129"/>
    <mergeCell ref="U129:U130"/>
  </mergeCells>
  <phoneticPr fontId="5" type="noConversion"/>
  <conditionalFormatting sqref="Q29:T32 Q37:T44 Q9:T20">
    <cfRule type="cellIs" dxfId="633" priority="453" operator="greaterThan">
      <formula>0.03</formula>
    </cfRule>
    <cfRule type="cellIs" dxfId="632" priority="454" stopIfTrue="1" operator="lessThan">
      <formula>-0.03</formula>
    </cfRule>
  </conditionalFormatting>
  <conditionalFormatting sqref="Q33:T36">
    <cfRule type="cellIs" dxfId="631" priority="451" operator="greaterThan">
      <formula>0.03</formula>
    </cfRule>
    <cfRule type="cellIs" dxfId="630" priority="452" stopIfTrue="1" operator="lessThan">
      <formula>-0.03</formula>
    </cfRule>
  </conditionalFormatting>
  <conditionalFormatting sqref="Q46:T48 Q62:T64">
    <cfRule type="cellIs" dxfId="629" priority="449" operator="greaterThan">
      <formula>0.03</formula>
    </cfRule>
    <cfRule type="cellIs" dxfId="628" priority="450" stopIfTrue="1" operator="lessThan">
      <formula>-0.03</formula>
    </cfRule>
  </conditionalFormatting>
  <conditionalFormatting sqref="Q50:T52 Q54:T56 Q58:T60">
    <cfRule type="cellIs" dxfId="627" priority="447" operator="greaterThan">
      <formula>0.03</formula>
    </cfRule>
    <cfRule type="cellIs" dxfId="626" priority="448" stopIfTrue="1" operator="lessThan">
      <formula>-0.03</formula>
    </cfRule>
  </conditionalFormatting>
  <conditionalFormatting sqref="Q70:T72 Q74:T76">
    <cfRule type="cellIs" dxfId="625" priority="445" operator="greaterThan">
      <formula>0.03</formula>
    </cfRule>
    <cfRule type="cellIs" dxfId="624" priority="446" stopIfTrue="1" operator="lessThan">
      <formula>-0.03</formula>
    </cfRule>
  </conditionalFormatting>
  <conditionalFormatting sqref="Q66:T68">
    <cfRule type="cellIs" dxfId="623" priority="443" operator="greaterThan">
      <formula>0.03</formula>
    </cfRule>
    <cfRule type="cellIs" dxfId="622" priority="444" stopIfTrue="1" operator="lessThan">
      <formula>-0.03</formula>
    </cfRule>
  </conditionalFormatting>
  <conditionalFormatting sqref="Q78:T80">
    <cfRule type="cellIs" dxfId="621" priority="441" operator="greaterThan">
      <formula>0.03</formula>
    </cfRule>
    <cfRule type="cellIs" dxfId="620" priority="442" stopIfTrue="1" operator="lessThan">
      <formula>-0.03</formula>
    </cfRule>
  </conditionalFormatting>
  <conditionalFormatting sqref="Q21:T28">
    <cfRule type="cellIs" dxfId="619" priority="423" operator="greaterThan">
      <formula>0.03</formula>
    </cfRule>
    <cfRule type="cellIs" dxfId="618" priority="424" stopIfTrue="1" operator="lessThan">
      <formula>-0.03</formula>
    </cfRule>
  </conditionalFormatting>
  <conditionalFormatting sqref="Q151:T154 Q159:T166 Q131:T142">
    <cfRule type="cellIs" dxfId="617" priority="419" operator="greaterThan">
      <formula>0.03</formula>
    </cfRule>
    <cfRule type="cellIs" dxfId="616" priority="420" stopIfTrue="1" operator="lessThan">
      <formula>-0.03</formula>
    </cfRule>
  </conditionalFormatting>
  <conditionalFormatting sqref="Q155:T158">
    <cfRule type="cellIs" dxfId="615" priority="417" operator="greaterThan">
      <formula>0.03</formula>
    </cfRule>
    <cfRule type="cellIs" dxfId="614" priority="418" stopIfTrue="1" operator="lessThan">
      <formula>-0.03</formula>
    </cfRule>
  </conditionalFormatting>
  <conditionalFormatting sqref="Q167:T170 Q183:T186">
    <cfRule type="cellIs" dxfId="613" priority="415" operator="greaterThan">
      <formula>0.03</formula>
    </cfRule>
    <cfRule type="cellIs" dxfId="612" priority="416" stopIfTrue="1" operator="lessThan">
      <formula>-0.03</formula>
    </cfRule>
  </conditionalFormatting>
  <conditionalFormatting sqref="Q171:T182">
    <cfRule type="cellIs" dxfId="611" priority="413" operator="greaterThan">
      <formula>0.03</formula>
    </cfRule>
    <cfRule type="cellIs" dxfId="610" priority="414" stopIfTrue="1" operator="lessThan">
      <formula>-0.03</formula>
    </cfRule>
  </conditionalFormatting>
  <conditionalFormatting sqref="Q191:T198">
    <cfRule type="cellIs" dxfId="609" priority="411" operator="greaterThan">
      <formula>0.03</formula>
    </cfRule>
    <cfRule type="cellIs" dxfId="608" priority="412" stopIfTrue="1" operator="lessThan">
      <formula>-0.03</formula>
    </cfRule>
  </conditionalFormatting>
  <conditionalFormatting sqref="Q187:T190">
    <cfRule type="cellIs" dxfId="607" priority="409" operator="greaterThan">
      <formula>0.03</formula>
    </cfRule>
    <cfRule type="cellIs" dxfId="606" priority="410" stopIfTrue="1" operator="lessThan">
      <formula>-0.03</formula>
    </cfRule>
  </conditionalFormatting>
  <conditionalFormatting sqref="Q199:T202">
    <cfRule type="cellIs" dxfId="605" priority="407" operator="greaterThan">
      <formula>0.03</formula>
    </cfRule>
    <cfRule type="cellIs" dxfId="604" priority="408" stopIfTrue="1" operator="lessThan">
      <formula>-0.03</formula>
    </cfRule>
  </conditionalFormatting>
  <conditionalFormatting sqref="Q143:T150">
    <cfRule type="cellIs" dxfId="603" priority="405" operator="greaterThan">
      <formula>0.03</formula>
    </cfRule>
    <cfRule type="cellIs" dxfId="602" priority="406" stopIfTrue="1" operator="lessThan">
      <formula>-0.03</formula>
    </cfRule>
  </conditionalFormatting>
  <conditionalFormatting sqref="Q45:T45">
    <cfRule type="cellIs" dxfId="601" priority="403" operator="greaterThan">
      <formula>0.03</formula>
    </cfRule>
    <cfRule type="cellIs" dxfId="600" priority="404" stopIfTrue="1" operator="lessThan">
      <formula>-0.03</formula>
    </cfRule>
  </conditionalFormatting>
  <conditionalFormatting sqref="Q49:T49">
    <cfRule type="cellIs" dxfId="599" priority="401" operator="greaterThan">
      <formula>0.03</formula>
    </cfRule>
    <cfRule type="cellIs" dxfId="598" priority="402" stopIfTrue="1" operator="lessThan">
      <formula>-0.03</formula>
    </cfRule>
  </conditionalFormatting>
  <conditionalFormatting sqref="Q53:T53">
    <cfRule type="cellIs" dxfId="597" priority="399" operator="greaterThan">
      <formula>0.03</formula>
    </cfRule>
    <cfRule type="cellIs" dxfId="596" priority="400" stopIfTrue="1" operator="lessThan">
      <formula>-0.03</formula>
    </cfRule>
  </conditionalFormatting>
  <conditionalFormatting sqref="Q57:T57">
    <cfRule type="cellIs" dxfId="595" priority="397" operator="greaterThan">
      <formula>0.03</formula>
    </cfRule>
    <cfRule type="cellIs" dxfId="594" priority="398" stopIfTrue="1" operator="lessThan">
      <formula>-0.03</formula>
    </cfRule>
  </conditionalFormatting>
  <conditionalFormatting sqref="Q61:T61">
    <cfRule type="cellIs" dxfId="593" priority="395" operator="greaterThan">
      <formula>0.03</formula>
    </cfRule>
    <cfRule type="cellIs" dxfId="592" priority="396" stopIfTrue="1" operator="lessThan">
      <formula>-0.03</formula>
    </cfRule>
  </conditionalFormatting>
  <conditionalFormatting sqref="Q65:T65">
    <cfRule type="cellIs" dxfId="591" priority="393" operator="greaterThan">
      <formula>0.03</formula>
    </cfRule>
    <cfRule type="cellIs" dxfId="590" priority="394" stopIfTrue="1" operator="lessThan">
      <formula>-0.03</formula>
    </cfRule>
  </conditionalFormatting>
  <conditionalFormatting sqref="Q69:T69">
    <cfRule type="cellIs" dxfId="589" priority="391" operator="greaterThan">
      <formula>0.03</formula>
    </cfRule>
    <cfRule type="cellIs" dxfId="588" priority="392" stopIfTrue="1" operator="lessThan">
      <formula>-0.03</formula>
    </cfRule>
  </conditionalFormatting>
  <conditionalFormatting sqref="Q73:T73">
    <cfRule type="cellIs" dxfId="587" priority="389" operator="greaterThan">
      <formula>0.03</formula>
    </cfRule>
    <cfRule type="cellIs" dxfId="586" priority="390" stopIfTrue="1" operator="lessThan">
      <formula>-0.03</formula>
    </cfRule>
  </conditionalFormatting>
  <conditionalFormatting sqref="Q77:T77">
    <cfRule type="cellIs" dxfId="585" priority="387" operator="greaterThan">
      <formula>0.03</formula>
    </cfRule>
    <cfRule type="cellIs" dxfId="584" priority="388" stopIfTrue="1" operator="lessThan">
      <formula>-0.03</formula>
    </cfRule>
  </conditionalFormatting>
  <conditionalFormatting sqref="Q117:T117">
    <cfRule type="cellIs" dxfId="583" priority="99" operator="greaterThan">
      <formula>0.03</formula>
    </cfRule>
    <cfRule type="cellIs" dxfId="582" priority="100" stopIfTrue="1" operator="lessThan">
      <formula>-0.03</formula>
    </cfRule>
  </conditionalFormatting>
  <conditionalFormatting sqref="Q93:T96 Q101:T108 Q81:T84">
    <cfRule type="cellIs" dxfId="581" priority="113" operator="greaterThan">
      <formula>0.03</formula>
    </cfRule>
    <cfRule type="cellIs" dxfId="580" priority="114" stopIfTrue="1" operator="lessThan">
      <formula>-0.03</formula>
    </cfRule>
  </conditionalFormatting>
  <conditionalFormatting sqref="Q97:T100">
    <cfRule type="cellIs" dxfId="579" priority="111" operator="greaterThan">
      <formula>0.03</formula>
    </cfRule>
    <cfRule type="cellIs" dxfId="578" priority="112" stopIfTrue="1" operator="lessThan">
      <formula>-0.03</formula>
    </cfRule>
  </conditionalFormatting>
  <conditionalFormatting sqref="Q110:T112 Q122:T124">
    <cfRule type="cellIs" dxfId="577" priority="109" operator="greaterThan">
      <formula>0.03</formula>
    </cfRule>
    <cfRule type="cellIs" dxfId="576" priority="110" stopIfTrue="1" operator="lessThan">
      <formula>-0.03</formula>
    </cfRule>
  </conditionalFormatting>
  <conditionalFormatting sqref="Q114:T116 Q118:T120">
    <cfRule type="cellIs" dxfId="575" priority="107" operator="greaterThan">
      <formula>0.03</formula>
    </cfRule>
    <cfRule type="cellIs" dxfId="574" priority="108" stopIfTrue="1" operator="lessThan">
      <formula>-0.03</formula>
    </cfRule>
  </conditionalFormatting>
  <conditionalFormatting sqref="Q85:T92">
    <cfRule type="cellIs" dxfId="573" priority="105" operator="greaterThan">
      <formula>0.03</formula>
    </cfRule>
    <cfRule type="cellIs" dxfId="572" priority="106" stopIfTrue="1" operator="lessThan">
      <formula>-0.03</formula>
    </cfRule>
  </conditionalFormatting>
  <conditionalFormatting sqref="Q109:T109">
    <cfRule type="cellIs" dxfId="571" priority="103" operator="greaterThan">
      <formula>0.03</formula>
    </cfRule>
    <cfRule type="cellIs" dxfId="570" priority="104" stopIfTrue="1" operator="lessThan">
      <formula>-0.03</formula>
    </cfRule>
  </conditionalFormatting>
  <conditionalFormatting sqref="Q113:T113">
    <cfRule type="cellIs" dxfId="569" priority="101" operator="greaterThan">
      <formula>0.03</formula>
    </cfRule>
    <cfRule type="cellIs" dxfId="568" priority="102" stopIfTrue="1" operator="lessThan">
      <formula>-0.03</formula>
    </cfRule>
  </conditionalFormatting>
  <conditionalFormatting sqref="Q121:T121">
    <cfRule type="cellIs" dxfId="567" priority="97" operator="greaterThan">
      <formula>0.03</formula>
    </cfRule>
    <cfRule type="cellIs" dxfId="566" priority="98" stopIfTrue="1" operator="lessThan">
      <formula>-0.03</formula>
    </cfRule>
  </conditionalFormatting>
  <conditionalFormatting sqref="Q239:T239">
    <cfRule type="cellIs" dxfId="565" priority="33" operator="greaterThan">
      <formula>0.03</formula>
    </cfRule>
    <cfRule type="cellIs" dxfId="564" priority="34" stopIfTrue="1" operator="lessThan">
      <formula>-0.03</formula>
    </cfRule>
  </conditionalFormatting>
  <conditionalFormatting sqref="Q215:T218 Q223:T230 Q203:T206">
    <cfRule type="cellIs" dxfId="563" priority="47" operator="greaterThan">
      <formula>0.03</formula>
    </cfRule>
    <cfRule type="cellIs" dxfId="562" priority="48" stopIfTrue="1" operator="lessThan">
      <formula>-0.03</formula>
    </cfRule>
  </conditionalFormatting>
  <conditionalFormatting sqref="Q219:T222">
    <cfRule type="cellIs" dxfId="561" priority="45" operator="greaterThan">
      <formula>0.03</formula>
    </cfRule>
    <cfRule type="cellIs" dxfId="560" priority="46" stopIfTrue="1" operator="lessThan">
      <formula>-0.03</formula>
    </cfRule>
  </conditionalFormatting>
  <conditionalFormatting sqref="Q232:T234 Q244:T246">
    <cfRule type="cellIs" dxfId="559" priority="43" operator="greaterThan">
      <formula>0.03</formula>
    </cfRule>
    <cfRule type="cellIs" dxfId="558" priority="44" stopIfTrue="1" operator="lessThan">
      <formula>-0.03</formula>
    </cfRule>
  </conditionalFormatting>
  <conditionalFormatting sqref="Q236:T238 Q240:T242">
    <cfRule type="cellIs" dxfId="557" priority="41" operator="greaterThan">
      <formula>0.03</formula>
    </cfRule>
    <cfRule type="cellIs" dxfId="556" priority="42" stopIfTrue="1" operator="lessThan">
      <formula>-0.03</formula>
    </cfRule>
  </conditionalFormatting>
  <conditionalFormatting sqref="Q207:T214">
    <cfRule type="cellIs" dxfId="555" priority="39" operator="greaterThan">
      <formula>0.03</formula>
    </cfRule>
    <cfRule type="cellIs" dxfId="554" priority="40" stopIfTrue="1" operator="lessThan">
      <formula>-0.03</formula>
    </cfRule>
  </conditionalFormatting>
  <conditionalFormatting sqref="Q231:T231">
    <cfRule type="cellIs" dxfId="553" priority="37" operator="greaterThan">
      <formula>0.03</formula>
    </cfRule>
    <cfRule type="cellIs" dxfId="552" priority="38" stopIfTrue="1" operator="lessThan">
      <formula>-0.03</formula>
    </cfRule>
  </conditionalFormatting>
  <conditionalFormatting sqref="Q235:T235">
    <cfRule type="cellIs" dxfId="551" priority="35" operator="greaterThan">
      <formula>0.03</formula>
    </cfRule>
    <cfRule type="cellIs" dxfId="550" priority="36" stopIfTrue="1" operator="lessThan">
      <formula>-0.03</formula>
    </cfRule>
  </conditionalFormatting>
  <conditionalFormatting sqref="Q243:T243">
    <cfRule type="cellIs" dxfId="549" priority="31" operator="greaterThan">
      <formula>0.03</formula>
    </cfRule>
    <cfRule type="cellIs" dxfId="548" priority="32" stopIfTrue="1" operator="lessThan">
      <formula>-0.03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209</v>
      </c>
    </row>
    <row r="2" spans="1:21" x14ac:dyDescent="0.25">
      <c r="A2" t="s">
        <v>89</v>
      </c>
    </row>
    <row r="3" spans="1:21" x14ac:dyDescent="0.25">
      <c r="A3" t="s">
        <v>88</v>
      </c>
    </row>
    <row r="4" spans="1:21" x14ac:dyDescent="0.25">
      <c r="A4" t="s">
        <v>81</v>
      </c>
    </row>
    <row r="5" spans="1:21" s="35" customFormat="1" ht="15.75" customHeight="1" x14ac:dyDescent="0.25">
      <c r="B5" s="61" t="s">
        <v>29</v>
      </c>
      <c r="C5" s="63" t="s">
        <v>199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210</v>
      </c>
      <c r="D7" s="70"/>
      <c r="E7" s="70"/>
      <c r="F7" s="70"/>
      <c r="G7" s="70"/>
      <c r="H7" s="70"/>
      <c r="I7" s="5"/>
      <c r="J7" s="69" t="s">
        <v>181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3700.57</v>
      </c>
      <c r="D9" s="16">
        <v>37.47</v>
      </c>
      <c r="E9" s="16">
        <v>38.893000000000001</v>
      </c>
      <c r="F9" s="16">
        <v>41.218000000000004</v>
      </c>
      <c r="G9" s="16">
        <v>4.43</v>
      </c>
      <c r="H9" s="16">
        <f t="shared" ref="H9:H80" si="0">(6*D9+E9+F9)/8</f>
        <v>38.116374999999998</v>
      </c>
      <c r="I9" s="5"/>
      <c r="J9" s="15">
        <v>4100.3119999999999</v>
      </c>
      <c r="K9" s="16">
        <v>38.471699999999998</v>
      </c>
      <c r="L9" s="16">
        <v>40.2333</v>
      </c>
      <c r="M9" s="16">
        <v>42.970199999999998</v>
      </c>
      <c r="N9" s="16">
        <v>4.9743000000000004</v>
      </c>
      <c r="O9" s="16">
        <f t="shared" ref="O9:O80" si="1">(6*K9+L9+M9)/8</f>
        <v>39.254212499999994</v>
      </c>
      <c r="P9" s="7"/>
      <c r="Q9" s="8">
        <f>bdrate(C9:C12,D9:D12,J9:J12,K9:K12)</f>
        <v>-0.16791633036440279</v>
      </c>
      <c r="R9" s="8">
        <f>bdrate(C9:C12,E9:E12,J9:J12,L9:L12)</f>
        <v>-0.51799332525202446</v>
      </c>
      <c r="S9" s="8">
        <f>bdrate(C9:C12,F9:F12,J9:J12,M9:M12)</f>
        <v>-0.51330982940504111</v>
      </c>
      <c r="T9" s="25">
        <f>bdrate(C9:C12,H9:H12,J9:J12,O9:O12)</f>
        <v>-0.22862074238044705</v>
      </c>
      <c r="U9" s="28">
        <f t="shared" ref="U9:U72" si="2">(N9-G9)/G9</f>
        <v>0.12286681715575637</v>
      </c>
    </row>
    <row r="10" spans="1:21" x14ac:dyDescent="0.25">
      <c r="A10" s="9" t="s">
        <v>36</v>
      </c>
      <c r="B10" s="9"/>
      <c r="C10" s="17">
        <v>2744.44</v>
      </c>
      <c r="D10" s="18">
        <v>36.564</v>
      </c>
      <c r="E10" s="18">
        <v>38.353999999999999</v>
      </c>
      <c r="F10" s="18">
        <v>40.677</v>
      </c>
      <c r="G10" s="18">
        <v>4.5199999999999996</v>
      </c>
      <c r="H10" s="18">
        <f t="shared" si="0"/>
        <v>37.301875000000003</v>
      </c>
      <c r="I10" s="5"/>
      <c r="J10" s="17">
        <v>3036.8672000000001</v>
      </c>
      <c r="K10" s="18">
        <v>37.577500000000001</v>
      </c>
      <c r="L10" s="18">
        <v>39.764000000000003</v>
      </c>
      <c r="M10" s="18">
        <v>42.336100000000002</v>
      </c>
      <c r="N10" s="18">
        <v>5.9465000000000003</v>
      </c>
      <c r="O10" s="18">
        <f t="shared" si="1"/>
        <v>38.445637499999997</v>
      </c>
      <c r="P10" s="7"/>
      <c r="Q10" s="10"/>
      <c r="R10" s="11"/>
      <c r="S10" s="11"/>
      <c r="T10" s="26"/>
      <c r="U10" s="28">
        <f t="shared" si="2"/>
        <v>0.31559734513274357</v>
      </c>
    </row>
    <row r="11" spans="1:21" x14ac:dyDescent="0.25">
      <c r="B11" s="9"/>
      <c r="C11" s="17">
        <v>1799.48</v>
      </c>
      <c r="D11" s="18">
        <v>35.295000000000002</v>
      </c>
      <c r="E11" s="18">
        <v>37.731999999999999</v>
      </c>
      <c r="F11" s="18">
        <v>40.052999999999997</v>
      </c>
      <c r="G11" s="18">
        <v>5.41</v>
      </c>
      <c r="H11" s="18">
        <f t="shared" si="0"/>
        <v>36.194375000000001</v>
      </c>
      <c r="I11" s="5"/>
      <c r="J11" s="17">
        <v>1984.7344000000001</v>
      </c>
      <c r="K11" s="18">
        <v>36.214599999999997</v>
      </c>
      <c r="L11" s="18">
        <v>39.093499999999999</v>
      </c>
      <c r="M11" s="18">
        <v>41.514600000000002</v>
      </c>
      <c r="N11" s="18">
        <v>7.1863000000000001</v>
      </c>
      <c r="O11" s="18">
        <f t="shared" si="1"/>
        <v>37.236962500000004</v>
      </c>
      <c r="P11" s="7"/>
      <c r="Q11" s="10"/>
      <c r="R11" s="11"/>
      <c r="S11" s="11"/>
      <c r="T11" s="26"/>
      <c r="U11" s="28">
        <f t="shared" si="2"/>
        <v>0.32833641404805913</v>
      </c>
    </row>
    <row r="12" spans="1:21" ht="16.5" thickBot="1" x14ac:dyDescent="0.3">
      <c r="B12" s="12"/>
      <c r="C12" s="19">
        <v>868.54</v>
      </c>
      <c r="D12" s="20">
        <v>32.68</v>
      </c>
      <c r="E12" s="20">
        <v>37.024999999999999</v>
      </c>
      <c r="F12" s="20">
        <v>39.255000000000003</v>
      </c>
      <c r="G12" s="20">
        <v>6.37</v>
      </c>
      <c r="H12" s="20">
        <f t="shared" si="0"/>
        <v>34.045000000000002</v>
      </c>
      <c r="I12" s="5"/>
      <c r="J12" s="19">
        <v>945.7808</v>
      </c>
      <c r="K12" s="20">
        <v>33.5595</v>
      </c>
      <c r="L12" s="20">
        <v>37.7408</v>
      </c>
      <c r="M12" s="20">
        <v>40.007399999999997</v>
      </c>
      <c r="N12" s="20">
        <v>9.4733000000000001</v>
      </c>
      <c r="O12" s="20">
        <f t="shared" si="1"/>
        <v>34.888150000000003</v>
      </c>
      <c r="P12" s="7"/>
      <c r="Q12" s="13"/>
      <c r="R12" s="14"/>
      <c r="S12" s="14"/>
      <c r="T12" s="27"/>
      <c r="U12" s="28">
        <f t="shared" si="2"/>
        <v>0.48717425431711142</v>
      </c>
    </row>
    <row r="13" spans="1:21" x14ac:dyDescent="0.25">
      <c r="B13" s="6" t="s">
        <v>47</v>
      </c>
      <c r="C13" s="15">
        <v>4101.5600000000004</v>
      </c>
      <c r="D13" s="16">
        <v>29.827000000000002</v>
      </c>
      <c r="E13" s="16">
        <v>38.454000000000001</v>
      </c>
      <c r="F13" s="16">
        <v>39.463999999999999</v>
      </c>
      <c r="G13" s="16">
        <v>2.87</v>
      </c>
      <c r="H13" s="16">
        <f t="shared" si="0"/>
        <v>32.11</v>
      </c>
      <c r="I13" s="5"/>
      <c r="J13" s="15">
        <v>4163.3216000000002</v>
      </c>
      <c r="K13" s="16">
        <v>30.064900000000002</v>
      </c>
      <c r="L13" s="16">
        <v>40.859099999999998</v>
      </c>
      <c r="M13" s="16">
        <v>41.659399999999998</v>
      </c>
      <c r="N13" s="16">
        <v>3.4563000000000001</v>
      </c>
      <c r="O13" s="16">
        <f t="shared" si="1"/>
        <v>32.863487500000005</v>
      </c>
      <c r="P13" s="7"/>
      <c r="Q13" s="8">
        <f>bdrate(C13:C16,D13:D16,J13:J16,K13:K16)</f>
        <v>-9.317541232222315E-2</v>
      </c>
      <c r="R13" s="8">
        <f>bdrate(C13:C16,E13:E16,J13:J16,L13:L16)</f>
        <v>-0.65856620230667429</v>
      </c>
      <c r="S13" s="8">
        <f>bdrate(C13:C16,F13:F16,J13:J16,M13:M16)</f>
        <v>0</v>
      </c>
      <c r="T13" s="25">
        <f>bdrate(C13:C16,H13:H16,J13:J16,O13:O16)</f>
        <v>-0.21021798867190855</v>
      </c>
      <c r="U13" s="28">
        <f t="shared" si="2"/>
        <v>0.20428571428571429</v>
      </c>
    </row>
    <row r="14" spans="1:21" x14ac:dyDescent="0.25">
      <c r="B14" s="9"/>
      <c r="C14" s="17">
        <v>3059.08</v>
      </c>
      <c r="D14" s="18">
        <v>28.43</v>
      </c>
      <c r="E14" s="18">
        <v>37.853000000000002</v>
      </c>
      <c r="F14" s="18">
        <v>38.933</v>
      </c>
      <c r="G14" s="18">
        <v>3.2</v>
      </c>
      <c r="H14" s="18">
        <f t="shared" si="0"/>
        <v>30.920749999999998</v>
      </c>
      <c r="I14" s="5"/>
      <c r="J14" s="17">
        <v>3126.7152000000001</v>
      </c>
      <c r="K14" s="18">
        <v>28.815000000000001</v>
      </c>
      <c r="L14" s="18">
        <v>40.359499999999997</v>
      </c>
      <c r="M14" s="18">
        <v>41.24</v>
      </c>
      <c r="N14" s="18">
        <v>3.9584999999999999</v>
      </c>
      <c r="O14" s="18">
        <f t="shared" si="1"/>
        <v>31.811187500000003</v>
      </c>
      <c r="P14" s="7"/>
      <c r="Q14" s="10"/>
      <c r="R14" s="11"/>
      <c r="S14" s="11"/>
      <c r="T14" s="26"/>
      <c r="U14" s="28">
        <f t="shared" si="2"/>
        <v>0.23703124999999992</v>
      </c>
    </row>
    <row r="15" spans="1:21" x14ac:dyDescent="0.25">
      <c r="B15" s="9"/>
      <c r="C15" s="17">
        <v>2056.6</v>
      </c>
      <c r="D15" s="18">
        <v>26.492000000000001</v>
      </c>
      <c r="E15" s="18">
        <v>36.777000000000001</v>
      </c>
      <c r="F15" s="18">
        <v>37.956000000000003</v>
      </c>
      <c r="G15" s="18">
        <v>3.95</v>
      </c>
      <c r="H15" s="18">
        <f t="shared" si="0"/>
        <v>29.210625</v>
      </c>
      <c r="I15" s="5"/>
      <c r="J15" s="17">
        <v>2117.3344000000002</v>
      </c>
      <c r="K15" s="18">
        <v>27.0991</v>
      </c>
      <c r="L15" s="18">
        <v>39.610700000000001</v>
      </c>
      <c r="M15" s="18">
        <v>40.609499999999997</v>
      </c>
      <c r="N15" s="18">
        <v>4.6071999999999997</v>
      </c>
      <c r="O15" s="18">
        <f t="shared" si="1"/>
        <v>30.351850000000002</v>
      </c>
      <c r="P15" s="7"/>
      <c r="Q15" s="10"/>
      <c r="R15" s="11"/>
      <c r="S15" s="11"/>
      <c r="T15" s="26"/>
      <c r="U15" s="28">
        <f t="shared" si="2"/>
        <v>0.16637974683544293</v>
      </c>
    </row>
    <row r="16" spans="1:21" ht="16.5" thickBot="1" x14ac:dyDescent="0.3">
      <c r="B16" s="12"/>
      <c r="C16" s="19">
        <v>1747.16</v>
      </c>
      <c r="D16" s="20">
        <v>24.190999999999999</v>
      </c>
      <c r="E16" s="20">
        <v>35.363999999999997</v>
      </c>
      <c r="F16" s="20">
        <v>36.872999999999998</v>
      </c>
      <c r="G16" s="20">
        <v>5.21</v>
      </c>
      <c r="H16" s="20">
        <f t="shared" si="0"/>
        <v>27.172874999999998</v>
      </c>
      <c r="I16" s="5"/>
      <c r="J16" s="19">
        <v>1357.9503999999999</v>
      </c>
      <c r="K16" s="20">
        <v>25.613299999999999</v>
      </c>
      <c r="L16" s="20">
        <v>38.376399999999997</v>
      </c>
      <c r="M16" s="20">
        <v>39.504600000000003</v>
      </c>
      <c r="N16" s="20">
        <v>5.1256000000000004</v>
      </c>
      <c r="O16" s="20">
        <f t="shared" si="1"/>
        <v>28.9451</v>
      </c>
      <c r="P16" s="7"/>
      <c r="Q16" s="13"/>
      <c r="R16" s="14"/>
      <c r="S16" s="14"/>
      <c r="T16" s="27"/>
      <c r="U16" s="28">
        <f t="shared" si="2"/>
        <v>-1.6199616122840613E-2</v>
      </c>
    </row>
    <row r="17" spans="1:21" x14ac:dyDescent="0.25">
      <c r="A17" s="6" t="s">
        <v>37</v>
      </c>
      <c r="B17" s="6" t="s">
        <v>48</v>
      </c>
      <c r="C17" s="15">
        <v>2021.77</v>
      </c>
      <c r="D17" s="16">
        <v>38.99</v>
      </c>
      <c r="E17" s="16">
        <v>41.494999999999997</v>
      </c>
      <c r="F17" s="16">
        <v>42.756</v>
      </c>
      <c r="G17" s="16">
        <v>6.13</v>
      </c>
      <c r="H17" s="16">
        <f t="shared" si="0"/>
        <v>39.773875000000004</v>
      </c>
      <c r="I17" s="5"/>
      <c r="J17" s="15">
        <v>2378.8263999999999</v>
      </c>
      <c r="K17" s="16">
        <v>39.520099999999999</v>
      </c>
      <c r="L17" s="16">
        <v>42.451500000000003</v>
      </c>
      <c r="M17" s="16">
        <v>44.109400000000001</v>
      </c>
      <c r="N17" s="16">
        <v>8.1658000000000008</v>
      </c>
      <c r="O17" s="16">
        <f t="shared" si="1"/>
        <v>40.460187499999996</v>
      </c>
      <c r="P17" s="7"/>
      <c r="Q17" s="8">
        <f>bdrate(C17:C20,D17:D20,J17:J20,K17:K20)</f>
        <v>-5.094766398070838E-2</v>
      </c>
      <c r="R17" s="8">
        <f>bdrate(C17:C20,E17:E20,J17:J20,L17:L20)</f>
        <v>-0.45204946662412138</v>
      </c>
      <c r="S17" s="8">
        <f>bdrate(C17:C20,F17:F20,J17:J20,M17:M20)</f>
        <v>-0.47082480023748841</v>
      </c>
      <c r="T17" s="25">
        <f>bdrate(C17:C20,H17:H20,J17:J20,O17:O20)</f>
        <v>-0.12763765824858575</v>
      </c>
      <c r="U17" s="28">
        <f t="shared" si="2"/>
        <v>0.33210440456770002</v>
      </c>
    </row>
    <row r="18" spans="1:21" x14ac:dyDescent="0.25">
      <c r="A18" s="9" t="s">
        <v>38</v>
      </c>
      <c r="B18" s="9"/>
      <c r="C18" s="17">
        <v>1330.48</v>
      </c>
      <c r="D18" s="18">
        <v>37.707999999999998</v>
      </c>
      <c r="E18" s="18">
        <v>40.673999999999999</v>
      </c>
      <c r="F18" s="18">
        <v>41.884999999999998</v>
      </c>
      <c r="G18" s="18">
        <v>6.48</v>
      </c>
      <c r="H18" s="18">
        <f t="shared" si="0"/>
        <v>38.600874999999995</v>
      </c>
      <c r="I18" s="5"/>
      <c r="J18" s="17">
        <v>1572.8471999999999</v>
      </c>
      <c r="K18" s="18">
        <v>38.351700000000001</v>
      </c>
      <c r="L18" s="18">
        <v>41.866999999999997</v>
      </c>
      <c r="M18" s="18">
        <v>43.34</v>
      </c>
      <c r="N18" s="18">
        <v>10.3462</v>
      </c>
      <c r="O18" s="18">
        <f t="shared" si="1"/>
        <v>39.414650000000009</v>
      </c>
      <c r="P18" s="7"/>
      <c r="Q18" s="10"/>
      <c r="R18" s="11"/>
      <c r="S18" s="11"/>
      <c r="T18" s="26"/>
      <c r="U18" s="28">
        <f t="shared" si="2"/>
        <v>0.59663580246913561</v>
      </c>
    </row>
    <row r="19" spans="1:21" x14ac:dyDescent="0.25">
      <c r="B19" s="9"/>
      <c r="C19" s="17">
        <v>821.61</v>
      </c>
      <c r="D19" s="18">
        <v>36.081000000000003</v>
      </c>
      <c r="E19" s="18">
        <v>39.814</v>
      </c>
      <c r="F19" s="18">
        <v>41.107999999999997</v>
      </c>
      <c r="G19" s="18">
        <v>7.33</v>
      </c>
      <c r="H19" s="18">
        <f t="shared" si="0"/>
        <v>37.176000000000002</v>
      </c>
      <c r="I19" s="5"/>
      <c r="J19" s="17">
        <v>971.78639999999996</v>
      </c>
      <c r="K19" s="18">
        <v>36.840699999999998</v>
      </c>
      <c r="L19" s="18">
        <v>41.149000000000001</v>
      </c>
      <c r="M19" s="18">
        <v>42.446899999999999</v>
      </c>
      <c r="N19" s="18">
        <v>12.8096</v>
      </c>
      <c r="O19" s="18">
        <f t="shared" si="1"/>
        <v>38.080012499999995</v>
      </c>
      <c r="P19" s="7"/>
      <c r="Q19" s="10"/>
      <c r="R19" s="11"/>
      <c r="S19" s="11"/>
      <c r="T19" s="26"/>
      <c r="U19" s="28">
        <f t="shared" si="2"/>
        <v>0.74755798090040926</v>
      </c>
    </row>
    <row r="20" spans="1:21" ht="16.5" thickBot="1" x14ac:dyDescent="0.3">
      <c r="B20" s="12"/>
      <c r="C20" s="19">
        <v>489.01</v>
      </c>
      <c r="D20" s="20">
        <v>34.246000000000002</v>
      </c>
      <c r="E20" s="20">
        <v>39.014000000000003</v>
      </c>
      <c r="F20" s="20">
        <v>40.415999999999997</v>
      </c>
      <c r="G20" s="20">
        <v>8.9700000000000006</v>
      </c>
      <c r="H20" s="20">
        <f t="shared" si="0"/>
        <v>35.613250000000001</v>
      </c>
      <c r="I20" s="5"/>
      <c r="J20" s="19">
        <v>566.28800000000001</v>
      </c>
      <c r="K20" s="20">
        <v>35.0398</v>
      </c>
      <c r="L20" s="20">
        <v>40.410400000000003</v>
      </c>
      <c r="M20" s="20">
        <v>41.656300000000002</v>
      </c>
      <c r="N20" s="20">
        <v>16.058900000000001</v>
      </c>
      <c r="O20" s="20">
        <f t="shared" si="1"/>
        <v>36.538187499999999</v>
      </c>
      <c r="P20" s="7"/>
      <c r="Q20" s="13"/>
      <c r="R20" s="14"/>
      <c r="S20" s="14"/>
      <c r="T20" s="27"/>
      <c r="U20" s="28">
        <f t="shared" si="2"/>
        <v>0.79028985507246374</v>
      </c>
    </row>
    <row r="21" spans="1:21" x14ac:dyDescent="0.25">
      <c r="B21" s="6" t="s">
        <v>49</v>
      </c>
      <c r="C21" s="15">
        <v>2269.63</v>
      </c>
      <c r="D21" s="16">
        <v>35.944000000000003</v>
      </c>
      <c r="E21" s="16">
        <v>39.279000000000003</v>
      </c>
      <c r="F21" s="16">
        <v>40.341000000000001</v>
      </c>
      <c r="G21" s="16">
        <v>7.64</v>
      </c>
      <c r="H21" s="16">
        <f t="shared" si="0"/>
        <v>36.910499999999999</v>
      </c>
      <c r="I21" s="5"/>
      <c r="J21" s="15">
        <v>2535.2575999999999</v>
      </c>
      <c r="K21" s="16">
        <v>36.6265</v>
      </c>
      <c r="L21" s="16">
        <v>40.8446</v>
      </c>
      <c r="M21" s="16">
        <v>42.163200000000003</v>
      </c>
      <c r="N21" s="16">
        <v>7.6847000000000003</v>
      </c>
      <c r="O21" s="16">
        <f t="shared" si="1"/>
        <v>37.845850000000006</v>
      </c>
      <c r="P21" s="7"/>
      <c r="Q21" s="8">
        <f>bdrate(C21:C24,D21:D24,J21:J24,K21:K24)</f>
        <v>-0.1179071538966675</v>
      </c>
      <c r="R21" s="8">
        <f>bdrate(C21:C24,E21:E24,J21:J24,L21:L24)</f>
        <v>-0.52717980905114292</v>
      </c>
      <c r="S21" s="8">
        <f>bdrate(C21:C24,F21:F24,J21:J24,M21:M24)</f>
        <v>-0.55389073588254423</v>
      </c>
      <c r="T21" s="25">
        <f>bdrate(C21:C24,H21:H24,J21:J24,O21:O24)</f>
        <v>-0.20676572655645797</v>
      </c>
      <c r="U21" s="28">
        <f t="shared" si="2"/>
        <v>5.8507853403142185E-3</v>
      </c>
    </row>
    <row r="22" spans="1:21" x14ac:dyDescent="0.25">
      <c r="B22" s="9"/>
      <c r="C22" s="17">
        <v>1508.93</v>
      </c>
      <c r="D22" s="18">
        <v>34.686999999999998</v>
      </c>
      <c r="E22" s="18">
        <v>38.380000000000003</v>
      </c>
      <c r="F22" s="18">
        <v>39.612000000000002</v>
      </c>
      <c r="G22" s="18">
        <v>7.81</v>
      </c>
      <c r="H22" s="18">
        <f t="shared" si="0"/>
        <v>35.764249999999997</v>
      </c>
      <c r="I22" s="5"/>
      <c r="J22" s="17">
        <v>1657.748</v>
      </c>
      <c r="K22" s="18">
        <v>35.369300000000003</v>
      </c>
      <c r="L22" s="18">
        <v>40.015000000000001</v>
      </c>
      <c r="M22" s="18">
        <v>41.231499999999997</v>
      </c>
      <c r="N22" s="18">
        <v>9.67</v>
      </c>
      <c r="O22" s="18">
        <f t="shared" si="1"/>
        <v>36.682787499999996</v>
      </c>
      <c r="P22" s="7"/>
      <c r="Q22" s="10"/>
      <c r="R22" s="11"/>
      <c r="S22" s="11"/>
      <c r="T22" s="26"/>
      <c r="U22" s="28">
        <f t="shared" si="2"/>
        <v>0.23815620998719594</v>
      </c>
    </row>
    <row r="23" spans="1:21" x14ac:dyDescent="0.25">
      <c r="B23" s="9"/>
      <c r="C23" s="17">
        <v>934.69</v>
      </c>
      <c r="D23" s="18">
        <v>33.234999999999999</v>
      </c>
      <c r="E23" s="18">
        <v>37.445999999999998</v>
      </c>
      <c r="F23" s="18">
        <v>38.975000000000001</v>
      </c>
      <c r="G23" s="18">
        <v>9.24</v>
      </c>
      <c r="H23" s="18">
        <f t="shared" si="0"/>
        <v>34.478875000000002</v>
      </c>
      <c r="I23" s="5"/>
      <c r="J23" s="17">
        <v>1027.4680000000001</v>
      </c>
      <c r="K23" s="18">
        <v>33.905000000000001</v>
      </c>
      <c r="L23" s="18">
        <v>39.115000000000002</v>
      </c>
      <c r="M23" s="18">
        <v>40.336799999999997</v>
      </c>
      <c r="N23" s="18">
        <v>11.898899999999999</v>
      </c>
      <c r="O23" s="18">
        <f t="shared" si="1"/>
        <v>35.360225</v>
      </c>
      <c r="P23" s="7"/>
      <c r="Q23" s="10"/>
      <c r="R23" s="11"/>
      <c r="S23" s="11"/>
      <c r="T23" s="26"/>
      <c r="U23" s="28">
        <f t="shared" si="2"/>
        <v>0.28775974025974016</v>
      </c>
    </row>
    <row r="24" spans="1:21" ht="16.5" thickBot="1" x14ac:dyDescent="0.3">
      <c r="B24" s="12"/>
      <c r="C24" s="19">
        <v>553.28</v>
      </c>
      <c r="D24" s="20">
        <v>31.635000000000002</v>
      </c>
      <c r="E24" s="20">
        <v>36.622999999999998</v>
      </c>
      <c r="F24" s="20">
        <v>38.453000000000003</v>
      </c>
      <c r="G24" s="20">
        <v>10.09</v>
      </c>
      <c r="H24" s="20">
        <f t="shared" si="0"/>
        <v>33.110749999999996</v>
      </c>
      <c r="I24" s="5"/>
      <c r="J24" s="19">
        <v>617.54960000000005</v>
      </c>
      <c r="K24" s="20">
        <v>32.330300000000001</v>
      </c>
      <c r="L24" s="20">
        <v>38.141399999999997</v>
      </c>
      <c r="M24" s="20">
        <v>39.472799999999999</v>
      </c>
      <c r="N24" s="20">
        <v>14.4735</v>
      </c>
      <c r="O24" s="20">
        <f t="shared" si="1"/>
        <v>33.9495</v>
      </c>
      <c r="P24" s="7"/>
      <c r="Q24" s="13"/>
      <c r="R24" s="14"/>
      <c r="S24" s="14"/>
      <c r="T24" s="27"/>
      <c r="U24" s="28">
        <f t="shared" si="2"/>
        <v>0.4344400396432111</v>
      </c>
    </row>
    <row r="25" spans="1:21" x14ac:dyDescent="0.25">
      <c r="B25" s="6" t="s">
        <v>50</v>
      </c>
      <c r="C25" s="15">
        <v>2365.88</v>
      </c>
      <c r="D25" s="16">
        <v>34.026000000000003</v>
      </c>
      <c r="E25" s="16">
        <v>37.729999999999997</v>
      </c>
      <c r="F25" s="16">
        <v>39.343000000000004</v>
      </c>
      <c r="G25" s="16">
        <v>9.94</v>
      </c>
      <c r="H25" s="16">
        <f t="shared" si="0"/>
        <v>35.153624999999998</v>
      </c>
      <c r="I25" s="5"/>
      <c r="J25" s="15">
        <v>2412.8103999999998</v>
      </c>
      <c r="K25" s="16">
        <v>34.936700000000002</v>
      </c>
      <c r="L25" s="16">
        <v>38.764699999999998</v>
      </c>
      <c r="M25" s="16">
        <v>41.2545</v>
      </c>
      <c r="N25" s="16">
        <v>11.022</v>
      </c>
      <c r="O25" s="16">
        <f t="shared" si="1"/>
        <v>36.204925000000003</v>
      </c>
      <c r="P25" s="7"/>
      <c r="Q25" s="8">
        <f>bdrate(C25:C28,D25:D28,J25:J28,K25:K28)</f>
        <v>-0.21613373298602301</v>
      </c>
      <c r="R25" s="8">
        <f>bdrate(C25:C28,E25:E28,J25:J28,L25:L28)</f>
        <v>-0.60562903469516183</v>
      </c>
      <c r="S25" s="8">
        <f>bdrate(C25:C28,F25:F28,J25:J28,M25:M28)</f>
        <v>-0.60696172293773598</v>
      </c>
      <c r="T25" s="25">
        <f>bdrate(C25:C28,H25:H28,J25:J28,O25:O28)</f>
        <v>-0.28955432140306425</v>
      </c>
      <c r="U25" s="28">
        <f t="shared" si="2"/>
        <v>0.10885311871227372</v>
      </c>
    </row>
    <row r="26" spans="1:21" x14ac:dyDescent="0.25">
      <c r="B26" s="9"/>
      <c r="C26" s="17">
        <v>1567.78</v>
      </c>
      <c r="D26" s="18">
        <v>32.926000000000002</v>
      </c>
      <c r="E26" s="18">
        <v>37.268999999999998</v>
      </c>
      <c r="F26" s="18">
        <v>38.58</v>
      </c>
      <c r="G26" s="18">
        <v>9.98</v>
      </c>
      <c r="H26" s="18">
        <f t="shared" si="0"/>
        <v>34.175625000000004</v>
      </c>
      <c r="I26" s="5"/>
      <c r="J26" s="17">
        <v>1604.5391999999999</v>
      </c>
      <c r="K26" s="18">
        <v>33.825000000000003</v>
      </c>
      <c r="L26" s="18">
        <v>38.347799999999999</v>
      </c>
      <c r="M26" s="18">
        <v>40.454900000000002</v>
      </c>
      <c r="N26" s="18">
        <v>13.5351</v>
      </c>
      <c r="O26" s="18">
        <f t="shared" si="1"/>
        <v>35.219087500000001</v>
      </c>
      <c r="P26" s="7"/>
      <c r="Q26" s="10"/>
      <c r="R26" s="11"/>
      <c r="S26" s="11"/>
      <c r="T26" s="26"/>
      <c r="U26" s="28">
        <f t="shared" si="2"/>
        <v>0.3562224448897795</v>
      </c>
    </row>
    <row r="27" spans="1:21" x14ac:dyDescent="0.25">
      <c r="B27" s="9"/>
      <c r="C27" s="17">
        <v>968.27</v>
      </c>
      <c r="D27" s="18">
        <v>31.542000000000002</v>
      </c>
      <c r="E27" s="18">
        <v>36.738999999999997</v>
      </c>
      <c r="F27" s="18">
        <v>37.700000000000003</v>
      </c>
      <c r="G27" s="18">
        <v>10.97</v>
      </c>
      <c r="H27" s="18">
        <f t="shared" si="0"/>
        <v>32.961375000000004</v>
      </c>
      <c r="I27" s="5"/>
      <c r="J27" s="17">
        <v>997.93759999999997</v>
      </c>
      <c r="K27" s="18">
        <v>32.310200000000002</v>
      </c>
      <c r="L27" s="18">
        <v>37.829599999999999</v>
      </c>
      <c r="M27" s="18">
        <v>39.521999999999998</v>
      </c>
      <c r="N27" s="18">
        <v>16.5044</v>
      </c>
      <c r="O27" s="18">
        <f t="shared" si="1"/>
        <v>33.901600000000002</v>
      </c>
      <c r="P27" s="7"/>
      <c r="Q27" s="10"/>
      <c r="R27" s="11"/>
      <c r="S27" s="11"/>
      <c r="T27" s="26"/>
      <c r="U27" s="28">
        <f t="shared" si="2"/>
        <v>0.50450319051959891</v>
      </c>
    </row>
    <row r="28" spans="1:21" ht="16.5" thickBot="1" x14ac:dyDescent="0.3">
      <c r="B28" s="12"/>
      <c r="C28" s="19">
        <v>565.09</v>
      </c>
      <c r="D28" s="20">
        <v>29.815999999999999</v>
      </c>
      <c r="E28" s="20">
        <v>35.865000000000002</v>
      </c>
      <c r="F28" s="20">
        <v>36.359000000000002</v>
      </c>
      <c r="G28" s="20">
        <v>13.55</v>
      </c>
      <c r="H28" s="20">
        <f t="shared" si="0"/>
        <v>31.39</v>
      </c>
      <c r="I28" s="5"/>
      <c r="J28" s="19">
        <v>599.54560000000004</v>
      </c>
      <c r="K28" s="20">
        <v>30.660399999999999</v>
      </c>
      <c r="L28" s="20">
        <v>37.204300000000003</v>
      </c>
      <c r="M28" s="20">
        <v>38.489199999999997</v>
      </c>
      <c r="N28" s="20">
        <v>20.4666</v>
      </c>
      <c r="O28" s="20">
        <f t="shared" si="1"/>
        <v>32.456987499999997</v>
      </c>
      <c r="P28" s="7"/>
      <c r="Q28" s="13"/>
      <c r="R28" s="14"/>
      <c r="S28" s="14"/>
      <c r="T28" s="27"/>
      <c r="U28" s="28">
        <f t="shared" si="2"/>
        <v>0.51045018450184487</v>
      </c>
    </row>
    <row r="29" spans="1:21" x14ac:dyDescent="0.25">
      <c r="B29" s="6" t="s">
        <v>51</v>
      </c>
      <c r="C29" s="29">
        <v>2417.29</v>
      </c>
      <c r="D29" s="30">
        <v>34.295000000000002</v>
      </c>
      <c r="E29" s="30">
        <v>39.843000000000004</v>
      </c>
      <c r="F29" s="30">
        <v>39.372</v>
      </c>
      <c r="G29" s="16">
        <v>7.52</v>
      </c>
      <c r="H29" s="16">
        <f t="shared" si="0"/>
        <v>35.623125000000002</v>
      </c>
      <c r="I29" s="5"/>
      <c r="J29" s="29">
        <v>2458.944</v>
      </c>
      <c r="K29" s="30">
        <v>34.660600000000002</v>
      </c>
      <c r="L29" s="30">
        <v>41.180700000000002</v>
      </c>
      <c r="M29" s="30">
        <v>40.968400000000003</v>
      </c>
      <c r="N29" s="16">
        <v>9.8986000000000001</v>
      </c>
      <c r="O29" s="16">
        <f t="shared" si="1"/>
        <v>36.264087500000002</v>
      </c>
      <c r="P29" s="7"/>
      <c r="Q29" s="8">
        <f>bdrate(C29:C32,D29:D32,J29:J32,K29:K32)</f>
        <v>-8.4389011287533178E-2</v>
      </c>
      <c r="R29" s="8">
        <f>bdrate(C29:C32,E29:E32,J29:J32,L29:L32)</f>
        <v>-0.55608447309440756</v>
      </c>
      <c r="S29" s="8">
        <f>bdrate(C29:C32,F29:F32,J29:J32,M29:M32)</f>
        <v>-0.51730776032112025</v>
      </c>
      <c r="T29" s="25">
        <f>bdrate(C29:C32,H29:H32,J29:J32,O29:O32)</f>
        <v>-0.18676861750968465</v>
      </c>
      <c r="U29" s="28">
        <f t="shared" si="2"/>
        <v>0.31630319148936181</v>
      </c>
    </row>
    <row r="30" spans="1:21" x14ac:dyDescent="0.25">
      <c r="B30" s="9"/>
      <c r="C30" s="31">
        <v>1598.49</v>
      </c>
      <c r="D30" s="32">
        <v>32.969000000000001</v>
      </c>
      <c r="E30" s="32">
        <v>39.125999999999998</v>
      </c>
      <c r="F30" s="32">
        <v>38.311</v>
      </c>
      <c r="G30" s="18">
        <v>8.7899999999999991</v>
      </c>
      <c r="H30" s="18">
        <f t="shared" si="0"/>
        <v>34.406375000000004</v>
      </c>
      <c r="I30" s="5"/>
      <c r="J30" s="31">
        <v>1639.232</v>
      </c>
      <c r="K30" s="32">
        <v>33.361800000000002</v>
      </c>
      <c r="L30" s="32">
        <v>40.530999999999999</v>
      </c>
      <c r="M30" s="32">
        <v>40.071100000000001</v>
      </c>
      <c r="N30" s="18">
        <v>11.941700000000001</v>
      </c>
      <c r="O30" s="18">
        <f t="shared" si="1"/>
        <v>35.096612500000006</v>
      </c>
      <c r="P30" s="7"/>
      <c r="Q30" s="10"/>
      <c r="R30" s="11"/>
      <c r="S30" s="11"/>
      <c r="T30" s="26"/>
      <c r="U30" s="28">
        <f t="shared" si="2"/>
        <v>0.35855517633674655</v>
      </c>
    </row>
    <row r="31" spans="1:21" x14ac:dyDescent="0.25">
      <c r="B31" s="9"/>
      <c r="C31" s="31">
        <v>991.95</v>
      </c>
      <c r="D31" s="32">
        <v>31.393999999999998</v>
      </c>
      <c r="E31" s="32">
        <v>38.253</v>
      </c>
      <c r="F31" s="32">
        <v>37.036000000000001</v>
      </c>
      <c r="G31" s="18">
        <v>9.52</v>
      </c>
      <c r="H31" s="18">
        <f t="shared" si="0"/>
        <v>32.956624999999995</v>
      </c>
      <c r="I31" s="5"/>
      <c r="J31" s="31">
        <v>1018.4048</v>
      </c>
      <c r="K31" s="32">
        <v>31.755299999999998</v>
      </c>
      <c r="L31" s="32">
        <v>39.795299999999997</v>
      </c>
      <c r="M31" s="32">
        <v>39.0259</v>
      </c>
      <c r="N31" s="18">
        <v>14.3406</v>
      </c>
      <c r="O31" s="18">
        <f t="shared" si="1"/>
        <v>33.669124999999994</v>
      </c>
      <c r="P31" s="7"/>
      <c r="Q31" s="10"/>
      <c r="R31" s="11"/>
      <c r="S31" s="11"/>
      <c r="T31" s="26"/>
      <c r="U31" s="28">
        <f t="shared" si="2"/>
        <v>0.50636554621848751</v>
      </c>
    </row>
    <row r="32" spans="1:21" ht="16.5" thickBot="1" x14ac:dyDescent="0.3">
      <c r="B32" s="12"/>
      <c r="C32" s="33">
        <v>586.67999999999995</v>
      </c>
      <c r="D32" s="34">
        <v>29.545999999999999</v>
      </c>
      <c r="E32" s="34">
        <v>36.822000000000003</v>
      </c>
      <c r="F32" s="34">
        <v>35.241999999999997</v>
      </c>
      <c r="G32" s="20">
        <v>10.63</v>
      </c>
      <c r="H32" s="20">
        <f t="shared" si="0"/>
        <v>31.1675</v>
      </c>
      <c r="I32" s="5"/>
      <c r="J32" s="33">
        <v>610.46960000000001</v>
      </c>
      <c r="K32" s="34">
        <v>30.010999999999999</v>
      </c>
      <c r="L32" s="34">
        <v>38.7774</v>
      </c>
      <c r="M32" s="34">
        <v>37.671399999999998</v>
      </c>
      <c r="N32" s="20">
        <v>17.796099999999999</v>
      </c>
      <c r="O32" s="20">
        <f t="shared" si="1"/>
        <v>32.064349999999997</v>
      </c>
      <c r="P32" s="7"/>
      <c r="Q32" s="13"/>
      <c r="R32" s="14"/>
      <c r="S32" s="14"/>
      <c r="T32" s="27"/>
      <c r="U32" s="28">
        <f t="shared" si="2"/>
        <v>0.67413922859830644</v>
      </c>
    </row>
    <row r="33" spans="1:21" x14ac:dyDescent="0.25">
      <c r="B33" s="6" t="s">
        <v>52</v>
      </c>
      <c r="C33" s="15">
        <v>2367.02</v>
      </c>
      <c r="D33" s="16">
        <v>33.543999999999997</v>
      </c>
      <c r="E33" s="16">
        <v>39.265000000000001</v>
      </c>
      <c r="F33" s="16">
        <v>41.91</v>
      </c>
      <c r="G33" s="16">
        <v>9.6</v>
      </c>
      <c r="H33" s="16">
        <f t="shared" si="0"/>
        <v>35.304874999999996</v>
      </c>
      <c r="I33" s="5"/>
      <c r="J33" s="15">
        <v>2401.1776</v>
      </c>
      <c r="K33" s="16">
        <v>33.996200000000002</v>
      </c>
      <c r="L33" s="16">
        <v>40.402700000000003</v>
      </c>
      <c r="M33" s="16">
        <v>42.835999999999999</v>
      </c>
      <c r="N33" s="16">
        <v>10.9985</v>
      </c>
      <c r="O33" s="16">
        <f t="shared" si="1"/>
        <v>35.901987500000004</v>
      </c>
      <c r="P33" s="7"/>
      <c r="Q33" s="8">
        <f>bdrate(C33:C36,D33:D36,J33:J36,K33:K36)</f>
        <v>-0.23505301199057371</v>
      </c>
      <c r="R33" s="8">
        <f>bdrate(C33:C36,E33:E36,J33:J36,L33:L36)</f>
        <v>-0.56190542116361197</v>
      </c>
      <c r="S33" s="8">
        <f>bdrate(C33:C36,F33:F36,J33:J36,M33:M36)</f>
        <v>-0.52377178357699505</v>
      </c>
      <c r="T33" s="25">
        <f>bdrate(C33:C36,H33:H36,J33:J36,O33:O36)</f>
        <v>-0.28851328220760664</v>
      </c>
      <c r="U33" s="28">
        <f t="shared" si="2"/>
        <v>0.14567708333333337</v>
      </c>
    </row>
    <row r="34" spans="1:21" x14ac:dyDescent="0.25">
      <c r="B34" s="9"/>
      <c r="C34" s="17">
        <v>1547.83</v>
      </c>
      <c r="D34" s="18">
        <v>32.828000000000003</v>
      </c>
      <c r="E34" s="18">
        <v>38.823</v>
      </c>
      <c r="F34" s="18">
        <v>41.514000000000003</v>
      </c>
      <c r="G34" s="18">
        <v>11.36</v>
      </c>
      <c r="H34" s="18">
        <f t="shared" si="0"/>
        <v>34.663125000000001</v>
      </c>
      <c r="I34" s="5"/>
      <c r="J34" s="17">
        <v>1609.4287999999999</v>
      </c>
      <c r="K34" s="18">
        <v>33.398400000000002</v>
      </c>
      <c r="L34" s="18">
        <v>39.945799999999998</v>
      </c>
      <c r="M34" s="18">
        <v>42.436900000000001</v>
      </c>
      <c r="N34" s="18">
        <v>13.697100000000001</v>
      </c>
      <c r="O34" s="18">
        <f t="shared" si="1"/>
        <v>35.3466375</v>
      </c>
      <c r="P34" s="7"/>
      <c r="Q34" s="10"/>
      <c r="R34" s="11"/>
      <c r="S34" s="11"/>
      <c r="T34" s="26"/>
      <c r="U34" s="28">
        <f t="shared" si="2"/>
        <v>0.20573063380281703</v>
      </c>
    </row>
    <row r="35" spans="1:21" x14ac:dyDescent="0.25">
      <c r="B35" s="9"/>
      <c r="C35" s="17">
        <v>926.69</v>
      </c>
      <c r="D35" s="18">
        <v>31.670999999999999</v>
      </c>
      <c r="E35" s="18">
        <v>38.295999999999999</v>
      </c>
      <c r="F35" s="18">
        <v>41.084000000000003</v>
      </c>
      <c r="G35" s="18">
        <v>12.32</v>
      </c>
      <c r="H35" s="18">
        <f t="shared" si="0"/>
        <v>33.675750000000001</v>
      </c>
      <c r="I35" s="5"/>
      <c r="J35" s="17">
        <v>988.5376</v>
      </c>
      <c r="K35" s="18">
        <v>32.468499999999999</v>
      </c>
      <c r="L35" s="18">
        <v>39.255699999999997</v>
      </c>
      <c r="M35" s="18">
        <v>41.8322</v>
      </c>
      <c r="N35" s="18">
        <v>17.003399999999999</v>
      </c>
      <c r="O35" s="18">
        <f t="shared" si="1"/>
        <v>34.487362499999996</v>
      </c>
      <c r="P35" s="7"/>
      <c r="Q35" s="10"/>
      <c r="R35" s="11"/>
      <c r="S35" s="11"/>
      <c r="T35" s="26"/>
      <c r="U35" s="28">
        <f t="shared" si="2"/>
        <v>0.38014610389610382</v>
      </c>
    </row>
    <row r="36" spans="1:21" ht="16.5" thickBot="1" x14ac:dyDescent="0.3">
      <c r="B36" s="12"/>
      <c r="C36" s="19">
        <v>491.74</v>
      </c>
      <c r="D36" s="20">
        <v>29.443999999999999</v>
      </c>
      <c r="E36" s="20">
        <v>37.408999999999999</v>
      </c>
      <c r="F36" s="20">
        <v>40.338999999999999</v>
      </c>
      <c r="G36" s="20">
        <v>11.97</v>
      </c>
      <c r="H36" s="20">
        <f t="shared" si="0"/>
        <v>31.801499999999997</v>
      </c>
      <c r="I36" s="5"/>
      <c r="J36" s="19">
        <v>605.82479999999998</v>
      </c>
      <c r="K36" s="20">
        <v>31.139700000000001</v>
      </c>
      <c r="L36" s="20">
        <v>38.6783</v>
      </c>
      <c r="M36" s="20">
        <v>41.285600000000002</v>
      </c>
      <c r="N36" s="20">
        <v>21.296199999999999</v>
      </c>
      <c r="O36" s="20">
        <f t="shared" si="1"/>
        <v>33.350262499999999</v>
      </c>
      <c r="P36" s="7"/>
      <c r="Q36" s="13"/>
      <c r="R36" s="14"/>
      <c r="S36" s="14"/>
      <c r="T36" s="27"/>
      <c r="U36" s="28">
        <f t="shared" si="2"/>
        <v>0.77913116123642423</v>
      </c>
    </row>
    <row r="37" spans="1:21" x14ac:dyDescent="0.25">
      <c r="A37" s="6" t="s">
        <v>39</v>
      </c>
      <c r="B37" s="6" t="s">
        <v>53</v>
      </c>
      <c r="C37" s="15">
        <v>1221.9100000000001</v>
      </c>
      <c r="D37" s="16">
        <v>35.387</v>
      </c>
      <c r="E37" s="16">
        <v>38.805</v>
      </c>
      <c r="F37" s="16">
        <v>38.762999999999998</v>
      </c>
      <c r="G37" s="16">
        <v>31.7</v>
      </c>
      <c r="H37" s="16">
        <f t="shared" si="0"/>
        <v>36.236249999999998</v>
      </c>
      <c r="I37" s="5"/>
      <c r="J37" s="15">
        <v>1238.2911999999999</v>
      </c>
      <c r="K37" s="16">
        <v>36.559899999999999</v>
      </c>
      <c r="L37" s="16">
        <v>41.029699999999998</v>
      </c>
      <c r="M37" s="16">
        <v>41.094999999999999</v>
      </c>
      <c r="N37" s="16">
        <v>31.361699999999999</v>
      </c>
      <c r="O37" s="16">
        <f t="shared" si="1"/>
        <v>37.685512500000002</v>
      </c>
      <c r="P37" s="7"/>
      <c r="Q37" s="8">
        <f>bdrate(C37:C40,D37:D40,J37:J40,K37:K40)</f>
        <v>-0.17557984537487248</v>
      </c>
      <c r="R37" s="8">
        <f>bdrate(C37:C40,E37:E40,J37:J40,L37:L40)</f>
        <v>-0.52647088269345443</v>
      </c>
      <c r="S37" s="8">
        <f>bdrate(C37:C40,F37:F40,J37:J40,M37:M40)</f>
        <v>-0.48996495788807648</v>
      </c>
      <c r="T37" s="25">
        <f>bdrate(C37:C40,H37:H40,J37:J40,O37:O40)</f>
        <v>-0.25862605193166133</v>
      </c>
      <c r="U37" s="28">
        <f t="shared" si="2"/>
        <v>-1.0671924290220829E-2</v>
      </c>
    </row>
    <row r="38" spans="1:21" x14ac:dyDescent="0.25">
      <c r="A38" s="9" t="s">
        <v>40</v>
      </c>
      <c r="B38" s="9"/>
      <c r="C38" s="17">
        <v>812.89</v>
      </c>
      <c r="D38" s="18">
        <v>33.905000000000001</v>
      </c>
      <c r="E38" s="18">
        <v>37.637</v>
      </c>
      <c r="F38" s="18">
        <v>37.533000000000001</v>
      </c>
      <c r="G38" s="18">
        <v>35.18</v>
      </c>
      <c r="H38" s="18">
        <f t="shared" si="0"/>
        <v>34.825000000000003</v>
      </c>
      <c r="I38" s="5"/>
      <c r="J38" s="17">
        <v>825.20399999999995</v>
      </c>
      <c r="K38" s="18">
        <v>34.808300000000003</v>
      </c>
      <c r="L38" s="18">
        <v>39.757100000000001</v>
      </c>
      <c r="M38" s="18">
        <v>39.6404</v>
      </c>
      <c r="N38" s="18">
        <v>37.009599999999999</v>
      </c>
      <c r="O38" s="18">
        <f t="shared" si="1"/>
        <v>36.030912499999999</v>
      </c>
      <c r="P38" s="7"/>
      <c r="Q38" s="10"/>
      <c r="R38" s="11"/>
      <c r="S38" s="11"/>
      <c r="T38" s="26"/>
      <c r="U38" s="28">
        <f t="shared" si="2"/>
        <v>5.200682205798747E-2</v>
      </c>
    </row>
    <row r="39" spans="1:21" x14ac:dyDescent="0.25">
      <c r="B39" s="9"/>
      <c r="C39" s="17">
        <v>504.99</v>
      </c>
      <c r="D39" s="18">
        <v>32.247</v>
      </c>
      <c r="E39" s="18">
        <v>36.426000000000002</v>
      </c>
      <c r="F39" s="18">
        <v>36.085000000000001</v>
      </c>
      <c r="G39" s="18">
        <v>40.119999999999997</v>
      </c>
      <c r="H39" s="18">
        <f t="shared" si="0"/>
        <v>33.249124999999999</v>
      </c>
      <c r="I39" s="5"/>
      <c r="J39" s="17">
        <v>516.41120000000001</v>
      </c>
      <c r="K39" s="18">
        <v>32.964599999999997</v>
      </c>
      <c r="L39" s="18">
        <v>38.433</v>
      </c>
      <c r="M39" s="18">
        <v>38.194000000000003</v>
      </c>
      <c r="N39" s="18">
        <v>44.456299999999999</v>
      </c>
      <c r="O39" s="18">
        <f t="shared" si="1"/>
        <v>34.301825000000001</v>
      </c>
      <c r="P39" s="7"/>
      <c r="Q39" s="10"/>
      <c r="R39" s="11"/>
      <c r="S39" s="11"/>
      <c r="T39" s="26"/>
      <c r="U39" s="28">
        <f t="shared" si="2"/>
        <v>0.10808325024925229</v>
      </c>
    </row>
    <row r="40" spans="1:21" ht="16.5" thickBot="1" x14ac:dyDescent="0.3">
      <c r="B40" s="12"/>
      <c r="C40" s="19">
        <v>301.11</v>
      </c>
      <c r="D40" s="20">
        <v>30.535</v>
      </c>
      <c r="E40" s="20">
        <v>35.234000000000002</v>
      </c>
      <c r="F40" s="20">
        <v>34.621000000000002</v>
      </c>
      <c r="G40" s="20">
        <v>45.99</v>
      </c>
      <c r="H40" s="20">
        <f t="shared" si="0"/>
        <v>31.633125000000003</v>
      </c>
      <c r="I40" s="5"/>
      <c r="J40" s="19">
        <v>309.23439999999999</v>
      </c>
      <c r="K40" s="20">
        <v>31.059899999999999</v>
      </c>
      <c r="L40" s="20">
        <v>37.104100000000003</v>
      </c>
      <c r="M40" s="20">
        <v>36.651400000000002</v>
      </c>
      <c r="N40" s="20">
        <v>54.507800000000003</v>
      </c>
      <c r="O40" s="20">
        <f t="shared" si="1"/>
        <v>32.514362500000004</v>
      </c>
      <c r="P40" s="7"/>
      <c r="Q40" s="13"/>
      <c r="R40" s="14"/>
      <c r="S40" s="14"/>
      <c r="T40" s="27"/>
      <c r="U40" s="28">
        <f t="shared" si="2"/>
        <v>0.18520982822352688</v>
      </c>
    </row>
    <row r="41" spans="1:21" x14ac:dyDescent="0.25">
      <c r="B41" s="6" t="s">
        <v>54</v>
      </c>
      <c r="C41" s="15">
        <v>1216.71</v>
      </c>
      <c r="D41" s="16">
        <v>35.235999999999997</v>
      </c>
      <c r="E41" s="16">
        <v>39.975000000000001</v>
      </c>
      <c r="F41" s="16">
        <v>40.811999999999998</v>
      </c>
      <c r="G41" s="16">
        <v>35.78</v>
      </c>
      <c r="H41" s="16">
        <f t="shared" si="0"/>
        <v>36.525374999999997</v>
      </c>
      <c r="I41" s="5"/>
      <c r="J41" s="15">
        <v>1258.9975999999999</v>
      </c>
      <c r="K41" s="16">
        <v>36.224499999999999</v>
      </c>
      <c r="L41" s="16">
        <v>41.821399999999997</v>
      </c>
      <c r="M41" s="16">
        <v>42.845300000000002</v>
      </c>
      <c r="N41" s="16">
        <v>35.319000000000003</v>
      </c>
      <c r="O41" s="16">
        <f t="shared" si="1"/>
        <v>37.751712499999996</v>
      </c>
      <c r="P41" s="7"/>
      <c r="Q41" s="8">
        <f>bdrate(C41:C44,D41:D44,J41:J44,K41:K44)</f>
        <v>-0.23676876761712184</v>
      </c>
      <c r="R41" s="8">
        <f>bdrate(C41:C44,E41:E44,J41:J44,L41:L44)</f>
        <v>-0.55153368933108027</v>
      </c>
      <c r="S41" s="8">
        <f>bdrate(C41:C44,F41:F44,J41:J44,M41:M44)</f>
        <v>-0.53683817942021217</v>
      </c>
      <c r="T41" s="25">
        <f>bdrate(C41:C44,H41:H44,J41:J44,O41:O44)</f>
        <v>-0.30445329615344374</v>
      </c>
      <c r="U41" s="28">
        <f t="shared" si="2"/>
        <v>-1.2884292901062005E-2</v>
      </c>
    </row>
    <row r="42" spans="1:21" x14ac:dyDescent="0.25">
      <c r="B42" s="9"/>
      <c r="C42" s="17">
        <v>810.05</v>
      </c>
      <c r="D42" s="18">
        <v>33.615000000000002</v>
      </c>
      <c r="E42" s="18">
        <v>38.86</v>
      </c>
      <c r="F42" s="18">
        <v>39.595999999999997</v>
      </c>
      <c r="G42" s="18">
        <v>39.9</v>
      </c>
      <c r="H42" s="18">
        <f t="shared" si="0"/>
        <v>35.018250000000002</v>
      </c>
      <c r="I42" s="5"/>
      <c r="J42" s="17">
        <v>836.66160000000002</v>
      </c>
      <c r="K42" s="18">
        <v>34.734900000000003</v>
      </c>
      <c r="L42" s="18">
        <v>40.873600000000003</v>
      </c>
      <c r="M42" s="18">
        <v>41.760100000000001</v>
      </c>
      <c r="N42" s="18">
        <v>42.125999999999998</v>
      </c>
      <c r="O42" s="18">
        <f t="shared" si="1"/>
        <v>36.380387500000005</v>
      </c>
      <c r="P42" s="7"/>
      <c r="Q42" s="10"/>
      <c r="R42" s="11"/>
      <c r="S42" s="11"/>
      <c r="T42" s="26"/>
      <c r="U42" s="28">
        <f t="shared" si="2"/>
        <v>5.5789473684210507E-2</v>
      </c>
    </row>
    <row r="43" spans="1:21" x14ac:dyDescent="0.25">
      <c r="B43" s="9"/>
      <c r="C43" s="17">
        <v>504.23</v>
      </c>
      <c r="D43" s="18">
        <v>31.657</v>
      </c>
      <c r="E43" s="18">
        <v>37.633000000000003</v>
      </c>
      <c r="F43" s="18">
        <v>38.216999999999999</v>
      </c>
      <c r="G43" s="18">
        <v>45.25</v>
      </c>
      <c r="H43" s="18">
        <f t="shared" si="0"/>
        <v>33.224000000000004</v>
      </c>
      <c r="I43" s="5"/>
      <c r="J43" s="17">
        <v>520.82719999999995</v>
      </c>
      <c r="K43" s="18">
        <v>32.9221</v>
      </c>
      <c r="L43" s="18">
        <v>39.732900000000001</v>
      </c>
      <c r="M43" s="18">
        <v>40.467300000000002</v>
      </c>
      <c r="N43" s="18">
        <v>50.675699999999999</v>
      </c>
      <c r="O43" s="18">
        <f t="shared" si="1"/>
        <v>34.7166</v>
      </c>
      <c r="P43" s="7"/>
      <c r="Q43" s="10"/>
      <c r="R43" s="11"/>
      <c r="S43" s="11"/>
      <c r="T43" s="26"/>
      <c r="U43" s="28">
        <f t="shared" si="2"/>
        <v>0.11990497237569059</v>
      </c>
    </row>
    <row r="44" spans="1:21" ht="16.5" thickBot="1" x14ac:dyDescent="0.3">
      <c r="B44" s="12"/>
      <c r="C44" s="19">
        <v>298.14</v>
      </c>
      <c r="D44" s="20">
        <v>29.417000000000002</v>
      </c>
      <c r="E44" s="20">
        <v>36.317</v>
      </c>
      <c r="F44" s="20">
        <v>36.758000000000003</v>
      </c>
      <c r="G44" s="20">
        <v>50.81</v>
      </c>
      <c r="H44" s="20">
        <f t="shared" si="0"/>
        <v>31.197125000000003</v>
      </c>
      <c r="I44" s="5"/>
      <c r="J44" s="19">
        <v>311.7944</v>
      </c>
      <c r="K44" s="20">
        <v>30.8934</v>
      </c>
      <c r="L44" s="20">
        <v>38.632800000000003</v>
      </c>
      <c r="M44" s="20">
        <v>39.2607</v>
      </c>
      <c r="N44" s="20">
        <v>61.343400000000003</v>
      </c>
      <c r="O44" s="20">
        <f t="shared" si="1"/>
        <v>32.906737499999998</v>
      </c>
      <c r="P44" s="7"/>
      <c r="Q44" s="13"/>
      <c r="R44" s="14"/>
      <c r="S44" s="14"/>
      <c r="T44" s="27"/>
      <c r="U44" s="28">
        <f t="shared" si="2"/>
        <v>0.20730958472741587</v>
      </c>
    </row>
    <row r="45" spans="1:21" x14ac:dyDescent="0.25">
      <c r="B45" s="6" t="s">
        <v>55</v>
      </c>
      <c r="C45" s="15">
        <v>1088.68</v>
      </c>
      <c r="D45" s="16">
        <v>29.942</v>
      </c>
      <c r="E45" s="16">
        <v>35.718000000000004</v>
      </c>
      <c r="F45" s="16">
        <v>36.445</v>
      </c>
      <c r="G45" s="16">
        <v>34.31</v>
      </c>
      <c r="H45" s="16">
        <f t="shared" si="0"/>
        <v>31.476875</v>
      </c>
      <c r="I45" s="5"/>
      <c r="J45" s="15">
        <v>1240.0224000000001</v>
      </c>
      <c r="K45" s="16">
        <v>31.0687</v>
      </c>
      <c r="L45" s="16">
        <v>37.744199999999999</v>
      </c>
      <c r="M45" s="16">
        <v>38.618000000000002</v>
      </c>
      <c r="N45" s="16">
        <v>30.095099999999999</v>
      </c>
      <c r="O45" s="16">
        <f t="shared" si="1"/>
        <v>32.846800000000002</v>
      </c>
      <c r="P45" s="7"/>
      <c r="Q45" s="8">
        <f>bdrate(C45:C48,D45:D48,J45:J48,K45:K48)</f>
        <v>-0.21714449017429815</v>
      </c>
      <c r="R45" s="8">
        <f>bdrate(C45:C48,E45:E48,J45:J48,L45:L48)</f>
        <v>-0.61445602151424694</v>
      </c>
      <c r="S45" s="8">
        <f>bdrate(C45:C48,F45:F48,J45:J48,M45:M48)</f>
        <v>-0.60881007481050353</v>
      </c>
      <c r="T45" s="25">
        <f>bdrate(C45:C48,H45:H48,J45:J48,O45:O48)</f>
        <v>-0.29552637071724752</v>
      </c>
      <c r="U45" s="28">
        <f t="shared" si="2"/>
        <v>-0.12284756630719916</v>
      </c>
    </row>
    <row r="46" spans="1:21" x14ac:dyDescent="0.25">
      <c r="B46" s="9"/>
      <c r="C46" s="17">
        <v>723.57</v>
      </c>
      <c r="D46" s="18">
        <v>28.56</v>
      </c>
      <c r="E46" s="18">
        <v>34.948999999999998</v>
      </c>
      <c r="F46" s="18">
        <v>35.722000000000001</v>
      </c>
      <c r="G46" s="18">
        <v>38.380000000000003</v>
      </c>
      <c r="H46" s="18">
        <f t="shared" si="0"/>
        <v>30.253874999999997</v>
      </c>
      <c r="I46" s="5"/>
      <c r="J46" s="17">
        <v>825.27520000000004</v>
      </c>
      <c r="K46" s="18">
        <v>29.7439</v>
      </c>
      <c r="L46" s="18">
        <v>36.905999999999999</v>
      </c>
      <c r="M46" s="18">
        <v>37.683300000000003</v>
      </c>
      <c r="N46" s="18">
        <v>35.932400000000001</v>
      </c>
      <c r="O46" s="18">
        <f t="shared" si="1"/>
        <v>31.631587500000002</v>
      </c>
      <c r="P46" s="7"/>
      <c r="Q46" s="10"/>
      <c r="R46" s="11"/>
      <c r="S46" s="11"/>
      <c r="T46" s="26"/>
      <c r="U46" s="28">
        <f t="shared" si="2"/>
        <v>-6.3772798332464853E-2</v>
      </c>
    </row>
    <row r="47" spans="1:21" x14ac:dyDescent="0.25">
      <c r="B47" s="9"/>
      <c r="C47" s="17">
        <v>449.63</v>
      </c>
      <c r="D47" s="18">
        <v>27.003</v>
      </c>
      <c r="E47" s="18">
        <v>34.244</v>
      </c>
      <c r="F47" s="18">
        <v>34.988999999999997</v>
      </c>
      <c r="G47" s="18">
        <v>43.31</v>
      </c>
      <c r="H47" s="18">
        <f t="shared" si="0"/>
        <v>28.906375000000001</v>
      </c>
      <c r="I47" s="5"/>
      <c r="J47" s="17">
        <v>514.65279999999996</v>
      </c>
      <c r="K47" s="18">
        <v>28.2317</v>
      </c>
      <c r="L47" s="18">
        <v>36.002099999999999</v>
      </c>
      <c r="M47" s="18">
        <v>36.759700000000002</v>
      </c>
      <c r="N47" s="18">
        <v>43.192799999999998</v>
      </c>
      <c r="O47" s="18">
        <f t="shared" si="1"/>
        <v>30.268999999999998</v>
      </c>
      <c r="P47" s="7"/>
      <c r="Q47" s="10"/>
      <c r="R47" s="11"/>
      <c r="S47" s="11"/>
      <c r="T47" s="26"/>
      <c r="U47" s="28">
        <f t="shared" si="2"/>
        <v>-2.7060725005773252E-3</v>
      </c>
    </row>
    <row r="48" spans="1:21" ht="16.5" thickBot="1" x14ac:dyDescent="0.3">
      <c r="B48" s="12"/>
      <c r="C48" s="19">
        <v>258.01</v>
      </c>
      <c r="D48" s="20">
        <v>25.12</v>
      </c>
      <c r="E48" s="20">
        <v>33.262</v>
      </c>
      <c r="F48" s="20">
        <v>34.000999999999998</v>
      </c>
      <c r="G48" s="20">
        <v>49.69</v>
      </c>
      <c r="H48" s="20">
        <f t="shared" si="0"/>
        <v>27.247875000000001</v>
      </c>
      <c r="I48" s="5"/>
      <c r="J48" s="19">
        <v>309.51679999999999</v>
      </c>
      <c r="K48" s="20">
        <v>26.746400000000001</v>
      </c>
      <c r="L48" s="20">
        <v>35.185600000000001</v>
      </c>
      <c r="M48" s="20">
        <v>35.890799999999999</v>
      </c>
      <c r="N48" s="20">
        <v>53.954900000000002</v>
      </c>
      <c r="O48" s="20">
        <f t="shared" si="1"/>
        <v>28.94435</v>
      </c>
      <c r="P48" s="7"/>
      <c r="Q48" s="13"/>
      <c r="R48" s="14"/>
      <c r="S48" s="14"/>
      <c r="T48" s="27"/>
      <c r="U48" s="28">
        <f t="shared" si="2"/>
        <v>8.5830146910847338E-2</v>
      </c>
    </row>
    <row r="49" spans="1:21" x14ac:dyDescent="0.25">
      <c r="B49" s="6" t="s">
        <v>56</v>
      </c>
      <c r="C49" s="15">
        <v>1106.78</v>
      </c>
      <c r="D49" s="16">
        <v>32.726999999999997</v>
      </c>
      <c r="E49" s="16">
        <v>36.615000000000002</v>
      </c>
      <c r="F49" s="16">
        <v>38.222999999999999</v>
      </c>
      <c r="G49" s="16">
        <v>23.17</v>
      </c>
      <c r="H49" s="16">
        <f t="shared" si="0"/>
        <v>33.9</v>
      </c>
      <c r="I49" s="5"/>
      <c r="J49" s="15">
        <v>1225.9392</v>
      </c>
      <c r="K49" s="16">
        <v>33.187899999999999</v>
      </c>
      <c r="L49" s="16">
        <v>37.915199999999999</v>
      </c>
      <c r="M49" s="16">
        <v>39.543199999999999</v>
      </c>
      <c r="N49" s="16">
        <v>20.545100000000001</v>
      </c>
      <c r="O49" s="16">
        <f t="shared" si="1"/>
        <v>34.573225000000001</v>
      </c>
      <c r="P49" s="7"/>
      <c r="Q49" s="8">
        <f>bdrate(C49:C52,D49:D52,J49:J52,K49:K52)</f>
        <v>-1.0363421020454067E-2</v>
      </c>
      <c r="R49" s="8">
        <f>bdrate(C49:C52,E49:E52,J49:J52,L49:L52)</f>
        <v>-0.46417491151303814</v>
      </c>
      <c r="S49" s="8">
        <f>bdrate(C49:C52,F49:F52,J49:J52,M49:M52)</f>
        <v>-0.48108950749260504</v>
      </c>
      <c r="T49" s="25">
        <f>bdrate(C49:C52,H49:H52,J49:J52,O49:O52)</f>
        <v>-0.10873381494405709</v>
      </c>
      <c r="U49" s="28">
        <f t="shared" si="2"/>
        <v>-0.11328873543375054</v>
      </c>
    </row>
    <row r="50" spans="1:21" x14ac:dyDescent="0.25">
      <c r="B50" s="9"/>
      <c r="C50" s="17">
        <v>748.88</v>
      </c>
      <c r="D50" s="18">
        <v>31.324000000000002</v>
      </c>
      <c r="E50" s="18">
        <v>35.642000000000003</v>
      </c>
      <c r="F50" s="18">
        <v>37.223999999999997</v>
      </c>
      <c r="G50" s="18">
        <v>26.24</v>
      </c>
      <c r="H50" s="18">
        <f t="shared" si="0"/>
        <v>32.60125</v>
      </c>
      <c r="I50" s="5"/>
      <c r="J50" s="17">
        <v>820.23519999999996</v>
      </c>
      <c r="K50" s="18">
        <v>31.677199999999999</v>
      </c>
      <c r="L50" s="18">
        <v>37.0503</v>
      </c>
      <c r="M50" s="18">
        <v>38.687199999999997</v>
      </c>
      <c r="N50" s="18">
        <v>24.342700000000001</v>
      </c>
      <c r="O50" s="18">
        <f t="shared" si="1"/>
        <v>33.225087500000001</v>
      </c>
      <c r="P50" s="7"/>
      <c r="Q50" s="10"/>
      <c r="R50" s="11"/>
      <c r="S50" s="11"/>
      <c r="T50" s="26"/>
      <c r="U50" s="28">
        <f t="shared" si="2"/>
        <v>-7.2305640243902361E-2</v>
      </c>
    </row>
    <row r="51" spans="1:21" x14ac:dyDescent="0.25">
      <c r="B51" s="9"/>
      <c r="C51" s="17">
        <v>474.13</v>
      </c>
      <c r="D51" s="18">
        <v>29.734999999999999</v>
      </c>
      <c r="E51" s="18">
        <v>34.710999999999999</v>
      </c>
      <c r="F51" s="18">
        <v>36.22</v>
      </c>
      <c r="G51" s="18">
        <v>29.68</v>
      </c>
      <c r="H51" s="18">
        <f t="shared" si="0"/>
        <v>31.167624999999997</v>
      </c>
      <c r="I51" s="5"/>
      <c r="J51" s="17">
        <v>516.11760000000004</v>
      </c>
      <c r="K51" s="18">
        <v>30.048999999999999</v>
      </c>
      <c r="L51" s="18">
        <v>36.170499999999997</v>
      </c>
      <c r="M51" s="18">
        <v>37.831800000000001</v>
      </c>
      <c r="N51" s="18">
        <v>29.0501</v>
      </c>
      <c r="O51" s="18">
        <f t="shared" si="1"/>
        <v>31.787037499999997</v>
      </c>
      <c r="P51" s="7"/>
      <c r="Q51" s="10"/>
      <c r="R51" s="11"/>
      <c r="S51" s="11"/>
      <c r="T51" s="26"/>
      <c r="U51" s="28">
        <f t="shared" si="2"/>
        <v>-2.1223045822102399E-2</v>
      </c>
    </row>
    <row r="52" spans="1:21" ht="16.5" thickBot="1" x14ac:dyDescent="0.3">
      <c r="B52" s="12"/>
      <c r="C52" s="19">
        <v>287.2</v>
      </c>
      <c r="D52" s="20">
        <v>28.158000000000001</v>
      </c>
      <c r="E52" s="20">
        <v>33.716999999999999</v>
      </c>
      <c r="F52" s="20">
        <v>35.090000000000003</v>
      </c>
      <c r="G52" s="20">
        <v>34.340000000000003</v>
      </c>
      <c r="H52" s="20">
        <f t="shared" si="0"/>
        <v>29.719375000000003</v>
      </c>
      <c r="I52" s="5"/>
      <c r="J52" s="19">
        <v>309.7328</v>
      </c>
      <c r="K52" s="20">
        <v>28.4391</v>
      </c>
      <c r="L52" s="20">
        <v>35.271599999999999</v>
      </c>
      <c r="M52" s="20">
        <v>36.924199999999999</v>
      </c>
      <c r="N52" s="20">
        <v>36.148899999999998</v>
      </c>
      <c r="O52" s="20">
        <f t="shared" si="1"/>
        <v>30.3538</v>
      </c>
      <c r="P52" s="7"/>
      <c r="Q52" s="13"/>
      <c r="R52" s="14"/>
      <c r="S52" s="14"/>
      <c r="T52" s="27"/>
      <c r="U52" s="28">
        <f t="shared" si="2"/>
        <v>5.2676179382643969E-2</v>
      </c>
    </row>
    <row r="53" spans="1:21" x14ac:dyDescent="0.25">
      <c r="A53" s="6" t="s">
        <v>41</v>
      </c>
      <c r="B53" s="6" t="s">
        <v>57</v>
      </c>
      <c r="C53" s="15">
        <v>640.29999999999995</v>
      </c>
      <c r="D53" s="16">
        <v>34.941000000000003</v>
      </c>
      <c r="E53" s="16">
        <v>39.616</v>
      </c>
      <c r="F53" s="16">
        <v>38.197000000000003</v>
      </c>
      <c r="G53" s="16">
        <v>91.31</v>
      </c>
      <c r="H53" s="16">
        <f t="shared" si="0"/>
        <v>35.932375</v>
      </c>
      <c r="I53" s="5"/>
      <c r="J53" s="15">
        <v>608.75840000000005</v>
      </c>
      <c r="K53" s="16">
        <v>35.268000000000001</v>
      </c>
      <c r="L53" s="16">
        <v>41.015700000000002</v>
      </c>
      <c r="M53" s="16">
        <v>39.448799999999999</v>
      </c>
      <c r="N53" s="16">
        <v>92.370199999999997</v>
      </c>
      <c r="O53" s="16">
        <f t="shared" si="1"/>
        <v>36.509062499999999</v>
      </c>
      <c r="P53" s="7"/>
      <c r="Q53" s="8">
        <f>bdrate(C53:C56,D53:D56,J53:J56,K53:K56)</f>
        <v>-7.8962237619913167E-2</v>
      </c>
      <c r="R53" s="8">
        <f>bdrate(C53:C56,E53:E56,J53:J56,L53:L56)</f>
        <v>-0.47828024387734147</v>
      </c>
      <c r="S53" s="8">
        <f>bdrate(C53:C56,F53:F56,J53:J56,M53:M56)</f>
        <v>-0.42057641916778643</v>
      </c>
      <c r="T53" s="25">
        <f>bdrate(C53:C56,H53:H56,J53:J56,O53:O56)</f>
        <v>-0.16421012651932776</v>
      </c>
      <c r="U53" s="28">
        <f t="shared" si="2"/>
        <v>1.1610995509801715E-2</v>
      </c>
    </row>
    <row r="54" spans="1:21" x14ac:dyDescent="0.25">
      <c r="A54" s="9" t="s">
        <v>42</v>
      </c>
      <c r="B54" s="9"/>
      <c r="C54" s="17">
        <v>426.49</v>
      </c>
      <c r="D54" s="18">
        <v>33.171999999999997</v>
      </c>
      <c r="E54" s="18">
        <v>38.338000000000001</v>
      </c>
      <c r="F54" s="18">
        <v>36.793999999999997</v>
      </c>
      <c r="G54" s="18">
        <v>103.39</v>
      </c>
      <c r="H54" s="18">
        <f t="shared" si="0"/>
        <v>34.270499999999998</v>
      </c>
      <c r="I54" s="5"/>
      <c r="J54" s="17">
        <v>409.32639999999998</v>
      </c>
      <c r="K54" s="18">
        <v>33.444899999999997</v>
      </c>
      <c r="L54" s="18">
        <v>39.865400000000001</v>
      </c>
      <c r="M54" s="18">
        <v>38.167000000000002</v>
      </c>
      <c r="N54" s="18">
        <v>107.5731</v>
      </c>
      <c r="O54" s="18">
        <f t="shared" si="1"/>
        <v>34.837724999999999</v>
      </c>
      <c r="P54" s="7"/>
      <c r="Q54" s="10"/>
      <c r="R54" s="11"/>
      <c r="S54" s="11"/>
      <c r="T54" s="26"/>
      <c r="U54" s="28">
        <f t="shared" si="2"/>
        <v>4.0459425476351639E-2</v>
      </c>
    </row>
    <row r="55" spans="1:21" x14ac:dyDescent="0.25">
      <c r="B55" s="9"/>
      <c r="C55" s="17">
        <v>268.13</v>
      </c>
      <c r="D55" s="18">
        <v>31.306000000000001</v>
      </c>
      <c r="E55" s="18">
        <v>37.084000000000003</v>
      </c>
      <c r="F55" s="18">
        <v>35.302999999999997</v>
      </c>
      <c r="G55" s="18">
        <v>116.96</v>
      </c>
      <c r="H55" s="18">
        <f t="shared" si="0"/>
        <v>32.527875000000002</v>
      </c>
      <c r="I55" s="5"/>
      <c r="J55" s="17">
        <v>254.45359999999999</v>
      </c>
      <c r="K55" s="18">
        <v>31.415099999999999</v>
      </c>
      <c r="L55" s="18">
        <v>38.648299999999999</v>
      </c>
      <c r="M55" s="18">
        <v>36.828499999999998</v>
      </c>
      <c r="N55" s="18">
        <v>124.2236</v>
      </c>
      <c r="O55" s="18">
        <f t="shared" si="1"/>
        <v>32.995925</v>
      </c>
      <c r="P55" s="7"/>
      <c r="Q55" s="10"/>
      <c r="R55" s="11"/>
      <c r="S55" s="11"/>
      <c r="T55" s="26"/>
      <c r="U55" s="28">
        <f t="shared" si="2"/>
        <v>6.2103283173734709E-2</v>
      </c>
    </row>
    <row r="56" spans="1:21" ht="16.5" thickBot="1" x14ac:dyDescent="0.3">
      <c r="B56" s="12"/>
      <c r="C56" s="19">
        <v>127.45</v>
      </c>
      <c r="D56" s="20">
        <v>28.561</v>
      </c>
      <c r="E56" s="20">
        <v>35.380000000000003</v>
      </c>
      <c r="F56" s="20">
        <v>33.07</v>
      </c>
      <c r="G56" s="20">
        <v>143.06</v>
      </c>
      <c r="H56" s="20">
        <f t="shared" si="0"/>
        <v>29.976999999999997</v>
      </c>
      <c r="I56" s="5"/>
      <c r="J56" s="19">
        <v>123.2544</v>
      </c>
      <c r="K56" s="20">
        <v>28.559899999999999</v>
      </c>
      <c r="L56" s="20">
        <v>37.0595</v>
      </c>
      <c r="M56" s="20">
        <v>34.951099999999997</v>
      </c>
      <c r="N56" s="20">
        <v>181.0282</v>
      </c>
      <c r="O56" s="20">
        <f t="shared" si="1"/>
        <v>30.421250000000001</v>
      </c>
      <c r="P56" s="7"/>
      <c r="Q56" s="13"/>
      <c r="R56" s="14"/>
      <c r="S56" s="14"/>
      <c r="T56" s="27"/>
      <c r="U56" s="28">
        <f t="shared" si="2"/>
        <v>0.26540053124563118</v>
      </c>
    </row>
    <row r="57" spans="1:21" x14ac:dyDescent="0.25">
      <c r="B57" s="6" t="s">
        <v>58</v>
      </c>
      <c r="C57" s="15">
        <v>557.16</v>
      </c>
      <c r="D57" s="16">
        <v>32.997</v>
      </c>
      <c r="E57" s="16">
        <v>40.164000000000001</v>
      </c>
      <c r="F57" s="16">
        <v>40.994</v>
      </c>
      <c r="G57" s="16">
        <v>132.63</v>
      </c>
      <c r="H57" s="16">
        <f t="shared" si="0"/>
        <v>34.892499999999998</v>
      </c>
      <c r="I57" s="5"/>
      <c r="J57" s="15">
        <v>620.30399999999997</v>
      </c>
      <c r="K57" s="16">
        <v>34.1068</v>
      </c>
      <c r="L57" s="16">
        <v>42.032200000000003</v>
      </c>
      <c r="M57" s="16">
        <v>43.017200000000003</v>
      </c>
      <c r="N57" s="16">
        <v>119.0712</v>
      </c>
      <c r="O57" s="16">
        <f t="shared" si="1"/>
        <v>36.211275000000001</v>
      </c>
      <c r="P57" s="7"/>
      <c r="Q57" s="8">
        <f>bdrate(C57:C60,D57:D60,J57:J60,K57:K60)</f>
        <v>-0.23038927775601525</v>
      </c>
      <c r="R57" s="8">
        <f>bdrate(C57:C60,E57:E60,J57:J60,L57:L60)</f>
        <v>-0.55294242468859001</v>
      </c>
      <c r="S57" s="8">
        <f>bdrate(C57:C60,F57:F60,J57:J60,M57:M60)</f>
        <v>-0.5688180117391235</v>
      </c>
      <c r="T57" s="25">
        <f>bdrate(C57:C60,H57:H60,J57:J60,O57:O60)</f>
        <v>-0.29191082013032887</v>
      </c>
      <c r="U57" s="28">
        <f t="shared" si="2"/>
        <v>-0.10223026464600762</v>
      </c>
    </row>
    <row r="58" spans="1:21" x14ac:dyDescent="0.25">
      <c r="B58" s="9"/>
      <c r="C58" s="17">
        <v>365.34</v>
      </c>
      <c r="D58" s="18">
        <v>31.651</v>
      </c>
      <c r="E58" s="18">
        <v>39.463000000000001</v>
      </c>
      <c r="F58" s="18">
        <v>40.247</v>
      </c>
      <c r="G58" s="18">
        <v>150.83000000000001</v>
      </c>
      <c r="H58" s="18">
        <f t="shared" si="0"/>
        <v>33.701999999999998</v>
      </c>
      <c r="I58" s="5"/>
      <c r="J58" s="17">
        <v>411.41919999999999</v>
      </c>
      <c r="K58" s="18">
        <v>32.804900000000004</v>
      </c>
      <c r="L58" s="18">
        <v>41.202800000000003</v>
      </c>
      <c r="M58" s="18">
        <v>42.152900000000002</v>
      </c>
      <c r="N58" s="18">
        <v>144.05760000000001</v>
      </c>
      <c r="O58" s="18">
        <f t="shared" si="1"/>
        <v>35.023137500000004</v>
      </c>
      <c r="P58" s="7"/>
      <c r="Q58" s="10"/>
      <c r="R58" s="11"/>
      <c r="S58" s="11"/>
      <c r="T58" s="26"/>
      <c r="U58" s="28">
        <f t="shared" si="2"/>
        <v>-4.4900881787442844E-2</v>
      </c>
    </row>
    <row r="59" spans="1:21" x14ac:dyDescent="0.25">
      <c r="B59" s="9"/>
      <c r="C59" s="17">
        <v>225.77</v>
      </c>
      <c r="D59" s="18">
        <v>30.08</v>
      </c>
      <c r="E59" s="18">
        <v>38.811999999999998</v>
      </c>
      <c r="F59" s="18">
        <v>39.444000000000003</v>
      </c>
      <c r="G59" s="18">
        <v>167.93</v>
      </c>
      <c r="H59" s="18">
        <f t="shared" si="0"/>
        <v>32.341999999999999</v>
      </c>
      <c r="I59" s="5"/>
      <c r="J59" s="17">
        <v>254.24160000000001</v>
      </c>
      <c r="K59" s="18">
        <v>31.322399999999998</v>
      </c>
      <c r="L59" s="18">
        <v>40.251399999999997</v>
      </c>
      <c r="M59" s="18">
        <v>41.117699999999999</v>
      </c>
      <c r="N59" s="18">
        <v>182.31540000000001</v>
      </c>
      <c r="O59" s="18">
        <f t="shared" si="1"/>
        <v>33.662937499999998</v>
      </c>
      <c r="P59" s="7"/>
      <c r="Q59" s="10"/>
      <c r="R59" s="11"/>
      <c r="S59" s="11"/>
      <c r="T59" s="26"/>
      <c r="U59" s="28">
        <f t="shared" si="2"/>
        <v>8.5663073899839237E-2</v>
      </c>
    </row>
    <row r="60" spans="1:21" ht="16.5" thickBot="1" x14ac:dyDescent="0.3">
      <c r="B60" s="12"/>
      <c r="C60" s="19">
        <v>103.38</v>
      </c>
      <c r="D60" s="20">
        <v>27.132999999999999</v>
      </c>
      <c r="E60" s="20">
        <v>37.895000000000003</v>
      </c>
      <c r="F60" s="20">
        <v>38.476999999999997</v>
      </c>
      <c r="G60" s="20">
        <v>193.3</v>
      </c>
      <c r="H60" s="20">
        <f t="shared" si="0"/>
        <v>29.896250000000002</v>
      </c>
      <c r="I60" s="5"/>
      <c r="J60" s="19">
        <v>121.2504</v>
      </c>
      <c r="K60" s="20">
        <v>28.893899999999999</v>
      </c>
      <c r="L60" s="20">
        <v>38.969499999999996</v>
      </c>
      <c r="M60" s="20">
        <v>39.804900000000004</v>
      </c>
      <c r="N60" s="20">
        <v>265.25200000000001</v>
      </c>
      <c r="O60" s="20">
        <f t="shared" si="1"/>
        <v>31.517225</v>
      </c>
      <c r="P60" s="7"/>
      <c r="Q60" s="13"/>
      <c r="R60" s="14"/>
      <c r="S60" s="14"/>
      <c r="T60" s="27"/>
      <c r="U60" s="28">
        <f t="shared" si="2"/>
        <v>0.37222969477496115</v>
      </c>
    </row>
    <row r="61" spans="1:21" x14ac:dyDescent="0.25">
      <c r="B61" s="6" t="s">
        <v>59</v>
      </c>
      <c r="C61" s="29">
        <v>627.63</v>
      </c>
      <c r="D61" s="30">
        <v>33.024999999999999</v>
      </c>
      <c r="E61" s="30">
        <v>37.552999999999997</v>
      </c>
      <c r="F61" s="30">
        <v>38.113999999999997</v>
      </c>
      <c r="G61" s="16">
        <v>116.14</v>
      </c>
      <c r="H61" s="16">
        <f t="shared" si="0"/>
        <v>34.227124999999994</v>
      </c>
      <c r="I61" s="5"/>
      <c r="J61" s="29">
        <v>645.20799999999997</v>
      </c>
      <c r="K61" s="30">
        <v>33.619999999999997</v>
      </c>
      <c r="L61" s="30">
        <v>39.130600000000001</v>
      </c>
      <c r="M61" s="30">
        <v>39.9664</v>
      </c>
      <c r="N61" s="16">
        <v>112.0574</v>
      </c>
      <c r="O61" s="16">
        <f t="shared" si="1"/>
        <v>35.102125000000001</v>
      </c>
      <c r="P61" s="7"/>
      <c r="Q61" s="8">
        <f>bdrate(C61:C64,D61:D64,J61:J64,K61:K64)</f>
        <v>-0.15208374632005306</v>
      </c>
      <c r="R61" s="8">
        <f>bdrate(C61:C64,E61:E64,J61:J64,L61:L64)</f>
        <v>-0.49655070411274227</v>
      </c>
      <c r="S61" s="8">
        <f>bdrate(C61:C64,F61:F64,J61:J64,M61:M64)</f>
        <v>-0.53235597001121437</v>
      </c>
      <c r="T61" s="25">
        <f>bdrate(C61:C64,H61:H64,J61:J64,O61:O64)</f>
        <v>-0.23434818407580082</v>
      </c>
      <c r="U61" s="28">
        <f t="shared" si="2"/>
        <v>-3.5152402273118645E-2</v>
      </c>
    </row>
    <row r="62" spans="1:21" x14ac:dyDescent="0.25">
      <c r="B62" s="9"/>
      <c r="C62" s="31">
        <v>418.38</v>
      </c>
      <c r="D62" s="32">
        <v>31.481999999999999</v>
      </c>
      <c r="E62" s="32">
        <v>36.466000000000001</v>
      </c>
      <c r="F62" s="32">
        <v>36.993000000000002</v>
      </c>
      <c r="G62" s="18">
        <v>131.34</v>
      </c>
      <c r="H62" s="18">
        <f t="shared" si="0"/>
        <v>32.793875</v>
      </c>
      <c r="I62" s="5"/>
      <c r="J62" s="31">
        <v>430.23919999999998</v>
      </c>
      <c r="K62" s="32">
        <v>32.119399999999999</v>
      </c>
      <c r="L62" s="32">
        <v>38.084200000000003</v>
      </c>
      <c r="M62" s="32">
        <v>38.816200000000002</v>
      </c>
      <c r="N62" s="18">
        <v>132.9787</v>
      </c>
      <c r="O62" s="18">
        <f t="shared" si="1"/>
        <v>33.702100000000002</v>
      </c>
      <c r="P62" s="7"/>
      <c r="Q62" s="10"/>
      <c r="R62" s="11"/>
      <c r="S62" s="11"/>
      <c r="T62" s="26"/>
      <c r="U62" s="28">
        <f t="shared" si="2"/>
        <v>1.2476777828536623E-2</v>
      </c>
    </row>
    <row r="63" spans="1:21" x14ac:dyDescent="0.25">
      <c r="B63" s="9"/>
      <c r="C63" s="31">
        <v>259.08999999999997</v>
      </c>
      <c r="D63" s="32">
        <v>29.754999999999999</v>
      </c>
      <c r="E63" s="32">
        <v>35.268000000000001</v>
      </c>
      <c r="F63" s="32">
        <v>35.820999999999998</v>
      </c>
      <c r="G63" s="18">
        <v>147.71</v>
      </c>
      <c r="H63" s="18">
        <f t="shared" si="0"/>
        <v>31.202375</v>
      </c>
      <c r="I63" s="5"/>
      <c r="J63" s="31">
        <v>268.77839999999998</v>
      </c>
      <c r="K63" s="32">
        <v>30.4575</v>
      </c>
      <c r="L63" s="32">
        <v>36.971699999999998</v>
      </c>
      <c r="M63" s="32">
        <v>37.695599999999999</v>
      </c>
      <c r="N63" s="18">
        <v>161.8647</v>
      </c>
      <c r="O63" s="18">
        <f t="shared" si="1"/>
        <v>32.176537500000002</v>
      </c>
      <c r="P63" s="7"/>
      <c r="Q63" s="10"/>
      <c r="R63" s="11"/>
      <c r="S63" s="11"/>
      <c r="T63" s="26"/>
      <c r="U63" s="28">
        <f t="shared" si="2"/>
        <v>9.5827635231196195E-2</v>
      </c>
    </row>
    <row r="64" spans="1:21" ht="16.5" thickBot="1" x14ac:dyDescent="0.3">
      <c r="B64" s="12"/>
      <c r="C64" s="33">
        <v>121.65</v>
      </c>
      <c r="D64" s="34">
        <v>27.175000000000001</v>
      </c>
      <c r="E64" s="34">
        <v>33.612000000000002</v>
      </c>
      <c r="F64" s="34">
        <v>34.122999999999998</v>
      </c>
      <c r="G64" s="20">
        <v>177.12</v>
      </c>
      <c r="H64" s="20">
        <f t="shared" si="0"/>
        <v>28.848125</v>
      </c>
      <c r="I64" s="5"/>
      <c r="J64" s="33">
        <v>126.5528</v>
      </c>
      <c r="K64" s="34">
        <v>28.023199999999999</v>
      </c>
      <c r="L64" s="34">
        <v>35.494999999999997</v>
      </c>
      <c r="M64" s="34">
        <v>36.172899999999998</v>
      </c>
      <c r="N64" s="20">
        <v>225.6318</v>
      </c>
      <c r="O64" s="20">
        <f t="shared" si="1"/>
        <v>29.975887499999999</v>
      </c>
      <c r="P64" s="7"/>
      <c r="Q64" s="13"/>
      <c r="R64" s="14"/>
      <c r="S64" s="14"/>
      <c r="T64" s="27"/>
      <c r="U64" s="28">
        <f t="shared" si="2"/>
        <v>0.2738922764227642</v>
      </c>
    </row>
    <row r="65" spans="1:21" x14ac:dyDescent="0.25">
      <c r="B65" s="6" t="s">
        <v>60</v>
      </c>
      <c r="C65" s="15">
        <v>576.80999999999995</v>
      </c>
      <c r="D65" s="16">
        <v>34.326000000000001</v>
      </c>
      <c r="E65" s="16">
        <v>37.651000000000003</v>
      </c>
      <c r="F65" s="16">
        <v>38.795000000000002</v>
      </c>
      <c r="G65" s="16">
        <v>70.459999999999994</v>
      </c>
      <c r="H65" s="16">
        <f t="shared" si="0"/>
        <v>35.300250000000005</v>
      </c>
      <c r="I65" s="5"/>
      <c r="J65" s="15">
        <v>614.25120000000004</v>
      </c>
      <c r="K65" s="16">
        <v>34.769100000000002</v>
      </c>
      <c r="L65" s="16">
        <v>38.855899999999998</v>
      </c>
      <c r="M65" s="16">
        <v>40.026400000000002</v>
      </c>
      <c r="N65" s="16">
        <v>65.861699999999999</v>
      </c>
      <c r="O65" s="16">
        <f t="shared" si="1"/>
        <v>35.937112499999998</v>
      </c>
      <c r="P65" s="7"/>
      <c r="Q65" s="8">
        <f>bdrate(C65:C68,D65:D68,J65:J68,K65:K68)</f>
        <v>-1.7586496268218621E-2</v>
      </c>
      <c r="R65" s="8">
        <f>bdrate(C65:C68,E65:E68,J65:J68,L65:L68)</f>
        <v>-0.36698311727730459</v>
      </c>
      <c r="S65" s="8">
        <f>bdrate(C65:C68,F65:F68,J65:J68,M65:M68)</f>
        <v>-0.37873178098049232</v>
      </c>
      <c r="T65" s="25">
        <f>bdrate(C65:C68,H65:H68,J65:J68,O65:O68)</f>
        <v>-9.8713866556594976E-2</v>
      </c>
      <c r="U65" s="28">
        <f t="shared" si="2"/>
        <v>-6.5261141072949128E-2</v>
      </c>
    </row>
    <row r="66" spans="1:21" x14ac:dyDescent="0.25">
      <c r="B66" s="9"/>
      <c r="C66" s="17">
        <v>386.6</v>
      </c>
      <c r="D66" s="18">
        <v>32.551000000000002</v>
      </c>
      <c r="E66" s="18">
        <v>36.442</v>
      </c>
      <c r="F66" s="18">
        <v>37.546999999999997</v>
      </c>
      <c r="G66" s="18">
        <v>82.9</v>
      </c>
      <c r="H66" s="18">
        <f t="shared" si="0"/>
        <v>33.661875000000002</v>
      </c>
      <c r="I66" s="5"/>
      <c r="J66" s="17">
        <v>410.9264</v>
      </c>
      <c r="K66" s="18">
        <v>32.896700000000003</v>
      </c>
      <c r="L66" s="18">
        <v>37.714399999999998</v>
      </c>
      <c r="M66" s="18">
        <v>38.866799999999998</v>
      </c>
      <c r="N66" s="18">
        <v>80.128200000000007</v>
      </c>
      <c r="O66" s="18">
        <f t="shared" si="1"/>
        <v>34.245175000000003</v>
      </c>
      <c r="P66" s="7"/>
      <c r="Q66" s="10"/>
      <c r="R66" s="11"/>
      <c r="S66" s="11"/>
      <c r="T66" s="26"/>
      <c r="U66" s="28">
        <f t="shared" si="2"/>
        <v>-3.3435464414957768E-2</v>
      </c>
    </row>
    <row r="67" spans="1:21" x14ac:dyDescent="0.25">
      <c r="B67" s="9"/>
      <c r="C67" s="17">
        <v>243.96</v>
      </c>
      <c r="D67" s="18">
        <v>30.687000000000001</v>
      </c>
      <c r="E67" s="18">
        <v>35.090000000000003</v>
      </c>
      <c r="F67" s="18">
        <v>36.119999999999997</v>
      </c>
      <c r="G67" s="18">
        <v>95.69</v>
      </c>
      <c r="H67" s="18">
        <f t="shared" si="0"/>
        <v>31.916500000000003</v>
      </c>
      <c r="I67" s="5"/>
      <c r="J67" s="17">
        <v>258.47680000000003</v>
      </c>
      <c r="K67" s="18">
        <v>30.967099999999999</v>
      </c>
      <c r="L67" s="18">
        <v>36.471800000000002</v>
      </c>
      <c r="M67" s="18">
        <v>37.631999999999998</v>
      </c>
      <c r="N67" s="18">
        <v>96.649500000000003</v>
      </c>
      <c r="O67" s="18">
        <f t="shared" si="1"/>
        <v>32.488299999999995</v>
      </c>
      <c r="P67" s="7"/>
      <c r="Q67" s="10"/>
      <c r="R67" s="11"/>
      <c r="S67" s="11"/>
      <c r="T67" s="26"/>
      <c r="U67" s="28">
        <f t="shared" si="2"/>
        <v>1.0027171073257452E-2</v>
      </c>
    </row>
    <row r="68" spans="1:21" ht="16.5" thickBot="1" x14ac:dyDescent="0.3">
      <c r="B68" s="12"/>
      <c r="C68" s="19">
        <v>116.53</v>
      </c>
      <c r="D68" s="20">
        <v>28.106999999999999</v>
      </c>
      <c r="E68" s="20">
        <v>33.229999999999997</v>
      </c>
      <c r="F68" s="20">
        <v>34.146000000000001</v>
      </c>
      <c r="G68" s="20">
        <v>121.7</v>
      </c>
      <c r="H68" s="20">
        <f t="shared" si="0"/>
        <v>29.502249999999997</v>
      </c>
      <c r="I68" s="5"/>
      <c r="J68" s="19">
        <v>124.7792</v>
      </c>
      <c r="K68" s="20">
        <v>28.3841</v>
      </c>
      <c r="L68" s="20">
        <v>35.061599999999999</v>
      </c>
      <c r="M68" s="20">
        <v>36.162199999999999</v>
      </c>
      <c r="N68" s="20">
        <v>135.4402</v>
      </c>
      <c r="O68" s="20">
        <f t="shared" si="1"/>
        <v>30.191049999999997</v>
      </c>
      <c r="P68" s="7"/>
      <c r="Q68" s="13"/>
      <c r="R68" s="14"/>
      <c r="S68" s="14"/>
      <c r="T68" s="27"/>
      <c r="U68" s="28">
        <f t="shared" si="2"/>
        <v>0.11290221857025473</v>
      </c>
    </row>
    <row r="69" spans="1:21" x14ac:dyDescent="0.25">
      <c r="A69" s="6" t="s">
        <v>43</v>
      </c>
      <c r="B69" s="6" t="s">
        <v>61</v>
      </c>
      <c r="C69" s="15">
        <v>1384.05</v>
      </c>
      <c r="D69" s="16">
        <v>41.125999999999998</v>
      </c>
      <c r="E69" s="16">
        <v>45.116</v>
      </c>
      <c r="F69" s="16">
        <v>46.402000000000001</v>
      </c>
      <c r="G69" s="16">
        <v>27.71</v>
      </c>
      <c r="H69" s="16">
        <f t="shared" si="0"/>
        <v>42.284249999999993</v>
      </c>
      <c r="I69" s="5"/>
      <c r="J69" s="15">
        <v>1506.4944</v>
      </c>
      <c r="K69" s="16">
        <v>41.924100000000003</v>
      </c>
      <c r="L69" s="16">
        <v>46.7134</v>
      </c>
      <c r="M69" s="16">
        <v>48.0002</v>
      </c>
      <c r="N69" s="16">
        <v>31.864000000000001</v>
      </c>
      <c r="O69" s="16">
        <f t="shared" si="1"/>
        <v>43.282274999999998</v>
      </c>
      <c r="P69" s="7"/>
      <c r="Q69" s="8">
        <f>bdrate(C69:C72,D69:D72,J69:J72,K69:K72)</f>
        <v>-0.19374807517107617</v>
      </c>
      <c r="R69" s="8">
        <f>bdrate(C69:C72,E69:E72,J69:J72,L69:L72)</f>
        <v>-0.45713914779646336</v>
      </c>
      <c r="S69" s="8">
        <f>bdrate(C69:C72,F69:F72,J69:J72,M69:M72)</f>
        <v>-0.43227051063630817</v>
      </c>
      <c r="T69" s="25">
        <f>bdrate(C69:C72,H69:H72,J69:J72,O69:O72)</f>
        <v>-0.25068383107721748</v>
      </c>
      <c r="U69" s="28">
        <f t="shared" si="2"/>
        <v>0.14990977986286538</v>
      </c>
    </row>
    <row r="70" spans="1:21" x14ac:dyDescent="0.25">
      <c r="A70" s="9" t="s">
        <v>44</v>
      </c>
      <c r="B70" s="9"/>
      <c r="C70" s="17">
        <v>912.57</v>
      </c>
      <c r="D70" s="18">
        <v>39.945</v>
      </c>
      <c r="E70" s="18">
        <v>44.048000000000002</v>
      </c>
      <c r="F70" s="18">
        <v>45.337000000000003</v>
      </c>
      <c r="G70" s="18">
        <v>30.94</v>
      </c>
      <c r="H70" s="18">
        <f t="shared" si="0"/>
        <v>41.131875000000001</v>
      </c>
      <c r="I70" s="5"/>
      <c r="J70" s="17">
        <v>997.20399999999995</v>
      </c>
      <c r="K70" s="18">
        <v>40.956099999999999</v>
      </c>
      <c r="L70" s="18">
        <v>45.918900000000001</v>
      </c>
      <c r="M70" s="18">
        <v>47.127099999999999</v>
      </c>
      <c r="N70" s="18">
        <v>38.85</v>
      </c>
      <c r="O70" s="18">
        <f t="shared" si="1"/>
        <v>42.347825</v>
      </c>
      <c r="P70" s="7"/>
      <c r="Q70" s="10"/>
      <c r="R70" s="11"/>
      <c r="S70" s="11"/>
      <c r="T70" s="26"/>
      <c r="U70" s="28">
        <f t="shared" si="2"/>
        <v>0.25565610859728505</v>
      </c>
    </row>
    <row r="71" spans="1:21" x14ac:dyDescent="0.25">
      <c r="B71" s="9"/>
      <c r="C71" s="17">
        <v>540.65</v>
      </c>
      <c r="D71" s="18">
        <v>38.225000000000001</v>
      </c>
      <c r="E71" s="18">
        <v>42.823999999999998</v>
      </c>
      <c r="F71" s="18">
        <v>44.076999999999998</v>
      </c>
      <c r="G71" s="18">
        <v>34.22</v>
      </c>
      <c r="H71" s="18">
        <f t="shared" si="0"/>
        <v>39.531375000000004</v>
      </c>
      <c r="I71" s="5"/>
      <c r="J71" s="17">
        <v>586.32640000000004</v>
      </c>
      <c r="K71" s="18">
        <v>39.332000000000001</v>
      </c>
      <c r="L71" s="18">
        <v>44.558599999999998</v>
      </c>
      <c r="M71" s="18">
        <v>45.756900000000002</v>
      </c>
      <c r="N71" s="18">
        <v>48.076900000000002</v>
      </c>
      <c r="O71" s="18">
        <f t="shared" si="1"/>
        <v>40.788437500000001</v>
      </c>
      <c r="P71" s="7"/>
      <c r="Q71" s="10"/>
      <c r="R71" s="11"/>
      <c r="S71" s="11"/>
      <c r="T71" s="26"/>
      <c r="U71" s="28">
        <f t="shared" si="2"/>
        <v>0.40493571011104629</v>
      </c>
    </row>
    <row r="72" spans="1:21" ht="16.5" thickBot="1" x14ac:dyDescent="0.3">
      <c r="B72" s="12"/>
      <c r="C72" s="19">
        <v>259.3</v>
      </c>
      <c r="D72" s="20">
        <v>35.768999999999998</v>
      </c>
      <c r="E72" s="20">
        <v>41.604999999999997</v>
      </c>
      <c r="F72" s="20">
        <v>42.558</v>
      </c>
      <c r="G72" s="20">
        <v>34.74</v>
      </c>
      <c r="H72" s="20">
        <f t="shared" si="0"/>
        <v>37.347124999999998</v>
      </c>
      <c r="I72" s="5"/>
      <c r="J72" s="19">
        <v>284.47680000000003</v>
      </c>
      <c r="K72" s="20">
        <v>36.349499999999999</v>
      </c>
      <c r="L72" s="20">
        <v>42.5456</v>
      </c>
      <c r="M72" s="20">
        <v>43.655299999999997</v>
      </c>
      <c r="N72" s="20">
        <v>63.051699999999997</v>
      </c>
      <c r="O72" s="20">
        <f t="shared" si="1"/>
        <v>38.037237499999996</v>
      </c>
      <c r="P72" s="7"/>
      <c r="Q72" s="13"/>
      <c r="R72" s="14"/>
      <c r="S72" s="14"/>
      <c r="T72" s="27"/>
      <c r="U72" s="28">
        <f t="shared" si="2"/>
        <v>0.81495970063327561</v>
      </c>
    </row>
    <row r="73" spans="1:21" x14ac:dyDescent="0.25">
      <c r="B73" s="6" t="s">
        <v>62</v>
      </c>
      <c r="C73" s="15">
        <v>1428.36</v>
      </c>
      <c r="D73" s="16">
        <v>42.662999999999997</v>
      </c>
      <c r="E73" s="16">
        <v>47.511000000000003</v>
      </c>
      <c r="F73" s="16">
        <v>48.188000000000002</v>
      </c>
      <c r="G73" s="16">
        <v>27.05</v>
      </c>
      <c r="H73" s="16">
        <f t="shared" si="0"/>
        <v>43.959624999999996</v>
      </c>
      <c r="I73" s="5"/>
      <c r="J73" s="15">
        <v>1510.556</v>
      </c>
      <c r="K73" s="16">
        <v>42.9071</v>
      </c>
      <c r="L73" s="16">
        <v>48.471800000000002</v>
      </c>
      <c r="M73" s="16">
        <v>49.154699999999998</v>
      </c>
      <c r="N73" s="16">
        <v>34.774500000000003</v>
      </c>
      <c r="O73" s="16">
        <f t="shared" si="1"/>
        <v>44.383637499999999</v>
      </c>
      <c r="P73" s="7"/>
      <c r="Q73" s="8">
        <f>bdrate(C73:C76,D73:D76,J73:J76,K73:K76)</f>
        <v>-0.19820226294690879</v>
      </c>
      <c r="R73" s="8">
        <f>bdrate(C73:C76,E73:E76,J73:J76,L73:L76)</f>
        <v>-0.52284159780836781</v>
      </c>
      <c r="S73" s="8">
        <f>bdrate(C73:C76,F73:F76,J73:J76,M73:M76)</f>
        <v>-0.48524420415343161</v>
      </c>
      <c r="T73" s="25">
        <f>bdrate(C73:C76,H73:H76,J73:J76,O73:O76)</f>
        <v>-0.29234899899630629</v>
      </c>
      <c r="U73" s="28">
        <f t="shared" ref="U73:U91" si="3">(N73-G73)/G73</f>
        <v>0.28556377079482448</v>
      </c>
    </row>
    <row r="74" spans="1:21" x14ac:dyDescent="0.25">
      <c r="B74" s="9"/>
      <c r="C74" s="17">
        <v>939.55</v>
      </c>
      <c r="D74" s="18">
        <v>42.119</v>
      </c>
      <c r="E74" s="18">
        <v>46.88</v>
      </c>
      <c r="F74" s="18">
        <v>47.573</v>
      </c>
      <c r="G74" s="18">
        <v>30.21</v>
      </c>
      <c r="H74" s="18">
        <f t="shared" si="0"/>
        <v>43.395874999999997</v>
      </c>
      <c r="I74" s="5"/>
      <c r="J74" s="17">
        <v>997.05119999999999</v>
      </c>
      <c r="K74" s="18">
        <v>42.484499999999997</v>
      </c>
      <c r="L74" s="18">
        <v>48.110599999999998</v>
      </c>
      <c r="M74" s="18">
        <v>48.776400000000002</v>
      </c>
      <c r="N74" s="18">
        <v>43.409100000000002</v>
      </c>
      <c r="O74" s="18">
        <f t="shared" si="1"/>
        <v>43.974249999999998</v>
      </c>
      <c r="P74" s="7"/>
      <c r="Q74" s="10"/>
      <c r="R74" s="11"/>
      <c r="S74" s="11"/>
      <c r="T74" s="26"/>
      <c r="U74" s="28">
        <f t="shared" si="3"/>
        <v>0.43691161866931483</v>
      </c>
    </row>
    <row r="75" spans="1:21" x14ac:dyDescent="0.25">
      <c r="B75" s="9"/>
      <c r="C75" s="17">
        <v>554.09</v>
      </c>
      <c r="D75" s="18">
        <v>41.231999999999999</v>
      </c>
      <c r="E75" s="18">
        <v>45.872999999999998</v>
      </c>
      <c r="F75" s="18">
        <v>46.643000000000001</v>
      </c>
      <c r="G75" s="18">
        <v>30.48</v>
      </c>
      <c r="H75" s="18">
        <f t="shared" si="0"/>
        <v>42.488500000000002</v>
      </c>
      <c r="I75" s="5"/>
      <c r="J75" s="17">
        <v>580.99279999999999</v>
      </c>
      <c r="K75" s="18">
        <v>41.735999999999997</v>
      </c>
      <c r="L75" s="18">
        <v>47.369399999999999</v>
      </c>
      <c r="M75" s="18">
        <v>48.000999999999998</v>
      </c>
      <c r="N75" s="18">
        <v>53.494999999999997</v>
      </c>
      <c r="O75" s="18">
        <f t="shared" si="1"/>
        <v>43.223299999999995</v>
      </c>
      <c r="P75" s="7"/>
      <c r="Q75" s="10"/>
      <c r="R75" s="11"/>
      <c r="S75" s="11"/>
      <c r="T75" s="26"/>
      <c r="U75" s="28">
        <f t="shared" si="3"/>
        <v>0.75508530183727018</v>
      </c>
    </row>
    <row r="76" spans="1:21" ht="16.5" thickBot="1" x14ac:dyDescent="0.3">
      <c r="B76" s="12"/>
      <c r="C76" s="19">
        <v>264.26</v>
      </c>
      <c r="D76" s="20">
        <v>39.534999999999997</v>
      </c>
      <c r="E76" s="20">
        <v>44.494999999999997</v>
      </c>
      <c r="F76" s="20">
        <v>45.243000000000002</v>
      </c>
      <c r="G76" s="20">
        <v>34.159999999999997</v>
      </c>
      <c r="H76" s="20">
        <f t="shared" si="0"/>
        <v>40.868499999999997</v>
      </c>
      <c r="I76" s="5"/>
      <c r="J76" s="19">
        <v>279.69040000000001</v>
      </c>
      <c r="K76" s="20">
        <v>40.139099999999999</v>
      </c>
      <c r="L76" s="20">
        <v>45.793900000000001</v>
      </c>
      <c r="M76" s="20">
        <v>46.301099999999998</v>
      </c>
      <c r="N76" s="20">
        <v>71.098500000000001</v>
      </c>
      <c r="O76" s="20">
        <f t="shared" si="1"/>
        <v>41.616199999999999</v>
      </c>
      <c r="P76" s="7"/>
      <c r="Q76" s="13"/>
      <c r="R76" s="14"/>
      <c r="S76" s="14"/>
      <c r="T76" s="27"/>
      <c r="U76" s="28">
        <f t="shared" si="3"/>
        <v>1.0813378220140517</v>
      </c>
    </row>
    <row r="77" spans="1:21" x14ac:dyDescent="0.25">
      <c r="B77" s="6" t="s">
        <v>63</v>
      </c>
      <c r="C77" s="15">
        <v>1491.8</v>
      </c>
      <c r="D77" s="16">
        <v>42.448999999999998</v>
      </c>
      <c r="E77" s="16">
        <v>46.628999999999998</v>
      </c>
      <c r="F77" s="16">
        <v>47.521000000000001</v>
      </c>
      <c r="G77" s="16">
        <v>23.61</v>
      </c>
      <c r="H77" s="16">
        <f t="shared" si="0"/>
        <v>43.605499999999999</v>
      </c>
      <c r="I77" s="5"/>
      <c r="J77" s="15">
        <v>1542.8704</v>
      </c>
      <c r="K77" s="16">
        <v>42.871000000000002</v>
      </c>
      <c r="L77" s="16">
        <v>47.660200000000003</v>
      </c>
      <c r="M77" s="16">
        <v>48.548999999999999</v>
      </c>
      <c r="N77" s="16">
        <v>30.3567</v>
      </c>
      <c r="O77" s="16">
        <f t="shared" si="1"/>
        <v>44.179400000000001</v>
      </c>
      <c r="P77" s="7"/>
      <c r="Q77" s="8">
        <f>bdrate(C77:C80,D77:D80,J77:J80,K77:K80)</f>
        <v>-0.2011894529382513</v>
      </c>
      <c r="R77" s="8">
        <f>bdrate(C77:C80,E77:E80,J77:J80,L77:L80)</f>
        <v>-0.45972713253573128</v>
      </c>
      <c r="S77" s="8">
        <f>bdrate(C77:C80,F77:F80,J77:J80,M77:M80)</f>
        <v>-0.44297546974923374</v>
      </c>
      <c r="T77" s="25">
        <f>bdrate(C77:C80,H77:H80,J77:J80,O77:O80)</f>
        <v>-0.26704066029206197</v>
      </c>
      <c r="U77" s="28">
        <f t="shared" si="3"/>
        <v>0.28575603557814488</v>
      </c>
    </row>
    <row r="78" spans="1:21" x14ac:dyDescent="0.25">
      <c r="B78" s="9"/>
      <c r="C78" s="17">
        <v>987.68</v>
      </c>
      <c r="D78" s="18">
        <v>41.593000000000004</v>
      </c>
      <c r="E78" s="18">
        <v>45.747999999999998</v>
      </c>
      <c r="F78" s="18">
        <v>46.667999999999999</v>
      </c>
      <c r="G78" s="18">
        <v>26.63</v>
      </c>
      <c r="H78" s="18">
        <f t="shared" si="0"/>
        <v>42.746750000000006</v>
      </c>
      <c r="I78" s="5"/>
      <c r="J78" s="17">
        <v>1028.28</v>
      </c>
      <c r="K78" s="18">
        <v>42.195</v>
      </c>
      <c r="L78" s="18">
        <v>47.090299999999999</v>
      </c>
      <c r="M78" s="18">
        <v>47.969700000000003</v>
      </c>
      <c r="N78" s="18">
        <v>37.780999999999999</v>
      </c>
      <c r="O78" s="18">
        <f t="shared" si="1"/>
        <v>43.528750000000002</v>
      </c>
      <c r="P78" s="7"/>
      <c r="Q78" s="10"/>
      <c r="R78" s="11"/>
      <c r="S78" s="11"/>
      <c r="T78" s="26"/>
      <c r="U78" s="28">
        <f t="shared" si="3"/>
        <v>0.41873826511453249</v>
      </c>
    </row>
    <row r="79" spans="1:21" x14ac:dyDescent="0.25">
      <c r="B79" s="9"/>
      <c r="C79" s="17">
        <v>589.36</v>
      </c>
      <c r="D79" s="18">
        <v>40.258000000000003</v>
      </c>
      <c r="E79" s="18">
        <v>44.463000000000001</v>
      </c>
      <c r="F79" s="18">
        <v>45.404000000000003</v>
      </c>
      <c r="G79" s="18">
        <v>29.91</v>
      </c>
      <c r="H79" s="18">
        <f t="shared" si="0"/>
        <v>41.426875000000003</v>
      </c>
      <c r="I79" s="5"/>
      <c r="J79" s="17">
        <v>601.64239999999995</v>
      </c>
      <c r="K79" s="18">
        <v>40.969799999999999</v>
      </c>
      <c r="L79" s="18">
        <v>46.022100000000002</v>
      </c>
      <c r="M79" s="18">
        <v>46.895899999999997</v>
      </c>
      <c r="N79" s="18">
        <v>49.817300000000003</v>
      </c>
      <c r="O79" s="18">
        <f t="shared" si="1"/>
        <v>42.342100000000002</v>
      </c>
      <c r="P79" s="7"/>
      <c r="Q79" s="10"/>
      <c r="R79" s="11"/>
      <c r="S79" s="11"/>
      <c r="T79" s="26"/>
      <c r="U79" s="28">
        <f t="shared" si="3"/>
        <v>0.66557338682714817</v>
      </c>
    </row>
    <row r="80" spans="1:21" ht="16.5" thickBot="1" x14ac:dyDescent="0.3">
      <c r="B80" s="12"/>
      <c r="C80" s="19">
        <v>286.68</v>
      </c>
      <c r="D80" s="20">
        <v>38.216000000000001</v>
      </c>
      <c r="E80" s="20">
        <v>42.963999999999999</v>
      </c>
      <c r="F80" s="20">
        <v>43.866</v>
      </c>
      <c r="G80" s="20">
        <v>34.31</v>
      </c>
      <c r="H80" s="20">
        <f t="shared" si="0"/>
        <v>39.515749999999997</v>
      </c>
      <c r="I80" s="5"/>
      <c r="J80" s="19">
        <v>294.16480000000001</v>
      </c>
      <c r="K80" s="20">
        <v>38.712499999999999</v>
      </c>
      <c r="L80" s="20">
        <v>44.182699999999997</v>
      </c>
      <c r="M80" s="20">
        <v>44.9861</v>
      </c>
      <c r="N80" s="20">
        <v>65.631200000000007</v>
      </c>
      <c r="O80" s="20">
        <f t="shared" si="1"/>
        <v>40.180475000000001</v>
      </c>
      <c r="P80" s="7"/>
      <c r="Q80" s="13"/>
      <c r="R80" s="14"/>
      <c r="S80" s="14"/>
      <c r="T80" s="27"/>
      <c r="U80" s="28">
        <f t="shared" si="3"/>
        <v>0.91288837073739437</v>
      </c>
    </row>
    <row r="81" spans="1:21" x14ac:dyDescent="0.25">
      <c r="A81" s="6" t="s">
        <v>94</v>
      </c>
      <c r="B81" s="6" t="s">
        <v>95</v>
      </c>
      <c r="C81" s="29">
        <v>1202.32</v>
      </c>
      <c r="D81" s="30">
        <v>43.927999999999997</v>
      </c>
      <c r="E81" s="30">
        <v>49.473999999999997</v>
      </c>
      <c r="F81" s="30">
        <v>50.21</v>
      </c>
      <c r="G81" s="16">
        <v>14.63</v>
      </c>
      <c r="H81" s="16">
        <f t="shared" ref="H81:H91" si="4">(6*D81+E81+F81)/8</f>
        <v>45.406499999999994</v>
      </c>
      <c r="I81" s="5"/>
      <c r="J81" s="15">
        <v>1232.4636</v>
      </c>
      <c r="K81" s="16">
        <v>45.139099999999999</v>
      </c>
      <c r="L81" s="16">
        <v>51.5242</v>
      </c>
      <c r="M81" s="16">
        <v>52.136200000000002</v>
      </c>
      <c r="N81" s="16">
        <v>17.278300000000002</v>
      </c>
      <c r="O81" s="16">
        <f t="shared" ref="O81:O91" si="5">(6*K81+L81+M81)/8</f>
        <v>46.811875000000001</v>
      </c>
      <c r="P81" s="7"/>
      <c r="Q81" s="8">
        <f>bdrate(C81:C84,D81:D84,J81:J84,K81:K84)</f>
        <v>-0.2245625113029458</v>
      </c>
      <c r="R81" s="8">
        <f>bdrate(C81:C84,E81:E84,J81:J84,L81:L84)</f>
        <v>-0.54237615012441043</v>
      </c>
      <c r="S81" s="8">
        <f>bdrate(C81:C84,F81:F84,J81:J84,M81:M84)</f>
        <v>-0.53614764886048361</v>
      </c>
      <c r="T81" s="25">
        <f>bdrate(C81:C84,H81:H84,J81:J84,O81:O84)</f>
        <v>-0.29997422001044993</v>
      </c>
      <c r="U81" s="28">
        <f t="shared" si="3"/>
        <v>0.18101845522898158</v>
      </c>
    </row>
    <row r="82" spans="1:21" x14ac:dyDescent="0.25">
      <c r="A82" s="9" t="s">
        <v>77</v>
      </c>
      <c r="B82" s="9"/>
      <c r="C82" s="31">
        <v>807.95</v>
      </c>
      <c r="D82" s="32">
        <v>41.927999999999997</v>
      </c>
      <c r="E82" s="32">
        <v>47.625999999999998</v>
      </c>
      <c r="F82" s="32">
        <v>48.621000000000002</v>
      </c>
      <c r="G82" s="18">
        <v>16.91</v>
      </c>
      <c r="H82" s="18">
        <f t="shared" si="4"/>
        <v>43.476874999999993</v>
      </c>
      <c r="I82" s="5"/>
      <c r="J82" s="17">
        <v>832.05370000000005</v>
      </c>
      <c r="K82" s="18">
        <v>43.384399999999999</v>
      </c>
      <c r="L82" s="18">
        <v>50.268599999999999</v>
      </c>
      <c r="M82" s="18">
        <v>50.9529</v>
      </c>
      <c r="N82" s="18">
        <v>20.246600000000001</v>
      </c>
      <c r="O82" s="18">
        <f t="shared" si="5"/>
        <v>45.190987499999999</v>
      </c>
      <c r="P82" s="7"/>
      <c r="Q82" s="10"/>
      <c r="R82" s="11"/>
      <c r="S82" s="11"/>
      <c r="T82" s="26"/>
      <c r="U82" s="28">
        <f t="shared" si="3"/>
        <v>0.19731519810762865</v>
      </c>
    </row>
    <row r="83" spans="1:21" x14ac:dyDescent="0.25">
      <c r="B83" s="9"/>
      <c r="C83" s="31">
        <v>489.07</v>
      </c>
      <c r="D83" s="32">
        <v>39.502000000000002</v>
      </c>
      <c r="E83" s="32">
        <v>45.465000000000003</v>
      </c>
      <c r="F83" s="32">
        <v>46.706000000000003</v>
      </c>
      <c r="G83" s="18">
        <v>19.22</v>
      </c>
      <c r="H83" s="18">
        <f t="shared" si="4"/>
        <v>41.147874999999999</v>
      </c>
      <c r="I83" s="5"/>
      <c r="J83" s="17">
        <v>505.97089999999997</v>
      </c>
      <c r="K83" s="18">
        <v>40.876600000000003</v>
      </c>
      <c r="L83" s="18">
        <v>48.822000000000003</v>
      </c>
      <c r="M83" s="18">
        <v>49.739600000000003</v>
      </c>
      <c r="N83" s="18">
        <v>24.755500000000001</v>
      </c>
      <c r="O83" s="18">
        <f t="shared" si="5"/>
        <v>42.977650000000004</v>
      </c>
      <c r="P83" s="7"/>
      <c r="Q83" s="10"/>
      <c r="R83" s="11"/>
      <c r="S83" s="11"/>
      <c r="T83" s="26"/>
      <c r="U83" s="28">
        <f t="shared" si="3"/>
        <v>0.28800728407908444</v>
      </c>
    </row>
    <row r="84" spans="1:21" ht="16.5" thickBot="1" x14ac:dyDescent="0.3">
      <c r="B84" s="12"/>
      <c r="C84" s="33">
        <v>249.18</v>
      </c>
      <c r="D84" s="34">
        <v>36.344999999999999</v>
      </c>
      <c r="E84" s="34">
        <v>43.34</v>
      </c>
      <c r="F84" s="34">
        <v>44.283999999999999</v>
      </c>
      <c r="G84" s="20">
        <v>22.65</v>
      </c>
      <c r="H84" s="20">
        <f t="shared" si="4"/>
        <v>38.211749999999995</v>
      </c>
      <c r="I84" s="5"/>
      <c r="J84" s="19">
        <v>257.34750000000003</v>
      </c>
      <c r="K84" s="20">
        <v>37.641399999999997</v>
      </c>
      <c r="L84" s="20">
        <v>46.2423</v>
      </c>
      <c r="M84" s="20">
        <v>46.936500000000002</v>
      </c>
      <c r="N84" s="20">
        <v>32.723700000000001</v>
      </c>
      <c r="O84" s="20">
        <f t="shared" si="5"/>
        <v>39.878399999999999</v>
      </c>
      <c r="P84" s="7"/>
      <c r="Q84" s="13"/>
      <c r="R84" s="14"/>
      <c r="S84" s="14"/>
      <c r="T84" s="27"/>
      <c r="U84" s="28">
        <f t="shared" si="3"/>
        <v>0.44475496688741734</v>
      </c>
    </row>
    <row r="85" spans="1:21" x14ac:dyDescent="0.25">
      <c r="B85" s="6" t="s">
        <v>96</v>
      </c>
      <c r="C85" s="15">
        <v>1460.4</v>
      </c>
      <c r="D85" s="16">
        <v>52.938000000000002</v>
      </c>
      <c r="E85" s="16">
        <v>53.865000000000002</v>
      </c>
      <c r="F85" s="16">
        <v>54.286000000000001</v>
      </c>
      <c r="G85" s="16">
        <v>34.26</v>
      </c>
      <c r="H85" s="16">
        <f t="shared" si="4"/>
        <v>53.222375000000007</v>
      </c>
      <c r="I85" s="5"/>
      <c r="J85" s="15">
        <v>1424.8912</v>
      </c>
      <c r="K85" s="16">
        <v>53.149799999999999</v>
      </c>
      <c r="L85" s="16">
        <v>54.135899999999999</v>
      </c>
      <c r="M85" s="16">
        <v>54.748600000000003</v>
      </c>
      <c r="N85" s="16">
        <v>35.811599999999999</v>
      </c>
      <c r="O85" s="16">
        <f t="shared" si="5"/>
        <v>53.4729125</v>
      </c>
      <c r="P85" s="7"/>
      <c r="Q85" s="8">
        <f>bdrate(C85:C88,D85:D88,J85:J88,K85:K88)</f>
        <v>-0.14302283772209834</v>
      </c>
      <c r="R85" s="8">
        <f>bdrate(C85:C88,E85:E88,J85:J88,L85:L88)</f>
        <v>-0.23280538517870764</v>
      </c>
      <c r="S85" s="8">
        <f>bdrate(C85:C88,F85:F88,J85:J88,M85:M88)</f>
        <v>-0.2351128370398089</v>
      </c>
      <c r="T85" s="25">
        <f>bdrate(C85:C88,H85:H88,J85:J88,O85:O88)</f>
        <v>-0.16502575392817964</v>
      </c>
      <c r="U85" s="28">
        <f t="shared" si="3"/>
        <v>4.5288966725043803E-2</v>
      </c>
    </row>
    <row r="86" spans="1:21" x14ac:dyDescent="0.25">
      <c r="B86" s="9"/>
      <c r="C86" s="17">
        <v>969.16</v>
      </c>
      <c r="D86" s="18">
        <v>50.274000000000001</v>
      </c>
      <c r="E86" s="18">
        <v>51.387</v>
      </c>
      <c r="F86" s="18">
        <v>51.938000000000002</v>
      </c>
      <c r="G86" s="18">
        <v>40.5</v>
      </c>
      <c r="H86" s="18">
        <f t="shared" si="4"/>
        <v>50.621124999999999</v>
      </c>
      <c r="I86" s="5"/>
      <c r="J86" s="17">
        <v>977.95230000000004</v>
      </c>
      <c r="K86" s="18">
        <v>51.276699999999998</v>
      </c>
      <c r="L86" s="18">
        <v>52.57</v>
      </c>
      <c r="M86" s="18">
        <v>53.1374</v>
      </c>
      <c r="N86" s="18">
        <v>46.676900000000003</v>
      </c>
      <c r="O86" s="18">
        <f t="shared" si="5"/>
        <v>51.670949999999998</v>
      </c>
      <c r="P86" s="7"/>
      <c r="Q86" s="10"/>
      <c r="R86" s="11"/>
      <c r="S86" s="11"/>
      <c r="T86" s="26"/>
      <c r="U86" s="28">
        <f t="shared" si="3"/>
        <v>0.15251604938271612</v>
      </c>
    </row>
    <row r="87" spans="1:21" x14ac:dyDescent="0.25">
      <c r="B87" s="9"/>
      <c r="C87" s="17">
        <v>580.07000000000005</v>
      </c>
      <c r="D87" s="18">
        <v>47.116</v>
      </c>
      <c r="E87" s="18">
        <v>48.454000000000001</v>
      </c>
      <c r="F87" s="18">
        <v>49.070999999999998</v>
      </c>
      <c r="G87" s="18">
        <v>46.79</v>
      </c>
      <c r="H87" s="18">
        <f t="shared" si="4"/>
        <v>47.527625</v>
      </c>
      <c r="I87" s="5"/>
      <c r="J87" s="17">
        <v>606.43439999999998</v>
      </c>
      <c r="K87" s="18">
        <v>48.5154</v>
      </c>
      <c r="L87" s="18">
        <v>50.395000000000003</v>
      </c>
      <c r="M87" s="18">
        <v>50.949800000000003</v>
      </c>
      <c r="N87" s="18">
        <v>59.020299999999999</v>
      </c>
      <c r="O87" s="18">
        <f t="shared" si="5"/>
        <v>49.054649999999995</v>
      </c>
      <c r="P87" s="7"/>
      <c r="Q87" s="10"/>
      <c r="R87" s="11"/>
      <c r="S87" s="11"/>
      <c r="T87" s="26"/>
      <c r="U87" s="28">
        <f t="shared" si="3"/>
        <v>0.2613870485146399</v>
      </c>
    </row>
    <row r="88" spans="1:21" ht="16.5" thickBot="1" x14ac:dyDescent="0.3">
      <c r="B88" s="12"/>
      <c r="C88" s="19">
        <v>291.75</v>
      </c>
      <c r="D88" s="20">
        <v>43.103999999999999</v>
      </c>
      <c r="E88" s="20">
        <v>44.74</v>
      </c>
      <c r="F88" s="20">
        <v>45.353000000000002</v>
      </c>
      <c r="G88" s="20">
        <v>48.08</v>
      </c>
      <c r="H88" s="20">
        <f t="shared" si="4"/>
        <v>43.589625000000005</v>
      </c>
      <c r="I88" s="5"/>
      <c r="J88" s="19">
        <v>311.66050000000001</v>
      </c>
      <c r="K88" s="20">
        <v>44.055300000000003</v>
      </c>
      <c r="L88" s="20">
        <v>46.680399999999999</v>
      </c>
      <c r="M88" s="20">
        <v>47.2759</v>
      </c>
      <c r="N88" s="20">
        <v>69.508799999999994</v>
      </c>
      <c r="O88" s="20">
        <f t="shared" si="5"/>
        <v>44.786012500000005</v>
      </c>
      <c r="P88" s="7"/>
      <c r="Q88" s="13"/>
      <c r="R88" s="14"/>
      <c r="S88" s="14"/>
      <c r="T88" s="27"/>
      <c r="U88" s="28">
        <f t="shared" si="3"/>
        <v>0.44569051580698826</v>
      </c>
    </row>
    <row r="89" spans="1:21" x14ac:dyDescent="0.25">
      <c r="B89" s="6" t="s">
        <v>97</v>
      </c>
      <c r="C89" s="15">
        <v>1553.8</v>
      </c>
      <c r="D89" s="16">
        <v>43.017000000000003</v>
      </c>
      <c r="E89" s="16">
        <v>45.183999999999997</v>
      </c>
      <c r="F89" s="16">
        <v>45.673000000000002</v>
      </c>
      <c r="G89" s="16">
        <v>18.489999999999998</v>
      </c>
      <c r="H89" s="16">
        <f t="shared" si="4"/>
        <v>43.619875000000008</v>
      </c>
      <c r="I89" s="5"/>
      <c r="J89" s="15">
        <v>1474.9484</v>
      </c>
      <c r="K89" s="16">
        <v>43.950400000000002</v>
      </c>
      <c r="L89" s="16">
        <v>46.668999999999997</v>
      </c>
      <c r="M89" s="16">
        <v>47.096499999999999</v>
      </c>
      <c r="N89" s="16">
        <v>21.742000000000001</v>
      </c>
      <c r="O89" s="16">
        <f t="shared" si="5"/>
        <v>44.683487499999998</v>
      </c>
      <c r="P89" s="7"/>
      <c r="Q89" s="8">
        <f>bdrate(C89:C92,D89:D92,J89:J92,K89:K92)</f>
        <v>-0.21752304675448497</v>
      </c>
      <c r="R89" s="8">
        <f>bdrate(C89:C92,E89:E92,J89:J92,L89:L92)</f>
        <v>-0.39896664242363056</v>
      </c>
      <c r="S89" s="8">
        <f>bdrate(C89:C92,F89:F92,J89:J92,M89:M92)</f>
        <v>-0.38139431891729392</v>
      </c>
      <c r="T89" s="25">
        <f>bdrate(C89:C92,H89:H92,J89:J92,O89:O92)</f>
        <v>-0.25585980878231618</v>
      </c>
      <c r="U89" s="28">
        <f t="shared" si="3"/>
        <v>0.17587885343428894</v>
      </c>
    </row>
    <row r="90" spans="1:21" x14ac:dyDescent="0.25">
      <c r="B90" s="9"/>
      <c r="C90" s="17">
        <v>1034.99</v>
      </c>
      <c r="D90" s="18">
        <v>40.981999999999999</v>
      </c>
      <c r="E90" s="18">
        <v>43.500999999999998</v>
      </c>
      <c r="F90" s="18">
        <v>43.988999999999997</v>
      </c>
      <c r="G90" s="18">
        <v>21.02</v>
      </c>
      <c r="H90" s="18">
        <f t="shared" si="4"/>
        <v>41.672749999999994</v>
      </c>
      <c r="I90" s="5"/>
      <c r="J90" s="17">
        <v>985.99480000000005</v>
      </c>
      <c r="K90" s="18">
        <v>42.003999999999998</v>
      </c>
      <c r="L90" s="18">
        <v>45.191000000000003</v>
      </c>
      <c r="M90" s="18">
        <v>45.539000000000001</v>
      </c>
      <c r="N90" s="18">
        <v>26.446100000000001</v>
      </c>
      <c r="O90" s="18">
        <f t="shared" si="5"/>
        <v>42.844250000000002</v>
      </c>
      <c r="P90" s="7"/>
      <c r="Q90" s="10"/>
      <c r="R90" s="11"/>
      <c r="S90" s="11"/>
      <c r="T90" s="26"/>
      <c r="U90" s="28">
        <f t="shared" si="3"/>
        <v>0.25813986679353007</v>
      </c>
    </row>
    <row r="91" spans="1:21" x14ac:dyDescent="0.25">
      <c r="B91" s="9"/>
      <c r="C91" s="17">
        <v>622.89</v>
      </c>
      <c r="D91" s="18">
        <v>38.344999999999999</v>
      </c>
      <c r="E91" s="18">
        <v>41.459000000000003</v>
      </c>
      <c r="F91" s="18">
        <v>41.966999999999999</v>
      </c>
      <c r="G91" s="18">
        <v>23.11</v>
      </c>
      <c r="H91" s="18">
        <f t="shared" si="4"/>
        <v>39.186999999999998</v>
      </c>
      <c r="I91" s="5"/>
      <c r="J91" s="17">
        <v>591.47239999999999</v>
      </c>
      <c r="K91" s="18">
        <v>39.379899999999999</v>
      </c>
      <c r="L91" s="18">
        <v>43.263100000000001</v>
      </c>
      <c r="M91" s="18">
        <v>43.652099999999997</v>
      </c>
      <c r="N91" s="18">
        <v>32.203200000000002</v>
      </c>
      <c r="O91" s="18">
        <f t="shared" si="5"/>
        <v>40.399325000000005</v>
      </c>
      <c r="P91" s="7"/>
      <c r="Q91" s="10"/>
      <c r="R91" s="11"/>
      <c r="S91" s="11"/>
      <c r="T91" s="26"/>
      <c r="U91" s="28">
        <f t="shared" si="3"/>
        <v>0.39347468628299453</v>
      </c>
    </row>
    <row r="92" spans="1:21" ht="16.5" thickBot="1" x14ac:dyDescent="0.3">
      <c r="B92" s="12"/>
      <c r="C92" s="19">
        <v>312.37</v>
      </c>
      <c r="D92" s="20">
        <v>34.93</v>
      </c>
      <c r="E92" s="20">
        <v>38.966000000000001</v>
      </c>
      <c r="F92" s="20">
        <v>39.462000000000003</v>
      </c>
      <c r="G92" s="20">
        <v>25</v>
      </c>
      <c r="H92" s="20">
        <f t="shared" ref="H92:H124" si="6">(6*D92+E92+F92)/8</f>
        <v>36.000999999999998</v>
      </c>
      <c r="I92" s="5"/>
      <c r="J92" s="19">
        <v>298.42230000000001</v>
      </c>
      <c r="K92" s="20">
        <v>35.755899999999997</v>
      </c>
      <c r="L92" s="20">
        <v>40.774000000000001</v>
      </c>
      <c r="M92" s="20">
        <v>41.191800000000001</v>
      </c>
      <c r="N92" s="20">
        <v>40.786700000000003</v>
      </c>
      <c r="O92" s="20">
        <f t="shared" ref="O92:O124" si="7">(6*K92+L92+M92)/8</f>
        <v>37.062649999999998</v>
      </c>
      <c r="P92" s="7"/>
      <c r="Q92" s="13"/>
      <c r="R92" s="14"/>
      <c r="S92" s="14"/>
      <c r="T92" s="27"/>
      <c r="U92" s="28">
        <f t="shared" ref="U92:U124" si="8">(N92-G92)/G92</f>
        <v>0.63146800000000014</v>
      </c>
    </row>
    <row r="93" spans="1:21" x14ac:dyDescent="0.25">
      <c r="B93" s="6" t="s">
        <v>98</v>
      </c>
      <c r="C93" s="15">
        <v>1370.16</v>
      </c>
      <c r="D93" s="16">
        <v>38.896999999999998</v>
      </c>
      <c r="E93" s="16">
        <v>43.223999999999997</v>
      </c>
      <c r="F93" s="16">
        <v>43.215000000000003</v>
      </c>
      <c r="G93" s="16">
        <v>15.44</v>
      </c>
      <c r="H93" s="16">
        <f t="shared" si="6"/>
        <v>39.977625000000003</v>
      </c>
      <c r="I93" s="5"/>
      <c r="J93" s="29">
        <v>1498.9504999999999</v>
      </c>
      <c r="K93" s="30">
        <v>39.990400000000001</v>
      </c>
      <c r="L93" s="30">
        <v>44.854300000000002</v>
      </c>
      <c r="M93" s="30">
        <v>44.854700000000001</v>
      </c>
      <c r="N93" s="16">
        <v>19.090599999999998</v>
      </c>
      <c r="O93" s="16">
        <f t="shared" si="7"/>
        <v>41.206425000000003</v>
      </c>
      <c r="P93" s="7"/>
      <c r="Q93" s="8">
        <f>bdrate(C93:C96,D93:D96,J93:J96,K93:K96)</f>
        <v>-0.11736434548461228</v>
      </c>
      <c r="R93" s="8">
        <f>bdrate(C93:C96,E93:E96,J93:J96,L93:L96)</f>
        <v>-0.39879708963804938</v>
      </c>
      <c r="S93" s="8">
        <f>bdrate(C93:C96,F93:F96,J93:J96,M93:M96)</f>
        <v>-0.39230160726051</v>
      </c>
      <c r="T93" s="25">
        <f>bdrate(C93:C96,H93:H96,J93:J96,O93:O96)</f>
        <v>-0.17923789451422334</v>
      </c>
      <c r="U93" s="28">
        <f t="shared" si="8"/>
        <v>0.23643782383419684</v>
      </c>
    </row>
    <row r="94" spans="1:21" x14ac:dyDescent="0.25">
      <c r="B94" s="9"/>
      <c r="C94" s="17">
        <v>912.63</v>
      </c>
      <c r="D94" s="18">
        <v>37.11</v>
      </c>
      <c r="E94" s="18">
        <v>41.814999999999998</v>
      </c>
      <c r="F94" s="18">
        <v>41.811999999999998</v>
      </c>
      <c r="G94" s="18">
        <v>17.28</v>
      </c>
      <c r="H94" s="18">
        <f t="shared" si="6"/>
        <v>38.285875000000004</v>
      </c>
      <c r="I94" s="5"/>
      <c r="J94" s="31">
        <v>1000.814</v>
      </c>
      <c r="K94" s="32">
        <v>38.168399999999998</v>
      </c>
      <c r="L94" s="32">
        <v>43.601300000000002</v>
      </c>
      <c r="M94" s="32">
        <v>43.5959</v>
      </c>
      <c r="N94" s="18">
        <v>21.206700000000001</v>
      </c>
      <c r="O94" s="18">
        <f t="shared" si="7"/>
        <v>39.525949999999995</v>
      </c>
      <c r="P94" s="7"/>
      <c r="Q94" s="10"/>
      <c r="R94" s="11"/>
      <c r="S94" s="11"/>
      <c r="T94" s="26"/>
      <c r="U94" s="28">
        <f t="shared" si="8"/>
        <v>0.22723958333333333</v>
      </c>
    </row>
    <row r="95" spans="1:21" x14ac:dyDescent="0.25">
      <c r="B95" s="9"/>
      <c r="C95" s="17">
        <v>546.49</v>
      </c>
      <c r="D95" s="18">
        <v>34.911999999999999</v>
      </c>
      <c r="E95" s="18">
        <v>40.215000000000003</v>
      </c>
      <c r="F95" s="18">
        <v>40.167999999999999</v>
      </c>
      <c r="G95" s="18">
        <v>19.54</v>
      </c>
      <c r="H95" s="18">
        <f t="shared" si="6"/>
        <v>36.231874999999995</v>
      </c>
      <c r="I95" s="5"/>
      <c r="J95" s="31">
        <v>602.58000000000004</v>
      </c>
      <c r="K95" s="32">
        <v>35.840899999999998</v>
      </c>
      <c r="L95" s="32">
        <v>42.060899999999997</v>
      </c>
      <c r="M95" s="32">
        <v>42.025100000000002</v>
      </c>
      <c r="N95" s="18">
        <v>27.31</v>
      </c>
      <c r="O95" s="18">
        <f t="shared" si="7"/>
        <v>37.391424999999998</v>
      </c>
      <c r="P95" s="7"/>
      <c r="Q95" s="10"/>
      <c r="R95" s="11"/>
      <c r="S95" s="11"/>
      <c r="T95" s="26"/>
      <c r="U95" s="28">
        <f t="shared" si="8"/>
        <v>0.39764585465711361</v>
      </c>
    </row>
    <row r="96" spans="1:21" ht="16.5" thickBot="1" x14ac:dyDescent="0.3">
      <c r="B96" s="12"/>
      <c r="C96" s="19">
        <v>272.77999999999997</v>
      </c>
      <c r="D96" s="20">
        <v>32.057000000000002</v>
      </c>
      <c r="E96" s="20">
        <v>38.219000000000001</v>
      </c>
      <c r="F96" s="20">
        <v>38.167999999999999</v>
      </c>
      <c r="G96" s="20">
        <v>21.66</v>
      </c>
      <c r="H96" s="20">
        <f t="shared" si="6"/>
        <v>33.591124999999998</v>
      </c>
      <c r="I96" s="5"/>
      <c r="J96" s="33">
        <v>301.27210000000002</v>
      </c>
      <c r="K96" s="34">
        <v>32.865499999999997</v>
      </c>
      <c r="L96" s="34">
        <v>40.196899999999999</v>
      </c>
      <c r="M96" s="34">
        <v>40.0916</v>
      </c>
      <c r="N96" s="20">
        <v>35.590699999999998</v>
      </c>
      <c r="O96" s="20">
        <f t="shared" si="7"/>
        <v>34.685187499999998</v>
      </c>
      <c r="P96" s="7"/>
      <c r="Q96" s="13"/>
      <c r="R96" s="14"/>
      <c r="S96" s="14"/>
      <c r="T96" s="27"/>
      <c r="U96" s="28">
        <f t="shared" si="8"/>
        <v>0.64315327793167121</v>
      </c>
    </row>
    <row r="97" spans="2:21" x14ac:dyDescent="0.25">
      <c r="B97" s="6" t="s">
        <v>99</v>
      </c>
      <c r="C97" s="29">
        <v>1524.49</v>
      </c>
      <c r="D97" s="30">
        <v>37.090000000000003</v>
      </c>
      <c r="E97" s="30">
        <v>41.2</v>
      </c>
      <c r="F97" s="30">
        <v>41.726999999999997</v>
      </c>
      <c r="G97" s="16">
        <v>18.850000000000001</v>
      </c>
      <c r="H97" s="16">
        <f t="shared" si="6"/>
        <v>38.183374999999998</v>
      </c>
      <c r="I97" s="5"/>
      <c r="J97" s="15">
        <v>1507.2164</v>
      </c>
      <c r="K97" s="16">
        <v>38.024799999999999</v>
      </c>
      <c r="L97" s="16">
        <v>43.137500000000003</v>
      </c>
      <c r="M97" s="16">
        <v>43.6477</v>
      </c>
      <c r="N97" s="16">
        <v>20.998100000000001</v>
      </c>
      <c r="O97" s="16">
        <f t="shared" si="7"/>
        <v>39.366749999999996</v>
      </c>
      <c r="P97" s="7"/>
      <c r="Q97" s="8">
        <f>bdrate(C97:C100,D97:D100,J97:J100,K97:K100)</f>
        <v>-0.2056509559605264</v>
      </c>
      <c r="R97" s="8">
        <f>bdrate(C97:C100,E97:E100,J97:J100,L97:L100)</f>
        <v>-0.49907133194373299</v>
      </c>
      <c r="S97" s="8">
        <f>bdrate(C97:C100,F97:F100,J97:J100,M97:M100)</f>
        <v>-0.5036155811322196</v>
      </c>
      <c r="T97" s="25">
        <f>bdrate(C97:C100,H97:H100,J97:J100,O97:O100)</f>
        <v>-0.27729786471256157</v>
      </c>
      <c r="U97" s="28">
        <f t="shared" si="8"/>
        <v>0.11395755968169757</v>
      </c>
    </row>
    <row r="98" spans="2:21" x14ac:dyDescent="0.25">
      <c r="B98" s="9"/>
      <c r="C98" s="31">
        <v>1017.32</v>
      </c>
      <c r="D98" s="32">
        <v>35.253999999999998</v>
      </c>
      <c r="E98" s="32">
        <v>39.637</v>
      </c>
      <c r="F98" s="32">
        <v>40.247</v>
      </c>
      <c r="G98" s="18">
        <v>20.46</v>
      </c>
      <c r="H98" s="18">
        <f t="shared" si="6"/>
        <v>36.426000000000002</v>
      </c>
      <c r="I98" s="5"/>
      <c r="J98" s="17">
        <v>1007.0373</v>
      </c>
      <c r="K98" s="18">
        <v>36.208599999999997</v>
      </c>
      <c r="L98" s="18">
        <v>41.8461</v>
      </c>
      <c r="M98" s="18">
        <v>42.429499999999997</v>
      </c>
      <c r="N98" s="18">
        <v>24.281300000000002</v>
      </c>
      <c r="O98" s="18">
        <f t="shared" si="7"/>
        <v>37.690899999999999</v>
      </c>
      <c r="P98" s="7"/>
      <c r="Q98" s="10"/>
      <c r="R98" s="11"/>
      <c r="S98" s="11"/>
      <c r="T98" s="26"/>
      <c r="U98" s="28">
        <f t="shared" si="8"/>
        <v>0.18676930596285438</v>
      </c>
    </row>
    <row r="99" spans="2:21" x14ac:dyDescent="0.25">
      <c r="B99" s="9"/>
      <c r="C99" s="31">
        <v>610.99</v>
      </c>
      <c r="D99" s="32">
        <v>32.991999999999997</v>
      </c>
      <c r="E99" s="32">
        <v>37.734999999999999</v>
      </c>
      <c r="F99" s="32">
        <v>38.454999999999998</v>
      </c>
      <c r="G99" s="18">
        <v>23.21</v>
      </c>
      <c r="H99" s="18">
        <f t="shared" si="6"/>
        <v>34.267749999999999</v>
      </c>
      <c r="I99" s="5"/>
      <c r="J99" s="17">
        <v>604.62090000000001</v>
      </c>
      <c r="K99" s="18">
        <v>33.987699999999997</v>
      </c>
      <c r="L99" s="18">
        <v>40.180100000000003</v>
      </c>
      <c r="M99" s="18">
        <v>40.797600000000003</v>
      </c>
      <c r="N99" s="18">
        <v>28.7742</v>
      </c>
      <c r="O99" s="18">
        <f t="shared" si="7"/>
        <v>35.612987500000003</v>
      </c>
      <c r="P99" s="7"/>
      <c r="Q99" s="10"/>
      <c r="R99" s="11"/>
      <c r="S99" s="11"/>
      <c r="T99" s="26"/>
      <c r="U99" s="28">
        <f t="shared" si="8"/>
        <v>0.23973287376130975</v>
      </c>
    </row>
    <row r="100" spans="2:21" ht="16.5" thickBot="1" x14ac:dyDescent="0.3">
      <c r="B100" s="12"/>
      <c r="C100" s="33">
        <v>304.63</v>
      </c>
      <c r="D100" s="34">
        <v>29.878</v>
      </c>
      <c r="E100" s="34">
        <v>35.564</v>
      </c>
      <c r="F100" s="34">
        <v>36.457999999999998</v>
      </c>
      <c r="G100" s="20">
        <v>26.75</v>
      </c>
      <c r="H100" s="20">
        <f t="shared" si="6"/>
        <v>31.411249999999999</v>
      </c>
      <c r="I100" s="5"/>
      <c r="J100" s="19">
        <v>303.25749999999999</v>
      </c>
      <c r="K100" s="20">
        <v>30.890599999999999</v>
      </c>
      <c r="L100" s="20">
        <v>37.962299999999999</v>
      </c>
      <c r="M100" s="20">
        <v>38.671900000000001</v>
      </c>
      <c r="N100" s="20">
        <v>36.069299999999998</v>
      </c>
      <c r="O100" s="20">
        <f t="shared" si="7"/>
        <v>32.747225</v>
      </c>
      <c r="P100" s="7"/>
      <c r="Q100" s="13"/>
      <c r="R100" s="14"/>
      <c r="S100" s="14"/>
      <c r="T100" s="27"/>
      <c r="U100" s="28">
        <f t="shared" si="8"/>
        <v>0.34838504672897191</v>
      </c>
    </row>
    <row r="101" spans="2:21" x14ac:dyDescent="0.25">
      <c r="B101" s="6" t="s">
        <v>100</v>
      </c>
      <c r="C101" s="15">
        <v>1493.26</v>
      </c>
      <c r="D101" s="16">
        <v>37.546999999999997</v>
      </c>
      <c r="E101" s="16">
        <v>42.994</v>
      </c>
      <c r="F101" s="16">
        <v>44.601999999999997</v>
      </c>
      <c r="G101" s="16">
        <v>14.7</v>
      </c>
      <c r="H101" s="16">
        <f t="shared" si="6"/>
        <v>39.109749999999991</v>
      </c>
      <c r="I101" s="5"/>
      <c r="J101" s="15">
        <v>1509.6655000000001</v>
      </c>
      <c r="K101" s="16">
        <v>38.017699999999998</v>
      </c>
      <c r="L101" s="16">
        <v>44.2468</v>
      </c>
      <c r="M101" s="16">
        <v>45.781700000000001</v>
      </c>
      <c r="N101" s="16">
        <v>18.162199999999999</v>
      </c>
      <c r="O101" s="16">
        <f t="shared" si="7"/>
        <v>39.766837500000001</v>
      </c>
      <c r="P101" s="7"/>
      <c r="Q101" s="8">
        <f>bdrate(C101:C104,D101:D104,J101:J104,K101:K104)</f>
        <v>-0.10411129399626728</v>
      </c>
      <c r="R101" s="8">
        <f>bdrate(C101:C104,E101:E104,J101:J104,L101:L104)</f>
        <v>-0.47892976322989789</v>
      </c>
      <c r="S101" s="8">
        <f>bdrate(C101:C104,F101:F104,J101:J104,M101:M104)</f>
        <v>-0.43975887780250111</v>
      </c>
      <c r="T101" s="25">
        <f>bdrate(C101:C104,H101:H104,J101:J104,O101:O104)</f>
        <v>-0.1919807085519406</v>
      </c>
      <c r="U101" s="28">
        <f t="shared" si="8"/>
        <v>0.2355238095238095</v>
      </c>
    </row>
    <row r="102" spans="2:21" x14ac:dyDescent="0.25">
      <c r="B102" s="9"/>
      <c r="C102" s="17">
        <v>996.03</v>
      </c>
      <c r="D102" s="18">
        <v>36.164000000000001</v>
      </c>
      <c r="E102" s="18">
        <v>41.89</v>
      </c>
      <c r="F102" s="18">
        <v>43.38</v>
      </c>
      <c r="G102" s="18">
        <v>16.47</v>
      </c>
      <c r="H102" s="18">
        <f t="shared" si="6"/>
        <v>37.781750000000002</v>
      </c>
      <c r="I102" s="5"/>
      <c r="J102" s="17">
        <v>1008.3017</v>
      </c>
      <c r="K102" s="18">
        <v>36.595300000000002</v>
      </c>
      <c r="L102" s="18">
        <v>43.288899999999998</v>
      </c>
      <c r="M102" s="18">
        <v>44.768799999999999</v>
      </c>
      <c r="N102" s="18">
        <v>21.623699999999999</v>
      </c>
      <c r="O102" s="18">
        <f t="shared" si="7"/>
        <v>38.453687500000001</v>
      </c>
      <c r="P102" s="7"/>
      <c r="Q102" s="10"/>
      <c r="R102" s="11"/>
      <c r="S102" s="11"/>
      <c r="T102" s="26"/>
      <c r="U102" s="28">
        <f t="shared" si="8"/>
        <v>0.31291438979963576</v>
      </c>
    </row>
    <row r="103" spans="2:21" x14ac:dyDescent="0.25">
      <c r="B103" s="9"/>
      <c r="C103" s="17">
        <v>599.03</v>
      </c>
      <c r="D103" s="18">
        <v>34.542999999999999</v>
      </c>
      <c r="E103" s="18">
        <v>40.633000000000003</v>
      </c>
      <c r="F103" s="18">
        <v>41.948999999999998</v>
      </c>
      <c r="G103" s="18">
        <v>18.88</v>
      </c>
      <c r="H103" s="18">
        <f t="shared" si="6"/>
        <v>36.229999999999997</v>
      </c>
      <c r="I103" s="5"/>
      <c r="J103" s="17">
        <v>603.98530000000005</v>
      </c>
      <c r="K103" s="18">
        <v>34.908099999999997</v>
      </c>
      <c r="L103" s="18">
        <v>42.214399999999998</v>
      </c>
      <c r="M103" s="18">
        <v>43.545999999999999</v>
      </c>
      <c r="N103" s="18">
        <v>27.022200000000002</v>
      </c>
      <c r="O103" s="18">
        <f t="shared" si="7"/>
        <v>36.901125</v>
      </c>
      <c r="P103" s="7"/>
      <c r="Q103" s="10"/>
      <c r="R103" s="11"/>
      <c r="S103" s="11"/>
      <c r="T103" s="26"/>
      <c r="U103" s="28">
        <f t="shared" si="8"/>
        <v>0.43126059322033916</v>
      </c>
    </row>
    <row r="104" spans="2:21" ht="16.5" thickBot="1" x14ac:dyDescent="0.3">
      <c r="B104" s="12"/>
      <c r="C104" s="19">
        <v>303.27</v>
      </c>
      <c r="D104" s="20">
        <v>32.533000000000001</v>
      </c>
      <c r="E104" s="20">
        <v>39.215000000000003</v>
      </c>
      <c r="F104" s="20">
        <v>40.18</v>
      </c>
      <c r="G104" s="20">
        <v>22.88</v>
      </c>
      <c r="H104" s="20">
        <f t="shared" si="6"/>
        <v>34.324125000000002</v>
      </c>
      <c r="I104" s="5"/>
      <c r="J104" s="19">
        <v>301.56560000000002</v>
      </c>
      <c r="K104" s="20">
        <v>32.792499999999997</v>
      </c>
      <c r="L104" s="20">
        <v>40.789000000000001</v>
      </c>
      <c r="M104" s="20">
        <v>41.9739</v>
      </c>
      <c r="N104" s="20">
        <v>36.641199999999998</v>
      </c>
      <c r="O104" s="20">
        <f t="shared" si="7"/>
        <v>34.9397375</v>
      </c>
      <c r="P104" s="7"/>
      <c r="Q104" s="13"/>
      <c r="R104" s="14"/>
      <c r="S104" s="14"/>
      <c r="T104" s="27"/>
      <c r="U104" s="28">
        <f t="shared" si="8"/>
        <v>0.60145104895104895</v>
      </c>
    </row>
    <row r="105" spans="2:21" x14ac:dyDescent="0.25">
      <c r="B105" s="6" t="s">
        <v>101</v>
      </c>
      <c r="C105" s="15">
        <v>1601.17</v>
      </c>
      <c r="D105" s="16">
        <v>48.527000000000001</v>
      </c>
      <c r="E105" s="16">
        <v>53.658000000000001</v>
      </c>
      <c r="F105" s="16">
        <v>55.018000000000001</v>
      </c>
      <c r="G105" s="16">
        <v>16.34</v>
      </c>
      <c r="H105" s="16">
        <f t="shared" si="6"/>
        <v>49.97975000000001</v>
      </c>
      <c r="I105" s="5"/>
      <c r="J105" s="15">
        <v>1497.4356</v>
      </c>
      <c r="K105" s="16">
        <v>49.155700000000003</v>
      </c>
      <c r="L105" s="16">
        <v>54.492199999999997</v>
      </c>
      <c r="M105" s="16">
        <v>55.931100000000001</v>
      </c>
      <c r="N105" s="16">
        <v>26.2927</v>
      </c>
      <c r="O105" s="16">
        <f t="shared" si="7"/>
        <v>50.669687500000009</v>
      </c>
      <c r="P105" s="7"/>
      <c r="Q105" s="8">
        <f>bdrate(C105:C108,D105:D108,J105:J108,K105:K108)</f>
        <v>-0.25183226175345241</v>
      </c>
      <c r="R105" s="8">
        <f>bdrate(C105:C108,E105:E108,J105:J108,L105:L108)</f>
        <v>-0.35313642000495948</v>
      </c>
      <c r="S105" s="8">
        <f>bdrate(C105:C108,F105:F108,J105:J108,M105:M108)</f>
        <v>-0.37038344027277015</v>
      </c>
      <c r="T105" s="25">
        <f>bdrate(C105:C108,H105:H108,J105:J108,O105:O108)</f>
        <v>-0.27820413809449551</v>
      </c>
      <c r="U105" s="28">
        <f t="shared" si="8"/>
        <v>0.6091003671970624</v>
      </c>
    </row>
    <row r="106" spans="2:21" x14ac:dyDescent="0.25">
      <c r="B106" s="9"/>
      <c r="C106" s="17">
        <v>1063.5999999999999</v>
      </c>
      <c r="D106" s="18">
        <v>46.737000000000002</v>
      </c>
      <c r="E106" s="18">
        <v>52.055</v>
      </c>
      <c r="F106" s="18">
        <v>53.462000000000003</v>
      </c>
      <c r="G106" s="18">
        <v>20.440000000000001</v>
      </c>
      <c r="H106" s="18">
        <f t="shared" si="6"/>
        <v>48.242375000000003</v>
      </c>
      <c r="I106" s="5"/>
      <c r="J106" s="17">
        <v>1002.3043</v>
      </c>
      <c r="K106" s="18">
        <v>47.550199999999997</v>
      </c>
      <c r="L106" s="18">
        <v>53.186399999999999</v>
      </c>
      <c r="M106" s="18">
        <v>54.677300000000002</v>
      </c>
      <c r="N106" s="18">
        <v>31.066500000000001</v>
      </c>
      <c r="O106" s="18">
        <f t="shared" si="7"/>
        <v>49.145612499999999</v>
      </c>
      <c r="P106" s="7"/>
      <c r="Q106" s="10"/>
      <c r="R106" s="11"/>
      <c r="S106" s="11"/>
      <c r="T106" s="26"/>
      <c r="U106" s="28">
        <f t="shared" si="8"/>
        <v>0.51988747553816039</v>
      </c>
    </row>
    <row r="107" spans="2:21" x14ac:dyDescent="0.25">
      <c r="B107" s="9"/>
      <c r="C107" s="17">
        <v>638.03</v>
      </c>
      <c r="D107" s="18">
        <v>44.524000000000001</v>
      </c>
      <c r="E107" s="18">
        <v>50.015000000000001</v>
      </c>
      <c r="F107" s="18">
        <v>51.484999999999999</v>
      </c>
      <c r="G107" s="18">
        <v>24.31</v>
      </c>
      <c r="H107" s="18">
        <f t="shared" si="6"/>
        <v>46.080500000000001</v>
      </c>
      <c r="I107" s="5"/>
      <c r="J107" s="17">
        <v>601.50139999999999</v>
      </c>
      <c r="K107" s="18">
        <v>45.5533</v>
      </c>
      <c r="L107" s="18">
        <v>51.528300000000002</v>
      </c>
      <c r="M107" s="18">
        <v>53.060899999999997</v>
      </c>
      <c r="N107" s="18">
        <v>38.2742</v>
      </c>
      <c r="O107" s="18">
        <f t="shared" si="7"/>
        <v>47.238624999999999</v>
      </c>
      <c r="P107" s="7"/>
      <c r="Q107" s="10"/>
      <c r="R107" s="11"/>
      <c r="S107" s="11"/>
      <c r="T107" s="26"/>
      <c r="U107" s="28">
        <f t="shared" si="8"/>
        <v>0.5744220485396957</v>
      </c>
    </row>
    <row r="108" spans="2:21" ht="16.5" thickBot="1" x14ac:dyDescent="0.3">
      <c r="B108" s="12"/>
      <c r="C108" s="19">
        <v>320.35000000000002</v>
      </c>
      <c r="D108" s="20">
        <v>41.485999999999997</v>
      </c>
      <c r="E108" s="20">
        <v>47.093000000000004</v>
      </c>
      <c r="F108" s="20">
        <v>48.652000000000001</v>
      </c>
      <c r="G108" s="20">
        <v>30.18</v>
      </c>
      <c r="H108" s="20">
        <f t="shared" si="6"/>
        <v>43.082625</v>
      </c>
      <c r="I108" s="5"/>
      <c r="J108" s="19">
        <v>302.12369999999999</v>
      </c>
      <c r="K108" s="20">
        <v>42.766800000000003</v>
      </c>
      <c r="L108" s="20">
        <v>49.102699999999999</v>
      </c>
      <c r="M108" s="20">
        <v>50.599800000000002</v>
      </c>
      <c r="N108" s="20">
        <v>49.770400000000002</v>
      </c>
      <c r="O108" s="20">
        <f t="shared" si="7"/>
        <v>44.537912500000012</v>
      </c>
      <c r="P108" s="7"/>
      <c r="Q108" s="13"/>
      <c r="R108" s="14"/>
      <c r="S108" s="14"/>
      <c r="T108" s="27"/>
      <c r="U108" s="28">
        <f t="shared" si="8"/>
        <v>0.64911862160371114</v>
      </c>
    </row>
    <row r="109" spans="2:21" x14ac:dyDescent="0.25">
      <c r="B109" s="6" t="s">
        <v>102</v>
      </c>
      <c r="C109" s="15">
        <v>1464.85</v>
      </c>
      <c r="D109" s="16">
        <v>32.484000000000002</v>
      </c>
      <c r="E109" s="16">
        <v>39.774999999999999</v>
      </c>
      <c r="F109" s="16">
        <v>39.281999999999996</v>
      </c>
      <c r="G109" s="16">
        <v>13.24</v>
      </c>
      <c r="H109" s="16">
        <f t="shared" si="6"/>
        <v>34.245125000000002</v>
      </c>
      <c r="I109" s="5"/>
      <c r="J109" s="15">
        <v>1491.0736999999999</v>
      </c>
      <c r="K109" s="16">
        <v>32.9148</v>
      </c>
      <c r="L109" s="16">
        <v>41.539499999999997</v>
      </c>
      <c r="M109" s="16">
        <v>40.909199999999998</v>
      </c>
      <c r="N109" s="16">
        <v>12.947100000000001</v>
      </c>
      <c r="O109" s="16">
        <f t="shared" si="7"/>
        <v>34.9921875</v>
      </c>
      <c r="P109" s="7"/>
      <c r="Q109" s="8">
        <f>bdrate(C109:C112,D109:D112,J109:J112,K109:K112)</f>
        <v>-0.11886608378754271</v>
      </c>
      <c r="R109" s="8">
        <f>bdrate(C109:C112,E109:E112,J109:J112,L109:L112)</f>
        <v>-0.54133277980508676</v>
      </c>
      <c r="S109" s="8">
        <f>bdrate(C109:C112,F109:F112,J109:J112,M109:M112)</f>
        <v>-0.51340341525228084</v>
      </c>
      <c r="T109" s="25">
        <f>bdrate(C109:C112,H109:H112,J109:J112,O109:O112)</f>
        <v>-0.21257837955611858</v>
      </c>
      <c r="U109" s="28">
        <f t="shared" si="8"/>
        <v>-2.2122356495468239E-2</v>
      </c>
    </row>
    <row r="110" spans="2:21" x14ac:dyDescent="0.25">
      <c r="B110" s="9"/>
      <c r="C110" s="17">
        <v>976.12</v>
      </c>
      <c r="D110" s="18">
        <v>30.759</v>
      </c>
      <c r="E110" s="18">
        <v>38.558</v>
      </c>
      <c r="F110" s="18">
        <v>38.021999999999998</v>
      </c>
      <c r="G110" s="18">
        <v>14.64</v>
      </c>
      <c r="H110" s="18">
        <f t="shared" si="6"/>
        <v>32.641750000000002</v>
      </c>
      <c r="I110" s="5"/>
      <c r="J110" s="17">
        <v>993.06449999999995</v>
      </c>
      <c r="K110" s="18">
        <v>31.231999999999999</v>
      </c>
      <c r="L110" s="18">
        <v>40.620800000000003</v>
      </c>
      <c r="M110" s="18">
        <v>39.9831</v>
      </c>
      <c r="N110" s="18">
        <v>15.073</v>
      </c>
      <c r="O110" s="18">
        <f t="shared" si="7"/>
        <v>33.499487500000001</v>
      </c>
      <c r="P110" s="7"/>
      <c r="Q110" s="10"/>
      <c r="R110" s="11"/>
      <c r="S110" s="11"/>
      <c r="T110" s="26"/>
      <c r="U110" s="28">
        <f t="shared" si="8"/>
        <v>2.9576502732240426E-2</v>
      </c>
    </row>
    <row r="111" spans="2:21" x14ac:dyDescent="0.25">
      <c r="B111" s="9"/>
      <c r="C111" s="17">
        <v>585.47</v>
      </c>
      <c r="D111" s="18">
        <v>28.602</v>
      </c>
      <c r="E111" s="18">
        <v>36.997</v>
      </c>
      <c r="F111" s="18">
        <v>36.411000000000001</v>
      </c>
      <c r="G111" s="18">
        <v>16.72</v>
      </c>
      <c r="H111" s="18">
        <f t="shared" si="6"/>
        <v>30.627499999999998</v>
      </c>
      <c r="I111" s="5"/>
      <c r="J111" s="17">
        <v>595.44050000000004</v>
      </c>
      <c r="K111" s="18">
        <v>29.120200000000001</v>
      </c>
      <c r="L111" s="18">
        <v>39.369599999999998</v>
      </c>
      <c r="M111" s="18">
        <v>38.670200000000001</v>
      </c>
      <c r="N111" s="18">
        <v>18.2484</v>
      </c>
      <c r="O111" s="18">
        <f t="shared" si="7"/>
        <v>31.595124999999999</v>
      </c>
      <c r="P111" s="7"/>
      <c r="Q111" s="10"/>
      <c r="R111" s="11"/>
      <c r="S111" s="11"/>
      <c r="T111" s="26"/>
      <c r="U111" s="28">
        <f t="shared" si="8"/>
        <v>9.1411483253588596E-2</v>
      </c>
    </row>
    <row r="112" spans="2:21" ht="16.5" thickBot="1" x14ac:dyDescent="0.3">
      <c r="B112" s="12"/>
      <c r="C112" s="19">
        <v>292.27</v>
      </c>
      <c r="D112" s="20">
        <v>24.263000000000002</v>
      </c>
      <c r="E112" s="20">
        <v>33.14</v>
      </c>
      <c r="F112" s="20">
        <v>32.761000000000003</v>
      </c>
      <c r="G112" s="20">
        <v>27.16</v>
      </c>
      <c r="H112" s="20">
        <f t="shared" si="6"/>
        <v>26.434875000000002</v>
      </c>
      <c r="I112" s="5"/>
      <c r="J112" s="19">
        <v>298.39929999999998</v>
      </c>
      <c r="K112" s="20">
        <v>26.385300000000001</v>
      </c>
      <c r="L112" s="20">
        <v>37.377099999999999</v>
      </c>
      <c r="M112" s="20">
        <v>36.678800000000003</v>
      </c>
      <c r="N112" s="20">
        <v>23.409500000000001</v>
      </c>
      <c r="O112" s="20">
        <f t="shared" si="7"/>
        <v>29.045962499999998</v>
      </c>
      <c r="P112" s="7"/>
      <c r="Q112" s="13"/>
      <c r="R112" s="14"/>
      <c r="S112" s="14"/>
      <c r="T112" s="27"/>
      <c r="U112" s="28">
        <f t="shared" si="8"/>
        <v>-0.13808910162002941</v>
      </c>
    </row>
    <row r="113" spans="2:21" x14ac:dyDescent="0.25">
      <c r="B113" s="6" t="s">
        <v>103</v>
      </c>
      <c r="C113" s="15">
        <v>1488.38</v>
      </c>
      <c r="D113" s="16">
        <v>45.509</v>
      </c>
      <c r="E113" s="16">
        <v>46.448999999999998</v>
      </c>
      <c r="F113" s="16">
        <v>46.365000000000002</v>
      </c>
      <c r="G113" s="16">
        <v>21.33</v>
      </c>
      <c r="H113" s="16">
        <f t="shared" si="6"/>
        <v>45.733499999999999</v>
      </c>
      <c r="I113" s="5"/>
      <c r="J113" s="15">
        <v>1388.7555</v>
      </c>
      <c r="K113" s="16">
        <v>46.505699999999997</v>
      </c>
      <c r="L113" s="16">
        <v>48.086599999999997</v>
      </c>
      <c r="M113" s="16">
        <v>47.985900000000001</v>
      </c>
      <c r="N113" s="16">
        <v>17.5731</v>
      </c>
      <c r="O113" s="16">
        <f t="shared" si="7"/>
        <v>46.888337499999999</v>
      </c>
      <c r="P113" s="7"/>
      <c r="Q113" s="8">
        <f>bdrate(C113:C116,D113:D116,J113:J116,K113:K116)</f>
        <v>-0.25671693372161719</v>
      </c>
      <c r="R113" s="8">
        <f>bdrate(C113:C116,E113:E116,J113:J116,L113:L116)</f>
        <v>-0.42128127152886941</v>
      </c>
      <c r="S113" s="8">
        <f>bdrate(C113:C116,F113:F116,J113:J116,M113:M116)</f>
        <v>-0.41765445301379289</v>
      </c>
      <c r="T113" s="25">
        <f>bdrate(C113:C116,H113:H116,J113:J116,O113:O116)</f>
        <v>-0.29621964540608636</v>
      </c>
      <c r="U113" s="28">
        <f t="shared" si="8"/>
        <v>-0.17613220815752453</v>
      </c>
    </row>
    <row r="114" spans="2:21" x14ac:dyDescent="0.25">
      <c r="B114" s="9"/>
      <c r="C114" s="17">
        <v>992.78</v>
      </c>
      <c r="D114" s="18">
        <v>43.320999999999998</v>
      </c>
      <c r="E114" s="18">
        <v>44.414000000000001</v>
      </c>
      <c r="F114" s="18">
        <v>44.302</v>
      </c>
      <c r="G114" s="18">
        <v>23.67</v>
      </c>
      <c r="H114" s="18">
        <f t="shared" si="6"/>
        <v>43.580249999999999</v>
      </c>
      <c r="I114" s="5"/>
      <c r="J114" s="17">
        <v>943.49609999999996</v>
      </c>
      <c r="K114" s="18">
        <v>44.874499999999998</v>
      </c>
      <c r="L114" s="18">
        <v>46.676099999999998</v>
      </c>
      <c r="M114" s="18">
        <v>46.570599999999999</v>
      </c>
      <c r="N114" s="18">
        <v>25.348199999999999</v>
      </c>
      <c r="O114" s="18">
        <f t="shared" si="7"/>
        <v>45.311712499999999</v>
      </c>
      <c r="P114" s="7"/>
      <c r="Q114" s="10"/>
      <c r="R114" s="11"/>
      <c r="S114" s="11"/>
      <c r="T114" s="26"/>
      <c r="U114" s="28">
        <f t="shared" si="8"/>
        <v>7.0899873257287568E-2</v>
      </c>
    </row>
    <row r="115" spans="2:21" x14ac:dyDescent="0.25">
      <c r="B115" s="9"/>
      <c r="C115" s="17">
        <v>599.4</v>
      </c>
      <c r="D115" s="18">
        <v>40.518000000000001</v>
      </c>
      <c r="E115" s="18">
        <v>41.942999999999998</v>
      </c>
      <c r="F115" s="18">
        <v>41.762</v>
      </c>
      <c r="G115" s="18">
        <v>26.11</v>
      </c>
      <c r="H115" s="18">
        <f t="shared" si="6"/>
        <v>40.851624999999999</v>
      </c>
      <c r="I115" s="5"/>
      <c r="J115" s="17">
        <v>590.45929999999998</v>
      </c>
      <c r="K115" s="18">
        <v>42.179499999999997</v>
      </c>
      <c r="L115" s="18">
        <v>44.580199999999998</v>
      </c>
      <c r="M115" s="18">
        <v>44.431199999999997</v>
      </c>
      <c r="N115" s="18">
        <v>33.338299999999997</v>
      </c>
      <c r="O115" s="18">
        <f t="shared" si="7"/>
        <v>42.761049999999997</v>
      </c>
      <c r="P115" s="7"/>
      <c r="Q115" s="10"/>
      <c r="R115" s="11"/>
      <c r="S115" s="11"/>
      <c r="T115" s="26"/>
      <c r="U115" s="28">
        <f t="shared" si="8"/>
        <v>0.27684029107621594</v>
      </c>
    </row>
    <row r="116" spans="2:21" ht="16.5" thickBot="1" x14ac:dyDescent="0.3">
      <c r="B116" s="12"/>
      <c r="C116" s="19">
        <v>297.23</v>
      </c>
      <c r="D116" s="20">
        <v>36.484999999999999</v>
      </c>
      <c r="E116" s="20">
        <v>38.753999999999998</v>
      </c>
      <c r="F116" s="20">
        <v>38.447000000000003</v>
      </c>
      <c r="G116" s="20">
        <v>29.9</v>
      </c>
      <c r="H116" s="20">
        <f t="shared" si="6"/>
        <v>37.013874999999999</v>
      </c>
      <c r="I116" s="5"/>
      <c r="J116" s="19">
        <v>302.05669999999998</v>
      </c>
      <c r="K116" s="20">
        <v>37.844200000000001</v>
      </c>
      <c r="L116" s="20">
        <v>41.197400000000002</v>
      </c>
      <c r="M116" s="20">
        <v>40.982399999999998</v>
      </c>
      <c r="N116" s="20">
        <v>42.1417</v>
      </c>
      <c r="O116" s="20">
        <f t="shared" si="7"/>
        <v>38.655625000000001</v>
      </c>
      <c r="P116" s="7"/>
      <c r="Q116" s="13"/>
      <c r="R116" s="14"/>
      <c r="S116" s="14"/>
      <c r="T116" s="27"/>
      <c r="U116" s="28">
        <f t="shared" si="8"/>
        <v>0.40942140468227434</v>
      </c>
    </row>
    <row r="117" spans="2:21" x14ac:dyDescent="0.25">
      <c r="B117" s="6" t="s">
        <v>104</v>
      </c>
      <c r="C117" s="15">
        <v>1974.6</v>
      </c>
      <c r="D117" s="16">
        <v>45.926000000000002</v>
      </c>
      <c r="E117" s="16">
        <v>47.88</v>
      </c>
      <c r="F117" s="16">
        <v>48.143000000000001</v>
      </c>
      <c r="G117" s="16">
        <v>21.97</v>
      </c>
      <c r="H117" s="16">
        <f t="shared" si="6"/>
        <v>46.447375000000008</v>
      </c>
      <c r="I117" s="5"/>
      <c r="J117" s="15">
        <v>1368.8044</v>
      </c>
      <c r="K117" s="16">
        <v>47.000900000000001</v>
      </c>
      <c r="L117" s="16">
        <v>49.93</v>
      </c>
      <c r="M117" s="16">
        <v>50.066699999999997</v>
      </c>
      <c r="N117" s="16">
        <v>17.366800000000001</v>
      </c>
      <c r="O117" s="16">
        <f t="shared" si="7"/>
        <v>47.750262500000005</v>
      </c>
      <c r="P117" s="7"/>
      <c r="Q117" s="8">
        <f>bdrate(C117:C120,D117:D120,J117:J120,K117:K120)</f>
        <v>-0.4149968441679559</v>
      </c>
      <c r="R117" s="8">
        <f>bdrate(C117:C120,E117:E120,J117:J120,L117:L120)</f>
        <v>-0.54694488915612871</v>
      </c>
      <c r="S117" s="8">
        <f>bdrate(C117:C120,F117:F120,J117:J120,M117:M120)</f>
        <v>-0.55033166108460763</v>
      </c>
      <c r="T117" s="25">
        <f>bdrate(C117:C120,H117:H120,J117:J120,O117:O120)</f>
        <v>-0.45072523699786859</v>
      </c>
      <c r="U117" s="28">
        <f t="shared" si="8"/>
        <v>-0.2095220755575784</v>
      </c>
    </row>
    <row r="118" spans="2:21" x14ac:dyDescent="0.25">
      <c r="B118" s="9"/>
      <c r="C118" s="17">
        <v>1289.53</v>
      </c>
      <c r="D118" s="18">
        <v>43.652000000000001</v>
      </c>
      <c r="E118" s="18">
        <v>45.805</v>
      </c>
      <c r="F118" s="18">
        <v>46.048000000000002</v>
      </c>
      <c r="G118" s="18">
        <v>24.98</v>
      </c>
      <c r="H118" s="18">
        <f t="shared" si="6"/>
        <v>44.220625000000005</v>
      </c>
      <c r="I118" s="5"/>
      <c r="J118" s="17">
        <v>952.51350000000002</v>
      </c>
      <c r="K118" s="18">
        <v>45.869599999999998</v>
      </c>
      <c r="L118" s="18">
        <v>49.072600000000001</v>
      </c>
      <c r="M118" s="18">
        <v>49.214199999999998</v>
      </c>
      <c r="N118" s="18">
        <v>20.827500000000001</v>
      </c>
      <c r="O118" s="18">
        <f t="shared" si="7"/>
        <v>46.688050000000004</v>
      </c>
      <c r="P118" s="7"/>
      <c r="Q118" s="10"/>
      <c r="R118" s="11"/>
      <c r="S118" s="11"/>
      <c r="T118" s="26"/>
      <c r="U118" s="28">
        <f t="shared" si="8"/>
        <v>-0.16623298638911127</v>
      </c>
    </row>
    <row r="119" spans="2:21" x14ac:dyDescent="0.25">
      <c r="B119" s="9"/>
      <c r="C119" s="17">
        <v>753.95</v>
      </c>
      <c r="D119" s="18">
        <v>41.073999999999998</v>
      </c>
      <c r="E119" s="18">
        <v>43.182000000000002</v>
      </c>
      <c r="F119" s="18">
        <v>43.466999999999999</v>
      </c>
      <c r="G119" s="18">
        <v>28.18</v>
      </c>
      <c r="H119" s="18">
        <f t="shared" si="6"/>
        <v>41.636624999999995</v>
      </c>
      <c r="I119" s="5"/>
      <c r="J119" s="17">
        <v>624.44349999999997</v>
      </c>
      <c r="K119" s="18">
        <v>43.0379</v>
      </c>
      <c r="L119" s="18">
        <v>46.437399999999997</v>
      </c>
      <c r="M119" s="18">
        <v>46.727800000000002</v>
      </c>
      <c r="N119" s="18">
        <v>23.629799999999999</v>
      </c>
      <c r="O119" s="18">
        <f t="shared" si="7"/>
        <v>43.924075000000002</v>
      </c>
      <c r="P119" s="7"/>
      <c r="Q119" s="10"/>
      <c r="R119" s="11"/>
      <c r="S119" s="11"/>
      <c r="T119" s="26"/>
      <c r="U119" s="28">
        <f t="shared" si="8"/>
        <v>-0.16146912704045424</v>
      </c>
    </row>
    <row r="120" spans="2:21" ht="16.5" thickBot="1" x14ac:dyDescent="0.3">
      <c r="B120" s="12"/>
      <c r="C120" s="19">
        <v>364.19</v>
      </c>
      <c r="D120" s="20">
        <v>37.6</v>
      </c>
      <c r="E120" s="20">
        <v>40.128999999999998</v>
      </c>
      <c r="F120" s="20">
        <v>40.470999999999997</v>
      </c>
      <c r="G120" s="20">
        <v>32.42</v>
      </c>
      <c r="H120" s="20">
        <f t="shared" si="6"/>
        <v>38.275000000000006</v>
      </c>
      <c r="I120" s="5"/>
      <c r="J120" s="19">
        <v>354.8741</v>
      </c>
      <c r="K120" s="20">
        <v>38.706899999999997</v>
      </c>
      <c r="L120" s="20">
        <v>42.591500000000003</v>
      </c>
      <c r="M120" s="20">
        <v>42.894599999999997</v>
      </c>
      <c r="N120" s="20">
        <v>37.425899999999999</v>
      </c>
      <c r="O120" s="20">
        <f t="shared" si="7"/>
        <v>39.715937499999995</v>
      </c>
      <c r="P120" s="7"/>
      <c r="Q120" s="13"/>
      <c r="R120" s="14"/>
      <c r="S120" s="14"/>
      <c r="T120" s="27"/>
      <c r="U120" s="28">
        <f t="shared" si="8"/>
        <v>0.15440777297964209</v>
      </c>
    </row>
    <row r="121" spans="2:21" x14ac:dyDescent="0.25">
      <c r="B121" s="6" t="s">
        <v>105</v>
      </c>
      <c r="C121" s="15">
        <v>1534.92</v>
      </c>
      <c r="D121" s="16">
        <v>32.707000000000001</v>
      </c>
      <c r="E121" s="16">
        <v>36.26</v>
      </c>
      <c r="F121" s="16">
        <v>35.14</v>
      </c>
      <c r="G121" s="16">
        <v>14.73</v>
      </c>
      <c r="H121" s="16">
        <f t="shared" si="6"/>
        <v>33.455249999999999</v>
      </c>
      <c r="I121" s="5"/>
      <c r="J121" s="29">
        <v>1512.8175000000001</v>
      </c>
      <c r="K121" s="30">
        <v>33.293999999999997</v>
      </c>
      <c r="L121" s="30">
        <v>37.912199999999999</v>
      </c>
      <c r="M121" s="30">
        <v>36.765500000000003</v>
      </c>
      <c r="N121" s="16">
        <v>15.364000000000001</v>
      </c>
      <c r="O121" s="16">
        <f t="shared" si="7"/>
        <v>34.305212499999996</v>
      </c>
      <c r="P121" s="7"/>
      <c r="Q121" s="8">
        <f>bdrate(C121:C124,D121:D124,J121:J124,K121:K124)</f>
        <v>-0.11776337266330394</v>
      </c>
      <c r="R121" s="8">
        <f>bdrate(C121:C124,E121:E124,J121:J124,L121:L124)</f>
        <v>-0.52562674138433896</v>
      </c>
      <c r="S121" s="8">
        <f>bdrate(C121:C124,F121:F124,J121:J124,M121:M124)</f>
        <v>-0.50197018521337811</v>
      </c>
      <c r="T121" s="25">
        <f>bdrate(C121:C124,H121:H124,J121:J124,O121:O124)</f>
        <v>-0.207286814441068</v>
      </c>
      <c r="U121" s="28">
        <f t="shared" si="8"/>
        <v>4.3041412084181961E-2</v>
      </c>
    </row>
    <row r="122" spans="2:21" x14ac:dyDescent="0.25">
      <c r="B122" s="9"/>
      <c r="C122" s="17">
        <v>1018.79</v>
      </c>
      <c r="D122" s="18">
        <v>30.933</v>
      </c>
      <c r="E122" s="18">
        <v>34.966000000000001</v>
      </c>
      <c r="F122" s="18">
        <v>33.774999999999999</v>
      </c>
      <c r="G122" s="18">
        <v>17.420000000000002</v>
      </c>
      <c r="H122" s="18">
        <f t="shared" si="6"/>
        <v>31.792375000000003</v>
      </c>
      <c r="I122" s="5"/>
      <c r="J122" s="31">
        <v>1007.5997</v>
      </c>
      <c r="K122" s="32">
        <v>31.4192</v>
      </c>
      <c r="L122" s="32">
        <v>36.8217</v>
      </c>
      <c r="M122" s="32">
        <v>35.623199999999997</v>
      </c>
      <c r="N122" s="18">
        <v>17.808900000000001</v>
      </c>
      <c r="O122" s="18">
        <f t="shared" si="7"/>
        <v>32.620012500000001</v>
      </c>
      <c r="P122" s="7"/>
      <c r="Q122" s="10"/>
      <c r="R122" s="11"/>
      <c r="S122" s="11"/>
      <c r="T122" s="26"/>
      <c r="U122" s="28">
        <f t="shared" si="8"/>
        <v>2.2324913892078045E-2</v>
      </c>
    </row>
    <row r="123" spans="2:21" x14ac:dyDescent="0.25">
      <c r="B123" s="9"/>
      <c r="C123" s="17">
        <v>608.16</v>
      </c>
      <c r="D123" s="18">
        <v>28.864999999999998</v>
      </c>
      <c r="E123" s="18">
        <v>33.603999999999999</v>
      </c>
      <c r="F123" s="18">
        <v>32.311999999999998</v>
      </c>
      <c r="G123" s="18">
        <v>19.95</v>
      </c>
      <c r="H123" s="18">
        <f t="shared" si="6"/>
        <v>29.888249999999999</v>
      </c>
      <c r="I123" s="5"/>
      <c r="J123" s="31">
        <v>605.82799999999997</v>
      </c>
      <c r="K123" s="32">
        <v>29.241499999999998</v>
      </c>
      <c r="L123" s="32">
        <v>35.544600000000003</v>
      </c>
      <c r="M123" s="32">
        <v>34.257300000000001</v>
      </c>
      <c r="N123" s="18">
        <v>21.466899999999999</v>
      </c>
      <c r="O123" s="18">
        <f t="shared" si="7"/>
        <v>30.6563625</v>
      </c>
      <c r="P123" s="7"/>
      <c r="Q123" s="10"/>
      <c r="R123" s="11"/>
      <c r="S123" s="11"/>
      <c r="T123" s="26"/>
      <c r="U123" s="28">
        <f t="shared" si="8"/>
        <v>7.6035087719298233E-2</v>
      </c>
    </row>
    <row r="124" spans="2:21" ht="16.5" thickBot="1" x14ac:dyDescent="0.3">
      <c r="B124" s="12"/>
      <c r="C124" s="19">
        <v>293.07</v>
      </c>
      <c r="D124" s="20">
        <v>25.92</v>
      </c>
      <c r="E124" s="20">
        <v>31.341000000000001</v>
      </c>
      <c r="F124" s="20">
        <v>29.998000000000001</v>
      </c>
      <c r="G124" s="20">
        <v>24.27</v>
      </c>
      <c r="H124" s="20">
        <f t="shared" si="6"/>
        <v>27.107375000000001</v>
      </c>
      <c r="I124" s="5"/>
      <c r="J124" s="33">
        <v>303.70400000000001</v>
      </c>
      <c r="K124" s="34">
        <v>26.8674</v>
      </c>
      <c r="L124" s="34">
        <v>33.971299999999999</v>
      </c>
      <c r="M124" s="34">
        <v>32.556100000000001</v>
      </c>
      <c r="N124" s="20">
        <v>27.577300000000001</v>
      </c>
      <c r="O124" s="20">
        <f t="shared" si="7"/>
        <v>28.466475000000003</v>
      </c>
      <c r="P124" s="7"/>
      <c r="Q124" s="13"/>
      <c r="R124" s="14"/>
      <c r="S124" s="14"/>
      <c r="T124" s="27"/>
      <c r="U124" s="28">
        <f t="shared" si="8"/>
        <v>0.13627111660486202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-0.16723968542586629</v>
      </c>
      <c r="R125" s="21">
        <f>AVERAGE(R9:R124)</f>
        <v>-0.49344055412942472</v>
      </c>
      <c r="S125" s="21">
        <f>AVERAGE(S9:S124)</f>
        <v>-0.46226950842274345</v>
      </c>
      <c r="T125" s="21">
        <f>AVERAGE(T9:T124)</f>
        <v>-0.2385884421850728</v>
      </c>
      <c r="U125" s="21">
        <f>AVERAGE(U9:U124)</f>
        <v>0.24430158934074109</v>
      </c>
    </row>
    <row r="127" spans="2:21" s="35" customFormat="1" ht="15.75" customHeight="1" x14ac:dyDescent="0.25">
      <c r="B127" s="61" t="s">
        <v>29</v>
      </c>
      <c r="C127" s="63" t="s">
        <v>200</v>
      </c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5"/>
    </row>
    <row r="128" spans="2:21" s="35" customFormat="1" x14ac:dyDescent="0.25">
      <c r="B128" s="62"/>
      <c r="C128" s="66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8"/>
    </row>
    <row r="129" spans="1:21" ht="16.5" customHeight="1" thickBot="1" x14ac:dyDescent="0.3">
      <c r="C129" s="69" t="s">
        <v>211</v>
      </c>
      <c r="D129" s="70"/>
      <c r="E129" s="70"/>
      <c r="F129" s="70"/>
      <c r="G129" s="70"/>
      <c r="H129" s="70"/>
      <c r="I129" s="5"/>
      <c r="J129" s="69" t="s">
        <v>182</v>
      </c>
      <c r="K129" s="70"/>
      <c r="L129" s="70"/>
      <c r="M129" s="70"/>
      <c r="N129" s="70"/>
      <c r="O129" s="70"/>
      <c r="Q129" s="69" t="s">
        <v>7</v>
      </c>
      <c r="R129" s="70"/>
      <c r="S129" s="71"/>
      <c r="T129" s="36"/>
      <c r="U129" s="7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2"/>
    </row>
    <row r="131" spans="1:21" x14ac:dyDescent="0.25">
      <c r="A131" s="6" t="s">
        <v>35</v>
      </c>
      <c r="B131" s="6" t="s">
        <v>46</v>
      </c>
      <c r="C131" s="15">
        <v>3624.77</v>
      </c>
      <c r="D131" s="16">
        <v>37.33</v>
      </c>
      <c r="E131" s="16">
        <v>38.811999999999998</v>
      </c>
      <c r="F131" s="16">
        <v>41.158000000000001</v>
      </c>
      <c r="G131" s="16">
        <v>12.99</v>
      </c>
      <c r="H131" s="16">
        <f t="shared" ref="H131:H202" si="9">(6*D131+E131+F131)/8</f>
        <v>37.993749999999999</v>
      </c>
      <c r="I131" s="5"/>
      <c r="J131" s="15">
        <v>4127.1696000000002</v>
      </c>
      <c r="K131" s="16">
        <v>38.478299999999997</v>
      </c>
      <c r="L131" s="16">
        <v>40.244300000000003</v>
      </c>
      <c r="M131" s="16">
        <v>42.994300000000003</v>
      </c>
      <c r="N131" s="16">
        <v>14.6585</v>
      </c>
      <c r="O131" s="16">
        <f t="shared" ref="O131:O202" si="10">(6*K131+L131+M131)/8</f>
        <v>39.263550000000002</v>
      </c>
      <c r="P131" s="7"/>
      <c r="Q131" s="8">
        <f>bdrate(C131:C134,D131:D134,J131:J134,K131:K134)</f>
        <v>-0.17391090418200639</v>
      </c>
      <c r="R131" s="8">
        <f>bdrate(C131:C134,E131:E134,J131:J134,L131:L134)</f>
        <v>-0.5370284817959271</v>
      </c>
      <c r="S131" s="8">
        <f>bdrate(C131:C134,F131:F134,J131:J134,M131:M134)</f>
        <v>-0.52673839415570523</v>
      </c>
      <c r="T131" s="25">
        <f>bdrate(C131:C134,H131:H134,J131:J134,O131:O134)</f>
        <v>-0.23574315256177669</v>
      </c>
      <c r="U131" s="28">
        <f t="shared" ref="U131:U194" si="11">(N131-G131)/G131</f>
        <v>0.12844495765973823</v>
      </c>
    </row>
    <row r="132" spans="1:21" x14ac:dyDescent="0.25">
      <c r="A132" s="9" t="s">
        <v>36</v>
      </c>
      <c r="B132" s="9"/>
      <c r="C132" s="17">
        <v>2715.75</v>
      </c>
      <c r="D132" s="18">
        <v>36.478999999999999</v>
      </c>
      <c r="E132" s="18">
        <v>38.289000000000001</v>
      </c>
      <c r="F132" s="18">
        <v>40.633000000000003</v>
      </c>
      <c r="G132" s="18">
        <v>14.39</v>
      </c>
      <c r="H132" s="18">
        <f t="shared" si="9"/>
        <v>37.224499999999999</v>
      </c>
      <c r="I132" s="5"/>
      <c r="J132" s="17">
        <v>3041.1296000000002</v>
      </c>
      <c r="K132" s="18">
        <v>37.549199999999999</v>
      </c>
      <c r="L132" s="18">
        <v>39.770800000000001</v>
      </c>
      <c r="M132" s="18">
        <v>42.358199999999997</v>
      </c>
      <c r="N132" s="18">
        <v>20.2867</v>
      </c>
      <c r="O132" s="18">
        <f t="shared" si="10"/>
        <v>38.428024999999998</v>
      </c>
      <c r="P132" s="7"/>
      <c r="Q132" s="10"/>
      <c r="R132" s="11"/>
      <c r="S132" s="11"/>
      <c r="T132" s="26"/>
      <c r="U132" s="28">
        <f t="shared" si="11"/>
        <v>0.4097776233495482</v>
      </c>
    </row>
    <row r="133" spans="1:21" x14ac:dyDescent="0.25">
      <c r="B133" s="9"/>
      <c r="C133" s="17">
        <v>1772.46</v>
      </c>
      <c r="D133" s="18">
        <v>35.161999999999999</v>
      </c>
      <c r="E133" s="18">
        <v>37.670999999999999</v>
      </c>
      <c r="F133" s="18">
        <v>40.018999999999998</v>
      </c>
      <c r="G133" s="18">
        <v>15.53</v>
      </c>
      <c r="H133" s="18">
        <f t="shared" si="9"/>
        <v>36.082749999999997</v>
      </c>
      <c r="I133" s="5"/>
      <c r="J133" s="17">
        <v>1979.32</v>
      </c>
      <c r="K133" s="18">
        <v>36.144199999999998</v>
      </c>
      <c r="L133" s="18">
        <v>39.1004</v>
      </c>
      <c r="M133" s="18">
        <v>41.540799999999997</v>
      </c>
      <c r="N133" s="18">
        <v>24.1585</v>
      </c>
      <c r="O133" s="18">
        <f t="shared" si="10"/>
        <v>37.188299999999998</v>
      </c>
      <c r="P133" s="7"/>
      <c r="Q133" s="10"/>
      <c r="R133" s="11"/>
      <c r="S133" s="11"/>
      <c r="T133" s="26"/>
      <c r="U133" s="28">
        <f t="shared" si="11"/>
        <v>0.55560206052801042</v>
      </c>
    </row>
    <row r="134" spans="1:21" ht="16.5" thickBot="1" x14ac:dyDescent="0.3">
      <c r="B134" s="12"/>
      <c r="C134" s="19">
        <v>858.04</v>
      </c>
      <c r="D134" s="20">
        <v>32.426000000000002</v>
      </c>
      <c r="E134" s="20">
        <v>36.969000000000001</v>
      </c>
      <c r="F134" s="20">
        <v>39.207999999999998</v>
      </c>
      <c r="G134" s="20">
        <v>17.64</v>
      </c>
      <c r="H134" s="20">
        <f t="shared" si="9"/>
        <v>33.841625000000001</v>
      </c>
      <c r="I134" s="5"/>
      <c r="J134" s="19">
        <v>923.71839999999997</v>
      </c>
      <c r="K134" s="20">
        <v>33.431800000000003</v>
      </c>
      <c r="L134" s="20">
        <v>37.732300000000002</v>
      </c>
      <c r="M134" s="20">
        <v>39.9955</v>
      </c>
      <c r="N134" s="20">
        <v>31.732600000000001</v>
      </c>
      <c r="O134" s="20">
        <f t="shared" si="10"/>
        <v>34.789825</v>
      </c>
      <c r="P134" s="7"/>
      <c r="Q134" s="13"/>
      <c r="R134" s="14"/>
      <c r="S134" s="14"/>
      <c r="T134" s="27"/>
      <c r="U134" s="28">
        <f t="shared" si="11"/>
        <v>0.7989002267573696</v>
      </c>
    </row>
    <row r="135" spans="1:21" x14ac:dyDescent="0.25">
      <c r="B135" s="6" t="s">
        <v>47</v>
      </c>
      <c r="C135" s="15">
        <v>3976.59</v>
      </c>
      <c r="D135" s="16">
        <v>29.603999999999999</v>
      </c>
      <c r="E135" s="16">
        <v>38.335999999999999</v>
      </c>
      <c r="F135" s="16">
        <v>39.359000000000002</v>
      </c>
      <c r="G135" s="16">
        <v>9.51</v>
      </c>
      <c r="H135" s="16">
        <f t="shared" si="9"/>
        <v>31.914874999999999</v>
      </c>
      <c r="I135" s="5"/>
      <c r="J135" s="15">
        <v>4177.3648000000003</v>
      </c>
      <c r="K135" s="16">
        <v>29.919899999999998</v>
      </c>
      <c r="L135" s="16">
        <v>40.8628</v>
      </c>
      <c r="M135" s="16">
        <v>41.668799999999997</v>
      </c>
      <c r="N135" s="16">
        <v>10.8893</v>
      </c>
      <c r="O135" s="16">
        <f t="shared" si="10"/>
        <v>32.756374999999998</v>
      </c>
      <c r="P135" s="7"/>
      <c r="Q135" s="8">
        <f>bdrate(C135:C138,D135:D138,J135:J138,K135:K138)</f>
        <v>-7.7056332877443956E-2</v>
      </c>
      <c r="R135" s="8">
        <f>bdrate(C135:C138,E135:E138,J135:J138,L135:L138)</f>
        <v>0</v>
      </c>
      <c r="S135" s="8">
        <f>bdrate(C135:C138,F135:F138,J135:J138,M135:M138)</f>
        <v>0</v>
      </c>
      <c r="T135" s="25">
        <f>bdrate(C135:C138,H135:H138,J135:J138,O135:O138)</f>
        <v>-0.19922607248403024</v>
      </c>
      <c r="U135" s="28">
        <f t="shared" si="11"/>
        <v>0.14503680336487915</v>
      </c>
    </row>
    <row r="136" spans="1:21" x14ac:dyDescent="0.25">
      <c r="B136" s="9"/>
      <c r="C136" s="17">
        <v>3023.33</v>
      </c>
      <c r="D136" s="18">
        <v>28.282</v>
      </c>
      <c r="E136" s="18">
        <v>37.840000000000003</v>
      </c>
      <c r="F136" s="18">
        <v>38.905999999999999</v>
      </c>
      <c r="G136" s="18">
        <v>10.7</v>
      </c>
      <c r="H136" s="18">
        <f t="shared" si="9"/>
        <v>30.804750000000002</v>
      </c>
      <c r="I136" s="5"/>
      <c r="J136" s="17">
        <v>3080.672</v>
      </c>
      <c r="K136" s="18">
        <v>28.553000000000001</v>
      </c>
      <c r="L136" s="18">
        <v>40.321100000000001</v>
      </c>
      <c r="M136" s="18">
        <v>41.238</v>
      </c>
      <c r="N136" s="18">
        <v>14.2653</v>
      </c>
      <c r="O136" s="18">
        <f t="shared" si="10"/>
        <v>31.609637500000002</v>
      </c>
      <c r="P136" s="7"/>
      <c r="Q136" s="10"/>
      <c r="R136" s="11"/>
      <c r="S136" s="11"/>
      <c r="T136" s="26"/>
      <c r="U136" s="28">
        <f t="shared" si="11"/>
        <v>0.33320560747663558</v>
      </c>
    </row>
    <row r="137" spans="1:21" x14ac:dyDescent="0.25">
      <c r="B137" s="9"/>
      <c r="C137" s="17">
        <v>2038.38</v>
      </c>
      <c r="D137" s="18">
        <v>26.271999999999998</v>
      </c>
      <c r="E137" s="18">
        <v>36.69</v>
      </c>
      <c r="F137" s="18">
        <v>37.875</v>
      </c>
      <c r="G137" s="18">
        <v>12.14</v>
      </c>
      <c r="H137" s="18">
        <f t="shared" si="9"/>
        <v>29.024625</v>
      </c>
      <c r="I137" s="5"/>
      <c r="J137" s="17">
        <v>2085.2800000000002</v>
      </c>
      <c r="K137" s="18">
        <v>26.878799999999998</v>
      </c>
      <c r="L137" s="18">
        <v>39.572299999999998</v>
      </c>
      <c r="M137" s="18">
        <v>40.598599999999998</v>
      </c>
      <c r="N137" s="18">
        <v>16.3809</v>
      </c>
      <c r="O137" s="18">
        <f t="shared" si="10"/>
        <v>30.180462500000001</v>
      </c>
      <c r="P137" s="7"/>
      <c r="Q137" s="10"/>
      <c r="R137" s="11"/>
      <c r="S137" s="11"/>
      <c r="T137" s="26"/>
      <c r="U137" s="28">
        <f t="shared" si="11"/>
        <v>0.34933278418451397</v>
      </c>
    </row>
    <row r="138" spans="1:21" ht="16.5" thickBot="1" x14ac:dyDescent="0.3">
      <c r="B138" s="12"/>
      <c r="C138" s="19">
        <v>1788.21</v>
      </c>
      <c r="D138" s="20">
        <v>24.13</v>
      </c>
      <c r="E138" s="20">
        <v>35.308</v>
      </c>
      <c r="F138" s="20">
        <v>36.862000000000002</v>
      </c>
      <c r="G138" s="20">
        <v>16.079999999999998</v>
      </c>
      <c r="H138" s="20">
        <f t="shared" si="9"/>
        <v>27.118749999999999</v>
      </c>
      <c r="I138" s="5"/>
      <c r="J138" s="19">
        <v>1404.1343999999999</v>
      </c>
      <c r="K138" s="20">
        <v>25.6004</v>
      </c>
      <c r="L138" s="20">
        <v>38.424900000000001</v>
      </c>
      <c r="M138" s="20">
        <v>39.549399999999999</v>
      </c>
      <c r="N138" s="20">
        <v>17.7075</v>
      </c>
      <c r="O138" s="20">
        <f t="shared" si="10"/>
        <v>28.947087499999999</v>
      </c>
      <c r="P138" s="7"/>
      <c r="Q138" s="13"/>
      <c r="R138" s="14"/>
      <c r="S138" s="14"/>
      <c r="T138" s="27"/>
      <c r="U138" s="28">
        <f t="shared" si="11"/>
        <v>0.10121268656716427</v>
      </c>
    </row>
    <row r="139" spans="1:21" x14ac:dyDescent="0.25">
      <c r="A139" s="6" t="s">
        <v>37</v>
      </c>
      <c r="B139" s="6" t="s">
        <v>48</v>
      </c>
      <c r="C139" s="15">
        <v>2007.32</v>
      </c>
      <c r="D139" s="16">
        <v>38.901000000000003</v>
      </c>
      <c r="E139" s="16">
        <v>41.47</v>
      </c>
      <c r="F139" s="16">
        <v>42.744</v>
      </c>
      <c r="G139" s="16">
        <v>18.850000000000001</v>
      </c>
      <c r="H139" s="16">
        <f t="shared" si="9"/>
        <v>39.702500000000001</v>
      </c>
      <c r="I139" s="5"/>
      <c r="J139" s="15">
        <v>2363.7791999999999</v>
      </c>
      <c r="K139" s="16">
        <v>39.388500000000001</v>
      </c>
      <c r="L139" s="16">
        <v>42.432200000000002</v>
      </c>
      <c r="M139" s="16">
        <v>44.1008</v>
      </c>
      <c r="N139" s="16">
        <v>25.985299999999999</v>
      </c>
      <c r="O139" s="16">
        <f t="shared" si="10"/>
        <v>40.358000000000004</v>
      </c>
      <c r="P139" s="7"/>
      <c r="Q139" s="8">
        <f>bdrate(C139:C142,D139:D142,J139:J142,K139:K142)</f>
        <v>-4.7829431573057746E-2</v>
      </c>
      <c r="R139" s="8">
        <f>bdrate(C139:C142,E139:E142,J139:J142,L139:L142)</f>
        <v>-0.45575112024436526</v>
      </c>
      <c r="S139" s="8">
        <f>bdrate(C139:C142,F139:F142,J139:J142,M139:M142)</f>
        <v>-0.47194275655683704</v>
      </c>
      <c r="T139" s="25">
        <f>bdrate(C139:C142,H139:H142,J139:J142,O139:O142)</f>
        <v>-0.12641775961655388</v>
      </c>
      <c r="U139" s="28">
        <f t="shared" si="11"/>
        <v>0.37853050397877969</v>
      </c>
    </row>
    <row r="140" spans="1:21" x14ac:dyDescent="0.25">
      <c r="A140" s="9" t="s">
        <v>38</v>
      </c>
      <c r="B140" s="9"/>
      <c r="C140" s="17">
        <v>1318.06</v>
      </c>
      <c r="D140" s="18">
        <v>37.585000000000001</v>
      </c>
      <c r="E140" s="18">
        <v>40.64</v>
      </c>
      <c r="F140" s="18">
        <v>41.854999999999997</v>
      </c>
      <c r="G140" s="18">
        <v>21.37</v>
      </c>
      <c r="H140" s="18">
        <f t="shared" si="9"/>
        <v>38.500624999999999</v>
      </c>
      <c r="I140" s="5"/>
      <c r="J140" s="17">
        <v>1560.7167999999999</v>
      </c>
      <c r="K140" s="18">
        <v>38.242899999999999</v>
      </c>
      <c r="L140" s="18">
        <v>41.847200000000001</v>
      </c>
      <c r="M140" s="18">
        <v>43.314999999999998</v>
      </c>
      <c r="N140" s="18">
        <v>36.281199999999998</v>
      </c>
      <c r="O140" s="18">
        <f t="shared" si="10"/>
        <v>39.327449999999999</v>
      </c>
      <c r="P140" s="7"/>
      <c r="Q140" s="10"/>
      <c r="R140" s="11"/>
      <c r="S140" s="11"/>
      <c r="T140" s="26"/>
      <c r="U140" s="28">
        <f t="shared" si="11"/>
        <v>0.69776321946654174</v>
      </c>
    </row>
    <row r="141" spans="1:21" x14ac:dyDescent="0.25">
      <c r="B141" s="9"/>
      <c r="C141" s="17">
        <v>812.83</v>
      </c>
      <c r="D141" s="18">
        <v>35.957999999999998</v>
      </c>
      <c r="E141" s="18">
        <v>39.764000000000003</v>
      </c>
      <c r="F141" s="18">
        <v>41.037999999999997</v>
      </c>
      <c r="G141" s="18">
        <v>23.78</v>
      </c>
      <c r="H141" s="18">
        <f t="shared" si="9"/>
        <v>37.068750000000001</v>
      </c>
      <c r="I141" s="5"/>
      <c r="J141" s="17">
        <v>970.49919999999997</v>
      </c>
      <c r="K141" s="18">
        <v>36.738500000000002</v>
      </c>
      <c r="L141" s="18">
        <v>41.143500000000003</v>
      </c>
      <c r="M141" s="18">
        <v>42.44</v>
      </c>
      <c r="N141" s="18">
        <v>44.985900000000001</v>
      </c>
      <c r="O141" s="18">
        <f t="shared" si="10"/>
        <v>38.0018125</v>
      </c>
      <c r="P141" s="7"/>
      <c r="Q141" s="10"/>
      <c r="R141" s="11"/>
      <c r="S141" s="11"/>
      <c r="T141" s="26"/>
      <c r="U141" s="28">
        <f t="shared" si="11"/>
        <v>0.89175357443229597</v>
      </c>
    </row>
    <row r="142" spans="1:21" ht="16.5" thickBot="1" x14ac:dyDescent="0.3">
      <c r="B142" s="12"/>
      <c r="C142" s="19">
        <v>485.26</v>
      </c>
      <c r="D142" s="20">
        <v>34.090000000000003</v>
      </c>
      <c r="E142" s="20">
        <v>38.92</v>
      </c>
      <c r="F142" s="20">
        <v>40.365000000000002</v>
      </c>
      <c r="G142" s="20">
        <v>26.62</v>
      </c>
      <c r="H142" s="20">
        <f t="shared" si="9"/>
        <v>35.478125000000006</v>
      </c>
      <c r="I142" s="5"/>
      <c r="J142" s="19">
        <v>567.45039999999995</v>
      </c>
      <c r="K142" s="20">
        <v>34.921799999999998</v>
      </c>
      <c r="L142" s="20">
        <v>40.4071</v>
      </c>
      <c r="M142" s="20">
        <v>41.668700000000001</v>
      </c>
      <c r="N142" s="20">
        <v>56.153500000000001</v>
      </c>
      <c r="O142" s="20">
        <f t="shared" si="10"/>
        <v>36.450825000000002</v>
      </c>
      <c r="P142" s="7"/>
      <c r="Q142" s="13"/>
      <c r="R142" s="14"/>
      <c r="S142" s="14"/>
      <c r="T142" s="27"/>
      <c r="U142" s="28">
        <f t="shared" si="11"/>
        <v>1.1094477836213372</v>
      </c>
    </row>
    <row r="143" spans="1:21" x14ac:dyDescent="0.25">
      <c r="B143" s="6" t="s">
        <v>49</v>
      </c>
      <c r="C143" s="15">
        <v>2249.0500000000002</v>
      </c>
      <c r="D143" s="16">
        <v>35.86</v>
      </c>
      <c r="E143" s="16">
        <v>39.225000000000001</v>
      </c>
      <c r="F143" s="16">
        <v>40.311999999999998</v>
      </c>
      <c r="G143" s="16">
        <v>22.26</v>
      </c>
      <c r="H143" s="16">
        <f t="shared" si="9"/>
        <v>36.837125</v>
      </c>
      <c r="I143" s="5"/>
      <c r="J143" s="15">
        <v>2547.2647999999999</v>
      </c>
      <c r="K143" s="16">
        <v>36.552300000000002</v>
      </c>
      <c r="L143" s="16">
        <v>40.862900000000003</v>
      </c>
      <c r="M143" s="16">
        <v>42.23</v>
      </c>
      <c r="N143" s="16">
        <v>24.852399999999999</v>
      </c>
      <c r="O143" s="16">
        <f t="shared" si="10"/>
        <v>37.800837500000007</v>
      </c>
      <c r="P143" s="7"/>
      <c r="Q143" s="8">
        <f>bdrate(C143:C146,D143:D146,J143:J146,K143:K146)</f>
        <v>-0.11195376518932088</v>
      </c>
      <c r="R143" s="8">
        <f>bdrate(C143:C146,E143:E146,J143:J146,L143:L146)</f>
        <v>-0.53478166717802456</v>
      </c>
      <c r="S143" s="8">
        <f>bdrate(C143:C146,F143:F146,J143:J146,M143:M146)</f>
        <v>-0.56124712612805239</v>
      </c>
      <c r="T143" s="25">
        <f>bdrate(C143:C146,H143:H146,J143:J146,O143:O146)</f>
        <v>-0.20353661326016648</v>
      </c>
      <c r="U143" s="28">
        <f t="shared" si="11"/>
        <v>0.11646001796945182</v>
      </c>
    </row>
    <row r="144" spans="1:21" x14ac:dyDescent="0.25">
      <c r="B144" s="9"/>
      <c r="C144" s="17">
        <v>1496.65</v>
      </c>
      <c r="D144" s="18">
        <v>34.618000000000002</v>
      </c>
      <c r="E144" s="18">
        <v>38.338999999999999</v>
      </c>
      <c r="F144" s="18">
        <v>39.582000000000001</v>
      </c>
      <c r="G144" s="18">
        <v>24.65</v>
      </c>
      <c r="H144" s="18">
        <f t="shared" si="9"/>
        <v>35.703625000000002</v>
      </c>
      <c r="I144" s="5"/>
      <c r="J144" s="17">
        <v>1672.9608000000001</v>
      </c>
      <c r="K144" s="18">
        <v>35.326799999999999</v>
      </c>
      <c r="L144" s="18">
        <v>40.0227</v>
      </c>
      <c r="M144" s="18">
        <v>41.235100000000003</v>
      </c>
      <c r="N144" s="18">
        <v>33.370399999999997</v>
      </c>
      <c r="O144" s="18">
        <f t="shared" si="10"/>
        <v>36.652324999999998</v>
      </c>
      <c r="P144" s="7"/>
      <c r="Q144" s="10"/>
      <c r="R144" s="11"/>
      <c r="S144" s="11"/>
      <c r="T144" s="26"/>
      <c r="U144" s="28">
        <f t="shared" si="11"/>
        <v>0.35376876267748475</v>
      </c>
    </row>
    <row r="145" spans="1:21" x14ac:dyDescent="0.25">
      <c r="B145" s="9"/>
      <c r="C145" s="17">
        <v>927.83</v>
      </c>
      <c r="D145" s="18">
        <v>33.161000000000001</v>
      </c>
      <c r="E145" s="18">
        <v>37.427999999999997</v>
      </c>
      <c r="F145" s="18">
        <v>38.94</v>
      </c>
      <c r="G145" s="18">
        <v>26.99</v>
      </c>
      <c r="H145" s="18">
        <f t="shared" si="9"/>
        <v>34.41675</v>
      </c>
      <c r="I145" s="5"/>
      <c r="J145" s="17">
        <v>1033.5904</v>
      </c>
      <c r="K145" s="18">
        <v>33.857999999999997</v>
      </c>
      <c r="L145" s="18">
        <v>39.139200000000002</v>
      </c>
      <c r="M145" s="18">
        <v>40.361199999999997</v>
      </c>
      <c r="N145" s="18">
        <v>40.913699999999999</v>
      </c>
      <c r="O145" s="18">
        <f t="shared" si="10"/>
        <v>35.331049999999998</v>
      </c>
      <c r="P145" s="7"/>
      <c r="Q145" s="10"/>
      <c r="R145" s="11"/>
      <c r="S145" s="11"/>
      <c r="T145" s="26"/>
      <c r="U145" s="28">
        <f t="shared" si="11"/>
        <v>0.51588366061504265</v>
      </c>
    </row>
    <row r="146" spans="1:21" ht="16.5" thickBot="1" x14ac:dyDescent="0.3">
      <c r="B146" s="12"/>
      <c r="C146" s="19">
        <v>547.48</v>
      </c>
      <c r="D146" s="20">
        <v>31.504000000000001</v>
      </c>
      <c r="E146" s="20">
        <v>36.570999999999998</v>
      </c>
      <c r="F146" s="20">
        <v>38.4</v>
      </c>
      <c r="G146" s="20">
        <v>29.14</v>
      </c>
      <c r="H146" s="20">
        <f t="shared" si="9"/>
        <v>32.999375000000001</v>
      </c>
      <c r="I146" s="5"/>
      <c r="J146" s="19">
        <v>621.60159999999996</v>
      </c>
      <c r="K146" s="20">
        <v>32.2605</v>
      </c>
      <c r="L146" s="20">
        <v>38.133400000000002</v>
      </c>
      <c r="M146" s="20">
        <v>39.490900000000003</v>
      </c>
      <c r="N146" s="20">
        <v>48.999600000000001</v>
      </c>
      <c r="O146" s="20">
        <f t="shared" si="10"/>
        <v>33.898412499999999</v>
      </c>
      <c r="P146" s="7"/>
      <c r="Q146" s="13"/>
      <c r="R146" s="14"/>
      <c r="S146" s="14"/>
      <c r="T146" s="27"/>
      <c r="U146" s="28">
        <f t="shared" si="11"/>
        <v>0.68152367879203846</v>
      </c>
    </row>
    <row r="147" spans="1:21" x14ac:dyDescent="0.25">
      <c r="B147" s="6" t="s">
        <v>50</v>
      </c>
      <c r="C147" s="15">
        <v>2362.56</v>
      </c>
      <c r="D147" s="16">
        <v>33.953000000000003</v>
      </c>
      <c r="E147" s="16">
        <v>37.682000000000002</v>
      </c>
      <c r="F147" s="16">
        <v>39.290999999999997</v>
      </c>
      <c r="G147" s="16">
        <v>27.7</v>
      </c>
      <c r="H147" s="16">
        <f t="shared" si="9"/>
        <v>35.086375000000004</v>
      </c>
      <c r="I147" s="5"/>
      <c r="J147" s="15">
        <v>2409.3784000000001</v>
      </c>
      <c r="K147" s="16">
        <v>34.856699999999996</v>
      </c>
      <c r="L147" s="16">
        <v>38.751399999999997</v>
      </c>
      <c r="M147" s="16">
        <v>41.232599999999998</v>
      </c>
      <c r="N147" s="16">
        <v>36.421900000000001</v>
      </c>
      <c r="O147" s="16">
        <f t="shared" si="10"/>
        <v>36.140524999999997</v>
      </c>
      <c r="P147" s="7"/>
      <c r="Q147" s="8">
        <f>bdrate(C147:C150,D147:D150,J147:J150,K147:K150)</f>
        <v>-0.21955735898497397</v>
      </c>
      <c r="R147" s="8">
        <f>bdrate(C147:C150,E147:E150,J147:J150,L147:L150)</f>
        <v>-0.6116458071545271</v>
      </c>
      <c r="S147" s="8">
        <f>bdrate(C147:C150,F147:F150,J147:J150,M147:M150)</f>
        <v>-0.60375579344661812</v>
      </c>
      <c r="T147" s="25">
        <f>bdrate(C147:C150,H147:H150,J147:J150,O147:O150)</f>
        <v>-0.29270663485826576</v>
      </c>
      <c r="U147" s="28">
        <f t="shared" si="11"/>
        <v>0.31487003610108311</v>
      </c>
    </row>
    <row r="148" spans="1:21" x14ac:dyDescent="0.25">
      <c r="B148" s="9"/>
      <c r="C148" s="17">
        <v>1565.46</v>
      </c>
      <c r="D148" s="18">
        <v>32.808999999999997</v>
      </c>
      <c r="E148" s="18">
        <v>37.212000000000003</v>
      </c>
      <c r="F148" s="18">
        <v>38.512999999999998</v>
      </c>
      <c r="G148" s="18">
        <v>30.07</v>
      </c>
      <c r="H148" s="18">
        <f t="shared" si="9"/>
        <v>34.072374999999994</v>
      </c>
      <c r="I148" s="5"/>
      <c r="J148" s="17">
        <v>1603.4544000000001</v>
      </c>
      <c r="K148" s="18">
        <v>33.716000000000001</v>
      </c>
      <c r="L148" s="18">
        <v>38.330300000000001</v>
      </c>
      <c r="M148" s="18">
        <v>40.424399999999999</v>
      </c>
      <c r="N148" s="18">
        <v>48.487200000000001</v>
      </c>
      <c r="O148" s="18">
        <f t="shared" si="10"/>
        <v>35.131337500000001</v>
      </c>
      <c r="P148" s="7"/>
      <c r="Q148" s="10"/>
      <c r="R148" s="11"/>
      <c r="S148" s="11"/>
      <c r="T148" s="26"/>
      <c r="U148" s="28">
        <f t="shared" si="11"/>
        <v>0.61247755237778523</v>
      </c>
    </row>
    <row r="149" spans="1:21" x14ac:dyDescent="0.25">
      <c r="B149" s="9"/>
      <c r="C149" s="17">
        <v>962.7</v>
      </c>
      <c r="D149" s="18">
        <v>31.343</v>
      </c>
      <c r="E149" s="18">
        <v>36.637999999999998</v>
      </c>
      <c r="F149" s="18">
        <v>37.56</v>
      </c>
      <c r="G149" s="18">
        <v>33.49</v>
      </c>
      <c r="H149" s="18">
        <f t="shared" si="9"/>
        <v>32.781999999999996</v>
      </c>
      <c r="I149" s="5"/>
      <c r="J149" s="17">
        <v>1001.6952</v>
      </c>
      <c r="K149" s="18">
        <v>32.195900000000002</v>
      </c>
      <c r="L149" s="18">
        <v>37.818800000000003</v>
      </c>
      <c r="M149" s="18">
        <v>39.478000000000002</v>
      </c>
      <c r="N149" s="18">
        <v>58.486400000000003</v>
      </c>
      <c r="O149" s="18">
        <f t="shared" si="10"/>
        <v>33.809025000000005</v>
      </c>
      <c r="P149" s="7"/>
      <c r="Q149" s="10"/>
      <c r="R149" s="11"/>
      <c r="S149" s="11"/>
      <c r="T149" s="26"/>
      <c r="U149" s="28">
        <f t="shared" si="11"/>
        <v>0.74638399522245447</v>
      </c>
    </row>
    <row r="150" spans="1:21" ht="16.5" thickBot="1" x14ac:dyDescent="0.3">
      <c r="B150" s="12"/>
      <c r="C150" s="19">
        <v>556.02</v>
      </c>
      <c r="D150" s="20">
        <v>29.457000000000001</v>
      </c>
      <c r="E150" s="20">
        <v>35.616</v>
      </c>
      <c r="F150" s="20">
        <v>36.055</v>
      </c>
      <c r="G150" s="20">
        <v>36.71</v>
      </c>
      <c r="H150" s="20">
        <f t="shared" si="9"/>
        <v>31.051625000000001</v>
      </c>
      <c r="I150" s="5"/>
      <c r="J150" s="19">
        <v>588.88480000000004</v>
      </c>
      <c r="K150" s="20">
        <v>30.444500000000001</v>
      </c>
      <c r="L150" s="20">
        <v>37.134399999999999</v>
      </c>
      <c r="M150" s="20">
        <v>38.369500000000002</v>
      </c>
      <c r="N150" s="20">
        <v>71.551199999999994</v>
      </c>
      <c r="O150" s="20">
        <f t="shared" si="10"/>
        <v>32.271362500000002</v>
      </c>
      <c r="P150" s="7"/>
      <c r="Q150" s="13"/>
      <c r="R150" s="14"/>
      <c r="S150" s="14"/>
      <c r="T150" s="27"/>
      <c r="U150" s="28">
        <f t="shared" si="11"/>
        <v>0.94909289022064813</v>
      </c>
    </row>
    <row r="151" spans="1:21" x14ac:dyDescent="0.25">
      <c r="B151" s="6" t="s">
        <v>51</v>
      </c>
      <c r="C151" s="29">
        <v>2404.13</v>
      </c>
      <c r="D151" s="30">
        <v>34.207000000000001</v>
      </c>
      <c r="E151" s="30">
        <v>39.796999999999997</v>
      </c>
      <c r="F151" s="30">
        <v>39.305999999999997</v>
      </c>
      <c r="G151" s="16">
        <v>23.95</v>
      </c>
      <c r="H151" s="16">
        <f t="shared" si="9"/>
        <v>35.543125000000003</v>
      </c>
      <c r="I151" s="5"/>
      <c r="J151" s="29">
        <v>2458.9567999999999</v>
      </c>
      <c r="K151" s="30">
        <v>34.580800000000004</v>
      </c>
      <c r="L151" s="30">
        <v>41.157200000000003</v>
      </c>
      <c r="M151" s="30">
        <v>40.920099999999998</v>
      </c>
      <c r="N151" s="16">
        <v>32.671199999999999</v>
      </c>
      <c r="O151" s="16">
        <f t="shared" si="10"/>
        <v>36.195262499999998</v>
      </c>
      <c r="P151" s="7"/>
      <c r="Q151" s="8">
        <f>bdrate(C151:C154,D151:D154,J151:J154,K151:K154)</f>
        <v>-8.5707837889652083E-2</v>
      </c>
      <c r="R151" s="8">
        <f>bdrate(C151:C154,E151:E154,J151:J154,L151:L154)</f>
        <v>-0.54184227193410939</v>
      </c>
      <c r="S151" s="8">
        <f>bdrate(C151:C154,F151:F154,J151:J154,M151:M154)</f>
        <v>-0.49815146760485185</v>
      </c>
      <c r="T151" s="25">
        <f>bdrate(C151:C154,H151:H154,J151:J154,O151:O154)</f>
        <v>-0.1837655227868622</v>
      </c>
      <c r="U151" s="28">
        <f t="shared" si="11"/>
        <v>0.36414196242171187</v>
      </c>
    </row>
    <row r="152" spans="1:21" x14ac:dyDescent="0.25">
      <c r="B152" s="9"/>
      <c r="C152" s="31">
        <v>1591.26</v>
      </c>
      <c r="D152" s="32">
        <v>32.844999999999999</v>
      </c>
      <c r="E152" s="32">
        <v>39.058999999999997</v>
      </c>
      <c r="F152" s="32">
        <v>38.22</v>
      </c>
      <c r="G152" s="18">
        <v>25.48</v>
      </c>
      <c r="H152" s="18">
        <f t="shared" si="9"/>
        <v>34.293624999999999</v>
      </c>
      <c r="I152" s="5"/>
      <c r="J152" s="31">
        <v>1630.2472</v>
      </c>
      <c r="K152" s="32">
        <v>33.244199999999999</v>
      </c>
      <c r="L152" s="32">
        <v>40.490299999999998</v>
      </c>
      <c r="M152" s="32">
        <v>39.988</v>
      </c>
      <c r="N152" s="18">
        <v>41.305199999999999</v>
      </c>
      <c r="O152" s="18">
        <f t="shared" si="10"/>
        <v>34.992937499999996</v>
      </c>
      <c r="P152" s="7"/>
      <c r="Q152" s="10"/>
      <c r="R152" s="11"/>
      <c r="S152" s="11"/>
      <c r="T152" s="26"/>
      <c r="U152" s="28">
        <f t="shared" si="11"/>
        <v>0.62108320251177385</v>
      </c>
    </row>
    <row r="153" spans="1:21" x14ac:dyDescent="0.25">
      <c r="B153" s="9"/>
      <c r="C153" s="31">
        <v>992.91</v>
      </c>
      <c r="D153" s="32">
        <v>31.210999999999999</v>
      </c>
      <c r="E153" s="32">
        <v>38.137999999999998</v>
      </c>
      <c r="F153" s="32">
        <v>36.896999999999998</v>
      </c>
      <c r="G153" s="18">
        <v>27.82</v>
      </c>
      <c r="H153" s="18">
        <f t="shared" si="9"/>
        <v>32.787624999999998</v>
      </c>
      <c r="I153" s="5"/>
      <c r="J153" s="31">
        <v>1013.5152</v>
      </c>
      <c r="K153" s="32">
        <v>31.572299999999998</v>
      </c>
      <c r="L153" s="32">
        <v>39.698399999999999</v>
      </c>
      <c r="M153" s="32">
        <v>38.868600000000001</v>
      </c>
      <c r="N153" s="18">
        <v>50.7151</v>
      </c>
      <c r="O153" s="18">
        <f t="shared" si="10"/>
        <v>33.500099999999996</v>
      </c>
      <c r="P153" s="7"/>
      <c r="Q153" s="10"/>
      <c r="R153" s="11"/>
      <c r="S153" s="11"/>
      <c r="T153" s="26"/>
      <c r="U153" s="28">
        <f t="shared" si="11"/>
        <v>0.82297268152408332</v>
      </c>
    </row>
    <row r="154" spans="1:21" ht="16.5" thickBot="1" x14ac:dyDescent="0.3">
      <c r="B154" s="12"/>
      <c r="C154" s="33">
        <v>583.96</v>
      </c>
      <c r="D154" s="34">
        <v>29.199000000000002</v>
      </c>
      <c r="E154" s="34">
        <v>36.46</v>
      </c>
      <c r="F154" s="34">
        <v>34.859000000000002</v>
      </c>
      <c r="G154" s="20">
        <v>30.3</v>
      </c>
      <c r="H154" s="20">
        <f t="shared" si="9"/>
        <v>30.814125000000004</v>
      </c>
      <c r="I154" s="5"/>
      <c r="J154" s="33">
        <v>607.80719999999997</v>
      </c>
      <c r="K154" s="34">
        <v>29.761600000000001</v>
      </c>
      <c r="L154" s="34">
        <v>38.637999999999998</v>
      </c>
      <c r="M154" s="34">
        <v>37.429299999999998</v>
      </c>
      <c r="N154" s="20">
        <v>61.169600000000003</v>
      </c>
      <c r="O154" s="20">
        <f t="shared" si="10"/>
        <v>31.829612500000003</v>
      </c>
      <c r="P154" s="7"/>
      <c r="Q154" s="13"/>
      <c r="R154" s="14"/>
      <c r="S154" s="14"/>
      <c r="T154" s="27"/>
      <c r="U154" s="28">
        <f t="shared" si="11"/>
        <v>1.0187986798679869</v>
      </c>
    </row>
    <row r="155" spans="1:21" x14ac:dyDescent="0.25">
      <c r="B155" s="6" t="s">
        <v>52</v>
      </c>
      <c r="C155" s="15">
        <v>2358.77</v>
      </c>
      <c r="D155" s="16">
        <v>33.499000000000002</v>
      </c>
      <c r="E155" s="16">
        <v>39.249000000000002</v>
      </c>
      <c r="F155" s="16">
        <v>41.869</v>
      </c>
      <c r="G155" s="16">
        <v>29.61</v>
      </c>
      <c r="H155" s="16">
        <f t="shared" si="9"/>
        <v>35.264000000000003</v>
      </c>
      <c r="I155" s="5"/>
      <c r="J155" s="15">
        <v>2416.3503999999998</v>
      </c>
      <c r="K155" s="16">
        <v>33.967300000000002</v>
      </c>
      <c r="L155" s="16">
        <v>40.399099999999997</v>
      </c>
      <c r="M155" s="16">
        <v>42.832000000000001</v>
      </c>
      <c r="N155" s="16">
        <v>36.875399999999999</v>
      </c>
      <c r="O155" s="16">
        <f t="shared" si="10"/>
        <v>35.879362500000006</v>
      </c>
      <c r="P155" s="7"/>
      <c r="Q155" s="8">
        <f>bdrate(C155:C158,D155:D158,J155:J158,K155:K158)</f>
        <v>-0.24341417766250129</v>
      </c>
      <c r="R155" s="8">
        <f>bdrate(C155:C158,E155:E158,J155:J158,L155:L158)</f>
        <v>-0.56683629971269811</v>
      </c>
      <c r="S155" s="8">
        <f>bdrate(C155:C158,F155:F158,J155:J158,M155:M158)</f>
        <v>-0.53335117664408949</v>
      </c>
      <c r="T155" s="25">
        <f>bdrate(C155:C158,H155:H158,J155:J158,O155:O158)</f>
        <v>-0.29438249138326722</v>
      </c>
      <c r="U155" s="28">
        <f t="shared" si="11"/>
        <v>0.24536980749746706</v>
      </c>
    </row>
    <row r="156" spans="1:21" x14ac:dyDescent="0.25">
      <c r="B156" s="9"/>
      <c r="C156" s="17">
        <v>1537.59</v>
      </c>
      <c r="D156" s="18">
        <v>32.732999999999997</v>
      </c>
      <c r="E156" s="18">
        <v>38.799999999999997</v>
      </c>
      <c r="F156" s="18">
        <v>41.481000000000002</v>
      </c>
      <c r="G156" s="18">
        <v>31.89</v>
      </c>
      <c r="H156" s="18">
        <f t="shared" si="9"/>
        <v>34.584874999999997</v>
      </c>
      <c r="I156" s="5"/>
      <c r="J156" s="17">
        <v>1594.1432</v>
      </c>
      <c r="K156" s="18">
        <v>33.333100000000002</v>
      </c>
      <c r="L156" s="18">
        <v>39.939399999999999</v>
      </c>
      <c r="M156" s="18">
        <v>42.4101</v>
      </c>
      <c r="N156" s="18">
        <v>48.504399999999997</v>
      </c>
      <c r="O156" s="18">
        <f t="shared" si="10"/>
        <v>35.293512500000006</v>
      </c>
      <c r="P156" s="7"/>
      <c r="Q156" s="10"/>
      <c r="R156" s="11"/>
      <c r="S156" s="11"/>
      <c r="T156" s="26"/>
      <c r="U156" s="28">
        <f t="shared" si="11"/>
        <v>0.52099090624020061</v>
      </c>
    </row>
    <row r="157" spans="1:21" x14ac:dyDescent="0.25">
      <c r="B157" s="9"/>
      <c r="C157" s="17">
        <v>914.55</v>
      </c>
      <c r="D157" s="18">
        <v>31.474</v>
      </c>
      <c r="E157" s="18">
        <v>38.231999999999999</v>
      </c>
      <c r="F157" s="18">
        <v>41.027000000000001</v>
      </c>
      <c r="G157" s="18">
        <v>33.47</v>
      </c>
      <c r="H157" s="18">
        <f t="shared" si="9"/>
        <v>33.512875000000001</v>
      </c>
      <c r="I157" s="5"/>
      <c r="J157" s="17">
        <v>990.36879999999996</v>
      </c>
      <c r="K157" s="18">
        <v>32.366599999999998</v>
      </c>
      <c r="L157" s="18">
        <v>39.241100000000003</v>
      </c>
      <c r="M157" s="18">
        <v>41.775599999999997</v>
      </c>
      <c r="N157" s="18">
        <v>58.542299999999997</v>
      </c>
      <c r="O157" s="18">
        <f t="shared" si="10"/>
        <v>34.402037499999999</v>
      </c>
      <c r="P157" s="7"/>
      <c r="Q157" s="10"/>
      <c r="R157" s="11"/>
      <c r="S157" s="11"/>
      <c r="T157" s="26"/>
      <c r="U157" s="28">
        <f t="shared" si="11"/>
        <v>0.7490976994323274</v>
      </c>
    </row>
    <row r="158" spans="1:21" ht="16.5" thickBot="1" x14ac:dyDescent="0.3">
      <c r="B158" s="12"/>
      <c r="C158" s="19">
        <v>476.07</v>
      </c>
      <c r="D158" s="20">
        <v>28.855</v>
      </c>
      <c r="E158" s="20">
        <v>37.220999999999997</v>
      </c>
      <c r="F158" s="20">
        <v>40.298000000000002</v>
      </c>
      <c r="G158" s="20">
        <v>35.979999999999997</v>
      </c>
      <c r="H158" s="20">
        <f t="shared" si="9"/>
        <v>31.331125</v>
      </c>
      <c r="I158" s="5"/>
      <c r="J158" s="19">
        <v>581.63440000000003</v>
      </c>
      <c r="K158" s="20">
        <v>30.979099999999999</v>
      </c>
      <c r="L158" s="20">
        <v>38.658200000000001</v>
      </c>
      <c r="M158" s="20">
        <v>41.312399999999997</v>
      </c>
      <c r="N158" s="20">
        <v>70.439099999999996</v>
      </c>
      <c r="O158" s="20">
        <f t="shared" si="10"/>
        <v>33.230649999999997</v>
      </c>
      <c r="P158" s="7"/>
      <c r="Q158" s="13"/>
      <c r="R158" s="14"/>
      <c r="S158" s="14"/>
      <c r="T158" s="27"/>
      <c r="U158" s="28">
        <f t="shared" si="11"/>
        <v>0.95772929405225127</v>
      </c>
    </row>
    <row r="159" spans="1:21" x14ac:dyDescent="0.25">
      <c r="A159" s="6" t="s">
        <v>39</v>
      </c>
      <c r="B159" s="6" t="s">
        <v>53</v>
      </c>
      <c r="C159" s="15">
        <v>1214.8900000000001</v>
      </c>
      <c r="D159" s="16">
        <v>35.277000000000001</v>
      </c>
      <c r="E159" s="16">
        <v>38.710999999999999</v>
      </c>
      <c r="F159" s="16">
        <v>38.67</v>
      </c>
      <c r="G159" s="16">
        <v>89.29</v>
      </c>
      <c r="H159" s="16">
        <f t="shared" si="9"/>
        <v>36.130375000000001</v>
      </c>
      <c r="I159" s="5"/>
      <c r="J159" s="15">
        <v>1195.6215999999999</v>
      </c>
      <c r="K159" s="16">
        <v>36.523499999999999</v>
      </c>
      <c r="L159" s="16">
        <v>41.0075</v>
      </c>
      <c r="M159" s="16">
        <v>41.0381</v>
      </c>
      <c r="N159" s="16">
        <v>106.49630000000001</v>
      </c>
      <c r="O159" s="16">
        <f t="shared" si="10"/>
        <v>37.648325</v>
      </c>
      <c r="P159" s="7"/>
      <c r="Q159" s="8">
        <f>bdrate(C159:C162,D159:D162,J159:J162,K159:K162)</f>
        <v>-0.20787067842838869</v>
      </c>
      <c r="R159" s="8">
        <f>bdrate(C159:C162,E159:E162,J159:J162,L159:L162)</f>
        <v>-0.55192808085833134</v>
      </c>
      <c r="S159" s="8">
        <f>bdrate(C159:C162,F159:F162,J159:J162,M159:M162)</f>
        <v>-0.51912252322077557</v>
      </c>
      <c r="T159" s="25">
        <f>bdrate(C159:C162,H159:H162,J159:J162,O159:O162)</f>
        <v>-0.28911813030665612</v>
      </c>
      <c r="U159" s="28">
        <f t="shared" si="11"/>
        <v>0.1927013103371038</v>
      </c>
    </row>
    <row r="160" spans="1:21" x14ac:dyDescent="0.25">
      <c r="A160" s="9" t="s">
        <v>40</v>
      </c>
      <c r="B160" s="9"/>
      <c r="C160" s="17">
        <v>808.5</v>
      </c>
      <c r="D160" s="18">
        <v>33.774000000000001</v>
      </c>
      <c r="E160" s="18">
        <v>37.518999999999998</v>
      </c>
      <c r="F160" s="18">
        <v>37.353999999999999</v>
      </c>
      <c r="G160" s="18">
        <v>101.44</v>
      </c>
      <c r="H160" s="18">
        <f t="shared" si="9"/>
        <v>34.689624999999999</v>
      </c>
      <c r="I160" s="5"/>
      <c r="J160" s="17">
        <v>812.49680000000001</v>
      </c>
      <c r="K160" s="18">
        <v>34.810699999999997</v>
      </c>
      <c r="L160" s="18">
        <v>39.777200000000001</v>
      </c>
      <c r="M160" s="18">
        <v>39.625100000000003</v>
      </c>
      <c r="N160" s="18">
        <v>127.68129999999999</v>
      </c>
      <c r="O160" s="18">
        <f t="shared" si="10"/>
        <v>36.033312499999994</v>
      </c>
      <c r="P160" s="7"/>
      <c r="Q160" s="10"/>
      <c r="R160" s="11"/>
      <c r="S160" s="11"/>
      <c r="T160" s="26"/>
      <c r="U160" s="28">
        <f t="shared" si="11"/>
        <v>0.25868789432176653</v>
      </c>
    </row>
    <row r="161" spans="1:21" x14ac:dyDescent="0.25">
      <c r="B161" s="9"/>
      <c r="C161" s="17">
        <v>502.82</v>
      </c>
      <c r="D161" s="18">
        <v>32.090000000000003</v>
      </c>
      <c r="E161" s="18">
        <v>36.295000000000002</v>
      </c>
      <c r="F161" s="18">
        <v>35.945</v>
      </c>
      <c r="G161" s="18">
        <v>112.46</v>
      </c>
      <c r="H161" s="18">
        <f t="shared" si="9"/>
        <v>33.097500000000004</v>
      </c>
      <c r="I161" s="5"/>
      <c r="J161" s="17">
        <v>497.44</v>
      </c>
      <c r="K161" s="18">
        <v>32.842399999999998</v>
      </c>
      <c r="L161" s="18">
        <v>38.3979</v>
      </c>
      <c r="M161" s="18">
        <v>38.152500000000003</v>
      </c>
      <c r="N161" s="18">
        <v>150.46639999999999</v>
      </c>
      <c r="O161" s="18">
        <f t="shared" si="10"/>
        <v>34.200599999999994</v>
      </c>
      <c r="P161" s="7"/>
      <c r="Q161" s="10"/>
      <c r="R161" s="11"/>
      <c r="S161" s="11"/>
      <c r="T161" s="26"/>
      <c r="U161" s="28">
        <f t="shared" si="11"/>
        <v>0.33795482838342522</v>
      </c>
    </row>
    <row r="162" spans="1:21" ht="16.5" thickBot="1" x14ac:dyDescent="0.3">
      <c r="B162" s="12"/>
      <c r="C162" s="19">
        <v>297.81</v>
      </c>
      <c r="D162" s="20">
        <v>30.283999999999999</v>
      </c>
      <c r="E162" s="20">
        <v>35.061999999999998</v>
      </c>
      <c r="F162" s="20">
        <v>34.44</v>
      </c>
      <c r="G162" s="20">
        <v>124.72</v>
      </c>
      <c r="H162" s="20">
        <f t="shared" si="9"/>
        <v>31.400750000000002</v>
      </c>
      <c r="I162" s="5"/>
      <c r="J162" s="19">
        <v>298.56720000000001</v>
      </c>
      <c r="K162" s="20">
        <v>30.917899999999999</v>
      </c>
      <c r="L162" s="20">
        <v>37.034599999999998</v>
      </c>
      <c r="M162" s="20">
        <v>36.502200000000002</v>
      </c>
      <c r="N162" s="20">
        <v>180.0504</v>
      </c>
      <c r="O162" s="20">
        <f t="shared" si="10"/>
        <v>32.380524999999999</v>
      </c>
      <c r="P162" s="7"/>
      <c r="Q162" s="13"/>
      <c r="R162" s="14"/>
      <c r="S162" s="14"/>
      <c r="T162" s="27"/>
      <c r="U162" s="28">
        <f t="shared" si="11"/>
        <v>0.44363694676074406</v>
      </c>
    </row>
    <row r="163" spans="1:21" x14ac:dyDescent="0.25">
      <c r="B163" s="6" t="s">
        <v>54</v>
      </c>
      <c r="C163" s="15">
        <v>1211.7</v>
      </c>
      <c r="D163" s="16">
        <v>35.162999999999997</v>
      </c>
      <c r="E163" s="16">
        <v>39.918999999999997</v>
      </c>
      <c r="F163" s="16">
        <v>40.732999999999997</v>
      </c>
      <c r="G163" s="16">
        <v>100.69</v>
      </c>
      <c r="H163" s="16">
        <f t="shared" si="9"/>
        <v>36.453749999999999</v>
      </c>
      <c r="I163" s="5"/>
      <c r="J163" s="15">
        <v>1211.1143999999999</v>
      </c>
      <c r="K163" s="16">
        <v>35.992100000000001</v>
      </c>
      <c r="L163" s="16">
        <v>41.709299999999999</v>
      </c>
      <c r="M163" s="16">
        <v>42.716500000000003</v>
      </c>
      <c r="N163" s="16">
        <v>113.12220000000001</v>
      </c>
      <c r="O163" s="16">
        <f t="shared" si="10"/>
        <v>37.5473</v>
      </c>
      <c r="P163" s="7"/>
      <c r="Q163" s="8">
        <f>bdrate(C163:C166,D163:D166,J163:J166,K163:K166)</f>
        <v>-0.23664345142229737</v>
      </c>
      <c r="R163" s="8">
        <f>bdrate(C163:C166,E163:E166,J163:J166,L163:L166)</f>
        <v>-0.56188286882588023</v>
      </c>
      <c r="S163" s="8">
        <f>bdrate(C163:C166,F163:F166,J163:J166,M163:M166)</f>
        <v>-0.55042216137477118</v>
      </c>
      <c r="T163" s="25">
        <f>bdrate(C163:C166,H163:H166,J163:J166,O163:O166)</f>
        <v>-0.30582794861174667</v>
      </c>
      <c r="U163" s="28">
        <f t="shared" si="11"/>
        <v>0.12347005660939527</v>
      </c>
    </row>
    <row r="164" spans="1:21" x14ac:dyDescent="0.25">
      <c r="B164" s="9"/>
      <c r="C164" s="17">
        <v>805.84</v>
      </c>
      <c r="D164" s="18">
        <v>33.49</v>
      </c>
      <c r="E164" s="18">
        <v>38.795999999999999</v>
      </c>
      <c r="F164" s="18">
        <v>39.506</v>
      </c>
      <c r="G164" s="18">
        <v>114.13</v>
      </c>
      <c r="H164" s="18">
        <f t="shared" si="9"/>
        <v>34.905249999999995</v>
      </c>
      <c r="I164" s="5"/>
      <c r="J164" s="17">
        <v>808.50080000000003</v>
      </c>
      <c r="K164" s="18">
        <v>34.500399999999999</v>
      </c>
      <c r="L164" s="18">
        <v>40.7639</v>
      </c>
      <c r="M164" s="18">
        <v>41.611400000000003</v>
      </c>
      <c r="N164" s="18">
        <v>139.86009999999999</v>
      </c>
      <c r="O164" s="18">
        <f t="shared" si="10"/>
        <v>36.172212500000001</v>
      </c>
      <c r="P164" s="7"/>
      <c r="Q164" s="10"/>
      <c r="R164" s="11"/>
      <c r="S164" s="11"/>
      <c r="T164" s="26"/>
      <c r="U164" s="28">
        <f t="shared" si="11"/>
        <v>0.2254455445544554</v>
      </c>
    </row>
    <row r="165" spans="1:21" x14ac:dyDescent="0.25">
      <c r="B165" s="9"/>
      <c r="C165" s="17">
        <v>500.18</v>
      </c>
      <c r="D165" s="18">
        <v>31.456</v>
      </c>
      <c r="E165" s="18">
        <v>37.569000000000003</v>
      </c>
      <c r="F165" s="18">
        <v>38.097999999999999</v>
      </c>
      <c r="G165" s="18">
        <v>126.5</v>
      </c>
      <c r="H165" s="18">
        <f t="shared" si="9"/>
        <v>33.050375000000003</v>
      </c>
      <c r="I165" s="5"/>
      <c r="J165" s="17">
        <v>505.2568</v>
      </c>
      <c r="K165" s="18">
        <v>32.680100000000003</v>
      </c>
      <c r="L165" s="18">
        <v>39.672600000000003</v>
      </c>
      <c r="M165" s="18">
        <v>40.398899999999998</v>
      </c>
      <c r="N165" s="18">
        <v>165.06190000000001</v>
      </c>
      <c r="O165" s="18">
        <f t="shared" si="10"/>
        <v>34.519012500000002</v>
      </c>
      <c r="P165" s="7"/>
      <c r="Q165" s="10"/>
      <c r="R165" s="11"/>
      <c r="S165" s="11"/>
      <c r="T165" s="26"/>
      <c r="U165" s="28">
        <f t="shared" si="11"/>
        <v>0.30483715415019769</v>
      </c>
    </row>
    <row r="166" spans="1:21" ht="16.5" thickBot="1" x14ac:dyDescent="0.3">
      <c r="B166" s="12"/>
      <c r="C166" s="19">
        <v>294.61</v>
      </c>
      <c r="D166" s="20">
        <v>29.105</v>
      </c>
      <c r="E166" s="20">
        <v>36.085999999999999</v>
      </c>
      <c r="F166" s="20">
        <v>36.494999999999997</v>
      </c>
      <c r="G166" s="20">
        <v>142.44999999999999</v>
      </c>
      <c r="H166" s="20">
        <f t="shared" si="9"/>
        <v>30.901375000000002</v>
      </c>
      <c r="I166" s="5"/>
      <c r="J166" s="19">
        <v>305.0752</v>
      </c>
      <c r="K166" s="20">
        <v>30.6431</v>
      </c>
      <c r="L166" s="20">
        <v>38.567799999999998</v>
      </c>
      <c r="M166" s="20">
        <v>39.190399999999997</v>
      </c>
      <c r="N166" s="20">
        <v>202.42910000000001</v>
      </c>
      <c r="O166" s="20">
        <f t="shared" si="10"/>
        <v>32.702100000000002</v>
      </c>
      <c r="P166" s="7"/>
      <c r="Q166" s="13"/>
      <c r="R166" s="14"/>
      <c r="S166" s="14"/>
      <c r="T166" s="27"/>
      <c r="U166" s="28">
        <f t="shared" si="11"/>
        <v>0.42105370305370321</v>
      </c>
    </row>
    <row r="167" spans="1:21" x14ac:dyDescent="0.25">
      <c r="B167" s="6" t="s">
        <v>55</v>
      </c>
      <c r="C167" s="15">
        <v>1085.29</v>
      </c>
      <c r="D167" s="16">
        <v>29.89</v>
      </c>
      <c r="E167" s="16">
        <v>35.673000000000002</v>
      </c>
      <c r="F167" s="16">
        <v>36.423000000000002</v>
      </c>
      <c r="G167" s="16">
        <v>91.04</v>
      </c>
      <c r="H167" s="16">
        <f t="shared" si="9"/>
        <v>31.429500000000001</v>
      </c>
      <c r="I167" s="5"/>
      <c r="J167" s="15">
        <v>1191.9264000000001</v>
      </c>
      <c r="K167" s="16">
        <v>30.882300000000001</v>
      </c>
      <c r="L167" s="16">
        <v>37.658799999999999</v>
      </c>
      <c r="M167" s="16">
        <v>38.508899999999997</v>
      </c>
      <c r="N167" s="16">
        <v>104.4059</v>
      </c>
      <c r="O167" s="16">
        <f t="shared" si="10"/>
        <v>32.6826875</v>
      </c>
      <c r="P167" s="7"/>
      <c r="Q167" s="8">
        <f>bdrate(C167:C170,D167:D170,J167:J170,K167:K170)</f>
        <v>-0.22495068561118992</v>
      </c>
      <c r="R167" s="8">
        <f>bdrate(C167:C170,E167:E170,J167:J170,L167:L170)</f>
        <v>-0.61853679287579078</v>
      </c>
      <c r="S167" s="8">
        <f>bdrate(C167:C170,F167:F170,J167:J170,M167:M170)</f>
        <v>-0.62065878053160817</v>
      </c>
      <c r="T167" s="25">
        <f>bdrate(C167:C170,H167:H170,J167:J170,O167:O170)</f>
        <v>-0.30544384596110064</v>
      </c>
      <c r="U167" s="28">
        <f t="shared" si="11"/>
        <v>0.14681348857644985</v>
      </c>
    </row>
    <row r="168" spans="1:21" x14ac:dyDescent="0.25">
      <c r="B168" s="9"/>
      <c r="C168" s="17">
        <v>721.37</v>
      </c>
      <c r="D168" s="18">
        <v>28.466000000000001</v>
      </c>
      <c r="E168" s="18">
        <v>34.924999999999997</v>
      </c>
      <c r="F168" s="18">
        <v>35.68</v>
      </c>
      <c r="G168" s="18">
        <v>110.52</v>
      </c>
      <c r="H168" s="18">
        <f t="shared" si="9"/>
        <v>30.175125000000001</v>
      </c>
      <c r="I168" s="5"/>
      <c r="J168" s="17">
        <v>802.39520000000005</v>
      </c>
      <c r="K168" s="18">
        <v>29.564</v>
      </c>
      <c r="L168" s="18">
        <v>36.803899999999999</v>
      </c>
      <c r="M168" s="18">
        <v>37.596200000000003</v>
      </c>
      <c r="N168" s="18">
        <v>123.27419999999999</v>
      </c>
      <c r="O168" s="18">
        <f t="shared" si="10"/>
        <v>31.473012500000003</v>
      </c>
      <c r="P168" s="7"/>
      <c r="Q168" s="10"/>
      <c r="R168" s="11"/>
      <c r="S168" s="11"/>
      <c r="T168" s="26"/>
      <c r="U168" s="28">
        <f t="shared" si="11"/>
        <v>0.1154017372421281</v>
      </c>
    </row>
    <row r="169" spans="1:21" x14ac:dyDescent="0.25">
      <c r="B169" s="9"/>
      <c r="C169" s="17">
        <v>447.45</v>
      </c>
      <c r="D169" s="18">
        <v>26.856000000000002</v>
      </c>
      <c r="E169" s="18">
        <v>34.164999999999999</v>
      </c>
      <c r="F169" s="18">
        <v>34.909999999999997</v>
      </c>
      <c r="G169" s="18">
        <v>122.34</v>
      </c>
      <c r="H169" s="18">
        <f t="shared" si="9"/>
        <v>28.776375000000002</v>
      </c>
      <c r="I169" s="5"/>
      <c r="J169" s="17">
        <v>503.07279999999997</v>
      </c>
      <c r="K169" s="18">
        <v>28.126100000000001</v>
      </c>
      <c r="L169" s="18">
        <v>36.006900000000002</v>
      </c>
      <c r="M169" s="18">
        <v>36.818899999999999</v>
      </c>
      <c r="N169" s="18">
        <v>150.46639999999999</v>
      </c>
      <c r="O169" s="18">
        <f t="shared" si="10"/>
        <v>30.197800000000001</v>
      </c>
      <c r="P169" s="7"/>
      <c r="Q169" s="10"/>
      <c r="R169" s="11"/>
      <c r="S169" s="11"/>
      <c r="T169" s="26"/>
      <c r="U169" s="28">
        <f t="shared" si="11"/>
        <v>0.22990354749059988</v>
      </c>
    </row>
    <row r="170" spans="1:21" ht="16.5" thickBot="1" x14ac:dyDescent="0.3">
      <c r="B170" s="12"/>
      <c r="C170" s="19">
        <v>254.19</v>
      </c>
      <c r="D170" s="20">
        <v>24.844000000000001</v>
      </c>
      <c r="E170" s="20">
        <v>33.095999999999997</v>
      </c>
      <c r="F170" s="20">
        <v>33.841999999999999</v>
      </c>
      <c r="G170" s="20">
        <v>138.72999999999999</v>
      </c>
      <c r="H170" s="20">
        <f t="shared" si="9"/>
        <v>27.000250000000001</v>
      </c>
      <c r="I170" s="5"/>
      <c r="J170" s="19">
        <v>304.5752</v>
      </c>
      <c r="K170" s="20">
        <v>26.613199999999999</v>
      </c>
      <c r="L170" s="20">
        <v>35.098999999999997</v>
      </c>
      <c r="M170" s="20">
        <v>35.825600000000001</v>
      </c>
      <c r="N170" s="20">
        <v>180.0504</v>
      </c>
      <c r="O170" s="20">
        <f t="shared" si="10"/>
        <v>28.825474999999997</v>
      </c>
      <c r="P170" s="7"/>
      <c r="Q170" s="13"/>
      <c r="R170" s="14"/>
      <c r="S170" s="14"/>
      <c r="T170" s="27"/>
      <c r="U170" s="28">
        <f t="shared" si="11"/>
        <v>0.29784761767461981</v>
      </c>
    </row>
    <row r="171" spans="1:21" x14ac:dyDescent="0.25">
      <c r="B171" s="6" t="s">
        <v>56</v>
      </c>
      <c r="C171" s="15">
        <v>1100.73</v>
      </c>
      <c r="D171" s="16">
        <v>32.674999999999997</v>
      </c>
      <c r="E171" s="16">
        <v>36.585000000000001</v>
      </c>
      <c r="F171" s="16">
        <v>38.209000000000003</v>
      </c>
      <c r="G171" s="16">
        <v>71.23</v>
      </c>
      <c r="H171" s="16">
        <f t="shared" si="9"/>
        <v>33.855499999999999</v>
      </c>
      <c r="I171" s="5"/>
      <c r="J171" s="15">
        <v>1187.8992000000001</v>
      </c>
      <c r="K171" s="16">
        <v>32.927399999999999</v>
      </c>
      <c r="L171" s="16">
        <v>37.801200000000001</v>
      </c>
      <c r="M171" s="16">
        <v>39.4026</v>
      </c>
      <c r="N171" s="16">
        <v>71.496700000000004</v>
      </c>
      <c r="O171" s="16">
        <f t="shared" si="10"/>
        <v>34.346024999999997</v>
      </c>
      <c r="P171" s="7"/>
      <c r="Q171" s="8">
        <f>bdrate(C171:C174,D171:D174,J171:J174,K171:K174)</f>
        <v>1.0680057210764371E-2</v>
      </c>
      <c r="R171" s="8">
        <f>bdrate(C171:C174,E171:E174,J171:J174,L171:L174)</f>
        <v>-0.44901644733174229</v>
      </c>
      <c r="S171" s="8">
        <f>bdrate(C171:C174,F171:F174,J171:J174,M171:M174)</f>
        <v>-0.46213028203311224</v>
      </c>
      <c r="T171" s="25">
        <f>bdrate(C171:C174,H171:H174,J171:J174,O171:O174)</f>
        <v>-8.9186539965373735E-2</v>
      </c>
      <c r="U171" s="28">
        <f t="shared" si="11"/>
        <v>3.7442089007440706E-3</v>
      </c>
    </row>
    <row r="172" spans="1:21" x14ac:dyDescent="0.25">
      <c r="B172" s="9"/>
      <c r="C172" s="17">
        <v>745.03</v>
      </c>
      <c r="D172" s="18">
        <v>31.245000000000001</v>
      </c>
      <c r="E172" s="18">
        <v>35.594000000000001</v>
      </c>
      <c r="F172" s="18">
        <v>37.19</v>
      </c>
      <c r="G172" s="18">
        <v>79.790000000000006</v>
      </c>
      <c r="H172" s="18">
        <f t="shared" si="9"/>
        <v>32.531750000000002</v>
      </c>
      <c r="I172" s="5"/>
      <c r="J172" s="17">
        <v>794.63279999999997</v>
      </c>
      <c r="K172" s="18">
        <v>31.414400000000001</v>
      </c>
      <c r="L172" s="18">
        <v>36.890700000000002</v>
      </c>
      <c r="M172" s="18">
        <v>38.536499999999997</v>
      </c>
      <c r="N172" s="18">
        <v>87.007000000000005</v>
      </c>
      <c r="O172" s="18">
        <f t="shared" si="10"/>
        <v>32.989200000000004</v>
      </c>
      <c r="P172" s="7"/>
      <c r="Q172" s="10"/>
      <c r="R172" s="11"/>
      <c r="S172" s="11"/>
      <c r="T172" s="26"/>
      <c r="U172" s="28">
        <f t="shared" si="11"/>
        <v>9.0449931069056244E-2</v>
      </c>
    </row>
    <row r="173" spans="1:21" x14ac:dyDescent="0.25">
      <c r="B173" s="9"/>
      <c r="C173" s="17">
        <v>471.92</v>
      </c>
      <c r="D173" s="18">
        <v>29.632999999999999</v>
      </c>
      <c r="E173" s="18">
        <v>34.642000000000003</v>
      </c>
      <c r="F173" s="18">
        <v>36.128999999999998</v>
      </c>
      <c r="G173" s="18">
        <v>89.45</v>
      </c>
      <c r="H173" s="18">
        <f t="shared" si="9"/>
        <v>31.071124999999999</v>
      </c>
      <c r="I173" s="5"/>
      <c r="J173" s="17">
        <v>495.73599999999999</v>
      </c>
      <c r="K173" s="18">
        <v>29.771000000000001</v>
      </c>
      <c r="L173" s="18">
        <v>36.0105</v>
      </c>
      <c r="M173" s="18">
        <v>37.664099999999998</v>
      </c>
      <c r="N173" s="18">
        <v>103.377</v>
      </c>
      <c r="O173" s="18">
        <f t="shared" si="10"/>
        <v>31.537575</v>
      </c>
      <c r="P173" s="7"/>
      <c r="Q173" s="10"/>
      <c r="R173" s="11"/>
      <c r="S173" s="11"/>
      <c r="T173" s="26"/>
      <c r="U173" s="28">
        <f t="shared" si="11"/>
        <v>0.15569591950810499</v>
      </c>
    </row>
    <row r="174" spans="1:21" ht="16.5" thickBot="1" x14ac:dyDescent="0.3">
      <c r="B174" s="12"/>
      <c r="C174" s="19">
        <v>285.54000000000002</v>
      </c>
      <c r="D174" s="20">
        <v>28.021000000000001</v>
      </c>
      <c r="E174" s="20">
        <v>33.618000000000002</v>
      </c>
      <c r="F174" s="20">
        <v>34.981000000000002</v>
      </c>
      <c r="G174" s="20">
        <v>97.59</v>
      </c>
      <c r="H174" s="20">
        <f t="shared" si="9"/>
        <v>29.590624999999999</v>
      </c>
      <c r="I174" s="5"/>
      <c r="J174" s="19">
        <v>297.43920000000003</v>
      </c>
      <c r="K174" s="20">
        <v>28.1524</v>
      </c>
      <c r="L174" s="20">
        <v>35.066200000000002</v>
      </c>
      <c r="M174" s="20">
        <v>36.726199999999999</v>
      </c>
      <c r="N174" s="20">
        <v>126.52889999999999</v>
      </c>
      <c r="O174" s="20">
        <f t="shared" si="10"/>
        <v>30.088350000000002</v>
      </c>
      <c r="P174" s="7"/>
      <c r="Q174" s="13"/>
      <c r="R174" s="14"/>
      <c r="S174" s="14"/>
      <c r="T174" s="27"/>
      <c r="U174" s="28">
        <f t="shared" si="11"/>
        <v>0.296535505687058</v>
      </c>
    </row>
    <row r="175" spans="1:21" x14ac:dyDescent="0.25">
      <c r="A175" s="6" t="s">
        <v>41</v>
      </c>
      <c r="B175" s="6" t="s">
        <v>57</v>
      </c>
      <c r="C175" s="15">
        <v>637.95000000000005</v>
      </c>
      <c r="D175" s="16">
        <v>34.840000000000003</v>
      </c>
      <c r="E175" s="16">
        <v>39.573999999999998</v>
      </c>
      <c r="F175" s="16">
        <v>38.124000000000002</v>
      </c>
      <c r="G175" s="16">
        <v>141.19999999999999</v>
      </c>
      <c r="H175" s="16">
        <f t="shared" si="9"/>
        <v>35.842250000000007</v>
      </c>
      <c r="I175" s="5"/>
      <c r="J175" s="15">
        <v>601.98400000000004</v>
      </c>
      <c r="K175" s="16">
        <v>35.151699999999998</v>
      </c>
      <c r="L175" s="16">
        <v>40.9664</v>
      </c>
      <c r="M175" s="16">
        <v>39.363</v>
      </c>
      <c r="N175" s="16">
        <v>262.74299999999999</v>
      </c>
      <c r="O175" s="16">
        <f t="shared" si="10"/>
        <v>36.404949999999999</v>
      </c>
      <c r="P175" s="7"/>
      <c r="Q175" s="8">
        <f>bdrate(C175:C178,D175:D178,J175:J178,K175:K178)</f>
        <v>-7.9556132293270077E-2</v>
      </c>
      <c r="R175" s="8">
        <f>bdrate(C175:C178,E175:E178,J175:J178,L175:L178)</f>
        <v>-0.47996153348990989</v>
      </c>
      <c r="S175" s="8">
        <f>bdrate(C175:C178,F175:F178,J175:J178,M175:M178)</f>
        <v>-0.42280489342991268</v>
      </c>
      <c r="T175" s="25">
        <f>bdrate(C175:C178,H175:H178,J175:J178,O175:O178)</f>
        <v>-0.16433261664820198</v>
      </c>
      <c r="U175" s="28">
        <f t="shared" si="11"/>
        <v>0.8607861189801701</v>
      </c>
    </row>
    <row r="176" spans="1:21" x14ac:dyDescent="0.25">
      <c r="A176" s="9" t="s">
        <v>42</v>
      </c>
      <c r="B176" s="9"/>
      <c r="C176" s="17">
        <v>424.93</v>
      </c>
      <c r="D176" s="18">
        <v>33.07</v>
      </c>
      <c r="E176" s="18">
        <v>38.292999999999999</v>
      </c>
      <c r="F176" s="18">
        <v>36.695999999999998</v>
      </c>
      <c r="G176" s="18">
        <v>175.13</v>
      </c>
      <c r="H176" s="18">
        <f t="shared" si="9"/>
        <v>34.176124999999999</v>
      </c>
      <c r="I176" s="5"/>
      <c r="J176" s="17">
        <v>401.38799999999998</v>
      </c>
      <c r="K176" s="18">
        <v>33.286700000000003</v>
      </c>
      <c r="L176" s="18">
        <v>39.7714</v>
      </c>
      <c r="M176" s="18">
        <v>38.037300000000002</v>
      </c>
      <c r="N176" s="18">
        <v>308.26139999999998</v>
      </c>
      <c r="O176" s="18">
        <f t="shared" si="10"/>
        <v>34.691112500000003</v>
      </c>
      <c r="P176" s="7"/>
      <c r="Q176" s="10"/>
      <c r="R176" s="11"/>
      <c r="S176" s="11"/>
      <c r="T176" s="26"/>
      <c r="U176" s="28">
        <f t="shared" si="11"/>
        <v>0.76018614743333512</v>
      </c>
    </row>
    <row r="177" spans="1:21" x14ac:dyDescent="0.25">
      <c r="B177" s="9"/>
      <c r="C177" s="17">
        <v>267.77</v>
      </c>
      <c r="D177" s="18">
        <v>31.225000000000001</v>
      </c>
      <c r="E177" s="18">
        <v>37.030999999999999</v>
      </c>
      <c r="F177" s="18">
        <v>35.237000000000002</v>
      </c>
      <c r="G177" s="18">
        <v>199.04</v>
      </c>
      <c r="H177" s="18">
        <f t="shared" si="9"/>
        <v>32.452250000000006</v>
      </c>
      <c r="I177" s="5"/>
      <c r="J177" s="17">
        <v>250.49760000000001</v>
      </c>
      <c r="K177" s="18">
        <v>31.2563</v>
      </c>
      <c r="L177" s="18">
        <v>38.584200000000003</v>
      </c>
      <c r="M177" s="18">
        <v>36.733199999999997</v>
      </c>
      <c r="N177" s="18">
        <v>364.16609999999997</v>
      </c>
      <c r="O177" s="18">
        <f t="shared" si="10"/>
        <v>32.856900000000003</v>
      </c>
      <c r="P177" s="7"/>
      <c r="Q177" s="10"/>
      <c r="R177" s="11"/>
      <c r="S177" s="11"/>
      <c r="T177" s="26"/>
      <c r="U177" s="28">
        <f t="shared" si="11"/>
        <v>0.8296126406752411</v>
      </c>
    </row>
    <row r="178" spans="1:21" ht="16.5" thickBot="1" x14ac:dyDescent="0.3">
      <c r="B178" s="12"/>
      <c r="C178" s="19">
        <v>126.49</v>
      </c>
      <c r="D178" s="20">
        <v>28.378</v>
      </c>
      <c r="E178" s="20">
        <v>35.301000000000002</v>
      </c>
      <c r="F178" s="20">
        <v>32.935000000000002</v>
      </c>
      <c r="G178" s="20">
        <v>250.5</v>
      </c>
      <c r="H178" s="20">
        <f t="shared" si="9"/>
        <v>29.813000000000002</v>
      </c>
      <c r="I178" s="5"/>
      <c r="J178" s="19">
        <v>120.3944</v>
      </c>
      <c r="K178" s="20">
        <v>28.362300000000001</v>
      </c>
      <c r="L178" s="20">
        <v>36.9482</v>
      </c>
      <c r="M178" s="20">
        <v>34.764200000000002</v>
      </c>
      <c r="N178" s="20">
        <v>478.01150000000001</v>
      </c>
      <c r="O178" s="20">
        <f t="shared" si="10"/>
        <v>30.235775000000004</v>
      </c>
      <c r="P178" s="7"/>
      <c r="Q178" s="13"/>
      <c r="R178" s="14"/>
      <c r="S178" s="14"/>
      <c r="T178" s="27"/>
      <c r="U178" s="28">
        <f t="shared" si="11"/>
        <v>0.90822954091816377</v>
      </c>
    </row>
    <row r="179" spans="1:21" x14ac:dyDescent="0.25">
      <c r="B179" s="6" t="s">
        <v>58</v>
      </c>
      <c r="C179" s="15">
        <v>554.96</v>
      </c>
      <c r="D179" s="16">
        <v>32.942</v>
      </c>
      <c r="E179" s="16">
        <v>40.121000000000002</v>
      </c>
      <c r="F179" s="16">
        <v>40.963000000000001</v>
      </c>
      <c r="G179" s="16">
        <v>254.78</v>
      </c>
      <c r="H179" s="16">
        <f t="shared" si="9"/>
        <v>34.841999999999999</v>
      </c>
      <c r="I179" s="5"/>
      <c r="J179" s="15">
        <v>596.90880000000004</v>
      </c>
      <c r="K179" s="16">
        <v>33.929499999999997</v>
      </c>
      <c r="L179" s="16">
        <v>42.053400000000003</v>
      </c>
      <c r="M179" s="16">
        <v>42.9831</v>
      </c>
      <c r="N179" s="16">
        <v>388.601</v>
      </c>
      <c r="O179" s="16">
        <f t="shared" si="10"/>
        <v>36.076687499999998</v>
      </c>
      <c r="P179" s="7"/>
      <c r="Q179" s="8">
        <f>bdrate(C179:C182,D179:D182,J179:J182,K179:K182)</f>
        <v>-0.23480502957474725</v>
      </c>
      <c r="R179" s="8">
        <f>bdrate(C179:C182,E179:E182,J179:J182,L179:L182)</f>
        <v>-0.56275776658940591</v>
      </c>
      <c r="S179" s="8">
        <f>bdrate(C179:C182,F179:F182,J179:J182,M179:M182)</f>
        <v>-0.57272251782027206</v>
      </c>
      <c r="T179" s="25">
        <f>bdrate(C179:C182,H179:H182,J179:J182,O179:O182)</f>
        <v>-0.29404990872571668</v>
      </c>
      <c r="U179" s="28">
        <f t="shared" si="11"/>
        <v>0.52524138472407567</v>
      </c>
    </row>
    <row r="180" spans="1:21" x14ac:dyDescent="0.25">
      <c r="B180" s="9"/>
      <c r="C180" s="17">
        <v>364.89</v>
      </c>
      <c r="D180" s="18">
        <v>31.584</v>
      </c>
      <c r="E180" s="18">
        <v>39.411999999999999</v>
      </c>
      <c r="F180" s="18">
        <v>40.22</v>
      </c>
      <c r="G180" s="18">
        <v>291.26</v>
      </c>
      <c r="H180" s="18">
        <f t="shared" si="9"/>
        <v>33.641999999999996</v>
      </c>
      <c r="I180" s="5"/>
      <c r="J180" s="17">
        <v>397.62639999999999</v>
      </c>
      <c r="K180" s="18">
        <v>32.663200000000003</v>
      </c>
      <c r="L180" s="18">
        <v>41.133299999999998</v>
      </c>
      <c r="M180" s="18">
        <v>42.082000000000001</v>
      </c>
      <c r="N180" s="18">
        <v>458.01530000000002</v>
      </c>
      <c r="O180" s="18">
        <f t="shared" si="10"/>
        <v>34.899312500000001</v>
      </c>
      <c r="P180" s="7"/>
      <c r="Q180" s="10"/>
      <c r="R180" s="11"/>
      <c r="S180" s="11"/>
      <c r="T180" s="26"/>
      <c r="U180" s="28">
        <f t="shared" si="11"/>
        <v>0.57253072855867626</v>
      </c>
    </row>
    <row r="181" spans="1:21" x14ac:dyDescent="0.25">
      <c r="B181" s="9"/>
      <c r="C181" s="17">
        <v>224.99</v>
      </c>
      <c r="D181" s="18">
        <v>29.946999999999999</v>
      </c>
      <c r="E181" s="18">
        <v>38.762</v>
      </c>
      <c r="F181" s="18">
        <v>39.472999999999999</v>
      </c>
      <c r="G181" s="18">
        <v>320.51</v>
      </c>
      <c r="H181" s="18">
        <f t="shared" si="9"/>
        <v>32.239624999999997</v>
      </c>
      <c r="I181" s="5"/>
      <c r="J181" s="17">
        <v>248.05279999999999</v>
      </c>
      <c r="K181" s="18">
        <v>31.179200000000002</v>
      </c>
      <c r="L181" s="18">
        <v>40.177999999999997</v>
      </c>
      <c r="M181" s="18">
        <v>41.016800000000003</v>
      </c>
      <c r="N181" s="18">
        <v>557.62080000000003</v>
      </c>
      <c r="O181" s="18">
        <f t="shared" si="10"/>
        <v>33.533749999999998</v>
      </c>
      <c r="P181" s="7"/>
      <c r="Q181" s="10"/>
      <c r="R181" s="11"/>
      <c r="S181" s="11"/>
      <c r="T181" s="26"/>
      <c r="U181" s="28">
        <f t="shared" si="11"/>
        <v>0.7397922061714145</v>
      </c>
    </row>
    <row r="182" spans="1:21" ht="16.5" thickBot="1" x14ac:dyDescent="0.3">
      <c r="B182" s="12"/>
      <c r="C182" s="19">
        <v>102.17</v>
      </c>
      <c r="D182" s="20">
        <v>26.835000000000001</v>
      </c>
      <c r="E182" s="20">
        <v>37.765000000000001</v>
      </c>
      <c r="F182" s="20">
        <v>38.357999999999997</v>
      </c>
      <c r="G182" s="20">
        <v>380.71</v>
      </c>
      <c r="H182" s="20">
        <f t="shared" si="9"/>
        <v>29.641624999999998</v>
      </c>
      <c r="I182" s="5"/>
      <c r="J182" s="19">
        <v>119.20399999999999</v>
      </c>
      <c r="K182" s="20">
        <v>28.7029</v>
      </c>
      <c r="L182" s="20">
        <v>38.959899999999998</v>
      </c>
      <c r="M182" s="20">
        <v>39.838900000000002</v>
      </c>
      <c r="N182" s="20">
        <v>725.51390000000004</v>
      </c>
      <c r="O182" s="20">
        <f t="shared" si="10"/>
        <v>31.377025</v>
      </c>
      <c r="P182" s="7"/>
      <c r="Q182" s="13"/>
      <c r="R182" s="14"/>
      <c r="S182" s="14"/>
      <c r="T182" s="27"/>
      <c r="U182" s="28">
        <f t="shared" si="11"/>
        <v>0.90568648052323308</v>
      </c>
    </row>
    <row r="183" spans="1:21" x14ac:dyDescent="0.25">
      <c r="B183" s="6" t="s">
        <v>59</v>
      </c>
      <c r="C183" s="29">
        <v>625.46</v>
      </c>
      <c r="D183" s="30">
        <v>32.966999999999999</v>
      </c>
      <c r="E183" s="30">
        <v>37.491</v>
      </c>
      <c r="F183" s="30">
        <v>38.076999999999998</v>
      </c>
      <c r="G183" s="16">
        <v>197.86</v>
      </c>
      <c r="H183" s="16">
        <f t="shared" si="9"/>
        <v>34.171250000000001</v>
      </c>
      <c r="I183" s="5"/>
      <c r="J183" s="29">
        <v>595.83199999999999</v>
      </c>
      <c r="K183" s="30">
        <v>33.302999999999997</v>
      </c>
      <c r="L183" s="30">
        <v>38.913699999999999</v>
      </c>
      <c r="M183" s="30">
        <v>39.775700000000001</v>
      </c>
      <c r="N183" s="16">
        <v>320.51280000000003</v>
      </c>
      <c r="O183" s="16">
        <f t="shared" si="10"/>
        <v>34.813424999999995</v>
      </c>
      <c r="P183" s="7"/>
      <c r="Q183" s="8">
        <f>bdrate(C183:C186,D183:D186,J183:J186,K183:K186)</f>
        <v>-0.15732959223162857</v>
      </c>
      <c r="R183" s="8">
        <f>bdrate(C183:C186,E183:E186,J183:J186,L183:L186)</f>
        <v>-0.52421104855044787</v>
      </c>
      <c r="S183" s="8">
        <f>bdrate(C183:C186,F183:F186,J183:J186,M183:M186)</f>
        <v>-0.55433389657428012</v>
      </c>
      <c r="T183" s="25">
        <f>bdrate(C183:C186,H183:H186,J183:J186,O183:O186)</f>
        <v>-0.24411652400879891</v>
      </c>
      <c r="U183" s="28">
        <f t="shared" si="11"/>
        <v>0.61989689679571414</v>
      </c>
    </row>
    <row r="184" spans="1:21" x14ac:dyDescent="0.25">
      <c r="B184" s="9"/>
      <c r="C184" s="31">
        <v>415.96</v>
      </c>
      <c r="D184" s="32">
        <v>31.390999999999998</v>
      </c>
      <c r="E184" s="32">
        <v>36.402000000000001</v>
      </c>
      <c r="F184" s="32">
        <v>36.94</v>
      </c>
      <c r="G184" s="18">
        <v>237.42</v>
      </c>
      <c r="H184" s="18">
        <f t="shared" si="9"/>
        <v>32.710999999999999</v>
      </c>
      <c r="I184" s="5"/>
      <c r="J184" s="31">
        <v>397.18639999999999</v>
      </c>
      <c r="K184" s="32">
        <v>31.7605</v>
      </c>
      <c r="L184" s="32">
        <v>37.864699999999999</v>
      </c>
      <c r="M184" s="32">
        <v>38.634500000000003</v>
      </c>
      <c r="N184" s="18">
        <v>400.64100000000002</v>
      </c>
      <c r="O184" s="18">
        <f t="shared" si="10"/>
        <v>33.382774999999995</v>
      </c>
      <c r="P184" s="7"/>
      <c r="Q184" s="10"/>
      <c r="R184" s="11"/>
      <c r="S184" s="11"/>
      <c r="T184" s="26"/>
      <c r="U184" s="28">
        <f t="shared" si="11"/>
        <v>0.68747788728834991</v>
      </c>
    </row>
    <row r="185" spans="1:21" x14ac:dyDescent="0.25">
      <c r="B185" s="9"/>
      <c r="C185" s="31">
        <v>258.33999999999997</v>
      </c>
      <c r="D185" s="32">
        <v>29.661999999999999</v>
      </c>
      <c r="E185" s="32">
        <v>35.21</v>
      </c>
      <c r="F185" s="32">
        <v>35.728999999999999</v>
      </c>
      <c r="G185" s="18">
        <v>267.08999999999997</v>
      </c>
      <c r="H185" s="18">
        <f t="shared" si="9"/>
        <v>31.113875</v>
      </c>
      <c r="I185" s="5"/>
      <c r="J185" s="31">
        <v>249.0224</v>
      </c>
      <c r="K185" s="32">
        <v>30.154199999999999</v>
      </c>
      <c r="L185" s="32">
        <v>36.8795</v>
      </c>
      <c r="M185" s="32">
        <v>37.599699999999999</v>
      </c>
      <c r="N185" s="18">
        <v>471.25349999999997</v>
      </c>
      <c r="O185" s="18">
        <f t="shared" si="10"/>
        <v>31.925550000000001</v>
      </c>
      <c r="P185" s="7"/>
      <c r="Q185" s="10"/>
      <c r="R185" s="11"/>
      <c r="S185" s="11"/>
      <c r="T185" s="26"/>
      <c r="U185" s="28">
        <f t="shared" si="11"/>
        <v>0.76439964057059429</v>
      </c>
    </row>
    <row r="186" spans="1:21" ht="16.5" thickBot="1" x14ac:dyDescent="0.3">
      <c r="B186" s="12"/>
      <c r="C186" s="33">
        <v>120.72</v>
      </c>
      <c r="D186" s="34">
        <v>26.986000000000001</v>
      </c>
      <c r="E186" s="34">
        <v>33.436</v>
      </c>
      <c r="F186" s="34">
        <v>33.960999999999999</v>
      </c>
      <c r="G186" s="20">
        <v>330.47</v>
      </c>
      <c r="H186" s="20">
        <f t="shared" si="9"/>
        <v>28.664124999999999</v>
      </c>
      <c r="I186" s="5"/>
      <c r="J186" s="33">
        <v>120.504</v>
      </c>
      <c r="K186" s="34">
        <v>27.741800000000001</v>
      </c>
      <c r="L186" s="34">
        <v>35.462200000000003</v>
      </c>
      <c r="M186" s="34">
        <v>36.098100000000002</v>
      </c>
      <c r="N186" s="20">
        <v>604.59490000000005</v>
      </c>
      <c r="O186" s="20">
        <f t="shared" si="10"/>
        <v>29.7513875</v>
      </c>
      <c r="P186" s="7"/>
      <c r="Q186" s="13"/>
      <c r="R186" s="14"/>
      <c r="S186" s="14"/>
      <c r="T186" s="27"/>
      <c r="U186" s="28">
        <f t="shared" si="11"/>
        <v>0.82950010590976486</v>
      </c>
    </row>
    <row r="187" spans="1:21" x14ac:dyDescent="0.25">
      <c r="B187" s="6" t="s">
        <v>60</v>
      </c>
      <c r="C187" s="15">
        <v>573.59</v>
      </c>
      <c r="D187" s="16">
        <v>34.247</v>
      </c>
      <c r="E187" s="16">
        <v>37.606000000000002</v>
      </c>
      <c r="F187" s="16">
        <v>38.741</v>
      </c>
      <c r="G187" s="16">
        <v>129.93</v>
      </c>
      <c r="H187" s="16">
        <f t="shared" si="9"/>
        <v>35.228625000000001</v>
      </c>
      <c r="I187" s="5"/>
      <c r="J187" s="15">
        <v>591.88879999999995</v>
      </c>
      <c r="K187" s="16">
        <v>34.411099999999998</v>
      </c>
      <c r="L187" s="16">
        <v>38.664200000000001</v>
      </c>
      <c r="M187" s="16">
        <v>39.860300000000002</v>
      </c>
      <c r="N187" s="16">
        <v>179.7484</v>
      </c>
      <c r="O187" s="16">
        <f t="shared" si="10"/>
        <v>35.623887499999995</v>
      </c>
      <c r="P187" s="7"/>
      <c r="Q187" s="8">
        <f>bdrate(C187:C190,D187:D190,J187:J190,K187:K190)</f>
        <v>8.1655709891801376E-3</v>
      </c>
      <c r="R187" s="8">
        <f>bdrate(C187:C190,E187:E190,J187:J190,L187:L190)</f>
        <v>-0.37024963029075431</v>
      </c>
      <c r="S187" s="8">
        <f>bdrate(C187:C190,F187:F190,J187:J190,M187:M190)</f>
        <v>-0.3876892795763488</v>
      </c>
      <c r="T187" s="25">
        <f>bdrate(C187:C190,H187:H190,J187:J190,O187:O190)</f>
        <v>-7.9961223857274333E-2</v>
      </c>
      <c r="U187" s="28">
        <f t="shared" si="11"/>
        <v>0.38342492111136761</v>
      </c>
    </row>
    <row r="188" spans="1:21" x14ac:dyDescent="0.25">
      <c r="B188" s="9"/>
      <c r="C188" s="17">
        <v>384.94</v>
      </c>
      <c r="D188" s="18">
        <v>32.478999999999999</v>
      </c>
      <c r="E188" s="18">
        <v>36.395000000000003</v>
      </c>
      <c r="F188" s="18">
        <v>37.496000000000002</v>
      </c>
      <c r="G188" s="18">
        <v>145.69999999999999</v>
      </c>
      <c r="H188" s="18">
        <f t="shared" si="9"/>
        <v>33.595624999999998</v>
      </c>
      <c r="I188" s="5"/>
      <c r="J188" s="17">
        <v>391.25279999999998</v>
      </c>
      <c r="K188" s="18">
        <v>32.479900000000001</v>
      </c>
      <c r="L188" s="18">
        <v>37.498800000000003</v>
      </c>
      <c r="M188" s="18">
        <v>38.690100000000001</v>
      </c>
      <c r="N188" s="18">
        <v>216.13829999999999</v>
      </c>
      <c r="O188" s="18">
        <f t="shared" si="10"/>
        <v>33.883537500000003</v>
      </c>
      <c r="P188" s="7"/>
      <c r="Q188" s="10"/>
      <c r="R188" s="11"/>
      <c r="S188" s="11"/>
      <c r="T188" s="26"/>
      <c r="U188" s="28">
        <f t="shared" si="11"/>
        <v>0.48344749485243654</v>
      </c>
    </row>
    <row r="189" spans="1:21" x14ac:dyDescent="0.25">
      <c r="B189" s="9"/>
      <c r="C189" s="17">
        <v>242.05</v>
      </c>
      <c r="D189" s="18">
        <v>30.59</v>
      </c>
      <c r="E189" s="18">
        <v>35.039000000000001</v>
      </c>
      <c r="F189" s="18">
        <v>36.057000000000002</v>
      </c>
      <c r="G189" s="18">
        <v>170.16</v>
      </c>
      <c r="H189" s="18">
        <f t="shared" si="9"/>
        <v>31.829500000000003</v>
      </c>
      <c r="I189" s="5"/>
      <c r="J189" s="17">
        <v>246.38720000000001</v>
      </c>
      <c r="K189" s="18">
        <v>30.647500000000001</v>
      </c>
      <c r="L189" s="18">
        <v>36.351599999999998</v>
      </c>
      <c r="M189" s="18">
        <v>37.516100000000002</v>
      </c>
      <c r="N189" s="18">
        <v>256.41030000000001</v>
      </c>
      <c r="O189" s="18">
        <f t="shared" si="10"/>
        <v>32.219087500000001</v>
      </c>
      <c r="P189" s="7"/>
      <c r="Q189" s="10"/>
      <c r="R189" s="11"/>
      <c r="S189" s="11"/>
      <c r="T189" s="26"/>
      <c r="U189" s="28">
        <f t="shared" si="11"/>
        <v>0.50687764456981677</v>
      </c>
    </row>
    <row r="190" spans="1:21" ht="16.5" thickBot="1" x14ac:dyDescent="0.3">
      <c r="B190" s="12"/>
      <c r="C190" s="19">
        <v>115.16</v>
      </c>
      <c r="D190" s="20">
        <v>27.963999999999999</v>
      </c>
      <c r="E190" s="20">
        <v>33.195999999999998</v>
      </c>
      <c r="F190" s="20">
        <v>34.08</v>
      </c>
      <c r="G190" s="20">
        <v>216.14</v>
      </c>
      <c r="H190" s="20">
        <f t="shared" si="9"/>
        <v>29.3825</v>
      </c>
      <c r="I190" s="5"/>
      <c r="J190" s="19">
        <v>117.74</v>
      </c>
      <c r="K190" s="20">
        <v>27.988800000000001</v>
      </c>
      <c r="L190" s="20">
        <v>34.804600000000001</v>
      </c>
      <c r="M190" s="20">
        <v>35.933599999999998</v>
      </c>
      <c r="N190" s="20">
        <v>356.29450000000003</v>
      </c>
      <c r="O190" s="20">
        <f t="shared" si="10"/>
        <v>29.833874999999999</v>
      </c>
      <c r="P190" s="7"/>
      <c r="Q190" s="13"/>
      <c r="R190" s="14"/>
      <c r="S190" s="14"/>
      <c r="T190" s="27"/>
      <c r="U190" s="28">
        <f t="shared" si="11"/>
        <v>0.64844313870639425</v>
      </c>
    </row>
    <row r="191" spans="1:21" x14ac:dyDescent="0.25">
      <c r="A191" s="6" t="s">
        <v>43</v>
      </c>
      <c r="B191" s="6" t="s">
        <v>61</v>
      </c>
      <c r="C191" s="15">
        <v>1376.45</v>
      </c>
      <c r="D191" s="16">
        <v>41.058999999999997</v>
      </c>
      <c r="E191" s="16">
        <v>45.058</v>
      </c>
      <c r="F191" s="16">
        <v>46.323</v>
      </c>
      <c r="G191" s="16">
        <v>71.89</v>
      </c>
      <c r="H191" s="16">
        <f t="shared" si="9"/>
        <v>42.216874999999995</v>
      </c>
      <c r="I191" s="5"/>
      <c r="J191" s="15">
        <v>1502.7439999999999</v>
      </c>
      <c r="K191" s="16">
        <v>41.901000000000003</v>
      </c>
      <c r="L191" s="16">
        <v>46.703200000000002</v>
      </c>
      <c r="M191" s="16">
        <v>47.991599999999998</v>
      </c>
      <c r="N191" s="16">
        <v>90.063000000000002</v>
      </c>
      <c r="O191" s="16">
        <f t="shared" si="10"/>
        <v>43.262599999999999</v>
      </c>
      <c r="P191" s="7"/>
      <c r="Q191" s="8">
        <f>bdrate(C191:C194,D191:D194,J191:J194,K191:K194)</f>
        <v>-0.1805581624389162</v>
      </c>
      <c r="R191" s="8">
        <f>bdrate(C191:C194,E191:E194,J191:J194,L191:L194)</f>
        <v>-0.44003547637591356</v>
      </c>
      <c r="S191" s="8">
        <f>bdrate(C191:C194,F191:F194,J191:J194,M191:M194)</f>
        <v>-0.41155116044206252</v>
      </c>
      <c r="T191" s="25">
        <f>bdrate(C191:C194,H191:H194,J191:J194,O191:O194)</f>
        <v>-0.23419571340605361</v>
      </c>
      <c r="U191" s="28">
        <f t="shared" si="11"/>
        <v>0.25278898316873005</v>
      </c>
    </row>
    <row r="192" spans="1:21" x14ac:dyDescent="0.25">
      <c r="A192" s="9" t="s">
        <v>44</v>
      </c>
      <c r="B192" s="9"/>
      <c r="C192" s="17">
        <v>909.83</v>
      </c>
      <c r="D192" s="18">
        <v>39.832999999999998</v>
      </c>
      <c r="E192" s="18">
        <v>43.959000000000003</v>
      </c>
      <c r="F192" s="18">
        <v>45.27</v>
      </c>
      <c r="G192" s="18">
        <v>83.08</v>
      </c>
      <c r="H192" s="18">
        <f t="shared" si="9"/>
        <v>41.028374999999997</v>
      </c>
      <c r="I192" s="5"/>
      <c r="J192" s="17">
        <v>996.62</v>
      </c>
      <c r="K192" s="18">
        <v>40.900599999999997</v>
      </c>
      <c r="L192" s="18">
        <v>45.871400000000001</v>
      </c>
      <c r="M192" s="18">
        <v>47.086500000000001</v>
      </c>
      <c r="N192" s="18">
        <v>115.85250000000001</v>
      </c>
      <c r="O192" s="18">
        <f t="shared" si="10"/>
        <v>42.295187499999997</v>
      </c>
      <c r="P192" s="7"/>
      <c r="Q192" s="10"/>
      <c r="R192" s="11"/>
      <c r="S192" s="11"/>
      <c r="T192" s="26"/>
      <c r="U192" s="28">
        <f t="shared" si="11"/>
        <v>0.39446918632643246</v>
      </c>
    </row>
    <row r="193" spans="1:21" x14ac:dyDescent="0.25">
      <c r="B193" s="9"/>
      <c r="C193" s="17">
        <v>538.04</v>
      </c>
      <c r="D193" s="18">
        <v>38.027999999999999</v>
      </c>
      <c r="E193" s="18">
        <v>42.765999999999998</v>
      </c>
      <c r="F193" s="18">
        <v>43.963999999999999</v>
      </c>
      <c r="G193" s="18">
        <v>90.08</v>
      </c>
      <c r="H193" s="18">
        <f t="shared" si="9"/>
        <v>39.362250000000003</v>
      </c>
      <c r="I193" s="5"/>
      <c r="J193" s="17">
        <v>592.89279999999997</v>
      </c>
      <c r="K193" s="18">
        <v>39.153300000000002</v>
      </c>
      <c r="L193" s="18">
        <v>44.422800000000002</v>
      </c>
      <c r="M193" s="18">
        <v>45.609900000000003</v>
      </c>
      <c r="N193" s="18">
        <v>140.3509</v>
      </c>
      <c r="O193" s="18">
        <f t="shared" si="10"/>
        <v>40.619062499999998</v>
      </c>
      <c r="P193" s="7"/>
      <c r="Q193" s="10"/>
      <c r="R193" s="11"/>
      <c r="S193" s="11"/>
      <c r="T193" s="26"/>
      <c r="U193" s="28">
        <f t="shared" si="11"/>
        <v>0.55806949378330373</v>
      </c>
    </row>
    <row r="194" spans="1:21" ht="16.5" thickBot="1" x14ac:dyDescent="0.3">
      <c r="B194" s="12"/>
      <c r="C194" s="19">
        <v>257.5</v>
      </c>
      <c r="D194" s="20">
        <v>35.356999999999999</v>
      </c>
      <c r="E194" s="20">
        <v>41.441000000000003</v>
      </c>
      <c r="F194" s="20">
        <v>42.393999999999998</v>
      </c>
      <c r="G194" s="20">
        <v>99.39</v>
      </c>
      <c r="H194" s="20">
        <f t="shared" si="9"/>
        <v>36.997124999999997</v>
      </c>
      <c r="I194" s="5"/>
      <c r="J194" s="19">
        <v>289.14240000000001</v>
      </c>
      <c r="K194" s="20">
        <v>36.099899999999998</v>
      </c>
      <c r="L194" s="20">
        <v>42.500999999999998</v>
      </c>
      <c r="M194" s="20">
        <v>43.558700000000002</v>
      </c>
      <c r="N194" s="20">
        <v>185.816</v>
      </c>
      <c r="O194" s="20">
        <f t="shared" si="10"/>
        <v>37.832387499999996</v>
      </c>
      <c r="P194" s="7"/>
      <c r="Q194" s="13"/>
      <c r="R194" s="14"/>
      <c r="S194" s="14"/>
      <c r="T194" s="27"/>
      <c r="U194" s="28">
        <f t="shared" si="11"/>
        <v>0.86956434248918402</v>
      </c>
    </row>
    <row r="195" spans="1:21" x14ac:dyDescent="0.25">
      <c r="B195" s="6" t="s">
        <v>62</v>
      </c>
      <c r="C195" s="15">
        <v>1421.38</v>
      </c>
      <c r="D195" s="16">
        <v>42.601999999999997</v>
      </c>
      <c r="E195" s="16">
        <v>47.387</v>
      </c>
      <c r="F195" s="16">
        <v>48.097000000000001</v>
      </c>
      <c r="G195" s="16">
        <v>71.62</v>
      </c>
      <c r="H195" s="16">
        <f t="shared" si="9"/>
        <v>43.886999999999993</v>
      </c>
      <c r="I195" s="5"/>
      <c r="J195" s="15">
        <v>1505.9096</v>
      </c>
      <c r="K195" s="16">
        <v>42.884</v>
      </c>
      <c r="L195" s="16">
        <v>48.469099999999997</v>
      </c>
      <c r="M195" s="16">
        <v>49.152299999999997</v>
      </c>
      <c r="N195" s="16">
        <v>100.43519999999999</v>
      </c>
      <c r="O195" s="16">
        <f t="shared" si="10"/>
        <v>44.365674999999996</v>
      </c>
      <c r="P195" s="7"/>
      <c r="Q195" s="8">
        <f>bdrate(C195:C198,D195:D198,J195:J198,K195:K198)</f>
        <v>-0.20701974445427562</v>
      </c>
      <c r="R195" s="8">
        <f>bdrate(C195:C198,E195:E198,J195:J198,L195:L198)</f>
        <v>-0.52537879839957402</v>
      </c>
      <c r="S195" s="8">
        <f>bdrate(C195:C198,F195:F198,J195:J198,M195:M198)</f>
        <v>-0.50115854432926088</v>
      </c>
      <c r="T195" s="25">
        <f>bdrate(C195:C198,H195:H198,J195:J198,O195:O198)</f>
        <v>-0.30029833844532305</v>
      </c>
      <c r="U195" s="28">
        <f t="shared" ref="U195:U213" si="12">(N195-G195)/G195</f>
        <v>0.40233454342362451</v>
      </c>
    </row>
    <row r="196" spans="1:21" x14ac:dyDescent="0.25">
      <c r="B196" s="9"/>
      <c r="C196" s="17">
        <v>935.7</v>
      </c>
      <c r="D196" s="18">
        <v>42.037999999999997</v>
      </c>
      <c r="E196" s="18">
        <v>46.694000000000003</v>
      </c>
      <c r="F196" s="18">
        <v>47.423999999999999</v>
      </c>
      <c r="G196" s="18">
        <v>82.36</v>
      </c>
      <c r="H196" s="18">
        <f t="shared" si="9"/>
        <v>43.293249999999993</v>
      </c>
      <c r="I196" s="5"/>
      <c r="J196" s="17">
        <v>995.15840000000003</v>
      </c>
      <c r="K196" s="18">
        <v>42.4422</v>
      </c>
      <c r="L196" s="18">
        <v>48.075200000000002</v>
      </c>
      <c r="M196" s="18">
        <v>48.726100000000002</v>
      </c>
      <c r="N196" s="18">
        <v>141.94460000000001</v>
      </c>
      <c r="O196" s="18">
        <f t="shared" si="10"/>
        <v>43.931812500000007</v>
      </c>
      <c r="P196" s="7"/>
      <c r="Q196" s="10"/>
      <c r="R196" s="11"/>
      <c r="S196" s="11"/>
      <c r="T196" s="26"/>
      <c r="U196" s="28">
        <f t="shared" si="12"/>
        <v>0.72346527440505115</v>
      </c>
    </row>
    <row r="197" spans="1:21" x14ac:dyDescent="0.25">
      <c r="B197" s="9"/>
      <c r="C197" s="17">
        <v>550.80999999999995</v>
      </c>
      <c r="D197" s="18">
        <v>41.097000000000001</v>
      </c>
      <c r="E197" s="18">
        <v>45.722999999999999</v>
      </c>
      <c r="F197" s="18">
        <v>46.435000000000002</v>
      </c>
      <c r="G197" s="18">
        <v>88.82</v>
      </c>
      <c r="H197" s="18">
        <f t="shared" si="9"/>
        <v>42.342500000000001</v>
      </c>
      <c r="I197" s="5"/>
      <c r="J197" s="17">
        <v>572.35599999999999</v>
      </c>
      <c r="K197" s="18">
        <v>41.642299999999999</v>
      </c>
      <c r="L197" s="18">
        <v>47.2866</v>
      </c>
      <c r="M197" s="18">
        <v>47.957999999999998</v>
      </c>
      <c r="N197" s="18">
        <v>174.01390000000001</v>
      </c>
      <c r="O197" s="18">
        <f t="shared" si="10"/>
        <v>43.137299999999996</v>
      </c>
      <c r="P197" s="7"/>
      <c r="Q197" s="10"/>
      <c r="R197" s="11"/>
      <c r="S197" s="11"/>
      <c r="T197" s="26"/>
      <c r="U197" s="28">
        <f t="shared" si="12"/>
        <v>0.95917473541995069</v>
      </c>
    </row>
    <row r="198" spans="1:21" ht="16.5" thickBot="1" x14ac:dyDescent="0.3">
      <c r="B198" s="12"/>
      <c r="C198" s="19">
        <v>260.47000000000003</v>
      </c>
      <c r="D198" s="20">
        <v>39.18</v>
      </c>
      <c r="E198" s="20">
        <v>44.26</v>
      </c>
      <c r="F198" s="20">
        <v>44.808999999999997</v>
      </c>
      <c r="G198" s="20">
        <v>97.37</v>
      </c>
      <c r="H198" s="20">
        <f t="shared" si="9"/>
        <v>40.518625</v>
      </c>
      <c r="I198" s="5"/>
      <c r="J198" s="19">
        <v>275.08</v>
      </c>
      <c r="K198" s="20">
        <v>39.866599999999998</v>
      </c>
      <c r="L198" s="20">
        <v>45.4709</v>
      </c>
      <c r="M198" s="20">
        <v>45.996899999999997</v>
      </c>
      <c r="N198" s="20">
        <v>223.63030000000001</v>
      </c>
      <c r="O198" s="20">
        <f t="shared" si="10"/>
        <v>41.333424999999991</v>
      </c>
      <c r="P198" s="7"/>
      <c r="Q198" s="13"/>
      <c r="R198" s="14"/>
      <c r="S198" s="14"/>
      <c r="T198" s="27"/>
      <c r="U198" s="28">
        <f t="shared" si="12"/>
        <v>1.296706377734415</v>
      </c>
    </row>
    <row r="199" spans="1:21" x14ac:dyDescent="0.25">
      <c r="B199" s="6" t="s">
        <v>63</v>
      </c>
      <c r="C199" s="15">
        <v>1483.19</v>
      </c>
      <c r="D199" s="16">
        <v>42.363999999999997</v>
      </c>
      <c r="E199" s="16">
        <v>46.517000000000003</v>
      </c>
      <c r="F199" s="16">
        <v>47.387</v>
      </c>
      <c r="G199" s="16">
        <v>62.23</v>
      </c>
      <c r="H199" s="16">
        <f t="shared" si="9"/>
        <v>43.510999999999996</v>
      </c>
      <c r="I199" s="5"/>
      <c r="J199" s="15">
        <v>1540.4872</v>
      </c>
      <c r="K199" s="16">
        <v>42.838799999999999</v>
      </c>
      <c r="L199" s="16">
        <v>47.657800000000002</v>
      </c>
      <c r="M199" s="16">
        <v>48.542499999999997</v>
      </c>
      <c r="N199" s="16">
        <v>82.000799999999998</v>
      </c>
      <c r="O199" s="16">
        <f t="shared" si="10"/>
        <v>44.154137500000004</v>
      </c>
      <c r="P199" s="7"/>
      <c r="Q199" s="8">
        <f>bdrate(C199:C202,D199:D202,J199:J202,K199:K202)</f>
        <v>-0.19350726281798802</v>
      </c>
      <c r="R199" s="8">
        <f>bdrate(C199:C202,E199:E202,J199:J202,L199:L202)</f>
        <v>-0.4378999287474834</v>
      </c>
      <c r="S199" s="8">
        <f>bdrate(C199:C202,F199:F202,J199:J202,M199:M202)</f>
        <v>-0.44539556784216827</v>
      </c>
      <c r="T199" s="25">
        <f>bdrate(C199:C202,H199:H202,J199:J202,O199:O202)</f>
        <v>-0.25727314116866429</v>
      </c>
      <c r="U199" s="28">
        <f t="shared" si="12"/>
        <v>0.31770528683914512</v>
      </c>
    </row>
    <row r="200" spans="1:21" x14ac:dyDescent="0.25">
      <c r="B200" s="9"/>
      <c r="C200" s="17">
        <v>984.32</v>
      </c>
      <c r="D200" s="18">
        <v>41.49</v>
      </c>
      <c r="E200" s="18">
        <v>45.595999999999997</v>
      </c>
      <c r="F200" s="18">
        <v>46.47</v>
      </c>
      <c r="G200" s="18">
        <v>73.959999999999994</v>
      </c>
      <c r="H200" s="18">
        <f t="shared" si="9"/>
        <v>42.625749999999996</v>
      </c>
      <c r="I200" s="5"/>
      <c r="J200" s="17">
        <v>1025.7360000000001</v>
      </c>
      <c r="K200" s="18">
        <v>42.1145</v>
      </c>
      <c r="L200" s="18">
        <v>47.005699999999997</v>
      </c>
      <c r="M200" s="18">
        <v>47.9268</v>
      </c>
      <c r="N200" s="18">
        <v>121.7285</v>
      </c>
      <c r="O200" s="18">
        <f t="shared" si="10"/>
        <v>43.452437500000002</v>
      </c>
      <c r="P200" s="7"/>
      <c r="Q200" s="10"/>
      <c r="R200" s="11"/>
      <c r="S200" s="11"/>
      <c r="T200" s="26"/>
      <c r="U200" s="28">
        <f t="shared" si="12"/>
        <v>0.64586938885884271</v>
      </c>
    </row>
    <row r="201" spans="1:21" x14ac:dyDescent="0.25">
      <c r="B201" s="9"/>
      <c r="C201" s="17">
        <v>585.21</v>
      </c>
      <c r="D201" s="18">
        <v>40.085000000000001</v>
      </c>
      <c r="E201" s="18">
        <v>44.374000000000002</v>
      </c>
      <c r="F201" s="18">
        <v>45.177</v>
      </c>
      <c r="G201" s="18">
        <v>81.319999999999993</v>
      </c>
      <c r="H201" s="18">
        <f t="shared" si="9"/>
        <v>41.257625000000004</v>
      </c>
      <c r="I201" s="5"/>
      <c r="J201" s="17">
        <v>600.37040000000002</v>
      </c>
      <c r="K201" s="18">
        <v>40.8142</v>
      </c>
      <c r="L201" s="18">
        <v>45.814599999999999</v>
      </c>
      <c r="M201" s="18">
        <v>46.699100000000001</v>
      </c>
      <c r="N201" s="18">
        <v>155.0788</v>
      </c>
      <c r="O201" s="18">
        <f t="shared" si="10"/>
        <v>42.174862499999996</v>
      </c>
      <c r="P201" s="7"/>
      <c r="Q201" s="10"/>
      <c r="R201" s="11"/>
      <c r="S201" s="11"/>
      <c r="T201" s="26"/>
      <c r="U201" s="28">
        <f t="shared" si="12"/>
        <v>0.90701918347270061</v>
      </c>
    </row>
    <row r="202" spans="1:21" ht="16.5" thickBot="1" x14ac:dyDescent="0.3">
      <c r="B202" s="12"/>
      <c r="C202" s="19">
        <v>283.02</v>
      </c>
      <c r="D202" s="20">
        <v>37.837000000000003</v>
      </c>
      <c r="E202" s="20">
        <v>42.715000000000003</v>
      </c>
      <c r="F202" s="20">
        <v>43.539000000000001</v>
      </c>
      <c r="G202" s="20">
        <v>90.7</v>
      </c>
      <c r="H202" s="20">
        <f t="shared" si="9"/>
        <v>39.159500000000001</v>
      </c>
      <c r="I202" s="5"/>
      <c r="J202" s="19">
        <v>292.97120000000001</v>
      </c>
      <c r="K202" s="20">
        <v>38.400599999999997</v>
      </c>
      <c r="L202" s="20">
        <v>43.991900000000001</v>
      </c>
      <c r="M202" s="20">
        <v>44.859000000000002</v>
      </c>
      <c r="N202" s="20">
        <v>209.0592</v>
      </c>
      <c r="O202" s="20">
        <f t="shared" si="10"/>
        <v>39.906812499999994</v>
      </c>
      <c r="P202" s="7"/>
      <c r="Q202" s="13"/>
      <c r="R202" s="14"/>
      <c r="S202" s="14"/>
      <c r="T202" s="27"/>
      <c r="U202" s="28">
        <f t="shared" si="12"/>
        <v>1.3049525909592061</v>
      </c>
    </row>
    <row r="203" spans="1:21" x14ac:dyDescent="0.25">
      <c r="A203" s="6" t="s">
        <v>94</v>
      </c>
      <c r="B203" s="6" t="s">
        <v>95</v>
      </c>
      <c r="C203" s="29">
        <v>1199.26</v>
      </c>
      <c r="D203" s="30">
        <v>43.814</v>
      </c>
      <c r="E203" s="30">
        <v>49.313000000000002</v>
      </c>
      <c r="F203" s="30">
        <v>50.119</v>
      </c>
      <c r="G203" s="16">
        <v>46.85</v>
      </c>
      <c r="H203" s="16">
        <f t="shared" ref="H203:H213" si="13">(6*D203+E203+F203)/8</f>
        <v>45.289500000000004</v>
      </c>
      <c r="I203" s="5"/>
      <c r="J203" s="15">
        <v>1235.6256000000001</v>
      </c>
      <c r="K203" s="16">
        <v>45.052799999999998</v>
      </c>
      <c r="L203" s="16">
        <v>51.514200000000002</v>
      </c>
      <c r="M203" s="16">
        <v>52.158799999999999</v>
      </c>
      <c r="N203" s="16">
        <v>56.092199999999998</v>
      </c>
      <c r="O203" s="16">
        <f t="shared" ref="O203:O213" si="14">(6*K203+L203+M203)/8</f>
        <v>46.748725</v>
      </c>
      <c r="P203" s="7"/>
      <c r="Q203" s="8">
        <f>bdrate(C203:C206,D203:D206,J203:J206,K203:K206)</f>
        <v>-0.2130835696042761</v>
      </c>
      <c r="R203" s="8">
        <f>bdrate(C203:C206,E203:E206,J203:J206,L203:L206)</f>
        <v>-0.55101592506656161</v>
      </c>
      <c r="S203" s="8">
        <f>bdrate(C203:C206,F203:F206,J203:J206,M203:M206)</f>
        <v>-0.52691141992534019</v>
      </c>
      <c r="T203" s="25">
        <f>bdrate(C203:C206,H203:H206,J203:J206,O203:O206)</f>
        <v>-0.29268630872576695</v>
      </c>
      <c r="U203" s="28">
        <f t="shared" si="12"/>
        <v>0.19727214514407676</v>
      </c>
    </row>
    <row r="204" spans="1:21" x14ac:dyDescent="0.25">
      <c r="A204" s="9" t="s">
        <v>77</v>
      </c>
      <c r="B204" s="9"/>
      <c r="C204" s="31">
        <v>807.39</v>
      </c>
      <c r="D204" s="32">
        <v>41.777000000000001</v>
      </c>
      <c r="E204" s="32">
        <v>47.183</v>
      </c>
      <c r="F204" s="32">
        <v>48.473999999999997</v>
      </c>
      <c r="G204" s="18">
        <v>51.81</v>
      </c>
      <c r="H204" s="18">
        <f t="shared" si="13"/>
        <v>43.289875000000002</v>
      </c>
      <c r="I204" s="5"/>
      <c r="J204" s="17">
        <v>832.43169999999998</v>
      </c>
      <c r="K204" s="18">
        <v>43.222999999999999</v>
      </c>
      <c r="L204" s="18">
        <v>50.219000000000001</v>
      </c>
      <c r="M204" s="18">
        <v>50.8371</v>
      </c>
      <c r="N204" s="18">
        <v>69.010499999999993</v>
      </c>
      <c r="O204" s="18">
        <f t="shared" si="14"/>
        <v>45.049262499999998</v>
      </c>
      <c r="P204" s="7"/>
      <c r="Q204" s="10"/>
      <c r="R204" s="11"/>
      <c r="S204" s="11"/>
      <c r="T204" s="26"/>
      <c r="U204" s="28">
        <f t="shared" si="12"/>
        <v>0.33199189345686142</v>
      </c>
    </row>
    <row r="205" spans="1:21" x14ac:dyDescent="0.25">
      <c r="B205" s="9"/>
      <c r="C205" s="31">
        <v>488.1</v>
      </c>
      <c r="D205" s="32">
        <v>39.262999999999998</v>
      </c>
      <c r="E205" s="32">
        <v>45.201000000000001</v>
      </c>
      <c r="F205" s="32">
        <v>46.337000000000003</v>
      </c>
      <c r="G205" s="18">
        <v>57.84</v>
      </c>
      <c r="H205" s="18">
        <f t="shared" si="13"/>
        <v>40.889499999999998</v>
      </c>
      <c r="I205" s="5"/>
      <c r="J205" s="17">
        <v>507.86239999999998</v>
      </c>
      <c r="K205" s="18">
        <v>40.609000000000002</v>
      </c>
      <c r="L205" s="18">
        <v>48.613199999999999</v>
      </c>
      <c r="M205" s="18">
        <v>49.515099999999997</v>
      </c>
      <c r="N205" s="18">
        <v>84.100399999999993</v>
      </c>
      <c r="O205" s="18">
        <f t="shared" si="14"/>
        <v>42.722787500000003</v>
      </c>
      <c r="P205" s="7"/>
      <c r="Q205" s="10"/>
      <c r="R205" s="11"/>
      <c r="S205" s="11"/>
      <c r="T205" s="26"/>
      <c r="U205" s="28">
        <f t="shared" si="12"/>
        <v>0.45401798063623772</v>
      </c>
    </row>
    <row r="206" spans="1:21" ht="16.5" thickBot="1" x14ac:dyDescent="0.3">
      <c r="B206" s="12"/>
      <c r="C206" s="33">
        <v>247.9</v>
      </c>
      <c r="D206" s="34">
        <v>36.048000000000002</v>
      </c>
      <c r="E206" s="34">
        <v>42.753999999999998</v>
      </c>
      <c r="F206" s="34">
        <v>44.027000000000001</v>
      </c>
      <c r="G206" s="20">
        <v>66.5</v>
      </c>
      <c r="H206" s="20">
        <f t="shared" si="13"/>
        <v>37.883625000000002</v>
      </c>
      <c r="I206" s="5"/>
      <c r="J206" s="19">
        <v>258.1979</v>
      </c>
      <c r="K206" s="20">
        <v>37.366900000000001</v>
      </c>
      <c r="L206" s="20">
        <v>45.971299999999999</v>
      </c>
      <c r="M206" s="20">
        <v>46.815899999999999</v>
      </c>
      <c r="N206" s="20">
        <v>110.6263</v>
      </c>
      <c r="O206" s="20">
        <f t="shared" si="14"/>
        <v>39.623575000000002</v>
      </c>
      <c r="P206" s="7"/>
      <c r="Q206" s="13"/>
      <c r="R206" s="14"/>
      <c r="S206" s="14"/>
      <c r="T206" s="27"/>
      <c r="U206" s="28">
        <f t="shared" si="12"/>
        <v>0.66355338345864667</v>
      </c>
    </row>
    <row r="207" spans="1:21" x14ac:dyDescent="0.25">
      <c r="B207" s="6" t="s">
        <v>96</v>
      </c>
      <c r="C207" s="15">
        <v>1453.94</v>
      </c>
      <c r="D207" s="16">
        <v>52.8</v>
      </c>
      <c r="E207" s="16">
        <v>53.703000000000003</v>
      </c>
      <c r="F207" s="16">
        <v>54.131999999999998</v>
      </c>
      <c r="G207" s="16">
        <v>95.36</v>
      </c>
      <c r="H207" s="16">
        <f t="shared" si="13"/>
        <v>53.079374999999992</v>
      </c>
      <c r="I207" s="5"/>
      <c r="J207" s="15">
        <v>1431.2652</v>
      </c>
      <c r="K207" s="16">
        <v>53.060499999999998</v>
      </c>
      <c r="L207" s="16">
        <v>53.978000000000002</v>
      </c>
      <c r="M207" s="16">
        <v>54.582500000000003</v>
      </c>
      <c r="N207" s="16">
        <v>104.5175</v>
      </c>
      <c r="O207" s="16">
        <f t="shared" si="14"/>
        <v>53.365437499999999</v>
      </c>
      <c r="P207" s="7"/>
      <c r="Q207" s="8">
        <f>bdrate(C207:C210,D207:D210,J207:J210,K207:K210)</f>
        <v>-0.14869452110710213</v>
      </c>
      <c r="R207" s="8">
        <f>bdrate(C207:C210,E207:E210,J207:J210,L207:L210)</f>
        <v>-0.23778226761574328</v>
      </c>
      <c r="S207" s="8">
        <f>bdrate(C207:C210,F207:F210,J207:J210,M207:M210)</f>
        <v>-0.24290134202827407</v>
      </c>
      <c r="T207" s="25">
        <f>bdrate(C207:C210,H207:H210,J207:J210,O207:O210)</f>
        <v>-0.17087341742060536</v>
      </c>
      <c r="U207" s="28">
        <f t="shared" si="12"/>
        <v>9.6030830536912734E-2</v>
      </c>
    </row>
    <row r="208" spans="1:21" x14ac:dyDescent="0.25">
      <c r="B208" s="9"/>
      <c r="C208" s="17">
        <v>964.75</v>
      </c>
      <c r="D208" s="18">
        <v>50.101999999999997</v>
      </c>
      <c r="E208" s="18">
        <v>51.183999999999997</v>
      </c>
      <c r="F208" s="18">
        <v>51.728000000000002</v>
      </c>
      <c r="G208" s="18">
        <v>106.54</v>
      </c>
      <c r="H208" s="18">
        <f t="shared" si="13"/>
        <v>50.440499999999993</v>
      </c>
      <c r="I208" s="5"/>
      <c r="J208" s="17">
        <v>977.01610000000005</v>
      </c>
      <c r="K208" s="18">
        <v>51.066299999999998</v>
      </c>
      <c r="L208" s="18">
        <v>52.448399999999999</v>
      </c>
      <c r="M208" s="18">
        <v>53.017099999999999</v>
      </c>
      <c r="N208" s="18">
        <v>141.5651</v>
      </c>
      <c r="O208" s="18">
        <f t="shared" si="14"/>
        <v>51.482912499999998</v>
      </c>
      <c r="P208" s="7"/>
      <c r="Q208" s="10"/>
      <c r="R208" s="11"/>
      <c r="S208" s="11"/>
      <c r="T208" s="26"/>
      <c r="U208" s="28">
        <f t="shared" si="12"/>
        <v>0.32875070396095357</v>
      </c>
    </row>
    <row r="209" spans="2:21" x14ac:dyDescent="0.25">
      <c r="B209" s="9"/>
      <c r="C209" s="17">
        <v>579.22</v>
      </c>
      <c r="D209" s="18">
        <v>46.921999999999997</v>
      </c>
      <c r="E209" s="18">
        <v>48.223999999999997</v>
      </c>
      <c r="F209" s="18">
        <v>48.832999999999998</v>
      </c>
      <c r="G209" s="18">
        <v>113.45</v>
      </c>
      <c r="H209" s="18">
        <f t="shared" si="13"/>
        <v>47.323624999999993</v>
      </c>
      <c r="I209" s="5"/>
      <c r="J209" s="17">
        <v>600.53150000000005</v>
      </c>
      <c r="K209" s="18">
        <v>48.318100000000001</v>
      </c>
      <c r="L209" s="18">
        <v>50.141399999999997</v>
      </c>
      <c r="M209" s="18">
        <v>50.718200000000003</v>
      </c>
      <c r="N209" s="18">
        <v>172.97710000000001</v>
      </c>
      <c r="O209" s="18">
        <f t="shared" si="14"/>
        <v>48.846024999999997</v>
      </c>
      <c r="P209" s="7"/>
      <c r="Q209" s="10"/>
      <c r="R209" s="11"/>
      <c r="S209" s="11"/>
      <c r="T209" s="26"/>
      <c r="U209" s="28">
        <f t="shared" si="12"/>
        <v>0.52469898633759371</v>
      </c>
    </row>
    <row r="210" spans="2:21" ht="16.5" thickBot="1" x14ac:dyDescent="0.3">
      <c r="B210" s="12"/>
      <c r="C210" s="19">
        <v>290.97000000000003</v>
      </c>
      <c r="D210" s="20">
        <v>42.808999999999997</v>
      </c>
      <c r="E210" s="20">
        <v>44.423000000000002</v>
      </c>
      <c r="F210" s="20">
        <v>45.006999999999998</v>
      </c>
      <c r="G210" s="20">
        <v>122.49</v>
      </c>
      <c r="H210" s="20">
        <f t="shared" si="13"/>
        <v>43.285499999999999</v>
      </c>
      <c r="I210" s="5"/>
      <c r="J210" s="19">
        <v>309.15429999999998</v>
      </c>
      <c r="K210" s="20">
        <v>43.9953</v>
      </c>
      <c r="L210" s="20">
        <v>46.583399999999997</v>
      </c>
      <c r="M210" s="20">
        <v>47.178600000000003</v>
      </c>
      <c r="N210" s="20">
        <v>207.51669999999999</v>
      </c>
      <c r="O210" s="20">
        <f t="shared" si="14"/>
        <v>44.716725000000004</v>
      </c>
      <c r="P210" s="7"/>
      <c r="Q210" s="13"/>
      <c r="R210" s="14"/>
      <c r="S210" s="14"/>
      <c r="T210" s="27"/>
      <c r="U210" s="28">
        <f t="shared" si="12"/>
        <v>0.69415217568781118</v>
      </c>
    </row>
    <row r="211" spans="2:21" x14ac:dyDescent="0.25">
      <c r="B211" s="6" t="s">
        <v>97</v>
      </c>
      <c r="C211" s="15">
        <v>1552.85</v>
      </c>
      <c r="D211" s="16">
        <v>42.959000000000003</v>
      </c>
      <c r="E211" s="16">
        <v>45.118000000000002</v>
      </c>
      <c r="F211" s="16">
        <v>45.594000000000001</v>
      </c>
      <c r="G211" s="16">
        <v>57.81</v>
      </c>
      <c r="H211" s="16">
        <f t="shared" si="13"/>
        <v>43.558250000000001</v>
      </c>
      <c r="I211" s="5"/>
      <c r="J211" s="15">
        <v>1478.3163999999999</v>
      </c>
      <c r="K211" s="16">
        <v>43.900199999999998</v>
      </c>
      <c r="L211" s="16">
        <v>46.655099999999997</v>
      </c>
      <c r="M211" s="16">
        <v>47.072800000000001</v>
      </c>
      <c r="N211" s="16">
        <v>67.161699999999996</v>
      </c>
      <c r="O211" s="16">
        <f t="shared" si="14"/>
        <v>44.641137499999999</v>
      </c>
      <c r="P211" s="7"/>
      <c r="Q211" s="8">
        <f>bdrate(C211:C214,D211:D214,J211:J214,K211:K214)</f>
        <v>-0.22481410864630991</v>
      </c>
      <c r="R211" s="8">
        <f>bdrate(C211:C214,E211:E214,J211:J214,L211:L214)</f>
        <v>-0.41464103212874259</v>
      </c>
      <c r="S211" s="8">
        <f>bdrate(C211:C214,F211:F214,J211:J214,M211:M214)</f>
        <v>-0.39714690848592771</v>
      </c>
      <c r="T211" s="25">
        <f>bdrate(C211:C214,H211:H214,J211:J214,O211:O214)</f>
        <v>-0.26503625456053248</v>
      </c>
      <c r="U211" s="28">
        <f t="shared" si="12"/>
        <v>0.1617661304272616</v>
      </c>
    </row>
    <row r="212" spans="2:21" x14ac:dyDescent="0.25">
      <c r="B212" s="9"/>
      <c r="C212" s="17">
        <v>1035.3699999999999</v>
      </c>
      <c r="D212" s="18">
        <v>40.887999999999998</v>
      </c>
      <c r="E212" s="18">
        <v>43.41</v>
      </c>
      <c r="F212" s="18">
        <v>43.892000000000003</v>
      </c>
      <c r="G212" s="18">
        <v>61.54</v>
      </c>
      <c r="H212" s="18">
        <f t="shared" si="13"/>
        <v>41.578749999999992</v>
      </c>
      <c r="I212" s="5"/>
      <c r="J212" s="17">
        <v>987.11879999999996</v>
      </c>
      <c r="K212" s="18">
        <v>41.951599999999999</v>
      </c>
      <c r="L212" s="18">
        <v>45.203299999999999</v>
      </c>
      <c r="M212" s="18">
        <v>45.598100000000002</v>
      </c>
      <c r="N212" s="18">
        <v>82.656000000000006</v>
      </c>
      <c r="O212" s="18">
        <f t="shared" si="14"/>
        <v>42.813874999999996</v>
      </c>
      <c r="P212" s="7"/>
      <c r="Q212" s="10"/>
      <c r="R212" s="11"/>
      <c r="S212" s="11"/>
      <c r="T212" s="26"/>
      <c r="U212" s="28">
        <f t="shared" si="12"/>
        <v>0.34312642183945413</v>
      </c>
    </row>
    <row r="213" spans="2:21" x14ac:dyDescent="0.25">
      <c r="B213" s="9"/>
      <c r="C213" s="17">
        <v>621.70000000000005</v>
      </c>
      <c r="D213" s="18">
        <v>38.152999999999999</v>
      </c>
      <c r="E213" s="18">
        <v>41.314</v>
      </c>
      <c r="F213" s="18">
        <v>41.822000000000003</v>
      </c>
      <c r="G213" s="18">
        <v>68.849999999999994</v>
      </c>
      <c r="H213" s="18">
        <f t="shared" si="13"/>
        <v>39.006750000000004</v>
      </c>
      <c r="I213" s="5"/>
      <c r="J213" s="17">
        <v>590.24239999999998</v>
      </c>
      <c r="K213" s="18">
        <v>39.296599999999998</v>
      </c>
      <c r="L213" s="18">
        <v>43.287199999999999</v>
      </c>
      <c r="M213" s="18">
        <v>43.653500000000001</v>
      </c>
      <c r="N213" s="18">
        <v>99.900099999999995</v>
      </c>
      <c r="O213" s="18">
        <f t="shared" si="14"/>
        <v>40.340037500000001</v>
      </c>
      <c r="P213" s="7"/>
      <c r="Q213" s="10"/>
      <c r="R213" s="11"/>
      <c r="S213" s="11"/>
      <c r="T213" s="26"/>
      <c r="U213" s="28">
        <f t="shared" si="12"/>
        <v>0.45098184458968776</v>
      </c>
    </row>
    <row r="214" spans="2:21" ht="16.5" thickBot="1" x14ac:dyDescent="0.3">
      <c r="B214" s="12"/>
      <c r="C214" s="19">
        <v>312.87</v>
      </c>
      <c r="D214" s="20">
        <v>34.674999999999997</v>
      </c>
      <c r="E214" s="20">
        <v>38.781999999999996</v>
      </c>
      <c r="F214" s="20">
        <v>39.29</v>
      </c>
      <c r="G214" s="20">
        <v>76.52</v>
      </c>
      <c r="H214" s="20">
        <f t="shared" ref="H214:H246" si="15">(6*D214+E214+F214)/8</f>
        <v>35.765250000000002</v>
      </c>
      <c r="I214" s="5"/>
      <c r="J214" s="19">
        <v>297.88690000000003</v>
      </c>
      <c r="K214" s="20">
        <v>35.519399999999997</v>
      </c>
      <c r="L214" s="20">
        <v>40.642299999999999</v>
      </c>
      <c r="M214" s="20">
        <v>41.040399999999998</v>
      </c>
      <c r="N214" s="20">
        <v>126.7963</v>
      </c>
      <c r="O214" s="20">
        <f t="shared" ref="O214:O246" si="16">(6*K214+L214+M214)/8</f>
        <v>36.849887500000001</v>
      </c>
      <c r="P214" s="7"/>
      <c r="Q214" s="13"/>
      <c r="R214" s="14"/>
      <c r="S214" s="14"/>
      <c r="T214" s="27"/>
      <c r="U214" s="28">
        <f t="shared" ref="U214:U246" si="17">(N214-G214)/G214</f>
        <v>0.65703476215368539</v>
      </c>
    </row>
    <row r="215" spans="2:21" x14ac:dyDescent="0.25">
      <c r="B215" s="6" t="s">
        <v>98</v>
      </c>
      <c r="C215" s="15">
        <v>1368.24</v>
      </c>
      <c r="D215" s="16">
        <v>38.820999999999998</v>
      </c>
      <c r="E215" s="16">
        <v>43.143999999999998</v>
      </c>
      <c r="F215" s="16">
        <v>43.164000000000001</v>
      </c>
      <c r="G215" s="16">
        <v>47.96</v>
      </c>
      <c r="H215" s="16">
        <f t="shared" si="15"/>
        <v>39.904249999999998</v>
      </c>
      <c r="I215" s="5"/>
      <c r="J215" s="29">
        <v>1496.9648999999999</v>
      </c>
      <c r="K215" s="30">
        <v>39.894100000000002</v>
      </c>
      <c r="L215" s="30">
        <v>44.834800000000001</v>
      </c>
      <c r="M215" s="30">
        <v>44.828200000000002</v>
      </c>
      <c r="N215" s="16">
        <v>62.367899999999999</v>
      </c>
      <c r="O215" s="16">
        <f t="shared" si="16"/>
        <v>41.128449999999994</v>
      </c>
      <c r="P215" s="7"/>
      <c r="Q215" s="8">
        <f>bdrate(C215:C218,D215:D218,J215:J218,K215:K218)</f>
        <v>-0.10781878243827692</v>
      </c>
      <c r="R215" s="8">
        <f>bdrate(C215:C218,E215:E218,J215:J218,L215:L218)</f>
        <v>-0.39278802785594769</v>
      </c>
      <c r="S215" s="8">
        <f>bdrate(C215:C218,F215:F218,J215:J218,M215:M218)</f>
        <v>-0.38362316595259138</v>
      </c>
      <c r="T215" s="25">
        <f>bdrate(C215:C218,H215:H218,J215:J218,O215:O218)</f>
        <v>-0.1704950813923003</v>
      </c>
      <c r="U215" s="28">
        <f t="shared" si="17"/>
        <v>0.3004149291075896</v>
      </c>
    </row>
    <row r="216" spans="2:21" x14ac:dyDescent="0.25">
      <c r="B216" s="9"/>
      <c r="C216" s="17">
        <v>912.89</v>
      </c>
      <c r="D216" s="18">
        <v>37.027000000000001</v>
      </c>
      <c r="E216" s="18">
        <v>41.779000000000003</v>
      </c>
      <c r="F216" s="18">
        <v>41.750999999999998</v>
      </c>
      <c r="G216" s="18">
        <v>52.61</v>
      </c>
      <c r="H216" s="18">
        <f t="shared" si="15"/>
        <v>38.211500000000001</v>
      </c>
      <c r="I216" s="5"/>
      <c r="J216" s="31">
        <v>997.86890000000005</v>
      </c>
      <c r="K216" s="32">
        <v>38.017699999999998</v>
      </c>
      <c r="L216" s="32">
        <v>43.523400000000002</v>
      </c>
      <c r="M216" s="32">
        <v>43.487200000000001</v>
      </c>
      <c r="N216" s="18">
        <v>73.821899999999999</v>
      </c>
      <c r="O216" s="18">
        <f t="shared" si="16"/>
        <v>39.389600000000002</v>
      </c>
      <c r="P216" s="7"/>
      <c r="Q216" s="10"/>
      <c r="R216" s="11"/>
      <c r="S216" s="11"/>
      <c r="T216" s="26"/>
      <c r="U216" s="28">
        <f t="shared" si="17"/>
        <v>0.40319140847747575</v>
      </c>
    </row>
    <row r="217" spans="2:21" x14ac:dyDescent="0.25">
      <c r="B217" s="9"/>
      <c r="C217" s="17">
        <v>547.05999999999995</v>
      </c>
      <c r="D217" s="18">
        <v>34.783999999999999</v>
      </c>
      <c r="E217" s="18">
        <v>40.090000000000003</v>
      </c>
      <c r="F217" s="18">
        <v>40.067</v>
      </c>
      <c r="G217" s="18">
        <v>57.66</v>
      </c>
      <c r="H217" s="18">
        <f t="shared" si="15"/>
        <v>36.107624999999999</v>
      </c>
      <c r="I217" s="5"/>
      <c r="J217" s="31">
        <v>600.3048</v>
      </c>
      <c r="K217" s="32">
        <v>35.673699999999997</v>
      </c>
      <c r="L217" s="32">
        <v>41.9651</v>
      </c>
      <c r="M217" s="32">
        <v>41.908700000000003</v>
      </c>
      <c r="N217" s="18">
        <v>89.512200000000007</v>
      </c>
      <c r="O217" s="18">
        <f t="shared" si="16"/>
        <v>37.2395</v>
      </c>
      <c r="P217" s="7"/>
      <c r="Q217" s="10"/>
      <c r="R217" s="11"/>
      <c r="S217" s="11"/>
      <c r="T217" s="26"/>
      <c r="U217" s="28">
        <f t="shared" si="17"/>
        <v>0.55241415192507826</v>
      </c>
    </row>
    <row r="218" spans="2:21" ht="16.5" thickBot="1" x14ac:dyDescent="0.3">
      <c r="B218" s="12"/>
      <c r="C218" s="19">
        <v>273.3</v>
      </c>
      <c r="D218" s="20">
        <v>31.841000000000001</v>
      </c>
      <c r="E218" s="20">
        <v>37.991</v>
      </c>
      <c r="F218" s="20">
        <v>37.960999999999999</v>
      </c>
      <c r="G218" s="20">
        <v>65.900000000000006</v>
      </c>
      <c r="H218" s="20">
        <f t="shared" si="15"/>
        <v>33.374749999999999</v>
      </c>
      <c r="I218" s="5"/>
      <c r="J218" s="33">
        <v>300.20650000000001</v>
      </c>
      <c r="K218" s="34">
        <v>32.615000000000002</v>
      </c>
      <c r="L218" s="34">
        <v>40.0411</v>
      </c>
      <c r="M218" s="34">
        <v>39.942300000000003</v>
      </c>
      <c r="N218" s="20">
        <v>116.78449999999999</v>
      </c>
      <c r="O218" s="20">
        <f t="shared" si="16"/>
        <v>34.459175000000002</v>
      </c>
      <c r="P218" s="7"/>
      <c r="Q218" s="13"/>
      <c r="R218" s="14"/>
      <c r="S218" s="14"/>
      <c r="T218" s="27"/>
      <c r="U218" s="28">
        <f t="shared" si="17"/>
        <v>0.77214719271623644</v>
      </c>
    </row>
    <row r="219" spans="2:21" x14ac:dyDescent="0.25">
      <c r="B219" s="6" t="s">
        <v>99</v>
      </c>
      <c r="C219" s="29">
        <v>1524.02</v>
      </c>
      <c r="D219" s="30">
        <v>37.036000000000001</v>
      </c>
      <c r="E219" s="30">
        <v>41.142000000000003</v>
      </c>
      <c r="F219" s="30">
        <v>41.677</v>
      </c>
      <c r="G219" s="16">
        <v>56.9</v>
      </c>
      <c r="H219" s="16">
        <f t="shared" si="15"/>
        <v>38.129375000000003</v>
      </c>
      <c r="I219" s="5"/>
      <c r="J219" s="15">
        <v>1510.2076</v>
      </c>
      <c r="K219" s="16">
        <v>37.9621</v>
      </c>
      <c r="L219" s="16">
        <v>43.145400000000002</v>
      </c>
      <c r="M219" s="16">
        <v>43.675800000000002</v>
      </c>
      <c r="N219" s="16">
        <v>69.802599999999998</v>
      </c>
      <c r="O219" s="16">
        <f t="shared" si="16"/>
        <v>39.324224999999998</v>
      </c>
      <c r="P219" s="7"/>
      <c r="Q219" s="8">
        <f>bdrate(C219:C222,D219:D222,J219:J222,K219:K222)</f>
        <v>-0.19245151232922963</v>
      </c>
      <c r="R219" s="8">
        <f>bdrate(C219:C222,E219:E222,J219:J222,L219:L222)</f>
        <v>-0.48660375232546527</v>
      </c>
      <c r="S219" s="8">
        <f>bdrate(C219:C222,F219:F222,J219:J222,M219:M222)</f>
        <v>-0.48969938855497996</v>
      </c>
      <c r="T219" s="25">
        <f>bdrate(C219:C222,H219:H222,J219:J222,O219:O222)</f>
        <v>-0.26381346186267263</v>
      </c>
      <c r="U219" s="28">
        <f t="shared" si="17"/>
        <v>0.22675922671353252</v>
      </c>
    </row>
    <row r="220" spans="2:21" x14ac:dyDescent="0.25">
      <c r="B220" s="9"/>
      <c r="C220" s="31">
        <v>1016.13</v>
      </c>
      <c r="D220" s="32">
        <v>35.17</v>
      </c>
      <c r="E220" s="32">
        <v>39.557000000000002</v>
      </c>
      <c r="F220" s="32">
        <v>40.183</v>
      </c>
      <c r="G220" s="18">
        <v>61.5</v>
      </c>
      <c r="H220" s="18">
        <f t="shared" si="15"/>
        <v>36.344999999999999</v>
      </c>
      <c r="I220" s="5"/>
      <c r="J220" s="17">
        <v>1007.524</v>
      </c>
      <c r="K220" s="18">
        <v>36.1098</v>
      </c>
      <c r="L220" s="18">
        <v>41.811599999999999</v>
      </c>
      <c r="M220" s="18">
        <v>42.405999999999999</v>
      </c>
      <c r="N220" s="18">
        <v>82.296999999999997</v>
      </c>
      <c r="O220" s="18">
        <f t="shared" si="16"/>
        <v>37.609549999999999</v>
      </c>
      <c r="P220" s="7"/>
      <c r="Q220" s="10"/>
      <c r="R220" s="11"/>
      <c r="S220" s="11"/>
      <c r="T220" s="26"/>
      <c r="U220" s="28">
        <f t="shared" si="17"/>
        <v>0.33816260162601619</v>
      </c>
    </row>
    <row r="221" spans="2:21" x14ac:dyDescent="0.25">
      <c r="B221" s="9"/>
      <c r="C221" s="31">
        <v>610.54999999999995</v>
      </c>
      <c r="D221" s="32">
        <v>32.863</v>
      </c>
      <c r="E221" s="32">
        <v>37.639000000000003</v>
      </c>
      <c r="F221" s="32">
        <v>38.377000000000002</v>
      </c>
      <c r="G221" s="18">
        <v>66.7</v>
      </c>
      <c r="H221" s="18">
        <f t="shared" si="15"/>
        <v>34.149250000000002</v>
      </c>
      <c r="I221" s="5"/>
      <c r="J221" s="17">
        <v>605.24450000000002</v>
      </c>
      <c r="K221" s="18">
        <v>33.775399999999998</v>
      </c>
      <c r="L221" s="18">
        <v>40.017400000000002</v>
      </c>
      <c r="M221" s="18">
        <v>40.636600000000001</v>
      </c>
      <c r="N221" s="18">
        <v>95.278400000000005</v>
      </c>
      <c r="O221" s="18">
        <f t="shared" si="16"/>
        <v>35.4133</v>
      </c>
      <c r="P221" s="7"/>
      <c r="Q221" s="10"/>
      <c r="R221" s="11"/>
      <c r="S221" s="11"/>
      <c r="T221" s="26"/>
      <c r="U221" s="28">
        <f t="shared" si="17"/>
        <v>0.42846176911544231</v>
      </c>
    </row>
    <row r="222" spans="2:21" ht="16.5" thickBot="1" x14ac:dyDescent="0.3">
      <c r="B222" s="12"/>
      <c r="C222" s="33">
        <v>303.83999999999997</v>
      </c>
      <c r="D222" s="34">
        <v>29.613</v>
      </c>
      <c r="E222" s="34">
        <v>35.366</v>
      </c>
      <c r="F222" s="34">
        <v>36.271000000000001</v>
      </c>
      <c r="G222" s="20">
        <v>76.209999999999994</v>
      </c>
      <c r="H222" s="20">
        <f t="shared" si="15"/>
        <v>31.164375</v>
      </c>
      <c r="I222" s="5"/>
      <c r="J222" s="19">
        <v>301.85210000000001</v>
      </c>
      <c r="K222" s="20">
        <v>30.653099999999998</v>
      </c>
      <c r="L222" s="20">
        <v>37.798099999999998</v>
      </c>
      <c r="M222" s="20">
        <v>38.541400000000003</v>
      </c>
      <c r="N222" s="20">
        <v>120.44159999999999</v>
      </c>
      <c r="O222" s="20">
        <f t="shared" si="16"/>
        <v>32.532262500000002</v>
      </c>
      <c r="P222" s="7"/>
      <c r="Q222" s="13"/>
      <c r="R222" s="14"/>
      <c r="S222" s="14"/>
      <c r="T222" s="27"/>
      <c r="U222" s="28">
        <f t="shared" si="17"/>
        <v>0.58039102479989513</v>
      </c>
    </row>
    <row r="223" spans="2:21" x14ac:dyDescent="0.25">
      <c r="B223" s="6" t="s">
        <v>100</v>
      </c>
      <c r="C223" s="15">
        <v>1492.63</v>
      </c>
      <c r="D223" s="16">
        <v>37.496000000000002</v>
      </c>
      <c r="E223" s="16">
        <v>42.963999999999999</v>
      </c>
      <c r="F223" s="16">
        <v>44.55</v>
      </c>
      <c r="G223" s="16">
        <v>45.77</v>
      </c>
      <c r="H223" s="16">
        <f t="shared" si="15"/>
        <v>39.061250000000001</v>
      </c>
      <c r="I223" s="5"/>
      <c r="J223" s="15">
        <v>1512.0591999999999</v>
      </c>
      <c r="K223" s="16">
        <v>37.917299999999997</v>
      </c>
      <c r="L223" s="16">
        <v>44.186</v>
      </c>
      <c r="M223" s="16">
        <v>45.7136</v>
      </c>
      <c r="N223" s="16">
        <v>60.253100000000003</v>
      </c>
      <c r="O223" s="16">
        <f t="shared" si="16"/>
        <v>39.675424999999997</v>
      </c>
      <c r="P223" s="7"/>
      <c r="Q223" s="8">
        <f>bdrate(C223:C226,D223:D226,J223:J226,K223:K226)</f>
        <v>-0.10196408904198062</v>
      </c>
      <c r="R223" s="8">
        <f>bdrate(C223:C226,E223:E226,J223:J226,L223:L226)</f>
        <v>-0.47704960146847586</v>
      </c>
      <c r="S223" s="8">
        <f>bdrate(C223:C226,F223:F226,J223:J226,M223:M226)</f>
        <v>-0.43921622960647311</v>
      </c>
      <c r="T223" s="25">
        <f>bdrate(C223:C226,H223:H226,J223:J226,O223:O226)</f>
        <v>-0.19025825154125853</v>
      </c>
      <c r="U223" s="28">
        <f t="shared" si="17"/>
        <v>0.31643216080402009</v>
      </c>
    </row>
    <row r="224" spans="2:21" x14ac:dyDescent="0.25">
      <c r="B224" s="9"/>
      <c r="C224" s="17">
        <v>995.47</v>
      </c>
      <c r="D224" s="18">
        <v>36.095999999999997</v>
      </c>
      <c r="E224" s="18">
        <v>41.851999999999997</v>
      </c>
      <c r="F224" s="18">
        <v>43.338000000000001</v>
      </c>
      <c r="G224" s="18">
        <v>50.76</v>
      </c>
      <c r="H224" s="18">
        <f t="shared" si="15"/>
        <v>37.720749999999995</v>
      </c>
      <c r="I224" s="5"/>
      <c r="J224" s="17">
        <v>1005.7665</v>
      </c>
      <c r="K224" s="18">
        <v>36.513800000000003</v>
      </c>
      <c r="L224" s="18">
        <v>43.274299999999997</v>
      </c>
      <c r="M224" s="18">
        <v>44.722999999999999</v>
      </c>
      <c r="N224" s="18">
        <v>72.025899999999993</v>
      </c>
      <c r="O224" s="18">
        <f t="shared" si="16"/>
        <v>38.385012500000002</v>
      </c>
      <c r="P224" s="7"/>
      <c r="Q224" s="10"/>
      <c r="R224" s="11"/>
      <c r="S224" s="11"/>
      <c r="T224" s="26"/>
      <c r="U224" s="28">
        <f t="shared" si="17"/>
        <v>0.41894996059889666</v>
      </c>
    </row>
    <row r="225" spans="2:21" x14ac:dyDescent="0.25">
      <c r="B225" s="9"/>
      <c r="C225" s="17">
        <v>598.14</v>
      </c>
      <c r="D225" s="18">
        <v>34.442</v>
      </c>
      <c r="E225" s="18">
        <v>40.575000000000003</v>
      </c>
      <c r="F225" s="18">
        <v>41.844000000000001</v>
      </c>
      <c r="G225" s="18">
        <v>56.98</v>
      </c>
      <c r="H225" s="18">
        <f t="shared" si="15"/>
        <v>36.133874999999996</v>
      </c>
      <c r="I225" s="5"/>
      <c r="J225" s="17">
        <v>602.45929999999998</v>
      </c>
      <c r="K225" s="18">
        <v>34.799399999999999</v>
      </c>
      <c r="L225" s="18">
        <v>42.164700000000003</v>
      </c>
      <c r="M225" s="18">
        <v>43.492100000000001</v>
      </c>
      <c r="N225" s="18">
        <v>89.516599999999997</v>
      </c>
      <c r="O225" s="18">
        <f t="shared" si="16"/>
        <v>36.806650000000005</v>
      </c>
      <c r="P225" s="7"/>
      <c r="Q225" s="10"/>
      <c r="R225" s="11"/>
      <c r="S225" s="11"/>
      <c r="T225" s="26"/>
      <c r="U225" s="28">
        <f t="shared" si="17"/>
        <v>0.57101790101790106</v>
      </c>
    </row>
    <row r="226" spans="2:21" ht="16.5" thickBot="1" x14ac:dyDescent="0.3">
      <c r="B226" s="12"/>
      <c r="C226" s="19">
        <v>303.13</v>
      </c>
      <c r="D226" s="20">
        <v>32.372999999999998</v>
      </c>
      <c r="E226" s="20">
        <v>39.079000000000001</v>
      </c>
      <c r="F226" s="20">
        <v>40.03</v>
      </c>
      <c r="G226" s="20">
        <v>66.97</v>
      </c>
      <c r="H226" s="20">
        <f t="shared" si="15"/>
        <v>34.168374999999997</v>
      </c>
      <c r="I226" s="5"/>
      <c r="J226" s="19">
        <v>300.15969999999999</v>
      </c>
      <c r="K226" s="20">
        <v>32.651000000000003</v>
      </c>
      <c r="L226" s="20">
        <v>40.712800000000001</v>
      </c>
      <c r="M226" s="20">
        <v>41.832299999999996</v>
      </c>
      <c r="N226" s="20">
        <v>120.1923</v>
      </c>
      <c r="O226" s="20">
        <f t="shared" si="16"/>
        <v>34.8063875</v>
      </c>
      <c r="P226" s="7"/>
      <c r="Q226" s="13"/>
      <c r="R226" s="14"/>
      <c r="S226" s="14"/>
      <c r="T226" s="27"/>
      <c r="U226" s="28">
        <f t="shared" si="17"/>
        <v>0.79471853068538156</v>
      </c>
    </row>
    <row r="227" spans="2:21" x14ac:dyDescent="0.25">
      <c r="B227" s="6" t="s">
        <v>101</v>
      </c>
      <c r="C227" s="15">
        <v>1600.53</v>
      </c>
      <c r="D227" s="16">
        <v>48.462000000000003</v>
      </c>
      <c r="E227" s="16">
        <v>53.59</v>
      </c>
      <c r="F227" s="16">
        <v>54.970999999999997</v>
      </c>
      <c r="G227" s="16">
        <v>53.09</v>
      </c>
      <c r="H227" s="16">
        <f t="shared" si="15"/>
        <v>49.91662500000001</v>
      </c>
      <c r="I227" s="5"/>
      <c r="J227" s="15">
        <v>1498.9123</v>
      </c>
      <c r="K227" s="16">
        <v>49.101100000000002</v>
      </c>
      <c r="L227" s="16">
        <v>54.456400000000002</v>
      </c>
      <c r="M227" s="16">
        <v>55.909100000000002</v>
      </c>
      <c r="N227" s="16">
        <v>86.3202</v>
      </c>
      <c r="O227" s="16">
        <f t="shared" si="16"/>
        <v>50.621512500000001</v>
      </c>
      <c r="P227" s="7"/>
      <c r="Q227" s="8">
        <f>bdrate(C227:C230,D227:D230,J227:J230,K227:K230)</f>
        <v>-0.25172851410335939</v>
      </c>
      <c r="R227" s="8">
        <f>bdrate(C227:C230,E227:E230,J227:J230,L227:L230)</f>
        <v>-0.3623353703426756</v>
      </c>
      <c r="S227" s="8">
        <f>bdrate(C227:C230,F227:F230,J227:J230,M227:M230)</f>
        <v>-0.37207307165992953</v>
      </c>
      <c r="T227" s="25">
        <f>bdrate(C227:C230,H227:H230,J227:J230,O227:O230)</f>
        <v>-0.279525416283952</v>
      </c>
      <c r="U227" s="28">
        <f t="shared" si="17"/>
        <v>0.62592201921265767</v>
      </c>
    </row>
    <row r="228" spans="2:21" x14ac:dyDescent="0.25">
      <c r="B228" s="9"/>
      <c r="C228" s="17">
        <v>1062.0999999999999</v>
      </c>
      <c r="D228" s="18">
        <v>46.651000000000003</v>
      </c>
      <c r="E228" s="18">
        <v>51.981999999999999</v>
      </c>
      <c r="F228" s="18">
        <v>53.406999999999996</v>
      </c>
      <c r="G228" s="18">
        <v>59.91</v>
      </c>
      <c r="H228" s="18">
        <f t="shared" si="15"/>
        <v>48.161875000000002</v>
      </c>
      <c r="I228" s="5"/>
      <c r="J228" s="17">
        <v>999.38879999999995</v>
      </c>
      <c r="K228" s="18">
        <v>47.473999999999997</v>
      </c>
      <c r="L228" s="18">
        <v>53.131799999999998</v>
      </c>
      <c r="M228" s="18">
        <v>54.649900000000002</v>
      </c>
      <c r="N228" s="18">
        <v>100.8974</v>
      </c>
      <c r="O228" s="18">
        <f t="shared" si="16"/>
        <v>49.078212499999999</v>
      </c>
      <c r="P228" s="7"/>
      <c r="Q228" s="10"/>
      <c r="R228" s="11"/>
      <c r="S228" s="11"/>
      <c r="T228" s="26"/>
      <c r="U228" s="28">
        <f t="shared" si="17"/>
        <v>0.68414955766983832</v>
      </c>
    </row>
    <row r="229" spans="2:21" x14ac:dyDescent="0.25">
      <c r="B229" s="9"/>
      <c r="C229" s="17">
        <v>636.51</v>
      </c>
      <c r="D229" s="18">
        <v>44.375</v>
      </c>
      <c r="E229" s="18">
        <v>49.848999999999997</v>
      </c>
      <c r="F229" s="18">
        <v>51.344000000000001</v>
      </c>
      <c r="G229" s="18">
        <v>70.150000000000006</v>
      </c>
      <c r="H229" s="18">
        <f t="shared" si="15"/>
        <v>45.930374999999998</v>
      </c>
      <c r="I229" s="5"/>
      <c r="J229" s="17">
        <v>601.54740000000004</v>
      </c>
      <c r="K229" s="18">
        <v>45.430999999999997</v>
      </c>
      <c r="L229" s="18">
        <v>51.494900000000001</v>
      </c>
      <c r="M229" s="18">
        <v>52.997300000000003</v>
      </c>
      <c r="N229" s="18">
        <v>122.94970000000001</v>
      </c>
      <c r="O229" s="18">
        <f t="shared" si="16"/>
        <v>47.134775000000005</v>
      </c>
      <c r="P229" s="7"/>
      <c r="Q229" s="10"/>
      <c r="R229" s="11"/>
      <c r="S229" s="11"/>
      <c r="T229" s="26"/>
      <c r="U229" s="28">
        <f t="shared" si="17"/>
        <v>0.75266856735566634</v>
      </c>
    </row>
    <row r="230" spans="2:21" ht="16.5" thickBot="1" x14ac:dyDescent="0.3">
      <c r="B230" s="12"/>
      <c r="C230" s="19">
        <v>319.19</v>
      </c>
      <c r="D230" s="20">
        <v>41.213000000000001</v>
      </c>
      <c r="E230" s="20">
        <v>46.860999999999997</v>
      </c>
      <c r="F230" s="20">
        <v>48.343000000000004</v>
      </c>
      <c r="G230" s="20">
        <v>82.43</v>
      </c>
      <c r="H230" s="20">
        <f t="shared" si="15"/>
        <v>42.810250000000003</v>
      </c>
      <c r="I230" s="5"/>
      <c r="J230" s="19">
        <v>301.98829999999998</v>
      </c>
      <c r="K230" s="20">
        <v>42.592500000000001</v>
      </c>
      <c r="L230" s="20">
        <v>48.980699999999999</v>
      </c>
      <c r="M230" s="20">
        <v>50.424300000000002</v>
      </c>
      <c r="N230" s="20">
        <v>157.97329999999999</v>
      </c>
      <c r="O230" s="20">
        <f t="shared" si="16"/>
        <v>44.370000000000005</v>
      </c>
      <c r="P230" s="7"/>
      <c r="Q230" s="13"/>
      <c r="R230" s="14"/>
      <c r="S230" s="14"/>
      <c r="T230" s="27"/>
      <c r="U230" s="28">
        <f t="shared" si="17"/>
        <v>0.91645396093655196</v>
      </c>
    </row>
    <row r="231" spans="2:21" x14ac:dyDescent="0.25">
      <c r="B231" s="6" t="s">
        <v>102</v>
      </c>
      <c r="C231" s="15">
        <v>1464.34</v>
      </c>
      <c r="D231" s="16">
        <v>32.433</v>
      </c>
      <c r="E231" s="16">
        <v>39.728000000000002</v>
      </c>
      <c r="F231" s="16">
        <v>39.249000000000002</v>
      </c>
      <c r="G231" s="16">
        <v>41.34</v>
      </c>
      <c r="H231" s="16">
        <f t="shared" si="15"/>
        <v>34.196875000000006</v>
      </c>
      <c r="I231" s="5"/>
      <c r="J231" s="15">
        <v>1491.7879</v>
      </c>
      <c r="K231" s="16">
        <v>32.852699999999999</v>
      </c>
      <c r="L231" s="16">
        <v>41.524099999999997</v>
      </c>
      <c r="M231" s="16">
        <v>40.8904</v>
      </c>
      <c r="N231" s="16">
        <v>43.151000000000003</v>
      </c>
      <c r="O231" s="16">
        <f t="shared" si="16"/>
        <v>34.941337500000003</v>
      </c>
      <c r="P231" s="7"/>
      <c r="Q231" s="8">
        <f>bdrate(C231:C234,D231:D234,J231:J234,K231:K234)</f>
        <v>-0.12618200112962918</v>
      </c>
      <c r="R231" s="8">
        <f>bdrate(C231:C234,E231:E234,J231:J234,L231:L234)</f>
        <v>-0.53151564869880608</v>
      </c>
      <c r="S231" s="8">
        <f>bdrate(C231:C234,F231:F234,J231:J234,M231:M234)</f>
        <v>-0.50437684439603903</v>
      </c>
      <c r="T231" s="25">
        <f>bdrate(C231:C234,H231:H234,J231:J234,O231:O234)</f>
        <v>-0.21430800557658314</v>
      </c>
      <c r="U231" s="28">
        <f t="shared" si="17"/>
        <v>4.380745041122399E-2</v>
      </c>
    </row>
    <row r="232" spans="2:21" x14ac:dyDescent="0.25">
      <c r="B232" s="9"/>
      <c r="C232" s="17">
        <v>975</v>
      </c>
      <c r="D232" s="18">
        <v>30.681999999999999</v>
      </c>
      <c r="E232" s="18">
        <v>38.511000000000003</v>
      </c>
      <c r="F232" s="18">
        <v>37.972999999999999</v>
      </c>
      <c r="G232" s="18">
        <v>45.81</v>
      </c>
      <c r="H232" s="18">
        <f t="shared" si="15"/>
        <v>32.571999999999996</v>
      </c>
      <c r="I232" s="5"/>
      <c r="J232" s="17">
        <v>994.55290000000002</v>
      </c>
      <c r="K232" s="18">
        <v>31.154499999999999</v>
      </c>
      <c r="L232" s="18">
        <v>40.593899999999998</v>
      </c>
      <c r="M232" s="18">
        <v>39.941299999999998</v>
      </c>
      <c r="N232" s="18">
        <v>53.418799999999997</v>
      </c>
      <c r="O232" s="18">
        <f t="shared" si="16"/>
        <v>33.432774999999999</v>
      </c>
      <c r="P232" s="7"/>
      <c r="Q232" s="10"/>
      <c r="R232" s="11"/>
      <c r="S232" s="11"/>
      <c r="T232" s="26"/>
      <c r="U232" s="28">
        <f t="shared" si="17"/>
        <v>0.16609473913992567</v>
      </c>
    </row>
    <row r="233" spans="2:21" x14ac:dyDescent="0.25">
      <c r="B233" s="9"/>
      <c r="C233" s="17">
        <v>584.80999999999995</v>
      </c>
      <c r="D233" s="18">
        <v>28.478999999999999</v>
      </c>
      <c r="E233" s="18">
        <v>36.883000000000003</v>
      </c>
      <c r="F233" s="18">
        <v>36.332000000000001</v>
      </c>
      <c r="G233" s="18">
        <v>51.35</v>
      </c>
      <c r="H233" s="18">
        <f t="shared" si="15"/>
        <v>30.511125</v>
      </c>
      <c r="I233" s="5"/>
      <c r="J233" s="17">
        <v>595.36</v>
      </c>
      <c r="K233" s="18">
        <v>29.005400000000002</v>
      </c>
      <c r="L233" s="18">
        <v>39.280799999999999</v>
      </c>
      <c r="M233" s="18">
        <v>38.591700000000003</v>
      </c>
      <c r="N233" s="18">
        <v>64.641199999999998</v>
      </c>
      <c r="O233" s="18">
        <f t="shared" si="16"/>
        <v>31.4881125</v>
      </c>
      <c r="P233" s="7"/>
      <c r="Q233" s="10"/>
      <c r="R233" s="11"/>
      <c r="S233" s="11"/>
      <c r="T233" s="26"/>
      <c r="U233" s="28">
        <f t="shared" si="17"/>
        <v>0.25883544303797462</v>
      </c>
    </row>
    <row r="234" spans="2:21" ht="16.5" thickBot="1" x14ac:dyDescent="0.3">
      <c r="B234" s="12"/>
      <c r="C234" s="19">
        <v>346.75</v>
      </c>
      <c r="D234" s="20">
        <v>23.93</v>
      </c>
      <c r="E234" s="20">
        <v>32.460999999999999</v>
      </c>
      <c r="F234" s="20">
        <v>32.238999999999997</v>
      </c>
      <c r="G234" s="20">
        <v>82.36</v>
      </c>
      <c r="H234" s="20">
        <f t="shared" si="15"/>
        <v>26.035</v>
      </c>
      <c r="I234" s="5"/>
      <c r="J234" s="19">
        <v>298.60070000000002</v>
      </c>
      <c r="K234" s="20">
        <v>26.247599999999998</v>
      </c>
      <c r="L234" s="20">
        <v>37.26</v>
      </c>
      <c r="M234" s="20">
        <v>36.564500000000002</v>
      </c>
      <c r="N234" s="20">
        <v>82.656000000000006</v>
      </c>
      <c r="O234" s="20">
        <f t="shared" si="16"/>
        <v>28.913762499999997</v>
      </c>
      <c r="P234" s="7"/>
      <c r="Q234" s="13"/>
      <c r="R234" s="14"/>
      <c r="S234" s="14"/>
      <c r="T234" s="27"/>
      <c r="U234" s="28">
        <f t="shared" si="17"/>
        <v>3.5939776590578737E-3</v>
      </c>
    </row>
    <row r="235" spans="2:21" x14ac:dyDescent="0.25">
      <c r="B235" s="6" t="s">
        <v>103</v>
      </c>
      <c r="C235" s="15">
        <v>1485.83</v>
      </c>
      <c r="D235" s="16">
        <v>45.429000000000002</v>
      </c>
      <c r="E235" s="16">
        <v>46.363999999999997</v>
      </c>
      <c r="F235" s="16">
        <v>46.274000000000001</v>
      </c>
      <c r="G235" s="16">
        <v>60.7</v>
      </c>
      <c r="H235" s="16">
        <f t="shared" si="15"/>
        <v>45.651499999999999</v>
      </c>
      <c r="I235" s="5"/>
      <c r="J235" s="15">
        <v>1397.8400999999999</v>
      </c>
      <c r="K235" s="16">
        <v>46.475200000000001</v>
      </c>
      <c r="L235" s="16">
        <v>48.061599999999999</v>
      </c>
      <c r="M235" s="16">
        <v>47.964300000000001</v>
      </c>
      <c r="N235" s="16">
        <v>56.9801</v>
      </c>
      <c r="O235" s="16">
        <f t="shared" si="16"/>
        <v>46.859637499999998</v>
      </c>
      <c r="P235" s="7"/>
      <c r="Q235" s="8">
        <f>bdrate(C235:C238,D235:D238,J235:J238,K235:K238)</f>
        <v>-0.25712958350795401</v>
      </c>
      <c r="R235" s="8">
        <f>bdrate(C235:C238,E235:E238,J235:J238,L235:L238)</f>
        <v>-0.42422321728809798</v>
      </c>
      <c r="S235" s="8">
        <f>bdrate(C235:C238,F235:F238,J235:J238,M235:M238)</f>
        <v>-0.4193928677366392</v>
      </c>
      <c r="T235" s="25">
        <f>bdrate(C235:C238,H235:H238,J235:J238,O235:O238)</f>
        <v>-0.29698762990679362</v>
      </c>
      <c r="U235" s="28">
        <f t="shared" si="17"/>
        <v>-6.1283360790774344E-2</v>
      </c>
    </row>
    <row r="236" spans="2:21" x14ac:dyDescent="0.25">
      <c r="B236" s="9"/>
      <c r="C236" s="17">
        <v>992.37</v>
      </c>
      <c r="D236" s="18">
        <v>43.204000000000001</v>
      </c>
      <c r="E236" s="18">
        <v>44.302</v>
      </c>
      <c r="F236" s="18">
        <v>44.186</v>
      </c>
      <c r="G236" s="18">
        <v>68.11</v>
      </c>
      <c r="H236" s="18">
        <f t="shared" si="15"/>
        <v>43.463999999999999</v>
      </c>
      <c r="I236" s="5"/>
      <c r="J236" s="17">
        <v>950.88430000000005</v>
      </c>
      <c r="K236" s="18">
        <v>44.839300000000001</v>
      </c>
      <c r="L236" s="18">
        <v>46.651499999999999</v>
      </c>
      <c r="M236" s="18">
        <v>46.547800000000002</v>
      </c>
      <c r="N236" s="18">
        <v>80.407399999999996</v>
      </c>
      <c r="O236" s="18">
        <f t="shared" si="16"/>
        <v>45.279387499999999</v>
      </c>
      <c r="P236" s="7"/>
      <c r="Q236" s="10"/>
      <c r="R236" s="11"/>
      <c r="S236" s="11"/>
      <c r="T236" s="26"/>
      <c r="U236" s="28">
        <f t="shared" si="17"/>
        <v>0.1805520481573924</v>
      </c>
    </row>
    <row r="237" spans="2:21" x14ac:dyDescent="0.25">
      <c r="B237" s="9"/>
      <c r="C237" s="17">
        <v>598</v>
      </c>
      <c r="D237" s="18">
        <v>40.323</v>
      </c>
      <c r="E237" s="18">
        <v>41.758000000000003</v>
      </c>
      <c r="F237" s="18">
        <v>41.567</v>
      </c>
      <c r="G237" s="18">
        <v>73.87</v>
      </c>
      <c r="H237" s="18">
        <f t="shared" si="15"/>
        <v>40.657874999999997</v>
      </c>
      <c r="I237" s="5"/>
      <c r="J237" s="17">
        <v>592.77520000000004</v>
      </c>
      <c r="K237" s="18">
        <v>42.045099999999998</v>
      </c>
      <c r="L237" s="18">
        <v>44.518099999999997</v>
      </c>
      <c r="M237" s="18">
        <v>44.347900000000003</v>
      </c>
      <c r="N237" s="18">
        <v>103.6687</v>
      </c>
      <c r="O237" s="18">
        <f t="shared" si="16"/>
        <v>42.642074999999998</v>
      </c>
      <c r="P237" s="7"/>
      <c r="Q237" s="10"/>
      <c r="R237" s="11"/>
      <c r="S237" s="11"/>
      <c r="T237" s="26"/>
      <c r="U237" s="28">
        <f t="shared" si="17"/>
        <v>0.40339379991877616</v>
      </c>
    </row>
    <row r="238" spans="2:21" ht="16.5" thickBot="1" x14ac:dyDescent="0.3">
      <c r="B238" s="12"/>
      <c r="C238" s="19">
        <v>296.14</v>
      </c>
      <c r="D238" s="20">
        <v>36.152000000000001</v>
      </c>
      <c r="E238" s="20">
        <v>38.491999999999997</v>
      </c>
      <c r="F238" s="20">
        <v>38.183999999999997</v>
      </c>
      <c r="G238" s="20">
        <v>81.83</v>
      </c>
      <c r="H238" s="20">
        <f t="shared" si="15"/>
        <v>36.698499999999996</v>
      </c>
      <c r="I238" s="5"/>
      <c r="J238" s="19">
        <v>301.42430000000002</v>
      </c>
      <c r="K238" s="20">
        <v>37.624499999999998</v>
      </c>
      <c r="L238" s="20">
        <v>41.009399999999999</v>
      </c>
      <c r="M238" s="20">
        <v>40.786299999999997</v>
      </c>
      <c r="N238" s="20">
        <v>131.5693</v>
      </c>
      <c r="O238" s="20">
        <f t="shared" si="16"/>
        <v>38.442837499999996</v>
      </c>
      <c r="P238" s="7"/>
      <c r="Q238" s="13"/>
      <c r="R238" s="14"/>
      <c r="S238" s="14"/>
      <c r="T238" s="27"/>
      <c r="U238" s="28">
        <f t="shared" si="17"/>
        <v>0.60783697910301848</v>
      </c>
    </row>
    <row r="239" spans="2:21" x14ac:dyDescent="0.25">
      <c r="B239" s="6" t="s">
        <v>104</v>
      </c>
      <c r="C239" s="15">
        <v>1971.87</v>
      </c>
      <c r="D239" s="16">
        <v>45.847999999999999</v>
      </c>
      <c r="E239" s="16">
        <v>47.8</v>
      </c>
      <c r="F239" s="16">
        <v>48.058</v>
      </c>
      <c r="G239" s="16">
        <v>56.78</v>
      </c>
      <c r="H239" s="16">
        <f t="shared" si="15"/>
        <v>46.368249999999996</v>
      </c>
      <c r="I239" s="5"/>
      <c r="J239" s="15">
        <v>1373.2437</v>
      </c>
      <c r="K239" s="16">
        <v>46.9739</v>
      </c>
      <c r="L239" s="16">
        <v>49.913200000000003</v>
      </c>
      <c r="M239" s="16">
        <v>50.0306</v>
      </c>
      <c r="N239" s="16">
        <v>53.271799999999999</v>
      </c>
      <c r="O239" s="16">
        <f t="shared" si="16"/>
        <v>47.723399999999998</v>
      </c>
      <c r="P239" s="7"/>
      <c r="Q239" s="8">
        <f>bdrate(C239:C242,D239:D242,J239:J242,K239:K242)</f>
        <v>-0.39607994454171225</v>
      </c>
      <c r="R239" s="8">
        <f>bdrate(C239:C242,E239:E242,J239:J242,L239:L242)</f>
        <v>-0.53422721478591251</v>
      </c>
      <c r="S239" s="8">
        <f>bdrate(C239:C242,F239:F242,J239:J242,M239:M242)</f>
        <v>-0.53525481438163713</v>
      </c>
      <c r="T239" s="25">
        <f>bdrate(C239:C242,H239:H242,J239:J242,O239:O242)</f>
        <v>-0.43299504699813274</v>
      </c>
      <c r="U239" s="28">
        <f t="shared" si="17"/>
        <v>-6.1785840084536844E-2</v>
      </c>
    </row>
    <row r="240" spans="2:21" x14ac:dyDescent="0.25">
      <c r="B240" s="9"/>
      <c r="C240" s="17">
        <v>1287.8599999999999</v>
      </c>
      <c r="D240" s="18">
        <v>43.451999999999998</v>
      </c>
      <c r="E240" s="18">
        <v>45.543999999999997</v>
      </c>
      <c r="F240" s="18">
        <v>45.81</v>
      </c>
      <c r="G240" s="18">
        <v>71.709999999999994</v>
      </c>
      <c r="H240" s="18">
        <f t="shared" si="15"/>
        <v>44.008249999999997</v>
      </c>
      <c r="I240" s="5"/>
      <c r="J240" s="17">
        <v>951.77440000000001</v>
      </c>
      <c r="K240" s="18">
        <v>45.767499999999998</v>
      </c>
      <c r="L240" s="18">
        <v>48.985500000000002</v>
      </c>
      <c r="M240" s="18">
        <v>49.106299999999997</v>
      </c>
      <c r="N240" s="18">
        <v>71.621799999999993</v>
      </c>
      <c r="O240" s="18">
        <f t="shared" si="16"/>
        <v>46.5871</v>
      </c>
      <c r="P240" s="7"/>
      <c r="Q240" s="10"/>
      <c r="R240" s="11"/>
      <c r="S240" s="11"/>
      <c r="T240" s="26"/>
      <c r="U240" s="28">
        <f t="shared" si="17"/>
        <v>-1.2299539813136315E-3</v>
      </c>
    </row>
    <row r="241" spans="2:21" x14ac:dyDescent="0.25">
      <c r="B241" s="9"/>
      <c r="C241" s="17">
        <v>752.38</v>
      </c>
      <c r="D241" s="18">
        <v>40.905000000000001</v>
      </c>
      <c r="E241" s="18">
        <v>42.975000000000001</v>
      </c>
      <c r="F241" s="18">
        <v>43.259</v>
      </c>
      <c r="G241" s="18">
        <v>78.98</v>
      </c>
      <c r="H241" s="18">
        <f t="shared" si="15"/>
        <v>41.458000000000006</v>
      </c>
      <c r="I241" s="5"/>
      <c r="J241" s="17">
        <v>624.22370000000001</v>
      </c>
      <c r="K241" s="18">
        <v>42.444000000000003</v>
      </c>
      <c r="L241" s="18">
        <v>45.881599999999999</v>
      </c>
      <c r="M241" s="18">
        <v>46.162500000000001</v>
      </c>
      <c r="N241" s="18">
        <v>79.519300000000001</v>
      </c>
      <c r="O241" s="18">
        <f t="shared" si="16"/>
        <v>43.338512500000007</v>
      </c>
      <c r="P241" s="7"/>
      <c r="Q241" s="10"/>
      <c r="R241" s="11"/>
      <c r="S241" s="11"/>
      <c r="T241" s="26"/>
      <c r="U241" s="28">
        <f t="shared" si="17"/>
        <v>6.8283109648011797E-3</v>
      </c>
    </row>
    <row r="242" spans="2:21" ht="16.5" thickBot="1" x14ac:dyDescent="0.3">
      <c r="B242" s="12"/>
      <c r="C242" s="19">
        <v>362.69</v>
      </c>
      <c r="D242" s="20">
        <v>37.396999999999998</v>
      </c>
      <c r="E242" s="20">
        <v>39.936999999999998</v>
      </c>
      <c r="F242" s="20">
        <v>40.305</v>
      </c>
      <c r="G242" s="20">
        <v>88.42</v>
      </c>
      <c r="H242" s="20">
        <f t="shared" si="15"/>
        <v>38.078000000000003</v>
      </c>
      <c r="I242" s="5"/>
      <c r="J242" s="19">
        <v>352.69409999999999</v>
      </c>
      <c r="K242" s="20">
        <v>38.529699999999998</v>
      </c>
      <c r="L242" s="20">
        <v>42.426900000000003</v>
      </c>
      <c r="M242" s="20">
        <v>42.725299999999997</v>
      </c>
      <c r="N242" s="20">
        <v>122.7496</v>
      </c>
      <c r="O242" s="20">
        <f t="shared" si="16"/>
        <v>39.5413</v>
      </c>
      <c r="P242" s="7"/>
      <c r="Q242" s="13"/>
      <c r="R242" s="14"/>
      <c r="S242" s="14"/>
      <c r="T242" s="27"/>
      <c r="U242" s="28">
        <f t="shared" si="17"/>
        <v>0.38825605066726981</v>
      </c>
    </row>
    <row r="243" spans="2:21" x14ac:dyDescent="0.25">
      <c r="B243" s="6" t="s">
        <v>105</v>
      </c>
      <c r="C243" s="15">
        <v>1532.44</v>
      </c>
      <c r="D243" s="16">
        <v>32.640999999999998</v>
      </c>
      <c r="E243" s="16">
        <v>36.206000000000003</v>
      </c>
      <c r="F243" s="16">
        <v>35.081000000000003</v>
      </c>
      <c r="G243" s="16">
        <v>47.6</v>
      </c>
      <c r="H243" s="16">
        <f t="shared" si="15"/>
        <v>33.391625000000005</v>
      </c>
      <c r="I243" s="5"/>
      <c r="J243" s="29">
        <v>1514.6388999999999</v>
      </c>
      <c r="K243" s="30">
        <v>33.210099999999997</v>
      </c>
      <c r="L243" s="30">
        <v>37.8675</v>
      </c>
      <c r="M243" s="30">
        <v>36.709200000000003</v>
      </c>
      <c r="N243" s="16">
        <v>52.494999999999997</v>
      </c>
      <c r="O243" s="16">
        <f t="shared" si="16"/>
        <v>34.229662499999996</v>
      </c>
      <c r="P243" s="7"/>
      <c r="Q243" s="8">
        <f>bdrate(C243:C246,D243:D246,J243:J246,K243:K246)</f>
        <v>-0.11994969431918157</v>
      </c>
      <c r="R243" s="8">
        <f>bdrate(C243:C246,E243:E246,J243:J246,L243:L246)</f>
        <v>-0.51955340882197298</v>
      </c>
      <c r="S243" s="8">
        <f>bdrate(C243:C246,F243:F246,J243:J246,M243:M246)</f>
        <v>-0.49680648815287742</v>
      </c>
      <c r="T243" s="25">
        <f>bdrate(C243:C246,H243:H246,J243:J246,O243:O246)</f>
        <v>-0.20658290217549802</v>
      </c>
      <c r="U243" s="28">
        <f t="shared" si="17"/>
        <v>0.10283613445378142</v>
      </c>
    </row>
    <row r="244" spans="2:21" x14ac:dyDescent="0.25">
      <c r="B244" s="9"/>
      <c r="C244" s="17">
        <v>1017.66</v>
      </c>
      <c r="D244" s="18">
        <v>30.844999999999999</v>
      </c>
      <c r="E244" s="18">
        <v>34.902000000000001</v>
      </c>
      <c r="F244" s="18">
        <v>33.703000000000003</v>
      </c>
      <c r="G244" s="18">
        <v>53.44</v>
      </c>
      <c r="H244" s="18">
        <f t="shared" si="15"/>
        <v>31.709374999999998</v>
      </c>
      <c r="I244" s="5"/>
      <c r="J244" s="31">
        <v>1008.6545</v>
      </c>
      <c r="K244" s="32">
        <v>31.2879</v>
      </c>
      <c r="L244" s="32">
        <v>36.729100000000003</v>
      </c>
      <c r="M244" s="32">
        <v>35.5242</v>
      </c>
      <c r="N244" s="18">
        <v>60.728700000000003</v>
      </c>
      <c r="O244" s="18">
        <f t="shared" si="16"/>
        <v>32.497587500000002</v>
      </c>
      <c r="P244" s="7"/>
      <c r="Q244" s="10"/>
      <c r="R244" s="11"/>
      <c r="S244" s="11"/>
      <c r="T244" s="26"/>
      <c r="U244" s="28">
        <f t="shared" si="17"/>
        <v>0.13639034431137737</v>
      </c>
    </row>
    <row r="245" spans="2:21" x14ac:dyDescent="0.25">
      <c r="B245" s="9"/>
      <c r="C245" s="17">
        <v>607.38</v>
      </c>
      <c r="D245" s="18">
        <v>28.725999999999999</v>
      </c>
      <c r="E245" s="18">
        <v>33.502000000000002</v>
      </c>
      <c r="F245" s="18">
        <v>32.215000000000003</v>
      </c>
      <c r="G245" s="18">
        <v>59.42</v>
      </c>
      <c r="H245" s="18">
        <f t="shared" si="15"/>
        <v>29.759125000000001</v>
      </c>
      <c r="I245" s="5"/>
      <c r="J245" s="31">
        <v>606.28240000000005</v>
      </c>
      <c r="K245" s="32">
        <v>29.159300000000002</v>
      </c>
      <c r="L245" s="32">
        <v>35.476100000000002</v>
      </c>
      <c r="M245" s="32">
        <v>34.185699999999997</v>
      </c>
      <c r="N245" s="18">
        <v>72.662700000000001</v>
      </c>
      <c r="O245" s="18">
        <f t="shared" si="16"/>
        <v>30.577200000000001</v>
      </c>
      <c r="P245" s="7"/>
      <c r="Q245" s="10"/>
      <c r="R245" s="11"/>
      <c r="S245" s="11"/>
      <c r="T245" s="26"/>
      <c r="U245" s="28">
        <f t="shared" si="17"/>
        <v>0.22286603837091887</v>
      </c>
    </row>
    <row r="246" spans="2:21" ht="16.5" thickBot="1" x14ac:dyDescent="0.3">
      <c r="B246" s="12"/>
      <c r="C246" s="19">
        <v>285.49</v>
      </c>
      <c r="D246" s="20">
        <v>25.388999999999999</v>
      </c>
      <c r="E246" s="20">
        <v>30.873000000000001</v>
      </c>
      <c r="F246" s="20">
        <v>29.545999999999999</v>
      </c>
      <c r="G246" s="20">
        <v>72.34</v>
      </c>
      <c r="H246" s="20">
        <f t="shared" si="15"/>
        <v>26.594124999999998</v>
      </c>
      <c r="I246" s="5"/>
      <c r="J246" s="33">
        <v>305.07670000000002</v>
      </c>
      <c r="K246" s="34">
        <v>26.697199999999999</v>
      </c>
      <c r="L246" s="34">
        <v>33.8157</v>
      </c>
      <c r="M246" s="34">
        <v>32.403799999999997</v>
      </c>
      <c r="N246" s="20">
        <v>92.826599999999999</v>
      </c>
      <c r="O246" s="20">
        <f t="shared" si="16"/>
        <v>28.300337499999998</v>
      </c>
      <c r="P246" s="7"/>
      <c r="Q246" s="13"/>
      <c r="R246" s="14"/>
      <c r="S246" s="14"/>
      <c r="T246" s="27"/>
      <c r="U246" s="28">
        <f t="shared" si="17"/>
        <v>0.28319878352225591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-0.16561107724830088</v>
      </c>
      <c r="R247" s="21">
        <f>AVERAGE(R131:R246)</f>
        <v>-0.4724648098880444</v>
      </c>
      <c r="S247" s="21">
        <f>AVERAGE(S131:S246)</f>
        <v>-0.46381306422729096</v>
      </c>
      <c r="T247" s="21">
        <f>AVERAGE(T131:T246)</f>
        <v>-0.23734979153448024</v>
      </c>
      <c r="U247" s="21">
        <f>AVERAGE(U131:U246)</f>
        <v>0.47463196192889662</v>
      </c>
    </row>
  </sheetData>
  <mergeCells count="12">
    <mergeCell ref="B127:B128"/>
    <mergeCell ref="C127:U128"/>
    <mergeCell ref="C129:H129"/>
    <mergeCell ref="J129:O129"/>
    <mergeCell ref="Q129:S129"/>
    <mergeCell ref="U129:U130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547" priority="453" operator="greaterThan">
      <formula>0.03</formula>
    </cfRule>
    <cfRule type="cellIs" dxfId="546" priority="454" stopIfTrue="1" operator="lessThan">
      <formula>-0.03</formula>
    </cfRule>
  </conditionalFormatting>
  <conditionalFormatting sqref="Q33:T36">
    <cfRule type="cellIs" dxfId="545" priority="451" operator="greaterThan">
      <formula>0.03</formula>
    </cfRule>
    <cfRule type="cellIs" dxfId="544" priority="452" stopIfTrue="1" operator="lessThan">
      <formula>-0.03</formula>
    </cfRule>
  </conditionalFormatting>
  <conditionalFormatting sqref="Q46:T48 Q62:T64">
    <cfRule type="cellIs" dxfId="543" priority="449" operator="greaterThan">
      <formula>0.03</formula>
    </cfRule>
    <cfRule type="cellIs" dxfId="542" priority="450" stopIfTrue="1" operator="lessThan">
      <formula>-0.03</formula>
    </cfRule>
  </conditionalFormatting>
  <conditionalFormatting sqref="Q50:T52 Q54:T56 Q58:T60">
    <cfRule type="cellIs" dxfId="541" priority="447" operator="greaterThan">
      <formula>0.03</formula>
    </cfRule>
    <cfRule type="cellIs" dxfId="540" priority="448" stopIfTrue="1" operator="lessThan">
      <formula>-0.03</formula>
    </cfRule>
  </conditionalFormatting>
  <conditionalFormatting sqref="Q70:T72 Q74:T76">
    <cfRule type="cellIs" dxfId="539" priority="445" operator="greaterThan">
      <formula>0.03</formula>
    </cfRule>
    <cfRule type="cellIs" dxfId="538" priority="446" stopIfTrue="1" operator="lessThan">
      <formula>-0.03</formula>
    </cfRule>
  </conditionalFormatting>
  <conditionalFormatting sqref="Q66:T68">
    <cfRule type="cellIs" dxfId="537" priority="443" operator="greaterThan">
      <formula>0.03</formula>
    </cfRule>
    <cfRule type="cellIs" dxfId="536" priority="444" stopIfTrue="1" operator="lessThan">
      <formula>-0.03</formula>
    </cfRule>
  </conditionalFormatting>
  <conditionalFormatting sqref="Q78:T80">
    <cfRule type="cellIs" dxfId="535" priority="441" operator="greaterThan">
      <formula>0.03</formula>
    </cfRule>
    <cfRule type="cellIs" dxfId="534" priority="442" stopIfTrue="1" operator="lessThan">
      <formula>-0.03</formula>
    </cfRule>
  </conditionalFormatting>
  <conditionalFormatting sqref="Q21:T28">
    <cfRule type="cellIs" dxfId="533" priority="423" operator="greaterThan">
      <formula>0.03</formula>
    </cfRule>
    <cfRule type="cellIs" dxfId="532" priority="424" stopIfTrue="1" operator="lessThan">
      <formula>-0.03</formula>
    </cfRule>
  </conditionalFormatting>
  <conditionalFormatting sqref="Q151:T154 Q159:T166 Q131:T142">
    <cfRule type="cellIs" dxfId="531" priority="419" operator="greaterThan">
      <formula>0.03</formula>
    </cfRule>
    <cfRule type="cellIs" dxfId="530" priority="420" stopIfTrue="1" operator="lessThan">
      <formula>-0.03</formula>
    </cfRule>
  </conditionalFormatting>
  <conditionalFormatting sqref="Q155:T158">
    <cfRule type="cellIs" dxfId="529" priority="417" operator="greaterThan">
      <formula>0.03</formula>
    </cfRule>
    <cfRule type="cellIs" dxfId="528" priority="418" stopIfTrue="1" operator="lessThan">
      <formula>-0.03</formula>
    </cfRule>
  </conditionalFormatting>
  <conditionalFormatting sqref="Q167:T170 Q183:T186">
    <cfRule type="cellIs" dxfId="527" priority="415" operator="greaterThan">
      <formula>0.03</formula>
    </cfRule>
    <cfRule type="cellIs" dxfId="526" priority="416" stopIfTrue="1" operator="lessThan">
      <formula>-0.03</formula>
    </cfRule>
  </conditionalFormatting>
  <conditionalFormatting sqref="Q171:T182">
    <cfRule type="cellIs" dxfId="525" priority="413" operator="greaterThan">
      <formula>0.03</formula>
    </cfRule>
    <cfRule type="cellIs" dxfId="524" priority="414" stopIfTrue="1" operator="lessThan">
      <formula>-0.03</formula>
    </cfRule>
  </conditionalFormatting>
  <conditionalFormatting sqref="Q191:T198">
    <cfRule type="cellIs" dxfId="523" priority="411" operator="greaterThan">
      <formula>0.03</formula>
    </cfRule>
    <cfRule type="cellIs" dxfId="522" priority="412" stopIfTrue="1" operator="lessThan">
      <formula>-0.03</formula>
    </cfRule>
  </conditionalFormatting>
  <conditionalFormatting sqref="Q187:T190">
    <cfRule type="cellIs" dxfId="521" priority="409" operator="greaterThan">
      <formula>0.03</formula>
    </cfRule>
    <cfRule type="cellIs" dxfId="520" priority="410" stopIfTrue="1" operator="lessThan">
      <formula>-0.03</formula>
    </cfRule>
  </conditionalFormatting>
  <conditionalFormatting sqref="Q199:T202">
    <cfRule type="cellIs" dxfId="519" priority="407" operator="greaterThan">
      <formula>0.03</formula>
    </cfRule>
    <cfRule type="cellIs" dxfId="518" priority="408" stopIfTrue="1" operator="lessThan">
      <formula>-0.03</formula>
    </cfRule>
  </conditionalFormatting>
  <conditionalFormatting sqref="Q143:T150">
    <cfRule type="cellIs" dxfId="517" priority="405" operator="greaterThan">
      <formula>0.03</formula>
    </cfRule>
    <cfRule type="cellIs" dxfId="516" priority="406" stopIfTrue="1" operator="lessThan">
      <formula>-0.03</formula>
    </cfRule>
  </conditionalFormatting>
  <conditionalFormatting sqref="Q45:T45">
    <cfRule type="cellIs" dxfId="515" priority="403" operator="greaterThan">
      <formula>0.03</formula>
    </cfRule>
    <cfRule type="cellIs" dxfId="514" priority="404" stopIfTrue="1" operator="lessThan">
      <formula>-0.03</formula>
    </cfRule>
  </conditionalFormatting>
  <conditionalFormatting sqref="Q49:T49">
    <cfRule type="cellIs" dxfId="513" priority="401" operator="greaterThan">
      <formula>0.03</formula>
    </cfRule>
    <cfRule type="cellIs" dxfId="512" priority="402" stopIfTrue="1" operator="lessThan">
      <formula>-0.03</formula>
    </cfRule>
  </conditionalFormatting>
  <conditionalFormatting sqref="Q53:T53">
    <cfRule type="cellIs" dxfId="511" priority="399" operator="greaterThan">
      <formula>0.03</formula>
    </cfRule>
    <cfRule type="cellIs" dxfId="510" priority="400" stopIfTrue="1" operator="lessThan">
      <formula>-0.03</formula>
    </cfRule>
  </conditionalFormatting>
  <conditionalFormatting sqref="Q57:T57">
    <cfRule type="cellIs" dxfId="509" priority="397" operator="greaterThan">
      <formula>0.03</formula>
    </cfRule>
    <cfRule type="cellIs" dxfId="508" priority="398" stopIfTrue="1" operator="lessThan">
      <formula>-0.03</formula>
    </cfRule>
  </conditionalFormatting>
  <conditionalFormatting sqref="Q61:T61">
    <cfRule type="cellIs" dxfId="507" priority="395" operator="greaterThan">
      <formula>0.03</formula>
    </cfRule>
    <cfRule type="cellIs" dxfId="506" priority="396" stopIfTrue="1" operator="lessThan">
      <formula>-0.03</formula>
    </cfRule>
  </conditionalFormatting>
  <conditionalFormatting sqref="Q65:T65">
    <cfRule type="cellIs" dxfId="505" priority="393" operator="greaterThan">
      <formula>0.03</formula>
    </cfRule>
    <cfRule type="cellIs" dxfId="504" priority="394" stopIfTrue="1" operator="lessThan">
      <formula>-0.03</formula>
    </cfRule>
  </conditionalFormatting>
  <conditionalFormatting sqref="Q69:T69">
    <cfRule type="cellIs" dxfId="503" priority="391" operator="greaterThan">
      <formula>0.03</formula>
    </cfRule>
    <cfRule type="cellIs" dxfId="502" priority="392" stopIfTrue="1" operator="lessThan">
      <formula>-0.03</formula>
    </cfRule>
  </conditionalFormatting>
  <conditionalFormatting sqref="Q73:T73">
    <cfRule type="cellIs" dxfId="501" priority="389" operator="greaterThan">
      <formula>0.03</formula>
    </cfRule>
    <cfRule type="cellIs" dxfId="500" priority="390" stopIfTrue="1" operator="lessThan">
      <formula>-0.03</formula>
    </cfRule>
  </conditionalFormatting>
  <conditionalFormatting sqref="Q77:T77">
    <cfRule type="cellIs" dxfId="499" priority="387" operator="greaterThan">
      <formula>0.03</formula>
    </cfRule>
    <cfRule type="cellIs" dxfId="498" priority="388" stopIfTrue="1" operator="lessThan">
      <formula>-0.03</formula>
    </cfRule>
  </conditionalFormatting>
  <conditionalFormatting sqref="Q117:T117">
    <cfRule type="cellIs" dxfId="497" priority="99" operator="greaterThan">
      <formula>0.03</formula>
    </cfRule>
    <cfRule type="cellIs" dxfId="496" priority="100" stopIfTrue="1" operator="lessThan">
      <formula>-0.03</formula>
    </cfRule>
  </conditionalFormatting>
  <conditionalFormatting sqref="Q93:T96 Q101:T108 Q81:T84">
    <cfRule type="cellIs" dxfId="495" priority="113" operator="greaterThan">
      <formula>0.03</formula>
    </cfRule>
    <cfRule type="cellIs" dxfId="494" priority="114" stopIfTrue="1" operator="lessThan">
      <formula>-0.03</formula>
    </cfRule>
  </conditionalFormatting>
  <conditionalFormatting sqref="Q97:T100">
    <cfRule type="cellIs" dxfId="493" priority="111" operator="greaterThan">
      <formula>0.03</formula>
    </cfRule>
    <cfRule type="cellIs" dxfId="492" priority="112" stopIfTrue="1" operator="lessThan">
      <formula>-0.03</formula>
    </cfRule>
  </conditionalFormatting>
  <conditionalFormatting sqref="Q110:T112 Q122:T124">
    <cfRule type="cellIs" dxfId="491" priority="109" operator="greaterThan">
      <formula>0.03</formula>
    </cfRule>
    <cfRule type="cellIs" dxfId="490" priority="110" stopIfTrue="1" operator="lessThan">
      <formula>-0.03</formula>
    </cfRule>
  </conditionalFormatting>
  <conditionalFormatting sqref="Q114:T116 Q118:T120">
    <cfRule type="cellIs" dxfId="489" priority="107" operator="greaterThan">
      <formula>0.03</formula>
    </cfRule>
    <cfRule type="cellIs" dxfId="488" priority="108" stopIfTrue="1" operator="lessThan">
      <formula>-0.03</formula>
    </cfRule>
  </conditionalFormatting>
  <conditionalFormatting sqref="Q85:T92">
    <cfRule type="cellIs" dxfId="487" priority="105" operator="greaterThan">
      <formula>0.03</formula>
    </cfRule>
    <cfRule type="cellIs" dxfId="486" priority="106" stopIfTrue="1" operator="lessThan">
      <formula>-0.03</formula>
    </cfRule>
  </conditionalFormatting>
  <conditionalFormatting sqref="Q109:T109">
    <cfRule type="cellIs" dxfId="485" priority="103" operator="greaterThan">
      <formula>0.03</formula>
    </cfRule>
    <cfRule type="cellIs" dxfId="484" priority="104" stopIfTrue="1" operator="lessThan">
      <formula>-0.03</formula>
    </cfRule>
  </conditionalFormatting>
  <conditionalFormatting sqref="Q113:T113">
    <cfRule type="cellIs" dxfId="483" priority="101" operator="greaterThan">
      <formula>0.03</formula>
    </cfRule>
    <cfRule type="cellIs" dxfId="482" priority="102" stopIfTrue="1" operator="lessThan">
      <formula>-0.03</formula>
    </cfRule>
  </conditionalFormatting>
  <conditionalFormatting sqref="Q121:T121">
    <cfRule type="cellIs" dxfId="481" priority="97" operator="greaterThan">
      <formula>0.03</formula>
    </cfRule>
    <cfRule type="cellIs" dxfId="480" priority="98" stopIfTrue="1" operator="lessThan">
      <formula>-0.03</formula>
    </cfRule>
  </conditionalFormatting>
  <conditionalFormatting sqref="Q239:T239">
    <cfRule type="cellIs" dxfId="479" priority="33" operator="greaterThan">
      <formula>0.03</formula>
    </cfRule>
    <cfRule type="cellIs" dxfId="478" priority="34" stopIfTrue="1" operator="lessThan">
      <formula>-0.03</formula>
    </cfRule>
  </conditionalFormatting>
  <conditionalFormatting sqref="Q215:T218 Q223:T230 Q203:T206">
    <cfRule type="cellIs" dxfId="477" priority="47" operator="greaterThan">
      <formula>0.03</formula>
    </cfRule>
    <cfRule type="cellIs" dxfId="476" priority="48" stopIfTrue="1" operator="lessThan">
      <formula>-0.03</formula>
    </cfRule>
  </conditionalFormatting>
  <conditionalFormatting sqref="Q219:T222">
    <cfRule type="cellIs" dxfId="475" priority="45" operator="greaterThan">
      <formula>0.03</formula>
    </cfRule>
    <cfRule type="cellIs" dxfId="474" priority="46" stopIfTrue="1" operator="lessThan">
      <formula>-0.03</formula>
    </cfRule>
  </conditionalFormatting>
  <conditionalFormatting sqref="Q232:T234 Q244:T246">
    <cfRule type="cellIs" dxfId="473" priority="43" operator="greaterThan">
      <formula>0.03</formula>
    </cfRule>
    <cfRule type="cellIs" dxfId="472" priority="44" stopIfTrue="1" operator="lessThan">
      <formula>-0.03</formula>
    </cfRule>
  </conditionalFormatting>
  <conditionalFormatting sqref="Q236:T238 Q240:T242">
    <cfRule type="cellIs" dxfId="471" priority="41" operator="greaterThan">
      <formula>0.03</formula>
    </cfRule>
    <cfRule type="cellIs" dxfId="470" priority="42" stopIfTrue="1" operator="lessThan">
      <formula>-0.03</formula>
    </cfRule>
  </conditionalFormatting>
  <conditionalFormatting sqref="Q207:T214">
    <cfRule type="cellIs" dxfId="469" priority="39" operator="greaterThan">
      <formula>0.03</formula>
    </cfRule>
    <cfRule type="cellIs" dxfId="468" priority="40" stopIfTrue="1" operator="lessThan">
      <formula>-0.03</formula>
    </cfRule>
  </conditionalFormatting>
  <conditionalFormatting sqref="Q231:T231">
    <cfRule type="cellIs" dxfId="467" priority="37" operator="greaterThan">
      <formula>0.03</formula>
    </cfRule>
    <cfRule type="cellIs" dxfId="466" priority="38" stopIfTrue="1" operator="lessThan">
      <formula>-0.03</formula>
    </cfRule>
  </conditionalFormatting>
  <conditionalFormatting sqref="Q235:T235">
    <cfRule type="cellIs" dxfId="465" priority="35" operator="greaterThan">
      <formula>0.03</formula>
    </cfRule>
    <cfRule type="cellIs" dxfId="464" priority="36" stopIfTrue="1" operator="lessThan">
      <formula>-0.03</formula>
    </cfRule>
  </conditionalFormatting>
  <conditionalFormatting sqref="Q243:T243">
    <cfRule type="cellIs" dxfId="463" priority="31" operator="greaterThan">
      <formula>0.03</formula>
    </cfRule>
    <cfRule type="cellIs" dxfId="462" priority="3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5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167</v>
      </c>
    </row>
    <row r="2" spans="1:21" x14ac:dyDescent="0.25">
      <c r="A2" t="s">
        <v>91</v>
      </c>
    </row>
    <row r="3" spans="1:21" x14ac:dyDescent="0.25">
      <c r="A3" t="s">
        <v>87</v>
      </c>
    </row>
    <row r="4" spans="1:21" x14ac:dyDescent="0.25">
      <c r="A4" t="s">
        <v>90</v>
      </c>
    </row>
    <row r="5" spans="1:21" s="35" customFormat="1" ht="15.75" customHeight="1" x14ac:dyDescent="0.25">
      <c r="B5" s="61" t="s">
        <v>29</v>
      </c>
      <c r="C5" s="63" t="s">
        <v>201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168</v>
      </c>
      <c r="D7" s="70"/>
      <c r="E7" s="70"/>
      <c r="F7" s="70"/>
      <c r="G7" s="70"/>
      <c r="H7" s="70"/>
      <c r="I7" s="5"/>
      <c r="J7" s="69" t="s">
        <v>183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3548.49</v>
      </c>
      <c r="D9" s="16">
        <v>38.057000000000002</v>
      </c>
      <c r="E9" s="16">
        <v>39.247</v>
      </c>
      <c r="F9" s="16">
        <v>41.619</v>
      </c>
      <c r="G9" s="16">
        <v>1.2</v>
      </c>
      <c r="H9" s="16">
        <f t="shared" ref="H9:H80" si="0">(6*D9+E9+F9)/8</f>
        <v>38.650999999999996</v>
      </c>
      <c r="I9" s="5"/>
      <c r="J9" s="15">
        <v>4139.0159999999996</v>
      </c>
      <c r="K9" s="16">
        <v>38.801900000000003</v>
      </c>
      <c r="L9" s="16">
        <v>40.335599999999999</v>
      </c>
      <c r="M9" s="16">
        <v>43.108499999999999</v>
      </c>
      <c r="N9" s="16">
        <v>1.8703000000000001</v>
      </c>
      <c r="O9" s="16">
        <f t="shared" ref="O9:O80" si="1">(6*K9+L9+M9)/8</f>
        <v>39.531937500000005</v>
      </c>
      <c r="P9" s="7"/>
      <c r="Q9" s="8">
        <f>bdrate(C9:C12,D9:D12,J9:J12,K9:K12)</f>
        <v>-8.9646351208264585E-3</v>
      </c>
      <c r="R9" s="8">
        <f>bdrate(C9:C12,E9:E12,J9:J12,L9:L12)</f>
        <v>-0.41771732072527512</v>
      </c>
      <c r="S9" s="8">
        <f>bdrate(C9:C12,F9:F12,J9:J12,M9:M12)</f>
        <v>-0.41242222419197649</v>
      </c>
      <c r="T9" s="25">
        <f>bdrate(C9:C12,H9:H12,J9:J12,O9:O12)</f>
        <v>-7.953362772922612E-2</v>
      </c>
      <c r="U9" s="28">
        <f t="shared" ref="U9:U72" si="2">(N9-G9)/G9</f>
        <v>0.55858333333333343</v>
      </c>
    </row>
    <row r="10" spans="1:21" x14ac:dyDescent="0.25">
      <c r="A10" s="9" t="s">
        <v>36</v>
      </c>
      <c r="B10" s="9"/>
      <c r="C10" s="17">
        <v>2650.26</v>
      </c>
      <c r="D10" s="18">
        <v>37.228000000000002</v>
      </c>
      <c r="E10" s="18">
        <v>38.695</v>
      </c>
      <c r="F10" s="18">
        <v>41.058999999999997</v>
      </c>
      <c r="G10" s="18">
        <v>1.34</v>
      </c>
      <c r="H10" s="18">
        <f t="shared" si="0"/>
        <v>37.890249999999995</v>
      </c>
      <c r="I10" s="5"/>
      <c r="J10" s="17">
        <v>3019.3631999999998</v>
      </c>
      <c r="K10" s="18">
        <v>37.843299999999999</v>
      </c>
      <c r="L10" s="18">
        <v>39.838299999999997</v>
      </c>
      <c r="M10" s="18">
        <v>42.4392</v>
      </c>
      <c r="N10" s="18">
        <v>2.2860999999999998</v>
      </c>
      <c r="O10" s="18">
        <f t="shared" si="1"/>
        <v>38.667162500000003</v>
      </c>
      <c r="P10" s="7"/>
      <c r="Q10" s="10"/>
      <c r="R10" s="11"/>
      <c r="S10" s="11"/>
      <c r="T10" s="26"/>
      <c r="U10" s="28">
        <f t="shared" si="2"/>
        <v>0.70604477611940275</v>
      </c>
    </row>
    <row r="11" spans="1:21" x14ac:dyDescent="0.25">
      <c r="B11" s="9"/>
      <c r="C11" s="17">
        <v>1750.41</v>
      </c>
      <c r="D11" s="18">
        <v>36.021000000000001</v>
      </c>
      <c r="E11" s="18">
        <v>38.020000000000003</v>
      </c>
      <c r="F11" s="18">
        <v>40.383000000000003</v>
      </c>
      <c r="G11" s="18">
        <v>1.53</v>
      </c>
      <c r="H11" s="18">
        <f t="shared" si="0"/>
        <v>36.816125</v>
      </c>
      <c r="I11" s="5"/>
      <c r="J11" s="17">
        <v>1975.5536</v>
      </c>
      <c r="K11" s="18">
        <v>36.461100000000002</v>
      </c>
      <c r="L11" s="18">
        <v>39.161299999999997</v>
      </c>
      <c r="M11" s="18">
        <v>41.62</v>
      </c>
      <c r="N11" s="18">
        <v>2.8866999999999998</v>
      </c>
      <c r="O11" s="18">
        <f t="shared" si="1"/>
        <v>37.443487500000003</v>
      </c>
      <c r="P11" s="7"/>
      <c r="Q11" s="10"/>
      <c r="R11" s="11"/>
      <c r="S11" s="11"/>
      <c r="T11" s="26"/>
      <c r="U11" s="28">
        <f t="shared" si="2"/>
        <v>0.88673202614379065</v>
      </c>
    </row>
    <row r="12" spans="1:21" ht="16.5" thickBot="1" x14ac:dyDescent="0.3">
      <c r="B12" s="12"/>
      <c r="C12" s="19">
        <v>841.33</v>
      </c>
      <c r="D12" s="20">
        <v>33.552999999999997</v>
      </c>
      <c r="E12" s="20">
        <v>37.253</v>
      </c>
      <c r="F12" s="20">
        <v>39.566000000000003</v>
      </c>
      <c r="G12" s="20">
        <v>1.96</v>
      </c>
      <c r="H12" s="20">
        <f t="shared" si="0"/>
        <v>34.767124999999993</v>
      </c>
      <c r="I12" s="5"/>
      <c r="J12" s="19">
        <v>908.72159999999997</v>
      </c>
      <c r="K12" s="20">
        <v>33.636400000000002</v>
      </c>
      <c r="L12" s="20">
        <v>37.7515</v>
      </c>
      <c r="M12" s="20">
        <v>40.026299999999999</v>
      </c>
      <c r="N12" s="20">
        <v>4.5290999999999997</v>
      </c>
      <c r="O12" s="20">
        <f t="shared" si="1"/>
        <v>34.949525000000001</v>
      </c>
      <c r="P12" s="7"/>
      <c r="Q12" s="13"/>
      <c r="R12" s="14"/>
      <c r="S12" s="14"/>
      <c r="T12" s="27"/>
      <c r="U12" s="28">
        <f t="shared" si="2"/>
        <v>1.3107653061224489</v>
      </c>
    </row>
    <row r="13" spans="1:21" x14ac:dyDescent="0.25">
      <c r="B13" s="6" t="s">
        <v>47</v>
      </c>
      <c r="C13" s="15">
        <v>4006.48</v>
      </c>
      <c r="D13" s="16">
        <v>30.898</v>
      </c>
      <c r="E13" s="16">
        <v>38.756999999999998</v>
      </c>
      <c r="F13" s="16">
        <v>39.844000000000001</v>
      </c>
      <c r="G13" s="16">
        <v>0.92</v>
      </c>
      <c r="H13" s="16">
        <f t="shared" si="0"/>
        <v>32.998625000000004</v>
      </c>
      <c r="I13" s="5"/>
      <c r="J13" s="15">
        <v>4140.1311999999998</v>
      </c>
      <c r="K13" s="16">
        <v>30.227599999999999</v>
      </c>
      <c r="L13" s="16">
        <v>41.1023</v>
      </c>
      <c r="M13" s="16">
        <v>41.899700000000003</v>
      </c>
      <c r="N13" s="16">
        <v>1.3711</v>
      </c>
      <c r="O13" s="16">
        <f t="shared" si="1"/>
        <v>33.045949999999998</v>
      </c>
      <c r="P13" s="7"/>
      <c r="Q13" s="8">
        <f>bdrate(C13:C16,D13:D16,J13:J16,K13:K16)</f>
        <v>0.10892116184065226</v>
      </c>
      <c r="R13" s="8">
        <f>bdrate(C13:C16,E13:E16,J13:J16,L13:L16)</f>
        <v>-0.63029248933900339</v>
      </c>
      <c r="S13" s="8">
        <f>bdrate(C13:C16,F13:F16,J13:J16,M13:M16)</f>
        <v>-0.64293164022227067</v>
      </c>
      <c r="T13" s="25">
        <f>bdrate(C13:C16,H13:H16,J13:J16,O13:O16)</f>
        <v>-3.490618958273517E-2</v>
      </c>
      <c r="U13" s="28">
        <f t="shared" si="2"/>
        <v>0.49032608695652163</v>
      </c>
    </row>
    <row r="14" spans="1:21" x14ac:dyDescent="0.25">
      <c r="B14" s="9"/>
      <c r="C14" s="17">
        <v>3000.24</v>
      </c>
      <c r="D14" s="18">
        <v>29.498999999999999</v>
      </c>
      <c r="E14" s="18">
        <v>38.148000000000003</v>
      </c>
      <c r="F14" s="18">
        <v>39.322000000000003</v>
      </c>
      <c r="G14" s="18">
        <v>1.06</v>
      </c>
      <c r="H14" s="18">
        <f t="shared" si="0"/>
        <v>31.808</v>
      </c>
      <c r="I14" s="5"/>
      <c r="J14" s="17">
        <v>3075.7248</v>
      </c>
      <c r="K14" s="18">
        <v>28.854600000000001</v>
      </c>
      <c r="L14" s="18">
        <v>40.561199999999999</v>
      </c>
      <c r="M14" s="18">
        <v>41.464799999999997</v>
      </c>
      <c r="N14" s="18">
        <v>1.6458999999999999</v>
      </c>
      <c r="O14" s="18">
        <f t="shared" si="1"/>
        <v>31.894200000000001</v>
      </c>
      <c r="P14" s="7"/>
      <c r="Q14" s="10"/>
      <c r="R14" s="11"/>
      <c r="S14" s="11"/>
      <c r="T14" s="26"/>
      <c r="U14" s="28">
        <f t="shared" si="2"/>
        <v>0.55273584905660367</v>
      </c>
    </row>
    <row r="15" spans="1:21" x14ac:dyDescent="0.25">
      <c r="B15" s="9"/>
      <c r="C15" s="17">
        <v>2003.06</v>
      </c>
      <c r="D15" s="18">
        <v>27.533000000000001</v>
      </c>
      <c r="E15" s="18">
        <v>37.122999999999998</v>
      </c>
      <c r="F15" s="18">
        <v>38.456000000000003</v>
      </c>
      <c r="G15" s="18">
        <v>1.28</v>
      </c>
      <c r="H15" s="18">
        <f t="shared" si="0"/>
        <v>30.097124999999998</v>
      </c>
      <c r="I15" s="5"/>
      <c r="J15" s="17">
        <v>2059.1999999999998</v>
      </c>
      <c r="K15" s="18">
        <v>27.0945</v>
      </c>
      <c r="L15" s="18">
        <v>39.754199999999997</v>
      </c>
      <c r="M15" s="18">
        <v>40.7791</v>
      </c>
      <c r="N15" s="18">
        <v>2.0762999999999998</v>
      </c>
      <c r="O15" s="18">
        <f t="shared" si="1"/>
        <v>30.387537500000001</v>
      </c>
      <c r="P15" s="7"/>
      <c r="Q15" s="10"/>
      <c r="R15" s="11"/>
      <c r="S15" s="11"/>
      <c r="T15" s="26"/>
      <c r="U15" s="28">
        <f t="shared" si="2"/>
        <v>0.62210937499999985</v>
      </c>
    </row>
    <row r="16" spans="1:21" ht="16.5" thickBot="1" x14ac:dyDescent="0.3">
      <c r="B16" s="12"/>
      <c r="C16" s="19">
        <v>1738.45</v>
      </c>
      <c r="D16" s="20">
        <v>25.914000000000001</v>
      </c>
      <c r="E16" s="20">
        <v>36.073999999999998</v>
      </c>
      <c r="F16" s="20">
        <v>37.470999999999997</v>
      </c>
      <c r="G16" s="20">
        <v>1.39</v>
      </c>
      <c r="H16" s="20">
        <f t="shared" si="0"/>
        <v>28.628625</v>
      </c>
      <c r="I16" s="5"/>
      <c r="J16" s="19">
        <v>1388.3568</v>
      </c>
      <c r="K16" s="20">
        <v>25.848400000000002</v>
      </c>
      <c r="L16" s="20">
        <v>38.585500000000003</v>
      </c>
      <c r="M16" s="20">
        <v>39.775100000000002</v>
      </c>
      <c r="N16" s="20">
        <v>2.4361000000000002</v>
      </c>
      <c r="O16" s="20">
        <f t="shared" si="1"/>
        <v>29.181375000000003</v>
      </c>
      <c r="P16" s="7"/>
      <c r="Q16" s="13"/>
      <c r="R16" s="14"/>
      <c r="S16" s="14"/>
      <c r="T16" s="27"/>
      <c r="U16" s="28">
        <f t="shared" si="2"/>
        <v>0.7525899280575542</v>
      </c>
    </row>
    <row r="17" spans="1:21" x14ac:dyDescent="0.25">
      <c r="A17" s="6" t="s">
        <v>37</v>
      </c>
      <c r="B17" s="6" t="s">
        <v>48</v>
      </c>
      <c r="C17" s="15">
        <v>1986.1</v>
      </c>
      <c r="D17" s="16">
        <v>39.412999999999997</v>
      </c>
      <c r="E17" s="16">
        <v>41.704999999999998</v>
      </c>
      <c r="F17" s="16">
        <v>42.999000000000002</v>
      </c>
      <c r="G17" s="16">
        <v>1.66</v>
      </c>
      <c r="H17" s="16">
        <f t="shared" si="0"/>
        <v>40.147750000000002</v>
      </c>
      <c r="I17" s="5"/>
      <c r="J17" s="15">
        <v>2369.8919999999998</v>
      </c>
      <c r="K17" s="16">
        <v>39.607700000000001</v>
      </c>
      <c r="L17" s="16">
        <v>42.542000000000002</v>
      </c>
      <c r="M17" s="16">
        <v>44.262900000000002</v>
      </c>
      <c r="N17" s="16">
        <v>2.4053</v>
      </c>
      <c r="O17" s="16">
        <f t="shared" si="1"/>
        <v>40.556387500000007</v>
      </c>
      <c r="P17" s="7"/>
      <c r="Q17" s="8">
        <f>bdrate(C17:C20,D17:D20,J17:J20,K17:K20)</f>
        <v>6.6897182152291457E-2</v>
      </c>
      <c r="R17" s="8">
        <f>bdrate(C17:C20,E17:E20,J17:J20,L17:L20)</f>
        <v>-0.40164844357629315</v>
      </c>
      <c r="S17" s="8">
        <f>bdrate(C17:C20,F17:F20,J17:J20,M17:M20)</f>
        <v>-0.42820303283266969</v>
      </c>
      <c r="T17" s="25">
        <f>bdrate(C17:C20,H17:H20,J17:J20,O17:O20)</f>
        <v>-2.7579146419219769E-2</v>
      </c>
      <c r="U17" s="28">
        <f t="shared" si="2"/>
        <v>0.44897590361445788</v>
      </c>
    </row>
    <row r="18" spans="1:21" x14ac:dyDescent="0.25">
      <c r="A18" s="9" t="s">
        <v>38</v>
      </c>
      <c r="B18" s="9"/>
      <c r="C18" s="17">
        <v>1301.69</v>
      </c>
      <c r="D18" s="18">
        <v>38.1</v>
      </c>
      <c r="E18" s="18">
        <v>40.847999999999999</v>
      </c>
      <c r="F18" s="18">
        <v>42.048999999999999</v>
      </c>
      <c r="G18" s="18">
        <v>1.97</v>
      </c>
      <c r="H18" s="18">
        <f t="shared" si="0"/>
        <v>38.937125000000002</v>
      </c>
      <c r="I18" s="5"/>
      <c r="J18" s="17">
        <v>1556.1024</v>
      </c>
      <c r="K18" s="18">
        <v>38.445</v>
      </c>
      <c r="L18" s="18">
        <v>41.949399999999997</v>
      </c>
      <c r="M18" s="18">
        <v>43.4512</v>
      </c>
      <c r="N18" s="18">
        <v>3.1061000000000001</v>
      </c>
      <c r="O18" s="18">
        <f t="shared" si="1"/>
        <v>39.508825000000002</v>
      </c>
      <c r="P18" s="7"/>
      <c r="Q18" s="10"/>
      <c r="R18" s="11"/>
      <c r="S18" s="11"/>
      <c r="T18" s="26"/>
      <c r="U18" s="28">
        <f t="shared" si="2"/>
        <v>0.57670050761421321</v>
      </c>
    </row>
    <row r="19" spans="1:21" x14ac:dyDescent="0.25">
      <c r="B19" s="9"/>
      <c r="C19" s="17">
        <v>803.23</v>
      </c>
      <c r="D19" s="18">
        <v>36.488</v>
      </c>
      <c r="E19" s="18">
        <v>39.954000000000001</v>
      </c>
      <c r="F19" s="18">
        <v>41.226999999999997</v>
      </c>
      <c r="G19" s="18">
        <v>2.37</v>
      </c>
      <c r="H19" s="18">
        <f t="shared" si="0"/>
        <v>37.513624999999998</v>
      </c>
      <c r="I19" s="5"/>
      <c r="J19" s="17">
        <v>968.44320000000005</v>
      </c>
      <c r="K19" s="18">
        <v>36.914499999999997</v>
      </c>
      <c r="L19" s="18">
        <v>41.222799999999999</v>
      </c>
      <c r="M19" s="18">
        <v>42.536799999999999</v>
      </c>
      <c r="N19" s="18">
        <v>4.1201999999999996</v>
      </c>
      <c r="O19" s="18">
        <f t="shared" si="1"/>
        <v>38.155824999999993</v>
      </c>
      <c r="P19" s="7"/>
      <c r="Q19" s="10"/>
      <c r="R19" s="11"/>
      <c r="S19" s="11"/>
      <c r="T19" s="26"/>
      <c r="U19" s="28">
        <f t="shared" si="2"/>
        <v>0.73848101265822763</v>
      </c>
    </row>
    <row r="20" spans="1:21" ht="16.5" thickBot="1" x14ac:dyDescent="0.3">
      <c r="B20" s="12"/>
      <c r="C20" s="19">
        <v>476.57</v>
      </c>
      <c r="D20" s="20">
        <v>34.640999999999998</v>
      </c>
      <c r="E20" s="20">
        <v>39.033000000000001</v>
      </c>
      <c r="F20" s="20">
        <v>40.46</v>
      </c>
      <c r="G20" s="20">
        <v>2.77</v>
      </c>
      <c r="H20" s="20">
        <f t="shared" si="0"/>
        <v>35.917375</v>
      </c>
      <c r="I20" s="5"/>
      <c r="J20" s="19">
        <v>567.01760000000002</v>
      </c>
      <c r="K20" s="20">
        <v>35.104700000000001</v>
      </c>
      <c r="L20" s="20">
        <v>40.473100000000002</v>
      </c>
      <c r="M20" s="20">
        <v>41.735599999999998</v>
      </c>
      <c r="N20" s="20">
        <v>5.6045999999999996</v>
      </c>
      <c r="O20" s="20">
        <f t="shared" si="1"/>
        <v>36.604612499999995</v>
      </c>
      <c r="P20" s="7"/>
      <c r="Q20" s="13"/>
      <c r="R20" s="14"/>
      <c r="S20" s="14"/>
      <c r="T20" s="27"/>
      <c r="U20" s="28">
        <f t="shared" si="2"/>
        <v>1.0233212996389891</v>
      </c>
    </row>
    <row r="21" spans="1:21" x14ac:dyDescent="0.25">
      <c r="B21" s="6" t="s">
        <v>49</v>
      </c>
      <c r="C21" s="15">
        <v>2231.2800000000002</v>
      </c>
      <c r="D21" s="16">
        <v>36.537999999999997</v>
      </c>
      <c r="E21" s="16">
        <v>39.656999999999996</v>
      </c>
      <c r="F21" s="16">
        <v>40.677</v>
      </c>
      <c r="G21" s="16">
        <v>1.79</v>
      </c>
      <c r="H21" s="16">
        <f t="shared" si="0"/>
        <v>37.445250000000001</v>
      </c>
      <c r="I21" s="5"/>
      <c r="J21" s="15">
        <v>2553.0504000000001</v>
      </c>
      <c r="K21" s="16">
        <v>36.893300000000004</v>
      </c>
      <c r="L21" s="16">
        <v>40.983199999999997</v>
      </c>
      <c r="M21" s="16">
        <v>42.3354</v>
      </c>
      <c r="N21" s="16">
        <v>2.6787999999999998</v>
      </c>
      <c r="O21" s="16">
        <f t="shared" si="1"/>
        <v>38.084800000000001</v>
      </c>
      <c r="P21" s="7"/>
      <c r="Q21" s="8">
        <f>bdrate(C21:C24,D21:D24,J21:J24,K21:K24)</f>
        <v>1.9037935117608873E-2</v>
      </c>
      <c r="R21" s="8">
        <f>bdrate(C21:C24,E21:E24,J21:J24,L21:L24)</f>
        <v>-0.44876221343226597</v>
      </c>
      <c r="S21" s="8">
        <f>bdrate(C21:C24,F21:F24,J21:J24,M21:M24)</f>
        <v>-0.48803669310572717</v>
      </c>
      <c r="T21" s="25">
        <f>bdrate(C21:C24,H21:H24,J21:J24,O21:O24)</f>
        <v>-8.5732972700421683E-2</v>
      </c>
      <c r="U21" s="28">
        <f t="shared" si="2"/>
        <v>0.49653631284916189</v>
      </c>
    </row>
    <row r="22" spans="1:21" x14ac:dyDescent="0.25">
      <c r="B22" s="9"/>
      <c r="C22" s="17">
        <v>1481.37</v>
      </c>
      <c r="D22" s="18">
        <v>35.256999999999998</v>
      </c>
      <c r="E22" s="18">
        <v>38.72</v>
      </c>
      <c r="F22" s="18">
        <v>39.869</v>
      </c>
      <c r="G22" s="18">
        <v>2.09</v>
      </c>
      <c r="H22" s="18">
        <f t="shared" si="0"/>
        <v>36.266374999999996</v>
      </c>
      <c r="I22" s="5"/>
      <c r="J22" s="17">
        <v>1666.1952000000001</v>
      </c>
      <c r="K22" s="18">
        <v>35.5961</v>
      </c>
      <c r="L22" s="18">
        <v>40.143999999999998</v>
      </c>
      <c r="M22" s="18">
        <v>41.390099999999997</v>
      </c>
      <c r="N22" s="18">
        <v>3.4464000000000001</v>
      </c>
      <c r="O22" s="18">
        <f t="shared" si="1"/>
        <v>36.888837500000001</v>
      </c>
      <c r="P22" s="7"/>
      <c r="Q22" s="10"/>
      <c r="R22" s="11"/>
      <c r="S22" s="11"/>
      <c r="T22" s="26"/>
      <c r="U22" s="28">
        <f t="shared" si="2"/>
        <v>0.64899521531100501</v>
      </c>
    </row>
    <row r="23" spans="1:21" x14ac:dyDescent="0.25">
      <c r="B23" s="9"/>
      <c r="C23" s="17">
        <v>919.74</v>
      </c>
      <c r="D23" s="18">
        <v>33.789000000000001</v>
      </c>
      <c r="E23" s="18">
        <v>37.758000000000003</v>
      </c>
      <c r="F23" s="18">
        <v>39.139000000000003</v>
      </c>
      <c r="G23" s="18">
        <v>2.46</v>
      </c>
      <c r="H23" s="18">
        <f t="shared" si="0"/>
        <v>34.953875000000004</v>
      </c>
      <c r="I23" s="5"/>
      <c r="J23" s="17">
        <v>1032.3248000000001</v>
      </c>
      <c r="K23" s="18">
        <v>34.079099999999997</v>
      </c>
      <c r="L23" s="18">
        <v>39.207900000000002</v>
      </c>
      <c r="M23" s="18">
        <v>40.427</v>
      </c>
      <c r="N23" s="18">
        <v>4.5063000000000004</v>
      </c>
      <c r="O23" s="18">
        <f t="shared" si="1"/>
        <v>35.513687499999996</v>
      </c>
      <c r="P23" s="7"/>
      <c r="Q23" s="10"/>
      <c r="R23" s="11"/>
      <c r="S23" s="11"/>
      <c r="T23" s="26"/>
      <c r="U23" s="28">
        <f t="shared" si="2"/>
        <v>0.83182926829268311</v>
      </c>
    </row>
    <row r="24" spans="1:21" ht="16.5" thickBot="1" x14ac:dyDescent="0.3">
      <c r="B24" s="12"/>
      <c r="C24" s="19">
        <v>543.66999999999996</v>
      </c>
      <c r="D24" s="20">
        <v>32.183</v>
      </c>
      <c r="E24" s="20">
        <v>36.853999999999999</v>
      </c>
      <c r="F24" s="20">
        <v>38.58</v>
      </c>
      <c r="G24" s="20">
        <v>2.87</v>
      </c>
      <c r="H24" s="20">
        <f t="shared" si="0"/>
        <v>33.566499999999998</v>
      </c>
      <c r="I24" s="5"/>
      <c r="J24" s="19">
        <v>614.18880000000001</v>
      </c>
      <c r="K24" s="20">
        <v>32.445500000000003</v>
      </c>
      <c r="L24" s="20">
        <v>38.1997</v>
      </c>
      <c r="M24" s="20">
        <v>39.546300000000002</v>
      </c>
      <c r="N24" s="20">
        <v>6.0880999999999998</v>
      </c>
      <c r="O24" s="20">
        <f t="shared" si="1"/>
        <v>34.052374999999998</v>
      </c>
      <c r="P24" s="7"/>
      <c r="Q24" s="13"/>
      <c r="R24" s="14"/>
      <c r="S24" s="14"/>
      <c r="T24" s="27"/>
      <c r="U24" s="28">
        <f t="shared" si="2"/>
        <v>1.1212891986062716</v>
      </c>
    </row>
    <row r="25" spans="1:21" x14ac:dyDescent="0.25">
      <c r="B25" s="6" t="s">
        <v>50</v>
      </c>
      <c r="C25" s="15">
        <v>2356.29</v>
      </c>
      <c r="D25" s="16">
        <v>34.68</v>
      </c>
      <c r="E25" s="16">
        <v>37.968000000000004</v>
      </c>
      <c r="F25" s="16">
        <v>39.798000000000002</v>
      </c>
      <c r="G25" s="16">
        <v>2.34</v>
      </c>
      <c r="H25" s="16">
        <f t="shared" si="0"/>
        <v>35.73075</v>
      </c>
      <c r="I25" s="5"/>
      <c r="J25" s="15">
        <v>2406.6255999999998</v>
      </c>
      <c r="K25" s="16">
        <v>35.142099999999999</v>
      </c>
      <c r="L25" s="16">
        <v>38.844700000000003</v>
      </c>
      <c r="M25" s="16">
        <v>41.396099999999997</v>
      </c>
      <c r="N25" s="16">
        <v>3.8052000000000001</v>
      </c>
      <c r="O25" s="16">
        <f t="shared" si="1"/>
        <v>36.386674999999997</v>
      </c>
      <c r="P25" s="7"/>
      <c r="Q25" s="8">
        <f>bdrate(C25:C28,D25:D28,J25:J28,K25:K28)</f>
        <v>-8.5122045349866782E-2</v>
      </c>
      <c r="R25" s="8">
        <f>bdrate(C25:C28,E25:E28,J25:J28,L25:L28)</f>
        <v>-0.52945011413014142</v>
      </c>
      <c r="S25" s="8">
        <f>bdrate(C25:C28,F25:F28,J25:J28,M25:M28)</f>
        <v>-0.51372227860606601</v>
      </c>
      <c r="T25" s="25">
        <f>bdrate(C25:C28,H25:H28,J25:J28,O25:O28)</f>
        <v>-0.16827427476605017</v>
      </c>
      <c r="U25" s="28">
        <f t="shared" si="2"/>
        <v>0.62615384615384628</v>
      </c>
    </row>
    <row r="26" spans="1:21" x14ac:dyDescent="0.25">
      <c r="B26" s="9"/>
      <c r="C26" s="17">
        <v>1560.95</v>
      </c>
      <c r="D26" s="18">
        <v>33.570999999999998</v>
      </c>
      <c r="E26" s="18">
        <v>37.503</v>
      </c>
      <c r="F26" s="18">
        <v>39.031999999999996</v>
      </c>
      <c r="G26" s="18">
        <v>2.72</v>
      </c>
      <c r="H26" s="18">
        <f t="shared" si="0"/>
        <v>34.745124999999994</v>
      </c>
      <c r="I26" s="5"/>
      <c r="J26" s="17">
        <v>1603.6768</v>
      </c>
      <c r="K26" s="18">
        <v>34.027700000000003</v>
      </c>
      <c r="L26" s="18">
        <v>38.419400000000003</v>
      </c>
      <c r="M26" s="18">
        <v>40.575000000000003</v>
      </c>
      <c r="N26" s="18">
        <v>4.8400999999999996</v>
      </c>
      <c r="O26" s="18">
        <f t="shared" si="1"/>
        <v>35.395074999999999</v>
      </c>
      <c r="P26" s="7"/>
      <c r="Q26" s="10"/>
      <c r="R26" s="11"/>
      <c r="S26" s="11"/>
      <c r="T26" s="26"/>
      <c r="U26" s="28">
        <f t="shared" si="2"/>
        <v>0.77944852941176446</v>
      </c>
    </row>
    <row r="27" spans="1:21" x14ac:dyDescent="0.25">
      <c r="B27" s="9"/>
      <c r="C27" s="17">
        <v>969.27</v>
      </c>
      <c r="D27" s="18">
        <v>32.188000000000002</v>
      </c>
      <c r="E27" s="18">
        <v>36.951000000000001</v>
      </c>
      <c r="F27" s="18">
        <v>38.113999999999997</v>
      </c>
      <c r="G27" s="18">
        <v>3.2</v>
      </c>
      <c r="H27" s="18">
        <f t="shared" si="0"/>
        <v>33.524124999999998</v>
      </c>
      <c r="I27" s="5"/>
      <c r="J27" s="17">
        <v>1000.62</v>
      </c>
      <c r="K27" s="18">
        <v>32.502699999999997</v>
      </c>
      <c r="L27" s="18">
        <v>37.882800000000003</v>
      </c>
      <c r="M27" s="18">
        <v>39.607599999999998</v>
      </c>
      <c r="N27" s="18">
        <v>6.3342000000000001</v>
      </c>
      <c r="O27" s="18">
        <f t="shared" si="1"/>
        <v>34.063324999999999</v>
      </c>
      <c r="P27" s="7"/>
      <c r="Q27" s="10"/>
      <c r="R27" s="11"/>
      <c r="S27" s="11"/>
      <c r="T27" s="26"/>
      <c r="U27" s="28">
        <f t="shared" si="2"/>
        <v>0.97943749999999996</v>
      </c>
    </row>
    <row r="28" spans="1:21" ht="16.5" thickBot="1" x14ac:dyDescent="0.3">
      <c r="B28" s="12"/>
      <c r="C28" s="19">
        <v>563.35</v>
      </c>
      <c r="D28" s="20">
        <v>30.43</v>
      </c>
      <c r="E28" s="20">
        <v>36.130000000000003</v>
      </c>
      <c r="F28" s="20">
        <v>36.807000000000002</v>
      </c>
      <c r="G28" s="20">
        <v>3.79</v>
      </c>
      <c r="H28" s="20">
        <f t="shared" si="0"/>
        <v>31.939624999999999</v>
      </c>
      <c r="I28" s="5"/>
      <c r="J28" s="19">
        <v>592.44640000000004</v>
      </c>
      <c r="K28" s="20">
        <v>30.738700000000001</v>
      </c>
      <c r="L28" s="20">
        <v>37.210099999999997</v>
      </c>
      <c r="M28" s="20">
        <v>38.477800000000002</v>
      </c>
      <c r="N28" s="20">
        <v>8.8222000000000005</v>
      </c>
      <c r="O28" s="20">
        <f t="shared" si="1"/>
        <v>32.515012500000005</v>
      </c>
      <c r="P28" s="7"/>
      <c r="Q28" s="13"/>
      <c r="R28" s="14"/>
      <c r="S28" s="14"/>
      <c r="T28" s="27"/>
      <c r="U28" s="28">
        <f t="shared" si="2"/>
        <v>1.3277572559366755</v>
      </c>
    </row>
    <row r="29" spans="1:21" x14ac:dyDescent="0.25">
      <c r="B29" s="6" t="s">
        <v>51</v>
      </c>
      <c r="C29" s="29">
        <v>2415.08</v>
      </c>
      <c r="D29" s="30">
        <v>34.959000000000003</v>
      </c>
      <c r="E29" s="30">
        <v>40.302999999999997</v>
      </c>
      <c r="F29" s="30">
        <v>40.066000000000003</v>
      </c>
      <c r="G29" s="16">
        <v>1.98</v>
      </c>
      <c r="H29" s="16">
        <f t="shared" si="0"/>
        <v>36.265375000000006</v>
      </c>
      <c r="I29" s="5"/>
      <c r="J29" s="29">
        <v>2447.9135999999999</v>
      </c>
      <c r="K29" s="30">
        <v>34.929699999999997</v>
      </c>
      <c r="L29" s="30">
        <v>41.390099999999997</v>
      </c>
      <c r="M29" s="30">
        <v>41.182000000000002</v>
      </c>
      <c r="N29" s="16">
        <v>3.2157</v>
      </c>
      <c r="O29" s="16">
        <f t="shared" si="1"/>
        <v>36.518787499999995</v>
      </c>
      <c r="P29" s="7"/>
      <c r="Q29" s="8">
        <f>bdrate(C29:C32,D29:D32,J29:J32,K29:K32)</f>
        <v>3.0058254510481497E-2</v>
      </c>
      <c r="R29" s="8">
        <f>bdrate(C29:C32,E29:E32,J29:J32,L29:L32)</f>
        <v>-0.50212514210821468</v>
      </c>
      <c r="S29" s="8">
        <f>bdrate(C29:C32,F29:F32,J29:J32,M29:M32)</f>
        <v>-0.40216193528231314</v>
      </c>
      <c r="T29" s="25">
        <f>bdrate(C29:C32,H29:H32,J29:J32,O29:O32)</f>
        <v>-7.6756945176228997E-2</v>
      </c>
      <c r="U29" s="28">
        <f t="shared" si="2"/>
        <v>0.62409090909090914</v>
      </c>
    </row>
    <row r="30" spans="1:21" x14ac:dyDescent="0.25">
      <c r="B30" s="9"/>
      <c r="C30" s="31">
        <v>1605.2</v>
      </c>
      <c r="D30" s="32">
        <v>33.655999999999999</v>
      </c>
      <c r="E30" s="32">
        <v>39.534999999999997</v>
      </c>
      <c r="F30" s="32">
        <v>39.006999999999998</v>
      </c>
      <c r="G30" s="18">
        <v>2.2999999999999998</v>
      </c>
      <c r="H30" s="18">
        <f t="shared" si="0"/>
        <v>35.059749999999994</v>
      </c>
      <c r="I30" s="5"/>
      <c r="J30" s="31">
        <v>1633.9608000000001</v>
      </c>
      <c r="K30" s="32">
        <v>33.631799999999998</v>
      </c>
      <c r="L30" s="32">
        <v>40.713200000000001</v>
      </c>
      <c r="M30" s="32">
        <v>40.244</v>
      </c>
      <c r="N30" s="18">
        <v>4.0705</v>
      </c>
      <c r="O30" s="18">
        <f t="shared" si="1"/>
        <v>35.343499999999999</v>
      </c>
      <c r="P30" s="7"/>
      <c r="Q30" s="10"/>
      <c r="R30" s="11"/>
      <c r="S30" s="11"/>
      <c r="T30" s="26"/>
      <c r="U30" s="28">
        <f t="shared" si="2"/>
        <v>0.76978260869565229</v>
      </c>
    </row>
    <row r="31" spans="1:21" x14ac:dyDescent="0.25">
      <c r="B31" s="9"/>
      <c r="C31" s="31">
        <v>994.21</v>
      </c>
      <c r="D31" s="32">
        <v>32.017000000000003</v>
      </c>
      <c r="E31" s="32">
        <v>38.631999999999998</v>
      </c>
      <c r="F31" s="32">
        <v>37.697000000000003</v>
      </c>
      <c r="G31" s="18">
        <v>2.71</v>
      </c>
      <c r="H31" s="18">
        <f t="shared" si="0"/>
        <v>33.553875000000005</v>
      </c>
      <c r="I31" s="5"/>
      <c r="J31" s="31">
        <v>1013.8848</v>
      </c>
      <c r="K31" s="32">
        <v>31.973299999999998</v>
      </c>
      <c r="L31" s="32">
        <v>39.986899999999999</v>
      </c>
      <c r="M31" s="32">
        <v>39.188099999999999</v>
      </c>
      <c r="N31" s="18">
        <v>5.3445</v>
      </c>
      <c r="O31" s="18">
        <f t="shared" si="1"/>
        <v>33.876849999999997</v>
      </c>
      <c r="P31" s="7"/>
      <c r="Q31" s="10"/>
      <c r="R31" s="11"/>
      <c r="S31" s="11"/>
      <c r="T31" s="26"/>
      <c r="U31" s="28">
        <f t="shared" si="2"/>
        <v>0.97214022140221401</v>
      </c>
    </row>
    <row r="32" spans="1:21" ht="16.5" thickBot="1" x14ac:dyDescent="0.3">
      <c r="B32" s="12"/>
      <c r="C32" s="33">
        <v>593.26</v>
      </c>
      <c r="D32" s="34">
        <v>30.187000000000001</v>
      </c>
      <c r="E32" s="34">
        <v>37.277999999999999</v>
      </c>
      <c r="F32" s="34">
        <v>36.021999999999998</v>
      </c>
      <c r="G32" s="20">
        <v>3.16</v>
      </c>
      <c r="H32" s="20">
        <f t="shared" si="0"/>
        <v>31.80275</v>
      </c>
      <c r="I32" s="5"/>
      <c r="J32" s="33">
        <v>605.79600000000005</v>
      </c>
      <c r="K32" s="34">
        <v>30.127600000000001</v>
      </c>
      <c r="L32" s="34">
        <v>38.987499999999997</v>
      </c>
      <c r="M32" s="34">
        <v>37.699100000000001</v>
      </c>
      <c r="N32" s="20">
        <v>7.4728000000000003</v>
      </c>
      <c r="O32" s="20">
        <f t="shared" si="1"/>
        <v>32.181525000000001</v>
      </c>
      <c r="P32" s="7"/>
      <c r="Q32" s="13"/>
      <c r="R32" s="14"/>
      <c r="S32" s="14"/>
      <c r="T32" s="27"/>
      <c r="U32" s="28">
        <f t="shared" si="2"/>
        <v>1.3648101265822785</v>
      </c>
    </row>
    <row r="33" spans="1:21" x14ac:dyDescent="0.25">
      <c r="B33" s="6" t="s">
        <v>52</v>
      </c>
      <c r="C33" s="15">
        <v>2314.62</v>
      </c>
      <c r="D33" s="16">
        <v>33.987000000000002</v>
      </c>
      <c r="E33" s="16">
        <v>39.655000000000001</v>
      </c>
      <c r="F33" s="16">
        <v>42.26</v>
      </c>
      <c r="G33" s="16">
        <v>2.68</v>
      </c>
      <c r="H33" s="16">
        <f t="shared" si="0"/>
        <v>35.729625000000006</v>
      </c>
      <c r="I33" s="5"/>
      <c r="J33" s="15">
        <v>2395.6016</v>
      </c>
      <c r="K33" s="16">
        <v>34.164900000000003</v>
      </c>
      <c r="L33" s="16">
        <v>40.4816</v>
      </c>
      <c r="M33" s="16">
        <v>42.920400000000001</v>
      </c>
      <c r="N33" s="16">
        <v>4.5265000000000004</v>
      </c>
      <c r="O33" s="16">
        <f t="shared" si="1"/>
        <v>36.048924999999997</v>
      </c>
      <c r="P33" s="7"/>
      <c r="Q33" s="8">
        <f>bdrate(C33:C36,D33:D36,J33:J36,K33:K36)</f>
        <v>-4.7268319599296893E-2</v>
      </c>
      <c r="R33" s="8">
        <f>bdrate(C33:C36,E33:E36,J33:J36,L33:L36)</f>
        <v>-0.3751708334453876</v>
      </c>
      <c r="S33" s="8">
        <f>bdrate(C33:C36,F33:F36,J33:J36,M33:M36)</f>
        <v>-0.3207259771058153</v>
      </c>
      <c r="T33" s="25">
        <f>bdrate(C33:C36,H33:H36,J33:J36,O33:O36)</f>
        <v>-0.10143031449130291</v>
      </c>
      <c r="U33" s="28">
        <f t="shared" si="2"/>
        <v>0.68899253731343291</v>
      </c>
    </row>
    <row r="34" spans="1:21" x14ac:dyDescent="0.25">
      <c r="B34" s="9"/>
      <c r="C34" s="17">
        <v>1515.31</v>
      </c>
      <c r="D34" s="18">
        <v>33.360999999999997</v>
      </c>
      <c r="E34" s="18">
        <v>39.256999999999998</v>
      </c>
      <c r="F34" s="18">
        <v>41.912999999999997</v>
      </c>
      <c r="G34" s="18">
        <v>2.96</v>
      </c>
      <c r="H34" s="18">
        <f t="shared" si="0"/>
        <v>35.167000000000002</v>
      </c>
      <c r="I34" s="5"/>
      <c r="J34" s="17">
        <v>1582.8119999999999</v>
      </c>
      <c r="K34" s="18">
        <v>33.524799999999999</v>
      </c>
      <c r="L34" s="18">
        <v>40.012099999999997</v>
      </c>
      <c r="M34" s="18">
        <v>42.485900000000001</v>
      </c>
      <c r="N34" s="18">
        <v>6.0021000000000004</v>
      </c>
      <c r="O34" s="18">
        <f t="shared" si="1"/>
        <v>35.455849999999998</v>
      </c>
      <c r="P34" s="7"/>
      <c r="Q34" s="10"/>
      <c r="R34" s="11"/>
      <c r="S34" s="11"/>
      <c r="T34" s="26"/>
      <c r="U34" s="28">
        <f t="shared" si="2"/>
        <v>1.0277364864864866</v>
      </c>
    </row>
    <row r="35" spans="1:21" x14ac:dyDescent="0.25">
      <c r="B35" s="9"/>
      <c r="C35" s="17">
        <v>911.06</v>
      </c>
      <c r="D35" s="18">
        <v>32.292999999999999</v>
      </c>
      <c r="E35" s="18">
        <v>38.673999999999999</v>
      </c>
      <c r="F35" s="18">
        <v>41.445</v>
      </c>
      <c r="G35" s="18">
        <v>3.35</v>
      </c>
      <c r="H35" s="18">
        <f t="shared" si="0"/>
        <v>34.234625000000001</v>
      </c>
      <c r="I35" s="5"/>
      <c r="J35" s="17">
        <v>983.96640000000002</v>
      </c>
      <c r="K35" s="18">
        <v>32.553100000000001</v>
      </c>
      <c r="L35" s="18">
        <v>39.2821</v>
      </c>
      <c r="M35" s="18">
        <v>41.859499999999997</v>
      </c>
      <c r="N35" s="18">
        <v>8.2253000000000007</v>
      </c>
      <c r="O35" s="18">
        <f t="shared" si="1"/>
        <v>34.557524999999998</v>
      </c>
      <c r="P35" s="7"/>
      <c r="Q35" s="10"/>
      <c r="R35" s="11"/>
      <c r="S35" s="11"/>
      <c r="T35" s="26"/>
      <c r="U35" s="28">
        <f t="shared" si="2"/>
        <v>1.4553134328358213</v>
      </c>
    </row>
    <row r="36" spans="1:21" ht="16.5" thickBot="1" x14ac:dyDescent="0.3">
      <c r="B36" s="12"/>
      <c r="C36" s="19">
        <v>488.31</v>
      </c>
      <c r="D36" s="20">
        <v>30.111999999999998</v>
      </c>
      <c r="E36" s="20">
        <v>37.655000000000001</v>
      </c>
      <c r="F36" s="20">
        <v>40.737000000000002</v>
      </c>
      <c r="G36" s="20">
        <v>3.78</v>
      </c>
      <c r="H36" s="20">
        <f t="shared" si="0"/>
        <v>32.383000000000003</v>
      </c>
      <c r="I36" s="5"/>
      <c r="J36" s="19">
        <v>581.96559999999999</v>
      </c>
      <c r="K36" s="20">
        <v>31.166799999999999</v>
      </c>
      <c r="L36" s="20">
        <v>38.692100000000003</v>
      </c>
      <c r="M36" s="20">
        <v>41.336100000000002</v>
      </c>
      <c r="N36" s="20">
        <v>11.519</v>
      </c>
      <c r="O36" s="20">
        <f t="shared" si="1"/>
        <v>33.378625</v>
      </c>
      <c r="P36" s="7"/>
      <c r="Q36" s="13"/>
      <c r="R36" s="14"/>
      <c r="S36" s="14"/>
      <c r="T36" s="27"/>
      <c r="U36" s="28">
        <f t="shared" si="2"/>
        <v>2.0473544973544975</v>
      </c>
    </row>
    <row r="37" spans="1:21" x14ac:dyDescent="0.25">
      <c r="A37" s="6" t="s">
        <v>39</v>
      </c>
      <c r="B37" s="6" t="s">
        <v>53</v>
      </c>
      <c r="C37" s="15">
        <v>1218.22</v>
      </c>
      <c r="D37" s="16">
        <v>36.110999999999997</v>
      </c>
      <c r="E37" s="16">
        <v>39.713000000000001</v>
      </c>
      <c r="F37" s="16">
        <v>39.795000000000002</v>
      </c>
      <c r="G37" s="16">
        <v>5.99</v>
      </c>
      <c r="H37" s="16">
        <f t="shared" si="0"/>
        <v>37.021750000000004</v>
      </c>
      <c r="I37" s="5"/>
      <c r="J37" s="15">
        <v>1199.5952</v>
      </c>
      <c r="K37" s="16">
        <v>37.061500000000002</v>
      </c>
      <c r="L37" s="16">
        <v>41.311199999999999</v>
      </c>
      <c r="M37" s="16">
        <v>41.381599999999999</v>
      </c>
      <c r="N37" s="16">
        <v>9.4573</v>
      </c>
      <c r="O37" s="16">
        <f t="shared" si="1"/>
        <v>38.132725000000001</v>
      </c>
      <c r="P37" s="7"/>
      <c r="Q37" s="8">
        <f>bdrate(C37:C40,D37:D40,J37:J40,K37:K40)</f>
        <v>-0.12143604995144686</v>
      </c>
      <c r="R37" s="8">
        <f>bdrate(C37:C40,E37:E40,J37:J40,L37:L40)</f>
        <v>-0.41736439925611624</v>
      </c>
      <c r="S37" s="8">
        <f>bdrate(C37:C40,F37:F40,J37:J40,M37:M40)</f>
        <v>-0.36549073517190789</v>
      </c>
      <c r="T37" s="25">
        <f>bdrate(C37:C40,H37:H40,J37:J40,O37:O40)</f>
        <v>-0.18498100843587473</v>
      </c>
      <c r="U37" s="28">
        <f t="shared" si="2"/>
        <v>0.57884808013355593</v>
      </c>
    </row>
    <row r="38" spans="1:21" x14ac:dyDescent="0.25">
      <c r="A38" s="9" t="s">
        <v>40</v>
      </c>
      <c r="B38" s="9"/>
      <c r="C38" s="17">
        <v>813.72</v>
      </c>
      <c r="D38" s="18">
        <v>34.557000000000002</v>
      </c>
      <c r="E38" s="18">
        <v>38.402999999999999</v>
      </c>
      <c r="F38" s="18">
        <v>38.405999999999999</v>
      </c>
      <c r="G38" s="18">
        <v>7.11</v>
      </c>
      <c r="H38" s="18">
        <f t="shared" si="0"/>
        <v>35.518875000000001</v>
      </c>
      <c r="I38" s="5"/>
      <c r="J38" s="17">
        <v>796.95119999999997</v>
      </c>
      <c r="K38" s="18">
        <v>35.223199999999999</v>
      </c>
      <c r="L38" s="18">
        <v>39.971699999999998</v>
      </c>
      <c r="M38" s="18">
        <v>39.881799999999998</v>
      </c>
      <c r="N38" s="18">
        <v>11.6509</v>
      </c>
      <c r="O38" s="18">
        <f t="shared" si="1"/>
        <v>36.3990875</v>
      </c>
      <c r="P38" s="7"/>
      <c r="Q38" s="10"/>
      <c r="R38" s="11"/>
      <c r="S38" s="11"/>
      <c r="T38" s="26"/>
      <c r="U38" s="28">
        <f t="shared" si="2"/>
        <v>0.63866385372714485</v>
      </c>
    </row>
    <row r="39" spans="1:21" x14ac:dyDescent="0.25">
      <c r="B39" s="9"/>
      <c r="C39" s="17">
        <v>506.03</v>
      </c>
      <c r="D39" s="18">
        <v>32.908000000000001</v>
      </c>
      <c r="E39" s="18">
        <v>37.215000000000003</v>
      </c>
      <c r="F39" s="18">
        <v>37.113999999999997</v>
      </c>
      <c r="G39" s="18">
        <v>8.75</v>
      </c>
      <c r="H39" s="18">
        <f t="shared" si="0"/>
        <v>33.972124999999998</v>
      </c>
      <c r="I39" s="5"/>
      <c r="J39" s="17">
        <v>503.00959999999998</v>
      </c>
      <c r="K39" s="18">
        <v>33.277700000000003</v>
      </c>
      <c r="L39" s="18">
        <v>38.618000000000002</v>
      </c>
      <c r="M39" s="18">
        <v>38.401000000000003</v>
      </c>
      <c r="N39" s="18">
        <v>14.845599999999999</v>
      </c>
      <c r="O39" s="18">
        <f t="shared" si="1"/>
        <v>34.585650000000001</v>
      </c>
      <c r="P39" s="7"/>
      <c r="Q39" s="10"/>
      <c r="R39" s="11"/>
      <c r="S39" s="11"/>
      <c r="T39" s="26"/>
      <c r="U39" s="28">
        <f t="shared" si="2"/>
        <v>0.69663999999999993</v>
      </c>
    </row>
    <row r="40" spans="1:21" ht="16.5" thickBot="1" x14ac:dyDescent="0.3">
      <c r="B40" s="12"/>
      <c r="C40" s="19">
        <v>301.55</v>
      </c>
      <c r="D40" s="20">
        <v>31.239000000000001</v>
      </c>
      <c r="E40" s="20">
        <v>36.01</v>
      </c>
      <c r="F40" s="20">
        <v>35.588999999999999</v>
      </c>
      <c r="G40" s="20">
        <v>11.43</v>
      </c>
      <c r="H40" s="20">
        <f t="shared" si="0"/>
        <v>32.379125000000002</v>
      </c>
      <c r="I40" s="5"/>
      <c r="J40" s="19">
        <v>299.3784</v>
      </c>
      <c r="K40" s="20">
        <v>31.244800000000001</v>
      </c>
      <c r="L40" s="20">
        <v>37.190899999999999</v>
      </c>
      <c r="M40" s="20">
        <v>36.772799999999997</v>
      </c>
      <c r="N40" s="20">
        <v>20.068999999999999</v>
      </c>
      <c r="O40" s="20">
        <f t="shared" si="1"/>
        <v>32.679062500000001</v>
      </c>
      <c r="P40" s="7"/>
      <c r="Q40" s="13"/>
      <c r="R40" s="14"/>
      <c r="S40" s="14"/>
      <c r="T40" s="27"/>
      <c r="U40" s="28">
        <f t="shared" si="2"/>
        <v>0.75581802274715659</v>
      </c>
    </row>
    <row r="41" spans="1:21" x14ac:dyDescent="0.25">
      <c r="B41" s="6" t="s">
        <v>54</v>
      </c>
      <c r="C41" s="15">
        <v>1226.26</v>
      </c>
      <c r="D41" s="16">
        <v>36.142000000000003</v>
      </c>
      <c r="E41" s="16">
        <v>40.473999999999997</v>
      </c>
      <c r="F41" s="16">
        <v>41.405999999999999</v>
      </c>
      <c r="G41" s="16">
        <v>7.32</v>
      </c>
      <c r="H41" s="16">
        <f t="shared" si="0"/>
        <v>37.341500000000003</v>
      </c>
      <c r="I41" s="5"/>
      <c r="J41" s="15">
        <v>1209.6448</v>
      </c>
      <c r="K41" s="16">
        <v>36.405799999999999</v>
      </c>
      <c r="L41" s="16">
        <v>41.893700000000003</v>
      </c>
      <c r="M41" s="16">
        <v>42.959299999999999</v>
      </c>
      <c r="N41" s="16">
        <v>11.6516</v>
      </c>
      <c r="O41" s="16">
        <f t="shared" si="1"/>
        <v>37.910975000000001</v>
      </c>
      <c r="P41" s="7"/>
      <c r="Q41" s="8">
        <f>bdrate(C41:C44,D41:D44,J41:J44,K41:K44)</f>
        <v>-0.11099643666283476</v>
      </c>
      <c r="R41" s="8">
        <f>bdrate(C41:C44,E41:E44,J41:J44,L41:L44)</f>
        <v>-0.48338040331342913</v>
      </c>
      <c r="S41" s="8">
        <f>bdrate(C41:C44,F41:F44,J41:J44,M41:M44)</f>
        <v>-0.46695206730814653</v>
      </c>
      <c r="T41" s="25">
        <f>bdrate(C41:C44,H41:H44,J41:J44,O41:O44)</f>
        <v>-0.19137383790837414</v>
      </c>
      <c r="U41" s="28">
        <f t="shared" si="2"/>
        <v>0.59174863387978138</v>
      </c>
    </row>
    <row r="42" spans="1:21" x14ac:dyDescent="0.25">
      <c r="B42" s="9"/>
      <c r="C42" s="17">
        <v>816.9</v>
      </c>
      <c r="D42" s="18">
        <v>34.518999999999998</v>
      </c>
      <c r="E42" s="18">
        <v>39.356999999999999</v>
      </c>
      <c r="F42" s="18">
        <v>40.195</v>
      </c>
      <c r="G42" s="18">
        <v>8.76</v>
      </c>
      <c r="H42" s="18">
        <f t="shared" si="0"/>
        <v>35.83325</v>
      </c>
      <c r="I42" s="5"/>
      <c r="J42" s="17">
        <v>805.6712</v>
      </c>
      <c r="K42" s="18">
        <v>34.875999999999998</v>
      </c>
      <c r="L42" s="18">
        <v>40.941400000000002</v>
      </c>
      <c r="M42" s="18">
        <v>41.831400000000002</v>
      </c>
      <c r="N42" s="18">
        <v>14.546900000000001</v>
      </c>
      <c r="O42" s="18">
        <f t="shared" si="1"/>
        <v>36.503599999999992</v>
      </c>
      <c r="P42" s="7"/>
      <c r="Q42" s="10"/>
      <c r="R42" s="11"/>
      <c r="S42" s="11"/>
      <c r="T42" s="26"/>
      <c r="U42" s="28">
        <f t="shared" si="2"/>
        <v>0.66060502283105038</v>
      </c>
    </row>
    <row r="43" spans="1:21" x14ac:dyDescent="0.25">
      <c r="B43" s="9"/>
      <c r="C43" s="17">
        <v>508.39</v>
      </c>
      <c r="D43" s="18">
        <v>32.514000000000003</v>
      </c>
      <c r="E43" s="18">
        <v>38.055999999999997</v>
      </c>
      <c r="F43" s="18">
        <v>38.774000000000001</v>
      </c>
      <c r="G43" s="18">
        <v>10.6</v>
      </c>
      <c r="H43" s="18">
        <f t="shared" si="0"/>
        <v>33.989249999999998</v>
      </c>
      <c r="I43" s="5"/>
      <c r="J43" s="17">
        <v>505.11360000000002</v>
      </c>
      <c r="K43" s="18">
        <v>33.013199999999998</v>
      </c>
      <c r="L43" s="18">
        <v>39.803100000000001</v>
      </c>
      <c r="M43" s="18">
        <v>40.594700000000003</v>
      </c>
      <c r="N43" s="18">
        <v>18.770499999999998</v>
      </c>
      <c r="O43" s="18">
        <f t="shared" si="1"/>
        <v>34.809624999999997</v>
      </c>
      <c r="P43" s="7"/>
      <c r="Q43" s="10"/>
      <c r="R43" s="11"/>
      <c r="S43" s="11"/>
      <c r="T43" s="26"/>
      <c r="U43" s="28">
        <f t="shared" si="2"/>
        <v>0.77080188679245276</v>
      </c>
    </row>
    <row r="44" spans="1:21" ht="16.5" thickBot="1" x14ac:dyDescent="0.3">
      <c r="B44" s="12"/>
      <c r="C44" s="19">
        <v>301.22000000000003</v>
      </c>
      <c r="D44" s="20">
        <v>30.18</v>
      </c>
      <c r="E44" s="20">
        <v>36.587000000000003</v>
      </c>
      <c r="F44" s="20">
        <v>37.14</v>
      </c>
      <c r="G44" s="20">
        <v>13.19</v>
      </c>
      <c r="H44" s="20">
        <f t="shared" si="0"/>
        <v>31.850874999999995</v>
      </c>
      <c r="I44" s="5"/>
      <c r="J44" s="19">
        <v>303.53919999999999</v>
      </c>
      <c r="K44" s="20">
        <v>30.917200000000001</v>
      </c>
      <c r="L44" s="20">
        <v>38.615400000000001</v>
      </c>
      <c r="M44" s="20">
        <v>39.296599999999998</v>
      </c>
      <c r="N44" s="20">
        <v>25.105699999999999</v>
      </c>
      <c r="O44" s="20">
        <f t="shared" si="1"/>
        <v>32.926899999999996</v>
      </c>
      <c r="P44" s="7"/>
      <c r="Q44" s="13"/>
      <c r="R44" s="14"/>
      <c r="S44" s="14"/>
      <c r="T44" s="27"/>
      <c r="U44" s="28">
        <f t="shared" si="2"/>
        <v>0.90338893100833961</v>
      </c>
    </row>
    <row r="45" spans="1:21" x14ac:dyDescent="0.25">
      <c r="B45" s="6" t="s">
        <v>55</v>
      </c>
      <c r="C45" s="15">
        <v>1091.1400000000001</v>
      </c>
      <c r="D45" s="16">
        <v>30.643000000000001</v>
      </c>
      <c r="E45" s="16">
        <v>36.058</v>
      </c>
      <c r="F45" s="16">
        <v>36.854999999999997</v>
      </c>
      <c r="G45" s="16">
        <v>6.58</v>
      </c>
      <c r="H45" s="16">
        <f t="shared" si="0"/>
        <v>32.096375000000002</v>
      </c>
      <c r="I45" s="5"/>
      <c r="J45" s="15">
        <v>1184.9272000000001</v>
      </c>
      <c r="K45" s="16">
        <v>31.245699999999999</v>
      </c>
      <c r="L45" s="16">
        <v>37.745600000000003</v>
      </c>
      <c r="M45" s="16">
        <v>38.5991</v>
      </c>
      <c r="N45" s="16">
        <v>12.394299999999999</v>
      </c>
      <c r="O45" s="16">
        <f t="shared" si="1"/>
        <v>32.977362499999998</v>
      </c>
      <c r="P45" s="7"/>
      <c r="Q45" s="8">
        <f>bdrate(C45:C48,D45:D48,J45:J48,K45:K48)</f>
        <v>-0.10589833624459899</v>
      </c>
      <c r="R45" s="8">
        <f>bdrate(C45:C48,E45:E48,J45:J48,L45:L48)</f>
        <v>-0.55035896477087398</v>
      </c>
      <c r="S45" s="8">
        <f>bdrate(C45:C48,F45:F48,J45:J48,M45:M48)</f>
        <v>-0.52678266305994303</v>
      </c>
      <c r="T45" s="25">
        <f>bdrate(C45:C48,H45:H48,J45:J48,O45:O48)</f>
        <v>-0.1931915770155358</v>
      </c>
      <c r="U45" s="28">
        <f t="shared" si="2"/>
        <v>0.88363221884498466</v>
      </c>
    </row>
    <row r="46" spans="1:21" x14ac:dyDescent="0.25">
      <c r="B46" s="9"/>
      <c r="C46" s="17">
        <v>725.45</v>
      </c>
      <c r="D46" s="18">
        <v>29.215</v>
      </c>
      <c r="E46" s="18">
        <v>35.295999999999999</v>
      </c>
      <c r="F46" s="18">
        <v>36.118000000000002</v>
      </c>
      <c r="G46" s="18">
        <v>7.77</v>
      </c>
      <c r="H46" s="18">
        <f t="shared" si="0"/>
        <v>30.837999999999997</v>
      </c>
      <c r="I46" s="5"/>
      <c r="J46" s="17">
        <v>795.78719999999998</v>
      </c>
      <c r="K46" s="18">
        <v>29.905899999999999</v>
      </c>
      <c r="L46" s="18">
        <v>36.953499999999998</v>
      </c>
      <c r="M46" s="18">
        <v>37.747199999999999</v>
      </c>
      <c r="N46" s="18">
        <v>15.313499999999999</v>
      </c>
      <c r="O46" s="18">
        <f t="shared" si="1"/>
        <v>31.767012499999996</v>
      </c>
      <c r="P46" s="7"/>
      <c r="Q46" s="10"/>
      <c r="R46" s="11"/>
      <c r="S46" s="11"/>
      <c r="T46" s="26"/>
      <c r="U46" s="28">
        <f t="shared" si="2"/>
        <v>0.97084942084942094</v>
      </c>
    </row>
    <row r="47" spans="1:21" x14ac:dyDescent="0.25">
      <c r="B47" s="9"/>
      <c r="C47" s="17">
        <v>449.25</v>
      </c>
      <c r="D47" s="18">
        <v>27.672000000000001</v>
      </c>
      <c r="E47" s="18">
        <v>34.515000000000001</v>
      </c>
      <c r="F47" s="18">
        <v>35.325000000000003</v>
      </c>
      <c r="G47" s="18">
        <v>9.76</v>
      </c>
      <c r="H47" s="18">
        <f t="shared" si="0"/>
        <v>29.484000000000002</v>
      </c>
      <c r="I47" s="5"/>
      <c r="J47" s="17">
        <v>501.59359999999998</v>
      </c>
      <c r="K47" s="18">
        <v>28.384</v>
      </c>
      <c r="L47" s="18">
        <v>36.074599999999997</v>
      </c>
      <c r="M47" s="18">
        <v>36.823099999999997</v>
      </c>
      <c r="N47" s="18">
        <v>19.8704</v>
      </c>
      <c r="O47" s="18">
        <f t="shared" si="1"/>
        <v>30.400212500000002</v>
      </c>
      <c r="P47" s="7"/>
      <c r="Q47" s="10"/>
      <c r="R47" s="11"/>
      <c r="S47" s="11"/>
      <c r="T47" s="26"/>
      <c r="U47" s="28">
        <f t="shared" si="2"/>
        <v>1.0359016393442624</v>
      </c>
    </row>
    <row r="48" spans="1:21" ht="16.5" thickBot="1" x14ac:dyDescent="0.3">
      <c r="B48" s="12"/>
      <c r="C48" s="19">
        <v>253.66</v>
      </c>
      <c r="D48" s="20">
        <v>25.85</v>
      </c>
      <c r="E48" s="20">
        <v>33.402000000000001</v>
      </c>
      <c r="F48" s="20">
        <v>34.201000000000001</v>
      </c>
      <c r="G48" s="20">
        <v>12.77</v>
      </c>
      <c r="H48" s="20">
        <f t="shared" si="0"/>
        <v>27.837875</v>
      </c>
      <c r="I48" s="5"/>
      <c r="J48" s="19">
        <v>304.51679999999999</v>
      </c>
      <c r="K48" s="20">
        <v>26.809699999999999</v>
      </c>
      <c r="L48" s="20">
        <v>35.188000000000002</v>
      </c>
      <c r="M48" s="20">
        <v>35.884900000000002</v>
      </c>
      <c r="N48" s="20">
        <v>26.014600000000002</v>
      </c>
      <c r="O48" s="20">
        <f t="shared" si="1"/>
        <v>28.991387500000002</v>
      </c>
      <c r="P48" s="7"/>
      <c r="Q48" s="13"/>
      <c r="R48" s="14"/>
      <c r="S48" s="14"/>
      <c r="T48" s="27"/>
      <c r="U48" s="28">
        <f t="shared" si="2"/>
        <v>1.0371652310101802</v>
      </c>
    </row>
    <row r="49" spans="1:21" x14ac:dyDescent="0.25">
      <c r="B49" s="6" t="s">
        <v>56</v>
      </c>
      <c r="C49" s="15">
        <v>1093.93</v>
      </c>
      <c r="D49" s="16">
        <v>33.701999999999998</v>
      </c>
      <c r="E49" s="16">
        <v>37.235999999999997</v>
      </c>
      <c r="F49" s="16">
        <v>38.953000000000003</v>
      </c>
      <c r="G49" s="16">
        <v>4.46</v>
      </c>
      <c r="H49" s="16">
        <f t="shared" si="0"/>
        <v>34.800124999999994</v>
      </c>
      <c r="I49" s="5"/>
      <c r="J49" s="15">
        <v>1190.5264</v>
      </c>
      <c r="K49" s="16">
        <v>33.5824</v>
      </c>
      <c r="L49" s="16">
        <v>38.196199999999997</v>
      </c>
      <c r="M49" s="16">
        <v>39.822499999999998</v>
      </c>
      <c r="N49" s="16">
        <v>7.0519999999999996</v>
      </c>
      <c r="O49" s="16">
        <f t="shared" si="1"/>
        <v>34.939137500000001</v>
      </c>
      <c r="P49" s="7"/>
      <c r="Q49" s="8">
        <f>bdrate(C49:C52,D49:D52,J49:J52,K49:K52)</f>
        <v>0.14513576597893052</v>
      </c>
      <c r="R49" s="8">
        <f>bdrate(C49:C52,E49:E52,J49:J52,L49:L52)</f>
        <v>-0.32740486285983161</v>
      </c>
      <c r="S49" s="8">
        <f>bdrate(C49:C52,F49:F52,J49:J52,M49:M52)</f>
        <v>-0.31842068658561518</v>
      </c>
      <c r="T49" s="25">
        <f>bdrate(C49:C52,H49:H52,J49:J52,O49:O52)</f>
        <v>5.0291498558012071E-2</v>
      </c>
      <c r="U49" s="28">
        <f t="shared" si="2"/>
        <v>0.58116591928251116</v>
      </c>
    </row>
    <row r="50" spans="1:21" x14ac:dyDescent="0.25">
      <c r="B50" s="9"/>
      <c r="C50" s="17">
        <v>739.9</v>
      </c>
      <c r="D50" s="18">
        <v>32.223999999999997</v>
      </c>
      <c r="E50" s="18">
        <v>36.271000000000001</v>
      </c>
      <c r="F50" s="18">
        <v>38.012999999999998</v>
      </c>
      <c r="G50" s="18">
        <v>5.25</v>
      </c>
      <c r="H50" s="18">
        <f t="shared" si="0"/>
        <v>33.453499999999998</v>
      </c>
      <c r="I50" s="5"/>
      <c r="J50" s="17">
        <v>794.10080000000005</v>
      </c>
      <c r="K50" s="18">
        <v>31.9938</v>
      </c>
      <c r="L50" s="18">
        <v>37.226599999999998</v>
      </c>
      <c r="M50" s="18">
        <v>38.902200000000001</v>
      </c>
      <c r="N50" s="18">
        <v>8.7451000000000008</v>
      </c>
      <c r="O50" s="18">
        <f t="shared" si="1"/>
        <v>33.511450000000004</v>
      </c>
      <c r="P50" s="7"/>
      <c r="Q50" s="10"/>
      <c r="R50" s="11"/>
      <c r="S50" s="11"/>
      <c r="T50" s="26"/>
      <c r="U50" s="28">
        <f t="shared" si="2"/>
        <v>0.66573333333333351</v>
      </c>
    </row>
    <row r="51" spans="1:21" x14ac:dyDescent="0.25">
      <c r="B51" s="9"/>
      <c r="C51" s="17">
        <v>470.45</v>
      </c>
      <c r="D51" s="18">
        <v>30.571999999999999</v>
      </c>
      <c r="E51" s="18">
        <v>35.344999999999999</v>
      </c>
      <c r="F51" s="18">
        <v>37.000999999999998</v>
      </c>
      <c r="G51" s="18">
        <v>6.47</v>
      </c>
      <c r="H51" s="18">
        <f t="shared" si="0"/>
        <v>31.972249999999999</v>
      </c>
      <c r="I51" s="5"/>
      <c r="J51" s="17">
        <v>495.00319999999999</v>
      </c>
      <c r="K51" s="18">
        <v>30.245200000000001</v>
      </c>
      <c r="L51" s="18">
        <v>36.2851</v>
      </c>
      <c r="M51" s="18">
        <v>37.981900000000003</v>
      </c>
      <c r="N51" s="18">
        <v>10.9955</v>
      </c>
      <c r="O51" s="18">
        <f t="shared" si="1"/>
        <v>31.967275000000001</v>
      </c>
      <c r="P51" s="7"/>
      <c r="Q51" s="10"/>
      <c r="R51" s="11"/>
      <c r="S51" s="11"/>
      <c r="T51" s="26"/>
      <c r="U51" s="28">
        <f t="shared" si="2"/>
        <v>0.69945904173106654</v>
      </c>
    </row>
    <row r="52" spans="1:21" ht="16.5" thickBot="1" x14ac:dyDescent="0.3">
      <c r="B52" s="12"/>
      <c r="C52" s="19">
        <v>285.8</v>
      </c>
      <c r="D52" s="20">
        <v>28.864000000000001</v>
      </c>
      <c r="E52" s="20">
        <v>34.292999999999999</v>
      </c>
      <c r="F52" s="20">
        <v>35.814999999999998</v>
      </c>
      <c r="G52" s="20">
        <v>8.16</v>
      </c>
      <c r="H52" s="20">
        <f t="shared" si="0"/>
        <v>30.4115</v>
      </c>
      <c r="I52" s="5"/>
      <c r="J52" s="19">
        <v>296.55840000000001</v>
      </c>
      <c r="K52" s="20">
        <v>28.527100000000001</v>
      </c>
      <c r="L52" s="20">
        <v>35.317799999999998</v>
      </c>
      <c r="M52" s="20">
        <v>37.011600000000001</v>
      </c>
      <c r="N52" s="20">
        <v>14.5907</v>
      </c>
      <c r="O52" s="20">
        <f t="shared" si="1"/>
        <v>30.436500000000002</v>
      </c>
      <c r="P52" s="7"/>
      <c r="Q52" s="13"/>
      <c r="R52" s="14"/>
      <c r="S52" s="14"/>
      <c r="T52" s="27"/>
      <c r="U52" s="28">
        <f t="shared" si="2"/>
        <v>0.78807598039215687</v>
      </c>
    </row>
    <row r="53" spans="1:21" x14ac:dyDescent="0.25">
      <c r="A53" s="6" t="s">
        <v>41</v>
      </c>
      <c r="B53" s="6" t="s">
        <v>57</v>
      </c>
      <c r="C53" s="15">
        <v>635.5</v>
      </c>
      <c r="D53" s="16">
        <v>36.128999999999998</v>
      </c>
      <c r="E53" s="16">
        <v>40.328000000000003</v>
      </c>
      <c r="F53" s="16">
        <v>39.137999999999998</v>
      </c>
      <c r="G53" s="16">
        <v>9.94</v>
      </c>
      <c r="H53" s="16">
        <f t="shared" si="0"/>
        <v>37.029999999999994</v>
      </c>
      <c r="I53" s="5"/>
      <c r="J53" s="15">
        <v>608.48559999999998</v>
      </c>
      <c r="K53" s="16">
        <v>35.866300000000003</v>
      </c>
      <c r="L53" s="16">
        <v>41.404899999999998</v>
      </c>
      <c r="M53" s="16">
        <v>39.807299999999998</v>
      </c>
      <c r="N53" s="16">
        <v>24.4284</v>
      </c>
      <c r="O53" s="16">
        <f t="shared" si="1"/>
        <v>37.051250000000003</v>
      </c>
      <c r="P53" s="7"/>
      <c r="Q53" s="8">
        <f>bdrate(C53:C56,D53:D56,J53:J56,K53:K56)</f>
        <v>5.5429370482064755E-2</v>
      </c>
      <c r="R53" s="8">
        <f>bdrate(C53:C56,E53:E56,J53:J56,L53:L56)</f>
        <v>-0.38734307298640236</v>
      </c>
      <c r="S53" s="8">
        <f>bdrate(C53:C56,F53:F56,J53:J56,M53:M56)</f>
        <v>-0.28533492172343344</v>
      </c>
      <c r="T53" s="25">
        <f>bdrate(C53:C56,H53:H56,J53:J56,O53:O56)</f>
        <v>-3.0328229711640398E-2</v>
      </c>
      <c r="U53" s="28">
        <f t="shared" si="2"/>
        <v>1.457585513078471</v>
      </c>
    </row>
    <row r="54" spans="1:21" x14ac:dyDescent="0.25">
      <c r="A54" s="9" t="s">
        <v>42</v>
      </c>
      <c r="B54" s="9"/>
      <c r="C54" s="17">
        <v>424.08</v>
      </c>
      <c r="D54" s="18">
        <v>34.222000000000001</v>
      </c>
      <c r="E54" s="18">
        <v>39</v>
      </c>
      <c r="F54" s="18">
        <v>37.631999999999998</v>
      </c>
      <c r="G54" s="18">
        <v>12.01</v>
      </c>
      <c r="H54" s="18">
        <f t="shared" si="0"/>
        <v>35.2455</v>
      </c>
      <c r="I54" s="5"/>
      <c r="J54" s="17">
        <v>402.61599999999999</v>
      </c>
      <c r="K54" s="18">
        <v>33.859400000000001</v>
      </c>
      <c r="L54" s="18">
        <v>40.154400000000003</v>
      </c>
      <c r="M54" s="18">
        <v>38.432699999999997</v>
      </c>
      <c r="N54" s="18">
        <v>29.7867</v>
      </c>
      <c r="O54" s="18">
        <f t="shared" si="1"/>
        <v>35.217937500000005</v>
      </c>
      <c r="P54" s="7"/>
      <c r="Q54" s="10"/>
      <c r="R54" s="11"/>
      <c r="S54" s="11"/>
      <c r="T54" s="26"/>
      <c r="U54" s="28">
        <f t="shared" si="2"/>
        <v>1.4801582014987509</v>
      </c>
    </row>
    <row r="55" spans="1:21" x14ac:dyDescent="0.25">
      <c r="B55" s="9"/>
      <c r="C55" s="17">
        <v>265.64999999999998</v>
      </c>
      <c r="D55" s="18">
        <v>32.228000000000002</v>
      </c>
      <c r="E55" s="18">
        <v>37.75</v>
      </c>
      <c r="F55" s="18">
        <v>36.142000000000003</v>
      </c>
      <c r="G55" s="18">
        <v>14.88</v>
      </c>
      <c r="H55" s="18">
        <f t="shared" si="0"/>
        <v>33.407499999999999</v>
      </c>
      <c r="I55" s="5"/>
      <c r="J55" s="17">
        <v>250.47280000000001</v>
      </c>
      <c r="K55" s="18">
        <v>31.6998</v>
      </c>
      <c r="L55" s="18">
        <v>38.890099999999997</v>
      </c>
      <c r="M55" s="18">
        <v>37.027099999999997</v>
      </c>
      <c r="N55" s="18">
        <v>36.544400000000003</v>
      </c>
      <c r="O55" s="18">
        <f t="shared" si="1"/>
        <v>33.264499999999998</v>
      </c>
      <c r="P55" s="7"/>
      <c r="Q55" s="10"/>
      <c r="R55" s="11"/>
      <c r="S55" s="11"/>
      <c r="T55" s="26"/>
      <c r="U55" s="28">
        <f t="shared" si="2"/>
        <v>1.4559408602150536</v>
      </c>
    </row>
    <row r="56" spans="1:21" ht="16.5" thickBot="1" x14ac:dyDescent="0.3">
      <c r="B56" s="12"/>
      <c r="C56" s="19">
        <v>126.38</v>
      </c>
      <c r="D56" s="20">
        <v>29.265000000000001</v>
      </c>
      <c r="E56" s="20">
        <v>35.718000000000004</v>
      </c>
      <c r="F56" s="20">
        <v>33.747999999999998</v>
      </c>
      <c r="G56" s="20">
        <v>21.18</v>
      </c>
      <c r="H56" s="20">
        <f t="shared" si="0"/>
        <v>30.631999999999998</v>
      </c>
      <c r="I56" s="5"/>
      <c r="J56" s="19">
        <v>120.4568</v>
      </c>
      <c r="K56" s="20">
        <v>28.665700000000001</v>
      </c>
      <c r="L56" s="20">
        <v>37.196199999999997</v>
      </c>
      <c r="M56" s="20">
        <v>34.990400000000001</v>
      </c>
      <c r="N56" s="20">
        <v>53.2425</v>
      </c>
      <c r="O56" s="20">
        <f t="shared" si="1"/>
        <v>30.522600000000001</v>
      </c>
      <c r="P56" s="7"/>
      <c r="Q56" s="13"/>
      <c r="R56" s="14"/>
      <c r="S56" s="14"/>
      <c r="T56" s="27"/>
      <c r="U56" s="28">
        <f t="shared" si="2"/>
        <v>1.5138101983002834</v>
      </c>
    </row>
    <row r="57" spans="1:21" x14ac:dyDescent="0.25">
      <c r="B57" s="6" t="s">
        <v>58</v>
      </c>
      <c r="C57" s="15">
        <v>549.53</v>
      </c>
      <c r="D57" s="16">
        <v>33.679000000000002</v>
      </c>
      <c r="E57" s="16">
        <v>40.389000000000003</v>
      </c>
      <c r="F57" s="16">
        <v>41.2</v>
      </c>
      <c r="G57" s="16">
        <v>14.44</v>
      </c>
      <c r="H57" s="16">
        <f t="shared" si="0"/>
        <v>35.457875000000001</v>
      </c>
      <c r="I57" s="5"/>
      <c r="J57" s="15">
        <v>596.99199999999996</v>
      </c>
      <c r="K57" s="16">
        <v>34.636099999999999</v>
      </c>
      <c r="L57" s="16">
        <v>42.326799999999999</v>
      </c>
      <c r="M57" s="16">
        <v>43.297600000000003</v>
      </c>
      <c r="N57" s="16">
        <v>34.9</v>
      </c>
      <c r="O57" s="16">
        <f t="shared" si="1"/>
        <v>36.680124999999997</v>
      </c>
      <c r="P57" s="7"/>
      <c r="Q57" s="8">
        <f>bdrate(C57:C60,D57:D60,J57:J60,K57:K60)</f>
        <v>-0.15461611814882981</v>
      </c>
      <c r="R57" s="8">
        <f>bdrate(C57:C60,E57:E60,J57:J60,L57:L60)</f>
        <v>-0.49404276621560361</v>
      </c>
      <c r="S57" s="8">
        <f>bdrate(C57:C60,F57:F60,J57:J60,M57:M60)</f>
        <v>-0.48893095390157892</v>
      </c>
      <c r="T57" s="25">
        <f>bdrate(C57:C60,H57:H60,J57:J60,O57:O60)</f>
        <v>-0.21547416118322826</v>
      </c>
      <c r="U57" s="28">
        <f t="shared" si="2"/>
        <v>1.4168975069252079</v>
      </c>
    </row>
    <row r="58" spans="1:21" x14ac:dyDescent="0.25">
      <c r="B58" s="9"/>
      <c r="C58" s="17">
        <v>362.07</v>
      </c>
      <c r="D58" s="18">
        <v>32.293999999999997</v>
      </c>
      <c r="E58" s="18">
        <v>39.661999999999999</v>
      </c>
      <c r="F58" s="18">
        <v>40.530999999999999</v>
      </c>
      <c r="G58" s="18">
        <v>16.63</v>
      </c>
      <c r="H58" s="18">
        <f t="shared" si="0"/>
        <v>34.244624999999999</v>
      </c>
      <c r="I58" s="5"/>
      <c r="J58" s="17">
        <v>397.28320000000002</v>
      </c>
      <c r="K58" s="18">
        <v>33.233800000000002</v>
      </c>
      <c r="L58" s="18">
        <v>41.345100000000002</v>
      </c>
      <c r="M58" s="18">
        <v>42.284199999999998</v>
      </c>
      <c r="N58" s="18">
        <v>45.248899999999999</v>
      </c>
      <c r="O58" s="18">
        <f t="shared" si="1"/>
        <v>35.379012500000002</v>
      </c>
      <c r="P58" s="7"/>
      <c r="Q58" s="10"/>
      <c r="R58" s="11"/>
      <c r="S58" s="11"/>
      <c r="T58" s="26"/>
      <c r="U58" s="28">
        <f t="shared" si="2"/>
        <v>1.7209200240529166</v>
      </c>
    </row>
    <row r="59" spans="1:21" x14ac:dyDescent="0.25">
      <c r="B59" s="9"/>
      <c r="C59" s="17">
        <v>224.61</v>
      </c>
      <c r="D59" s="18">
        <v>30.719000000000001</v>
      </c>
      <c r="E59" s="18">
        <v>39.04</v>
      </c>
      <c r="F59" s="18">
        <v>39.798999999999999</v>
      </c>
      <c r="G59" s="18">
        <v>20.11</v>
      </c>
      <c r="H59" s="18">
        <f t="shared" si="0"/>
        <v>32.894125000000003</v>
      </c>
      <c r="I59" s="5"/>
      <c r="J59" s="17">
        <v>248.036</v>
      </c>
      <c r="K59" s="18">
        <v>31.6205</v>
      </c>
      <c r="L59" s="18">
        <v>40.285899999999998</v>
      </c>
      <c r="M59" s="18">
        <v>41.184100000000001</v>
      </c>
      <c r="N59" s="18">
        <v>61.343400000000003</v>
      </c>
      <c r="O59" s="18">
        <f t="shared" si="1"/>
        <v>33.899124999999998</v>
      </c>
      <c r="P59" s="7"/>
      <c r="Q59" s="10"/>
      <c r="R59" s="11"/>
      <c r="S59" s="11"/>
      <c r="T59" s="26"/>
      <c r="U59" s="28">
        <f t="shared" si="2"/>
        <v>2.0503928393833917</v>
      </c>
    </row>
    <row r="60" spans="1:21" ht="16.5" thickBot="1" x14ac:dyDescent="0.3">
      <c r="B60" s="12"/>
      <c r="C60" s="19">
        <v>102.92</v>
      </c>
      <c r="D60" s="20">
        <v>27.867999999999999</v>
      </c>
      <c r="E60" s="20">
        <v>37.886000000000003</v>
      </c>
      <c r="F60" s="20">
        <v>38.601999999999997</v>
      </c>
      <c r="G60" s="20">
        <v>26.88</v>
      </c>
      <c r="H60" s="20">
        <f t="shared" si="0"/>
        <v>30.462</v>
      </c>
      <c r="I60" s="5"/>
      <c r="J60" s="19">
        <v>118.0664</v>
      </c>
      <c r="K60" s="20">
        <v>28.949300000000001</v>
      </c>
      <c r="L60" s="20">
        <v>38.9358</v>
      </c>
      <c r="M60" s="20">
        <v>39.670900000000003</v>
      </c>
      <c r="N60" s="20">
        <v>100.41840000000001</v>
      </c>
      <c r="O60" s="20">
        <f t="shared" si="1"/>
        <v>31.537812500000001</v>
      </c>
      <c r="P60" s="7"/>
      <c r="Q60" s="13"/>
      <c r="R60" s="14"/>
      <c r="S60" s="14"/>
      <c r="T60" s="27"/>
      <c r="U60" s="28">
        <f t="shared" si="2"/>
        <v>2.7358035714285718</v>
      </c>
    </row>
    <row r="61" spans="1:21" x14ac:dyDescent="0.25">
      <c r="B61" s="6" t="s">
        <v>59</v>
      </c>
      <c r="C61" s="29">
        <v>625.64</v>
      </c>
      <c r="D61" s="30">
        <v>33.981999999999999</v>
      </c>
      <c r="E61" s="30">
        <v>37.923000000000002</v>
      </c>
      <c r="F61" s="30">
        <v>38.523000000000003</v>
      </c>
      <c r="G61" s="16">
        <v>11.18</v>
      </c>
      <c r="H61" s="16">
        <f t="shared" si="0"/>
        <v>35.042250000000003</v>
      </c>
      <c r="I61" s="5"/>
      <c r="J61" s="29">
        <v>592.52</v>
      </c>
      <c r="K61" s="30">
        <v>34.002099999999999</v>
      </c>
      <c r="L61" s="30">
        <v>39.223100000000002</v>
      </c>
      <c r="M61" s="30">
        <v>40.107399999999998</v>
      </c>
      <c r="N61" s="16">
        <v>28.239000000000001</v>
      </c>
      <c r="O61" s="16">
        <f t="shared" si="1"/>
        <v>35.417887499999999</v>
      </c>
      <c r="P61" s="7"/>
      <c r="Q61" s="8">
        <f>bdrate(C61:C64,D61:D64,J61:J64,K61:K64)</f>
        <v>-9.0346885451499048E-2</v>
      </c>
      <c r="R61" s="8">
        <f>bdrate(C61:C64,E61:E64,J61:J64,L61:L64)</f>
        <v>-0.43907915530720376</v>
      </c>
      <c r="S61" s="8">
        <f>bdrate(C61:C64,F61:F64,J61:J64,M61:M64)</f>
        <v>-0.48194701720338673</v>
      </c>
      <c r="T61" s="25">
        <f>bdrate(C61:C64,H61:H64,J61:J64,O61:O64)</f>
        <v>-0.17255862259252641</v>
      </c>
      <c r="U61" s="28">
        <f t="shared" si="2"/>
        <v>1.5258497316636852</v>
      </c>
    </row>
    <row r="62" spans="1:21" x14ac:dyDescent="0.25">
      <c r="B62" s="9"/>
      <c r="C62" s="31">
        <v>416.63</v>
      </c>
      <c r="D62" s="32">
        <v>32.295999999999999</v>
      </c>
      <c r="E62" s="32">
        <v>36.844999999999999</v>
      </c>
      <c r="F62" s="32">
        <v>37.371000000000002</v>
      </c>
      <c r="G62" s="18">
        <v>13.52</v>
      </c>
      <c r="H62" s="18">
        <f t="shared" si="0"/>
        <v>33.499000000000002</v>
      </c>
      <c r="I62" s="5"/>
      <c r="J62" s="31">
        <v>395.46480000000003</v>
      </c>
      <c r="K62" s="32">
        <v>32.403100000000002</v>
      </c>
      <c r="L62" s="32">
        <v>38.090400000000002</v>
      </c>
      <c r="M62" s="32">
        <v>38.93</v>
      </c>
      <c r="N62" s="18">
        <v>34.8384</v>
      </c>
      <c r="O62" s="18">
        <f t="shared" si="1"/>
        <v>33.929875000000003</v>
      </c>
      <c r="P62" s="7"/>
      <c r="Q62" s="10"/>
      <c r="R62" s="11"/>
      <c r="S62" s="11"/>
      <c r="T62" s="26"/>
      <c r="U62" s="28">
        <f t="shared" si="2"/>
        <v>1.5768047337278108</v>
      </c>
    </row>
    <row r="63" spans="1:21" x14ac:dyDescent="0.25">
      <c r="B63" s="9"/>
      <c r="C63" s="31">
        <v>259.43</v>
      </c>
      <c r="D63" s="32">
        <v>30.446999999999999</v>
      </c>
      <c r="E63" s="32">
        <v>35.658000000000001</v>
      </c>
      <c r="F63" s="32">
        <v>36.176000000000002</v>
      </c>
      <c r="G63" s="18">
        <v>16.489999999999998</v>
      </c>
      <c r="H63" s="18">
        <f t="shared" si="0"/>
        <v>31.814499999999995</v>
      </c>
      <c r="I63" s="5"/>
      <c r="J63" s="31">
        <v>247.24879999999999</v>
      </c>
      <c r="K63" s="32">
        <v>30.656500000000001</v>
      </c>
      <c r="L63" s="32">
        <v>36.933599999999998</v>
      </c>
      <c r="M63" s="32">
        <v>37.6815</v>
      </c>
      <c r="N63" s="18">
        <v>43.607199999999999</v>
      </c>
      <c r="O63" s="18">
        <f t="shared" si="1"/>
        <v>32.319262500000008</v>
      </c>
      <c r="P63" s="7"/>
      <c r="Q63" s="10"/>
      <c r="R63" s="11"/>
      <c r="S63" s="11"/>
      <c r="T63" s="26"/>
      <c r="U63" s="28">
        <f t="shared" si="2"/>
        <v>1.6444633110976352</v>
      </c>
    </row>
    <row r="64" spans="1:21" ht="16.5" thickBot="1" x14ac:dyDescent="0.3">
      <c r="B64" s="12"/>
      <c r="C64" s="33">
        <v>121.77</v>
      </c>
      <c r="D64" s="34">
        <v>27.748000000000001</v>
      </c>
      <c r="E64" s="34">
        <v>33.966999999999999</v>
      </c>
      <c r="F64" s="34">
        <v>34.399000000000001</v>
      </c>
      <c r="G64" s="20">
        <v>23.38</v>
      </c>
      <c r="H64" s="20">
        <f t="shared" si="0"/>
        <v>29.356749999999998</v>
      </c>
      <c r="I64" s="5"/>
      <c r="J64" s="33">
        <v>119.72799999999999</v>
      </c>
      <c r="K64" s="34">
        <v>28.0929</v>
      </c>
      <c r="L64" s="34">
        <v>35.390700000000002</v>
      </c>
      <c r="M64" s="34">
        <v>36.060400000000001</v>
      </c>
      <c r="N64" s="20">
        <v>64.876099999999994</v>
      </c>
      <c r="O64" s="20">
        <f t="shared" si="1"/>
        <v>30.001062500000003</v>
      </c>
      <c r="P64" s="7"/>
      <c r="Q64" s="13"/>
      <c r="R64" s="14"/>
      <c r="S64" s="14"/>
      <c r="T64" s="27"/>
      <c r="U64" s="28">
        <f t="shared" si="2"/>
        <v>1.7748545765611634</v>
      </c>
    </row>
    <row r="65" spans="1:21" x14ac:dyDescent="0.25">
      <c r="B65" s="6" t="s">
        <v>60</v>
      </c>
      <c r="C65" s="15">
        <v>574.19000000000005</v>
      </c>
      <c r="D65" s="16">
        <v>35.619</v>
      </c>
      <c r="E65" s="16">
        <v>38.481999999999999</v>
      </c>
      <c r="F65" s="16">
        <v>39.701999999999998</v>
      </c>
      <c r="G65" s="16">
        <v>7.18</v>
      </c>
      <c r="H65" s="16">
        <f t="shared" si="0"/>
        <v>36.487250000000003</v>
      </c>
      <c r="I65" s="5"/>
      <c r="J65" s="15">
        <v>587.92399999999998</v>
      </c>
      <c r="K65" s="16">
        <v>35.321300000000001</v>
      </c>
      <c r="L65" s="16">
        <v>39.196899999999999</v>
      </c>
      <c r="M65" s="16">
        <v>40.400799999999997</v>
      </c>
      <c r="N65" s="16">
        <v>15.360200000000001</v>
      </c>
      <c r="O65" s="16">
        <f t="shared" si="1"/>
        <v>36.440687499999996</v>
      </c>
      <c r="P65" s="7"/>
      <c r="Q65" s="8">
        <f>bdrate(C65:C68,D65:D68,J65:J68,K65:K68)</f>
        <v>0.11718016931362896</v>
      </c>
      <c r="R65" s="8">
        <f>bdrate(C65:C68,E65:E68,J65:J68,L65:L68)</f>
        <v>-0.2512379440534187</v>
      </c>
      <c r="S65" s="8">
        <f>bdrate(C65:C68,F65:F68,J65:J68,M65:M68)</f>
        <v>-0.25513013340067059</v>
      </c>
      <c r="T65" s="25">
        <f>bdrate(C65:C68,H65:H68,J65:J68,O65:O68)</f>
        <v>3.7183829085883469E-2</v>
      </c>
      <c r="U65" s="28">
        <f t="shared" si="2"/>
        <v>1.1393036211699166</v>
      </c>
    </row>
    <row r="66" spans="1:21" x14ac:dyDescent="0.25">
      <c r="B66" s="9"/>
      <c r="C66" s="17">
        <v>385.42</v>
      </c>
      <c r="D66" s="18">
        <v>33.698999999999998</v>
      </c>
      <c r="E66" s="18">
        <v>37.203000000000003</v>
      </c>
      <c r="F66" s="18">
        <v>38.435000000000002</v>
      </c>
      <c r="G66" s="18">
        <v>8.67</v>
      </c>
      <c r="H66" s="18">
        <f t="shared" si="0"/>
        <v>34.728999999999999</v>
      </c>
      <c r="I66" s="5"/>
      <c r="J66" s="17">
        <v>393.8288</v>
      </c>
      <c r="K66" s="18">
        <v>33.317700000000002</v>
      </c>
      <c r="L66" s="18">
        <v>37.980499999999999</v>
      </c>
      <c r="M66" s="18">
        <v>39.186799999999998</v>
      </c>
      <c r="N66" s="18">
        <v>18.707899999999999</v>
      </c>
      <c r="O66" s="18">
        <f t="shared" si="1"/>
        <v>34.634187500000003</v>
      </c>
      <c r="P66" s="7"/>
      <c r="Q66" s="10"/>
      <c r="R66" s="11"/>
      <c r="S66" s="11"/>
      <c r="T66" s="26"/>
      <c r="U66" s="28">
        <f t="shared" si="2"/>
        <v>1.1577739331026526</v>
      </c>
    </row>
    <row r="67" spans="1:21" x14ac:dyDescent="0.25">
      <c r="B67" s="9"/>
      <c r="C67" s="17">
        <v>241.99</v>
      </c>
      <c r="D67" s="18">
        <v>31.673999999999999</v>
      </c>
      <c r="E67" s="18">
        <v>35.878999999999998</v>
      </c>
      <c r="F67" s="18">
        <v>37.018000000000001</v>
      </c>
      <c r="G67" s="18">
        <v>10.92</v>
      </c>
      <c r="H67" s="18">
        <f t="shared" si="0"/>
        <v>32.867624999999997</v>
      </c>
      <c r="I67" s="5"/>
      <c r="J67" s="17">
        <v>243.87039999999999</v>
      </c>
      <c r="K67" s="18">
        <v>31.233899999999998</v>
      </c>
      <c r="L67" s="18">
        <v>36.674500000000002</v>
      </c>
      <c r="M67" s="18">
        <v>37.890500000000003</v>
      </c>
      <c r="N67" s="18">
        <v>23.596</v>
      </c>
      <c r="O67" s="18">
        <f t="shared" si="1"/>
        <v>32.746049999999997</v>
      </c>
      <c r="P67" s="7"/>
      <c r="Q67" s="10"/>
      <c r="R67" s="11"/>
      <c r="S67" s="11"/>
      <c r="T67" s="26"/>
      <c r="U67" s="28">
        <f t="shared" si="2"/>
        <v>1.1608058608058609</v>
      </c>
    </row>
    <row r="68" spans="1:21" ht="16.5" thickBot="1" x14ac:dyDescent="0.3">
      <c r="B68" s="12"/>
      <c r="C68" s="19">
        <v>116</v>
      </c>
      <c r="D68" s="20">
        <v>28.88</v>
      </c>
      <c r="E68" s="20">
        <v>33.9</v>
      </c>
      <c r="F68" s="20">
        <v>34.911999999999999</v>
      </c>
      <c r="G68" s="20">
        <v>15.93</v>
      </c>
      <c r="H68" s="20">
        <f t="shared" si="0"/>
        <v>30.261500000000002</v>
      </c>
      <c r="I68" s="5"/>
      <c r="J68" s="19">
        <v>117.9376</v>
      </c>
      <c r="K68" s="20">
        <v>28.468</v>
      </c>
      <c r="L68" s="20">
        <v>35.1113</v>
      </c>
      <c r="M68" s="20">
        <v>36.253100000000003</v>
      </c>
      <c r="N68" s="20">
        <v>34.835099999999997</v>
      </c>
      <c r="O68" s="20">
        <f t="shared" si="1"/>
        <v>30.271549999999998</v>
      </c>
      <c r="P68" s="7"/>
      <c r="Q68" s="13"/>
      <c r="R68" s="14"/>
      <c r="S68" s="14"/>
      <c r="T68" s="27"/>
      <c r="U68" s="28">
        <f t="shared" si="2"/>
        <v>1.1867608286252354</v>
      </c>
    </row>
    <row r="69" spans="1:21" x14ac:dyDescent="0.25">
      <c r="A69" s="6" t="s">
        <v>43</v>
      </c>
      <c r="B69" s="6" t="s">
        <v>61</v>
      </c>
      <c r="C69" s="15">
        <v>1379.56</v>
      </c>
      <c r="D69" s="16">
        <v>41.533000000000001</v>
      </c>
      <c r="E69" s="16">
        <v>45.584000000000003</v>
      </c>
      <c r="F69" s="16">
        <v>46.872999999999998</v>
      </c>
      <c r="G69" s="16">
        <v>6.37</v>
      </c>
      <c r="H69" s="16">
        <f t="shared" si="0"/>
        <v>42.706875000000004</v>
      </c>
      <c r="I69" s="5"/>
      <c r="J69" s="15">
        <v>1505.6088</v>
      </c>
      <c r="K69" s="16">
        <v>42.125</v>
      </c>
      <c r="L69" s="16">
        <v>46.767299999999999</v>
      </c>
      <c r="M69" s="16">
        <v>48.035400000000003</v>
      </c>
      <c r="N69" s="16">
        <v>8.1973000000000003</v>
      </c>
      <c r="O69" s="16">
        <f t="shared" si="1"/>
        <v>43.444087499999995</v>
      </c>
      <c r="P69" s="7"/>
      <c r="Q69" s="8">
        <f>bdrate(C69:C72,D69:D72,J69:J72,K69:K72)</f>
        <v>-4.3231620051040531E-2</v>
      </c>
      <c r="R69" s="8">
        <f>bdrate(C69:C72,E69:E72,J69:J72,L69:L72)</f>
        <v>-0.29870356474732651</v>
      </c>
      <c r="S69" s="8">
        <f>bdrate(C69:C72,F69:F72,J69:J72,M69:M72)</f>
        <v>-0.26278151257753124</v>
      </c>
      <c r="T69" s="25">
        <f>bdrate(C69:C72,H69:H72,J69:J72,O69:O72)</f>
        <v>-9.3339193561536526E-2</v>
      </c>
      <c r="U69" s="28">
        <f t="shared" si="2"/>
        <v>0.2868602825745683</v>
      </c>
    </row>
    <row r="70" spans="1:21" x14ac:dyDescent="0.25">
      <c r="A70" s="9" t="s">
        <v>44</v>
      </c>
      <c r="B70" s="9"/>
      <c r="C70" s="17">
        <v>908.64</v>
      </c>
      <c r="D70" s="18">
        <v>40.502000000000002</v>
      </c>
      <c r="E70" s="18">
        <v>44.579000000000001</v>
      </c>
      <c r="F70" s="18">
        <v>45.929000000000002</v>
      </c>
      <c r="G70" s="18">
        <v>7.06</v>
      </c>
      <c r="H70" s="18">
        <f t="shared" si="0"/>
        <v>41.69</v>
      </c>
      <c r="I70" s="5"/>
      <c r="J70" s="17">
        <v>998.00400000000002</v>
      </c>
      <c r="K70" s="18">
        <v>41.179900000000004</v>
      </c>
      <c r="L70" s="18">
        <v>45.973799999999997</v>
      </c>
      <c r="M70" s="18">
        <v>47.200800000000001</v>
      </c>
      <c r="N70" s="18">
        <v>10.6629</v>
      </c>
      <c r="O70" s="18">
        <f t="shared" si="1"/>
        <v>42.531750000000002</v>
      </c>
      <c r="P70" s="7"/>
      <c r="Q70" s="10"/>
      <c r="R70" s="11"/>
      <c r="S70" s="11"/>
      <c r="T70" s="26"/>
      <c r="U70" s="28">
        <f t="shared" si="2"/>
        <v>0.5103257790368273</v>
      </c>
    </row>
    <row r="71" spans="1:21" x14ac:dyDescent="0.25">
      <c r="B71" s="9"/>
      <c r="C71" s="17">
        <v>539.79999999999995</v>
      </c>
      <c r="D71" s="18">
        <v>38.874000000000002</v>
      </c>
      <c r="E71" s="18">
        <v>43.283000000000001</v>
      </c>
      <c r="F71" s="18">
        <v>44.567</v>
      </c>
      <c r="G71" s="18">
        <v>8.43</v>
      </c>
      <c r="H71" s="18">
        <f t="shared" si="0"/>
        <v>40.136750000000006</v>
      </c>
      <c r="I71" s="5"/>
      <c r="J71" s="17">
        <v>592.94880000000001</v>
      </c>
      <c r="K71" s="18">
        <v>39.4206</v>
      </c>
      <c r="L71" s="18">
        <v>44.479300000000002</v>
      </c>
      <c r="M71" s="18">
        <v>45.686399999999999</v>
      </c>
      <c r="N71" s="18">
        <v>14.3195</v>
      </c>
      <c r="O71" s="18">
        <f t="shared" si="1"/>
        <v>40.8361625</v>
      </c>
      <c r="P71" s="7"/>
      <c r="Q71" s="10"/>
      <c r="R71" s="11"/>
      <c r="S71" s="11"/>
      <c r="T71" s="26"/>
      <c r="U71" s="28">
        <f t="shared" si="2"/>
        <v>0.69863582443653616</v>
      </c>
    </row>
    <row r="72" spans="1:21" ht="16.5" thickBot="1" x14ac:dyDescent="0.3">
      <c r="B72" s="12"/>
      <c r="C72" s="19">
        <v>260.10000000000002</v>
      </c>
      <c r="D72" s="20">
        <v>36.417000000000002</v>
      </c>
      <c r="E72" s="20">
        <v>41.912999999999997</v>
      </c>
      <c r="F72" s="20">
        <v>43.05</v>
      </c>
      <c r="G72" s="20">
        <v>10.57</v>
      </c>
      <c r="H72" s="20">
        <f t="shared" si="0"/>
        <v>37.933125000000004</v>
      </c>
      <c r="I72" s="5"/>
      <c r="J72" s="19">
        <v>289.48559999999998</v>
      </c>
      <c r="K72" s="20">
        <v>36.311999999999998</v>
      </c>
      <c r="L72" s="20">
        <v>42.398299999999999</v>
      </c>
      <c r="M72" s="20">
        <v>43.5017</v>
      </c>
      <c r="N72" s="20">
        <v>22.104299999999999</v>
      </c>
      <c r="O72" s="20">
        <f t="shared" si="1"/>
        <v>37.971499999999992</v>
      </c>
      <c r="P72" s="7"/>
      <c r="Q72" s="13"/>
      <c r="R72" s="14"/>
      <c r="S72" s="14"/>
      <c r="T72" s="27"/>
      <c r="U72" s="28">
        <f t="shared" si="2"/>
        <v>1.0912298959318825</v>
      </c>
    </row>
    <row r="73" spans="1:21" x14ac:dyDescent="0.25">
      <c r="B73" s="6" t="s">
        <v>62</v>
      </c>
      <c r="C73" s="15">
        <v>1421.17</v>
      </c>
      <c r="D73" s="16">
        <v>42.753999999999998</v>
      </c>
      <c r="E73" s="16">
        <v>47.804000000000002</v>
      </c>
      <c r="F73" s="16">
        <v>48.451999999999998</v>
      </c>
      <c r="G73" s="16">
        <v>6.78</v>
      </c>
      <c r="H73" s="16">
        <f t="shared" si="0"/>
        <v>44.097499999999997</v>
      </c>
      <c r="I73" s="5"/>
      <c r="J73" s="15">
        <v>1506.2639999999999</v>
      </c>
      <c r="K73" s="16">
        <v>43.069400000000002</v>
      </c>
      <c r="L73" s="16">
        <v>48.592500000000001</v>
      </c>
      <c r="M73" s="16">
        <v>49.308700000000002</v>
      </c>
      <c r="N73" s="16">
        <v>9.3831000000000007</v>
      </c>
      <c r="O73" s="16">
        <f t="shared" si="1"/>
        <v>44.539700000000003</v>
      </c>
      <c r="P73" s="7"/>
      <c r="Q73" s="8">
        <f>bdrate(C73:C76,D73:D76,J73:J76,K73:K76)</f>
        <v>-0.13098725239066378</v>
      </c>
      <c r="R73" s="8">
        <f>bdrate(C73:C76,E73:E76,J73:J76,L73:L76)</f>
        <v>-0.4272875138045259</v>
      </c>
      <c r="S73" s="8">
        <f>bdrate(C73:C76,F73:F76,J73:J76,M73:M76)</f>
        <v>-0.41098054271548157</v>
      </c>
      <c r="T73" s="25">
        <f>bdrate(C73:C76,H73:H76,J73:J76,O73:O76)</f>
        <v>-0.21726030375972849</v>
      </c>
      <c r="U73" s="28">
        <f t="shared" ref="U73:U91" si="3">(N73-G73)/G73</f>
        <v>0.38393805309734519</v>
      </c>
    </row>
    <row r="74" spans="1:21" x14ac:dyDescent="0.25">
      <c r="B74" s="9"/>
      <c r="C74" s="17">
        <v>937.02</v>
      </c>
      <c r="D74" s="18">
        <v>42.3</v>
      </c>
      <c r="E74" s="18">
        <v>47.155999999999999</v>
      </c>
      <c r="F74" s="18">
        <v>47.856000000000002</v>
      </c>
      <c r="G74" s="18">
        <v>7.54</v>
      </c>
      <c r="H74" s="18">
        <f t="shared" si="0"/>
        <v>43.601499999999994</v>
      </c>
      <c r="I74" s="5"/>
      <c r="J74" s="17">
        <v>996.61279999999999</v>
      </c>
      <c r="K74" s="18">
        <v>42.655200000000001</v>
      </c>
      <c r="L74" s="18">
        <v>48.210500000000003</v>
      </c>
      <c r="M74" s="18">
        <v>48.8977</v>
      </c>
      <c r="N74" s="18">
        <v>11.8161</v>
      </c>
      <c r="O74" s="18">
        <f t="shared" si="1"/>
        <v>44.129925</v>
      </c>
      <c r="P74" s="7"/>
      <c r="Q74" s="10"/>
      <c r="R74" s="11"/>
      <c r="S74" s="11"/>
      <c r="T74" s="26"/>
      <c r="U74" s="28">
        <f t="shared" si="3"/>
        <v>0.56712201591511946</v>
      </c>
    </row>
    <row r="75" spans="1:21" x14ac:dyDescent="0.25">
      <c r="B75" s="9"/>
      <c r="C75" s="17">
        <v>551.14</v>
      </c>
      <c r="D75" s="18">
        <v>41.542999999999999</v>
      </c>
      <c r="E75" s="18">
        <v>46.317999999999998</v>
      </c>
      <c r="F75" s="18">
        <v>46.972000000000001</v>
      </c>
      <c r="G75" s="18">
        <v>8.4600000000000009</v>
      </c>
      <c r="H75" s="18">
        <f t="shared" si="0"/>
        <v>42.818499999999993</v>
      </c>
      <c r="I75" s="5"/>
      <c r="J75" s="17">
        <v>575.16160000000002</v>
      </c>
      <c r="K75" s="18">
        <v>41.887999999999998</v>
      </c>
      <c r="L75" s="18">
        <v>47.454000000000001</v>
      </c>
      <c r="M75" s="18">
        <v>48.141100000000002</v>
      </c>
      <c r="N75" s="18">
        <v>16.4573</v>
      </c>
      <c r="O75" s="18">
        <f t="shared" si="1"/>
        <v>43.365387499999997</v>
      </c>
      <c r="P75" s="7"/>
      <c r="Q75" s="10"/>
      <c r="R75" s="11"/>
      <c r="S75" s="11"/>
      <c r="T75" s="26"/>
      <c r="U75" s="28">
        <f t="shared" si="3"/>
        <v>0.94530732860520073</v>
      </c>
    </row>
    <row r="76" spans="1:21" ht="16.5" thickBot="1" x14ac:dyDescent="0.3">
      <c r="B76" s="12"/>
      <c r="C76" s="19">
        <v>263.94</v>
      </c>
      <c r="D76" s="20">
        <v>39.993000000000002</v>
      </c>
      <c r="E76" s="20">
        <v>44.951999999999998</v>
      </c>
      <c r="F76" s="20">
        <v>45.390999999999998</v>
      </c>
      <c r="G76" s="20">
        <v>9.9</v>
      </c>
      <c r="H76" s="20">
        <f t="shared" si="0"/>
        <v>41.287625000000006</v>
      </c>
      <c r="I76" s="5"/>
      <c r="J76" s="19">
        <v>274.46719999999999</v>
      </c>
      <c r="K76" s="20">
        <v>40.132100000000001</v>
      </c>
      <c r="L76" s="20">
        <v>45.638599999999997</v>
      </c>
      <c r="M76" s="20">
        <v>46.111800000000002</v>
      </c>
      <c r="N76" s="20">
        <v>25.692599999999999</v>
      </c>
      <c r="O76" s="20">
        <f t="shared" si="1"/>
        <v>41.567875000000001</v>
      </c>
      <c r="P76" s="7"/>
      <c r="Q76" s="13"/>
      <c r="R76" s="14"/>
      <c r="S76" s="14"/>
      <c r="T76" s="27"/>
      <c r="U76" s="28">
        <f t="shared" si="3"/>
        <v>1.5952121212121211</v>
      </c>
    </row>
    <row r="77" spans="1:21" x14ac:dyDescent="0.25">
      <c r="B77" s="6" t="s">
        <v>63</v>
      </c>
      <c r="C77" s="15">
        <v>1485.4</v>
      </c>
      <c r="D77" s="16">
        <v>42.67</v>
      </c>
      <c r="E77" s="16">
        <v>46.951000000000001</v>
      </c>
      <c r="F77" s="16">
        <v>47.863</v>
      </c>
      <c r="G77" s="16">
        <v>5.98</v>
      </c>
      <c r="H77" s="16">
        <f t="shared" si="0"/>
        <v>43.85425</v>
      </c>
      <c r="I77" s="5"/>
      <c r="J77" s="15">
        <v>1541.36</v>
      </c>
      <c r="K77" s="16">
        <v>43.042200000000001</v>
      </c>
      <c r="L77" s="16">
        <v>47.800199999999997</v>
      </c>
      <c r="M77" s="16">
        <v>48.728900000000003</v>
      </c>
      <c r="N77" s="16">
        <v>8.3739000000000008</v>
      </c>
      <c r="O77" s="16">
        <f t="shared" si="1"/>
        <v>44.347787500000003</v>
      </c>
      <c r="P77" s="7"/>
      <c r="Q77" s="8">
        <f>bdrate(C77:C80,D77:D80,J77:J80,K77:K80)</f>
        <v>-8.1392041539112059E-2</v>
      </c>
      <c r="R77" s="8">
        <f>bdrate(C77:C80,E77:E80,J77:J80,L77:L80)</f>
        <v>-0.31589968644977473</v>
      </c>
      <c r="S77" s="8">
        <f>bdrate(C77:C80,F77:F80,J77:J80,M77:M80)</f>
        <v>-0.32687820515667998</v>
      </c>
      <c r="T77" s="25">
        <f>bdrate(C77:C80,H77:H80,J77:J80,O77:O80)</f>
        <v>-0.14217122557890838</v>
      </c>
      <c r="U77" s="28">
        <f t="shared" si="3"/>
        <v>0.4003177257525084</v>
      </c>
    </row>
    <row r="78" spans="1:21" x14ac:dyDescent="0.25">
      <c r="B78" s="9"/>
      <c r="C78" s="17">
        <v>985.58</v>
      </c>
      <c r="D78" s="18">
        <v>41.962000000000003</v>
      </c>
      <c r="E78" s="18">
        <v>46.237000000000002</v>
      </c>
      <c r="F78" s="18">
        <v>47.091000000000001</v>
      </c>
      <c r="G78" s="18">
        <v>6.75</v>
      </c>
      <c r="H78" s="18">
        <f t="shared" si="0"/>
        <v>43.137500000000003</v>
      </c>
      <c r="I78" s="5"/>
      <c r="J78" s="17">
        <v>1022.6064</v>
      </c>
      <c r="K78" s="18">
        <v>42.3628</v>
      </c>
      <c r="L78" s="18">
        <v>47.233899999999998</v>
      </c>
      <c r="M78" s="18">
        <v>48.146999999999998</v>
      </c>
      <c r="N78" s="18">
        <v>10.6927</v>
      </c>
      <c r="O78" s="18">
        <f t="shared" si="1"/>
        <v>43.694712500000001</v>
      </c>
      <c r="P78" s="7"/>
      <c r="Q78" s="10"/>
      <c r="R78" s="11"/>
      <c r="S78" s="11"/>
      <c r="T78" s="26"/>
      <c r="U78" s="28">
        <f t="shared" si="3"/>
        <v>0.58410370370370379</v>
      </c>
    </row>
    <row r="79" spans="1:21" x14ac:dyDescent="0.25">
      <c r="B79" s="9"/>
      <c r="C79" s="17">
        <v>588.28</v>
      </c>
      <c r="D79" s="18">
        <v>40.761000000000003</v>
      </c>
      <c r="E79" s="18">
        <v>45.051000000000002</v>
      </c>
      <c r="F79" s="18">
        <v>45.914999999999999</v>
      </c>
      <c r="G79" s="18">
        <v>7.72</v>
      </c>
      <c r="H79" s="18">
        <f t="shared" si="0"/>
        <v>41.941500000000005</v>
      </c>
      <c r="I79" s="5"/>
      <c r="J79" s="17">
        <v>602.87519999999995</v>
      </c>
      <c r="K79" s="18">
        <v>41.089199999999998</v>
      </c>
      <c r="L79" s="18">
        <v>46.014600000000002</v>
      </c>
      <c r="M79" s="18">
        <v>46.906799999999997</v>
      </c>
      <c r="N79" s="18">
        <v>14.459199999999999</v>
      </c>
      <c r="O79" s="18">
        <f t="shared" si="1"/>
        <v>42.432074999999998</v>
      </c>
      <c r="P79" s="7"/>
      <c r="Q79" s="10"/>
      <c r="R79" s="11"/>
      <c r="S79" s="11"/>
      <c r="T79" s="26"/>
      <c r="U79" s="28">
        <f t="shared" si="3"/>
        <v>0.87295336787564759</v>
      </c>
    </row>
    <row r="80" spans="1:21" ht="16.5" thickBot="1" x14ac:dyDescent="0.3">
      <c r="B80" s="12"/>
      <c r="C80" s="19">
        <v>286.32</v>
      </c>
      <c r="D80" s="20">
        <v>38.69</v>
      </c>
      <c r="E80" s="20">
        <v>43.456000000000003</v>
      </c>
      <c r="F80" s="20">
        <v>44.204999999999998</v>
      </c>
      <c r="G80" s="20">
        <v>9.19</v>
      </c>
      <c r="H80" s="20">
        <f t="shared" si="0"/>
        <v>39.975124999999998</v>
      </c>
      <c r="I80" s="5"/>
      <c r="J80" s="19">
        <v>293.77839999999998</v>
      </c>
      <c r="K80" s="20">
        <v>38.656700000000001</v>
      </c>
      <c r="L80" s="20">
        <v>44.132800000000003</v>
      </c>
      <c r="M80" s="20">
        <v>45.029800000000002</v>
      </c>
      <c r="N80" s="20">
        <v>22.597999999999999</v>
      </c>
      <c r="O80" s="20">
        <f t="shared" si="1"/>
        <v>40.13785</v>
      </c>
      <c r="P80" s="7"/>
      <c r="Q80" s="13"/>
      <c r="R80" s="14"/>
      <c r="S80" s="14"/>
      <c r="T80" s="27"/>
      <c r="U80" s="28">
        <f t="shared" si="3"/>
        <v>1.4589771490750816</v>
      </c>
    </row>
    <row r="81" spans="1:21" x14ac:dyDescent="0.25">
      <c r="A81" s="6" t="s">
        <v>94</v>
      </c>
      <c r="B81" s="6" t="s">
        <v>95</v>
      </c>
      <c r="C81" s="29">
        <v>1290.8499999999999</v>
      </c>
      <c r="D81" s="30">
        <v>46.024999999999999</v>
      </c>
      <c r="E81" s="30">
        <v>51.088000000000001</v>
      </c>
      <c r="F81" s="30">
        <v>51.978999999999999</v>
      </c>
      <c r="G81" s="16">
        <v>3.74</v>
      </c>
      <c r="H81" s="16">
        <f t="shared" ref="H81:H91" si="4">(6*D81+E81+F81)/8</f>
        <v>47.402124999999998</v>
      </c>
      <c r="I81" s="5"/>
      <c r="J81" s="15">
        <v>1228.9447</v>
      </c>
      <c r="K81" s="16">
        <v>45.814999999999998</v>
      </c>
      <c r="L81" s="16">
        <v>52.031599999999997</v>
      </c>
      <c r="M81" s="16">
        <v>52.555300000000003</v>
      </c>
      <c r="N81" s="16">
        <v>4.8243999999999998</v>
      </c>
      <c r="O81" s="16">
        <f t="shared" ref="O81:O91" si="5">(6*K81+L81+M81)/8</f>
        <v>47.4346125</v>
      </c>
      <c r="P81" s="7"/>
      <c r="Q81" s="8">
        <f>bdrate(C81:C84,D81:D84,J81:J84,K81:K84)</f>
        <v>-0.10223723779658422</v>
      </c>
      <c r="R81" s="8">
        <f>bdrate(C81:C84,E81:E84,J81:J84,L81:L84)</f>
        <v>-0.41181948531920143</v>
      </c>
      <c r="S81" s="8">
        <f>bdrate(C81:C84,F81:F84,J81:J84,M81:M84)</f>
        <v>-0.37456276607325922</v>
      </c>
      <c r="T81" s="25">
        <f>bdrate(C81:C84,H81:H84,J81:J84,O81:O84)</f>
        <v>-0.16723885989888931</v>
      </c>
      <c r="U81" s="28">
        <f t="shared" si="3"/>
        <v>0.28994652406417099</v>
      </c>
    </row>
    <row r="82" spans="1:21" x14ac:dyDescent="0.25">
      <c r="A82" s="9" t="s">
        <v>77</v>
      </c>
      <c r="B82" s="9"/>
      <c r="C82" s="31">
        <v>861.21</v>
      </c>
      <c r="D82" s="32">
        <v>43.793999999999997</v>
      </c>
      <c r="E82" s="32">
        <v>49.225999999999999</v>
      </c>
      <c r="F82" s="32">
        <v>50.13</v>
      </c>
      <c r="G82" s="18">
        <v>4.3899999999999997</v>
      </c>
      <c r="H82" s="18">
        <f t="shared" si="4"/>
        <v>45.265000000000001</v>
      </c>
      <c r="I82" s="5"/>
      <c r="J82" s="17">
        <v>828.06799999999998</v>
      </c>
      <c r="K82" s="18">
        <v>44.032200000000003</v>
      </c>
      <c r="L82" s="18">
        <v>50.754800000000003</v>
      </c>
      <c r="M82" s="18">
        <v>51.3245</v>
      </c>
      <c r="N82" s="18">
        <v>5.8773999999999997</v>
      </c>
      <c r="O82" s="18">
        <f t="shared" si="5"/>
        <v>45.784062500000005</v>
      </c>
      <c r="P82" s="7"/>
      <c r="Q82" s="10"/>
      <c r="R82" s="11"/>
      <c r="S82" s="11"/>
      <c r="T82" s="26"/>
      <c r="U82" s="28">
        <f t="shared" si="3"/>
        <v>0.33881548974943054</v>
      </c>
    </row>
    <row r="83" spans="1:21" x14ac:dyDescent="0.25">
      <c r="B83" s="9"/>
      <c r="C83" s="31">
        <v>520.13</v>
      </c>
      <c r="D83" s="32">
        <v>41.021999999999998</v>
      </c>
      <c r="E83" s="32">
        <v>46.976999999999997</v>
      </c>
      <c r="F83" s="32">
        <v>48.177999999999997</v>
      </c>
      <c r="G83" s="18">
        <v>5.37</v>
      </c>
      <c r="H83" s="18">
        <f t="shared" si="4"/>
        <v>42.660874999999997</v>
      </c>
      <c r="I83" s="5"/>
      <c r="J83" s="17">
        <v>504.6583</v>
      </c>
      <c r="K83" s="18">
        <v>41.546799999999998</v>
      </c>
      <c r="L83" s="18">
        <v>49.248199999999997</v>
      </c>
      <c r="M83" s="18">
        <v>50.067100000000003</v>
      </c>
      <c r="N83" s="18">
        <v>7.6409000000000002</v>
      </c>
      <c r="O83" s="18">
        <f t="shared" si="5"/>
        <v>43.574512499999997</v>
      </c>
      <c r="P83" s="7"/>
      <c r="Q83" s="10"/>
      <c r="R83" s="11"/>
      <c r="S83" s="11"/>
      <c r="T83" s="26"/>
      <c r="U83" s="28">
        <f t="shared" si="3"/>
        <v>0.42288640595903165</v>
      </c>
    </row>
    <row r="84" spans="1:21" ht="16.5" thickBot="1" x14ac:dyDescent="0.3">
      <c r="B84" s="12"/>
      <c r="C84" s="33">
        <v>261.95</v>
      </c>
      <c r="D84" s="34">
        <v>37.505000000000003</v>
      </c>
      <c r="E84" s="34">
        <v>43.82</v>
      </c>
      <c r="F84" s="34">
        <v>45.170999999999999</v>
      </c>
      <c r="G84" s="20">
        <v>7.04</v>
      </c>
      <c r="H84" s="20">
        <f t="shared" si="4"/>
        <v>39.252625000000002</v>
      </c>
      <c r="I84" s="5"/>
      <c r="J84" s="19">
        <v>257.61169999999998</v>
      </c>
      <c r="K84" s="20">
        <v>38.099699999999999</v>
      </c>
      <c r="L84" s="20">
        <v>46.518300000000004</v>
      </c>
      <c r="M84" s="20">
        <v>47.300400000000003</v>
      </c>
      <c r="N84" s="20">
        <v>11.4696</v>
      </c>
      <c r="O84" s="20">
        <f t="shared" si="5"/>
        <v>40.3021125</v>
      </c>
      <c r="P84" s="7"/>
      <c r="Q84" s="13"/>
      <c r="R84" s="14"/>
      <c r="S84" s="14"/>
      <c r="T84" s="27"/>
      <c r="U84" s="28">
        <f t="shared" si="3"/>
        <v>0.62920454545454541</v>
      </c>
    </row>
    <row r="85" spans="1:21" x14ac:dyDescent="0.25">
      <c r="B85" s="6" t="s">
        <v>96</v>
      </c>
      <c r="C85" s="15">
        <v>1475.11</v>
      </c>
      <c r="D85" s="16">
        <v>54.832999999999998</v>
      </c>
      <c r="E85" s="16">
        <v>55.377000000000002</v>
      </c>
      <c r="F85" s="16">
        <v>55.756</v>
      </c>
      <c r="G85" s="16">
        <v>7.21</v>
      </c>
      <c r="H85" s="16">
        <f t="shared" si="4"/>
        <v>55.016374999999996</v>
      </c>
      <c r="I85" s="5"/>
      <c r="J85" s="15">
        <v>1403.0893000000001</v>
      </c>
      <c r="K85" s="16">
        <v>53.824199999999998</v>
      </c>
      <c r="L85" s="16">
        <v>54.649299999999997</v>
      </c>
      <c r="M85" s="16">
        <v>55.275300000000001</v>
      </c>
      <c r="N85" s="16">
        <v>12.853400000000001</v>
      </c>
      <c r="O85" s="16">
        <f t="shared" si="5"/>
        <v>54.108725</v>
      </c>
      <c r="P85" s="7"/>
      <c r="Q85" s="8">
        <f>bdrate(C85:C88,D85:D88,J85:J88,K85:K88)</f>
        <v>1.736799969232572E-2</v>
      </c>
      <c r="R85" s="8">
        <f>bdrate(C85:C88,E85:E88,J85:J88,L85:L88)</f>
        <v>-7.5608557413502475E-2</v>
      </c>
      <c r="S85" s="8">
        <f>bdrate(C85:C88,F85:F88,J85:J88,M85:M88)</f>
        <v>-8.1270080978615544E-2</v>
      </c>
      <c r="T85" s="25">
        <f>bdrate(C85:C88,H85:H88,J85:J88,O85:O88)</f>
        <v>-5.3025657477689947E-3</v>
      </c>
      <c r="U85" s="28">
        <f t="shared" si="3"/>
        <v>0.78271844660194179</v>
      </c>
    </row>
    <row r="86" spans="1:21" x14ac:dyDescent="0.25">
      <c r="B86" s="9"/>
      <c r="C86" s="17">
        <v>972.77</v>
      </c>
      <c r="D86" s="18">
        <v>52.176000000000002</v>
      </c>
      <c r="E86" s="18">
        <v>52.881</v>
      </c>
      <c r="F86" s="18">
        <v>53.381</v>
      </c>
      <c r="G86" s="18">
        <v>8.2799999999999994</v>
      </c>
      <c r="H86" s="18">
        <f t="shared" si="4"/>
        <v>52.414749999999998</v>
      </c>
      <c r="I86" s="5"/>
      <c r="J86" s="17">
        <v>963.452</v>
      </c>
      <c r="K86" s="18">
        <v>52.009599999999999</v>
      </c>
      <c r="L86" s="18">
        <v>53.075499999999998</v>
      </c>
      <c r="M86" s="18">
        <v>53.659500000000001</v>
      </c>
      <c r="N86" s="18">
        <v>14.5411</v>
      </c>
      <c r="O86" s="18">
        <f t="shared" si="5"/>
        <v>52.349074999999992</v>
      </c>
      <c r="P86" s="7"/>
      <c r="Q86" s="10"/>
      <c r="R86" s="11"/>
      <c r="S86" s="11"/>
      <c r="T86" s="26"/>
      <c r="U86" s="28">
        <f t="shared" si="3"/>
        <v>0.75617149758454116</v>
      </c>
    </row>
    <row r="87" spans="1:21" x14ac:dyDescent="0.25">
      <c r="B87" s="9"/>
      <c r="C87" s="17">
        <v>581.21</v>
      </c>
      <c r="D87" s="18">
        <v>49.09</v>
      </c>
      <c r="E87" s="18">
        <v>50.054000000000002</v>
      </c>
      <c r="F87" s="18">
        <v>50.63</v>
      </c>
      <c r="G87" s="18">
        <v>9.8699999999999992</v>
      </c>
      <c r="H87" s="18">
        <f t="shared" si="4"/>
        <v>49.403000000000006</v>
      </c>
      <c r="I87" s="5"/>
      <c r="J87" s="17">
        <v>601.96289999999999</v>
      </c>
      <c r="K87" s="18">
        <v>49.3904</v>
      </c>
      <c r="L87" s="18">
        <v>50.859499999999997</v>
      </c>
      <c r="M87" s="18">
        <v>51.442700000000002</v>
      </c>
      <c r="N87" s="18">
        <v>17.490500000000001</v>
      </c>
      <c r="O87" s="18">
        <f t="shared" si="5"/>
        <v>49.830575000000003</v>
      </c>
      <c r="P87" s="7"/>
      <c r="Q87" s="10"/>
      <c r="R87" s="11"/>
      <c r="S87" s="11"/>
      <c r="T87" s="26"/>
      <c r="U87" s="28">
        <f t="shared" si="3"/>
        <v>0.77208713272543084</v>
      </c>
    </row>
    <row r="88" spans="1:21" ht="16.5" thickBot="1" x14ac:dyDescent="0.3">
      <c r="B88" s="12"/>
      <c r="C88" s="19">
        <v>291.04000000000002</v>
      </c>
      <c r="D88" s="20">
        <v>44.841000000000001</v>
      </c>
      <c r="E88" s="20">
        <v>46.122999999999998</v>
      </c>
      <c r="F88" s="20">
        <v>46.762999999999998</v>
      </c>
      <c r="G88" s="20">
        <v>12.69</v>
      </c>
      <c r="H88" s="20">
        <f t="shared" si="4"/>
        <v>45.241499999999995</v>
      </c>
      <c r="I88" s="5"/>
      <c r="J88" s="19">
        <v>308.07709999999997</v>
      </c>
      <c r="K88" s="20">
        <v>44.722700000000003</v>
      </c>
      <c r="L88" s="20">
        <v>46.913600000000002</v>
      </c>
      <c r="M88" s="20">
        <v>47.495899999999999</v>
      </c>
      <c r="N88" s="20">
        <v>24.3889</v>
      </c>
      <c r="O88" s="20">
        <f t="shared" si="5"/>
        <v>45.343212500000007</v>
      </c>
      <c r="P88" s="7"/>
      <c r="Q88" s="13"/>
      <c r="R88" s="14"/>
      <c r="S88" s="14"/>
      <c r="T88" s="27"/>
      <c r="U88" s="28">
        <f t="shared" si="3"/>
        <v>0.92189913317572891</v>
      </c>
    </row>
    <row r="89" spans="1:21" x14ac:dyDescent="0.25">
      <c r="B89" s="6" t="s">
        <v>97</v>
      </c>
      <c r="C89" s="15">
        <v>1547.36</v>
      </c>
      <c r="D89" s="16">
        <v>44.731000000000002</v>
      </c>
      <c r="E89" s="16">
        <v>46.491999999999997</v>
      </c>
      <c r="F89" s="16">
        <v>46.98</v>
      </c>
      <c r="G89" s="16">
        <v>4.25</v>
      </c>
      <c r="H89" s="16">
        <f t="shared" si="4"/>
        <v>45.232250000000008</v>
      </c>
      <c r="I89" s="5"/>
      <c r="J89" s="15">
        <v>1467.5872999999999</v>
      </c>
      <c r="K89" s="16">
        <v>44.8538</v>
      </c>
      <c r="L89" s="16">
        <v>47.224200000000003</v>
      </c>
      <c r="M89" s="16">
        <v>47.653399999999998</v>
      </c>
      <c r="N89" s="16">
        <v>5.8171999999999997</v>
      </c>
      <c r="O89" s="16">
        <f t="shared" si="5"/>
        <v>45.500049999999995</v>
      </c>
      <c r="P89" s="7"/>
      <c r="Q89" s="8">
        <f>bdrate(C89:C92,D89:D92,J89:J92,K89:K92)</f>
        <v>-8.3220401845796821E-2</v>
      </c>
      <c r="R89" s="8">
        <f>bdrate(C89:C92,E89:E92,J89:J92,L89:L92)</f>
        <v>-0.26637894790073946</v>
      </c>
      <c r="S89" s="8">
        <f>bdrate(C89:C92,F89:F92,J89:J92,M89:M92)</f>
        <v>-0.25958950314493512</v>
      </c>
      <c r="T89" s="25">
        <f>bdrate(C89:C92,H89:H92,J89:J92,O89:O92)</f>
        <v>-0.12309336843878627</v>
      </c>
      <c r="U89" s="28">
        <f t="shared" si="3"/>
        <v>0.36875294117647051</v>
      </c>
    </row>
    <row r="90" spans="1:21" x14ac:dyDescent="0.25">
      <c r="B90" s="9"/>
      <c r="C90" s="17">
        <v>1032.45</v>
      </c>
      <c r="D90" s="18">
        <v>42.692999999999998</v>
      </c>
      <c r="E90" s="18">
        <v>44.798000000000002</v>
      </c>
      <c r="F90" s="18">
        <v>45.232999999999997</v>
      </c>
      <c r="G90" s="18">
        <v>4.95</v>
      </c>
      <c r="H90" s="18">
        <f t="shared" si="4"/>
        <v>43.273625000000003</v>
      </c>
      <c r="I90" s="5"/>
      <c r="J90" s="17">
        <v>987.44929999999999</v>
      </c>
      <c r="K90" s="18">
        <v>42.8795</v>
      </c>
      <c r="L90" s="18">
        <v>45.717599999999997</v>
      </c>
      <c r="M90" s="18">
        <v>46.127200000000002</v>
      </c>
      <c r="N90" s="18">
        <v>7.0185000000000004</v>
      </c>
      <c r="O90" s="18">
        <f t="shared" si="5"/>
        <v>43.640225000000001</v>
      </c>
      <c r="P90" s="7"/>
      <c r="Q90" s="10"/>
      <c r="R90" s="11"/>
      <c r="S90" s="11"/>
      <c r="T90" s="26"/>
      <c r="U90" s="28">
        <f t="shared" si="3"/>
        <v>0.41787878787878791</v>
      </c>
    </row>
    <row r="91" spans="1:21" x14ac:dyDescent="0.25">
      <c r="B91" s="9"/>
      <c r="C91" s="17">
        <v>620.9</v>
      </c>
      <c r="D91" s="18">
        <v>39.991</v>
      </c>
      <c r="E91" s="18">
        <v>42.651000000000003</v>
      </c>
      <c r="F91" s="18">
        <v>43.07</v>
      </c>
      <c r="G91" s="18">
        <v>5.87</v>
      </c>
      <c r="H91" s="18">
        <f t="shared" si="4"/>
        <v>40.708374999999997</v>
      </c>
      <c r="I91" s="5"/>
      <c r="J91" s="17">
        <v>591.37249999999995</v>
      </c>
      <c r="K91" s="18">
        <v>40.225299999999997</v>
      </c>
      <c r="L91" s="18">
        <v>43.737000000000002</v>
      </c>
      <c r="M91" s="18">
        <v>44.1355</v>
      </c>
      <c r="N91" s="18">
        <v>9.0327000000000002</v>
      </c>
      <c r="O91" s="18">
        <f t="shared" si="5"/>
        <v>41.153037499999996</v>
      </c>
      <c r="P91" s="7"/>
      <c r="Q91" s="10"/>
      <c r="R91" s="11"/>
      <c r="S91" s="11"/>
      <c r="T91" s="26"/>
      <c r="U91" s="28">
        <f t="shared" si="3"/>
        <v>0.53879045996592845</v>
      </c>
    </row>
    <row r="92" spans="1:21" ht="16.5" thickBot="1" x14ac:dyDescent="0.3">
      <c r="B92" s="12"/>
      <c r="C92" s="19">
        <v>311.62</v>
      </c>
      <c r="D92" s="20">
        <v>36.292999999999999</v>
      </c>
      <c r="E92" s="20">
        <v>39.902999999999999</v>
      </c>
      <c r="F92" s="20">
        <v>40.36</v>
      </c>
      <c r="G92" s="20">
        <v>7.32</v>
      </c>
      <c r="H92" s="20">
        <f t="shared" ref="H92:H124" si="6">(6*D92+E92+F92)/8</f>
        <v>37.252625000000002</v>
      </c>
      <c r="I92" s="5"/>
      <c r="J92" s="19">
        <v>296.25189999999998</v>
      </c>
      <c r="K92" s="20">
        <v>36.474800000000002</v>
      </c>
      <c r="L92" s="20">
        <v>41.221800000000002</v>
      </c>
      <c r="M92" s="20">
        <v>41.610799999999998</v>
      </c>
      <c r="N92" s="20">
        <v>12.9573</v>
      </c>
      <c r="O92" s="20">
        <f t="shared" ref="O92:O124" si="7">(6*K92+L92+M92)/8</f>
        <v>37.710175</v>
      </c>
      <c r="P92" s="7"/>
      <c r="Q92" s="13"/>
      <c r="R92" s="14"/>
      <c r="S92" s="14"/>
      <c r="T92" s="27"/>
      <c r="U92" s="28">
        <f t="shared" ref="U92:U124" si="8">(N92-G92)/G92</f>
        <v>0.77012295081967208</v>
      </c>
    </row>
    <row r="93" spans="1:21" x14ac:dyDescent="0.25">
      <c r="B93" s="6" t="s">
        <v>98</v>
      </c>
      <c r="C93" s="15">
        <v>1374.22</v>
      </c>
      <c r="D93" s="16">
        <v>40.253</v>
      </c>
      <c r="E93" s="16">
        <v>44.204999999999998</v>
      </c>
      <c r="F93" s="16">
        <v>44.207999999999998</v>
      </c>
      <c r="G93" s="16">
        <v>3.74</v>
      </c>
      <c r="H93" s="16">
        <f t="shared" si="6"/>
        <v>41.241375000000005</v>
      </c>
      <c r="I93" s="5"/>
      <c r="J93" s="29">
        <v>1495.7125000000001</v>
      </c>
      <c r="K93" s="30">
        <v>40.640999999999998</v>
      </c>
      <c r="L93" s="30">
        <v>45.261099999999999</v>
      </c>
      <c r="M93" s="30">
        <v>45.229900000000001</v>
      </c>
      <c r="N93" s="16">
        <v>5.0980999999999996</v>
      </c>
      <c r="O93" s="16">
        <f t="shared" si="7"/>
        <v>41.792124999999999</v>
      </c>
      <c r="P93" s="7"/>
      <c r="Q93" s="8">
        <f>bdrate(C93:C96,D93:D96,J93:J96,K93:K96)</f>
        <v>2.6219665036065321E-2</v>
      </c>
      <c r="R93" s="8">
        <f>bdrate(C93:C96,E93:E96,J93:J96,L93:L96)</f>
        <v>-0.26444610246493061</v>
      </c>
      <c r="S93" s="8">
        <f>bdrate(C93:C96,F93:F96,J93:J96,M93:M96)</f>
        <v>-0.24611730520524999</v>
      </c>
      <c r="T93" s="25">
        <f>bdrate(C93:C96,H93:H96,J93:J96,O93:O96)</f>
        <v>-3.5317978745541212E-2</v>
      </c>
      <c r="U93" s="28">
        <f t="shared" si="8"/>
        <v>0.36312834224598911</v>
      </c>
    </row>
    <row r="94" spans="1:21" x14ac:dyDescent="0.25">
      <c r="B94" s="9"/>
      <c r="C94" s="17">
        <v>914.6</v>
      </c>
      <c r="D94" s="18">
        <v>38.381999999999998</v>
      </c>
      <c r="E94" s="18">
        <v>42.771999999999998</v>
      </c>
      <c r="F94" s="18">
        <v>42.768999999999998</v>
      </c>
      <c r="G94" s="18">
        <v>4.37</v>
      </c>
      <c r="H94" s="18">
        <f t="shared" si="6"/>
        <v>39.479124999999996</v>
      </c>
      <c r="I94" s="5"/>
      <c r="J94" s="31">
        <v>997.71810000000005</v>
      </c>
      <c r="K94" s="32">
        <v>38.703699999999998</v>
      </c>
      <c r="L94" s="32">
        <v>43.905700000000003</v>
      </c>
      <c r="M94" s="32">
        <v>43.881700000000002</v>
      </c>
      <c r="N94" s="18">
        <v>6.2289000000000003</v>
      </c>
      <c r="O94" s="18">
        <f t="shared" si="7"/>
        <v>40.001200000000004</v>
      </c>
      <c r="P94" s="7"/>
      <c r="Q94" s="10"/>
      <c r="R94" s="11"/>
      <c r="S94" s="11"/>
      <c r="T94" s="26"/>
      <c r="U94" s="28">
        <f t="shared" si="8"/>
        <v>0.42537757437070944</v>
      </c>
    </row>
    <row r="95" spans="1:21" x14ac:dyDescent="0.25">
      <c r="B95" s="9"/>
      <c r="C95" s="17">
        <v>546.95000000000005</v>
      </c>
      <c r="D95" s="18">
        <v>36.049999999999997</v>
      </c>
      <c r="E95" s="18">
        <v>41.057000000000002</v>
      </c>
      <c r="F95" s="18">
        <v>41.037999999999997</v>
      </c>
      <c r="G95" s="18">
        <v>5.28</v>
      </c>
      <c r="H95" s="18">
        <f t="shared" si="6"/>
        <v>37.299374999999998</v>
      </c>
      <c r="I95" s="5"/>
      <c r="J95" s="31">
        <v>598.32090000000005</v>
      </c>
      <c r="K95" s="32">
        <v>36.319000000000003</v>
      </c>
      <c r="L95" s="32">
        <v>42.3538</v>
      </c>
      <c r="M95" s="32">
        <v>42.253500000000003</v>
      </c>
      <c r="N95" s="18">
        <v>8.0993999999999993</v>
      </c>
      <c r="O95" s="18">
        <f t="shared" si="7"/>
        <v>37.8151625</v>
      </c>
      <c r="P95" s="7"/>
      <c r="Q95" s="10"/>
      <c r="R95" s="11"/>
      <c r="S95" s="11"/>
      <c r="T95" s="26"/>
      <c r="U95" s="28">
        <f t="shared" si="8"/>
        <v>0.53397727272727247</v>
      </c>
    </row>
    <row r="96" spans="1:21" ht="16.5" thickBot="1" x14ac:dyDescent="0.3">
      <c r="B96" s="12"/>
      <c r="C96" s="19">
        <v>272.08999999999997</v>
      </c>
      <c r="D96" s="20">
        <v>32.945999999999998</v>
      </c>
      <c r="E96" s="20">
        <v>38.796999999999997</v>
      </c>
      <c r="F96" s="20">
        <v>38.746000000000002</v>
      </c>
      <c r="G96" s="20">
        <v>6.71</v>
      </c>
      <c r="H96" s="20">
        <f t="shared" si="6"/>
        <v>34.402374999999999</v>
      </c>
      <c r="I96" s="5"/>
      <c r="J96" s="33">
        <v>299.61290000000002</v>
      </c>
      <c r="K96" s="34">
        <v>33.202199999999998</v>
      </c>
      <c r="L96" s="34">
        <v>40.418599999999998</v>
      </c>
      <c r="M96" s="34">
        <v>40.286900000000003</v>
      </c>
      <c r="N96" s="20">
        <v>11.8161</v>
      </c>
      <c r="O96" s="20">
        <f t="shared" si="7"/>
        <v>34.989837499999993</v>
      </c>
      <c r="P96" s="7"/>
      <c r="Q96" s="13"/>
      <c r="R96" s="14"/>
      <c r="S96" s="14"/>
      <c r="T96" s="27"/>
      <c r="U96" s="28">
        <f t="shared" si="8"/>
        <v>0.76096870342771994</v>
      </c>
    </row>
    <row r="97" spans="2:21" x14ac:dyDescent="0.25">
      <c r="B97" s="6" t="s">
        <v>99</v>
      </c>
      <c r="C97" s="29">
        <v>1519.46</v>
      </c>
      <c r="D97" s="30">
        <v>38.752000000000002</v>
      </c>
      <c r="E97" s="30">
        <v>42.421999999999997</v>
      </c>
      <c r="F97" s="30">
        <v>42.898000000000003</v>
      </c>
      <c r="G97" s="16">
        <v>4.03</v>
      </c>
      <c r="H97" s="16">
        <f t="shared" si="6"/>
        <v>39.728999999999999</v>
      </c>
      <c r="I97" s="5"/>
      <c r="J97" s="15">
        <v>1506.6315999999999</v>
      </c>
      <c r="K97" s="16">
        <v>38.923299999999998</v>
      </c>
      <c r="L97" s="16">
        <v>43.769599999999997</v>
      </c>
      <c r="M97" s="16">
        <v>44.272500000000001</v>
      </c>
      <c r="N97" s="16">
        <v>6.4263000000000003</v>
      </c>
      <c r="O97" s="16">
        <f t="shared" si="7"/>
        <v>40.197737499999995</v>
      </c>
      <c r="P97" s="7"/>
      <c r="Q97" s="8">
        <f>bdrate(C97:C100,D97:D100,J97:J100,K97:K100)</f>
        <v>-1.3184689138674655E-2</v>
      </c>
      <c r="R97" s="8">
        <f>bdrate(C97:C100,E97:E100,J97:J100,L97:L100)</f>
        <v>-0.35053077712497993</v>
      </c>
      <c r="S97" s="8">
        <f>bdrate(C97:C100,F97:F100,J97:J100,M97:M100)</f>
        <v>-0.36240270816665876</v>
      </c>
      <c r="T97" s="25">
        <f>bdrate(C97:C100,H97:H100,J97:J100,O97:O100)</f>
        <v>-9.4503111406621154E-2</v>
      </c>
      <c r="U97" s="28">
        <f t="shared" si="8"/>
        <v>0.59461538461538466</v>
      </c>
    </row>
    <row r="98" spans="2:21" x14ac:dyDescent="0.25">
      <c r="B98" s="9"/>
      <c r="C98" s="31">
        <v>1014.22</v>
      </c>
      <c r="D98" s="32">
        <v>36.837000000000003</v>
      </c>
      <c r="E98" s="32">
        <v>40.783999999999999</v>
      </c>
      <c r="F98" s="32">
        <v>41.308</v>
      </c>
      <c r="G98" s="18">
        <v>4.7</v>
      </c>
      <c r="H98" s="18">
        <f t="shared" si="6"/>
        <v>37.889250000000004</v>
      </c>
      <c r="I98" s="5"/>
      <c r="J98" s="17">
        <v>1012.8235</v>
      </c>
      <c r="K98" s="18">
        <v>36.989800000000002</v>
      </c>
      <c r="L98" s="18">
        <v>42.351300000000002</v>
      </c>
      <c r="M98" s="18">
        <v>42.905999999999999</v>
      </c>
      <c r="N98" s="18">
        <v>7.9036</v>
      </c>
      <c r="O98" s="18">
        <f t="shared" si="7"/>
        <v>38.3995125</v>
      </c>
      <c r="P98" s="7"/>
      <c r="Q98" s="10"/>
      <c r="R98" s="11"/>
      <c r="S98" s="11"/>
      <c r="T98" s="26"/>
      <c r="U98" s="28">
        <f t="shared" si="8"/>
        <v>0.68161702127659562</v>
      </c>
    </row>
    <row r="99" spans="2:21" x14ac:dyDescent="0.25">
      <c r="B99" s="9"/>
      <c r="C99" s="31">
        <v>609.74</v>
      </c>
      <c r="D99" s="32">
        <v>34.487000000000002</v>
      </c>
      <c r="E99" s="32">
        <v>38.872</v>
      </c>
      <c r="F99" s="32">
        <v>39.494</v>
      </c>
      <c r="G99" s="18">
        <v>5.66</v>
      </c>
      <c r="H99" s="18">
        <f t="shared" si="6"/>
        <v>35.661000000000001</v>
      </c>
      <c r="I99" s="5"/>
      <c r="J99" s="17">
        <v>604.28089999999997</v>
      </c>
      <c r="K99" s="18">
        <v>34.477800000000002</v>
      </c>
      <c r="L99" s="18">
        <v>40.4255</v>
      </c>
      <c r="M99" s="18">
        <v>41.030500000000004</v>
      </c>
      <c r="N99" s="18">
        <v>10.0702</v>
      </c>
      <c r="O99" s="18">
        <f t="shared" si="7"/>
        <v>36.040350000000004</v>
      </c>
      <c r="P99" s="7"/>
      <c r="Q99" s="10"/>
      <c r="R99" s="11"/>
      <c r="S99" s="11"/>
      <c r="T99" s="26"/>
      <c r="U99" s="28">
        <f t="shared" si="8"/>
        <v>0.77918727915194341</v>
      </c>
    </row>
    <row r="100" spans="2:21" ht="16.5" thickBot="1" x14ac:dyDescent="0.3">
      <c r="B100" s="12"/>
      <c r="C100" s="33">
        <v>304.27999999999997</v>
      </c>
      <c r="D100" s="34">
        <v>31.248999999999999</v>
      </c>
      <c r="E100" s="34">
        <v>36.412999999999997</v>
      </c>
      <c r="F100" s="34">
        <v>37.183</v>
      </c>
      <c r="G100" s="20">
        <v>7.24</v>
      </c>
      <c r="H100" s="20">
        <f t="shared" si="6"/>
        <v>32.636249999999997</v>
      </c>
      <c r="I100" s="5"/>
      <c r="J100" s="19">
        <v>304.4085</v>
      </c>
      <c r="K100" s="20">
        <v>31.1572</v>
      </c>
      <c r="L100" s="20">
        <v>38.101500000000001</v>
      </c>
      <c r="M100" s="20">
        <v>38.826500000000003</v>
      </c>
      <c r="N100" s="20">
        <v>14.2082</v>
      </c>
      <c r="O100" s="20">
        <f t="shared" si="7"/>
        <v>32.983899999999998</v>
      </c>
      <c r="P100" s="7"/>
      <c r="Q100" s="13"/>
      <c r="R100" s="14"/>
      <c r="S100" s="14"/>
      <c r="T100" s="27"/>
      <c r="U100" s="28">
        <f t="shared" si="8"/>
        <v>0.96245856353591153</v>
      </c>
    </row>
    <row r="101" spans="2:21" x14ac:dyDescent="0.25">
      <c r="B101" s="6" t="s">
        <v>100</v>
      </c>
      <c r="C101" s="15">
        <v>1509.67</v>
      </c>
      <c r="D101" s="16">
        <v>38.631999999999998</v>
      </c>
      <c r="E101" s="16">
        <v>43.71</v>
      </c>
      <c r="F101" s="16">
        <v>45.487000000000002</v>
      </c>
      <c r="G101" s="16">
        <v>3.4</v>
      </c>
      <c r="H101" s="16">
        <f t="shared" si="6"/>
        <v>40.123624999999997</v>
      </c>
      <c r="I101" s="5"/>
      <c r="J101" s="15">
        <v>1510.4783</v>
      </c>
      <c r="K101" s="16">
        <v>38.637</v>
      </c>
      <c r="L101" s="16">
        <v>44.662999999999997</v>
      </c>
      <c r="M101" s="16">
        <v>46.240299999999998</v>
      </c>
      <c r="N101" s="16">
        <v>4.6669</v>
      </c>
      <c r="O101" s="16">
        <f t="shared" si="7"/>
        <v>40.340662500000001</v>
      </c>
      <c r="P101" s="7"/>
      <c r="Q101" s="8">
        <f>bdrate(C101:C104,D101:D104,J101:J104,K101:K104)</f>
        <v>9.503461075447639E-3</v>
      </c>
      <c r="R101" s="8">
        <f>bdrate(C101:C104,E101:E104,J101:J104,L101:L104)</f>
        <v>-0.40088267276040557</v>
      </c>
      <c r="S101" s="8">
        <f>bdrate(C101:C104,F101:F104,J101:J104,M101:M104)</f>
        <v>-0.32569918010533194</v>
      </c>
      <c r="T101" s="25">
        <f>bdrate(C101:C104,H101:H104,J101:J104,O101:O104)</f>
        <v>-7.8694552543833729E-2</v>
      </c>
      <c r="U101" s="28">
        <f t="shared" si="8"/>
        <v>0.37261764705882355</v>
      </c>
    </row>
    <row r="102" spans="2:21" x14ac:dyDescent="0.25">
      <c r="B102" s="9"/>
      <c r="C102" s="17">
        <v>1006.19</v>
      </c>
      <c r="D102" s="18">
        <v>37.143000000000001</v>
      </c>
      <c r="E102" s="18">
        <v>42.625999999999998</v>
      </c>
      <c r="F102" s="18">
        <v>44.320999999999998</v>
      </c>
      <c r="G102" s="18">
        <v>4.05</v>
      </c>
      <c r="H102" s="18">
        <f t="shared" si="6"/>
        <v>38.725624999999994</v>
      </c>
      <c r="I102" s="5"/>
      <c r="J102" s="17">
        <v>1007.9017</v>
      </c>
      <c r="K102" s="18">
        <v>37.117400000000004</v>
      </c>
      <c r="L102" s="18">
        <v>43.696899999999999</v>
      </c>
      <c r="M102" s="18">
        <v>45.208399999999997</v>
      </c>
      <c r="N102" s="18">
        <v>5.7557</v>
      </c>
      <c r="O102" s="18">
        <f t="shared" si="7"/>
        <v>38.951212499999997</v>
      </c>
      <c r="P102" s="7"/>
      <c r="Q102" s="10"/>
      <c r="R102" s="11"/>
      <c r="S102" s="11"/>
      <c r="T102" s="26"/>
      <c r="U102" s="28">
        <f t="shared" si="8"/>
        <v>0.42116049382716059</v>
      </c>
    </row>
    <row r="103" spans="2:21" x14ac:dyDescent="0.25">
      <c r="B103" s="9"/>
      <c r="C103" s="17">
        <v>603.82000000000005</v>
      </c>
      <c r="D103" s="18">
        <v>35.39</v>
      </c>
      <c r="E103" s="18">
        <v>41.283000000000001</v>
      </c>
      <c r="F103" s="18">
        <v>42.872</v>
      </c>
      <c r="G103" s="18">
        <v>5.0199999999999996</v>
      </c>
      <c r="H103" s="18">
        <f t="shared" si="6"/>
        <v>37.061875000000001</v>
      </c>
      <c r="I103" s="5"/>
      <c r="J103" s="17">
        <v>603.81650000000002</v>
      </c>
      <c r="K103" s="18">
        <v>35.368299999999998</v>
      </c>
      <c r="L103" s="18">
        <v>42.587299999999999</v>
      </c>
      <c r="M103" s="18">
        <v>43.974200000000003</v>
      </c>
      <c r="N103" s="18">
        <v>7.6414</v>
      </c>
      <c r="O103" s="18">
        <f t="shared" si="7"/>
        <v>37.3464125</v>
      </c>
      <c r="P103" s="7"/>
      <c r="Q103" s="10"/>
      <c r="R103" s="11"/>
      <c r="S103" s="11"/>
      <c r="T103" s="26"/>
      <c r="U103" s="28">
        <f t="shared" si="8"/>
        <v>0.52219123505976106</v>
      </c>
    </row>
    <row r="104" spans="2:21" ht="16.5" thickBot="1" x14ac:dyDescent="0.3">
      <c r="B104" s="12"/>
      <c r="C104" s="19">
        <v>302.07</v>
      </c>
      <c r="D104" s="20">
        <v>33.210999999999999</v>
      </c>
      <c r="E104" s="20">
        <v>39.674999999999997</v>
      </c>
      <c r="F104" s="20">
        <v>41.008000000000003</v>
      </c>
      <c r="G104" s="20">
        <v>6.56</v>
      </c>
      <c r="H104" s="20">
        <f t="shared" si="6"/>
        <v>34.993624999999994</v>
      </c>
      <c r="I104" s="5"/>
      <c r="J104" s="19">
        <v>300.36399999999998</v>
      </c>
      <c r="K104" s="20">
        <v>33.113</v>
      </c>
      <c r="L104" s="20">
        <v>41.094499999999996</v>
      </c>
      <c r="M104" s="20">
        <v>42.318100000000001</v>
      </c>
      <c r="N104" s="20">
        <v>11.379200000000001</v>
      </c>
      <c r="O104" s="20">
        <f t="shared" si="7"/>
        <v>35.261324999999999</v>
      </c>
      <c r="P104" s="7"/>
      <c r="Q104" s="13"/>
      <c r="R104" s="14"/>
      <c r="S104" s="14"/>
      <c r="T104" s="27"/>
      <c r="U104" s="28">
        <f t="shared" si="8"/>
        <v>0.73463414634146362</v>
      </c>
    </row>
    <row r="105" spans="2:21" x14ac:dyDescent="0.25">
      <c r="B105" s="6" t="s">
        <v>101</v>
      </c>
      <c r="C105" s="15">
        <v>1618.41</v>
      </c>
      <c r="D105" s="16">
        <v>50.488</v>
      </c>
      <c r="E105" s="16">
        <v>55.286999999999999</v>
      </c>
      <c r="F105" s="16">
        <v>56.558999999999997</v>
      </c>
      <c r="G105" s="16">
        <v>4.12</v>
      </c>
      <c r="H105" s="16">
        <f t="shared" si="6"/>
        <v>51.84675</v>
      </c>
      <c r="I105" s="5"/>
      <c r="J105" s="15">
        <v>1496.4543000000001</v>
      </c>
      <c r="K105" s="16">
        <v>50.625700000000002</v>
      </c>
      <c r="L105" s="16">
        <v>55.553600000000003</v>
      </c>
      <c r="M105" s="16">
        <v>56.8964</v>
      </c>
      <c r="N105" s="16">
        <v>5.8193000000000001</v>
      </c>
      <c r="O105" s="16">
        <f t="shared" si="7"/>
        <v>52.025525000000002</v>
      </c>
      <c r="P105" s="7"/>
      <c r="Q105" s="8">
        <f>bdrate(C105:C108,D105:D108,J105:J108,K105:K108)</f>
        <v>-0.13570689209850273</v>
      </c>
      <c r="R105" s="8">
        <f>bdrate(C105:C108,E105:E108,J105:J108,L105:L108)</f>
        <v>-0.19752214954537228</v>
      </c>
      <c r="S105" s="8">
        <f>bdrate(C105:C108,F105:F108,J105:J108,M105:M108)</f>
        <v>-0.21006422484036769</v>
      </c>
      <c r="T105" s="25">
        <f>bdrate(C105:C108,H105:H108,J105:J108,O105:O108)</f>
        <v>-0.15162262309381158</v>
      </c>
      <c r="U105" s="28">
        <f t="shared" si="8"/>
        <v>0.41245145631067959</v>
      </c>
    </row>
    <row r="106" spans="2:21" x14ac:dyDescent="0.25">
      <c r="B106" s="9"/>
      <c r="C106" s="17">
        <v>1074.1199999999999</v>
      </c>
      <c r="D106" s="18">
        <v>48.726999999999997</v>
      </c>
      <c r="E106" s="18">
        <v>53.765000000000001</v>
      </c>
      <c r="F106" s="18">
        <v>55.145000000000003</v>
      </c>
      <c r="G106" s="18">
        <v>4.95</v>
      </c>
      <c r="H106" s="18">
        <f t="shared" si="6"/>
        <v>50.158999999999992</v>
      </c>
      <c r="I106" s="5"/>
      <c r="J106" s="17">
        <v>999.47730000000001</v>
      </c>
      <c r="K106" s="18">
        <v>49.035400000000003</v>
      </c>
      <c r="L106" s="18">
        <v>54.215200000000003</v>
      </c>
      <c r="M106" s="18">
        <v>55.654899999999998</v>
      </c>
      <c r="N106" s="18">
        <v>7.1631999999999998</v>
      </c>
      <c r="O106" s="18">
        <f t="shared" si="7"/>
        <v>50.510312499999998</v>
      </c>
      <c r="P106" s="7"/>
      <c r="Q106" s="10"/>
      <c r="R106" s="11"/>
      <c r="S106" s="11"/>
      <c r="T106" s="26"/>
      <c r="U106" s="28">
        <f t="shared" si="8"/>
        <v>0.44711111111111101</v>
      </c>
    </row>
    <row r="107" spans="2:21" x14ac:dyDescent="0.25">
      <c r="B107" s="9"/>
      <c r="C107" s="17">
        <v>640.59</v>
      </c>
      <c r="D107" s="18">
        <v>46.484999999999999</v>
      </c>
      <c r="E107" s="18">
        <v>51.805999999999997</v>
      </c>
      <c r="F107" s="18">
        <v>53.268999999999998</v>
      </c>
      <c r="G107" s="18">
        <v>6.21</v>
      </c>
      <c r="H107" s="18">
        <f t="shared" si="6"/>
        <v>47.998124999999995</v>
      </c>
      <c r="I107" s="5"/>
      <c r="J107" s="17">
        <v>600.58370000000002</v>
      </c>
      <c r="K107" s="18">
        <v>46.8932</v>
      </c>
      <c r="L107" s="18">
        <v>52.443300000000001</v>
      </c>
      <c r="M107" s="18">
        <v>53.9375</v>
      </c>
      <c r="N107" s="18">
        <v>9.7373999999999992</v>
      </c>
      <c r="O107" s="18">
        <f t="shared" si="7"/>
        <v>48.467500000000001</v>
      </c>
      <c r="P107" s="7"/>
      <c r="Q107" s="10"/>
      <c r="R107" s="11"/>
      <c r="S107" s="11"/>
      <c r="T107" s="26"/>
      <c r="U107" s="28">
        <f t="shared" si="8"/>
        <v>0.56801932367149743</v>
      </c>
    </row>
    <row r="108" spans="2:21" ht="16.5" thickBot="1" x14ac:dyDescent="0.3">
      <c r="B108" s="12"/>
      <c r="C108" s="19">
        <v>318.95999999999998</v>
      </c>
      <c r="D108" s="20">
        <v>43.505000000000003</v>
      </c>
      <c r="E108" s="20">
        <v>48.951999999999998</v>
      </c>
      <c r="F108" s="20">
        <v>50.408999999999999</v>
      </c>
      <c r="G108" s="20">
        <v>7.95</v>
      </c>
      <c r="H108" s="20">
        <f t="shared" si="6"/>
        <v>45.048875000000002</v>
      </c>
      <c r="I108" s="5"/>
      <c r="J108" s="19">
        <v>300.80500000000001</v>
      </c>
      <c r="K108" s="20">
        <v>43.789499999999997</v>
      </c>
      <c r="L108" s="20">
        <v>49.752299999999998</v>
      </c>
      <c r="M108" s="20">
        <v>51.219299999999997</v>
      </c>
      <c r="N108" s="20">
        <v>15.0982</v>
      </c>
      <c r="O108" s="20">
        <f t="shared" si="7"/>
        <v>45.463574999999992</v>
      </c>
      <c r="P108" s="7"/>
      <c r="Q108" s="13"/>
      <c r="R108" s="14"/>
      <c r="S108" s="14"/>
      <c r="T108" s="27"/>
      <c r="U108" s="28">
        <f t="shared" si="8"/>
        <v>0.89914465408805033</v>
      </c>
    </row>
    <row r="109" spans="2:21" x14ac:dyDescent="0.25">
      <c r="B109" s="6" t="s">
        <v>102</v>
      </c>
      <c r="C109" s="15">
        <v>1465.76</v>
      </c>
      <c r="D109" s="16">
        <v>33.789000000000001</v>
      </c>
      <c r="E109" s="16">
        <v>40.877000000000002</v>
      </c>
      <c r="F109" s="16">
        <v>40.393000000000001</v>
      </c>
      <c r="G109" s="16">
        <v>3.25</v>
      </c>
      <c r="H109" s="16">
        <f t="shared" si="6"/>
        <v>35.500500000000002</v>
      </c>
      <c r="I109" s="5"/>
      <c r="J109" s="15">
        <v>1495.5568000000001</v>
      </c>
      <c r="K109" s="16">
        <v>33.629600000000003</v>
      </c>
      <c r="L109" s="16">
        <v>41.9848</v>
      </c>
      <c r="M109" s="16">
        <v>41.430999999999997</v>
      </c>
      <c r="N109" s="16">
        <v>4.0782999999999996</v>
      </c>
      <c r="O109" s="16">
        <f t="shared" si="7"/>
        <v>35.649175</v>
      </c>
      <c r="P109" s="7"/>
      <c r="Q109" s="8">
        <f>bdrate(C109:C112,D109:D112,J109:J112,K109:K112)</f>
        <v>-1.9457228404364257E-2</v>
      </c>
      <c r="R109" s="8">
        <f>bdrate(C109:C112,E109:E112,J109:J112,L109:L112)</f>
        <v>-0.41752978685171949</v>
      </c>
      <c r="S109" s="8">
        <f>bdrate(C109:C112,F109:F112,J109:J112,M109:M112)</f>
        <v>-0.40444821877890047</v>
      </c>
      <c r="T109" s="25">
        <f>bdrate(C109:C112,H109:H112,J109:J112,O109:O112)</f>
        <v>-0.10203890165474727</v>
      </c>
      <c r="U109" s="28">
        <f t="shared" si="8"/>
        <v>0.25486153846153836</v>
      </c>
    </row>
    <row r="110" spans="2:21" x14ac:dyDescent="0.25">
      <c r="B110" s="9"/>
      <c r="C110" s="17">
        <v>974.87</v>
      </c>
      <c r="D110" s="18">
        <v>32.036999999999999</v>
      </c>
      <c r="E110" s="18">
        <v>39.630000000000003</v>
      </c>
      <c r="F110" s="18">
        <v>39.094999999999999</v>
      </c>
      <c r="G110" s="18">
        <v>3.81</v>
      </c>
      <c r="H110" s="18">
        <f t="shared" si="6"/>
        <v>33.868375</v>
      </c>
      <c r="I110" s="5"/>
      <c r="J110" s="17">
        <v>996.09429999999998</v>
      </c>
      <c r="K110" s="18">
        <v>31.956800000000001</v>
      </c>
      <c r="L110" s="18">
        <v>41.0334</v>
      </c>
      <c r="M110" s="18">
        <v>40.4846</v>
      </c>
      <c r="N110" s="18">
        <v>4.9783999999999997</v>
      </c>
      <c r="O110" s="18">
        <f t="shared" si="7"/>
        <v>34.157350000000001</v>
      </c>
      <c r="P110" s="7"/>
      <c r="Q110" s="10"/>
      <c r="R110" s="11"/>
      <c r="S110" s="11"/>
      <c r="T110" s="26"/>
      <c r="U110" s="28">
        <f t="shared" si="8"/>
        <v>0.30666666666666659</v>
      </c>
    </row>
    <row r="111" spans="2:21" x14ac:dyDescent="0.25">
      <c r="B111" s="9"/>
      <c r="C111" s="17">
        <v>584.86</v>
      </c>
      <c r="D111" s="18">
        <v>29.736999999999998</v>
      </c>
      <c r="E111" s="18">
        <v>38.009</v>
      </c>
      <c r="F111" s="18">
        <v>37.417000000000002</v>
      </c>
      <c r="G111" s="18">
        <v>4.8499999999999996</v>
      </c>
      <c r="H111" s="18">
        <f t="shared" si="6"/>
        <v>31.730999999999998</v>
      </c>
      <c r="I111" s="5"/>
      <c r="J111" s="17">
        <v>597.01850000000002</v>
      </c>
      <c r="K111" s="18">
        <v>29.758600000000001</v>
      </c>
      <c r="L111" s="18">
        <v>39.777000000000001</v>
      </c>
      <c r="M111" s="18">
        <v>39.167700000000004</v>
      </c>
      <c r="N111" s="18">
        <v>6.6043000000000003</v>
      </c>
      <c r="O111" s="18">
        <f t="shared" si="7"/>
        <v>32.187037500000002</v>
      </c>
      <c r="P111" s="7"/>
      <c r="Q111" s="10"/>
      <c r="R111" s="11"/>
      <c r="S111" s="11"/>
      <c r="T111" s="26"/>
      <c r="U111" s="28">
        <f t="shared" si="8"/>
        <v>0.36171134020618573</v>
      </c>
    </row>
    <row r="112" spans="2:21" ht="16.5" thickBot="1" x14ac:dyDescent="0.3">
      <c r="B112" s="12"/>
      <c r="C112" s="19">
        <v>323.18</v>
      </c>
      <c r="D112" s="20">
        <v>24.952999999999999</v>
      </c>
      <c r="E112" s="20">
        <v>34.014000000000003</v>
      </c>
      <c r="F112" s="20">
        <v>33.520000000000003</v>
      </c>
      <c r="G112" s="20">
        <v>6.72</v>
      </c>
      <c r="H112" s="20">
        <f t="shared" si="6"/>
        <v>27.156500000000001</v>
      </c>
      <c r="I112" s="5"/>
      <c r="J112" s="19">
        <v>298.74279999999999</v>
      </c>
      <c r="K112" s="20">
        <v>26.863700000000001</v>
      </c>
      <c r="L112" s="20">
        <v>37.7226</v>
      </c>
      <c r="M112" s="20">
        <v>37.102800000000002</v>
      </c>
      <c r="N112" s="20">
        <v>9.9943000000000008</v>
      </c>
      <c r="O112" s="20">
        <f t="shared" si="7"/>
        <v>29.500950000000003</v>
      </c>
      <c r="P112" s="7"/>
      <c r="Q112" s="13"/>
      <c r="R112" s="14"/>
      <c r="S112" s="14"/>
      <c r="T112" s="27"/>
      <c r="U112" s="28">
        <f t="shared" si="8"/>
        <v>0.487247023809524</v>
      </c>
    </row>
    <row r="113" spans="2:21" x14ac:dyDescent="0.25">
      <c r="B113" s="6" t="s">
        <v>103</v>
      </c>
      <c r="C113" s="15">
        <v>1663.34</v>
      </c>
      <c r="D113" s="16">
        <v>47.97</v>
      </c>
      <c r="E113" s="16">
        <v>48.600999999999999</v>
      </c>
      <c r="F113" s="16">
        <v>48.572000000000003</v>
      </c>
      <c r="G113" s="16">
        <v>4.41</v>
      </c>
      <c r="H113" s="16">
        <f t="shared" si="6"/>
        <v>48.124124999999999</v>
      </c>
      <c r="I113" s="5"/>
      <c r="J113" s="15">
        <v>1372.9852000000001</v>
      </c>
      <c r="K113" s="16">
        <v>47.369100000000003</v>
      </c>
      <c r="L113" s="16">
        <v>48.682600000000001</v>
      </c>
      <c r="M113" s="16">
        <v>48.574800000000003</v>
      </c>
      <c r="N113" s="16">
        <v>6.1871999999999998</v>
      </c>
      <c r="O113" s="16">
        <f t="shared" si="7"/>
        <v>47.683999999999997</v>
      </c>
      <c r="P113" s="7"/>
      <c r="Q113" s="8">
        <f>bdrate(C113:C116,D113:D116,J113:J116,K113:K116)</f>
        <v>-7.9863198156167936E-2</v>
      </c>
      <c r="R113" s="8">
        <f>bdrate(C113:C116,E113:E116,J113:J116,L113:L116)</f>
        <v>-0.24594135537646067</v>
      </c>
      <c r="S113" s="8">
        <f>bdrate(C113:C116,F113:F116,J113:J116,M113:M116)</f>
        <v>-0.23802710510026048</v>
      </c>
      <c r="T113" s="25">
        <f>bdrate(C113:C116,H113:H116,J113:J116,O113:O116)</f>
        <v>-0.11768182498629842</v>
      </c>
      <c r="U113" s="28">
        <f t="shared" si="8"/>
        <v>0.40299319727891147</v>
      </c>
    </row>
    <row r="114" spans="2:21" x14ac:dyDescent="0.25">
      <c r="B114" s="9"/>
      <c r="C114" s="17">
        <v>1099.4100000000001</v>
      </c>
      <c r="D114" s="18">
        <v>46.033000000000001</v>
      </c>
      <c r="E114" s="18">
        <v>46.781999999999996</v>
      </c>
      <c r="F114" s="18">
        <v>46.698</v>
      </c>
      <c r="G114" s="18">
        <v>5.13</v>
      </c>
      <c r="H114" s="18">
        <f t="shared" si="6"/>
        <v>46.209749999999993</v>
      </c>
      <c r="I114" s="5"/>
      <c r="J114" s="17">
        <v>933.43690000000004</v>
      </c>
      <c r="K114" s="18">
        <v>45.869399999999999</v>
      </c>
      <c r="L114" s="18">
        <v>47.346800000000002</v>
      </c>
      <c r="M114" s="18">
        <v>47.227699999999999</v>
      </c>
      <c r="N114" s="18">
        <v>7.4561999999999999</v>
      </c>
      <c r="O114" s="18">
        <f t="shared" si="7"/>
        <v>46.22386250000001</v>
      </c>
      <c r="P114" s="7"/>
      <c r="Q114" s="10"/>
      <c r="R114" s="11"/>
      <c r="S114" s="11"/>
      <c r="T114" s="26"/>
      <c r="U114" s="28">
        <f t="shared" si="8"/>
        <v>0.45345029239766083</v>
      </c>
    </row>
    <row r="115" spans="2:21" x14ac:dyDescent="0.25">
      <c r="B115" s="9"/>
      <c r="C115" s="17">
        <v>654.26</v>
      </c>
      <c r="D115" s="18">
        <v>43.366</v>
      </c>
      <c r="E115" s="18">
        <v>44.341999999999999</v>
      </c>
      <c r="F115" s="18">
        <v>44.213999999999999</v>
      </c>
      <c r="G115" s="18">
        <v>6.02</v>
      </c>
      <c r="H115" s="18">
        <f t="shared" si="6"/>
        <v>43.594000000000001</v>
      </c>
      <c r="I115" s="5"/>
      <c r="J115" s="17">
        <v>583.77599999999995</v>
      </c>
      <c r="K115" s="18">
        <v>43.235599999999998</v>
      </c>
      <c r="L115" s="18">
        <v>45.235500000000002</v>
      </c>
      <c r="M115" s="18">
        <v>45.080399999999997</v>
      </c>
      <c r="N115" s="18">
        <v>9.5945999999999998</v>
      </c>
      <c r="O115" s="18">
        <f t="shared" si="7"/>
        <v>43.716187499999997</v>
      </c>
      <c r="P115" s="7"/>
      <c r="Q115" s="10"/>
      <c r="R115" s="11"/>
      <c r="S115" s="11"/>
      <c r="T115" s="26"/>
      <c r="U115" s="28">
        <f t="shared" si="8"/>
        <v>0.59378737541528248</v>
      </c>
    </row>
    <row r="116" spans="2:21" ht="16.5" thickBot="1" x14ac:dyDescent="0.3">
      <c r="B116" s="12"/>
      <c r="C116" s="19">
        <v>323.16000000000003</v>
      </c>
      <c r="D116" s="20">
        <v>39.095999999999997</v>
      </c>
      <c r="E116" s="20">
        <v>40.710999999999999</v>
      </c>
      <c r="F116" s="20">
        <v>40.512999999999998</v>
      </c>
      <c r="G116" s="20">
        <v>7.84</v>
      </c>
      <c r="H116" s="20">
        <f t="shared" si="6"/>
        <v>39.474999999999994</v>
      </c>
      <c r="I116" s="5"/>
      <c r="J116" s="19">
        <v>298.95530000000002</v>
      </c>
      <c r="K116" s="20">
        <v>38.643700000000003</v>
      </c>
      <c r="L116" s="20">
        <v>41.618600000000001</v>
      </c>
      <c r="M116" s="20">
        <v>41.395400000000002</v>
      </c>
      <c r="N116" s="20">
        <v>13.861599999999999</v>
      </c>
      <c r="O116" s="20">
        <f t="shared" si="7"/>
        <v>39.359525000000005</v>
      </c>
      <c r="P116" s="7"/>
      <c r="Q116" s="13"/>
      <c r="R116" s="14"/>
      <c r="S116" s="14"/>
      <c r="T116" s="27"/>
      <c r="U116" s="28">
        <f t="shared" si="8"/>
        <v>0.76806122448979586</v>
      </c>
    </row>
    <row r="117" spans="2:21" x14ac:dyDescent="0.25">
      <c r="B117" s="6" t="s">
        <v>104</v>
      </c>
      <c r="C117" s="15">
        <v>1943.89</v>
      </c>
      <c r="D117" s="16">
        <v>47.683999999999997</v>
      </c>
      <c r="E117" s="16">
        <v>49.5</v>
      </c>
      <c r="F117" s="16">
        <v>49.744999999999997</v>
      </c>
      <c r="G117" s="16">
        <v>4.13</v>
      </c>
      <c r="H117" s="16">
        <f t="shared" si="6"/>
        <v>48.168624999999999</v>
      </c>
      <c r="I117" s="5"/>
      <c r="J117" s="15">
        <v>1371.5779</v>
      </c>
      <c r="K117" s="16">
        <v>47.609400000000001</v>
      </c>
      <c r="L117" s="16">
        <v>50.289900000000003</v>
      </c>
      <c r="M117" s="16">
        <v>50.365200000000002</v>
      </c>
      <c r="N117" s="16">
        <v>8.0983000000000001</v>
      </c>
      <c r="O117" s="16">
        <f t="shared" si="7"/>
        <v>48.288937500000003</v>
      </c>
      <c r="P117" s="7"/>
      <c r="Q117" s="8">
        <f>bdrate(C117:C120,D117:D120,J117:J120,K117:K120)</f>
        <v>-0.27992772066773264</v>
      </c>
      <c r="R117" s="8">
        <f>bdrate(C117:C120,E117:E120,J117:J120,L117:L120)</f>
        <v>-0.42829800598637924</v>
      </c>
      <c r="S117" s="8">
        <f>bdrate(C117:C120,F117:F120,J117:J120,M117:M120)</f>
        <v>-0.42674972986110304</v>
      </c>
      <c r="T117" s="25">
        <f>bdrate(C117:C120,H117:H120,J117:J120,O117:O120)</f>
        <v>-0.31893997417297648</v>
      </c>
      <c r="U117" s="28">
        <f t="shared" si="8"/>
        <v>0.96084745762711876</v>
      </c>
    </row>
    <row r="118" spans="2:21" x14ac:dyDescent="0.25">
      <c r="B118" s="9"/>
      <c r="C118" s="17">
        <v>1267.5999999999999</v>
      </c>
      <c r="D118" s="18">
        <v>45.131</v>
      </c>
      <c r="E118" s="18">
        <v>47.061</v>
      </c>
      <c r="F118" s="18">
        <v>47.298999999999999</v>
      </c>
      <c r="G118" s="18">
        <v>4.9000000000000004</v>
      </c>
      <c r="H118" s="18">
        <f t="shared" si="6"/>
        <v>45.643249999999995</v>
      </c>
      <c r="I118" s="5"/>
      <c r="J118" s="17">
        <v>952.62670000000003</v>
      </c>
      <c r="K118" s="18">
        <v>46.317799999999998</v>
      </c>
      <c r="L118" s="18">
        <v>49.261299999999999</v>
      </c>
      <c r="M118" s="18">
        <v>49.348599999999998</v>
      </c>
      <c r="N118" s="18">
        <v>9.8728999999999996</v>
      </c>
      <c r="O118" s="18">
        <f t="shared" si="7"/>
        <v>47.064587499999995</v>
      </c>
      <c r="P118" s="7"/>
      <c r="Q118" s="10"/>
      <c r="R118" s="11"/>
      <c r="S118" s="11"/>
      <c r="T118" s="26"/>
      <c r="U118" s="28">
        <f t="shared" si="8"/>
        <v>1.014877551020408</v>
      </c>
    </row>
    <row r="119" spans="2:21" x14ac:dyDescent="0.25">
      <c r="B119" s="9"/>
      <c r="C119" s="17">
        <v>742.18</v>
      </c>
      <c r="D119" s="18">
        <v>42.338999999999999</v>
      </c>
      <c r="E119" s="18">
        <v>44.320999999999998</v>
      </c>
      <c r="F119" s="18">
        <v>44.594999999999999</v>
      </c>
      <c r="G119" s="18">
        <v>5.92</v>
      </c>
      <c r="H119" s="18">
        <f t="shared" si="6"/>
        <v>42.868750000000006</v>
      </c>
      <c r="I119" s="5"/>
      <c r="J119" s="17">
        <v>623.98490000000004</v>
      </c>
      <c r="K119" s="18">
        <v>43.230600000000003</v>
      </c>
      <c r="L119" s="18">
        <v>46.342700000000001</v>
      </c>
      <c r="M119" s="18">
        <v>46.622599999999998</v>
      </c>
      <c r="N119" s="18">
        <v>12.0092</v>
      </c>
      <c r="O119" s="18">
        <f t="shared" si="7"/>
        <v>44.043612499999995</v>
      </c>
      <c r="P119" s="7"/>
      <c r="Q119" s="10"/>
      <c r="R119" s="11"/>
      <c r="S119" s="11"/>
      <c r="T119" s="26"/>
      <c r="U119" s="28">
        <f t="shared" si="8"/>
        <v>1.0285810810810811</v>
      </c>
    </row>
    <row r="120" spans="2:21" ht="16.5" thickBot="1" x14ac:dyDescent="0.3">
      <c r="B120" s="12"/>
      <c r="C120" s="19">
        <v>356.05</v>
      </c>
      <c r="D120" s="20">
        <v>38.603000000000002</v>
      </c>
      <c r="E120" s="20">
        <v>40.822000000000003</v>
      </c>
      <c r="F120" s="20">
        <v>41.173999999999999</v>
      </c>
      <c r="G120" s="20">
        <v>7.71</v>
      </c>
      <c r="H120" s="20">
        <f t="shared" si="6"/>
        <v>39.201749999999997</v>
      </c>
      <c r="I120" s="5"/>
      <c r="J120" s="19">
        <v>352.17469999999997</v>
      </c>
      <c r="K120" s="20">
        <v>38.938099999999999</v>
      </c>
      <c r="L120" s="20">
        <v>42.594299999999997</v>
      </c>
      <c r="M120" s="20">
        <v>42.8857</v>
      </c>
      <c r="N120" s="20">
        <v>18.262799999999999</v>
      </c>
      <c r="O120" s="20">
        <f t="shared" si="7"/>
        <v>39.888574999999996</v>
      </c>
      <c r="P120" s="7"/>
      <c r="Q120" s="13"/>
      <c r="R120" s="14"/>
      <c r="S120" s="14"/>
      <c r="T120" s="27"/>
      <c r="U120" s="28">
        <f t="shared" si="8"/>
        <v>1.3687159533073927</v>
      </c>
    </row>
    <row r="121" spans="2:21" x14ac:dyDescent="0.25">
      <c r="B121" s="6" t="s">
        <v>105</v>
      </c>
      <c r="C121" s="15">
        <v>1535.49</v>
      </c>
      <c r="D121" s="16">
        <v>34.287999999999997</v>
      </c>
      <c r="E121" s="16">
        <v>37.357999999999997</v>
      </c>
      <c r="F121" s="16">
        <v>36.262</v>
      </c>
      <c r="G121" s="16">
        <v>3.59</v>
      </c>
      <c r="H121" s="16">
        <f t="shared" si="6"/>
        <v>34.918499999999995</v>
      </c>
      <c r="I121" s="5"/>
      <c r="J121" s="29">
        <v>1511.2566999999999</v>
      </c>
      <c r="K121" s="30">
        <v>33.836399999999998</v>
      </c>
      <c r="L121" s="30">
        <v>38.158900000000003</v>
      </c>
      <c r="M121" s="30">
        <v>36.990499999999997</v>
      </c>
      <c r="N121" s="16">
        <v>5.0712000000000002</v>
      </c>
      <c r="O121" s="16">
        <f t="shared" si="7"/>
        <v>34.770975</v>
      </c>
      <c r="P121" s="7"/>
      <c r="Q121" s="8">
        <f>bdrate(C121:C124,D121:D124,J121:J124,K121:K124)</f>
        <v>5.6989990235239096E-2</v>
      </c>
      <c r="R121" s="8">
        <f>bdrate(C121:C124,E121:E124,J121:J124,L121:L124)</f>
        <v>-0.35358520861812337</v>
      </c>
      <c r="S121" s="8">
        <f>bdrate(C121:C124,F121:F124,J121:J124,M121:M124)</f>
        <v>-0.33158370691181271</v>
      </c>
      <c r="T121" s="25">
        <f>bdrate(C121:C124,H121:H124,J121:J124,O121:O124)</f>
        <v>-3.003381972366459E-2</v>
      </c>
      <c r="U121" s="28">
        <f t="shared" si="8"/>
        <v>0.41259052924791095</v>
      </c>
    </row>
    <row r="122" spans="2:21" x14ac:dyDescent="0.25">
      <c r="B122" s="9"/>
      <c r="C122" s="17">
        <v>1019.88</v>
      </c>
      <c r="D122" s="18">
        <v>32.340000000000003</v>
      </c>
      <c r="E122" s="18">
        <v>35.99</v>
      </c>
      <c r="F122" s="18">
        <v>34.814999999999998</v>
      </c>
      <c r="G122" s="18">
        <v>4.26</v>
      </c>
      <c r="H122" s="18">
        <f t="shared" si="6"/>
        <v>33.105625000000003</v>
      </c>
      <c r="I122" s="5"/>
      <c r="J122" s="31">
        <v>1010.1383</v>
      </c>
      <c r="K122" s="32">
        <v>31.947099999999999</v>
      </c>
      <c r="L122" s="32">
        <v>37.043700000000001</v>
      </c>
      <c r="M122" s="32">
        <v>35.8324</v>
      </c>
      <c r="N122" s="18">
        <v>6.0801999999999996</v>
      </c>
      <c r="O122" s="18">
        <f t="shared" si="7"/>
        <v>33.069837499999998</v>
      </c>
      <c r="P122" s="7"/>
      <c r="Q122" s="10"/>
      <c r="R122" s="11"/>
      <c r="S122" s="11"/>
      <c r="T122" s="26"/>
      <c r="U122" s="28">
        <f t="shared" si="8"/>
        <v>0.42727699530516428</v>
      </c>
    </row>
    <row r="123" spans="2:21" x14ac:dyDescent="0.25">
      <c r="B123" s="9"/>
      <c r="C123" s="17">
        <v>608.33000000000004</v>
      </c>
      <c r="D123" s="18">
        <v>30</v>
      </c>
      <c r="E123" s="18">
        <v>34.414000000000001</v>
      </c>
      <c r="F123" s="18">
        <v>33.134999999999998</v>
      </c>
      <c r="G123" s="18">
        <v>5.22</v>
      </c>
      <c r="H123" s="18">
        <f t="shared" si="6"/>
        <v>30.943624999999997</v>
      </c>
      <c r="I123" s="5"/>
      <c r="J123" s="31">
        <v>605.46410000000003</v>
      </c>
      <c r="K123" s="32">
        <v>29.645299999999999</v>
      </c>
      <c r="L123" s="32">
        <v>35.7256</v>
      </c>
      <c r="M123" s="32">
        <v>34.430799999999998</v>
      </c>
      <c r="N123" s="18">
        <v>7.8993000000000002</v>
      </c>
      <c r="O123" s="18">
        <f t="shared" si="7"/>
        <v>31.003525</v>
      </c>
      <c r="P123" s="7"/>
      <c r="Q123" s="10"/>
      <c r="R123" s="11"/>
      <c r="S123" s="11"/>
      <c r="T123" s="26"/>
      <c r="U123" s="28">
        <f t="shared" si="8"/>
        <v>0.51327586206896558</v>
      </c>
    </row>
    <row r="124" spans="2:21" ht="16.5" thickBot="1" x14ac:dyDescent="0.3">
      <c r="B124" s="12"/>
      <c r="C124" s="19">
        <v>287.42</v>
      </c>
      <c r="D124" s="20">
        <v>26.506</v>
      </c>
      <c r="E124" s="20">
        <v>31.706</v>
      </c>
      <c r="F124" s="20">
        <v>30.396999999999998</v>
      </c>
      <c r="G124" s="20">
        <v>6.98</v>
      </c>
      <c r="H124" s="20">
        <f t="shared" si="6"/>
        <v>27.642374999999998</v>
      </c>
      <c r="I124" s="5"/>
      <c r="J124" s="33">
        <v>304.346</v>
      </c>
      <c r="K124" s="34">
        <v>27.040400000000002</v>
      </c>
      <c r="L124" s="34">
        <v>34.0593</v>
      </c>
      <c r="M124" s="34">
        <v>32.642099999999999</v>
      </c>
      <c r="N124" s="20">
        <v>11.399800000000001</v>
      </c>
      <c r="O124" s="20">
        <f t="shared" si="7"/>
        <v>28.617975000000001</v>
      </c>
      <c r="P124" s="7"/>
      <c r="Q124" s="13"/>
      <c r="R124" s="14"/>
      <c r="S124" s="14"/>
      <c r="T124" s="27"/>
      <c r="U124" s="28">
        <f t="shared" si="8"/>
        <v>0.63320916905444125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-3.59005570063139E-2</v>
      </c>
      <c r="R125" s="21">
        <f>AVERAGE(R9:R124)</f>
        <v>-0.38309696344423794</v>
      </c>
      <c r="S125" s="21">
        <f>AVERAGE(S9:S124)</f>
        <v>-0.36752923273509336</v>
      </c>
      <c r="T125" s="21">
        <f>AVERAGE(T9:T124)</f>
        <v>-0.108685651151089</v>
      </c>
      <c r="U125" s="21">
        <f>AVERAGE(U9:U124)</f>
        <v>0.84100626643803966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461" priority="337" operator="greaterThan">
      <formula>0.03</formula>
    </cfRule>
    <cfRule type="cellIs" dxfId="460" priority="338" stopIfTrue="1" operator="lessThan">
      <formula>-0.03</formula>
    </cfRule>
  </conditionalFormatting>
  <conditionalFormatting sqref="Q33:T36">
    <cfRule type="cellIs" dxfId="459" priority="335" operator="greaterThan">
      <formula>0.03</formula>
    </cfRule>
    <cfRule type="cellIs" dxfId="458" priority="336" stopIfTrue="1" operator="lessThan">
      <formula>-0.03</formula>
    </cfRule>
  </conditionalFormatting>
  <conditionalFormatting sqref="Q45:T48 Q61:T64">
    <cfRule type="cellIs" dxfId="457" priority="333" operator="greaterThan">
      <formula>0.03</formula>
    </cfRule>
    <cfRule type="cellIs" dxfId="456" priority="334" stopIfTrue="1" operator="lessThan">
      <formula>-0.03</formula>
    </cfRule>
  </conditionalFormatting>
  <conditionalFormatting sqref="Q49:T60">
    <cfRule type="cellIs" dxfId="455" priority="331" operator="greaterThan">
      <formula>0.03</formula>
    </cfRule>
    <cfRule type="cellIs" dxfId="454" priority="332" stopIfTrue="1" operator="lessThan">
      <formula>-0.03</formula>
    </cfRule>
  </conditionalFormatting>
  <conditionalFormatting sqref="Q69:T76">
    <cfRule type="cellIs" dxfId="453" priority="329" operator="greaterThan">
      <formula>0.03</formula>
    </cfRule>
    <cfRule type="cellIs" dxfId="452" priority="330" stopIfTrue="1" operator="lessThan">
      <formula>-0.03</formula>
    </cfRule>
  </conditionalFormatting>
  <conditionalFormatting sqref="Q65:T68">
    <cfRule type="cellIs" dxfId="451" priority="327" operator="greaterThan">
      <formula>0.03</formula>
    </cfRule>
    <cfRule type="cellIs" dxfId="450" priority="328" stopIfTrue="1" operator="lessThan">
      <formula>-0.03</formula>
    </cfRule>
  </conditionalFormatting>
  <conditionalFormatting sqref="Q77:T80">
    <cfRule type="cellIs" dxfId="449" priority="325" operator="greaterThan">
      <formula>0.03</formula>
    </cfRule>
    <cfRule type="cellIs" dxfId="448" priority="326" stopIfTrue="1" operator="lessThan">
      <formula>-0.03</formula>
    </cfRule>
  </conditionalFormatting>
  <conditionalFormatting sqref="Q21:T28">
    <cfRule type="cellIs" dxfId="447" priority="323" operator="greaterThan">
      <formula>0.03</formula>
    </cfRule>
    <cfRule type="cellIs" dxfId="446" priority="324" stopIfTrue="1" operator="lessThan">
      <formula>-0.03</formula>
    </cfRule>
  </conditionalFormatting>
  <conditionalFormatting sqref="Q117:T117">
    <cfRule type="cellIs" dxfId="445" priority="33" operator="greaterThan">
      <formula>0.03</formula>
    </cfRule>
    <cfRule type="cellIs" dxfId="444" priority="34" stopIfTrue="1" operator="lessThan">
      <formula>-0.03</formula>
    </cfRule>
  </conditionalFormatting>
  <conditionalFormatting sqref="Q93:T96 Q101:T108 Q81:T84">
    <cfRule type="cellIs" dxfId="443" priority="47" operator="greaterThan">
      <formula>0.03</formula>
    </cfRule>
    <cfRule type="cellIs" dxfId="442" priority="48" stopIfTrue="1" operator="lessThan">
      <formula>-0.03</formula>
    </cfRule>
  </conditionalFormatting>
  <conditionalFormatting sqref="Q97:T100">
    <cfRule type="cellIs" dxfId="441" priority="45" operator="greaterThan">
      <formula>0.03</formula>
    </cfRule>
    <cfRule type="cellIs" dxfId="440" priority="46" stopIfTrue="1" operator="lessThan">
      <formula>-0.03</formula>
    </cfRule>
  </conditionalFormatting>
  <conditionalFormatting sqref="Q110:T112 Q122:T124">
    <cfRule type="cellIs" dxfId="439" priority="43" operator="greaterThan">
      <formula>0.03</formula>
    </cfRule>
    <cfRule type="cellIs" dxfId="438" priority="44" stopIfTrue="1" operator="lessThan">
      <formula>-0.03</formula>
    </cfRule>
  </conditionalFormatting>
  <conditionalFormatting sqref="Q114:T116 Q118:T120">
    <cfRule type="cellIs" dxfId="437" priority="41" operator="greaterThan">
      <formula>0.03</formula>
    </cfRule>
    <cfRule type="cellIs" dxfId="436" priority="42" stopIfTrue="1" operator="lessThan">
      <formula>-0.03</formula>
    </cfRule>
  </conditionalFormatting>
  <conditionalFormatting sqref="Q85:T92">
    <cfRule type="cellIs" dxfId="435" priority="39" operator="greaterThan">
      <formula>0.03</formula>
    </cfRule>
    <cfRule type="cellIs" dxfId="434" priority="40" stopIfTrue="1" operator="lessThan">
      <formula>-0.03</formula>
    </cfRule>
  </conditionalFormatting>
  <conditionalFormatting sqref="Q109:T109">
    <cfRule type="cellIs" dxfId="433" priority="37" operator="greaterThan">
      <formula>0.03</formula>
    </cfRule>
    <cfRule type="cellIs" dxfId="432" priority="38" stopIfTrue="1" operator="lessThan">
      <formula>-0.03</formula>
    </cfRule>
  </conditionalFormatting>
  <conditionalFormatting sqref="Q113:T113">
    <cfRule type="cellIs" dxfId="431" priority="35" operator="greaterThan">
      <formula>0.03</formula>
    </cfRule>
    <cfRule type="cellIs" dxfId="430" priority="36" stopIfTrue="1" operator="lessThan">
      <formula>-0.03</formula>
    </cfRule>
  </conditionalFormatting>
  <conditionalFormatting sqref="Q121:T121">
    <cfRule type="cellIs" dxfId="429" priority="31" operator="greaterThan">
      <formula>0.03</formula>
    </cfRule>
    <cfRule type="cellIs" dxfId="428" priority="3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116</v>
      </c>
    </row>
    <row r="2" spans="1:21" x14ac:dyDescent="0.25">
      <c r="A2" t="s">
        <v>81</v>
      </c>
    </row>
    <row r="3" spans="1:21" x14ac:dyDescent="0.25">
      <c r="A3" t="s">
        <v>122</v>
      </c>
    </row>
    <row r="4" spans="1:21" x14ac:dyDescent="0.25">
      <c r="A4" t="s">
        <v>81</v>
      </c>
    </row>
    <row r="5" spans="1:21" s="35" customFormat="1" ht="15.75" customHeight="1" x14ac:dyDescent="0.25">
      <c r="B5" s="61" t="s">
        <v>29</v>
      </c>
      <c r="C5" s="63" t="s">
        <v>202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112</v>
      </c>
      <c r="D7" s="70"/>
      <c r="E7" s="70"/>
      <c r="F7" s="70"/>
      <c r="G7" s="70"/>
      <c r="H7" s="70"/>
      <c r="I7" s="5"/>
      <c r="J7" s="69" t="s">
        <v>177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4442.7382809999999</v>
      </c>
      <c r="D9" s="16">
        <v>36.252000000000002</v>
      </c>
      <c r="E9" s="16">
        <v>38.652999999999999</v>
      </c>
      <c r="F9" s="16">
        <v>40.99</v>
      </c>
      <c r="G9" s="16">
        <v>14.59</v>
      </c>
      <c r="H9" s="16">
        <f t="shared" ref="H9:H80" si="0">(6*D9+E9+F9)/8</f>
        <v>37.144375000000004</v>
      </c>
      <c r="I9" s="5"/>
      <c r="J9" s="15">
        <v>4058.9823999999999</v>
      </c>
      <c r="K9" s="16">
        <v>37.585500000000003</v>
      </c>
      <c r="L9" s="16">
        <v>39.415700000000001</v>
      </c>
      <c r="M9" s="16">
        <v>41.8825</v>
      </c>
      <c r="N9" s="16">
        <v>25.7776</v>
      </c>
      <c r="O9" s="16">
        <f t="shared" ref="O9:O80" si="1">(6*K9+L9+M9)/8</f>
        <v>38.351400000000005</v>
      </c>
      <c r="P9" s="7"/>
      <c r="Q9" s="8">
        <f>bdrate(C9:C12,D9:D12,J9:J12,K9:K12)</f>
        <v>-0.3344458376375965</v>
      </c>
      <c r="R9" s="8">
        <f>bdrate(C9:C12,E9:E12,J9:J12,L9:L12)</f>
        <v>-0.42851616932010805</v>
      </c>
      <c r="S9" s="8">
        <f>bdrate(C9:C12,F9:F12,J9:J12,M9:M12)</f>
        <v>-0.44630805185221412</v>
      </c>
      <c r="T9" s="25">
        <f>bdrate(C9:C12,H9:H12,J9:J12,O9:O12)</f>
        <v>-0.35188653396653446</v>
      </c>
      <c r="U9" s="28">
        <f t="shared" ref="U9:U72" si="2">(N9-G9)/G9</f>
        <v>0.76679917751884852</v>
      </c>
    </row>
    <row r="10" spans="1:21" x14ac:dyDescent="0.25">
      <c r="A10" s="9" t="s">
        <v>36</v>
      </c>
      <c r="B10" s="9"/>
      <c r="C10" s="17">
        <v>3313.9697270000001</v>
      </c>
      <c r="D10" s="18">
        <v>35.381</v>
      </c>
      <c r="E10" s="18">
        <v>38.168999999999997</v>
      </c>
      <c r="F10" s="18">
        <v>40.423000000000002</v>
      </c>
      <c r="G10" s="18">
        <v>17.670000000000002</v>
      </c>
      <c r="H10" s="18">
        <f t="shared" si="0"/>
        <v>36.359749999999998</v>
      </c>
      <c r="I10" s="5"/>
      <c r="J10" s="17">
        <v>2921.9151999999999</v>
      </c>
      <c r="K10" s="18">
        <v>36.564300000000003</v>
      </c>
      <c r="L10" s="18">
        <v>38.825800000000001</v>
      </c>
      <c r="M10" s="18">
        <v>41.169600000000003</v>
      </c>
      <c r="N10" s="18">
        <v>28.9575</v>
      </c>
      <c r="O10" s="18">
        <f t="shared" si="1"/>
        <v>37.422650000000004</v>
      </c>
      <c r="P10" s="7"/>
      <c r="Q10" s="10"/>
      <c r="R10" s="11"/>
      <c r="S10" s="11"/>
      <c r="T10" s="26"/>
      <c r="U10" s="28">
        <f t="shared" si="2"/>
        <v>0.63879456706281812</v>
      </c>
    </row>
    <row r="11" spans="1:21" x14ac:dyDescent="0.25">
      <c r="B11" s="9"/>
      <c r="C11" s="17">
        <v>2225.3310550000001</v>
      </c>
      <c r="D11" s="18">
        <v>34.076999999999998</v>
      </c>
      <c r="E11" s="18">
        <v>37.405000000000001</v>
      </c>
      <c r="F11" s="18">
        <v>39.591999999999999</v>
      </c>
      <c r="G11" s="18">
        <v>18.78</v>
      </c>
      <c r="H11" s="18">
        <f t="shared" si="0"/>
        <v>35.182375</v>
      </c>
      <c r="I11" s="5"/>
      <c r="J11" s="17">
        <v>1945.9232</v>
      </c>
      <c r="K11" s="18">
        <v>35.019199999999998</v>
      </c>
      <c r="L11" s="18">
        <v>38.162199999999999</v>
      </c>
      <c r="M11" s="18">
        <v>40.474600000000002</v>
      </c>
      <c r="N11" s="18">
        <v>33.982799999999997</v>
      </c>
      <c r="O11" s="18">
        <f t="shared" si="1"/>
        <v>36.094000000000001</v>
      </c>
      <c r="P11" s="7"/>
      <c r="Q11" s="10"/>
      <c r="R11" s="11"/>
      <c r="S11" s="11"/>
      <c r="T11" s="26"/>
      <c r="U11" s="28">
        <f t="shared" si="2"/>
        <v>0.80952076677316265</v>
      </c>
    </row>
    <row r="12" spans="1:21" ht="16.5" thickBot="1" x14ac:dyDescent="0.3">
      <c r="B12" s="12"/>
      <c r="C12" s="19">
        <v>1141.341797</v>
      </c>
      <c r="D12" s="20">
        <v>31.34</v>
      </c>
      <c r="E12" s="20">
        <v>35.914999999999999</v>
      </c>
      <c r="F12" s="20">
        <v>37.944000000000003</v>
      </c>
      <c r="G12" s="20">
        <v>22.71</v>
      </c>
      <c r="H12" s="20">
        <f t="shared" si="0"/>
        <v>32.737375</v>
      </c>
      <c r="I12" s="5"/>
      <c r="J12" s="19">
        <v>916.40319999999997</v>
      </c>
      <c r="K12" s="20">
        <v>32.1372</v>
      </c>
      <c r="L12" s="20">
        <v>36.864800000000002</v>
      </c>
      <c r="M12" s="20">
        <v>39.103999999999999</v>
      </c>
      <c r="N12" s="20">
        <v>44.313099999999999</v>
      </c>
      <c r="O12" s="20">
        <f t="shared" si="1"/>
        <v>33.598999999999997</v>
      </c>
      <c r="P12" s="7"/>
      <c r="Q12" s="13"/>
      <c r="R12" s="14"/>
      <c r="S12" s="14"/>
      <c r="T12" s="27"/>
      <c r="U12" s="28">
        <f t="shared" si="2"/>
        <v>0.95125935711140452</v>
      </c>
    </row>
    <row r="13" spans="1:21" x14ac:dyDescent="0.25">
      <c r="B13" s="6" t="s">
        <v>47</v>
      </c>
      <c r="C13" s="15">
        <v>4760.0185549999997</v>
      </c>
      <c r="D13" s="16">
        <v>28.39</v>
      </c>
      <c r="E13" s="16">
        <v>38.631999999999998</v>
      </c>
      <c r="F13" s="16">
        <v>39.74</v>
      </c>
      <c r="G13" s="16">
        <v>13.25</v>
      </c>
      <c r="H13" s="16">
        <f t="shared" si="0"/>
        <v>31.089000000000002</v>
      </c>
      <c r="I13" s="5"/>
      <c r="J13" s="15">
        <v>4065.6080000000002</v>
      </c>
      <c r="K13" s="16">
        <v>29.096</v>
      </c>
      <c r="L13" s="16">
        <v>39.217300000000002</v>
      </c>
      <c r="M13" s="16">
        <v>40.177199999999999</v>
      </c>
      <c r="N13" s="16">
        <v>19.040400000000002</v>
      </c>
      <c r="O13" s="16">
        <f t="shared" si="1"/>
        <v>31.746312499999998</v>
      </c>
      <c r="P13" s="7"/>
      <c r="Q13" s="8">
        <f>bdrate(C13:C16,D13:D16,J13:J16,K13:K16)</f>
        <v>-0.22198273068615637</v>
      </c>
      <c r="R13" s="8">
        <f>bdrate(C13:C16,E13:E16,J13:J16,L13:L16)</f>
        <v>-0.5198622973700644</v>
      </c>
      <c r="S13" s="8">
        <f>bdrate(C13:C16,F13:F16,J13:J16,M13:M16)</f>
        <v>-0.52902776903896842</v>
      </c>
      <c r="T13" s="25">
        <f>bdrate(C13:C16,H13:H16,J13:J16,O13:O16)</f>
        <v>-0.26296037568341413</v>
      </c>
      <c r="U13" s="28">
        <f t="shared" si="2"/>
        <v>0.4370113207547171</v>
      </c>
    </row>
    <row r="14" spans="1:21" x14ac:dyDescent="0.25">
      <c r="B14" s="9"/>
      <c r="C14" s="17">
        <v>3910.8085940000001</v>
      </c>
      <c r="D14" s="18">
        <v>27.646000000000001</v>
      </c>
      <c r="E14" s="18">
        <v>38.040999999999997</v>
      </c>
      <c r="F14" s="18">
        <v>39.137</v>
      </c>
      <c r="G14" s="18">
        <v>15.1</v>
      </c>
      <c r="H14" s="18">
        <f t="shared" si="0"/>
        <v>30.38175</v>
      </c>
      <c r="I14" s="5"/>
      <c r="J14" s="17">
        <v>3037.0992000000001</v>
      </c>
      <c r="K14" s="18">
        <v>27.774699999999999</v>
      </c>
      <c r="L14" s="18">
        <v>38.736600000000003</v>
      </c>
      <c r="M14" s="18">
        <v>39.744399999999999</v>
      </c>
      <c r="N14" s="18">
        <v>22.055599999999998</v>
      </c>
      <c r="O14" s="18">
        <f t="shared" si="1"/>
        <v>30.641150000000003</v>
      </c>
      <c r="P14" s="7"/>
      <c r="Q14" s="10"/>
      <c r="R14" s="11"/>
      <c r="S14" s="11"/>
      <c r="T14" s="26"/>
      <c r="U14" s="28">
        <f t="shared" si="2"/>
        <v>0.46063576158940389</v>
      </c>
    </row>
    <row r="15" spans="1:21" x14ac:dyDescent="0.25">
      <c r="B15" s="9"/>
      <c r="C15" s="17">
        <v>3317.53125</v>
      </c>
      <c r="D15" s="18">
        <v>27.271000000000001</v>
      </c>
      <c r="E15" s="18">
        <v>37.456000000000003</v>
      </c>
      <c r="F15" s="18">
        <v>38.442</v>
      </c>
      <c r="G15" s="18">
        <v>15.15</v>
      </c>
      <c r="H15" s="18">
        <f t="shared" si="0"/>
        <v>29.9405</v>
      </c>
      <c r="I15" s="5"/>
      <c r="J15" s="17">
        <v>2015.5568000000001</v>
      </c>
      <c r="K15" s="18">
        <v>25.9907</v>
      </c>
      <c r="L15" s="18">
        <v>38.021700000000003</v>
      </c>
      <c r="M15" s="18">
        <v>39.135399999999997</v>
      </c>
      <c r="N15" s="18">
        <v>28.2805</v>
      </c>
      <c r="O15" s="18">
        <f t="shared" si="1"/>
        <v>29.137662500000001</v>
      </c>
      <c r="P15" s="7"/>
      <c r="Q15" s="10"/>
      <c r="R15" s="11"/>
      <c r="S15" s="11"/>
      <c r="T15" s="26"/>
      <c r="U15" s="28">
        <f t="shared" si="2"/>
        <v>0.86669966996699666</v>
      </c>
    </row>
    <row r="16" spans="1:21" ht="16.5" thickBot="1" x14ac:dyDescent="0.3">
      <c r="B16" s="12"/>
      <c r="C16" s="19">
        <v>2839.109375</v>
      </c>
      <c r="D16" s="20">
        <v>26.760999999999999</v>
      </c>
      <c r="E16" s="20">
        <v>36.472999999999999</v>
      </c>
      <c r="F16" s="20">
        <v>37.152000000000001</v>
      </c>
      <c r="G16" s="20">
        <v>15.03</v>
      </c>
      <c r="H16" s="20">
        <f t="shared" si="0"/>
        <v>29.273874999999997</v>
      </c>
      <c r="I16" s="5"/>
      <c r="J16" s="19">
        <v>1122.6976</v>
      </c>
      <c r="K16" s="20">
        <v>23.915800000000001</v>
      </c>
      <c r="L16" s="20">
        <v>36.488799999999998</v>
      </c>
      <c r="M16" s="20">
        <v>37.700400000000002</v>
      </c>
      <c r="N16" s="20">
        <v>36.014400000000002</v>
      </c>
      <c r="O16" s="20">
        <f t="shared" si="1"/>
        <v>27.2105</v>
      </c>
      <c r="P16" s="7"/>
      <c r="Q16" s="13"/>
      <c r="R16" s="14"/>
      <c r="S16" s="14"/>
      <c r="T16" s="27"/>
      <c r="U16" s="28">
        <f t="shared" si="2"/>
        <v>1.3961676646706589</v>
      </c>
    </row>
    <row r="17" spans="1:21" x14ac:dyDescent="0.25">
      <c r="A17" s="6" t="s">
        <v>37</v>
      </c>
      <c r="B17" s="6" t="s">
        <v>48</v>
      </c>
      <c r="C17" s="15">
        <v>2281.7998050000001</v>
      </c>
      <c r="D17" s="16">
        <v>37.85</v>
      </c>
      <c r="E17" s="16">
        <v>41.279000000000003</v>
      </c>
      <c r="F17" s="16">
        <v>42.430999999999997</v>
      </c>
      <c r="G17" s="16">
        <v>26.32</v>
      </c>
      <c r="H17" s="16">
        <f t="shared" si="0"/>
        <v>38.85125</v>
      </c>
      <c r="I17" s="5"/>
      <c r="J17" s="15">
        <v>2377.9312</v>
      </c>
      <c r="K17" s="16">
        <v>38.9178</v>
      </c>
      <c r="L17" s="16">
        <v>41.872100000000003</v>
      </c>
      <c r="M17" s="16">
        <v>43.188899999999997</v>
      </c>
      <c r="N17" s="16">
        <v>50.282800000000002</v>
      </c>
      <c r="O17" s="16">
        <f t="shared" si="1"/>
        <v>39.820974999999997</v>
      </c>
      <c r="P17" s="7"/>
      <c r="Q17" s="8">
        <f>bdrate(C17:C20,D17:D20,J17:J20,K17:K20)</f>
        <v>-0.31950305974404036</v>
      </c>
      <c r="R17" s="8">
        <f>bdrate(C17:C20,E17:E20,J17:J20,L17:L20)</f>
        <v>-0.33218294774684543</v>
      </c>
      <c r="S17" s="8">
        <f>bdrate(C17:C20,F17:F20,J17:J20,M17:M20)</f>
        <v>-0.36426746961010403</v>
      </c>
      <c r="T17" s="25">
        <f>bdrate(C17:C20,H17:H20,J17:J20,O17:O20)</f>
        <v>-0.32439052031823645</v>
      </c>
      <c r="U17" s="28">
        <f t="shared" si="2"/>
        <v>0.9104407294832827</v>
      </c>
    </row>
    <row r="18" spans="1:21" x14ac:dyDescent="0.25">
      <c r="A18" s="9" t="s">
        <v>38</v>
      </c>
      <c r="B18" s="9"/>
      <c r="C18" s="17">
        <v>1552.663086</v>
      </c>
      <c r="D18" s="18">
        <v>36.466999999999999</v>
      </c>
      <c r="E18" s="18">
        <v>40.569000000000003</v>
      </c>
      <c r="F18" s="18">
        <v>41.66</v>
      </c>
      <c r="G18" s="18">
        <v>29.9</v>
      </c>
      <c r="H18" s="18">
        <f t="shared" si="0"/>
        <v>37.628874999999994</v>
      </c>
      <c r="I18" s="5"/>
      <c r="J18" s="17">
        <v>1572.5976000000001</v>
      </c>
      <c r="K18" s="18">
        <v>37.6785</v>
      </c>
      <c r="L18" s="18">
        <v>41.195300000000003</v>
      </c>
      <c r="M18" s="18">
        <v>42.41</v>
      </c>
      <c r="N18" s="18">
        <v>56.153500000000001</v>
      </c>
      <c r="O18" s="18">
        <f t="shared" si="1"/>
        <v>38.709537499999996</v>
      </c>
      <c r="P18" s="7"/>
      <c r="Q18" s="10"/>
      <c r="R18" s="11"/>
      <c r="S18" s="11"/>
      <c r="T18" s="26"/>
      <c r="U18" s="28">
        <f t="shared" si="2"/>
        <v>0.8780434782608697</v>
      </c>
    </row>
    <row r="19" spans="1:21" x14ac:dyDescent="0.25">
      <c r="B19" s="9"/>
      <c r="C19" s="17">
        <v>990.92285159999994</v>
      </c>
      <c r="D19" s="18">
        <v>34.659999999999997</v>
      </c>
      <c r="E19" s="18">
        <v>39.633000000000003</v>
      </c>
      <c r="F19" s="18">
        <v>40.633000000000003</v>
      </c>
      <c r="G19" s="18">
        <v>33.11</v>
      </c>
      <c r="H19" s="18">
        <f t="shared" si="0"/>
        <v>36.02825</v>
      </c>
      <c r="I19" s="5"/>
      <c r="J19" s="17">
        <v>962.66639999999995</v>
      </c>
      <c r="K19" s="18">
        <v>36.082700000000003</v>
      </c>
      <c r="L19" s="18">
        <v>40.391800000000003</v>
      </c>
      <c r="M19" s="18">
        <v>41.5623</v>
      </c>
      <c r="N19" s="18">
        <v>64.360399999999998</v>
      </c>
      <c r="O19" s="18">
        <f t="shared" si="1"/>
        <v>37.306287500000003</v>
      </c>
      <c r="P19" s="7"/>
      <c r="Q19" s="10"/>
      <c r="R19" s="11"/>
      <c r="S19" s="11"/>
      <c r="T19" s="26"/>
      <c r="U19" s="28">
        <f t="shared" si="2"/>
        <v>0.94383569918453636</v>
      </c>
    </row>
    <row r="20" spans="1:21" ht="16.5" thickBot="1" x14ac:dyDescent="0.3">
      <c r="B20" s="12"/>
      <c r="C20" s="19">
        <v>626.93359380000004</v>
      </c>
      <c r="D20" s="20">
        <v>32.344000000000001</v>
      </c>
      <c r="E20" s="20">
        <v>38.564999999999998</v>
      </c>
      <c r="F20" s="20">
        <v>39.645000000000003</v>
      </c>
      <c r="G20" s="20">
        <v>37.75</v>
      </c>
      <c r="H20" s="20">
        <f t="shared" si="0"/>
        <v>34.03425</v>
      </c>
      <c r="I20" s="5"/>
      <c r="J20" s="19">
        <v>560.93280000000004</v>
      </c>
      <c r="K20" s="20">
        <v>34.255299999999998</v>
      </c>
      <c r="L20" s="20">
        <v>39.650500000000001</v>
      </c>
      <c r="M20" s="20">
        <v>40.861400000000003</v>
      </c>
      <c r="N20" s="20">
        <v>78.482699999999994</v>
      </c>
      <c r="O20" s="20">
        <f t="shared" si="1"/>
        <v>35.755462499999993</v>
      </c>
      <c r="P20" s="7"/>
      <c r="Q20" s="13"/>
      <c r="R20" s="14"/>
      <c r="S20" s="14"/>
      <c r="T20" s="27"/>
      <c r="U20" s="28">
        <f t="shared" si="2"/>
        <v>1.0790119205298012</v>
      </c>
    </row>
    <row r="21" spans="1:21" x14ac:dyDescent="0.25">
      <c r="B21" s="6" t="s">
        <v>49</v>
      </c>
      <c r="C21" s="15">
        <v>2502.9033199999999</v>
      </c>
      <c r="D21" s="16">
        <v>34.609000000000002</v>
      </c>
      <c r="E21" s="16">
        <v>38.759</v>
      </c>
      <c r="F21" s="16">
        <v>40.034999999999997</v>
      </c>
      <c r="G21" s="16">
        <v>27.83</v>
      </c>
      <c r="H21" s="16">
        <f t="shared" si="0"/>
        <v>35.805999999999997</v>
      </c>
      <c r="I21" s="5"/>
      <c r="J21" s="15">
        <v>2442.8368</v>
      </c>
      <c r="K21" s="16">
        <v>35.7211</v>
      </c>
      <c r="L21" s="16">
        <v>39.8065</v>
      </c>
      <c r="M21" s="16">
        <v>41.0351</v>
      </c>
      <c r="N21" s="16">
        <v>44.8598</v>
      </c>
      <c r="O21" s="16">
        <f t="shared" si="1"/>
        <v>36.896024999999995</v>
      </c>
      <c r="P21" s="7"/>
      <c r="Q21" s="8">
        <f>bdrate(C21:C24,D21:D24,J21:J24,K21:K24)</f>
        <v>-0.27763763161147703</v>
      </c>
      <c r="R21" s="8">
        <f>bdrate(C21:C24,E21:E24,J21:J24,L21:L24)</f>
        <v>-0.45128064269287016</v>
      </c>
      <c r="S21" s="8">
        <f>bdrate(C21:C24,F21:F24,J21:J24,M21:M24)</f>
        <v>-0.4495995451870024</v>
      </c>
      <c r="T21" s="25">
        <f>bdrate(C21:C24,H21:H24,J21:J24,O21:O24)</f>
        <v>-0.30898689824791814</v>
      </c>
      <c r="U21" s="28">
        <f t="shared" si="2"/>
        <v>0.61192238591448089</v>
      </c>
    </row>
    <row r="22" spans="1:21" x14ac:dyDescent="0.25">
      <c r="B22" s="9"/>
      <c r="C22" s="17">
        <v>1692.1357419999999</v>
      </c>
      <c r="D22" s="18">
        <v>33.548999999999999</v>
      </c>
      <c r="E22" s="18">
        <v>38.036999999999999</v>
      </c>
      <c r="F22" s="18">
        <v>39.396000000000001</v>
      </c>
      <c r="G22" s="18">
        <v>30.81</v>
      </c>
      <c r="H22" s="18">
        <f t="shared" si="0"/>
        <v>34.840874999999997</v>
      </c>
      <c r="I22" s="5"/>
      <c r="J22" s="17">
        <v>1662.2144000000001</v>
      </c>
      <c r="K22" s="18">
        <v>34.493000000000002</v>
      </c>
      <c r="L22" s="18">
        <v>39.086300000000001</v>
      </c>
      <c r="M22" s="18">
        <v>40.338000000000001</v>
      </c>
      <c r="N22" s="18">
        <v>52.504899999999999</v>
      </c>
      <c r="O22" s="18">
        <f t="shared" si="1"/>
        <v>35.797787500000005</v>
      </c>
      <c r="P22" s="7"/>
      <c r="Q22" s="10"/>
      <c r="R22" s="11"/>
      <c r="S22" s="11"/>
      <c r="T22" s="26"/>
      <c r="U22" s="28">
        <f t="shared" si="2"/>
        <v>0.70415124959428765</v>
      </c>
    </row>
    <row r="23" spans="1:21" x14ac:dyDescent="0.25">
      <c r="B23" s="9"/>
      <c r="C23" s="17">
        <v>1049.2460940000001</v>
      </c>
      <c r="D23" s="18">
        <v>32.234000000000002</v>
      </c>
      <c r="E23" s="18">
        <v>37.162999999999997</v>
      </c>
      <c r="F23" s="18">
        <v>38.703000000000003</v>
      </c>
      <c r="G23" s="18">
        <v>32.409999999999997</v>
      </c>
      <c r="H23" s="18">
        <f t="shared" si="0"/>
        <v>33.658749999999998</v>
      </c>
      <c r="I23" s="5"/>
      <c r="J23" s="17">
        <v>1005.8712</v>
      </c>
      <c r="K23" s="18">
        <v>33.011400000000002</v>
      </c>
      <c r="L23" s="18">
        <v>38.168799999999997</v>
      </c>
      <c r="M23" s="18">
        <v>39.502899999999997</v>
      </c>
      <c r="N23" s="18">
        <v>62.7943</v>
      </c>
      <c r="O23" s="18">
        <f t="shared" si="1"/>
        <v>34.467512499999998</v>
      </c>
      <c r="P23" s="7"/>
      <c r="Q23" s="10"/>
      <c r="R23" s="11"/>
      <c r="S23" s="11"/>
      <c r="T23" s="26"/>
      <c r="U23" s="28">
        <f t="shared" si="2"/>
        <v>0.93749768589941396</v>
      </c>
    </row>
    <row r="24" spans="1:21" ht="16.5" thickBot="1" x14ac:dyDescent="0.3">
      <c r="B24" s="12"/>
      <c r="C24" s="19">
        <v>625.03710939999996</v>
      </c>
      <c r="D24" s="20">
        <v>30.727</v>
      </c>
      <c r="E24" s="20">
        <v>36.264000000000003</v>
      </c>
      <c r="F24" s="20">
        <v>38.034999999999997</v>
      </c>
      <c r="G24" s="20">
        <v>35.369999999999997</v>
      </c>
      <c r="H24" s="20">
        <f t="shared" si="0"/>
        <v>32.332625</v>
      </c>
      <c r="I24" s="5"/>
      <c r="J24" s="19">
        <v>585.22559999999999</v>
      </c>
      <c r="K24" s="20">
        <v>31.407499999999999</v>
      </c>
      <c r="L24" s="20">
        <v>37.2425</v>
      </c>
      <c r="M24" s="20">
        <v>38.762700000000002</v>
      </c>
      <c r="N24" s="20">
        <v>75.781499999999994</v>
      </c>
      <c r="O24" s="20">
        <f t="shared" si="1"/>
        <v>33.056274999999999</v>
      </c>
      <c r="P24" s="7"/>
      <c r="Q24" s="13"/>
      <c r="R24" s="14"/>
      <c r="S24" s="14"/>
      <c r="T24" s="27"/>
      <c r="U24" s="28">
        <f t="shared" si="2"/>
        <v>1.1425360474978796</v>
      </c>
    </row>
    <row r="25" spans="1:21" x14ac:dyDescent="0.25">
      <c r="B25" s="6" t="s">
        <v>50</v>
      </c>
      <c r="C25" s="15">
        <v>2448.1640630000002</v>
      </c>
      <c r="D25" s="16">
        <v>32.728999999999999</v>
      </c>
      <c r="E25" s="16">
        <v>37.518999999999998</v>
      </c>
      <c r="F25" s="16">
        <v>38.883000000000003</v>
      </c>
      <c r="G25" s="16">
        <v>35.86</v>
      </c>
      <c r="H25" s="16">
        <f t="shared" si="0"/>
        <v>34.097000000000001</v>
      </c>
      <c r="I25" s="5"/>
      <c r="J25" s="15">
        <v>2409.7224000000001</v>
      </c>
      <c r="K25" s="16">
        <v>33.836300000000001</v>
      </c>
      <c r="L25" s="16">
        <v>38.1267</v>
      </c>
      <c r="M25" s="16">
        <v>40.048400000000001</v>
      </c>
      <c r="N25" s="16">
        <v>62.484400000000001</v>
      </c>
      <c r="O25" s="16">
        <f t="shared" si="1"/>
        <v>35.149112500000001</v>
      </c>
      <c r="P25" s="7"/>
      <c r="Q25" s="8">
        <f>bdrate(C25:C28,D25:D28,J25:J28,K25:K28)</f>
        <v>-0.32572962326577604</v>
      </c>
      <c r="R25" s="8">
        <f>bdrate(C25:C28,E25:E28,J25:J28,L25:L28)</f>
        <v>-0.46719721820913851</v>
      </c>
      <c r="S25" s="8">
        <f>bdrate(C25:C28,F25:F28,J25:J28,M25:M28)</f>
        <v>-0.48633370154294209</v>
      </c>
      <c r="T25" s="25">
        <f>bdrate(C25:C28,H25:H28,J25:J28,O25:O28)</f>
        <v>-0.35570349133409729</v>
      </c>
      <c r="U25" s="28">
        <f t="shared" si="2"/>
        <v>0.74245398773006144</v>
      </c>
    </row>
    <row r="26" spans="1:21" x14ac:dyDescent="0.25">
      <c r="B26" s="9"/>
      <c r="C26" s="17">
        <v>1638.609375</v>
      </c>
      <c r="D26" s="18">
        <v>31.407</v>
      </c>
      <c r="E26" s="18">
        <v>36.804000000000002</v>
      </c>
      <c r="F26" s="18">
        <v>37.72</v>
      </c>
      <c r="G26" s="18">
        <v>41.05</v>
      </c>
      <c r="H26" s="18">
        <f t="shared" si="0"/>
        <v>32.870750000000001</v>
      </c>
      <c r="I26" s="5"/>
      <c r="J26" s="17">
        <v>1606.556</v>
      </c>
      <c r="K26" s="18">
        <v>32.605499999999999</v>
      </c>
      <c r="L26" s="18">
        <v>37.658799999999999</v>
      </c>
      <c r="M26" s="18">
        <v>39.224499999999999</v>
      </c>
      <c r="N26" s="18">
        <v>73.844300000000004</v>
      </c>
      <c r="O26" s="18">
        <f t="shared" si="1"/>
        <v>34.064537499999993</v>
      </c>
      <c r="P26" s="7"/>
      <c r="Q26" s="10"/>
      <c r="R26" s="11"/>
      <c r="S26" s="11"/>
      <c r="T26" s="26"/>
      <c r="U26" s="28">
        <f t="shared" si="2"/>
        <v>0.79888672350791745</v>
      </c>
    </row>
    <row r="27" spans="1:21" x14ac:dyDescent="0.25">
      <c r="B27" s="9"/>
      <c r="C27" s="17">
        <v>1051.430664</v>
      </c>
      <c r="D27" s="18">
        <v>29.625</v>
      </c>
      <c r="E27" s="18">
        <v>35.744999999999997</v>
      </c>
      <c r="F27" s="18">
        <v>36.15</v>
      </c>
      <c r="G27" s="18">
        <v>45.73</v>
      </c>
      <c r="H27" s="18">
        <f t="shared" si="0"/>
        <v>31.205625000000001</v>
      </c>
      <c r="I27" s="5"/>
      <c r="J27" s="17">
        <v>1002.6904</v>
      </c>
      <c r="K27" s="18">
        <v>30.9574</v>
      </c>
      <c r="L27" s="18">
        <v>37.004100000000001</v>
      </c>
      <c r="M27" s="18">
        <v>38.144599999999997</v>
      </c>
      <c r="N27" s="18">
        <v>88.043700000000001</v>
      </c>
      <c r="O27" s="18">
        <f t="shared" si="1"/>
        <v>32.611637500000001</v>
      </c>
      <c r="P27" s="7"/>
      <c r="Q27" s="10"/>
      <c r="R27" s="11"/>
      <c r="S27" s="11"/>
      <c r="T27" s="26"/>
      <c r="U27" s="28">
        <f t="shared" si="2"/>
        <v>0.92529411764705893</v>
      </c>
    </row>
    <row r="28" spans="1:21" ht="16.5" thickBot="1" x14ac:dyDescent="0.3">
      <c r="B28" s="12"/>
      <c r="C28" s="19">
        <v>845.1796875</v>
      </c>
      <c r="D28" s="20">
        <v>28.719000000000001</v>
      </c>
      <c r="E28" s="20">
        <v>35.008000000000003</v>
      </c>
      <c r="F28" s="20">
        <v>35.075000000000003</v>
      </c>
      <c r="G28" s="20">
        <v>44.94</v>
      </c>
      <c r="H28" s="20">
        <f t="shared" si="0"/>
        <v>30.299625000000006</v>
      </c>
      <c r="I28" s="5"/>
      <c r="J28" s="19">
        <v>597.01520000000005</v>
      </c>
      <c r="K28" s="20">
        <v>29.245200000000001</v>
      </c>
      <c r="L28" s="20">
        <v>36.348300000000002</v>
      </c>
      <c r="M28" s="20">
        <v>37.083100000000002</v>
      </c>
      <c r="N28" s="20">
        <v>105.08620000000001</v>
      </c>
      <c r="O28" s="20">
        <f t="shared" si="1"/>
        <v>31.112825000000001</v>
      </c>
      <c r="P28" s="7"/>
      <c r="Q28" s="13"/>
      <c r="R28" s="14"/>
      <c r="S28" s="14"/>
      <c r="T28" s="27"/>
      <c r="U28" s="28">
        <f t="shared" si="2"/>
        <v>1.3383667111704498</v>
      </c>
    </row>
    <row r="29" spans="1:21" x14ac:dyDescent="0.25">
      <c r="B29" s="6" t="s">
        <v>51</v>
      </c>
      <c r="C29" s="29">
        <v>2488.053711</v>
      </c>
      <c r="D29" s="30">
        <v>32.409999999999997</v>
      </c>
      <c r="E29" s="30">
        <v>38.899000000000001</v>
      </c>
      <c r="F29" s="30">
        <v>37.981999999999999</v>
      </c>
      <c r="G29" s="16">
        <v>31.07</v>
      </c>
      <c r="H29" s="16">
        <f t="shared" si="0"/>
        <v>33.917625000000001</v>
      </c>
      <c r="I29" s="5"/>
      <c r="J29" s="29">
        <v>2417.5832</v>
      </c>
      <c r="K29" s="30">
        <v>33.792400000000001</v>
      </c>
      <c r="L29" s="30">
        <v>40.195399999999999</v>
      </c>
      <c r="M29" s="30">
        <v>39.774000000000001</v>
      </c>
      <c r="N29" s="16">
        <v>54.5137</v>
      </c>
      <c r="O29" s="16">
        <f t="shared" si="1"/>
        <v>35.340474999999998</v>
      </c>
      <c r="P29" s="7"/>
      <c r="Q29" s="8">
        <f>bdrate(C29:C32,D29:D32,J29:J32,K29:K32)</f>
        <v>-0.4037452006130523</v>
      </c>
      <c r="R29" s="8">
        <f>bdrate(C29:C32,E29:E32,J29:J32,L29:L32)</f>
        <v>-0.55860826466556179</v>
      </c>
      <c r="S29" s="8">
        <f>bdrate(C29:C32,F29:F32,J29:J32,M29:M32)</f>
        <v>-0.57130218123321397</v>
      </c>
      <c r="T29" s="25">
        <f>bdrate(C29:C32,H29:H32,J29:J32,O29:O32)</f>
        <v>-0.44062256896269403</v>
      </c>
      <c r="U29" s="28">
        <f t="shared" si="2"/>
        <v>0.75454457676214992</v>
      </c>
    </row>
    <row r="30" spans="1:21" x14ac:dyDescent="0.25">
      <c r="B30" s="9"/>
      <c r="C30" s="31">
        <v>1708.2851559999999</v>
      </c>
      <c r="D30" s="32">
        <v>30.864000000000001</v>
      </c>
      <c r="E30" s="32">
        <v>37.722000000000001</v>
      </c>
      <c r="F30" s="32">
        <v>36.600999999999999</v>
      </c>
      <c r="G30" s="18">
        <v>37.18</v>
      </c>
      <c r="H30" s="18">
        <f t="shared" si="0"/>
        <v>32.438375000000001</v>
      </c>
      <c r="I30" s="5"/>
      <c r="J30" s="31">
        <v>1607.204</v>
      </c>
      <c r="K30" s="32">
        <v>32.406799999999997</v>
      </c>
      <c r="L30" s="32">
        <v>39.451999999999998</v>
      </c>
      <c r="M30" s="32">
        <v>38.789499999999997</v>
      </c>
      <c r="N30" s="18">
        <v>62.964399999999998</v>
      </c>
      <c r="O30" s="18">
        <f t="shared" si="1"/>
        <v>34.085287499999993</v>
      </c>
      <c r="P30" s="7"/>
      <c r="Q30" s="10"/>
      <c r="R30" s="11"/>
      <c r="S30" s="11"/>
      <c r="T30" s="26"/>
      <c r="U30" s="28">
        <f t="shared" si="2"/>
        <v>0.6935018827326519</v>
      </c>
    </row>
    <row r="31" spans="1:21" x14ac:dyDescent="0.25">
      <c r="B31" s="9"/>
      <c r="C31" s="31">
        <v>1283.7607419999999</v>
      </c>
      <c r="D31" s="32">
        <v>29.390999999999998</v>
      </c>
      <c r="E31" s="32">
        <v>36.673000000000002</v>
      </c>
      <c r="F31" s="32">
        <v>35.308</v>
      </c>
      <c r="G31" s="18">
        <v>40.68</v>
      </c>
      <c r="H31" s="18">
        <f t="shared" si="0"/>
        <v>31.040875</v>
      </c>
      <c r="I31" s="5"/>
      <c r="J31" s="31">
        <v>1002.6224</v>
      </c>
      <c r="K31" s="32">
        <v>30.676300000000001</v>
      </c>
      <c r="L31" s="32">
        <v>38.503300000000003</v>
      </c>
      <c r="M31" s="32">
        <v>37.6128</v>
      </c>
      <c r="N31" s="18">
        <v>76.675399999999996</v>
      </c>
      <c r="O31" s="18">
        <f t="shared" si="1"/>
        <v>32.5217375</v>
      </c>
      <c r="P31" s="7"/>
      <c r="Q31" s="10"/>
      <c r="R31" s="11"/>
      <c r="S31" s="11"/>
      <c r="T31" s="26"/>
      <c r="U31" s="28">
        <f t="shared" si="2"/>
        <v>0.88484267453293997</v>
      </c>
    </row>
    <row r="32" spans="1:21" ht="16.5" thickBot="1" x14ac:dyDescent="0.3">
      <c r="B32" s="12"/>
      <c r="C32" s="33">
        <v>1074.140625</v>
      </c>
      <c r="D32" s="34">
        <v>28.733000000000001</v>
      </c>
      <c r="E32" s="34">
        <v>35.667000000000002</v>
      </c>
      <c r="F32" s="34">
        <v>34.465000000000003</v>
      </c>
      <c r="G32" s="20">
        <v>40.46</v>
      </c>
      <c r="H32" s="20">
        <f t="shared" si="0"/>
        <v>30.31625</v>
      </c>
      <c r="I32" s="5"/>
      <c r="J32" s="33">
        <v>589.32719999999995</v>
      </c>
      <c r="K32" s="34">
        <v>28.7759</v>
      </c>
      <c r="L32" s="34">
        <v>37.069000000000003</v>
      </c>
      <c r="M32" s="34">
        <v>35.953699999999998</v>
      </c>
      <c r="N32" s="20">
        <v>91.844200000000001</v>
      </c>
      <c r="O32" s="20">
        <f t="shared" si="1"/>
        <v>30.7097625</v>
      </c>
      <c r="P32" s="7"/>
      <c r="Q32" s="13"/>
      <c r="R32" s="14"/>
      <c r="S32" s="14"/>
      <c r="T32" s="27"/>
      <c r="U32" s="28">
        <f t="shared" si="2"/>
        <v>1.27</v>
      </c>
    </row>
    <row r="33" spans="1:21" x14ac:dyDescent="0.25">
      <c r="B33" s="6" t="s">
        <v>52</v>
      </c>
      <c r="C33" s="15">
        <v>2999.4423830000001</v>
      </c>
      <c r="D33" s="16">
        <v>31.907</v>
      </c>
      <c r="E33" s="16">
        <v>38.835000000000001</v>
      </c>
      <c r="F33" s="16">
        <v>41.375</v>
      </c>
      <c r="G33" s="16">
        <v>31.86</v>
      </c>
      <c r="H33" s="16">
        <f t="shared" si="0"/>
        <v>33.956500000000005</v>
      </c>
      <c r="I33" s="5"/>
      <c r="J33" s="15">
        <v>2425.6648</v>
      </c>
      <c r="K33" s="16">
        <v>33.364600000000003</v>
      </c>
      <c r="L33" s="16">
        <v>39.7517</v>
      </c>
      <c r="M33" s="16">
        <v>42.264699999999998</v>
      </c>
      <c r="N33" s="16">
        <v>69.052800000000005</v>
      </c>
      <c r="O33" s="16">
        <f t="shared" si="1"/>
        <v>35.275500000000001</v>
      </c>
      <c r="P33" s="7"/>
      <c r="Q33" s="8">
        <f>bdrate(C33:C36,D33:D36,J33:J36,K33:K36)</f>
        <v>-0.5727132291896555</v>
      </c>
      <c r="R33" s="8">
        <f>bdrate(C33:C36,E33:E36,J33:J36,L33:L36)</f>
        <v>-0.60955245466989405</v>
      </c>
      <c r="S33" s="8">
        <f>bdrate(C33:C36,F33:F36,J33:J36,M33:M36)</f>
        <v>-0.61546731464064885</v>
      </c>
      <c r="T33" s="25">
        <f>bdrate(C33:C36,H33:H36,J33:J36,O33:O36)</f>
        <v>-0.58061869454597481</v>
      </c>
      <c r="U33" s="28">
        <f t="shared" si="2"/>
        <v>1.1673822975517893</v>
      </c>
    </row>
    <row r="34" spans="1:21" x14ac:dyDescent="0.25">
      <c r="B34" s="9"/>
      <c r="C34" s="17">
        <v>2042.165039</v>
      </c>
      <c r="D34" s="18">
        <v>31.126000000000001</v>
      </c>
      <c r="E34" s="18">
        <v>38.286999999999999</v>
      </c>
      <c r="F34" s="18">
        <v>40.834000000000003</v>
      </c>
      <c r="G34" s="18">
        <v>35.69</v>
      </c>
      <c r="H34" s="18">
        <f t="shared" si="0"/>
        <v>33.234625000000001</v>
      </c>
      <c r="I34" s="5"/>
      <c r="J34" s="17">
        <v>1628.7840000000001</v>
      </c>
      <c r="K34" s="18">
        <v>32.6753</v>
      </c>
      <c r="L34" s="18">
        <v>39.288899999999998</v>
      </c>
      <c r="M34" s="18">
        <v>41.832799999999999</v>
      </c>
      <c r="N34" s="18">
        <v>76.923100000000005</v>
      </c>
      <c r="O34" s="18">
        <f t="shared" si="1"/>
        <v>34.646687500000006</v>
      </c>
      <c r="P34" s="7"/>
      <c r="Q34" s="10"/>
      <c r="R34" s="11"/>
      <c r="S34" s="11"/>
      <c r="T34" s="26"/>
      <c r="U34" s="28">
        <f t="shared" si="2"/>
        <v>1.1553124124404599</v>
      </c>
    </row>
    <row r="35" spans="1:21" x14ac:dyDescent="0.25">
      <c r="B35" s="9"/>
      <c r="C35" s="17">
        <v>1275.4882809999999</v>
      </c>
      <c r="D35" s="18">
        <v>29.904</v>
      </c>
      <c r="E35" s="18">
        <v>37.54</v>
      </c>
      <c r="F35" s="18">
        <v>40.036999999999999</v>
      </c>
      <c r="G35" s="18">
        <v>39.21</v>
      </c>
      <c r="H35" s="18">
        <f t="shared" si="0"/>
        <v>32.125124999999997</v>
      </c>
      <c r="I35" s="5"/>
      <c r="J35" s="17">
        <v>1027.5047999999999</v>
      </c>
      <c r="K35" s="18">
        <v>31.555299999999999</v>
      </c>
      <c r="L35" s="18">
        <v>38.597099999999998</v>
      </c>
      <c r="M35" s="18">
        <v>41.156700000000001</v>
      </c>
      <c r="N35" s="18">
        <v>88.823099999999997</v>
      </c>
      <c r="O35" s="18">
        <f t="shared" si="1"/>
        <v>33.6357</v>
      </c>
      <c r="P35" s="7"/>
      <c r="Q35" s="10"/>
      <c r="R35" s="11"/>
      <c r="S35" s="11"/>
      <c r="T35" s="26"/>
      <c r="U35" s="28">
        <f t="shared" si="2"/>
        <v>1.2653175210405507</v>
      </c>
    </row>
    <row r="36" spans="1:21" ht="16.5" thickBot="1" x14ac:dyDescent="0.3">
      <c r="B36" s="12"/>
      <c r="C36" s="19">
        <v>875.73828130000004</v>
      </c>
      <c r="D36" s="20">
        <v>28.49</v>
      </c>
      <c r="E36" s="20">
        <v>36.945999999999998</v>
      </c>
      <c r="F36" s="20">
        <v>39.24</v>
      </c>
      <c r="G36" s="20">
        <v>45.3</v>
      </c>
      <c r="H36" s="20">
        <f t="shared" si="0"/>
        <v>30.890750000000001</v>
      </c>
      <c r="I36" s="5"/>
      <c r="J36" s="19">
        <v>605.79999999999995</v>
      </c>
      <c r="K36" s="20">
        <v>30.087499999999999</v>
      </c>
      <c r="L36" s="20">
        <v>38.028100000000002</v>
      </c>
      <c r="M36" s="20">
        <v>40.616999999999997</v>
      </c>
      <c r="N36" s="20">
        <v>101.7467</v>
      </c>
      <c r="O36" s="20">
        <f t="shared" si="1"/>
        <v>32.396262499999999</v>
      </c>
      <c r="P36" s="7"/>
      <c r="Q36" s="13"/>
      <c r="R36" s="14"/>
      <c r="S36" s="14"/>
      <c r="T36" s="27"/>
      <c r="U36" s="28">
        <f t="shared" si="2"/>
        <v>1.2460640176600444</v>
      </c>
    </row>
    <row r="37" spans="1:21" x14ac:dyDescent="0.25">
      <c r="A37" s="6" t="s">
        <v>39</v>
      </c>
      <c r="B37" s="6" t="s">
        <v>53</v>
      </c>
      <c r="C37" s="15">
        <v>1244.3066409999999</v>
      </c>
      <c r="D37" s="16">
        <v>33.637999999999998</v>
      </c>
      <c r="E37" s="16">
        <v>37.978999999999999</v>
      </c>
      <c r="F37" s="16">
        <v>37.406999999999996</v>
      </c>
      <c r="G37" s="16">
        <v>153.15</v>
      </c>
      <c r="H37" s="16">
        <f t="shared" si="0"/>
        <v>34.651749999999993</v>
      </c>
      <c r="I37" s="5"/>
      <c r="J37" s="15">
        <v>1215.5944</v>
      </c>
      <c r="K37" s="16">
        <v>34.619100000000003</v>
      </c>
      <c r="L37" s="16">
        <v>38.746499999999997</v>
      </c>
      <c r="M37" s="16">
        <v>38.545999999999999</v>
      </c>
      <c r="N37" s="16">
        <v>212.22409999999999</v>
      </c>
      <c r="O37" s="16">
        <f t="shared" si="1"/>
        <v>35.625887500000005</v>
      </c>
      <c r="P37" s="7"/>
      <c r="Q37" s="8">
        <f>bdrate(C37:C40,D37:D40,J37:J40,K37:K40)</f>
        <v>-0.21653412554232254</v>
      </c>
      <c r="R37" s="8">
        <f>bdrate(C37:C40,E37:E40,J37:J40,L37:L40)</f>
        <v>-0.28462732652027167</v>
      </c>
      <c r="S37" s="8">
        <f>bdrate(C37:C40,F37:F40,J37:J40,M37:M40)</f>
        <v>-0.35625176103797362</v>
      </c>
      <c r="T37" s="25">
        <f>bdrate(C37:C40,H37:H40,J37:J40,O37:O40)</f>
        <v>-0.24179217046868828</v>
      </c>
      <c r="U37" s="28">
        <f t="shared" si="2"/>
        <v>0.38572706496898457</v>
      </c>
    </row>
    <row r="38" spans="1:21" x14ac:dyDescent="0.25">
      <c r="A38" s="9" t="s">
        <v>40</v>
      </c>
      <c r="B38" s="9"/>
      <c r="C38" s="17">
        <v>835.79492189999996</v>
      </c>
      <c r="D38" s="18">
        <v>32.244</v>
      </c>
      <c r="E38" s="18">
        <v>36.884</v>
      </c>
      <c r="F38" s="18">
        <v>36.143000000000001</v>
      </c>
      <c r="G38" s="18">
        <v>180.23</v>
      </c>
      <c r="H38" s="18">
        <f t="shared" si="0"/>
        <v>33.311374999999998</v>
      </c>
      <c r="I38" s="5"/>
      <c r="J38" s="17">
        <v>812.40239999999994</v>
      </c>
      <c r="K38" s="18">
        <v>33.1036</v>
      </c>
      <c r="L38" s="18">
        <v>37.655099999999997</v>
      </c>
      <c r="M38" s="18">
        <v>37.3232</v>
      </c>
      <c r="N38" s="18">
        <v>252.39779999999999</v>
      </c>
      <c r="O38" s="18">
        <f t="shared" si="1"/>
        <v>34.199987499999999</v>
      </c>
      <c r="P38" s="7"/>
      <c r="Q38" s="10"/>
      <c r="R38" s="11"/>
      <c r="S38" s="11"/>
      <c r="T38" s="26"/>
      <c r="U38" s="28">
        <f t="shared" si="2"/>
        <v>0.40042057371136885</v>
      </c>
    </row>
    <row r="39" spans="1:21" x14ac:dyDescent="0.25">
      <c r="B39" s="9"/>
      <c r="C39" s="17">
        <v>523.65820310000004</v>
      </c>
      <c r="D39" s="18">
        <v>30.579000000000001</v>
      </c>
      <c r="E39" s="18">
        <v>35.462000000000003</v>
      </c>
      <c r="F39" s="18">
        <v>34.598999999999997</v>
      </c>
      <c r="G39" s="18">
        <v>203.02</v>
      </c>
      <c r="H39" s="18">
        <f t="shared" si="0"/>
        <v>31.691874999999996</v>
      </c>
      <c r="I39" s="5"/>
      <c r="J39" s="17">
        <v>506.31920000000002</v>
      </c>
      <c r="K39" s="18">
        <v>31.317499999999999</v>
      </c>
      <c r="L39" s="18">
        <v>36.363999999999997</v>
      </c>
      <c r="M39" s="18">
        <v>35.918300000000002</v>
      </c>
      <c r="N39" s="18">
        <v>311.1388</v>
      </c>
      <c r="O39" s="18">
        <f t="shared" si="1"/>
        <v>32.523412499999999</v>
      </c>
      <c r="P39" s="7"/>
      <c r="Q39" s="10"/>
      <c r="R39" s="11"/>
      <c r="S39" s="11"/>
      <c r="T39" s="26"/>
      <c r="U39" s="28">
        <f t="shared" si="2"/>
        <v>0.53255245788592254</v>
      </c>
    </row>
    <row r="40" spans="1:21" ht="16.5" thickBot="1" x14ac:dyDescent="0.3">
      <c r="B40" s="12"/>
      <c r="C40" s="19">
        <v>327.3515625</v>
      </c>
      <c r="D40" s="20">
        <v>28.786000000000001</v>
      </c>
      <c r="E40" s="20">
        <v>33.835999999999999</v>
      </c>
      <c r="F40" s="20">
        <v>32.923000000000002</v>
      </c>
      <c r="G40" s="20">
        <v>230.62</v>
      </c>
      <c r="H40" s="20">
        <f t="shared" si="0"/>
        <v>29.934375000000003</v>
      </c>
      <c r="I40" s="5"/>
      <c r="J40" s="19">
        <v>305.87119999999999</v>
      </c>
      <c r="K40" s="20">
        <v>29.3581</v>
      </c>
      <c r="L40" s="20">
        <v>35.102800000000002</v>
      </c>
      <c r="M40" s="20">
        <v>34.552999999999997</v>
      </c>
      <c r="N40" s="20">
        <v>390.93040000000002</v>
      </c>
      <c r="O40" s="20">
        <f t="shared" si="1"/>
        <v>30.725549999999998</v>
      </c>
      <c r="P40" s="7"/>
      <c r="Q40" s="13"/>
      <c r="R40" s="14"/>
      <c r="S40" s="14"/>
      <c r="T40" s="27"/>
      <c r="U40" s="28">
        <f t="shared" si="2"/>
        <v>0.69512791605238056</v>
      </c>
    </row>
    <row r="41" spans="1:21" x14ac:dyDescent="0.25">
      <c r="B41" s="6" t="s">
        <v>54</v>
      </c>
      <c r="C41" s="15">
        <v>1336.654297</v>
      </c>
      <c r="D41" s="16">
        <v>33.154000000000003</v>
      </c>
      <c r="E41" s="16">
        <v>39.097000000000001</v>
      </c>
      <c r="F41" s="16">
        <v>39.798000000000002</v>
      </c>
      <c r="G41" s="16">
        <v>150.43</v>
      </c>
      <c r="H41" s="16">
        <f t="shared" si="0"/>
        <v>34.727375000000009</v>
      </c>
      <c r="I41" s="5"/>
      <c r="J41" s="15">
        <v>1245.2159999999999</v>
      </c>
      <c r="K41" s="16">
        <v>34.869100000000003</v>
      </c>
      <c r="L41" s="16">
        <v>40.353999999999999</v>
      </c>
      <c r="M41" s="16">
        <v>41.1907</v>
      </c>
      <c r="N41" s="16">
        <v>216.06049999999999</v>
      </c>
      <c r="O41" s="16">
        <f t="shared" si="1"/>
        <v>36.3449125</v>
      </c>
      <c r="P41" s="7"/>
      <c r="Q41" s="8">
        <f>bdrate(C41:C44,D41:D44,J41:J44,K41:K44)</f>
        <v>-0.37756706226579861</v>
      </c>
      <c r="R41" s="8">
        <f>bdrate(C41:C44,E41:E44,J41:J44,L41:L44)</f>
        <v>-0.48885190808663215</v>
      </c>
      <c r="S41" s="8">
        <f>bdrate(C41:C44,F41:F44,J41:J44,M41:M44)</f>
        <v>-0.49048487544701669</v>
      </c>
      <c r="T41" s="25">
        <f>bdrate(C41:C44,H41:H44,J41:J44,O41:O44)</f>
        <v>-0.40060873697747423</v>
      </c>
      <c r="U41" s="28">
        <f t="shared" si="2"/>
        <v>0.43628598019012155</v>
      </c>
    </row>
    <row r="42" spans="1:21" x14ac:dyDescent="0.25">
      <c r="B42" s="9"/>
      <c r="C42" s="17">
        <v>905.265625</v>
      </c>
      <c r="D42" s="18">
        <v>31.795999999999999</v>
      </c>
      <c r="E42" s="18">
        <v>38.158000000000001</v>
      </c>
      <c r="F42" s="18">
        <v>38.695</v>
      </c>
      <c r="G42" s="18">
        <v>166.44</v>
      </c>
      <c r="H42" s="18">
        <f t="shared" si="0"/>
        <v>33.453625000000002</v>
      </c>
      <c r="I42" s="5"/>
      <c r="J42" s="17">
        <v>830.2192</v>
      </c>
      <c r="K42" s="18">
        <v>33.331899999999997</v>
      </c>
      <c r="L42" s="18">
        <v>39.404499999999999</v>
      </c>
      <c r="M42" s="18">
        <v>40.1327</v>
      </c>
      <c r="N42" s="18">
        <v>254.66890000000001</v>
      </c>
      <c r="O42" s="18">
        <f t="shared" si="1"/>
        <v>34.941074999999998</v>
      </c>
      <c r="P42" s="7"/>
      <c r="Q42" s="10"/>
      <c r="R42" s="11"/>
      <c r="S42" s="11"/>
      <c r="T42" s="26"/>
      <c r="U42" s="28">
        <f t="shared" si="2"/>
        <v>0.53009432828646963</v>
      </c>
    </row>
    <row r="43" spans="1:21" x14ac:dyDescent="0.25">
      <c r="B43" s="9"/>
      <c r="C43" s="17">
        <v>581.72265630000004</v>
      </c>
      <c r="D43" s="18">
        <v>30.183</v>
      </c>
      <c r="E43" s="18">
        <v>36.997</v>
      </c>
      <c r="F43" s="18">
        <v>37.408999999999999</v>
      </c>
      <c r="G43" s="18">
        <v>182.21</v>
      </c>
      <c r="H43" s="18">
        <f t="shared" si="0"/>
        <v>31.938000000000002</v>
      </c>
      <c r="I43" s="5"/>
      <c r="J43" s="17">
        <v>518.36959999999999</v>
      </c>
      <c r="K43" s="18">
        <v>31.500900000000001</v>
      </c>
      <c r="L43" s="18">
        <v>38.388199999999998</v>
      </c>
      <c r="M43" s="18">
        <v>38.982300000000002</v>
      </c>
      <c r="N43" s="18">
        <v>312.6628</v>
      </c>
      <c r="O43" s="18">
        <f t="shared" si="1"/>
        <v>33.2969875</v>
      </c>
      <c r="P43" s="7"/>
      <c r="Q43" s="10"/>
      <c r="R43" s="11"/>
      <c r="S43" s="11"/>
      <c r="T43" s="26"/>
      <c r="U43" s="28">
        <f t="shared" si="2"/>
        <v>0.71594753306624215</v>
      </c>
    </row>
    <row r="44" spans="1:21" ht="16.5" thickBot="1" x14ac:dyDescent="0.3">
      <c r="B44" s="12"/>
      <c r="C44" s="19">
        <v>403.4052734</v>
      </c>
      <c r="D44" s="20">
        <v>28.648</v>
      </c>
      <c r="E44" s="20">
        <v>36.042000000000002</v>
      </c>
      <c r="F44" s="20">
        <v>36.325000000000003</v>
      </c>
      <c r="G44" s="20">
        <v>201.09</v>
      </c>
      <c r="H44" s="20">
        <f t="shared" si="0"/>
        <v>30.531874999999999</v>
      </c>
      <c r="I44" s="5"/>
      <c r="J44" s="19">
        <v>310.99759999999998</v>
      </c>
      <c r="K44" s="20">
        <v>29.470300000000002</v>
      </c>
      <c r="L44" s="20">
        <v>37.348100000000002</v>
      </c>
      <c r="M44" s="20">
        <v>37.773699999999998</v>
      </c>
      <c r="N44" s="20">
        <v>400.80160000000001</v>
      </c>
      <c r="O44" s="20">
        <f t="shared" si="1"/>
        <v>31.492949999999997</v>
      </c>
      <c r="P44" s="7"/>
      <c r="Q44" s="13"/>
      <c r="R44" s="14"/>
      <c r="S44" s="14"/>
      <c r="T44" s="27"/>
      <c r="U44" s="28">
        <f t="shared" si="2"/>
        <v>0.99314535779999003</v>
      </c>
    </row>
    <row r="45" spans="1:21" x14ac:dyDescent="0.25">
      <c r="B45" s="6" t="s">
        <v>55</v>
      </c>
      <c r="C45" s="15">
        <v>1333.673828</v>
      </c>
      <c r="D45" s="16">
        <v>28.565000000000001</v>
      </c>
      <c r="E45" s="16">
        <v>35.481999999999999</v>
      </c>
      <c r="F45" s="16">
        <v>36.281999999999996</v>
      </c>
      <c r="G45" s="16">
        <v>122.95</v>
      </c>
      <c r="H45" s="16">
        <f t="shared" si="0"/>
        <v>30.39425</v>
      </c>
      <c r="I45" s="5"/>
      <c r="J45" s="15">
        <v>1224.4248</v>
      </c>
      <c r="K45" s="16">
        <v>29.975300000000001</v>
      </c>
      <c r="L45" s="16">
        <v>36.5321</v>
      </c>
      <c r="M45" s="16">
        <v>37.310099999999998</v>
      </c>
      <c r="N45" s="16">
        <v>189.68129999999999</v>
      </c>
      <c r="O45" s="16">
        <f t="shared" si="1"/>
        <v>31.711749999999999</v>
      </c>
      <c r="P45" s="7"/>
      <c r="Q45" s="8">
        <f>bdrate(C45:C48,D45:D48,J45:J48,K45:K48)</f>
        <v>-0.36606069287782561</v>
      </c>
      <c r="R45" s="8">
        <f>bdrate(C45:C48,E45:E48,J45:J48,L45:L48)</f>
        <v>-0.51389852006175096</v>
      </c>
      <c r="S45" s="8">
        <f>bdrate(C45:C48,F45:F48,J45:J48,M45:M48)</f>
        <v>-0.48662322178158168</v>
      </c>
      <c r="T45" s="25">
        <f>bdrate(C45:C48,H45:H48,J45:J48,O45:O48)</f>
        <v>-0.3941898948560385</v>
      </c>
      <c r="U45" s="28">
        <f t="shared" si="2"/>
        <v>0.54275152501016666</v>
      </c>
    </row>
    <row r="46" spans="1:21" x14ac:dyDescent="0.25">
      <c r="B46" s="9"/>
      <c r="C46" s="17">
        <v>918.98828130000004</v>
      </c>
      <c r="D46" s="18">
        <v>27.55</v>
      </c>
      <c r="E46" s="18">
        <v>34.767000000000003</v>
      </c>
      <c r="F46" s="18">
        <v>35.558999999999997</v>
      </c>
      <c r="G46" s="18">
        <v>139.09</v>
      </c>
      <c r="H46" s="18">
        <f t="shared" si="0"/>
        <v>29.453250000000001</v>
      </c>
      <c r="I46" s="5"/>
      <c r="J46" s="17">
        <v>818.68960000000004</v>
      </c>
      <c r="K46" s="18">
        <v>28.6708</v>
      </c>
      <c r="L46" s="18">
        <v>35.812600000000003</v>
      </c>
      <c r="M46" s="18">
        <v>36.571599999999997</v>
      </c>
      <c r="N46" s="18">
        <v>228.93770000000001</v>
      </c>
      <c r="O46" s="18">
        <f t="shared" si="1"/>
        <v>30.551124999999999</v>
      </c>
      <c r="P46" s="7"/>
      <c r="Q46" s="10"/>
      <c r="R46" s="11"/>
      <c r="S46" s="11"/>
      <c r="T46" s="26"/>
      <c r="U46" s="28">
        <f t="shared" si="2"/>
        <v>0.6459680782227335</v>
      </c>
    </row>
    <row r="47" spans="1:21" x14ac:dyDescent="0.25">
      <c r="B47" s="9"/>
      <c r="C47" s="17">
        <v>580.72167969999998</v>
      </c>
      <c r="D47" s="18">
        <v>26.35</v>
      </c>
      <c r="E47" s="18">
        <v>33.886000000000003</v>
      </c>
      <c r="F47" s="18">
        <v>34.607999999999997</v>
      </c>
      <c r="G47" s="18">
        <v>152.59</v>
      </c>
      <c r="H47" s="18">
        <f t="shared" si="0"/>
        <v>28.324250000000003</v>
      </c>
      <c r="I47" s="5"/>
      <c r="J47" s="17">
        <v>514.62959999999998</v>
      </c>
      <c r="K47" s="18">
        <v>27.2212</v>
      </c>
      <c r="L47" s="18">
        <v>34.994</v>
      </c>
      <c r="M47" s="18">
        <v>35.689700000000002</v>
      </c>
      <c r="N47" s="18">
        <v>286.20490000000001</v>
      </c>
      <c r="O47" s="18">
        <f t="shared" si="1"/>
        <v>29.251362499999999</v>
      </c>
      <c r="P47" s="7"/>
      <c r="Q47" s="10"/>
      <c r="R47" s="11"/>
      <c r="S47" s="11"/>
      <c r="T47" s="26"/>
      <c r="U47" s="28">
        <f t="shared" si="2"/>
        <v>0.87564650370273278</v>
      </c>
    </row>
    <row r="48" spans="1:21" ht="16.5" thickBot="1" x14ac:dyDescent="0.3">
      <c r="B48" s="12"/>
      <c r="C48" s="19">
        <v>392.04296879999998</v>
      </c>
      <c r="D48" s="20">
        <v>25.327000000000002</v>
      </c>
      <c r="E48" s="20">
        <v>33.094000000000001</v>
      </c>
      <c r="F48" s="20">
        <v>33.783999999999999</v>
      </c>
      <c r="G48" s="20">
        <v>163.71</v>
      </c>
      <c r="H48" s="20">
        <f t="shared" si="0"/>
        <v>27.355</v>
      </c>
      <c r="I48" s="5"/>
      <c r="J48" s="19">
        <v>309.48320000000001</v>
      </c>
      <c r="K48" s="20">
        <v>25.7592</v>
      </c>
      <c r="L48" s="20">
        <v>34.229100000000003</v>
      </c>
      <c r="M48" s="20">
        <v>34.843299999999999</v>
      </c>
      <c r="N48" s="20">
        <v>368.45979999999997</v>
      </c>
      <c r="O48" s="20">
        <f t="shared" si="1"/>
        <v>27.953450000000004</v>
      </c>
      <c r="P48" s="7"/>
      <c r="Q48" s="13"/>
      <c r="R48" s="14"/>
      <c r="S48" s="14"/>
      <c r="T48" s="27"/>
      <c r="U48" s="28">
        <f t="shared" si="2"/>
        <v>1.2506859690916863</v>
      </c>
    </row>
    <row r="49" spans="1:21" x14ac:dyDescent="0.25">
      <c r="B49" s="6" t="s">
        <v>56</v>
      </c>
      <c r="C49" s="15">
        <v>1308.8935550000001</v>
      </c>
      <c r="D49" s="16">
        <v>31.594000000000001</v>
      </c>
      <c r="E49" s="16">
        <v>35.904000000000003</v>
      </c>
      <c r="F49" s="16">
        <v>37.564</v>
      </c>
      <c r="G49" s="16">
        <v>109.14</v>
      </c>
      <c r="H49" s="16">
        <f t="shared" si="0"/>
        <v>32.879000000000005</v>
      </c>
      <c r="I49" s="5"/>
      <c r="J49" s="15">
        <v>1213.9552000000001</v>
      </c>
      <c r="K49" s="16">
        <v>31.970500000000001</v>
      </c>
      <c r="L49" s="16">
        <v>36.679499999999997</v>
      </c>
      <c r="M49" s="16">
        <v>38.245699999999999</v>
      </c>
      <c r="N49" s="16">
        <v>138.37639999999999</v>
      </c>
      <c r="O49" s="16">
        <f t="shared" si="1"/>
        <v>33.343525</v>
      </c>
      <c r="P49" s="7"/>
      <c r="Q49" s="8">
        <f>bdrate(C49:C52,D49:D52,J49:J52,K49:K52)</f>
        <v>-0.1629150455585594</v>
      </c>
      <c r="R49" s="8">
        <f>bdrate(C49:C52,E49:E52,J49:J52,L49:L52)</f>
        <v>-0.43881328181446599</v>
      </c>
      <c r="S49" s="8">
        <f>bdrate(C49:C52,F49:F52,J49:J52,M49:M52)</f>
        <v>-0.41925136369923133</v>
      </c>
      <c r="T49" s="25">
        <f>bdrate(C49:C52,H49:H52,J49:J52,O49:O52)</f>
        <v>-0.22223582027898936</v>
      </c>
      <c r="U49" s="28">
        <f t="shared" si="2"/>
        <v>0.26787978742899021</v>
      </c>
    </row>
    <row r="50" spans="1:21" x14ac:dyDescent="0.25">
      <c r="B50" s="9"/>
      <c r="C50" s="17">
        <v>933.37109380000004</v>
      </c>
      <c r="D50" s="18">
        <v>30.411999999999999</v>
      </c>
      <c r="E50" s="18">
        <v>35.036000000000001</v>
      </c>
      <c r="F50" s="18">
        <v>36.648000000000003</v>
      </c>
      <c r="G50" s="18">
        <v>122.88</v>
      </c>
      <c r="H50" s="18">
        <f t="shared" si="0"/>
        <v>31.769499999999997</v>
      </c>
      <c r="I50" s="5"/>
      <c r="J50" s="17">
        <v>807.64400000000001</v>
      </c>
      <c r="K50" s="18">
        <v>30.496300000000002</v>
      </c>
      <c r="L50" s="18">
        <v>35.790100000000002</v>
      </c>
      <c r="M50" s="18">
        <v>37.3596</v>
      </c>
      <c r="N50" s="18">
        <v>167.22409999999999</v>
      </c>
      <c r="O50" s="18">
        <f t="shared" si="1"/>
        <v>32.0159375</v>
      </c>
      <c r="P50" s="7"/>
      <c r="Q50" s="10"/>
      <c r="R50" s="11"/>
      <c r="S50" s="11"/>
      <c r="T50" s="26"/>
      <c r="U50" s="28">
        <f t="shared" si="2"/>
        <v>0.36087320963541664</v>
      </c>
    </row>
    <row r="51" spans="1:21" x14ac:dyDescent="0.25">
      <c r="B51" s="9"/>
      <c r="C51" s="17">
        <v>614.359375</v>
      </c>
      <c r="D51" s="18">
        <v>29.001000000000001</v>
      </c>
      <c r="E51" s="18">
        <v>33.97</v>
      </c>
      <c r="F51" s="18">
        <v>35.484000000000002</v>
      </c>
      <c r="G51" s="18">
        <v>134.4</v>
      </c>
      <c r="H51" s="18">
        <f t="shared" si="0"/>
        <v>30.432500000000001</v>
      </c>
      <c r="I51" s="5"/>
      <c r="J51" s="17">
        <v>504.81439999999998</v>
      </c>
      <c r="K51" s="18">
        <v>28.904299999999999</v>
      </c>
      <c r="L51" s="18">
        <v>34.956299999999999</v>
      </c>
      <c r="M51" s="18">
        <v>36.482300000000002</v>
      </c>
      <c r="N51" s="18">
        <v>209.0592</v>
      </c>
      <c r="O51" s="18">
        <f t="shared" si="1"/>
        <v>30.608049999999999</v>
      </c>
      <c r="P51" s="7"/>
      <c r="Q51" s="10"/>
      <c r="R51" s="11"/>
      <c r="S51" s="11"/>
      <c r="T51" s="26"/>
      <c r="U51" s="28">
        <f t="shared" si="2"/>
        <v>0.55549999999999999</v>
      </c>
    </row>
    <row r="52" spans="1:21" ht="16.5" thickBot="1" x14ac:dyDescent="0.3">
      <c r="B52" s="12"/>
      <c r="C52" s="19">
        <v>401.12890629999998</v>
      </c>
      <c r="D52" s="20">
        <v>27.507000000000001</v>
      </c>
      <c r="E52" s="20">
        <v>32.868000000000002</v>
      </c>
      <c r="F52" s="20">
        <v>34.167000000000002</v>
      </c>
      <c r="G52" s="20">
        <v>148.18</v>
      </c>
      <c r="H52" s="20">
        <f t="shared" si="0"/>
        <v>29.009625</v>
      </c>
      <c r="I52" s="5"/>
      <c r="J52" s="19">
        <v>302.53039999999999</v>
      </c>
      <c r="K52" s="20">
        <v>27.377500000000001</v>
      </c>
      <c r="L52" s="20">
        <v>34.039299999999997</v>
      </c>
      <c r="M52" s="20">
        <v>35.508400000000002</v>
      </c>
      <c r="N52" s="20">
        <v>270.75810000000001</v>
      </c>
      <c r="O52" s="20">
        <f t="shared" si="1"/>
        <v>29.226587500000001</v>
      </c>
      <c r="P52" s="7"/>
      <c r="Q52" s="13"/>
      <c r="R52" s="14"/>
      <c r="S52" s="14"/>
      <c r="T52" s="27"/>
      <c r="U52" s="28">
        <f t="shared" si="2"/>
        <v>0.82722432177081928</v>
      </c>
    </row>
    <row r="53" spans="1:21" x14ac:dyDescent="0.25">
      <c r="A53" s="6" t="s">
        <v>41</v>
      </c>
      <c r="B53" s="6" t="s">
        <v>57</v>
      </c>
      <c r="C53" s="15">
        <v>609.73339840000006</v>
      </c>
      <c r="D53" s="16">
        <v>32.978000000000002</v>
      </c>
      <c r="E53" s="16">
        <v>38.465000000000003</v>
      </c>
      <c r="F53" s="16">
        <v>36.328000000000003</v>
      </c>
      <c r="G53" s="16">
        <v>492.25</v>
      </c>
      <c r="H53" s="16">
        <f t="shared" si="0"/>
        <v>34.082625</v>
      </c>
      <c r="I53" s="5"/>
      <c r="J53" s="15">
        <v>607.45680000000004</v>
      </c>
      <c r="K53" s="16">
        <v>34.095399999999998</v>
      </c>
      <c r="L53" s="16">
        <v>39.463200000000001</v>
      </c>
      <c r="M53" s="16">
        <v>37.921799999999998</v>
      </c>
      <c r="N53" s="16">
        <v>508.64699999999999</v>
      </c>
      <c r="O53" s="16">
        <f t="shared" si="1"/>
        <v>35.244675000000001</v>
      </c>
      <c r="P53" s="7"/>
      <c r="Q53" s="8">
        <f>bdrate(C53:C56,D53:D56,J53:J56,K53:K56)</f>
        <v>-0.18040619701486937</v>
      </c>
      <c r="R53" s="8">
        <f>bdrate(C53:C56,E53:E56,J53:J56,L53:L56)</f>
        <v>-0.36240864827658859</v>
      </c>
      <c r="S53" s="8">
        <f>bdrate(C53:C56,F53:F56,J53:J56,M53:M56)</f>
        <v>-0.47225736239089655</v>
      </c>
      <c r="T53" s="25">
        <f>bdrate(C53:C56,H53:H56,J53:J56,O53:O56)</f>
        <v>-0.23457838092173877</v>
      </c>
      <c r="U53" s="28">
        <f t="shared" si="2"/>
        <v>3.3310309801929894E-2</v>
      </c>
    </row>
    <row r="54" spans="1:21" x14ac:dyDescent="0.25">
      <c r="A54" s="9" t="s">
        <v>42</v>
      </c>
      <c r="B54" s="9"/>
      <c r="C54" s="17">
        <v>420.05273440000002</v>
      </c>
      <c r="D54" s="18">
        <v>31.484000000000002</v>
      </c>
      <c r="E54" s="18">
        <v>37.445999999999998</v>
      </c>
      <c r="F54" s="18">
        <v>35.133000000000003</v>
      </c>
      <c r="G54" s="18">
        <v>539.83000000000004</v>
      </c>
      <c r="H54" s="18">
        <f t="shared" si="0"/>
        <v>32.685375000000001</v>
      </c>
      <c r="I54" s="5"/>
      <c r="J54" s="17">
        <v>404.95119999999997</v>
      </c>
      <c r="K54" s="18">
        <v>32.276699999999998</v>
      </c>
      <c r="L54" s="18">
        <v>38.339599999999997</v>
      </c>
      <c r="M54" s="18">
        <v>36.672600000000003</v>
      </c>
      <c r="N54" s="18">
        <v>604.59490000000005</v>
      </c>
      <c r="O54" s="18">
        <f t="shared" si="1"/>
        <v>33.584049999999998</v>
      </c>
      <c r="P54" s="7"/>
      <c r="Q54" s="10"/>
      <c r="R54" s="11"/>
      <c r="S54" s="11"/>
      <c r="T54" s="26"/>
      <c r="U54" s="28">
        <f t="shared" si="2"/>
        <v>0.11997276920512014</v>
      </c>
    </row>
    <row r="55" spans="1:21" x14ac:dyDescent="0.25">
      <c r="B55" s="9"/>
      <c r="C55" s="17">
        <v>265.21679690000002</v>
      </c>
      <c r="D55" s="18">
        <v>29.803000000000001</v>
      </c>
      <c r="E55" s="18">
        <v>36.243000000000002</v>
      </c>
      <c r="F55" s="18">
        <v>33.712000000000003</v>
      </c>
      <c r="G55" s="18">
        <v>585.71</v>
      </c>
      <c r="H55" s="18">
        <f t="shared" si="0"/>
        <v>31.096625000000003</v>
      </c>
      <c r="I55" s="5"/>
      <c r="J55" s="17">
        <v>254.876</v>
      </c>
      <c r="K55" s="18">
        <v>30.368500000000001</v>
      </c>
      <c r="L55" s="18">
        <v>37.269300000000001</v>
      </c>
      <c r="M55" s="18">
        <v>35.477400000000003</v>
      </c>
      <c r="N55" s="18">
        <v>763.35879999999997</v>
      </c>
      <c r="O55" s="18">
        <f t="shared" si="1"/>
        <v>31.869712499999999</v>
      </c>
      <c r="P55" s="7"/>
      <c r="Q55" s="10"/>
      <c r="R55" s="11"/>
      <c r="S55" s="11"/>
      <c r="T55" s="26"/>
      <c r="U55" s="28">
        <f t="shared" si="2"/>
        <v>0.30330504857352603</v>
      </c>
    </row>
    <row r="56" spans="1:21" ht="16.5" thickBot="1" x14ac:dyDescent="0.3">
      <c r="B56" s="12"/>
      <c r="C56" s="19">
        <v>140.16796880000001</v>
      </c>
      <c r="D56" s="20">
        <v>27.504999999999999</v>
      </c>
      <c r="E56" s="20">
        <v>34.497</v>
      </c>
      <c r="F56" s="20">
        <v>31.785</v>
      </c>
      <c r="G56" s="20">
        <v>662.35</v>
      </c>
      <c r="H56" s="20">
        <f t="shared" si="0"/>
        <v>28.913999999999998</v>
      </c>
      <c r="I56" s="5"/>
      <c r="J56" s="19">
        <v>122.82080000000001</v>
      </c>
      <c r="K56" s="20">
        <v>27.605399999999999</v>
      </c>
      <c r="L56" s="20">
        <v>35.7102</v>
      </c>
      <c r="M56" s="20">
        <v>33.566699999999997</v>
      </c>
      <c r="N56" s="20">
        <v>1103.7528</v>
      </c>
      <c r="O56" s="20">
        <f t="shared" si="1"/>
        <v>29.3636625</v>
      </c>
      <c r="P56" s="7"/>
      <c r="Q56" s="13"/>
      <c r="R56" s="14"/>
      <c r="S56" s="14"/>
      <c r="T56" s="27"/>
      <c r="U56" s="28">
        <f t="shared" si="2"/>
        <v>0.66641926473918611</v>
      </c>
    </row>
    <row r="57" spans="1:21" x14ac:dyDescent="0.25">
      <c r="B57" s="6" t="s">
        <v>58</v>
      </c>
      <c r="C57" s="15">
        <v>643.4921875</v>
      </c>
      <c r="D57" s="16">
        <v>29.710999999999999</v>
      </c>
      <c r="E57" s="16">
        <v>39.936999999999998</v>
      </c>
      <c r="F57" s="16">
        <v>40.688000000000002</v>
      </c>
      <c r="G57" s="16">
        <v>464.34</v>
      </c>
      <c r="H57" s="16">
        <f t="shared" si="0"/>
        <v>32.361374999999995</v>
      </c>
      <c r="I57" s="5"/>
      <c r="J57" s="15">
        <v>605.34640000000002</v>
      </c>
      <c r="K57" s="16">
        <v>33.275500000000001</v>
      </c>
      <c r="L57" s="16">
        <v>41.145800000000001</v>
      </c>
      <c r="M57" s="16">
        <v>41.970199999999998</v>
      </c>
      <c r="N57" s="16">
        <v>620.47569999999996</v>
      </c>
      <c r="O57" s="16">
        <f t="shared" si="1"/>
        <v>35.346125000000001</v>
      </c>
      <c r="P57" s="7"/>
      <c r="Q57" s="8">
        <f>bdrate(C57:C60,D57:D60,J57:J60,K57:K60)</f>
        <v>-0.66846150384008718</v>
      </c>
      <c r="R57" s="8">
        <f>bdrate(C57:C60,E57:E60,J57:J60,L57:L60)</f>
        <v>-0.47829046257592989</v>
      </c>
      <c r="S57" s="8">
        <f>bdrate(C57:C60,F57:F60,J57:J60,M57:M60)</f>
        <v>-0.45914582191412423</v>
      </c>
      <c r="T57" s="25">
        <f>bdrate(C57:C60,H57:H60,J57:J60,O57:O60)</f>
        <v>-0.64111806203291966</v>
      </c>
      <c r="U57" s="28">
        <f t="shared" si="2"/>
        <v>0.3362529611922298</v>
      </c>
    </row>
    <row r="58" spans="1:21" x14ac:dyDescent="0.25">
      <c r="B58" s="9"/>
      <c r="C58" s="17">
        <v>440.09570309999998</v>
      </c>
      <c r="D58" s="18">
        <v>28.65</v>
      </c>
      <c r="E58" s="18">
        <v>39.241999999999997</v>
      </c>
      <c r="F58" s="18">
        <v>39.906999999999996</v>
      </c>
      <c r="G58" s="18">
        <v>494.99</v>
      </c>
      <c r="H58" s="18">
        <f t="shared" si="0"/>
        <v>31.381124999999997</v>
      </c>
      <c r="I58" s="5"/>
      <c r="J58" s="17">
        <v>402.61279999999999</v>
      </c>
      <c r="K58" s="18">
        <v>32.0017</v>
      </c>
      <c r="L58" s="18">
        <v>40.324100000000001</v>
      </c>
      <c r="M58" s="18">
        <v>41.129199999999997</v>
      </c>
      <c r="N58" s="18">
        <v>753.76880000000006</v>
      </c>
      <c r="O58" s="18">
        <f t="shared" si="1"/>
        <v>34.182937499999994</v>
      </c>
      <c r="P58" s="7"/>
      <c r="Q58" s="10"/>
      <c r="R58" s="11"/>
      <c r="S58" s="11"/>
      <c r="T58" s="26"/>
      <c r="U58" s="28">
        <f t="shared" si="2"/>
        <v>0.52279601608113302</v>
      </c>
    </row>
    <row r="59" spans="1:21" x14ac:dyDescent="0.25">
      <c r="B59" s="9"/>
      <c r="C59" s="17">
        <v>282.4755859</v>
      </c>
      <c r="D59" s="18">
        <v>27.529</v>
      </c>
      <c r="E59" s="18">
        <v>38.515999999999998</v>
      </c>
      <c r="F59" s="18">
        <v>39.155000000000001</v>
      </c>
      <c r="G59" s="18">
        <v>523.04</v>
      </c>
      <c r="H59" s="18">
        <f t="shared" si="0"/>
        <v>30.355625</v>
      </c>
      <c r="I59" s="5"/>
      <c r="J59" s="17">
        <v>252.16800000000001</v>
      </c>
      <c r="K59" s="18">
        <v>30.473700000000001</v>
      </c>
      <c r="L59" s="18">
        <v>39.392800000000001</v>
      </c>
      <c r="M59" s="18">
        <v>40.111199999999997</v>
      </c>
      <c r="N59" s="18">
        <v>961.5385</v>
      </c>
      <c r="O59" s="18">
        <f t="shared" si="1"/>
        <v>32.793274999999994</v>
      </c>
      <c r="P59" s="7"/>
      <c r="Q59" s="10"/>
      <c r="R59" s="11"/>
      <c r="S59" s="11"/>
      <c r="T59" s="26"/>
      <c r="U59" s="28">
        <f t="shared" si="2"/>
        <v>0.83836513459773643</v>
      </c>
    </row>
    <row r="60" spans="1:21" ht="16.5" thickBot="1" x14ac:dyDescent="0.3">
      <c r="B60" s="12"/>
      <c r="C60" s="19">
        <v>139.4697266</v>
      </c>
      <c r="D60" s="20">
        <v>25.553000000000001</v>
      </c>
      <c r="E60" s="20">
        <v>37.496000000000002</v>
      </c>
      <c r="F60" s="20">
        <v>37.646000000000001</v>
      </c>
      <c r="G60" s="20">
        <v>624.53</v>
      </c>
      <c r="H60" s="20">
        <f t="shared" si="0"/>
        <v>28.557500000000005</v>
      </c>
      <c r="I60" s="5"/>
      <c r="J60" s="19">
        <v>121.27679999999999</v>
      </c>
      <c r="K60" s="20">
        <v>27.9711</v>
      </c>
      <c r="L60" s="20">
        <v>38.247300000000003</v>
      </c>
      <c r="M60" s="20">
        <v>38.568300000000001</v>
      </c>
      <c r="N60" s="20">
        <v>1239.6694</v>
      </c>
      <c r="O60" s="20">
        <f t="shared" si="1"/>
        <v>30.580274999999997</v>
      </c>
      <c r="P60" s="7"/>
      <c r="Q60" s="13"/>
      <c r="R60" s="14"/>
      <c r="S60" s="14"/>
      <c r="T60" s="27"/>
      <c r="U60" s="28">
        <f t="shared" si="2"/>
        <v>0.98496373272701077</v>
      </c>
    </row>
    <row r="61" spans="1:21" x14ac:dyDescent="0.25">
      <c r="B61" s="6" t="s">
        <v>59</v>
      </c>
      <c r="C61" s="29">
        <v>653.05859380000004</v>
      </c>
      <c r="D61" s="30">
        <v>30.553000000000001</v>
      </c>
      <c r="E61" s="30">
        <v>36.648000000000003</v>
      </c>
      <c r="F61" s="30">
        <v>37.366999999999997</v>
      </c>
      <c r="G61" s="16">
        <v>467.15</v>
      </c>
      <c r="H61" s="16">
        <f t="shared" si="0"/>
        <v>32.166625000000003</v>
      </c>
      <c r="I61" s="5"/>
      <c r="J61" s="29">
        <v>644.10080000000005</v>
      </c>
      <c r="K61" s="30">
        <v>32.893000000000001</v>
      </c>
      <c r="L61" s="30">
        <v>38.021799999999999</v>
      </c>
      <c r="M61" s="30">
        <v>38.760599999999997</v>
      </c>
      <c r="N61" s="16">
        <v>552.48620000000005</v>
      </c>
      <c r="O61" s="16">
        <f t="shared" si="1"/>
        <v>34.26755</v>
      </c>
      <c r="P61" s="7"/>
      <c r="Q61" s="8">
        <f>bdrate(C61:C64,D61:D64,J61:J64,K61:K64)</f>
        <v>-0.41926166191095982</v>
      </c>
      <c r="R61" s="8">
        <f>bdrate(C61:C64,E61:E64,J61:J64,L61:L64)</f>
        <v>-0.46507081997112543</v>
      </c>
      <c r="S61" s="8">
        <f>bdrate(C61:C64,F61:F64,J61:J64,M61:M64)</f>
        <v>-0.47251882974156034</v>
      </c>
      <c r="T61" s="25">
        <f>bdrate(C61:C64,H61:H64,J61:J64,O61:O64)</f>
        <v>-0.43213877208169182</v>
      </c>
      <c r="U61" s="28">
        <f t="shared" si="2"/>
        <v>0.18267408755217826</v>
      </c>
    </row>
    <row r="62" spans="1:21" x14ac:dyDescent="0.25">
      <c r="B62" s="9"/>
      <c r="C62" s="31">
        <v>445.91015629999998</v>
      </c>
      <c r="D62" s="32">
        <v>29.457000000000001</v>
      </c>
      <c r="E62" s="32">
        <v>35.688000000000002</v>
      </c>
      <c r="F62" s="32">
        <v>36.353999999999999</v>
      </c>
      <c r="G62" s="18">
        <v>493.39</v>
      </c>
      <c r="H62" s="18">
        <f t="shared" si="0"/>
        <v>31.097999999999999</v>
      </c>
      <c r="I62" s="5"/>
      <c r="J62" s="31">
        <v>426.93360000000001</v>
      </c>
      <c r="K62" s="32">
        <v>31.354900000000001</v>
      </c>
      <c r="L62" s="32">
        <v>36.994100000000003</v>
      </c>
      <c r="M62" s="32">
        <v>37.695900000000002</v>
      </c>
      <c r="N62" s="18">
        <v>667.55669999999998</v>
      </c>
      <c r="O62" s="18">
        <f t="shared" si="1"/>
        <v>32.852425000000004</v>
      </c>
      <c r="P62" s="7"/>
      <c r="Q62" s="10"/>
      <c r="R62" s="11"/>
      <c r="S62" s="11"/>
      <c r="T62" s="26"/>
      <c r="U62" s="28">
        <f t="shared" si="2"/>
        <v>0.35300006080382657</v>
      </c>
    </row>
    <row r="63" spans="1:21" x14ac:dyDescent="0.25">
      <c r="B63" s="9"/>
      <c r="C63" s="31">
        <v>281.88671879999998</v>
      </c>
      <c r="D63" s="32">
        <v>28.251000000000001</v>
      </c>
      <c r="E63" s="32">
        <v>34.637999999999998</v>
      </c>
      <c r="F63" s="32">
        <v>35.256999999999998</v>
      </c>
      <c r="G63" s="18">
        <v>518.32000000000005</v>
      </c>
      <c r="H63" s="18">
        <f t="shared" si="0"/>
        <v>29.925125000000001</v>
      </c>
      <c r="I63" s="5"/>
      <c r="J63" s="31">
        <v>266.40640000000002</v>
      </c>
      <c r="K63" s="32">
        <v>29.711099999999998</v>
      </c>
      <c r="L63" s="32">
        <v>35.935299999999998</v>
      </c>
      <c r="M63" s="32">
        <v>36.619100000000003</v>
      </c>
      <c r="N63" s="18">
        <v>843.1703</v>
      </c>
      <c r="O63" s="18">
        <f t="shared" si="1"/>
        <v>31.352624999999996</v>
      </c>
      <c r="P63" s="7"/>
      <c r="Q63" s="10"/>
      <c r="R63" s="11"/>
      <c r="S63" s="11"/>
      <c r="T63" s="26"/>
      <c r="U63" s="28">
        <f t="shared" si="2"/>
        <v>0.62673695786386774</v>
      </c>
    </row>
    <row r="64" spans="1:21" ht="16.5" thickBot="1" x14ac:dyDescent="0.3">
      <c r="B64" s="12"/>
      <c r="C64" s="33">
        <v>138.57226560000001</v>
      </c>
      <c r="D64" s="34">
        <v>26.454999999999998</v>
      </c>
      <c r="E64" s="34">
        <v>33.122</v>
      </c>
      <c r="F64" s="34">
        <v>33.779000000000003</v>
      </c>
      <c r="G64" s="20">
        <v>583.27</v>
      </c>
      <c r="H64" s="20">
        <f t="shared" si="0"/>
        <v>28.203874999999996</v>
      </c>
      <c r="I64" s="5"/>
      <c r="J64" s="33">
        <v>129.35599999999999</v>
      </c>
      <c r="K64" s="34">
        <v>27.313300000000002</v>
      </c>
      <c r="L64" s="34">
        <v>34.354100000000003</v>
      </c>
      <c r="M64" s="34">
        <v>35.078000000000003</v>
      </c>
      <c r="N64" s="20">
        <v>1282.0513000000001</v>
      </c>
      <c r="O64" s="20">
        <f t="shared" si="1"/>
        <v>29.163987500000001</v>
      </c>
      <c r="P64" s="7"/>
      <c r="Q64" s="13"/>
      <c r="R64" s="14"/>
      <c r="S64" s="14"/>
      <c r="T64" s="27"/>
      <c r="U64" s="28">
        <f t="shared" si="2"/>
        <v>1.1980408730090697</v>
      </c>
    </row>
    <row r="65" spans="1:21" x14ac:dyDescent="0.25">
      <c r="B65" s="6" t="s">
        <v>60</v>
      </c>
      <c r="C65" s="15">
        <v>614.85351560000004</v>
      </c>
      <c r="D65" s="16">
        <v>32.729999999999997</v>
      </c>
      <c r="E65" s="16">
        <v>36.323999999999998</v>
      </c>
      <c r="F65" s="16">
        <v>37.426000000000002</v>
      </c>
      <c r="G65" s="16">
        <v>401.21</v>
      </c>
      <c r="H65" s="16">
        <f t="shared" si="0"/>
        <v>33.766249999999999</v>
      </c>
      <c r="I65" s="5"/>
      <c r="J65" s="15">
        <v>607.76400000000001</v>
      </c>
      <c r="K65" s="16">
        <v>33.5899</v>
      </c>
      <c r="L65" s="16">
        <v>37.471499999999999</v>
      </c>
      <c r="M65" s="16">
        <v>38.566800000000001</v>
      </c>
      <c r="N65" s="16">
        <v>355.87189999999998</v>
      </c>
      <c r="O65" s="16">
        <f t="shared" si="1"/>
        <v>34.697212499999999</v>
      </c>
      <c r="P65" s="7"/>
      <c r="Q65" s="8">
        <f>bdrate(C65:C68,D65:D68,J65:J68,K65:K68)</f>
        <v>-0.13099827100481209</v>
      </c>
      <c r="R65" s="8">
        <f>bdrate(C65:C68,E65:E68,J65:J68,L65:L68)</f>
        <v>-0.42112716385125393</v>
      </c>
      <c r="S65" s="8">
        <f>bdrate(C65:C68,F65:F68,J65:J68,M65:M68)</f>
        <v>-0.40027853829407123</v>
      </c>
      <c r="T65" s="25">
        <f>bdrate(C65:C68,H65:H68,J65:J68,O65:O68)</f>
        <v>-0.19497163635070858</v>
      </c>
      <c r="U65" s="28">
        <f t="shared" si="2"/>
        <v>-0.11300341467062137</v>
      </c>
    </row>
    <row r="66" spans="1:21" x14ac:dyDescent="0.25">
      <c r="B66" s="9"/>
      <c r="C66" s="17">
        <v>432.26367190000002</v>
      </c>
      <c r="D66" s="18">
        <v>31.355</v>
      </c>
      <c r="E66" s="18">
        <v>35.265999999999998</v>
      </c>
      <c r="F66" s="18">
        <v>36.378</v>
      </c>
      <c r="G66" s="18">
        <v>426.31</v>
      </c>
      <c r="H66" s="18">
        <f t="shared" si="0"/>
        <v>32.47175</v>
      </c>
      <c r="I66" s="5"/>
      <c r="J66" s="17">
        <v>404.29680000000002</v>
      </c>
      <c r="K66" s="18">
        <v>31.689599999999999</v>
      </c>
      <c r="L66" s="18">
        <v>36.379899999999999</v>
      </c>
      <c r="M66" s="18">
        <v>37.455399999999997</v>
      </c>
      <c r="N66" s="18">
        <v>427.35039999999998</v>
      </c>
      <c r="O66" s="18">
        <f t="shared" si="1"/>
        <v>32.996612499999998</v>
      </c>
      <c r="P66" s="7"/>
      <c r="Q66" s="10"/>
      <c r="R66" s="11"/>
      <c r="S66" s="11"/>
      <c r="T66" s="26"/>
      <c r="U66" s="28">
        <f t="shared" si="2"/>
        <v>2.4404775867326051E-3</v>
      </c>
    </row>
    <row r="67" spans="1:21" x14ac:dyDescent="0.25">
      <c r="B67" s="9"/>
      <c r="C67" s="17">
        <v>289.72070309999998</v>
      </c>
      <c r="D67" s="18">
        <v>29.864000000000001</v>
      </c>
      <c r="E67" s="18">
        <v>34.109000000000002</v>
      </c>
      <c r="F67" s="18">
        <v>35.229999999999997</v>
      </c>
      <c r="G67" s="18">
        <v>452.24</v>
      </c>
      <c r="H67" s="18">
        <f t="shared" si="0"/>
        <v>31.065375</v>
      </c>
      <c r="I67" s="5"/>
      <c r="J67" s="17">
        <v>253.34479999999999</v>
      </c>
      <c r="K67" s="18">
        <v>29.872199999999999</v>
      </c>
      <c r="L67" s="18">
        <v>35.190100000000001</v>
      </c>
      <c r="M67" s="18">
        <v>36.2239</v>
      </c>
      <c r="N67" s="18">
        <v>564.97180000000003</v>
      </c>
      <c r="O67" s="18">
        <f t="shared" si="1"/>
        <v>31.3309</v>
      </c>
      <c r="P67" s="7"/>
      <c r="Q67" s="10"/>
      <c r="R67" s="11"/>
      <c r="S67" s="11"/>
      <c r="T67" s="26"/>
      <c r="U67" s="28">
        <f t="shared" si="2"/>
        <v>0.24927427914381747</v>
      </c>
    </row>
    <row r="68" spans="1:21" ht="16.5" thickBot="1" x14ac:dyDescent="0.3">
      <c r="B68" s="12"/>
      <c r="C68" s="19">
        <v>147.3662109</v>
      </c>
      <c r="D68" s="20">
        <v>27.623999999999999</v>
      </c>
      <c r="E68" s="20">
        <v>32.369</v>
      </c>
      <c r="F68" s="20">
        <v>33.427999999999997</v>
      </c>
      <c r="G68" s="20">
        <v>507.68</v>
      </c>
      <c r="H68" s="20">
        <f t="shared" si="0"/>
        <v>28.942625</v>
      </c>
      <c r="I68" s="5"/>
      <c r="J68" s="19">
        <v>122.276</v>
      </c>
      <c r="K68" s="20">
        <v>27.390699999999999</v>
      </c>
      <c r="L68" s="20">
        <v>33.728099999999998</v>
      </c>
      <c r="M68" s="20">
        <v>34.632599999999996</v>
      </c>
      <c r="N68" s="20">
        <v>835.65459999999996</v>
      </c>
      <c r="O68" s="20">
        <f t="shared" si="1"/>
        <v>29.088112499999998</v>
      </c>
      <c r="P68" s="7"/>
      <c r="Q68" s="13"/>
      <c r="R68" s="14"/>
      <c r="S68" s="14"/>
      <c r="T68" s="27"/>
      <c r="U68" s="28">
        <f t="shared" si="2"/>
        <v>0.64602623699968476</v>
      </c>
    </row>
    <row r="69" spans="1:21" x14ac:dyDescent="0.25">
      <c r="A69" s="6" t="s">
        <v>43</v>
      </c>
      <c r="B69" s="6" t="s">
        <v>61</v>
      </c>
      <c r="C69" s="15">
        <v>1490.1289059999999</v>
      </c>
      <c r="D69" s="16">
        <v>40.040999999999997</v>
      </c>
      <c r="E69" s="16">
        <v>45.264000000000003</v>
      </c>
      <c r="F69" s="16">
        <v>46.469000000000001</v>
      </c>
      <c r="G69" s="16">
        <v>98.4</v>
      </c>
      <c r="H69" s="16">
        <f t="shared" si="0"/>
        <v>41.497374999999998</v>
      </c>
      <c r="I69" s="5"/>
      <c r="J69" s="15">
        <v>1497.2016000000001</v>
      </c>
      <c r="K69" s="16">
        <v>41.1479</v>
      </c>
      <c r="L69" s="16">
        <v>45.6875</v>
      </c>
      <c r="M69" s="16">
        <v>46.848300000000002</v>
      </c>
      <c r="N69" s="16">
        <v>170.9402</v>
      </c>
      <c r="O69" s="16">
        <f t="shared" si="1"/>
        <v>42.427900000000001</v>
      </c>
      <c r="P69" s="7"/>
      <c r="Q69" s="8">
        <f>bdrate(C69:C72,D69:D72,J69:J72,K69:K72)</f>
        <v>-0.29401319623597644</v>
      </c>
      <c r="R69" s="8">
        <f>bdrate(C69:C72,E69:E72,J69:J72,L69:L72)</f>
        <v>-0.20155212502227282</v>
      </c>
      <c r="S69" s="8">
        <f>bdrate(C69:C72,F69:F72,J69:J72,M69:M72)</f>
        <v>-0.20244416032038437</v>
      </c>
      <c r="T69" s="25">
        <f>bdrate(C69:C72,H69:H72,J69:J72,O69:O72)</f>
        <v>-0.2775523780582857</v>
      </c>
      <c r="U69" s="28">
        <f t="shared" si="2"/>
        <v>0.73719715447154466</v>
      </c>
    </row>
    <row r="70" spans="1:21" x14ac:dyDescent="0.25">
      <c r="A70" s="9" t="s">
        <v>44</v>
      </c>
      <c r="B70" s="9"/>
      <c r="C70" s="17">
        <v>997.35449219999998</v>
      </c>
      <c r="D70" s="18">
        <v>38.850999999999999</v>
      </c>
      <c r="E70" s="18">
        <v>44.384999999999998</v>
      </c>
      <c r="F70" s="18">
        <v>45.48</v>
      </c>
      <c r="G70" s="18">
        <v>111.01</v>
      </c>
      <c r="H70" s="18">
        <f t="shared" si="0"/>
        <v>40.371375</v>
      </c>
      <c r="I70" s="5"/>
      <c r="J70" s="17">
        <v>992.70960000000002</v>
      </c>
      <c r="K70" s="18">
        <v>40.046100000000003</v>
      </c>
      <c r="L70" s="18">
        <v>44.819200000000002</v>
      </c>
      <c r="M70" s="18">
        <v>45.955199999999998</v>
      </c>
      <c r="N70" s="18">
        <v>192.30770000000001</v>
      </c>
      <c r="O70" s="18">
        <f t="shared" si="1"/>
        <v>41.381375000000006</v>
      </c>
      <c r="P70" s="7"/>
      <c r="Q70" s="10"/>
      <c r="R70" s="11"/>
      <c r="S70" s="11"/>
      <c r="T70" s="26"/>
      <c r="U70" s="28">
        <f t="shared" si="2"/>
        <v>0.73234573461850283</v>
      </c>
    </row>
    <row r="71" spans="1:21" x14ac:dyDescent="0.25">
      <c r="B71" s="9"/>
      <c r="C71" s="17">
        <v>602.19726560000004</v>
      </c>
      <c r="D71" s="18">
        <v>36.914000000000001</v>
      </c>
      <c r="E71" s="18">
        <v>42.902999999999999</v>
      </c>
      <c r="F71" s="18">
        <v>43.941000000000003</v>
      </c>
      <c r="G71" s="18">
        <v>119.2</v>
      </c>
      <c r="H71" s="18">
        <f t="shared" si="0"/>
        <v>38.540999999999997</v>
      </c>
      <c r="I71" s="5"/>
      <c r="J71" s="17">
        <v>574.35360000000003</v>
      </c>
      <c r="K71" s="18">
        <v>38.080100000000002</v>
      </c>
      <c r="L71" s="18">
        <v>43.377099999999999</v>
      </c>
      <c r="M71" s="18">
        <v>44.4358</v>
      </c>
      <c r="N71" s="18">
        <v>223.63030000000001</v>
      </c>
      <c r="O71" s="18">
        <f t="shared" si="1"/>
        <v>39.536687499999999</v>
      </c>
      <c r="P71" s="7"/>
      <c r="Q71" s="10"/>
      <c r="R71" s="11"/>
      <c r="S71" s="11"/>
      <c r="T71" s="26"/>
      <c r="U71" s="28">
        <f t="shared" si="2"/>
        <v>0.87609312080536916</v>
      </c>
    </row>
    <row r="72" spans="1:21" ht="16.5" thickBot="1" x14ac:dyDescent="0.3">
      <c r="B72" s="12"/>
      <c r="C72" s="19">
        <v>303.734375</v>
      </c>
      <c r="D72" s="20">
        <v>33.518999999999998</v>
      </c>
      <c r="E72" s="20">
        <v>40.491</v>
      </c>
      <c r="F72" s="20">
        <v>41.338999999999999</v>
      </c>
      <c r="G72" s="20">
        <v>130.03</v>
      </c>
      <c r="H72" s="20">
        <f t="shared" si="0"/>
        <v>35.367999999999995</v>
      </c>
      <c r="I72" s="5"/>
      <c r="J72" s="19">
        <v>279.38159999999999</v>
      </c>
      <c r="K72" s="20">
        <v>34.951999999999998</v>
      </c>
      <c r="L72" s="20">
        <v>41.464100000000002</v>
      </c>
      <c r="M72" s="20">
        <v>42.446100000000001</v>
      </c>
      <c r="N72" s="20">
        <v>276.62520000000001</v>
      </c>
      <c r="O72" s="20">
        <f t="shared" si="1"/>
        <v>36.702775000000003</v>
      </c>
      <c r="P72" s="7"/>
      <c r="Q72" s="13"/>
      <c r="R72" s="14"/>
      <c r="S72" s="14"/>
      <c r="T72" s="27"/>
      <c r="U72" s="28">
        <f t="shared" si="2"/>
        <v>1.1273952164885026</v>
      </c>
    </row>
    <row r="73" spans="1:21" x14ac:dyDescent="0.25">
      <c r="B73" s="6" t="s">
        <v>62</v>
      </c>
      <c r="C73" s="15">
        <v>1484.9375</v>
      </c>
      <c r="D73" s="16">
        <v>41.268000000000001</v>
      </c>
      <c r="E73" s="16">
        <v>47.304000000000002</v>
      </c>
      <c r="F73" s="16">
        <v>47.957999999999998</v>
      </c>
      <c r="G73" s="16">
        <v>95.01</v>
      </c>
      <c r="H73" s="16">
        <f t="shared" si="0"/>
        <v>42.858750000000001</v>
      </c>
      <c r="I73" s="5"/>
      <c r="J73" s="15">
        <v>1490.6304</v>
      </c>
      <c r="K73" s="16">
        <v>42.461799999999997</v>
      </c>
      <c r="L73" s="16">
        <v>47.7027</v>
      </c>
      <c r="M73" s="16">
        <v>48.408900000000003</v>
      </c>
      <c r="N73" s="16">
        <v>190.3553</v>
      </c>
      <c r="O73" s="16">
        <f t="shared" si="1"/>
        <v>43.860300000000002</v>
      </c>
      <c r="P73" s="7"/>
      <c r="Q73" s="8">
        <f>bdrate(C73:C76,D73:D76,J73:J76,K73:K76)</f>
        <v>-0.46833549807971675</v>
      </c>
      <c r="R73" s="8">
        <f>bdrate(C73:C76,E73:E76,J73:J76,L73:L76)</f>
        <v>-0.29348436046277027</v>
      </c>
      <c r="S73" s="8">
        <f>bdrate(C73:C76,F73:F76,J73:J76,M73:M76)</f>
        <v>-0.31141367874286807</v>
      </c>
      <c r="T73" s="25">
        <f>bdrate(C73:C76,H73:H76,J73:J76,O73:O76)</f>
        <v>-0.4328928432008875</v>
      </c>
      <c r="U73" s="28">
        <f t="shared" ref="U73:U124" si="3">(N73-G73)/G73</f>
        <v>1.0035291021997683</v>
      </c>
    </row>
    <row r="74" spans="1:21" x14ac:dyDescent="0.25">
      <c r="B74" s="9"/>
      <c r="C74" s="17">
        <v>995.91015630000004</v>
      </c>
      <c r="D74" s="18">
        <v>40.686999999999998</v>
      </c>
      <c r="E74" s="18">
        <v>46.734000000000002</v>
      </c>
      <c r="F74" s="18">
        <v>47.362000000000002</v>
      </c>
      <c r="G74" s="18">
        <v>106.47</v>
      </c>
      <c r="H74" s="18">
        <f t="shared" si="0"/>
        <v>42.277250000000002</v>
      </c>
      <c r="I74" s="5"/>
      <c r="J74" s="17">
        <v>982.048</v>
      </c>
      <c r="K74" s="18">
        <v>41.911499999999997</v>
      </c>
      <c r="L74" s="18">
        <v>47.215000000000003</v>
      </c>
      <c r="M74" s="18">
        <v>47.922699999999999</v>
      </c>
      <c r="N74" s="18">
        <v>217.3126</v>
      </c>
      <c r="O74" s="18">
        <f t="shared" si="1"/>
        <v>43.325837499999999</v>
      </c>
      <c r="P74" s="7"/>
      <c r="Q74" s="10"/>
      <c r="R74" s="11"/>
      <c r="S74" s="11"/>
      <c r="T74" s="26"/>
      <c r="U74" s="28">
        <f t="shared" si="3"/>
        <v>1.0410688456842303</v>
      </c>
    </row>
    <row r="75" spans="1:21" x14ac:dyDescent="0.25">
      <c r="B75" s="9"/>
      <c r="C75" s="17">
        <v>607.26953130000004</v>
      </c>
      <c r="D75" s="18">
        <v>39.726999999999997</v>
      </c>
      <c r="E75" s="18">
        <v>45.743000000000002</v>
      </c>
      <c r="F75" s="18">
        <v>46.362000000000002</v>
      </c>
      <c r="G75" s="18">
        <v>114.68</v>
      </c>
      <c r="H75" s="18">
        <f t="shared" si="0"/>
        <v>41.308374999999998</v>
      </c>
      <c r="I75" s="5"/>
      <c r="J75" s="17">
        <v>583.5856</v>
      </c>
      <c r="K75" s="18">
        <v>40.972799999999999</v>
      </c>
      <c r="L75" s="18">
        <v>46.360999999999997</v>
      </c>
      <c r="M75" s="18">
        <v>47.037100000000002</v>
      </c>
      <c r="N75" s="18">
        <v>248.13900000000001</v>
      </c>
      <c r="O75" s="18">
        <f t="shared" si="1"/>
        <v>42.404362499999998</v>
      </c>
      <c r="P75" s="7"/>
      <c r="Q75" s="10"/>
      <c r="R75" s="11"/>
      <c r="S75" s="11"/>
      <c r="T75" s="26"/>
      <c r="U75" s="28">
        <f t="shared" si="3"/>
        <v>1.1637513079874433</v>
      </c>
    </row>
    <row r="76" spans="1:21" ht="16.5" thickBot="1" x14ac:dyDescent="0.3">
      <c r="B76" s="12"/>
      <c r="C76" s="19">
        <v>304.62109379999998</v>
      </c>
      <c r="D76" s="20">
        <v>37.731999999999999</v>
      </c>
      <c r="E76" s="20">
        <v>43.75</v>
      </c>
      <c r="F76" s="20">
        <v>44.253</v>
      </c>
      <c r="G76" s="20">
        <v>127.72</v>
      </c>
      <c r="H76" s="20">
        <f t="shared" si="0"/>
        <v>39.299374999999998</v>
      </c>
      <c r="I76" s="5"/>
      <c r="J76" s="19">
        <v>283.17759999999998</v>
      </c>
      <c r="K76" s="20">
        <v>39.186700000000002</v>
      </c>
      <c r="L76" s="20">
        <v>44.7455</v>
      </c>
      <c r="M76" s="20">
        <v>45.388800000000003</v>
      </c>
      <c r="N76" s="20">
        <v>291.26209999999998</v>
      </c>
      <c r="O76" s="20">
        <f t="shared" si="1"/>
        <v>40.656812500000001</v>
      </c>
      <c r="P76" s="7"/>
      <c r="Q76" s="13"/>
      <c r="R76" s="14"/>
      <c r="S76" s="14"/>
      <c r="T76" s="27"/>
      <c r="U76" s="28">
        <f t="shared" si="3"/>
        <v>1.2804736924522391</v>
      </c>
    </row>
    <row r="77" spans="1:21" x14ac:dyDescent="0.25">
      <c r="B77" s="6" t="s">
        <v>63</v>
      </c>
      <c r="C77" s="15">
        <v>1494.2460940000001</v>
      </c>
      <c r="D77" s="16">
        <v>41.05</v>
      </c>
      <c r="E77" s="16">
        <v>46.262</v>
      </c>
      <c r="F77" s="16">
        <v>47.142000000000003</v>
      </c>
      <c r="G77" s="16">
        <v>92.28</v>
      </c>
      <c r="H77" s="16">
        <f t="shared" si="0"/>
        <v>42.463000000000001</v>
      </c>
      <c r="I77" s="5"/>
      <c r="J77" s="15">
        <v>1543.652</v>
      </c>
      <c r="K77" s="16">
        <v>42.3125</v>
      </c>
      <c r="L77" s="16">
        <v>46.7699</v>
      </c>
      <c r="M77" s="16">
        <v>47.611899999999999</v>
      </c>
      <c r="N77" s="16">
        <v>163.6661</v>
      </c>
      <c r="O77" s="16">
        <f t="shared" si="1"/>
        <v>43.5321</v>
      </c>
      <c r="P77" s="7"/>
      <c r="Q77" s="8">
        <f>bdrate(C77:C80,D77:D80,J77:J80,K77:K80)</f>
        <v>-0.38498433144021327</v>
      </c>
      <c r="R77" s="8">
        <f>bdrate(C77:C80,E77:E80,J77:J80,L77:L80)</f>
        <v>-0.23615044671105667</v>
      </c>
      <c r="S77" s="8">
        <f>bdrate(C77:C80,F77:F80,J77:J80,M77:M80)</f>
        <v>-0.22404540071355794</v>
      </c>
      <c r="T77" s="25">
        <f>bdrate(C77:C80,H77:H80,J77:J80,O77:O80)</f>
        <v>-0.35480215872837495</v>
      </c>
      <c r="U77" s="28">
        <f t="shared" si="3"/>
        <v>0.77358149111400087</v>
      </c>
    </row>
    <row r="78" spans="1:21" x14ac:dyDescent="0.25">
      <c r="B78" s="9"/>
      <c r="C78" s="17">
        <v>1001.355469</v>
      </c>
      <c r="D78" s="18">
        <v>40.075000000000003</v>
      </c>
      <c r="E78" s="18">
        <v>45.457999999999998</v>
      </c>
      <c r="F78" s="18">
        <v>46.331000000000003</v>
      </c>
      <c r="G78" s="18">
        <v>106.14</v>
      </c>
      <c r="H78" s="18">
        <f t="shared" si="0"/>
        <v>41.529875000000004</v>
      </c>
      <c r="I78" s="5"/>
      <c r="J78" s="17">
        <v>1017.9968</v>
      </c>
      <c r="K78" s="18">
        <v>41.445099999999996</v>
      </c>
      <c r="L78" s="18">
        <v>46.0137</v>
      </c>
      <c r="M78" s="18">
        <v>46.835299999999997</v>
      </c>
      <c r="N78" s="18">
        <v>188.5607</v>
      </c>
      <c r="O78" s="18">
        <f t="shared" si="1"/>
        <v>42.689950000000003</v>
      </c>
      <c r="P78" s="7"/>
      <c r="Q78" s="10"/>
      <c r="R78" s="11"/>
      <c r="S78" s="11"/>
      <c r="T78" s="26"/>
      <c r="U78" s="28">
        <f t="shared" si="3"/>
        <v>0.77652817034105892</v>
      </c>
    </row>
    <row r="79" spans="1:21" x14ac:dyDescent="0.25">
      <c r="B79" s="9"/>
      <c r="C79" s="17">
        <v>607.203125</v>
      </c>
      <c r="D79" s="18">
        <v>38.484000000000002</v>
      </c>
      <c r="E79" s="18">
        <v>44.161999999999999</v>
      </c>
      <c r="F79" s="18">
        <v>44.991999999999997</v>
      </c>
      <c r="G79" s="18">
        <v>114.95</v>
      </c>
      <c r="H79" s="18">
        <f t="shared" si="0"/>
        <v>40.007249999999999</v>
      </c>
      <c r="I79" s="5"/>
      <c r="J79" s="17">
        <v>607.8048</v>
      </c>
      <c r="K79" s="18">
        <v>40.066099999999999</v>
      </c>
      <c r="L79" s="18">
        <v>44.863799999999998</v>
      </c>
      <c r="M79" s="18">
        <v>45.670900000000003</v>
      </c>
      <c r="N79" s="18">
        <v>219.78020000000001</v>
      </c>
      <c r="O79" s="18">
        <f t="shared" si="1"/>
        <v>41.366412500000003</v>
      </c>
      <c r="P79" s="7"/>
      <c r="Q79" s="10"/>
      <c r="R79" s="11"/>
      <c r="S79" s="11"/>
      <c r="T79" s="26"/>
      <c r="U79" s="28">
        <f t="shared" si="3"/>
        <v>0.91196346237494563</v>
      </c>
    </row>
    <row r="80" spans="1:21" ht="16.5" thickBot="1" x14ac:dyDescent="0.3">
      <c r="B80" s="12"/>
      <c r="C80" s="19">
        <v>308.18359379999998</v>
      </c>
      <c r="D80" s="20">
        <v>35.542999999999999</v>
      </c>
      <c r="E80" s="20">
        <v>41.698</v>
      </c>
      <c r="F80" s="20">
        <v>42.448</v>
      </c>
      <c r="G80" s="20">
        <v>131.06</v>
      </c>
      <c r="H80" s="20">
        <f t="shared" si="0"/>
        <v>37.1755</v>
      </c>
      <c r="I80" s="5"/>
      <c r="J80" s="19">
        <v>297.49119999999999</v>
      </c>
      <c r="K80" s="20">
        <v>37.478900000000003</v>
      </c>
      <c r="L80" s="20">
        <v>42.852499999999999</v>
      </c>
      <c r="M80" s="20">
        <v>43.639299999999999</v>
      </c>
      <c r="N80" s="20">
        <v>267.02269999999999</v>
      </c>
      <c r="O80" s="20">
        <f t="shared" si="1"/>
        <v>38.920650000000002</v>
      </c>
      <c r="P80" s="7"/>
      <c r="Q80" s="13"/>
      <c r="R80" s="14"/>
      <c r="S80" s="14"/>
      <c r="T80" s="27"/>
      <c r="U80" s="28">
        <f t="shared" si="3"/>
        <v>1.0374080573782998</v>
      </c>
    </row>
    <row r="81" spans="1:21" x14ac:dyDescent="0.25">
      <c r="A81" s="6" t="s">
        <v>94</v>
      </c>
      <c r="B81" s="6" t="s">
        <v>95</v>
      </c>
      <c r="C81" s="15">
        <v>1556.3242190000001</v>
      </c>
      <c r="D81" s="16">
        <v>44.277000000000001</v>
      </c>
      <c r="E81" s="16">
        <v>49.664999999999999</v>
      </c>
      <c r="F81" s="16">
        <v>50.22</v>
      </c>
      <c r="G81" s="16">
        <v>73.760000000000005</v>
      </c>
      <c r="H81" s="16">
        <f t="shared" ref="H81:H124" si="4">(6*D81+E81+F81)/8</f>
        <v>45.693375000000003</v>
      </c>
      <c r="I81" s="5"/>
      <c r="J81" s="15">
        <v>1285.7333000000001</v>
      </c>
      <c r="K81" s="16">
        <v>42.965899999999998</v>
      </c>
      <c r="L81" s="16">
        <v>48.388500000000001</v>
      </c>
      <c r="M81" s="16">
        <v>49.6584</v>
      </c>
      <c r="N81" s="16">
        <v>103.02200000000001</v>
      </c>
      <c r="O81" s="16">
        <f t="shared" ref="O81:O124" si="5">(6*K81+L81+M81)/8</f>
        <v>44.480287500000003</v>
      </c>
      <c r="P81" s="7"/>
      <c r="Q81" s="8">
        <f>bdrate(C81:C84,D81:D84,J81:J84,K81:K84)</f>
        <v>-0.11927537709722968</v>
      </c>
      <c r="R81" s="8">
        <f>bdrate(C81:C84,E81:E84,J81:J84,L81:L84)</f>
        <v>-0.24823231565129611</v>
      </c>
      <c r="S81" s="8">
        <f>bdrate(C81:C84,F81:F84,J81:J84,M81:M84)</f>
        <v>-0.27464458806554815</v>
      </c>
      <c r="T81" s="25">
        <f>bdrate(C81:C84,H81:H84,J81:J84,O81:O84)</f>
        <v>-0.15213962251373758</v>
      </c>
      <c r="U81" s="28">
        <f t="shared" si="3"/>
        <v>0.39671908893709323</v>
      </c>
    </row>
    <row r="82" spans="1:21" x14ac:dyDescent="0.25">
      <c r="A82" s="9" t="s">
        <v>77</v>
      </c>
      <c r="B82" s="9"/>
      <c r="C82" s="17">
        <v>1089.993164</v>
      </c>
      <c r="D82" s="18">
        <v>42.389000000000003</v>
      </c>
      <c r="E82" s="18">
        <v>47.917999999999999</v>
      </c>
      <c r="F82" s="18">
        <v>48.482999999999997</v>
      </c>
      <c r="G82" s="18">
        <v>83.56</v>
      </c>
      <c r="H82" s="18">
        <f t="shared" si="4"/>
        <v>43.841875000000002</v>
      </c>
      <c r="I82" s="5"/>
      <c r="J82" s="17">
        <v>878.8184</v>
      </c>
      <c r="K82" s="18">
        <v>41.3354</v>
      </c>
      <c r="L82" s="18">
        <v>47.233600000000003</v>
      </c>
      <c r="M82" s="18">
        <v>48.520800000000001</v>
      </c>
      <c r="N82" s="18">
        <v>119.8163</v>
      </c>
      <c r="O82" s="18">
        <f t="shared" si="5"/>
        <v>42.970850000000006</v>
      </c>
      <c r="P82" s="7"/>
      <c r="Q82" s="10"/>
      <c r="R82" s="11"/>
      <c r="S82" s="11"/>
      <c r="T82" s="26"/>
      <c r="U82" s="28">
        <f t="shared" si="3"/>
        <v>0.43389540449976061</v>
      </c>
    </row>
    <row r="83" spans="1:21" x14ac:dyDescent="0.25">
      <c r="B83" s="9"/>
      <c r="C83" s="17">
        <v>715.75878909999994</v>
      </c>
      <c r="D83" s="18">
        <v>39.963000000000001</v>
      </c>
      <c r="E83" s="18">
        <v>45.956000000000003</v>
      </c>
      <c r="F83" s="18">
        <v>46.662999999999997</v>
      </c>
      <c r="G83" s="18">
        <v>91.56</v>
      </c>
      <c r="H83" s="18">
        <f t="shared" si="4"/>
        <v>41.549625000000006</v>
      </c>
      <c r="I83" s="5"/>
      <c r="J83" s="17">
        <v>542.01160000000004</v>
      </c>
      <c r="K83" s="18">
        <v>38.988599999999998</v>
      </c>
      <c r="L83" s="18">
        <v>46.0456</v>
      </c>
      <c r="M83" s="18">
        <v>46.8369</v>
      </c>
      <c r="N83" s="18">
        <v>148.11160000000001</v>
      </c>
      <c r="O83" s="18">
        <f t="shared" si="5"/>
        <v>40.8517625</v>
      </c>
      <c r="P83" s="7"/>
      <c r="Q83" s="10"/>
      <c r="R83" s="11"/>
      <c r="S83" s="11"/>
      <c r="T83" s="26"/>
      <c r="U83" s="28">
        <f t="shared" si="3"/>
        <v>0.61764525993883801</v>
      </c>
    </row>
    <row r="84" spans="1:21" ht="16.5" thickBot="1" x14ac:dyDescent="0.3">
      <c r="B84" s="12"/>
      <c r="C84" s="19">
        <v>496.86425780000002</v>
      </c>
      <c r="D84" s="20">
        <v>36.642000000000003</v>
      </c>
      <c r="E84" s="20">
        <v>43.301000000000002</v>
      </c>
      <c r="F84" s="20">
        <v>44.261000000000003</v>
      </c>
      <c r="G84" s="20">
        <v>96.07</v>
      </c>
      <c r="H84" s="20">
        <f t="shared" si="4"/>
        <v>38.426750000000006</v>
      </c>
      <c r="I84" s="5"/>
      <c r="J84" s="19">
        <v>279.7919</v>
      </c>
      <c r="K84" s="20">
        <v>36.0428</v>
      </c>
      <c r="L84" s="20">
        <v>43.412500000000001</v>
      </c>
      <c r="M84" s="20">
        <v>44.834899999999998</v>
      </c>
      <c r="N84" s="20">
        <v>194.91069999999999</v>
      </c>
      <c r="O84" s="20">
        <f t="shared" si="5"/>
        <v>38.063025000000003</v>
      </c>
      <c r="P84" s="7"/>
      <c r="Q84" s="13"/>
      <c r="R84" s="14"/>
      <c r="S84" s="14"/>
      <c r="T84" s="27"/>
      <c r="U84" s="28">
        <f t="shared" si="3"/>
        <v>1.0288404288539608</v>
      </c>
    </row>
    <row r="85" spans="1:21" x14ac:dyDescent="0.25">
      <c r="B85" s="6" t="s">
        <v>96</v>
      </c>
      <c r="C85" s="15">
        <v>1568.7998050000001</v>
      </c>
      <c r="D85" s="16">
        <v>50.341000000000001</v>
      </c>
      <c r="E85" s="16">
        <v>51.116999999999997</v>
      </c>
      <c r="F85" s="16">
        <v>51.484999999999999</v>
      </c>
      <c r="G85" s="16">
        <v>148.76</v>
      </c>
      <c r="H85" s="16">
        <f t="shared" si="4"/>
        <v>50.581000000000003</v>
      </c>
      <c r="I85" s="5"/>
      <c r="J85" s="15">
        <v>1426.7552000000001</v>
      </c>
      <c r="K85" s="16">
        <v>51.106000000000002</v>
      </c>
      <c r="L85" s="16">
        <v>51.646799999999999</v>
      </c>
      <c r="M85" s="16">
        <v>52.105899999999998</v>
      </c>
      <c r="N85" s="16">
        <v>174.0307</v>
      </c>
      <c r="O85" s="16">
        <f t="shared" si="5"/>
        <v>51.298587500000004</v>
      </c>
      <c r="P85" s="7"/>
      <c r="Q85" s="8">
        <f>bdrate(C85:C88,D85:D88,J85:J88,K85:K88)</f>
        <v>-0.25362996411176997</v>
      </c>
      <c r="R85" s="8">
        <f>bdrate(C85:C88,E85:E88,J85:J88,L85:L88)</f>
        <v>-0.27067713652970293</v>
      </c>
      <c r="S85" s="8">
        <f>bdrate(C85:C88,F85:F88,J85:J88,M85:M88)</f>
        <v>-0.28543973112751753</v>
      </c>
      <c r="T85" s="25">
        <f>bdrate(C85:C88,H85:H88,J85:J88,O85:O88)</f>
        <v>-0.25938267442344276</v>
      </c>
      <c r="U85" s="28">
        <f t="shared" si="3"/>
        <v>0.1698756386125303</v>
      </c>
    </row>
    <row r="86" spans="1:21" x14ac:dyDescent="0.25">
      <c r="B86" s="9"/>
      <c r="C86" s="17">
        <v>1087.4970699999999</v>
      </c>
      <c r="D86" s="18">
        <v>48.045999999999999</v>
      </c>
      <c r="E86" s="18">
        <v>48.976999999999997</v>
      </c>
      <c r="F86" s="18">
        <v>49.387</v>
      </c>
      <c r="G86" s="18">
        <v>167.48</v>
      </c>
      <c r="H86" s="18">
        <f t="shared" si="4"/>
        <v>48.33</v>
      </c>
      <c r="I86" s="5"/>
      <c r="J86" s="17">
        <v>966.60590000000002</v>
      </c>
      <c r="K86" s="18">
        <v>49.014000000000003</v>
      </c>
      <c r="L86" s="18">
        <v>49.827599999999997</v>
      </c>
      <c r="M86" s="18">
        <v>50.333599999999997</v>
      </c>
      <c r="N86" s="18">
        <v>218.12889999999999</v>
      </c>
      <c r="O86" s="18">
        <f t="shared" si="5"/>
        <v>49.280650000000001</v>
      </c>
      <c r="P86" s="7"/>
      <c r="Q86" s="10"/>
      <c r="R86" s="11"/>
      <c r="S86" s="11"/>
      <c r="T86" s="26"/>
      <c r="U86" s="28">
        <f t="shared" si="3"/>
        <v>0.30241760210174351</v>
      </c>
    </row>
    <row r="87" spans="1:21" x14ac:dyDescent="0.25">
      <c r="B87" s="9"/>
      <c r="C87" s="17">
        <v>701.40820310000004</v>
      </c>
      <c r="D87" s="18">
        <v>45.402999999999999</v>
      </c>
      <c r="E87" s="18">
        <v>46.555</v>
      </c>
      <c r="F87" s="18">
        <v>46.991999999999997</v>
      </c>
      <c r="G87" s="18">
        <v>174.48</v>
      </c>
      <c r="H87" s="18">
        <f t="shared" si="4"/>
        <v>45.745625000000004</v>
      </c>
      <c r="I87" s="5"/>
      <c r="J87" s="17">
        <v>588.99990000000003</v>
      </c>
      <c r="K87" s="18">
        <v>46.1599</v>
      </c>
      <c r="L87" s="18">
        <v>47.439399999999999</v>
      </c>
      <c r="M87" s="18">
        <v>47.96</v>
      </c>
      <c r="N87" s="18">
        <v>252.45439999999999</v>
      </c>
      <c r="O87" s="18">
        <f t="shared" si="5"/>
        <v>46.544849999999997</v>
      </c>
      <c r="P87" s="7"/>
      <c r="Q87" s="10"/>
      <c r="R87" s="11"/>
      <c r="S87" s="11"/>
      <c r="T87" s="26"/>
      <c r="U87" s="28">
        <f t="shared" si="3"/>
        <v>0.44689591930307204</v>
      </c>
    </row>
    <row r="88" spans="1:21" ht="16.5" thickBot="1" x14ac:dyDescent="0.3">
      <c r="B88" s="12"/>
      <c r="C88" s="19">
        <v>386.48730469999998</v>
      </c>
      <c r="D88" s="20">
        <v>41.832999999999998</v>
      </c>
      <c r="E88" s="20">
        <v>43.341999999999999</v>
      </c>
      <c r="F88" s="20">
        <v>43.706000000000003</v>
      </c>
      <c r="G88" s="20">
        <v>184.3</v>
      </c>
      <c r="H88" s="20">
        <f t="shared" si="4"/>
        <v>42.255749999999999</v>
      </c>
      <c r="I88" s="5"/>
      <c r="J88" s="19">
        <v>298.38200000000001</v>
      </c>
      <c r="K88" s="20">
        <v>42.095100000000002</v>
      </c>
      <c r="L88" s="20">
        <v>43.802</v>
      </c>
      <c r="M88" s="20">
        <v>44.325000000000003</v>
      </c>
      <c r="N88" s="20">
        <v>290.60379999999998</v>
      </c>
      <c r="O88" s="20">
        <f t="shared" si="5"/>
        <v>42.587200000000003</v>
      </c>
      <c r="P88" s="7"/>
      <c r="Q88" s="13"/>
      <c r="R88" s="14"/>
      <c r="S88" s="14"/>
      <c r="T88" s="27"/>
      <c r="U88" s="28">
        <f t="shared" si="3"/>
        <v>0.57679761258817119</v>
      </c>
    </row>
    <row r="89" spans="1:21" x14ac:dyDescent="0.25">
      <c r="B89" s="6" t="s">
        <v>97</v>
      </c>
      <c r="C89" s="15">
        <v>1888.9404300000001</v>
      </c>
      <c r="D89" s="16">
        <v>41.131</v>
      </c>
      <c r="E89" s="16">
        <v>43.892000000000003</v>
      </c>
      <c r="F89" s="16">
        <v>44.311</v>
      </c>
      <c r="G89" s="16">
        <v>83.35</v>
      </c>
      <c r="H89" s="16">
        <f t="shared" si="4"/>
        <v>41.873624999999997</v>
      </c>
      <c r="I89" s="5"/>
      <c r="J89" s="15">
        <v>1478.2372</v>
      </c>
      <c r="K89" s="16">
        <v>42.093000000000004</v>
      </c>
      <c r="L89" s="16">
        <v>44.513399999999997</v>
      </c>
      <c r="M89" s="16">
        <v>44.914999999999999</v>
      </c>
      <c r="N89" s="16">
        <v>127.07380000000001</v>
      </c>
      <c r="O89" s="16">
        <f t="shared" si="5"/>
        <v>42.748300000000008</v>
      </c>
      <c r="P89" s="7"/>
      <c r="Q89" s="8">
        <f>bdrate(C89:C92,D89:D92,J89:J92,K89:K92)</f>
        <v>-0.39126047337693348</v>
      </c>
      <c r="R89" s="8">
        <f>bdrate(C89:C92,E89:E92,J89:J92,L89:L92)</f>
        <v>-0.42532291993437521</v>
      </c>
      <c r="S89" s="8">
        <f>bdrate(C89:C92,F89:F92,J89:J92,M89:M92)</f>
        <v>-0.42846060026222166</v>
      </c>
      <c r="T89" s="25">
        <f>bdrate(C89:C92,H89:H92,J89:J92,O89:O92)</f>
        <v>-0.39964895074389062</v>
      </c>
      <c r="U89" s="28">
        <f t="shared" si="3"/>
        <v>0.52458068386322754</v>
      </c>
    </row>
    <row r="90" spans="1:21" x14ac:dyDescent="0.25">
      <c r="B90" s="9"/>
      <c r="C90" s="17">
        <v>1324.654297</v>
      </c>
      <c r="D90" s="18">
        <v>39.229999999999997</v>
      </c>
      <c r="E90" s="18">
        <v>42.357999999999997</v>
      </c>
      <c r="F90" s="18">
        <v>42.789000000000001</v>
      </c>
      <c r="G90" s="18">
        <v>92.61</v>
      </c>
      <c r="H90" s="18">
        <f t="shared" si="4"/>
        <v>40.065874999999998</v>
      </c>
      <c r="I90" s="5"/>
      <c r="J90" s="17">
        <v>983.27970000000005</v>
      </c>
      <c r="K90" s="18">
        <v>40.1021</v>
      </c>
      <c r="L90" s="18">
        <v>43.085099999999997</v>
      </c>
      <c r="M90" s="18">
        <v>43.496600000000001</v>
      </c>
      <c r="N90" s="18">
        <v>149.08070000000001</v>
      </c>
      <c r="O90" s="18">
        <f t="shared" si="5"/>
        <v>40.8992875</v>
      </c>
      <c r="P90" s="7"/>
      <c r="Q90" s="10"/>
      <c r="R90" s="11"/>
      <c r="S90" s="11"/>
      <c r="T90" s="26"/>
      <c r="U90" s="28">
        <f t="shared" si="3"/>
        <v>0.60976892344239297</v>
      </c>
    </row>
    <row r="91" spans="1:21" x14ac:dyDescent="0.25">
      <c r="B91" s="9"/>
      <c r="C91" s="17">
        <v>871.17480469999998</v>
      </c>
      <c r="D91" s="18">
        <v>36.963000000000001</v>
      </c>
      <c r="E91" s="18">
        <v>40.593000000000004</v>
      </c>
      <c r="F91" s="18">
        <v>40.954000000000001</v>
      </c>
      <c r="G91" s="18">
        <v>99.69</v>
      </c>
      <c r="H91" s="18">
        <f t="shared" si="4"/>
        <v>37.915625000000006</v>
      </c>
      <c r="I91" s="5"/>
      <c r="J91" s="17">
        <v>589.28599999999994</v>
      </c>
      <c r="K91" s="18">
        <v>37.483199999999997</v>
      </c>
      <c r="L91" s="18">
        <v>41.260800000000003</v>
      </c>
      <c r="M91" s="18">
        <v>41.676600000000001</v>
      </c>
      <c r="N91" s="18">
        <v>178.0592</v>
      </c>
      <c r="O91" s="18">
        <f t="shared" si="5"/>
        <v>38.479574999999997</v>
      </c>
      <c r="P91" s="7"/>
      <c r="Q91" s="10"/>
      <c r="R91" s="11"/>
      <c r="S91" s="11"/>
      <c r="T91" s="26"/>
      <c r="U91" s="28">
        <f t="shared" si="3"/>
        <v>0.7861289998996891</v>
      </c>
    </row>
    <row r="92" spans="1:21" ht="16.5" thickBot="1" x14ac:dyDescent="0.3">
      <c r="B92" s="12"/>
      <c r="C92" s="19">
        <v>540.36132810000004</v>
      </c>
      <c r="D92" s="20">
        <v>34.112000000000002</v>
      </c>
      <c r="E92" s="20">
        <v>38.365000000000002</v>
      </c>
      <c r="F92" s="20">
        <v>38.744999999999997</v>
      </c>
      <c r="G92" s="20">
        <v>105.48</v>
      </c>
      <c r="H92" s="20">
        <f t="shared" si="4"/>
        <v>35.222750000000005</v>
      </c>
      <c r="I92" s="5"/>
      <c r="J92" s="19">
        <v>295.38069999999999</v>
      </c>
      <c r="K92" s="20">
        <v>34.029600000000002</v>
      </c>
      <c r="L92" s="20">
        <v>38.995899999999999</v>
      </c>
      <c r="M92" s="20">
        <v>39.485599999999998</v>
      </c>
      <c r="N92" s="20">
        <v>219.78020000000001</v>
      </c>
      <c r="O92" s="20">
        <f t="shared" si="5"/>
        <v>35.332387500000003</v>
      </c>
      <c r="P92" s="7"/>
      <c r="Q92" s="13"/>
      <c r="R92" s="14"/>
      <c r="S92" s="14"/>
      <c r="T92" s="27"/>
      <c r="U92" s="28">
        <f t="shared" si="3"/>
        <v>1.0836196435343193</v>
      </c>
    </row>
    <row r="93" spans="1:21" x14ac:dyDescent="0.25">
      <c r="B93" s="6" t="s">
        <v>98</v>
      </c>
      <c r="C93" s="29">
        <v>1767.345703</v>
      </c>
      <c r="D93" s="30">
        <v>37.582000000000001</v>
      </c>
      <c r="E93" s="30">
        <v>42.463999999999999</v>
      </c>
      <c r="F93" s="30">
        <v>42.445999999999998</v>
      </c>
      <c r="G93" s="16">
        <v>72.05</v>
      </c>
      <c r="H93" s="16">
        <f t="shared" si="4"/>
        <v>38.800250000000005</v>
      </c>
      <c r="I93" s="5"/>
      <c r="J93" s="29">
        <v>1508.1143</v>
      </c>
      <c r="K93" s="30">
        <v>38.5608</v>
      </c>
      <c r="L93" s="30">
        <v>43.139499999999998</v>
      </c>
      <c r="M93" s="30">
        <v>43.120199999999997</v>
      </c>
      <c r="N93" s="16">
        <v>107.6362</v>
      </c>
      <c r="O93" s="16">
        <f t="shared" si="5"/>
        <v>39.703062500000001</v>
      </c>
      <c r="P93" s="7"/>
      <c r="Q93" s="8">
        <f>bdrate(C93:C96,D93:D96,J93:J96,K93:K96)</f>
        <v>-0.35097365253740853</v>
      </c>
      <c r="R93" s="8">
        <f>bdrate(C93:C96,E93:E96,J93:J96,L93:L96)</f>
        <v>-0.43895219787628681</v>
      </c>
      <c r="S93" s="8">
        <f>bdrate(C93:C96,F93:F96,J93:J96,M93:M96)</f>
        <v>-0.43834275965292313</v>
      </c>
      <c r="T93" s="25">
        <f>bdrate(C93:C96,H93:H96,J93:J96,O93:O96)</f>
        <v>-0.37127080650655797</v>
      </c>
      <c r="U93" s="28">
        <f t="shared" si="3"/>
        <v>0.49390978487161702</v>
      </c>
    </row>
    <row r="94" spans="1:21" x14ac:dyDescent="0.25">
      <c r="B94" s="9"/>
      <c r="C94" s="31">
        <v>1219.7861330000001</v>
      </c>
      <c r="D94" s="32">
        <v>35.786000000000001</v>
      </c>
      <c r="E94" s="32">
        <v>40.966000000000001</v>
      </c>
      <c r="F94" s="32">
        <v>40.951999999999998</v>
      </c>
      <c r="G94" s="18">
        <v>79.37</v>
      </c>
      <c r="H94" s="18">
        <f t="shared" si="4"/>
        <v>37.079250000000002</v>
      </c>
      <c r="I94" s="5"/>
      <c r="J94" s="31">
        <v>1004.4443</v>
      </c>
      <c r="K94" s="32">
        <v>36.725900000000003</v>
      </c>
      <c r="L94" s="32">
        <v>41.955100000000002</v>
      </c>
      <c r="M94" s="32">
        <v>41.9146</v>
      </c>
      <c r="N94" s="18">
        <v>125.1477</v>
      </c>
      <c r="O94" s="18">
        <f t="shared" si="5"/>
        <v>38.028137500000007</v>
      </c>
      <c r="P94" s="7"/>
      <c r="Q94" s="10"/>
      <c r="R94" s="11"/>
      <c r="S94" s="11"/>
      <c r="T94" s="26"/>
      <c r="U94" s="28">
        <f t="shared" si="3"/>
        <v>0.5767632606778379</v>
      </c>
    </row>
    <row r="95" spans="1:21" x14ac:dyDescent="0.25">
      <c r="B95" s="9"/>
      <c r="C95" s="31">
        <v>763.02832030000002</v>
      </c>
      <c r="D95" s="32">
        <v>33.51</v>
      </c>
      <c r="E95" s="32">
        <v>39.082000000000001</v>
      </c>
      <c r="F95" s="32">
        <v>39.054000000000002</v>
      </c>
      <c r="G95" s="18">
        <v>86.4</v>
      </c>
      <c r="H95" s="18">
        <f t="shared" si="4"/>
        <v>34.899500000000003</v>
      </c>
      <c r="I95" s="5"/>
      <c r="J95" s="31">
        <v>601.63570000000004</v>
      </c>
      <c r="K95" s="32">
        <v>34.442300000000003</v>
      </c>
      <c r="L95" s="32">
        <v>40.430999999999997</v>
      </c>
      <c r="M95" s="32">
        <v>40.424700000000001</v>
      </c>
      <c r="N95" s="18">
        <v>151.63</v>
      </c>
      <c r="O95" s="18">
        <f t="shared" si="5"/>
        <v>35.9386875</v>
      </c>
      <c r="P95" s="7"/>
      <c r="Q95" s="10"/>
      <c r="R95" s="11"/>
      <c r="S95" s="11"/>
      <c r="T95" s="26"/>
      <c r="U95" s="28">
        <f t="shared" si="3"/>
        <v>0.7549768518518517</v>
      </c>
    </row>
    <row r="96" spans="1:21" ht="16.5" thickBot="1" x14ac:dyDescent="0.3">
      <c r="B96" s="12"/>
      <c r="C96" s="33">
        <v>439.62792969999998</v>
      </c>
      <c r="D96" s="34">
        <v>30.878</v>
      </c>
      <c r="E96" s="34">
        <v>36.896000000000001</v>
      </c>
      <c r="F96" s="34">
        <v>36.790999999999997</v>
      </c>
      <c r="G96" s="20">
        <v>92.78</v>
      </c>
      <c r="H96" s="20">
        <f t="shared" si="4"/>
        <v>32.369374999999998</v>
      </c>
      <c r="I96" s="5"/>
      <c r="J96" s="33">
        <v>302.55849999999998</v>
      </c>
      <c r="K96" s="34">
        <v>31.496500000000001</v>
      </c>
      <c r="L96" s="34">
        <v>38.6342</v>
      </c>
      <c r="M96" s="34">
        <v>38.514099999999999</v>
      </c>
      <c r="N96" s="20">
        <v>195.88640000000001</v>
      </c>
      <c r="O96" s="20">
        <f t="shared" si="5"/>
        <v>33.265912499999999</v>
      </c>
      <c r="P96" s="7"/>
      <c r="Q96" s="13"/>
      <c r="R96" s="14"/>
      <c r="S96" s="14"/>
      <c r="T96" s="27"/>
      <c r="U96" s="28">
        <f t="shared" si="3"/>
        <v>1.1112998491054107</v>
      </c>
    </row>
    <row r="97" spans="2:21" x14ac:dyDescent="0.25">
      <c r="B97" s="6" t="s">
        <v>99</v>
      </c>
      <c r="C97" s="15">
        <v>1568.3720699999999</v>
      </c>
      <c r="D97" s="16">
        <v>34.878</v>
      </c>
      <c r="E97" s="16">
        <v>39.542000000000002</v>
      </c>
      <c r="F97" s="16">
        <v>40.273000000000003</v>
      </c>
      <c r="G97" s="16">
        <v>78.849999999999994</v>
      </c>
      <c r="H97" s="16">
        <f t="shared" si="4"/>
        <v>36.135375000000003</v>
      </c>
      <c r="I97" s="5"/>
      <c r="J97" s="15">
        <v>1491.3096</v>
      </c>
      <c r="K97" s="16">
        <v>36.406399999999998</v>
      </c>
      <c r="L97" s="16">
        <v>41.079900000000002</v>
      </c>
      <c r="M97" s="16">
        <v>41.643099999999997</v>
      </c>
      <c r="N97" s="16">
        <v>109.5757</v>
      </c>
      <c r="O97" s="16">
        <f t="shared" si="5"/>
        <v>37.645175000000002</v>
      </c>
      <c r="P97" s="7"/>
      <c r="Q97" s="8">
        <f>bdrate(C97:C100,D97:D100,J97:J100,K97:K100)</f>
        <v>-0.28423019115108195</v>
      </c>
      <c r="R97" s="8">
        <f>bdrate(C97:C100,E97:E100,J97:J100,L97:L100)</f>
        <v>-0.451638437065636</v>
      </c>
      <c r="S97" s="8">
        <f>bdrate(C97:C100,F97:F100,J97:J100,M97:M100)</f>
        <v>-0.42195644374522034</v>
      </c>
      <c r="T97" s="25">
        <f>bdrate(C97:C100,H97:H100,J97:J100,O97:O100)</f>
        <v>-0.32000893742175673</v>
      </c>
      <c r="U97" s="28">
        <f t="shared" si="3"/>
        <v>0.38967279644895381</v>
      </c>
    </row>
    <row r="98" spans="2:21" x14ac:dyDescent="0.25">
      <c r="B98" s="9"/>
      <c r="C98" s="17">
        <v>1078.921875</v>
      </c>
      <c r="D98" s="18">
        <v>33.237000000000002</v>
      </c>
      <c r="E98" s="18">
        <v>38.11</v>
      </c>
      <c r="F98" s="18">
        <v>38.927999999999997</v>
      </c>
      <c r="G98" s="18">
        <v>87.31</v>
      </c>
      <c r="H98" s="18">
        <f t="shared" si="4"/>
        <v>34.557500000000005</v>
      </c>
      <c r="I98" s="5"/>
      <c r="J98" s="17">
        <v>992.35839999999996</v>
      </c>
      <c r="K98" s="18">
        <v>34.438099999999999</v>
      </c>
      <c r="L98" s="18">
        <v>39.679099999999998</v>
      </c>
      <c r="M98" s="18">
        <v>40.286499999999997</v>
      </c>
      <c r="N98" s="18">
        <v>127.49679999999999</v>
      </c>
      <c r="O98" s="18">
        <f t="shared" si="5"/>
        <v>35.824275</v>
      </c>
      <c r="P98" s="7"/>
      <c r="Q98" s="10"/>
      <c r="R98" s="11"/>
      <c r="S98" s="11"/>
      <c r="T98" s="26"/>
      <c r="U98" s="28">
        <f t="shared" si="3"/>
        <v>0.46027717329057372</v>
      </c>
    </row>
    <row r="99" spans="2:21" x14ac:dyDescent="0.25">
      <c r="B99" s="9"/>
      <c r="C99" s="17">
        <v>673.7578125</v>
      </c>
      <c r="D99" s="18">
        <v>31.219000000000001</v>
      </c>
      <c r="E99" s="18">
        <v>36.356999999999999</v>
      </c>
      <c r="F99" s="18">
        <v>37.284999999999997</v>
      </c>
      <c r="G99" s="18">
        <v>93.83</v>
      </c>
      <c r="H99" s="18">
        <f t="shared" si="4"/>
        <v>32.619500000000002</v>
      </c>
      <c r="I99" s="5"/>
      <c r="J99" s="17">
        <v>596.18889999999999</v>
      </c>
      <c r="K99" s="18">
        <v>32.132800000000003</v>
      </c>
      <c r="L99" s="18">
        <v>38.054499999999997</v>
      </c>
      <c r="M99" s="18">
        <v>38.705300000000001</v>
      </c>
      <c r="N99" s="18">
        <v>153.43960000000001</v>
      </c>
      <c r="O99" s="18">
        <f t="shared" si="5"/>
        <v>33.694575</v>
      </c>
      <c r="P99" s="7"/>
      <c r="Q99" s="10"/>
      <c r="R99" s="11"/>
      <c r="S99" s="11"/>
      <c r="T99" s="26"/>
      <c r="U99" s="28">
        <f t="shared" si="3"/>
        <v>0.63529361611424939</v>
      </c>
    </row>
    <row r="100" spans="2:21" ht="16.5" thickBot="1" x14ac:dyDescent="0.3">
      <c r="B100" s="12"/>
      <c r="C100" s="19">
        <v>416.38085940000002</v>
      </c>
      <c r="D100" s="20">
        <v>29.170999999999999</v>
      </c>
      <c r="E100" s="20">
        <v>34.566000000000003</v>
      </c>
      <c r="F100" s="20">
        <v>35.505000000000003</v>
      </c>
      <c r="G100" s="20">
        <v>98.32</v>
      </c>
      <c r="H100" s="20">
        <f t="shared" si="4"/>
        <v>30.637125000000001</v>
      </c>
      <c r="I100" s="5"/>
      <c r="J100" s="19">
        <v>299.27870000000001</v>
      </c>
      <c r="K100" s="20">
        <v>29.0626</v>
      </c>
      <c r="L100" s="20">
        <v>36.046999999999997</v>
      </c>
      <c r="M100" s="20">
        <v>36.786799999999999</v>
      </c>
      <c r="N100" s="20">
        <v>197.93270000000001</v>
      </c>
      <c r="O100" s="20">
        <f t="shared" si="5"/>
        <v>30.901174999999999</v>
      </c>
      <c r="P100" s="7"/>
      <c r="Q100" s="13"/>
      <c r="R100" s="14"/>
      <c r="S100" s="14"/>
      <c r="T100" s="27"/>
      <c r="U100" s="28">
        <f t="shared" si="3"/>
        <v>1.0131478844589099</v>
      </c>
    </row>
    <row r="101" spans="2:21" x14ac:dyDescent="0.25">
      <c r="B101" s="6" t="s">
        <v>100</v>
      </c>
      <c r="C101" s="15">
        <v>1646.8408199999999</v>
      </c>
      <c r="D101" s="16">
        <v>36.095999999999997</v>
      </c>
      <c r="E101" s="16">
        <v>41.741999999999997</v>
      </c>
      <c r="F101" s="16">
        <v>43.46</v>
      </c>
      <c r="G101" s="16">
        <v>64.23</v>
      </c>
      <c r="H101" s="16">
        <f t="shared" si="4"/>
        <v>37.722249999999995</v>
      </c>
      <c r="I101" s="5"/>
      <c r="J101" s="15">
        <v>1511.3155999999999</v>
      </c>
      <c r="K101" s="16">
        <v>36.775599999999997</v>
      </c>
      <c r="L101" s="16">
        <v>42.8</v>
      </c>
      <c r="M101" s="16">
        <v>44.199399999999997</v>
      </c>
      <c r="N101" s="16">
        <v>105.27549999999999</v>
      </c>
      <c r="O101" s="16">
        <f t="shared" si="5"/>
        <v>38.456625000000003</v>
      </c>
      <c r="P101" s="7"/>
      <c r="Q101" s="8">
        <f>bdrate(C101:C104,D101:D104,J101:J104,K101:K104)</f>
        <v>-0.32468132665992822</v>
      </c>
      <c r="R101" s="8">
        <f>bdrate(C101:C104,E101:E104,J101:J104,L101:L104)</f>
        <v>-0.50933470789450574</v>
      </c>
      <c r="S101" s="8">
        <f>bdrate(C101:C104,F101:F104,J101:J104,M101:M104)</f>
        <v>-0.42797413533838813</v>
      </c>
      <c r="T101" s="25">
        <f>bdrate(C101:C104,H101:H104,J101:J104,O101:O104)</f>
        <v>-0.35870776045339914</v>
      </c>
      <c r="U101" s="28">
        <f t="shared" si="3"/>
        <v>0.63903938969328955</v>
      </c>
    </row>
    <row r="102" spans="2:21" x14ac:dyDescent="0.25">
      <c r="B102" s="9"/>
      <c r="C102" s="17">
        <v>1107.8330080000001</v>
      </c>
      <c r="D102" s="18">
        <v>34.639000000000003</v>
      </c>
      <c r="E102" s="18">
        <v>40.603000000000002</v>
      </c>
      <c r="F102" s="18">
        <v>42.155999999999999</v>
      </c>
      <c r="G102" s="18">
        <v>71.989999999999995</v>
      </c>
      <c r="H102" s="18">
        <f t="shared" si="4"/>
        <v>36.324125000000002</v>
      </c>
      <c r="I102" s="5"/>
      <c r="J102" s="17">
        <v>1005.9118999999999</v>
      </c>
      <c r="K102" s="18">
        <v>35.424799999999998</v>
      </c>
      <c r="L102" s="18">
        <v>41.923900000000003</v>
      </c>
      <c r="M102" s="18">
        <v>43.1967</v>
      </c>
      <c r="N102" s="18">
        <v>121.71210000000001</v>
      </c>
      <c r="O102" s="18">
        <f t="shared" si="5"/>
        <v>37.208674999999999</v>
      </c>
      <c r="P102" s="7"/>
      <c r="Q102" s="10"/>
      <c r="R102" s="11"/>
      <c r="S102" s="11"/>
      <c r="T102" s="26"/>
      <c r="U102" s="28">
        <f t="shared" si="3"/>
        <v>0.69068065009029056</v>
      </c>
    </row>
    <row r="103" spans="2:21" x14ac:dyDescent="0.25">
      <c r="B103" s="9"/>
      <c r="C103" s="17">
        <v>673.56445310000004</v>
      </c>
      <c r="D103" s="18">
        <v>32.755000000000003</v>
      </c>
      <c r="E103" s="18">
        <v>39.101999999999997</v>
      </c>
      <c r="F103" s="18">
        <v>40.332999999999998</v>
      </c>
      <c r="G103" s="18">
        <v>81.680000000000007</v>
      </c>
      <c r="H103" s="18">
        <f t="shared" si="4"/>
        <v>34.495625000000004</v>
      </c>
      <c r="I103" s="5"/>
      <c r="J103" s="17">
        <v>603.5779</v>
      </c>
      <c r="K103" s="18">
        <v>33.816699999999997</v>
      </c>
      <c r="L103" s="18">
        <v>40.7789</v>
      </c>
      <c r="M103" s="18">
        <v>41.908200000000001</v>
      </c>
      <c r="N103" s="18">
        <v>146.2345</v>
      </c>
      <c r="O103" s="18">
        <f t="shared" si="5"/>
        <v>35.698412499999996</v>
      </c>
      <c r="P103" s="7"/>
      <c r="Q103" s="10"/>
      <c r="R103" s="11"/>
      <c r="S103" s="11"/>
      <c r="T103" s="26"/>
      <c r="U103" s="28">
        <f t="shared" si="3"/>
        <v>0.79033423114593515</v>
      </c>
    </row>
    <row r="104" spans="2:21" ht="16.5" thickBot="1" x14ac:dyDescent="0.3">
      <c r="B104" s="12"/>
      <c r="C104" s="19">
        <v>366.09863280000002</v>
      </c>
      <c r="D104" s="20">
        <v>30.68</v>
      </c>
      <c r="E104" s="20">
        <v>37.249000000000002</v>
      </c>
      <c r="F104" s="20">
        <v>37.97</v>
      </c>
      <c r="G104" s="20">
        <v>95.58</v>
      </c>
      <c r="H104" s="20">
        <f t="shared" si="4"/>
        <v>32.412374999999997</v>
      </c>
      <c r="I104" s="5"/>
      <c r="J104" s="19">
        <v>301.2928</v>
      </c>
      <c r="K104" s="20">
        <v>31.775600000000001</v>
      </c>
      <c r="L104" s="20">
        <v>39.428199999999997</v>
      </c>
      <c r="M104" s="20">
        <v>40.234299999999998</v>
      </c>
      <c r="N104" s="20">
        <v>189.77330000000001</v>
      </c>
      <c r="O104" s="20">
        <f t="shared" si="5"/>
        <v>33.789512500000001</v>
      </c>
      <c r="P104" s="7"/>
      <c r="Q104" s="13"/>
      <c r="R104" s="14"/>
      <c r="S104" s="14"/>
      <c r="T104" s="27"/>
      <c r="U104" s="28">
        <f t="shared" si="3"/>
        <v>0.98549173467252571</v>
      </c>
    </row>
    <row r="105" spans="2:21" x14ac:dyDescent="0.25">
      <c r="B105" s="6" t="s">
        <v>101</v>
      </c>
      <c r="C105" s="15">
        <v>1487.100586</v>
      </c>
      <c r="D105" s="16">
        <v>44.356999999999999</v>
      </c>
      <c r="E105" s="16">
        <v>49.048000000000002</v>
      </c>
      <c r="F105" s="16">
        <v>50.692</v>
      </c>
      <c r="G105" s="16">
        <v>91.56</v>
      </c>
      <c r="H105" s="16">
        <f t="shared" si="4"/>
        <v>45.735250000000001</v>
      </c>
      <c r="I105" s="5"/>
      <c r="J105" s="15">
        <v>1500.8197</v>
      </c>
      <c r="K105" s="16">
        <v>46.777000000000001</v>
      </c>
      <c r="L105" s="16">
        <v>51.483699999999999</v>
      </c>
      <c r="M105" s="16">
        <v>53.000300000000003</v>
      </c>
      <c r="N105" s="16">
        <v>127.426</v>
      </c>
      <c r="O105" s="16">
        <f t="shared" si="5"/>
        <v>48.143250000000002</v>
      </c>
      <c r="P105" s="7"/>
      <c r="Q105" s="8">
        <f>bdrate(C105:C108,D105:D108,J105:J108,K105:K108)</f>
        <v>-0.42270636932473749</v>
      </c>
      <c r="R105" s="8">
        <f>bdrate(C105:C108,E105:E108,J105:J108,L105:L108)</f>
        <v>-0.53576205430847312</v>
      </c>
      <c r="S105" s="8">
        <f>bdrate(C105:C108,F105:F108,J105:J108,M105:M108)</f>
        <v>-0.49372278740525677</v>
      </c>
      <c r="T105" s="25">
        <f>bdrate(C105:C108,H105:H108,J105:J108,O105:O108)</f>
        <v>-0.44580939818402621</v>
      </c>
      <c r="U105" s="28">
        <f t="shared" si="3"/>
        <v>0.39172127566622977</v>
      </c>
    </row>
    <row r="106" spans="2:21" x14ac:dyDescent="0.25">
      <c r="B106" s="9"/>
      <c r="C106" s="17">
        <v>1021.200195</v>
      </c>
      <c r="D106" s="18">
        <v>42.616999999999997</v>
      </c>
      <c r="E106" s="18">
        <v>47.429000000000002</v>
      </c>
      <c r="F106" s="18">
        <v>49.2</v>
      </c>
      <c r="G106" s="18">
        <v>103.12</v>
      </c>
      <c r="H106" s="18">
        <f t="shared" si="4"/>
        <v>44.041374999999995</v>
      </c>
      <c r="I106" s="5"/>
      <c r="J106" s="17">
        <v>1001.8855</v>
      </c>
      <c r="K106" s="18">
        <v>45.042700000000004</v>
      </c>
      <c r="L106" s="18">
        <v>50.261899999999997</v>
      </c>
      <c r="M106" s="18">
        <v>51.763199999999998</v>
      </c>
      <c r="N106" s="18">
        <v>149.76689999999999</v>
      </c>
      <c r="O106" s="18">
        <f t="shared" si="5"/>
        <v>46.535162499999998</v>
      </c>
      <c r="P106" s="7"/>
      <c r="Q106" s="10"/>
      <c r="R106" s="11"/>
      <c r="S106" s="11"/>
      <c r="T106" s="26"/>
      <c r="U106" s="28">
        <f t="shared" si="3"/>
        <v>0.45235550814584935</v>
      </c>
    </row>
    <row r="107" spans="2:21" x14ac:dyDescent="0.25">
      <c r="B107" s="9"/>
      <c r="C107" s="17">
        <v>628.52050780000002</v>
      </c>
      <c r="D107" s="18">
        <v>40.588000000000001</v>
      </c>
      <c r="E107" s="18">
        <v>45.506999999999998</v>
      </c>
      <c r="F107" s="18">
        <v>47.302</v>
      </c>
      <c r="G107" s="18">
        <v>116.79</v>
      </c>
      <c r="H107" s="18">
        <f t="shared" si="4"/>
        <v>42.042125000000006</v>
      </c>
      <c r="I107" s="5"/>
      <c r="J107" s="17">
        <v>603.56899999999996</v>
      </c>
      <c r="K107" s="18">
        <v>42.811199999999999</v>
      </c>
      <c r="L107" s="18">
        <v>48.3947</v>
      </c>
      <c r="M107" s="18">
        <v>49.890599999999999</v>
      </c>
      <c r="N107" s="18">
        <v>181.04060000000001</v>
      </c>
      <c r="O107" s="18">
        <f t="shared" si="5"/>
        <v>44.394062500000004</v>
      </c>
      <c r="P107" s="7"/>
      <c r="Q107" s="10"/>
      <c r="R107" s="11"/>
      <c r="S107" s="11"/>
      <c r="T107" s="26"/>
      <c r="U107" s="28">
        <f t="shared" si="3"/>
        <v>0.55013785426834494</v>
      </c>
    </row>
    <row r="108" spans="2:21" ht="16.5" thickBot="1" x14ac:dyDescent="0.3">
      <c r="B108" s="12"/>
      <c r="C108" s="19">
        <v>320.25488280000002</v>
      </c>
      <c r="D108" s="20">
        <v>37.869999999999997</v>
      </c>
      <c r="E108" s="20">
        <v>42.890999999999998</v>
      </c>
      <c r="F108" s="20">
        <v>44.575000000000003</v>
      </c>
      <c r="G108" s="20">
        <v>135.54</v>
      </c>
      <c r="H108" s="20">
        <f t="shared" si="4"/>
        <v>39.335749999999997</v>
      </c>
      <c r="I108" s="5"/>
      <c r="J108" s="19">
        <v>300.81139999999999</v>
      </c>
      <c r="K108" s="20">
        <v>39.618499999999997</v>
      </c>
      <c r="L108" s="20">
        <v>45.633000000000003</v>
      </c>
      <c r="M108" s="20">
        <v>46.873399999999997</v>
      </c>
      <c r="N108" s="20">
        <v>230.19829999999999</v>
      </c>
      <c r="O108" s="20">
        <f t="shared" si="5"/>
        <v>41.277175</v>
      </c>
      <c r="P108" s="7"/>
      <c r="Q108" s="13"/>
      <c r="R108" s="14"/>
      <c r="S108" s="14"/>
      <c r="T108" s="27"/>
      <c r="U108" s="28">
        <f t="shared" si="3"/>
        <v>0.69837907628744289</v>
      </c>
    </row>
    <row r="109" spans="2:21" x14ac:dyDescent="0.25">
      <c r="B109" s="6" t="s">
        <v>102</v>
      </c>
      <c r="C109" s="15">
        <v>1593.5273440000001</v>
      </c>
      <c r="D109" s="16">
        <v>30.074999999999999</v>
      </c>
      <c r="E109" s="16">
        <v>38.508000000000003</v>
      </c>
      <c r="F109" s="16">
        <v>37.901000000000003</v>
      </c>
      <c r="G109" s="16">
        <v>61.3</v>
      </c>
      <c r="H109" s="16">
        <f t="shared" si="4"/>
        <v>32.107374999999998</v>
      </c>
      <c r="I109" s="5"/>
      <c r="J109" s="15">
        <v>1496.6699000000001</v>
      </c>
      <c r="K109" s="16">
        <v>31.395</v>
      </c>
      <c r="L109" s="16">
        <v>39.9499</v>
      </c>
      <c r="M109" s="16">
        <v>39.327599999999997</v>
      </c>
      <c r="N109" s="16">
        <v>82.591499999999996</v>
      </c>
      <c r="O109" s="16">
        <f t="shared" si="5"/>
        <v>33.455937500000005</v>
      </c>
      <c r="P109" s="7"/>
      <c r="Q109" s="8">
        <f>bdrate(C109:C112,D109:D112,J109:J112,K109:K112)</f>
        <v>-0.29693615183100763</v>
      </c>
      <c r="R109" s="8">
        <f>bdrate(C109:C112,E109:E112,J109:J112,L109:L112)</f>
        <v>-0.54028500407428348</v>
      </c>
      <c r="S109" s="8">
        <f>bdrate(C109:C112,F109:F112,J109:J112,M109:M112)</f>
        <v>-0.53031580921317767</v>
      </c>
      <c r="T109" s="25">
        <f>bdrate(C109:C112,H109:H112,J109:J112,O109:O112)</f>
        <v>-0.35278965872186119</v>
      </c>
      <c r="U109" s="28">
        <f t="shared" si="3"/>
        <v>0.34733278955954322</v>
      </c>
    </row>
    <row r="110" spans="2:21" x14ac:dyDescent="0.25">
      <c r="B110" s="9"/>
      <c r="C110" s="17">
        <v>1128.1865230000001</v>
      </c>
      <c r="D110" s="18">
        <v>28.687000000000001</v>
      </c>
      <c r="E110" s="18">
        <v>37.198</v>
      </c>
      <c r="F110" s="18">
        <v>36.633000000000003</v>
      </c>
      <c r="G110" s="18">
        <v>68.260000000000005</v>
      </c>
      <c r="H110" s="18">
        <f t="shared" si="4"/>
        <v>30.744125000000004</v>
      </c>
      <c r="I110" s="5"/>
      <c r="J110" s="17">
        <v>996.2396</v>
      </c>
      <c r="K110" s="18">
        <v>29.677800000000001</v>
      </c>
      <c r="L110" s="18">
        <v>38.986199999999997</v>
      </c>
      <c r="M110" s="18">
        <v>38.3123</v>
      </c>
      <c r="N110" s="18">
        <v>99.557500000000005</v>
      </c>
      <c r="O110" s="18">
        <f t="shared" si="5"/>
        <v>31.920662499999999</v>
      </c>
      <c r="P110" s="7"/>
      <c r="Q110" s="10"/>
      <c r="R110" s="11"/>
      <c r="S110" s="11"/>
      <c r="T110" s="26"/>
      <c r="U110" s="28">
        <f t="shared" si="3"/>
        <v>0.4585042484617638</v>
      </c>
    </row>
    <row r="111" spans="2:21" x14ac:dyDescent="0.25">
      <c r="B111" s="9"/>
      <c r="C111" s="17">
        <v>858.03515630000004</v>
      </c>
      <c r="D111" s="18">
        <v>27.698</v>
      </c>
      <c r="E111" s="18">
        <v>36.155999999999999</v>
      </c>
      <c r="F111" s="18">
        <v>35.588000000000001</v>
      </c>
      <c r="G111" s="18">
        <v>70.989999999999995</v>
      </c>
      <c r="H111" s="18">
        <f t="shared" si="4"/>
        <v>29.741499999999998</v>
      </c>
      <c r="I111" s="5"/>
      <c r="J111" s="17">
        <v>598.98270000000002</v>
      </c>
      <c r="K111" s="18">
        <v>27.579899999999999</v>
      </c>
      <c r="L111" s="18">
        <v>37.607900000000001</v>
      </c>
      <c r="M111" s="18">
        <v>36.9328</v>
      </c>
      <c r="N111" s="18">
        <v>127.0827</v>
      </c>
      <c r="O111" s="18">
        <f t="shared" si="5"/>
        <v>30.002512500000002</v>
      </c>
      <c r="P111" s="7"/>
      <c r="Q111" s="10"/>
      <c r="R111" s="11"/>
      <c r="S111" s="11"/>
      <c r="T111" s="26"/>
      <c r="U111" s="28">
        <f t="shared" si="3"/>
        <v>0.79014931680518397</v>
      </c>
    </row>
    <row r="112" spans="2:21" ht="16.5" thickBot="1" x14ac:dyDescent="0.3">
      <c r="B112" s="12"/>
      <c r="C112" s="19">
        <v>688.82226560000004</v>
      </c>
      <c r="D112" s="20">
        <v>26.805</v>
      </c>
      <c r="E112" s="20">
        <v>34.996000000000002</v>
      </c>
      <c r="F112" s="20">
        <v>34.47</v>
      </c>
      <c r="G112" s="20">
        <v>72.599999999999994</v>
      </c>
      <c r="H112" s="20">
        <f t="shared" si="4"/>
        <v>28.786999999999999</v>
      </c>
      <c r="I112" s="5"/>
      <c r="J112" s="19">
        <v>299.82029999999997</v>
      </c>
      <c r="K112" s="20">
        <v>24.9481</v>
      </c>
      <c r="L112" s="20">
        <v>35.313499999999998</v>
      </c>
      <c r="M112" s="20">
        <v>34.821300000000001</v>
      </c>
      <c r="N112" s="20">
        <v>170.4384</v>
      </c>
      <c r="O112" s="20">
        <f t="shared" si="5"/>
        <v>27.477925000000003</v>
      </c>
      <c r="P112" s="7"/>
      <c r="Q112" s="13"/>
      <c r="R112" s="14"/>
      <c r="S112" s="14"/>
      <c r="T112" s="27"/>
      <c r="U112" s="28">
        <f t="shared" si="3"/>
        <v>1.3476363636363637</v>
      </c>
    </row>
    <row r="113" spans="2:21" x14ac:dyDescent="0.25">
      <c r="B113" s="6" t="s">
        <v>103</v>
      </c>
      <c r="C113" s="15">
        <v>2147.2890630000002</v>
      </c>
      <c r="D113" s="16">
        <v>44.706000000000003</v>
      </c>
      <c r="E113" s="16">
        <v>45.82</v>
      </c>
      <c r="F113" s="16">
        <v>45.720999999999997</v>
      </c>
      <c r="G113" s="16">
        <v>83.39</v>
      </c>
      <c r="H113" s="16">
        <f t="shared" si="4"/>
        <v>44.972124999999998</v>
      </c>
      <c r="I113" s="5"/>
      <c r="J113" s="15">
        <v>1377.2832000000001</v>
      </c>
      <c r="K113" s="16">
        <v>44.1813</v>
      </c>
      <c r="L113" s="16">
        <v>45.3245</v>
      </c>
      <c r="M113" s="16">
        <v>45.203499999999998</v>
      </c>
      <c r="N113" s="16">
        <v>109.7829</v>
      </c>
      <c r="O113" s="16">
        <f t="shared" si="5"/>
        <v>44.451975000000004</v>
      </c>
      <c r="P113" s="7"/>
      <c r="Q113" s="8">
        <f>bdrate(C113:C116,D113:D116,J113:J116,K113:K116)</f>
        <v>-0.32645232255651802</v>
      </c>
      <c r="R113" s="8">
        <f>bdrate(C113:C116,E113:E116,J113:J116,L113:L116)</f>
        <v>-0.364231103920446</v>
      </c>
      <c r="S113" s="8">
        <f>bdrate(C113:C116,F113:F116,J113:J116,M113:M116)</f>
        <v>-0.36042108894299918</v>
      </c>
      <c r="T113" s="25">
        <f>bdrate(C113:C116,H113:H116,J113:J116,O113:O116)</f>
        <v>-0.33404571983210762</v>
      </c>
      <c r="U113" s="28">
        <f t="shared" si="3"/>
        <v>0.31649958028540587</v>
      </c>
    </row>
    <row r="114" spans="2:21" x14ac:dyDescent="0.25">
      <c r="B114" s="9"/>
      <c r="C114" s="17">
        <v>1558.658203</v>
      </c>
      <c r="D114" s="18">
        <v>42.871000000000002</v>
      </c>
      <c r="E114" s="18">
        <v>44.225999999999999</v>
      </c>
      <c r="F114" s="18">
        <v>44.087000000000003</v>
      </c>
      <c r="G114" s="18">
        <v>95.02</v>
      </c>
      <c r="H114" s="18">
        <f t="shared" si="4"/>
        <v>43.192374999999998</v>
      </c>
      <c r="I114" s="5"/>
      <c r="J114" s="17">
        <v>939.96730000000002</v>
      </c>
      <c r="K114" s="18">
        <v>42.176099999999998</v>
      </c>
      <c r="L114" s="18">
        <v>43.6982</v>
      </c>
      <c r="M114" s="18">
        <v>43.582099999999997</v>
      </c>
      <c r="N114" s="18">
        <v>142.982</v>
      </c>
      <c r="O114" s="18">
        <f t="shared" si="5"/>
        <v>42.542112500000002</v>
      </c>
      <c r="P114" s="7"/>
      <c r="Q114" s="10"/>
      <c r="R114" s="11"/>
      <c r="S114" s="11"/>
      <c r="T114" s="26"/>
      <c r="U114" s="28">
        <f t="shared" si="3"/>
        <v>0.50475689328562412</v>
      </c>
    </row>
    <row r="115" spans="2:21" x14ac:dyDescent="0.25">
      <c r="B115" s="9"/>
      <c r="C115" s="17">
        <v>1010.6201170000001</v>
      </c>
      <c r="D115" s="18">
        <v>40.226999999999997</v>
      </c>
      <c r="E115" s="18">
        <v>41.851999999999997</v>
      </c>
      <c r="F115" s="18">
        <v>41.749000000000002</v>
      </c>
      <c r="G115" s="18">
        <v>104.73</v>
      </c>
      <c r="H115" s="18">
        <f t="shared" si="4"/>
        <v>40.620374999999996</v>
      </c>
      <c r="I115" s="5"/>
      <c r="J115" s="17">
        <v>576.96590000000003</v>
      </c>
      <c r="K115" s="18">
        <v>39.164000000000001</v>
      </c>
      <c r="L115" s="18">
        <v>41.330800000000004</v>
      </c>
      <c r="M115" s="18">
        <v>41.183799999999998</v>
      </c>
      <c r="N115" s="18">
        <v>180</v>
      </c>
      <c r="O115" s="18">
        <f t="shared" si="5"/>
        <v>39.687325000000001</v>
      </c>
      <c r="P115" s="7"/>
      <c r="Q115" s="10"/>
      <c r="R115" s="11"/>
      <c r="S115" s="11"/>
      <c r="T115" s="26"/>
      <c r="U115" s="28">
        <f t="shared" si="3"/>
        <v>0.71870524205098818</v>
      </c>
    </row>
    <row r="116" spans="2:21" ht="16.5" thickBot="1" x14ac:dyDescent="0.3">
      <c r="B116" s="12"/>
      <c r="C116" s="19">
        <v>602.140625</v>
      </c>
      <c r="D116" s="20">
        <v>36.689</v>
      </c>
      <c r="E116" s="20">
        <v>38.820999999999998</v>
      </c>
      <c r="F116" s="20">
        <v>38.679000000000002</v>
      </c>
      <c r="G116" s="20">
        <v>115.54</v>
      </c>
      <c r="H116" s="20">
        <f t="shared" si="4"/>
        <v>37.204250000000002</v>
      </c>
      <c r="I116" s="5"/>
      <c r="J116" s="19">
        <v>292.42110000000002</v>
      </c>
      <c r="K116" s="20">
        <v>34.941000000000003</v>
      </c>
      <c r="L116" s="20">
        <v>38.1312</v>
      </c>
      <c r="M116" s="20">
        <v>37.821199999999997</v>
      </c>
      <c r="N116" s="20">
        <v>223.1866</v>
      </c>
      <c r="O116" s="20">
        <f t="shared" si="5"/>
        <v>35.699800000000003</v>
      </c>
      <c r="P116" s="7"/>
      <c r="Q116" s="13"/>
      <c r="R116" s="14"/>
      <c r="S116" s="14"/>
      <c r="T116" s="27"/>
      <c r="U116" s="28">
        <f t="shared" si="3"/>
        <v>0.9316825341872943</v>
      </c>
    </row>
    <row r="117" spans="2:21" x14ac:dyDescent="0.25">
      <c r="B117" s="6" t="s">
        <v>104</v>
      </c>
      <c r="C117" s="15">
        <v>2040.6992190000001</v>
      </c>
      <c r="D117" s="16">
        <v>45.74</v>
      </c>
      <c r="E117" s="16">
        <v>47.168999999999997</v>
      </c>
      <c r="F117" s="16">
        <v>47.427999999999997</v>
      </c>
      <c r="G117" s="16">
        <v>87.26</v>
      </c>
      <c r="H117" s="16">
        <f t="shared" si="4"/>
        <v>46.129624999999997</v>
      </c>
      <c r="I117" s="5"/>
      <c r="J117" s="15">
        <v>1355.0355999999999</v>
      </c>
      <c r="K117" s="16">
        <v>45.404699999999998</v>
      </c>
      <c r="L117" s="16">
        <v>47.719200000000001</v>
      </c>
      <c r="M117" s="16">
        <v>47.954999999999998</v>
      </c>
      <c r="N117" s="16">
        <v>105.9571</v>
      </c>
      <c r="O117" s="16">
        <f t="shared" si="5"/>
        <v>46.012799999999999</v>
      </c>
      <c r="P117" s="7"/>
      <c r="Q117" s="8">
        <f>bdrate(C117:C120,D117:D120,J117:J120,K117:K120)</f>
        <v>-9.8489602552831457E-2</v>
      </c>
      <c r="R117" s="8">
        <f>bdrate(C117:C120,E117:E120,J117:J120,L117:L120)</f>
        <v>-0.22742457118550174</v>
      </c>
      <c r="S117" s="8">
        <f>bdrate(C117:C120,F117:F120,J117:J120,M117:M120)</f>
        <v>-0.2241097286698529</v>
      </c>
      <c r="T117" s="25">
        <f>bdrate(C117:C120,H117:H120,J117:J120,O117:O120)</f>
        <v>-0.12984401924970379</v>
      </c>
      <c r="U117" s="28">
        <f t="shared" si="3"/>
        <v>0.21426885170754056</v>
      </c>
    </row>
    <row r="118" spans="2:21" x14ac:dyDescent="0.25">
      <c r="B118" s="9"/>
      <c r="C118" s="17">
        <v>1459.4726559999999</v>
      </c>
      <c r="D118" s="18">
        <v>45.378999999999998</v>
      </c>
      <c r="E118" s="18">
        <v>46.889000000000003</v>
      </c>
      <c r="F118" s="18">
        <v>47.151000000000003</v>
      </c>
      <c r="G118" s="18">
        <v>96.51</v>
      </c>
      <c r="H118" s="18">
        <f t="shared" si="4"/>
        <v>45.789250000000003</v>
      </c>
      <c r="I118" s="5"/>
      <c r="J118" s="17">
        <v>950.48649999999998</v>
      </c>
      <c r="K118" s="18">
        <v>43.885899999999999</v>
      </c>
      <c r="L118" s="18">
        <v>46.4298</v>
      </c>
      <c r="M118" s="18">
        <v>46.652099999999997</v>
      </c>
      <c r="N118" s="18">
        <v>118.4678</v>
      </c>
      <c r="O118" s="18">
        <f t="shared" si="5"/>
        <v>44.549662500000004</v>
      </c>
      <c r="P118" s="7"/>
      <c r="Q118" s="10"/>
      <c r="R118" s="11"/>
      <c r="S118" s="11"/>
      <c r="T118" s="26"/>
      <c r="U118" s="28">
        <f t="shared" si="3"/>
        <v>0.2275183918764894</v>
      </c>
    </row>
    <row r="119" spans="2:21" x14ac:dyDescent="0.25">
      <c r="B119" s="9"/>
      <c r="C119" s="17">
        <v>932.35351560000004</v>
      </c>
      <c r="D119" s="18">
        <v>42.887</v>
      </c>
      <c r="E119" s="18">
        <v>44.732999999999997</v>
      </c>
      <c r="F119" s="18">
        <v>44.978000000000002</v>
      </c>
      <c r="G119" s="18">
        <v>102.43</v>
      </c>
      <c r="H119" s="18">
        <f t="shared" si="4"/>
        <v>43.379125000000002</v>
      </c>
      <c r="I119" s="5"/>
      <c r="J119" s="17">
        <v>628.11749999999995</v>
      </c>
      <c r="K119" s="18">
        <v>41.026400000000002</v>
      </c>
      <c r="L119" s="18">
        <v>43.908499999999997</v>
      </c>
      <c r="M119" s="18">
        <v>44.134399999999999</v>
      </c>
      <c r="N119" s="18">
        <v>130.97579999999999</v>
      </c>
      <c r="O119" s="18">
        <f t="shared" si="5"/>
        <v>41.775162500000008</v>
      </c>
      <c r="P119" s="7"/>
      <c r="Q119" s="10"/>
      <c r="R119" s="11"/>
      <c r="S119" s="11"/>
      <c r="T119" s="26"/>
      <c r="U119" s="28">
        <f t="shared" si="3"/>
        <v>0.27868593185590146</v>
      </c>
    </row>
    <row r="120" spans="2:21" ht="16.5" thickBot="1" x14ac:dyDescent="0.3">
      <c r="B120" s="12"/>
      <c r="C120" s="19">
        <v>578.51757810000004</v>
      </c>
      <c r="D120" s="20">
        <v>39.832999999999998</v>
      </c>
      <c r="E120" s="20">
        <v>42.264000000000003</v>
      </c>
      <c r="F120" s="20">
        <v>42.503</v>
      </c>
      <c r="G120" s="20">
        <v>113.85</v>
      </c>
      <c r="H120" s="20">
        <f t="shared" si="4"/>
        <v>40.470624999999998</v>
      </c>
      <c r="I120" s="5"/>
      <c r="J120" s="19">
        <v>347.30919999999998</v>
      </c>
      <c r="K120" s="20">
        <v>37.266800000000003</v>
      </c>
      <c r="L120" s="20">
        <v>40.6905</v>
      </c>
      <c r="M120" s="20">
        <v>40.959899999999998</v>
      </c>
      <c r="N120" s="20">
        <v>201.3648</v>
      </c>
      <c r="O120" s="20">
        <f t="shared" si="5"/>
        <v>38.156400000000005</v>
      </c>
      <c r="P120" s="7"/>
      <c r="Q120" s="13"/>
      <c r="R120" s="14"/>
      <c r="S120" s="14"/>
      <c r="T120" s="27"/>
      <c r="U120" s="28">
        <f t="shared" si="3"/>
        <v>0.76868511198945988</v>
      </c>
    </row>
    <row r="121" spans="2:21" x14ac:dyDescent="0.25">
      <c r="B121" s="6" t="s">
        <v>105</v>
      </c>
      <c r="C121" s="29">
        <v>1746.3740230000001</v>
      </c>
      <c r="D121" s="30">
        <v>31.603999999999999</v>
      </c>
      <c r="E121" s="30">
        <v>35.29</v>
      </c>
      <c r="F121" s="30">
        <v>34.045000000000002</v>
      </c>
      <c r="G121" s="16">
        <v>67.09</v>
      </c>
      <c r="H121" s="16">
        <f t="shared" si="4"/>
        <v>32.369875</v>
      </c>
      <c r="I121" s="5"/>
      <c r="J121" s="29">
        <v>1504.3878999999999</v>
      </c>
      <c r="K121" s="30">
        <v>31.8871</v>
      </c>
      <c r="L121" s="30">
        <v>36.294600000000003</v>
      </c>
      <c r="M121" s="30">
        <v>35.179099999999998</v>
      </c>
      <c r="N121" s="16">
        <v>94.652199999999993</v>
      </c>
      <c r="O121" s="16">
        <f t="shared" si="5"/>
        <v>32.849537499999997</v>
      </c>
      <c r="P121" s="7"/>
      <c r="Q121" s="8">
        <f>bdrate(C121:C124,D121:D124,J121:J124,K121:K124)</f>
        <v>-0.17055022488931204</v>
      </c>
      <c r="R121" s="8">
        <f>bdrate(C121:C124,E121:E124,J121:J124,L121:L124)</f>
        <v>-0.50341998088852169</v>
      </c>
      <c r="S121" s="8">
        <f>bdrate(C121:C124,F121:F124,J121:J124,M121:M124)</f>
        <v>-0.50163857081023755</v>
      </c>
      <c r="T121" s="25">
        <f>bdrate(C121:C124,H121:H124,J121:J124,O121:O124)</f>
        <v>-0.24366963895671867</v>
      </c>
      <c r="U121" s="28">
        <f t="shared" si="3"/>
        <v>0.41082426591146204</v>
      </c>
    </row>
    <row r="122" spans="2:21" x14ac:dyDescent="0.25">
      <c r="B122" s="9"/>
      <c r="C122" s="31">
        <v>1201.7294919999999</v>
      </c>
      <c r="D122" s="32">
        <v>30.018999999999998</v>
      </c>
      <c r="E122" s="32">
        <v>34.091000000000001</v>
      </c>
      <c r="F122" s="32">
        <v>32.811</v>
      </c>
      <c r="G122" s="18">
        <v>73</v>
      </c>
      <c r="H122" s="18">
        <f t="shared" si="4"/>
        <v>30.876999999999999</v>
      </c>
      <c r="I122" s="5"/>
      <c r="J122" s="31">
        <v>1005.8521</v>
      </c>
      <c r="K122" s="32">
        <v>30.0501</v>
      </c>
      <c r="L122" s="32">
        <v>35.277700000000003</v>
      </c>
      <c r="M122" s="32">
        <v>34.100099999999998</v>
      </c>
      <c r="N122" s="18">
        <v>113.4573</v>
      </c>
      <c r="O122" s="18">
        <f t="shared" si="5"/>
        <v>31.209800000000001</v>
      </c>
      <c r="P122" s="7"/>
      <c r="Q122" s="10"/>
      <c r="R122" s="11"/>
      <c r="S122" s="11"/>
      <c r="T122" s="26"/>
      <c r="U122" s="28">
        <f t="shared" si="3"/>
        <v>0.55420958904109596</v>
      </c>
    </row>
    <row r="123" spans="2:21" x14ac:dyDescent="0.25">
      <c r="B123" s="9"/>
      <c r="C123" s="31">
        <v>819.44335939999996</v>
      </c>
      <c r="D123" s="32">
        <v>28.495999999999999</v>
      </c>
      <c r="E123" s="32">
        <v>32.881999999999998</v>
      </c>
      <c r="F123" s="32">
        <v>31.600999999999999</v>
      </c>
      <c r="G123" s="18">
        <v>77.97</v>
      </c>
      <c r="H123" s="18">
        <f t="shared" si="4"/>
        <v>29.432375</v>
      </c>
      <c r="I123" s="5"/>
      <c r="J123" s="31">
        <v>602.41010000000006</v>
      </c>
      <c r="K123" s="32">
        <v>27.962900000000001</v>
      </c>
      <c r="L123" s="32">
        <v>34.071899999999999</v>
      </c>
      <c r="M123" s="32">
        <v>32.792900000000003</v>
      </c>
      <c r="N123" s="18">
        <v>142.61940000000001</v>
      </c>
      <c r="O123" s="18">
        <f t="shared" si="5"/>
        <v>29.330275</v>
      </c>
      <c r="P123" s="7"/>
      <c r="Q123" s="10"/>
      <c r="R123" s="11"/>
      <c r="S123" s="11"/>
      <c r="T123" s="26"/>
      <c r="U123" s="28">
        <f t="shared" si="3"/>
        <v>0.8291573682185458</v>
      </c>
    </row>
    <row r="124" spans="2:21" ht="16.5" thickBot="1" x14ac:dyDescent="0.3">
      <c r="B124" s="12"/>
      <c r="C124" s="33">
        <v>609.53613280000002</v>
      </c>
      <c r="D124" s="34">
        <v>27.181999999999999</v>
      </c>
      <c r="E124" s="34">
        <v>31.739000000000001</v>
      </c>
      <c r="F124" s="34">
        <v>30.498000000000001</v>
      </c>
      <c r="G124" s="20">
        <v>79.11</v>
      </c>
      <c r="H124" s="20">
        <f t="shared" si="4"/>
        <v>28.166124999999997</v>
      </c>
      <c r="I124" s="5"/>
      <c r="J124" s="33">
        <v>302.86649999999997</v>
      </c>
      <c r="K124" s="34">
        <v>25.5425</v>
      </c>
      <c r="L124" s="34">
        <v>32.329700000000003</v>
      </c>
      <c r="M124" s="34">
        <v>30.927299999999999</v>
      </c>
      <c r="N124" s="20">
        <v>193.9237</v>
      </c>
      <c r="O124" s="20">
        <f t="shared" si="5"/>
        <v>27.064</v>
      </c>
      <c r="P124" s="7"/>
      <c r="Q124" s="13"/>
      <c r="R124" s="14"/>
      <c r="S124" s="14"/>
      <c r="T124" s="27"/>
      <c r="U124" s="28">
        <f t="shared" si="3"/>
        <v>1.4513171533308051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-0.31601657084853979</v>
      </c>
      <c r="R125" s="21">
        <f>AVERAGE(R9:R124)</f>
        <v>-0.41609501680543548</v>
      </c>
      <c r="S125" s="21">
        <f>AVERAGE(S9:S124)</f>
        <v>-0.41876025139385181</v>
      </c>
      <c r="T125" s="21">
        <f>AVERAGE(T9:T124)</f>
        <v>-0.33859886634558178</v>
      </c>
      <c r="U125" s="21">
        <f>AVERAGE(U9:U124)</f>
        <v>0.70659168049226362</v>
      </c>
    </row>
    <row r="127" spans="2:21" s="35" customFormat="1" ht="15.75" customHeight="1" x14ac:dyDescent="0.25">
      <c r="B127" s="61" t="s">
        <v>29</v>
      </c>
      <c r="C127" s="63" t="s">
        <v>203</v>
      </c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5"/>
    </row>
    <row r="128" spans="2:21" s="35" customFormat="1" x14ac:dyDescent="0.25">
      <c r="B128" s="62"/>
      <c r="C128" s="66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8"/>
    </row>
    <row r="129" spans="1:21" ht="16.5" customHeight="1" thickBot="1" x14ac:dyDescent="0.3">
      <c r="C129" s="69" t="s">
        <v>113</v>
      </c>
      <c r="D129" s="70"/>
      <c r="E129" s="70"/>
      <c r="F129" s="70"/>
      <c r="G129" s="70"/>
      <c r="H129" s="70"/>
      <c r="I129" s="5"/>
      <c r="J129" s="69" t="s">
        <v>178</v>
      </c>
      <c r="K129" s="70"/>
      <c r="L129" s="70"/>
      <c r="M129" s="70"/>
      <c r="N129" s="70"/>
      <c r="O129" s="70"/>
      <c r="Q129" s="69" t="s">
        <v>7</v>
      </c>
      <c r="R129" s="70"/>
      <c r="S129" s="71"/>
      <c r="T129" s="36"/>
      <c r="U129" s="7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2"/>
    </row>
    <row r="131" spans="1:21" x14ac:dyDescent="0.25">
      <c r="A131" s="6" t="s">
        <v>35</v>
      </c>
      <c r="B131" s="6" t="s">
        <v>46</v>
      </c>
      <c r="C131" s="15">
        <v>4442.7382809999999</v>
      </c>
      <c r="D131" s="16">
        <v>36.252000000000002</v>
      </c>
      <c r="E131" s="16">
        <v>38.652999999999999</v>
      </c>
      <c r="F131" s="16">
        <v>40.99</v>
      </c>
      <c r="G131" s="16">
        <v>44.17</v>
      </c>
      <c r="H131" s="16">
        <f t="shared" ref="H131:H202" si="6">(6*D131+E131+F131)/8</f>
        <v>37.144375000000004</v>
      </c>
      <c r="I131" s="5"/>
      <c r="J131" s="15">
        <v>4024.36</v>
      </c>
      <c r="K131" s="16">
        <v>37.527299999999997</v>
      </c>
      <c r="L131" s="16">
        <v>39.407800000000002</v>
      </c>
      <c r="M131" s="16">
        <v>41.864400000000003</v>
      </c>
      <c r="N131" s="16">
        <v>76.923100000000005</v>
      </c>
      <c r="O131" s="16">
        <f t="shared" ref="O131:O202" si="7">(6*K131+L131+M131)/8</f>
        <v>38.304499999999997</v>
      </c>
      <c r="P131" s="7"/>
      <c r="Q131" s="8">
        <f>bdrate(C131:C134,D131:D134,J131:J134,K131:K134)</f>
        <v>-0.31862507863970502</v>
      </c>
      <c r="R131" s="8">
        <f>bdrate(C131:C134,E131:E134,J131:J134,L131:L134)</f>
        <v>-0.4195214265909013</v>
      </c>
      <c r="S131" s="8">
        <f>bdrate(C131:C134,F131:F134,J131:J134,M131:M134)</f>
        <v>-0.43266510695873317</v>
      </c>
      <c r="T131" s="25">
        <f>bdrate(C131:C134,H131:H134,J131:J134,O131:O134)</f>
        <v>-0.33687204066768583</v>
      </c>
      <c r="U131" s="28">
        <f t="shared" ref="U131:U194" si="8">(N131-G131)/G131</f>
        <v>0.74152365859180447</v>
      </c>
    </row>
    <row r="132" spans="1:21" x14ac:dyDescent="0.25">
      <c r="A132" s="9" t="s">
        <v>36</v>
      </c>
      <c r="B132" s="9"/>
      <c r="C132" s="17">
        <v>3313.9697270000001</v>
      </c>
      <c r="D132" s="18">
        <v>35.381</v>
      </c>
      <c r="E132" s="18">
        <v>38.168999999999997</v>
      </c>
      <c r="F132" s="18">
        <v>40.423000000000002</v>
      </c>
      <c r="G132" s="18">
        <v>53.08</v>
      </c>
      <c r="H132" s="18">
        <f t="shared" si="6"/>
        <v>36.359749999999998</v>
      </c>
      <c r="I132" s="5"/>
      <c r="J132" s="17">
        <v>2919.1392000000001</v>
      </c>
      <c r="K132" s="18">
        <v>36.499499999999998</v>
      </c>
      <c r="L132" s="18">
        <v>38.811900000000001</v>
      </c>
      <c r="M132" s="18">
        <v>41.1633</v>
      </c>
      <c r="N132" s="18">
        <v>83.611999999999995</v>
      </c>
      <c r="O132" s="18">
        <f t="shared" si="7"/>
        <v>37.371524999999998</v>
      </c>
      <c r="P132" s="7"/>
      <c r="Q132" s="10"/>
      <c r="R132" s="11"/>
      <c r="S132" s="11"/>
      <c r="T132" s="26"/>
      <c r="U132" s="28">
        <f t="shared" si="8"/>
        <v>0.57520723436322529</v>
      </c>
    </row>
    <row r="133" spans="1:21" x14ac:dyDescent="0.25">
      <c r="B133" s="9"/>
      <c r="C133" s="17">
        <v>2225.3310550000001</v>
      </c>
      <c r="D133" s="18">
        <v>34.076999999999998</v>
      </c>
      <c r="E133" s="18">
        <v>37.405000000000001</v>
      </c>
      <c r="F133" s="18">
        <v>39.591999999999999</v>
      </c>
      <c r="G133" s="18">
        <v>55.89</v>
      </c>
      <c r="H133" s="18">
        <f t="shared" si="6"/>
        <v>35.182375</v>
      </c>
      <c r="I133" s="5"/>
      <c r="J133" s="17">
        <v>1931.9567999999999</v>
      </c>
      <c r="K133" s="18">
        <v>34.9253</v>
      </c>
      <c r="L133" s="18">
        <v>38.128100000000003</v>
      </c>
      <c r="M133" s="18">
        <v>40.421599999999998</v>
      </c>
      <c r="N133" s="18">
        <v>95.177700000000002</v>
      </c>
      <c r="O133" s="18">
        <f t="shared" si="7"/>
        <v>36.012687500000006</v>
      </c>
      <c r="P133" s="7"/>
      <c r="Q133" s="10"/>
      <c r="R133" s="11"/>
      <c r="S133" s="11"/>
      <c r="T133" s="26"/>
      <c r="U133" s="28">
        <f t="shared" si="8"/>
        <v>0.70294685990338168</v>
      </c>
    </row>
    <row r="134" spans="1:21" ht="16.5" thickBot="1" x14ac:dyDescent="0.3">
      <c r="B134" s="12"/>
      <c r="C134" s="19">
        <v>1141.341797</v>
      </c>
      <c r="D134" s="20">
        <v>31.34</v>
      </c>
      <c r="E134" s="20">
        <v>35.914999999999999</v>
      </c>
      <c r="F134" s="20">
        <v>37.944000000000003</v>
      </c>
      <c r="G134" s="20">
        <v>64.92</v>
      </c>
      <c r="H134" s="20">
        <f t="shared" si="6"/>
        <v>32.737375</v>
      </c>
      <c r="I134" s="5"/>
      <c r="J134" s="19">
        <v>923.01760000000002</v>
      </c>
      <c r="K134" s="20">
        <v>32.016800000000003</v>
      </c>
      <c r="L134" s="20">
        <v>36.833100000000002</v>
      </c>
      <c r="M134" s="20">
        <v>39.053600000000003</v>
      </c>
      <c r="N134" s="20">
        <v>114.5038</v>
      </c>
      <c r="O134" s="20">
        <f t="shared" si="7"/>
        <v>33.498437500000001</v>
      </c>
      <c r="P134" s="7"/>
      <c r="Q134" s="13"/>
      <c r="R134" s="14"/>
      <c r="S134" s="14"/>
      <c r="T134" s="27"/>
      <c r="U134" s="28">
        <f t="shared" si="8"/>
        <v>0.76376771410967337</v>
      </c>
    </row>
    <row r="135" spans="1:21" x14ac:dyDescent="0.25">
      <c r="B135" s="6" t="s">
        <v>47</v>
      </c>
      <c r="C135" s="15">
        <v>4760.0185549999997</v>
      </c>
      <c r="D135" s="16">
        <v>28.39</v>
      </c>
      <c r="E135" s="16">
        <v>38.631999999999998</v>
      </c>
      <c r="F135" s="16">
        <v>39.74</v>
      </c>
      <c r="G135" s="16">
        <v>39.31</v>
      </c>
      <c r="H135" s="16">
        <f t="shared" si="6"/>
        <v>31.089000000000002</v>
      </c>
      <c r="I135" s="5"/>
      <c r="J135" s="15">
        <v>4044.6640000000002</v>
      </c>
      <c r="K135" s="16">
        <v>28.979600000000001</v>
      </c>
      <c r="L135" s="16">
        <v>39.219900000000003</v>
      </c>
      <c r="M135" s="16">
        <v>40.175800000000002</v>
      </c>
      <c r="N135" s="16">
        <v>61.627000000000002</v>
      </c>
      <c r="O135" s="16">
        <f t="shared" si="7"/>
        <v>31.659162500000001</v>
      </c>
      <c r="P135" s="7"/>
      <c r="Q135" s="8">
        <f>bdrate(C135:C138,D135:D138,J135:J138,K135:K138)</f>
        <v>-0.20492597132755974</v>
      </c>
      <c r="R135" s="8">
        <f>bdrate(C135:C138,E135:E138,J135:J138,L135:L138)</f>
        <v>-0.50545232210490343</v>
      </c>
      <c r="S135" s="8">
        <f>bdrate(C135:C138,F135:F138,J135:J138,M135:M138)</f>
        <v>-0.51424446379211719</v>
      </c>
      <c r="T135" s="25">
        <f>bdrate(C135:C138,H135:H138,J135:J138,O135:O138)</f>
        <v>-0.24692942794536221</v>
      </c>
      <c r="U135" s="28">
        <f t="shared" si="8"/>
        <v>0.56771813787840242</v>
      </c>
    </row>
    <row r="136" spans="1:21" x14ac:dyDescent="0.25">
      <c r="B136" s="9"/>
      <c r="C136" s="17">
        <v>3910.8085940000001</v>
      </c>
      <c r="D136" s="18">
        <v>27.646000000000001</v>
      </c>
      <c r="E136" s="18">
        <v>38.040999999999997</v>
      </c>
      <c r="F136" s="18">
        <v>39.137</v>
      </c>
      <c r="G136" s="18">
        <v>45.64</v>
      </c>
      <c r="H136" s="18">
        <f t="shared" si="6"/>
        <v>30.38175</v>
      </c>
      <c r="I136" s="5"/>
      <c r="J136" s="17">
        <v>3036.0128</v>
      </c>
      <c r="K136" s="18">
        <v>27.6752</v>
      </c>
      <c r="L136" s="18">
        <v>38.726199999999999</v>
      </c>
      <c r="M136" s="18">
        <v>39.721400000000003</v>
      </c>
      <c r="N136" s="18">
        <v>68.681299999999993</v>
      </c>
      <c r="O136" s="18">
        <f t="shared" si="7"/>
        <v>30.562350000000002</v>
      </c>
      <c r="P136" s="7"/>
      <c r="Q136" s="10"/>
      <c r="R136" s="11"/>
      <c r="S136" s="11"/>
      <c r="T136" s="26"/>
      <c r="U136" s="28">
        <f t="shared" si="8"/>
        <v>0.50484881682734428</v>
      </c>
    </row>
    <row r="137" spans="1:21" x14ac:dyDescent="0.25">
      <c r="B137" s="9"/>
      <c r="C137" s="17">
        <v>3317.53125</v>
      </c>
      <c r="D137" s="18">
        <v>27.271000000000001</v>
      </c>
      <c r="E137" s="18">
        <v>37.456000000000003</v>
      </c>
      <c r="F137" s="18">
        <v>38.442</v>
      </c>
      <c r="G137" s="18">
        <v>45.65</v>
      </c>
      <c r="H137" s="18">
        <f t="shared" si="6"/>
        <v>29.9405</v>
      </c>
      <c r="I137" s="5"/>
      <c r="J137" s="17">
        <v>2009.9952000000001</v>
      </c>
      <c r="K137" s="18">
        <v>25.883199999999999</v>
      </c>
      <c r="L137" s="18">
        <v>37.955599999999997</v>
      </c>
      <c r="M137" s="18">
        <v>39.076599999999999</v>
      </c>
      <c r="N137" s="18">
        <v>82.918700000000001</v>
      </c>
      <c r="O137" s="18">
        <f t="shared" si="7"/>
        <v>29.041424999999997</v>
      </c>
      <c r="P137" s="7"/>
      <c r="Q137" s="10"/>
      <c r="R137" s="11"/>
      <c r="S137" s="11"/>
      <c r="T137" s="26"/>
      <c r="U137" s="28">
        <f t="shared" si="8"/>
        <v>0.81640087623220159</v>
      </c>
    </row>
    <row r="138" spans="1:21" ht="16.5" thickBot="1" x14ac:dyDescent="0.3">
      <c r="B138" s="12"/>
      <c r="C138" s="19">
        <v>2839.109375</v>
      </c>
      <c r="D138" s="20">
        <v>26.760999999999999</v>
      </c>
      <c r="E138" s="20">
        <v>36.472999999999999</v>
      </c>
      <c r="F138" s="20">
        <v>37.152000000000001</v>
      </c>
      <c r="G138" s="20">
        <v>45.43</v>
      </c>
      <c r="H138" s="20">
        <f t="shared" si="6"/>
        <v>29.273874999999997</v>
      </c>
      <c r="I138" s="5"/>
      <c r="J138" s="19">
        <v>1155.0784000000001</v>
      </c>
      <c r="K138" s="20">
        <v>23.900700000000001</v>
      </c>
      <c r="L138" s="20">
        <v>36.508200000000002</v>
      </c>
      <c r="M138" s="20">
        <v>37.731499999999997</v>
      </c>
      <c r="N138" s="20">
        <v>98.103300000000004</v>
      </c>
      <c r="O138" s="20">
        <f t="shared" si="7"/>
        <v>27.205487499999997</v>
      </c>
      <c r="P138" s="7"/>
      <c r="Q138" s="13"/>
      <c r="R138" s="14"/>
      <c r="S138" s="14"/>
      <c r="T138" s="27"/>
      <c r="U138" s="28">
        <f t="shared" si="8"/>
        <v>1.1594386968963242</v>
      </c>
    </row>
    <row r="139" spans="1:21" x14ac:dyDescent="0.25">
      <c r="A139" s="6" t="s">
        <v>37</v>
      </c>
      <c r="B139" s="6" t="s">
        <v>48</v>
      </c>
      <c r="C139" s="15">
        <v>2281.7998050000001</v>
      </c>
      <c r="D139" s="16">
        <v>37.85</v>
      </c>
      <c r="E139" s="16">
        <v>41.279000000000003</v>
      </c>
      <c r="F139" s="16">
        <v>42.430999999999997</v>
      </c>
      <c r="G139" s="16">
        <v>78.88</v>
      </c>
      <c r="H139" s="16">
        <f t="shared" si="6"/>
        <v>38.85125</v>
      </c>
      <c r="I139" s="5"/>
      <c r="J139" s="15">
        <v>2397.1215999999999</v>
      </c>
      <c r="K139" s="16">
        <v>38.895600000000002</v>
      </c>
      <c r="L139" s="16">
        <v>41.8797</v>
      </c>
      <c r="M139" s="16">
        <v>43.189900000000002</v>
      </c>
      <c r="N139" s="16">
        <v>155.44040000000001</v>
      </c>
      <c r="O139" s="16">
        <f t="shared" si="7"/>
        <v>39.805400000000006</v>
      </c>
      <c r="P139" s="7"/>
      <c r="Q139" s="8">
        <f>bdrate(C139:C142,D139:D142,J139:J142,K139:K142)</f>
        <v>-0.3135062387466544</v>
      </c>
      <c r="R139" s="8">
        <f>bdrate(C139:C142,E139:E142,J139:J142,L139:L142)</f>
        <v>-0.33735149833595102</v>
      </c>
      <c r="S139" s="8">
        <f>bdrate(C139:C142,F139:F142,J139:J142,M139:M142)</f>
        <v>-0.37179785151156364</v>
      </c>
      <c r="T139" s="25">
        <f>bdrate(C139:C142,H139:H142,J139:J142,O139:O142)</f>
        <v>-0.32008679465380219</v>
      </c>
      <c r="U139" s="28">
        <f t="shared" si="8"/>
        <v>0.97059330628803275</v>
      </c>
    </row>
    <row r="140" spans="1:21" x14ac:dyDescent="0.25">
      <c r="A140" s="9" t="s">
        <v>38</v>
      </c>
      <c r="B140" s="9"/>
      <c r="C140" s="17">
        <v>1552.663086</v>
      </c>
      <c r="D140" s="18">
        <v>36.466999999999999</v>
      </c>
      <c r="E140" s="18">
        <v>40.569000000000003</v>
      </c>
      <c r="F140" s="18">
        <v>41.66</v>
      </c>
      <c r="G140" s="18">
        <v>88.17</v>
      </c>
      <c r="H140" s="18">
        <f t="shared" si="6"/>
        <v>37.628874999999994</v>
      </c>
      <c r="I140" s="5"/>
      <c r="J140" s="17">
        <v>1566.6120000000001</v>
      </c>
      <c r="K140" s="18">
        <v>37.6342</v>
      </c>
      <c r="L140" s="18">
        <v>41.1798</v>
      </c>
      <c r="M140" s="18">
        <v>42.404600000000002</v>
      </c>
      <c r="N140" s="18">
        <v>169.13319999999999</v>
      </c>
      <c r="O140" s="18">
        <f t="shared" si="7"/>
        <v>38.673700000000004</v>
      </c>
      <c r="P140" s="7"/>
      <c r="Q140" s="10"/>
      <c r="R140" s="11"/>
      <c r="S140" s="11"/>
      <c r="T140" s="26"/>
      <c r="U140" s="28">
        <f t="shared" si="8"/>
        <v>0.91826244754451614</v>
      </c>
    </row>
    <row r="141" spans="1:21" x14ac:dyDescent="0.25">
      <c r="B141" s="9"/>
      <c r="C141" s="17">
        <v>990.92285159999994</v>
      </c>
      <c r="D141" s="18">
        <v>34.659999999999997</v>
      </c>
      <c r="E141" s="18">
        <v>39.633000000000003</v>
      </c>
      <c r="F141" s="18">
        <v>40.633000000000003</v>
      </c>
      <c r="G141" s="18">
        <v>96.67</v>
      </c>
      <c r="H141" s="18">
        <f t="shared" si="6"/>
        <v>36.02825</v>
      </c>
      <c r="I141" s="5"/>
      <c r="J141" s="17">
        <v>953.86080000000004</v>
      </c>
      <c r="K141" s="18">
        <v>36.024500000000003</v>
      </c>
      <c r="L141" s="18">
        <v>40.404400000000003</v>
      </c>
      <c r="M141" s="18">
        <v>41.578699999999998</v>
      </c>
      <c r="N141" s="18">
        <v>192.30770000000001</v>
      </c>
      <c r="O141" s="18">
        <f t="shared" si="7"/>
        <v>37.266262499999996</v>
      </c>
      <c r="P141" s="7"/>
      <c r="Q141" s="10"/>
      <c r="R141" s="11"/>
      <c r="S141" s="11"/>
      <c r="T141" s="26"/>
      <c r="U141" s="28">
        <f t="shared" si="8"/>
        <v>0.98932140271025149</v>
      </c>
    </row>
    <row r="142" spans="1:21" ht="16.5" thickBot="1" x14ac:dyDescent="0.3">
      <c r="B142" s="12"/>
      <c r="C142" s="19">
        <v>626.93359380000004</v>
      </c>
      <c r="D142" s="20">
        <v>32.344000000000001</v>
      </c>
      <c r="E142" s="20">
        <v>38.564999999999998</v>
      </c>
      <c r="F142" s="20">
        <v>39.645000000000003</v>
      </c>
      <c r="G142" s="20">
        <v>107.91</v>
      </c>
      <c r="H142" s="20">
        <f t="shared" si="6"/>
        <v>34.03425</v>
      </c>
      <c r="I142" s="5"/>
      <c r="J142" s="19">
        <v>559.24080000000004</v>
      </c>
      <c r="K142" s="20">
        <v>34.1755</v>
      </c>
      <c r="L142" s="20">
        <v>39.612900000000003</v>
      </c>
      <c r="M142" s="20">
        <v>40.8048</v>
      </c>
      <c r="N142" s="20">
        <v>213.7133</v>
      </c>
      <c r="O142" s="20">
        <f t="shared" si="7"/>
        <v>35.683837499999996</v>
      </c>
      <c r="P142" s="7"/>
      <c r="Q142" s="13"/>
      <c r="R142" s="14"/>
      <c r="S142" s="14"/>
      <c r="T142" s="27"/>
      <c r="U142" s="28">
        <f t="shared" si="8"/>
        <v>0.98047724955981852</v>
      </c>
    </row>
    <row r="143" spans="1:21" x14ac:dyDescent="0.25">
      <c r="B143" s="6" t="s">
        <v>49</v>
      </c>
      <c r="C143" s="15">
        <v>2502.9033199999999</v>
      </c>
      <c r="D143" s="16">
        <v>34.609000000000002</v>
      </c>
      <c r="E143" s="16">
        <v>38.759</v>
      </c>
      <c r="F143" s="16">
        <v>40.034999999999997</v>
      </c>
      <c r="G143" s="16">
        <v>79.3</v>
      </c>
      <c r="H143" s="16">
        <f t="shared" si="6"/>
        <v>35.805999999999997</v>
      </c>
      <c r="I143" s="5"/>
      <c r="J143" s="15">
        <v>2447.3488000000002</v>
      </c>
      <c r="K143" s="16">
        <v>35.699399999999997</v>
      </c>
      <c r="L143" s="16">
        <v>39.798999999999999</v>
      </c>
      <c r="M143" s="16">
        <v>41.032899999999998</v>
      </c>
      <c r="N143" s="16">
        <v>139.86009999999999</v>
      </c>
      <c r="O143" s="16">
        <f t="shared" si="7"/>
        <v>36.8785375</v>
      </c>
      <c r="P143" s="7"/>
      <c r="Q143" s="8">
        <f>bdrate(C143:C146,D143:D146,J143:J146,K143:K146)</f>
        <v>-0.25937934341718349</v>
      </c>
      <c r="R143" s="8">
        <f>bdrate(C143:C146,E143:E146,J143:J146,L143:L146)</f>
        <v>-0.43573448478609111</v>
      </c>
      <c r="S143" s="8">
        <f>bdrate(C143:C146,F143:F146,J143:J146,M143:M146)</f>
        <v>-0.44258831448403146</v>
      </c>
      <c r="T143" s="25">
        <f>bdrate(C143:C146,H143:H146,J143:J146,O143:O146)</f>
        <v>-0.29172467513505662</v>
      </c>
      <c r="U143" s="28">
        <f t="shared" si="8"/>
        <v>0.76368348045397216</v>
      </c>
    </row>
    <row r="144" spans="1:21" x14ac:dyDescent="0.25">
      <c r="B144" s="9"/>
      <c r="C144" s="17">
        <v>1692.1357419999999</v>
      </c>
      <c r="D144" s="18">
        <v>33.548999999999999</v>
      </c>
      <c r="E144" s="18">
        <v>38.036999999999999</v>
      </c>
      <c r="F144" s="18">
        <v>39.396000000000001</v>
      </c>
      <c r="G144" s="18">
        <v>89.01</v>
      </c>
      <c r="H144" s="18">
        <f t="shared" si="6"/>
        <v>34.840874999999997</v>
      </c>
      <c r="I144" s="5"/>
      <c r="J144" s="17">
        <v>1645.7944</v>
      </c>
      <c r="K144" s="18">
        <v>34.451500000000003</v>
      </c>
      <c r="L144" s="18">
        <v>39.058799999999998</v>
      </c>
      <c r="M144" s="18">
        <v>40.303899999999999</v>
      </c>
      <c r="N144" s="18">
        <v>150.8485</v>
      </c>
      <c r="O144" s="18">
        <f t="shared" si="7"/>
        <v>35.758962499999996</v>
      </c>
      <c r="P144" s="7"/>
      <c r="Q144" s="10"/>
      <c r="R144" s="11"/>
      <c r="S144" s="11"/>
      <c r="T144" s="26"/>
      <c r="U144" s="28">
        <f t="shared" si="8"/>
        <v>0.69473654645545435</v>
      </c>
    </row>
    <row r="145" spans="1:21" x14ac:dyDescent="0.25">
      <c r="B145" s="9"/>
      <c r="C145" s="17">
        <v>1049.2460940000001</v>
      </c>
      <c r="D145" s="18">
        <v>32.234000000000002</v>
      </c>
      <c r="E145" s="18">
        <v>37.162999999999997</v>
      </c>
      <c r="F145" s="18">
        <v>38.703000000000003</v>
      </c>
      <c r="G145" s="18">
        <v>93.78</v>
      </c>
      <c r="H145" s="18">
        <f t="shared" si="6"/>
        <v>33.658749999999998</v>
      </c>
      <c r="I145" s="5"/>
      <c r="J145" s="17">
        <v>1020.8424</v>
      </c>
      <c r="K145" s="18">
        <v>32.962699999999998</v>
      </c>
      <c r="L145" s="18">
        <v>38.144599999999997</v>
      </c>
      <c r="M145" s="18">
        <v>39.506900000000002</v>
      </c>
      <c r="N145" s="18">
        <v>180.99549999999999</v>
      </c>
      <c r="O145" s="18">
        <f t="shared" si="7"/>
        <v>34.428462499999995</v>
      </c>
      <c r="P145" s="7"/>
      <c r="Q145" s="10"/>
      <c r="R145" s="11"/>
      <c r="S145" s="11"/>
      <c r="T145" s="26"/>
      <c r="U145" s="28">
        <f t="shared" si="8"/>
        <v>0.93000106632544244</v>
      </c>
    </row>
    <row r="146" spans="1:21" ht="16.5" thickBot="1" x14ac:dyDescent="0.3">
      <c r="B146" s="12"/>
      <c r="C146" s="19">
        <v>625.03710939999996</v>
      </c>
      <c r="D146" s="20">
        <v>30.727</v>
      </c>
      <c r="E146" s="20">
        <v>36.264000000000003</v>
      </c>
      <c r="F146" s="20">
        <v>38.034999999999997</v>
      </c>
      <c r="G146" s="20">
        <v>101.29</v>
      </c>
      <c r="H146" s="20">
        <f t="shared" si="6"/>
        <v>32.332625</v>
      </c>
      <c r="I146" s="5"/>
      <c r="J146" s="19">
        <v>584.19359999999995</v>
      </c>
      <c r="K146" s="20">
        <v>31.320599999999999</v>
      </c>
      <c r="L146" s="20">
        <v>37.175699999999999</v>
      </c>
      <c r="M146" s="20">
        <v>38.738599999999998</v>
      </c>
      <c r="N146" s="20">
        <v>205.12819999999999</v>
      </c>
      <c r="O146" s="20">
        <f t="shared" si="7"/>
        <v>32.979737499999999</v>
      </c>
      <c r="P146" s="7"/>
      <c r="Q146" s="13"/>
      <c r="R146" s="14"/>
      <c r="S146" s="14"/>
      <c r="T146" s="27"/>
      <c r="U146" s="28">
        <f t="shared" si="8"/>
        <v>1.0251574686543585</v>
      </c>
    </row>
    <row r="147" spans="1:21" x14ac:dyDescent="0.25">
      <c r="B147" s="6" t="s">
        <v>50</v>
      </c>
      <c r="C147" s="15">
        <v>2448.1640630000002</v>
      </c>
      <c r="D147" s="16">
        <v>32.728999999999999</v>
      </c>
      <c r="E147" s="16">
        <v>37.518999999999998</v>
      </c>
      <c r="F147" s="16">
        <v>38.883000000000003</v>
      </c>
      <c r="G147" s="16">
        <v>83.93</v>
      </c>
      <c r="H147" s="16">
        <f t="shared" si="6"/>
        <v>34.097000000000001</v>
      </c>
      <c r="I147" s="5"/>
      <c r="J147" s="15">
        <v>2407.6680000000001</v>
      </c>
      <c r="K147" s="16">
        <v>33.7667</v>
      </c>
      <c r="L147" s="16">
        <v>38.1066</v>
      </c>
      <c r="M147" s="16">
        <v>40.0246</v>
      </c>
      <c r="N147" s="16">
        <v>187.47659999999999</v>
      </c>
      <c r="O147" s="16">
        <f t="shared" si="7"/>
        <v>35.091425000000001</v>
      </c>
      <c r="P147" s="7"/>
      <c r="Q147" s="8">
        <f>bdrate(C147:C150,D147:D150,J147:J150,K147:K150)</f>
        <v>-0.31452007518953273</v>
      </c>
      <c r="R147" s="8">
        <f>bdrate(C147:C150,E147:E150,J147:J150,L147:L150)</f>
        <v>-0.46613521514425993</v>
      </c>
      <c r="S147" s="8">
        <f>bdrate(C147:C150,F147:F150,J147:J150,M147:M150)</f>
        <v>-0.48309610535655223</v>
      </c>
      <c r="T147" s="25">
        <f>bdrate(C147:C150,H147:H150,J147:J150,O147:O150)</f>
        <v>-0.34642400129644868</v>
      </c>
      <c r="U147" s="28">
        <f t="shared" si="8"/>
        <v>1.2337257238174666</v>
      </c>
    </row>
    <row r="148" spans="1:21" x14ac:dyDescent="0.25">
      <c r="B148" s="9"/>
      <c r="C148" s="17">
        <v>1638.609375</v>
      </c>
      <c r="D148" s="18">
        <v>31.407</v>
      </c>
      <c r="E148" s="18">
        <v>36.804000000000002</v>
      </c>
      <c r="F148" s="18">
        <v>37.72</v>
      </c>
      <c r="G148" s="18">
        <v>95.55</v>
      </c>
      <c r="H148" s="18">
        <f t="shared" si="6"/>
        <v>32.870750000000001</v>
      </c>
      <c r="I148" s="5"/>
      <c r="J148" s="17">
        <v>1605.7944</v>
      </c>
      <c r="K148" s="18">
        <v>32.541600000000003</v>
      </c>
      <c r="L148" s="18">
        <v>37.651000000000003</v>
      </c>
      <c r="M148" s="18">
        <v>39.1843</v>
      </c>
      <c r="N148" s="18">
        <v>204.16499999999999</v>
      </c>
      <c r="O148" s="18">
        <f t="shared" si="7"/>
        <v>34.010612500000001</v>
      </c>
      <c r="P148" s="7"/>
      <c r="Q148" s="10"/>
      <c r="R148" s="11"/>
      <c r="S148" s="11"/>
      <c r="T148" s="26"/>
      <c r="U148" s="28">
        <f t="shared" si="8"/>
        <v>1.1367346938775511</v>
      </c>
    </row>
    <row r="149" spans="1:21" x14ac:dyDescent="0.25">
      <c r="B149" s="9"/>
      <c r="C149" s="17">
        <v>1051.430664</v>
      </c>
      <c r="D149" s="18">
        <v>29.625</v>
      </c>
      <c r="E149" s="18">
        <v>35.744999999999997</v>
      </c>
      <c r="F149" s="18">
        <v>36.15</v>
      </c>
      <c r="G149" s="18">
        <v>107.87</v>
      </c>
      <c r="H149" s="18">
        <f t="shared" si="6"/>
        <v>31.205625000000001</v>
      </c>
      <c r="I149" s="5"/>
      <c r="J149" s="17">
        <v>1001.5568</v>
      </c>
      <c r="K149" s="18">
        <v>30.919499999999999</v>
      </c>
      <c r="L149" s="18">
        <v>37.006100000000004</v>
      </c>
      <c r="M149" s="18">
        <v>38.143700000000003</v>
      </c>
      <c r="N149" s="18">
        <v>235.7379</v>
      </c>
      <c r="O149" s="18">
        <f t="shared" si="7"/>
        <v>32.583350000000003</v>
      </c>
      <c r="P149" s="7"/>
      <c r="Q149" s="10"/>
      <c r="R149" s="11"/>
      <c r="S149" s="11"/>
      <c r="T149" s="26"/>
      <c r="U149" s="28">
        <f t="shared" si="8"/>
        <v>1.1853888940391211</v>
      </c>
    </row>
    <row r="150" spans="1:21" ht="16.5" thickBot="1" x14ac:dyDescent="0.3">
      <c r="B150" s="12"/>
      <c r="C150" s="19">
        <v>845.1796875</v>
      </c>
      <c r="D150" s="20">
        <v>28.719000000000001</v>
      </c>
      <c r="E150" s="20">
        <v>35.008000000000003</v>
      </c>
      <c r="F150" s="20">
        <v>35.075000000000003</v>
      </c>
      <c r="G150" s="20">
        <v>107.99</v>
      </c>
      <c r="H150" s="20">
        <f t="shared" si="6"/>
        <v>30.299625000000006</v>
      </c>
      <c r="I150" s="5"/>
      <c r="J150" s="19">
        <v>600.10879999999997</v>
      </c>
      <c r="K150" s="20">
        <v>29.091000000000001</v>
      </c>
      <c r="L150" s="20">
        <v>36.284599999999998</v>
      </c>
      <c r="M150" s="20">
        <v>36.968800000000002</v>
      </c>
      <c r="N150" s="20">
        <v>262.74299999999999</v>
      </c>
      <c r="O150" s="20">
        <f t="shared" si="7"/>
        <v>30.974924999999999</v>
      </c>
      <c r="P150" s="7"/>
      <c r="Q150" s="13"/>
      <c r="R150" s="14"/>
      <c r="S150" s="14"/>
      <c r="T150" s="27"/>
      <c r="U150" s="28">
        <f t="shared" si="8"/>
        <v>1.433030836188536</v>
      </c>
    </row>
    <row r="151" spans="1:21" x14ac:dyDescent="0.25">
      <c r="B151" s="6" t="s">
        <v>51</v>
      </c>
      <c r="C151" s="29">
        <v>2488.053711</v>
      </c>
      <c r="D151" s="30">
        <v>32.409999999999997</v>
      </c>
      <c r="E151" s="30">
        <v>38.899000000000001</v>
      </c>
      <c r="F151" s="30">
        <v>37.981999999999999</v>
      </c>
      <c r="G151" s="16">
        <v>86.3</v>
      </c>
      <c r="H151" s="16">
        <f t="shared" si="6"/>
        <v>33.917625000000001</v>
      </c>
      <c r="I151" s="5"/>
      <c r="J151" s="29">
        <v>2416.1648</v>
      </c>
      <c r="K151" s="30">
        <v>33.7254</v>
      </c>
      <c r="L151" s="30">
        <v>40.179299999999998</v>
      </c>
      <c r="M151" s="30">
        <v>39.728000000000002</v>
      </c>
      <c r="N151" s="16">
        <v>165.18</v>
      </c>
      <c r="O151" s="16">
        <f t="shared" si="7"/>
        <v>35.282462500000001</v>
      </c>
      <c r="P151" s="7"/>
      <c r="Q151" s="8">
        <f>bdrate(C151:C154,D151:D154,J151:J154,K151:K154)</f>
        <v>-0.37787743923779427</v>
      </c>
      <c r="R151" s="8">
        <f>bdrate(C151:C154,E151:E154,J151:J154,L151:L154)</f>
        <v>-0.53324897384811931</v>
      </c>
      <c r="S151" s="8">
        <f>bdrate(C151:C154,F151:F154,J151:J154,M151:M154)</f>
        <v>-0.55449550941096448</v>
      </c>
      <c r="T151" s="25">
        <f>bdrate(C151:C154,H151:H154,J151:J154,O151:O154)</f>
        <v>-0.41810228966243457</v>
      </c>
      <c r="U151" s="28">
        <f t="shared" si="8"/>
        <v>0.91402085747392825</v>
      </c>
    </row>
    <row r="152" spans="1:21" x14ac:dyDescent="0.25">
      <c r="B152" s="9"/>
      <c r="C152" s="31">
        <v>1708.2851559999999</v>
      </c>
      <c r="D152" s="32">
        <v>30.864000000000001</v>
      </c>
      <c r="E152" s="32">
        <v>37.722000000000001</v>
      </c>
      <c r="F152" s="32">
        <v>36.600999999999999</v>
      </c>
      <c r="G152" s="18">
        <v>100.16</v>
      </c>
      <c r="H152" s="18">
        <f t="shared" si="6"/>
        <v>32.438375000000001</v>
      </c>
      <c r="I152" s="5"/>
      <c r="J152" s="31">
        <v>1609.1464000000001</v>
      </c>
      <c r="K152" s="32">
        <v>32.299700000000001</v>
      </c>
      <c r="L152" s="32">
        <v>39.401600000000002</v>
      </c>
      <c r="M152" s="32">
        <v>38.732300000000002</v>
      </c>
      <c r="N152" s="18">
        <v>187.40629999999999</v>
      </c>
      <c r="O152" s="18">
        <f t="shared" si="7"/>
        <v>33.991512499999999</v>
      </c>
      <c r="P152" s="7"/>
      <c r="Q152" s="10"/>
      <c r="R152" s="11"/>
      <c r="S152" s="11"/>
      <c r="T152" s="26"/>
      <c r="U152" s="28">
        <f t="shared" si="8"/>
        <v>0.87106928913738013</v>
      </c>
    </row>
    <row r="153" spans="1:21" x14ac:dyDescent="0.25">
      <c r="B153" s="9"/>
      <c r="C153" s="31">
        <v>1283.7607419999999</v>
      </c>
      <c r="D153" s="32">
        <v>29.390999999999998</v>
      </c>
      <c r="E153" s="32">
        <v>36.673000000000002</v>
      </c>
      <c r="F153" s="32">
        <v>35.308</v>
      </c>
      <c r="G153" s="18">
        <v>109.8</v>
      </c>
      <c r="H153" s="18">
        <f t="shared" si="6"/>
        <v>31.040875</v>
      </c>
      <c r="I153" s="5"/>
      <c r="J153" s="31">
        <v>1001.1752</v>
      </c>
      <c r="K153" s="32">
        <v>30.5182</v>
      </c>
      <c r="L153" s="32">
        <v>38.3553</v>
      </c>
      <c r="M153" s="32">
        <v>37.5075</v>
      </c>
      <c r="N153" s="18">
        <v>213.67519999999999</v>
      </c>
      <c r="O153" s="18">
        <f t="shared" si="7"/>
        <v>32.371499999999997</v>
      </c>
      <c r="P153" s="7"/>
      <c r="Q153" s="10"/>
      <c r="R153" s="11"/>
      <c r="S153" s="11"/>
      <c r="T153" s="26"/>
      <c r="U153" s="28">
        <f t="shared" si="8"/>
        <v>0.9460400728597449</v>
      </c>
    </row>
    <row r="154" spans="1:21" ht="16.5" thickBot="1" x14ac:dyDescent="0.3">
      <c r="B154" s="12"/>
      <c r="C154" s="33">
        <v>1074.140625</v>
      </c>
      <c r="D154" s="34">
        <v>28.733000000000001</v>
      </c>
      <c r="E154" s="34">
        <v>35.667000000000002</v>
      </c>
      <c r="F154" s="34">
        <v>34.465000000000003</v>
      </c>
      <c r="G154" s="20">
        <v>109.13</v>
      </c>
      <c r="H154" s="20">
        <f t="shared" si="6"/>
        <v>30.31625</v>
      </c>
      <c r="I154" s="5"/>
      <c r="J154" s="33">
        <v>599.34400000000005</v>
      </c>
      <c r="K154" s="34">
        <v>28.6051</v>
      </c>
      <c r="L154" s="34">
        <v>36.97</v>
      </c>
      <c r="M154" s="34">
        <v>35.814500000000002</v>
      </c>
      <c r="N154" s="20">
        <v>240.9639</v>
      </c>
      <c r="O154" s="20">
        <f t="shared" si="7"/>
        <v>30.551887500000003</v>
      </c>
      <c r="P154" s="7"/>
      <c r="Q154" s="13"/>
      <c r="R154" s="14"/>
      <c r="S154" s="14"/>
      <c r="T154" s="27"/>
      <c r="U154" s="28">
        <f t="shared" si="8"/>
        <v>1.2080445340419683</v>
      </c>
    </row>
    <row r="155" spans="1:21" x14ac:dyDescent="0.25">
      <c r="B155" s="6" t="s">
        <v>52</v>
      </c>
      <c r="C155" s="15">
        <v>2999.4423830000001</v>
      </c>
      <c r="D155" s="16">
        <v>31.907</v>
      </c>
      <c r="E155" s="16">
        <v>38.835000000000001</v>
      </c>
      <c r="F155" s="16">
        <v>41.375</v>
      </c>
      <c r="G155" s="16">
        <v>92.29</v>
      </c>
      <c r="H155" s="16">
        <f t="shared" si="6"/>
        <v>33.956500000000005</v>
      </c>
      <c r="I155" s="5"/>
      <c r="J155" s="15">
        <v>2410.7559999999999</v>
      </c>
      <c r="K155" s="16">
        <v>33.329700000000003</v>
      </c>
      <c r="L155" s="16">
        <v>39.746600000000001</v>
      </c>
      <c r="M155" s="16">
        <v>42.285499999999999</v>
      </c>
      <c r="N155" s="16">
        <v>198.2816</v>
      </c>
      <c r="O155" s="16">
        <f t="shared" si="7"/>
        <v>35.251287500000004</v>
      </c>
      <c r="P155" s="7"/>
      <c r="Q155" s="8">
        <f>bdrate(C155:C158,D155:D158,J155:J158,K155:K158)</f>
        <v>-0.55910751202925957</v>
      </c>
      <c r="R155" s="8">
        <f>bdrate(C155:C158,E155:E158,J155:J158,L155:L158)</f>
        <v>-0.60508192493190105</v>
      </c>
      <c r="S155" s="8">
        <f>bdrate(C155:C158,F155:F158,J155:J158,M155:M158)</f>
        <v>-0.60422268779801747</v>
      </c>
      <c r="T155" s="25">
        <f>bdrate(C155:C158,H155:H158,J155:J158,O155:O158)</f>
        <v>-0.56804072242673542</v>
      </c>
      <c r="U155" s="28">
        <f t="shared" si="8"/>
        <v>1.1484624553039331</v>
      </c>
    </row>
    <row r="156" spans="1:21" x14ac:dyDescent="0.25">
      <c r="B156" s="9"/>
      <c r="C156" s="17">
        <v>2042.165039</v>
      </c>
      <c r="D156" s="18">
        <v>31.126000000000001</v>
      </c>
      <c r="E156" s="18">
        <v>38.286999999999999</v>
      </c>
      <c r="F156" s="18">
        <v>40.834000000000003</v>
      </c>
      <c r="G156" s="18">
        <v>103.1</v>
      </c>
      <c r="H156" s="18">
        <f t="shared" si="6"/>
        <v>33.234625000000001</v>
      </c>
      <c r="I156" s="5"/>
      <c r="J156" s="17">
        <v>1610.8327999999999</v>
      </c>
      <c r="K156" s="18">
        <v>32.604900000000001</v>
      </c>
      <c r="L156" s="18">
        <v>39.2639</v>
      </c>
      <c r="M156" s="18">
        <v>41.827599999999997</v>
      </c>
      <c r="N156" s="18">
        <v>217.3126</v>
      </c>
      <c r="O156" s="18">
        <f t="shared" si="7"/>
        <v>34.590112500000004</v>
      </c>
      <c r="P156" s="7"/>
      <c r="Q156" s="10"/>
      <c r="R156" s="11"/>
      <c r="S156" s="11"/>
      <c r="T156" s="26"/>
      <c r="U156" s="28">
        <f t="shared" si="8"/>
        <v>1.1077846750727451</v>
      </c>
    </row>
    <row r="157" spans="1:21" x14ac:dyDescent="0.25">
      <c r="B157" s="9"/>
      <c r="C157" s="17">
        <v>1275.4882809999999</v>
      </c>
      <c r="D157" s="18">
        <v>29.904</v>
      </c>
      <c r="E157" s="18">
        <v>37.54</v>
      </c>
      <c r="F157" s="18">
        <v>40.036999999999999</v>
      </c>
      <c r="G157" s="18">
        <v>112.32</v>
      </c>
      <c r="H157" s="18">
        <f t="shared" si="6"/>
        <v>32.125124999999997</v>
      </c>
      <c r="I157" s="5"/>
      <c r="J157" s="17">
        <v>1020.504</v>
      </c>
      <c r="K157" s="18">
        <v>31.482500000000002</v>
      </c>
      <c r="L157" s="18">
        <v>38.567399999999999</v>
      </c>
      <c r="M157" s="18">
        <v>41.113100000000003</v>
      </c>
      <c r="N157" s="18">
        <v>237.34180000000001</v>
      </c>
      <c r="O157" s="18">
        <f t="shared" si="7"/>
        <v>33.571937500000004</v>
      </c>
      <c r="P157" s="7"/>
      <c r="Q157" s="10"/>
      <c r="R157" s="11"/>
      <c r="S157" s="11"/>
      <c r="T157" s="26"/>
      <c r="U157" s="28">
        <f t="shared" si="8"/>
        <v>1.1130858262108263</v>
      </c>
    </row>
    <row r="158" spans="1:21" ht="16.5" thickBot="1" x14ac:dyDescent="0.3">
      <c r="B158" s="12"/>
      <c r="C158" s="19">
        <v>875.73828130000004</v>
      </c>
      <c r="D158" s="20">
        <v>28.49</v>
      </c>
      <c r="E158" s="20">
        <v>36.945999999999998</v>
      </c>
      <c r="F158" s="20">
        <v>39.24</v>
      </c>
      <c r="G158" s="20">
        <v>126.35</v>
      </c>
      <c r="H158" s="20">
        <f t="shared" si="6"/>
        <v>30.890750000000001</v>
      </c>
      <c r="I158" s="5"/>
      <c r="J158" s="19">
        <v>602.26800000000003</v>
      </c>
      <c r="K158" s="20">
        <v>29.941800000000001</v>
      </c>
      <c r="L158" s="20">
        <v>38.023099999999999</v>
      </c>
      <c r="M158" s="20">
        <v>40.5501</v>
      </c>
      <c r="N158" s="20">
        <v>256.41030000000001</v>
      </c>
      <c r="O158" s="20">
        <f t="shared" si="7"/>
        <v>32.277999999999999</v>
      </c>
      <c r="P158" s="7"/>
      <c r="Q158" s="13"/>
      <c r="R158" s="14"/>
      <c r="S158" s="14"/>
      <c r="T158" s="27"/>
      <c r="U158" s="28">
        <f t="shared" si="8"/>
        <v>1.0293652552433716</v>
      </c>
    </row>
    <row r="159" spans="1:21" x14ac:dyDescent="0.25">
      <c r="A159" s="6" t="s">
        <v>39</v>
      </c>
      <c r="B159" s="6" t="s">
        <v>53</v>
      </c>
      <c r="C159" s="15">
        <v>1244.3066409999999</v>
      </c>
      <c r="D159" s="16">
        <v>33.637999999999998</v>
      </c>
      <c r="E159" s="16">
        <v>37.978999999999999</v>
      </c>
      <c r="F159" s="16">
        <v>37.406999999999996</v>
      </c>
      <c r="G159" s="16">
        <v>248.77</v>
      </c>
      <c r="H159" s="16">
        <f t="shared" si="6"/>
        <v>34.651749999999993</v>
      </c>
      <c r="I159" s="5"/>
      <c r="J159" s="15">
        <v>1208.4536000000001</v>
      </c>
      <c r="K159" s="16">
        <v>34.513199999999998</v>
      </c>
      <c r="L159" s="16">
        <v>38.640700000000002</v>
      </c>
      <c r="M159" s="16">
        <v>38.443800000000003</v>
      </c>
      <c r="N159" s="16">
        <v>696.37879999999996</v>
      </c>
      <c r="O159" s="16">
        <f t="shared" si="7"/>
        <v>35.520462500000001</v>
      </c>
      <c r="P159" s="7"/>
      <c r="Q159" s="8">
        <f>bdrate(C159:C162,D159:D162,J159:J162,K159:K162)</f>
        <v>-0.18446634398889883</v>
      </c>
      <c r="R159" s="8">
        <f>bdrate(C159:C162,E159:E162,J159:J162,L159:L162)</f>
        <v>-0.25604857675415471</v>
      </c>
      <c r="S159" s="8">
        <f>bdrate(C159:C162,F159:F162,J159:J162,M159:M162)</f>
        <v>-0.33943661596923369</v>
      </c>
      <c r="T159" s="25">
        <f>bdrate(C159:C162,H159:H162,J159:J162,O159:O162)</f>
        <v>-0.21193074852899041</v>
      </c>
      <c r="U159" s="28">
        <f t="shared" si="8"/>
        <v>1.7992876954616712</v>
      </c>
    </row>
    <row r="160" spans="1:21" x14ac:dyDescent="0.25">
      <c r="A160" s="9" t="s">
        <v>40</v>
      </c>
      <c r="B160" s="9"/>
      <c r="C160" s="17">
        <v>835.79492189999996</v>
      </c>
      <c r="D160" s="18">
        <v>32.244</v>
      </c>
      <c r="E160" s="18">
        <v>36.884</v>
      </c>
      <c r="F160" s="18">
        <v>36.143000000000001</v>
      </c>
      <c r="G160" s="18">
        <v>296</v>
      </c>
      <c r="H160" s="18">
        <f t="shared" si="6"/>
        <v>33.311374999999998</v>
      </c>
      <c r="I160" s="5"/>
      <c r="J160" s="17">
        <v>806.63840000000005</v>
      </c>
      <c r="K160" s="18">
        <v>32.9739</v>
      </c>
      <c r="L160" s="18">
        <v>37.535800000000002</v>
      </c>
      <c r="M160" s="18">
        <v>37.231000000000002</v>
      </c>
      <c r="N160" s="18">
        <v>822.36839999999995</v>
      </c>
      <c r="O160" s="18">
        <f t="shared" si="7"/>
        <v>34.076275000000003</v>
      </c>
      <c r="P160" s="7"/>
      <c r="Q160" s="10"/>
      <c r="R160" s="11"/>
      <c r="S160" s="11"/>
      <c r="T160" s="26"/>
      <c r="U160" s="28">
        <f t="shared" si="8"/>
        <v>1.7782716216216214</v>
      </c>
    </row>
    <row r="161" spans="1:21" x14ac:dyDescent="0.25">
      <c r="B161" s="9"/>
      <c r="C161" s="17">
        <v>523.65820310000004</v>
      </c>
      <c r="D161" s="18">
        <v>30.579000000000001</v>
      </c>
      <c r="E161" s="18">
        <v>35.462000000000003</v>
      </c>
      <c r="F161" s="18">
        <v>34.598999999999997</v>
      </c>
      <c r="G161" s="18">
        <v>328.9</v>
      </c>
      <c r="H161" s="18">
        <f t="shared" si="6"/>
        <v>31.691874999999996</v>
      </c>
      <c r="I161" s="5"/>
      <c r="J161" s="17">
        <v>503.79039999999998</v>
      </c>
      <c r="K161" s="18">
        <v>31.144500000000001</v>
      </c>
      <c r="L161" s="18">
        <v>36.241999999999997</v>
      </c>
      <c r="M161" s="18">
        <v>35.840800000000002</v>
      </c>
      <c r="N161" s="18">
        <v>915.7509</v>
      </c>
      <c r="O161" s="18">
        <f t="shared" si="7"/>
        <v>32.368724999999998</v>
      </c>
      <c r="P161" s="7"/>
      <c r="Q161" s="10"/>
      <c r="R161" s="11"/>
      <c r="S161" s="11"/>
      <c r="T161" s="26"/>
      <c r="U161" s="28">
        <f t="shared" si="8"/>
        <v>1.7842836728488904</v>
      </c>
    </row>
    <row r="162" spans="1:21" ht="16.5" thickBot="1" x14ac:dyDescent="0.3">
      <c r="B162" s="12"/>
      <c r="C162" s="19">
        <v>327.3515625</v>
      </c>
      <c r="D162" s="20">
        <v>28.786000000000001</v>
      </c>
      <c r="E162" s="20">
        <v>33.835999999999999</v>
      </c>
      <c r="F162" s="20">
        <v>32.923000000000002</v>
      </c>
      <c r="G162" s="20">
        <v>372.32</v>
      </c>
      <c r="H162" s="20">
        <f t="shared" si="6"/>
        <v>29.934375000000003</v>
      </c>
      <c r="I162" s="5"/>
      <c r="J162" s="19">
        <v>303.29759999999999</v>
      </c>
      <c r="K162" s="20">
        <v>29.111999999999998</v>
      </c>
      <c r="L162" s="20">
        <v>34.8872</v>
      </c>
      <c r="M162" s="20">
        <v>34.334299999999999</v>
      </c>
      <c r="N162" s="20">
        <v>1144.1648</v>
      </c>
      <c r="O162" s="20">
        <f t="shared" si="7"/>
        <v>30.486687500000002</v>
      </c>
      <c r="P162" s="7"/>
      <c r="Q162" s="13"/>
      <c r="R162" s="14"/>
      <c r="S162" s="14"/>
      <c r="T162" s="27"/>
      <c r="U162" s="28">
        <f t="shared" si="8"/>
        <v>2.0730683283197253</v>
      </c>
    </row>
    <row r="163" spans="1:21" x14ac:dyDescent="0.25">
      <c r="B163" s="6" t="s">
        <v>54</v>
      </c>
      <c r="C163" s="15">
        <v>1336.654297</v>
      </c>
      <c r="D163" s="16">
        <v>33.154000000000003</v>
      </c>
      <c r="E163" s="16">
        <v>39.097000000000001</v>
      </c>
      <c r="F163" s="16">
        <v>39.798000000000002</v>
      </c>
      <c r="G163" s="16">
        <v>249.22</v>
      </c>
      <c r="H163" s="16">
        <f t="shared" si="6"/>
        <v>34.727375000000009</v>
      </c>
      <c r="I163" s="5"/>
      <c r="J163" s="15">
        <v>1236.0871999999999</v>
      </c>
      <c r="K163" s="16">
        <v>34.782800000000002</v>
      </c>
      <c r="L163" s="16">
        <v>40.318399999999997</v>
      </c>
      <c r="M163" s="16">
        <v>41.155700000000003</v>
      </c>
      <c r="N163" s="16">
        <v>686.49890000000005</v>
      </c>
      <c r="O163" s="16">
        <f t="shared" si="7"/>
        <v>36.271362500000002</v>
      </c>
      <c r="P163" s="7"/>
      <c r="Q163" s="8">
        <f>bdrate(C163:C166,D163:D166,J163:J166,K163:K166)</f>
        <v>-0.36043082142459348</v>
      </c>
      <c r="R163" s="8">
        <f>bdrate(C163:C166,E163:E166,J163:J166,L163:L166)</f>
        <v>-0.48594345706445541</v>
      </c>
      <c r="S163" s="8">
        <f>bdrate(C163:C166,F163:F166,J163:J166,M163:M166)</f>
        <v>-0.4898727286301261</v>
      </c>
      <c r="T163" s="25">
        <f>bdrate(C163:C166,H163:H166,J163:J166,O163:O166)</f>
        <v>-0.38668175888387346</v>
      </c>
      <c r="U163" s="28">
        <f t="shared" si="8"/>
        <v>1.7545899205521227</v>
      </c>
    </row>
    <row r="164" spans="1:21" x14ac:dyDescent="0.25">
      <c r="B164" s="9"/>
      <c r="C164" s="17">
        <v>905.265625</v>
      </c>
      <c r="D164" s="18">
        <v>31.795999999999999</v>
      </c>
      <c r="E164" s="18">
        <v>38.158000000000001</v>
      </c>
      <c r="F164" s="18">
        <v>38.695</v>
      </c>
      <c r="G164" s="18">
        <v>290.29000000000002</v>
      </c>
      <c r="H164" s="18">
        <f t="shared" si="6"/>
        <v>33.453625000000002</v>
      </c>
      <c r="I164" s="5"/>
      <c r="J164" s="17">
        <v>824.68719999999996</v>
      </c>
      <c r="K164" s="18">
        <v>33.2453</v>
      </c>
      <c r="L164" s="18">
        <v>39.406799999999997</v>
      </c>
      <c r="M164" s="18">
        <v>40.116900000000001</v>
      </c>
      <c r="N164" s="18">
        <v>785.34029999999996</v>
      </c>
      <c r="O164" s="18">
        <f t="shared" si="7"/>
        <v>34.874437499999999</v>
      </c>
      <c r="P164" s="7"/>
      <c r="Q164" s="10"/>
      <c r="R164" s="11"/>
      <c r="S164" s="11"/>
      <c r="T164" s="26"/>
      <c r="U164" s="28">
        <f t="shared" si="8"/>
        <v>1.705364635364635</v>
      </c>
    </row>
    <row r="165" spans="1:21" x14ac:dyDescent="0.25">
      <c r="B165" s="9"/>
      <c r="C165" s="17">
        <v>581.72265630000004</v>
      </c>
      <c r="D165" s="18">
        <v>30.183</v>
      </c>
      <c r="E165" s="18">
        <v>36.997</v>
      </c>
      <c r="F165" s="18">
        <v>37.408999999999999</v>
      </c>
      <c r="G165" s="18">
        <v>315.51</v>
      </c>
      <c r="H165" s="18">
        <f t="shared" si="6"/>
        <v>31.938000000000002</v>
      </c>
      <c r="I165" s="5"/>
      <c r="J165" s="17">
        <v>514.37279999999998</v>
      </c>
      <c r="K165" s="18">
        <v>31.360900000000001</v>
      </c>
      <c r="L165" s="18">
        <v>38.353000000000002</v>
      </c>
      <c r="M165" s="18">
        <v>38.955500000000001</v>
      </c>
      <c r="N165" s="18">
        <v>817.43870000000004</v>
      </c>
      <c r="O165" s="18">
        <f t="shared" si="7"/>
        <v>33.184237500000002</v>
      </c>
      <c r="P165" s="7"/>
      <c r="Q165" s="10"/>
      <c r="R165" s="11"/>
      <c r="S165" s="11"/>
      <c r="T165" s="26"/>
      <c r="U165" s="28">
        <f t="shared" si="8"/>
        <v>1.5908487845076227</v>
      </c>
    </row>
    <row r="166" spans="1:21" ht="16.5" thickBot="1" x14ac:dyDescent="0.3">
      <c r="B166" s="12"/>
      <c r="C166" s="19">
        <v>403.4052734</v>
      </c>
      <c r="D166" s="20">
        <v>28.648</v>
      </c>
      <c r="E166" s="20">
        <v>36.042000000000002</v>
      </c>
      <c r="F166" s="20">
        <v>36.325000000000003</v>
      </c>
      <c r="G166" s="20">
        <v>345.25</v>
      </c>
      <c r="H166" s="20">
        <f t="shared" si="6"/>
        <v>30.531874999999999</v>
      </c>
      <c r="I166" s="5"/>
      <c r="J166" s="19">
        <v>308.2072</v>
      </c>
      <c r="K166" s="20">
        <v>29.313800000000001</v>
      </c>
      <c r="L166" s="20">
        <v>37.307899999999997</v>
      </c>
      <c r="M166" s="20">
        <v>37.756100000000004</v>
      </c>
      <c r="N166" s="20">
        <v>1098.9011</v>
      </c>
      <c r="O166" s="20">
        <f t="shared" si="7"/>
        <v>31.36835</v>
      </c>
      <c r="P166" s="7"/>
      <c r="Q166" s="13"/>
      <c r="R166" s="14"/>
      <c r="S166" s="14"/>
      <c r="T166" s="27"/>
      <c r="U166" s="28">
        <f t="shared" si="8"/>
        <v>2.1829141202027516</v>
      </c>
    </row>
    <row r="167" spans="1:21" x14ac:dyDescent="0.25">
      <c r="B167" s="6" t="s">
        <v>55</v>
      </c>
      <c r="C167" s="15">
        <v>1333.673828</v>
      </c>
      <c r="D167" s="16">
        <v>28.565000000000001</v>
      </c>
      <c r="E167" s="16">
        <v>35.481999999999999</v>
      </c>
      <c r="F167" s="16">
        <v>36.281999999999996</v>
      </c>
      <c r="G167" s="16">
        <v>209.24</v>
      </c>
      <c r="H167" s="16">
        <f t="shared" si="6"/>
        <v>30.39425</v>
      </c>
      <c r="I167" s="5"/>
      <c r="J167" s="15">
        <v>1217.8096</v>
      </c>
      <c r="K167" s="16">
        <v>29.919799999999999</v>
      </c>
      <c r="L167" s="16">
        <v>36.532600000000002</v>
      </c>
      <c r="M167" s="16">
        <v>37.337600000000002</v>
      </c>
      <c r="N167" s="16">
        <v>616.52279999999996</v>
      </c>
      <c r="O167" s="16">
        <f t="shared" si="7"/>
        <v>31.673625000000001</v>
      </c>
      <c r="P167" s="7"/>
      <c r="Q167" s="8">
        <f>bdrate(C167:C170,D167:D170,J167:J170,K167:K170)</f>
        <v>-0.35421073863677865</v>
      </c>
      <c r="R167" s="8">
        <f>bdrate(C167:C170,E167:E170,J167:J170,L167:L170)</f>
        <v>-0.49841424590649774</v>
      </c>
      <c r="S167" s="8">
        <f>bdrate(C167:C170,F167:F170,J167:J170,M167:M170)</f>
        <v>-0.47370955158330963</v>
      </c>
      <c r="T167" s="25">
        <f>bdrate(C167:C170,H167:H170,J167:J170,O167:O170)</f>
        <v>-0.38190982800822215</v>
      </c>
      <c r="U167" s="28">
        <f t="shared" si="8"/>
        <v>1.9464863314853753</v>
      </c>
    </row>
    <row r="168" spans="1:21" x14ac:dyDescent="0.25">
      <c r="B168" s="9"/>
      <c r="C168" s="17">
        <v>918.98828130000004</v>
      </c>
      <c r="D168" s="18">
        <v>27.55</v>
      </c>
      <c r="E168" s="18">
        <v>34.767000000000003</v>
      </c>
      <c r="F168" s="18">
        <v>35.558999999999997</v>
      </c>
      <c r="G168" s="18">
        <v>242.84</v>
      </c>
      <c r="H168" s="18">
        <f t="shared" si="6"/>
        <v>29.453250000000001</v>
      </c>
      <c r="I168" s="5"/>
      <c r="J168" s="17">
        <v>809.85519999999997</v>
      </c>
      <c r="K168" s="18">
        <v>28.5776</v>
      </c>
      <c r="L168" s="18">
        <v>35.7577</v>
      </c>
      <c r="M168" s="18">
        <v>36.514200000000002</v>
      </c>
      <c r="N168" s="18">
        <v>745.15650000000005</v>
      </c>
      <c r="O168" s="18">
        <f t="shared" si="7"/>
        <v>30.467187500000001</v>
      </c>
      <c r="P168" s="7"/>
      <c r="Q168" s="10"/>
      <c r="R168" s="11"/>
      <c r="S168" s="11"/>
      <c r="T168" s="26"/>
      <c r="U168" s="28">
        <f t="shared" si="8"/>
        <v>2.068508071157964</v>
      </c>
    </row>
    <row r="169" spans="1:21" x14ac:dyDescent="0.25">
      <c r="B169" s="9"/>
      <c r="C169" s="17">
        <v>580.72167969999998</v>
      </c>
      <c r="D169" s="18">
        <v>26.35</v>
      </c>
      <c r="E169" s="18">
        <v>33.886000000000003</v>
      </c>
      <c r="F169" s="18">
        <v>34.607999999999997</v>
      </c>
      <c r="G169" s="18">
        <v>265.13</v>
      </c>
      <c r="H169" s="18">
        <f t="shared" si="6"/>
        <v>28.324250000000003</v>
      </c>
      <c r="I169" s="5"/>
      <c r="J169" s="17">
        <v>508.80799999999999</v>
      </c>
      <c r="K169" s="18">
        <v>27.1465</v>
      </c>
      <c r="L169" s="18">
        <v>34.926400000000001</v>
      </c>
      <c r="M169" s="18">
        <v>35.624699999999997</v>
      </c>
      <c r="N169" s="18">
        <v>889.67970000000003</v>
      </c>
      <c r="O169" s="18">
        <f t="shared" si="7"/>
        <v>29.178762499999998</v>
      </c>
      <c r="P169" s="7"/>
      <c r="Q169" s="10"/>
      <c r="R169" s="11"/>
      <c r="S169" s="11"/>
      <c r="T169" s="26"/>
      <c r="U169" s="28">
        <f t="shared" si="8"/>
        <v>2.3556357258703278</v>
      </c>
    </row>
    <row r="170" spans="1:21" ht="16.5" thickBot="1" x14ac:dyDescent="0.3">
      <c r="B170" s="12"/>
      <c r="C170" s="19">
        <v>392.04296879999998</v>
      </c>
      <c r="D170" s="20">
        <v>25.327000000000002</v>
      </c>
      <c r="E170" s="20">
        <v>33.094000000000001</v>
      </c>
      <c r="F170" s="20">
        <v>33.783999999999999</v>
      </c>
      <c r="G170" s="20">
        <v>284.25</v>
      </c>
      <c r="H170" s="20">
        <f t="shared" si="6"/>
        <v>27.355</v>
      </c>
      <c r="I170" s="5"/>
      <c r="J170" s="19">
        <v>305.80239999999998</v>
      </c>
      <c r="K170" s="20">
        <v>25.6599</v>
      </c>
      <c r="L170" s="20">
        <v>34.107900000000001</v>
      </c>
      <c r="M170" s="20">
        <v>34.7517</v>
      </c>
      <c r="N170" s="20">
        <v>1068.3761</v>
      </c>
      <c r="O170" s="20">
        <f t="shared" si="7"/>
        <v>27.852375000000002</v>
      </c>
      <c r="P170" s="7"/>
      <c r="Q170" s="13"/>
      <c r="R170" s="14"/>
      <c r="S170" s="14"/>
      <c r="T170" s="27"/>
      <c r="U170" s="28">
        <f t="shared" si="8"/>
        <v>2.7585790677220756</v>
      </c>
    </row>
    <row r="171" spans="1:21" x14ac:dyDescent="0.25">
      <c r="B171" s="6" t="s">
        <v>56</v>
      </c>
      <c r="C171" s="15">
        <v>1308.8935550000001</v>
      </c>
      <c r="D171" s="16">
        <v>31.594000000000001</v>
      </c>
      <c r="E171" s="16">
        <v>35.904000000000003</v>
      </c>
      <c r="F171" s="16">
        <v>37.564</v>
      </c>
      <c r="G171" s="16">
        <v>185.71</v>
      </c>
      <c r="H171" s="16">
        <f t="shared" si="6"/>
        <v>32.879000000000005</v>
      </c>
      <c r="I171" s="5"/>
      <c r="J171" s="15">
        <v>1207.212</v>
      </c>
      <c r="K171" s="16">
        <v>31.835999999999999</v>
      </c>
      <c r="L171" s="16">
        <v>36.6038</v>
      </c>
      <c r="M171" s="16">
        <v>38.166200000000003</v>
      </c>
      <c r="N171" s="16">
        <v>480.76920000000001</v>
      </c>
      <c r="O171" s="16">
        <f t="shared" si="7"/>
        <v>33.22325</v>
      </c>
      <c r="P171" s="7"/>
      <c r="Q171" s="8">
        <f>bdrate(C171:C174,D171:D174,J171:J174,K171:K174)</f>
        <v>-0.13424400044900031</v>
      </c>
      <c r="R171" s="8">
        <f>bdrate(C171:C174,E171:E174,J171:J174,L171:L174)</f>
        <v>-0.42552965610292615</v>
      </c>
      <c r="S171" s="8">
        <f>bdrate(C171:C174,F171:F174,J171:J174,M171:M174)</f>
        <v>-0.40614180106775233</v>
      </c>
      <c r="T171" s="25">
        <f>bdrate(C171:C174,H171:H174,J171:J174,O171:O174)</f>
        <v>-0.19856620755926657</v>
      </c>
      <c r="U171" s="28">
        <f t="shared" si="8"/>
        <v>1.5888169726993702</v>
      </c>
    </row>
    <row r="172" spans="1:21" x14ac:dyDescent="0.25">
      <c r="B172" s="9"/>
      <c r="C172" s="17">
        <v>933.37109380000004</v>
      </c>
      <c r="D172" s="18">
        <v>30.411999999999999</v>
      </c>
      <c r="E172" s="18">
        <v>35.036000000000001</v>
      </c>
      <c r="F172" s="18">
        <v>36.648000000000003</v>
      </c>
      <c r="G172" s="18">
        <v>210.84</v>
      </c>
      <c r="H172" s="18">
        <f t="shared" si="6"/>
        <v>31.769499999999997</v>
      </c>
      <c r="I172" s="5"/>
      <c r="J172" s="17">
        <v>803.23599999999999</v>
      </c>
      <c r="K172" s="18">
        <v>30.3721</v>
      </c>
      <c r="L172" s="18">
        <v>35.762</v>
      </c>
      <c r="M172" s="18">
        <v>37.323999999999998</v>
      </c>
      <c r="N172" s="18">
        <v>582.52430000000004</v>
      </c>
      <c r="O172" s="18">
        <f t="shared" si="7"/>
        <v>31.914825</v>
      </c>
      <c r="P172" s="7"/>
      <c r="Q172" s="10"/>
      <c r="R172" s="11"/>
      <c r="S172" s="11"/>
      <c r="T172" s="26"/>
      <c r="U172" s="28">
        <f t="shared" si="8"/>
        <v>1.762873743122747</v>
      </c>
    </row>
    <row r="173" spans="1:21" x14ac:dyDescent="0.25">
      <c r="B173" s="9"/>
      <c r="C173" s="17">
        <v>614.359375</v>
      </c>
      <c r="D173" s="18">
        <v>29.001000000000001</v>
      </c>
      <c r="E173" s="18">
        <v>33.97</v>
      </c>
      <c r="F173" s="18">
        <v>35.484000000000002</v>
      </c>
      <c r="G173" s="18">
        <v>229.49</v>
      </c>
      <c r="H173" s="18">
        <f t="shared" si="6"/>
        <v>30.432500000000001</v>
      </c>
      <c r="I173" s="5"/>
      <c r="J173" s="17">
        <v>501.7552</v>
      </c>
      <c r="K173" s="18">
        <v>28.7775</v>
      </c>
      <c r="L173" s="18">
        <v>34.881</v>
      </c>
      <c r="M173" s="18">
        <v>36.405299999999997</v>
      </c>
      <c r="N173" s="18">
        <v>686.49890000000005</v>
      </c>
      <c r="O173" s="18">
        <f t="shared" si="7"/>
        <v>30.4939125</v>
      </c>
      <c r="P173" s="7"/>
      <c r="Q173" s="10"/>
      <c r="R173" s="11"/>
      <c r="S173" s="11"/>
      <c r="T173" s="26"/>
      <c r="U173" s="28">
        <f t="shared" si="8"/>
        <v>1.9914109547256962</v>
      </c>
    </row>
    <row r="174" spans="1:21" ht="16.5" thickBot="1" x14ac:dyDescent="0.3">
      <c r="B174" s="12"/>
      <c r="C174" s="19">
        <v>401.12890629999998</v>
      </c>
      <c r="D174" s="20">
        <v>27.507000000000001</v>
      </c>
      <c r="E174" s="20">
        <v>32.868000000000002</v>
      </c>
      <c r="F174" s="20">
        <v>34.167000000000002</v>
      </c>
      <c r="G174" s="20">
        <v>253.49</v>
      </c>
      <c r="H174" s="20">
        <f t="shared" si="6"/>
        <v>29.009625</v>
      </c>
      <c r="I174" s="5"/>
      <c r="J174" s="19">
        <v>299.9504</v>
      </c>
      <c r="K174" s="20">
        <v>27.200800000000001</v>
      </c>
      <c r="L174" s="20">
        <v>33.913200000000003</v>
      </c>
      <c r="M174" s="20">
        <v>35.352699999999999</v>
      </c>
      <c r="N174" s="20">
        <v>835.65459999999996</v>
      </c>
      <c r="O174" s="20">
        <f t="shared" si="7"/>
        <v>29.058837499999999</v>
      </c>
      <c r="P174" s="7"/>
      <c r="Q174" s="13"/>
      <c r="R174" s="14"/>
      <c r="S174" s="14"/>
      <c r="T174" s="27"/>
      <c r="U174" s="28">
        <f t="shared" si="8"/>
        <v>2.2965978934080238</v>
      </c>
    </row>
    <row r="175" spans="1:21" x14ac:dyDescent="0.25">
      <c r="A175" s="6" t="s">
        <v>41</v>
      </c>
      <c r="B175" s="6" t="s">
        <v>57</v>
      </c>
      <c r="C175" s="15">
        <v>609.73339840000006</v>
      </c>
      <c r="D175" s="16">
        <v>32.978000000000002</v>
      </c>
      <c r="E175" s="16">
        <v>38.465000000000003</v>
      </c>
      <c r="F175" s="16">
        <v>36.328000000000003</v>
      </c>
      <c r="G175" s="16">
        <v>485.22</v>
      </c>
      <c r="H175" s="16">
        <f t="shared" si="6"/>
        <v>34.082625</v>
      </c>
      <c r="I175" s="5"/>
      <c r="J175" s="15">
        <v>605.38080000000002</v>
      </c>
      <c r="K175" s="16">
        <v>34.012</v>
      </c>
      <c r="L175" s="16">
        <v>39.433300000000003</v>
      </c>
      <c r="M175" s="16">
        <v>37.883299999999998</v>
      </c>
      <c r="N175" s="16">
        <v>1457.7258999999999</v>
      </c>
      <c r="O175" s="16">
        <f t="shared" si="7"/>
        <v>35.173575</v>
      </c>
      <c r="P175" s="7"/>
      <c r="Q175" s="8">
        <f>bdrate(C175:C178,D175:D178,J175:J178,K175:K178)</f>
        <v>-0.16216109761968234</v>
      </c>
      <c r="R175" s="8">
        <f>bdrate(C175:C178,E175:E178,J175:J178,L175:L178)</f>
        <v>-0.35457958367023146</v>
      </c>
      <c r="S175" s="8">
        <f>bdrate(C175:C178,F175:F178,J175:J178,M175:M178)</f>
        <v>-0.45684614984766048</v>
      </c>
      <c r="T175" s="25">
        <f>bdrate(C175:C178,H175:H178,J175:J178,O175:O178)</f>
        <v>-0.21765164176117213</v>
      </c>
      <c r="U175" s="28">
        <f t="shared" si="8"/>
        <v>2.0042576563208439</v>
      </c>
    </row>
    <row r="176" spans="1:21" x14ac:dyDescent="0.25">
      <c r="A176" s="9" t="s">
        <v>42</v>
      </c>
      <c r="B176" s="9"/>
      <c r="C176" s="17">
        <v>420.05273440000002</v>
      </c>
      <c r="D176" s="18">
        <v>31.484000000000002</v>
      </c>
      <c r="E176" s="18">
        <v>37.445999999999998</v>
      </c>
      <c r="F176" s="18">
        <v>35.133000000000003</v>
      </c>
      <c r="G176" s="18">
        <v>541.07000000000005</v>
      </c>
      <c r="H176" s="18">
        <f t="shared" si="6"/>
        <v>32.685375000000001</v>
      </c>
      <c r="I176" s="5"/>
      <c r="J176" s="17">
        <v>403.81599999999997</v>
      </c>
      <c r="K176" s="18">
        <v>32.216999999999999</v>
      </c>
      <c r="L176" s="18">
        <v>38.3127</v>
      </c>
      <c r="M176" s="18">
        <v>36.631799999999998</v>
      </c>
      <c r="N176" s="18">
        <v>1683.5017</v>
      </c>
      <c r="O176" s="18">
        <f t="shared" si="7"/>
        <v>33.530812499999996</v>
      </c>
      <c r="P176" s="7"/>
      <c r="Q176" s="10"/>
      <c r="R176" s="11"/>
      <c r="S176" s="11"/>
      <c r="T176" s="26"/>
      <c r="U176" s="28">
        <f t="shared" si="8"/>
        <v>2.1114304988263997</v>
      </c>
    </row>
    <row r="177" spans="1:21" x14ac:dyDescent="0.25">
      <c r="B177" s="9"/>
      <c r="C177" s="17">
        <v>265.21679690000002</v>
      </c>
      <c r="D177" s="18">
        <v>29.803000000000001</v>
      </c>
      <c r="E177" s="18">
        <v>36.243000000000002</v>
      </c>
      <c r="F177" s="18">
        <v>33.712000000000003</v>
      </c>
      <c r="G177" s="18">
        <v>584.55999999999995</v>
      </c>
      <c r="H177" s="18">
        <f t="shared" si="6"/>
        <v>31.096625000000003</v>
      </c>
      <c r="I177" s="5"/>
      <c r="J177" s="17">
        <v>253.83760000000001</v>
      </c>
      <c r="K177" s="18">
        <v>30.267900000000001</v>
      </c>
      <c r="L177" s="18">
        <v>37.2318</v>
      </c>
      <c r="M177" s="18">
        <v>35.392200000000003</v>
      </c>
      <c r="N177" s="18">
        <v>2008.0320999999999</v>
      </c>
      <c r="O177" s="18">
        <f t="shared" si="7"/>
        <v>31.778925000000001</v>
      </c>
      <c r="P177" s="7"/>
      <c r="Q177" s="10"/>
      <c r="R177" s="11"/>
      <c r="S177" s="11"/>
      <c r="T177" s="26"/>
      <c r="U177" s="28">
        <f t="shared" si="8"/>
        <v>2.4351171821540989</v>
      </c>
    </row>
    <row r="178" spans="1:21" ht="16.5" thickBot="1" x14ac:dyDescent="0.3">
      <c r="B178" s="12"/>
      <c r="C178" s="19">
        <v>140.16796880000001</v>
      </c>
      <c r="D178" s="20">
        <v>27.504999999999999</v>
      </c>
      <c r="E178" s="20">
        <v>34.497</v>
      </c>
      <c r="F178" s="20">
        <v>31.785</v>
      </c>
      <c r="G178" s="20">
        <v>662.24</v>
      </c>
      <c r="H178" s="20">
        <f t="shared" si="6"/>
        <v>28.913999999999998</v>
      </c>
      <c r="I178" s="5"/>
      <c r="J178" s="19">
        <v>122.11839999999999</v>
      </c>
      <c r="K178" s="20">
        <v>27.457799999999999</v>
      </c>
      <c r="L178" s="20">
        <v>35.641599999999997</v>
      </c>
      <c r="M178" s="20">
        <v>33.434800000000003</v>
      </c>
      <c r="N178" s="20">
        <v>2906.9767000000002</v>
      </c>
      <c r="O178" s="20">
        <f t="shared" si="7"/>
        <v>29.227899999999998</v>
      </c>
      <c r="P178" s="7"/>
      <c r="Q178" s="13"/>
      <c r="R178" s="14"/>
      <c r="S178" s="14"/>
      <c r="T178" s="27"/>
      <c r="U178" s="28">
        <f t="shared" si="8"/>
        <v>3.389612074172506</v>
      </c>
    </row>
    <row r="179" spans="1:21" x14ac:dyDescent="0.25">
      <c r="B179" s="6" t="s">
        <v>58</v>
      </c>
      <c r="C179" s="15">
        <v>643.4921875</v>
      </c>
      <c r="D179" s="16">
        <v>29.710999999999999</v>
      </c>
      <c r="E179" s="16">
        <v>39.936999999999998</v>
      </c>
      <c r="F179" s="16">
        <v>40.688000000000002</v>
      </c>
      <c r="G179" s="16">
        <v>454.72</v>
      </c>
      <c r="H179" s="16">
        <f t="shared" si="6"/>
        <v>32.361374999999995</v>
      </c>
      <c r="I179" s="5"/>
      <c r="J179" s="15">
        <v>599.03520000000003</v>
      </c>
      <c r="K179" s="16">
        <v>33.218200000000003</v>
      </c>
      <c r="L179" s="16">
        <v>41.1678</v>
      </c>
      <c r="M179" s="16">
        <v>41.987900000000003</v>
      </c>
      <c r="N179" s="16">
        <v>1749.2710999999999</v>
      </c>
      <c r="O179" s="16">
        <f t="shared" si="7"/>
        <v>35.308112500000007</v>
      </c>
      <c r="P179" s="7"/>
      <c r="Q179" s="8">
        <f>bdrate(C179:C182,D179:D182,J179:J182,K179:K182)</f>
        <v>-0.65634496254217112</v>
      </c>
      <c r="R179" s="8">
        <f>bdrate(C179:C182,E179:E182,J179:J182,L179:L182)</f>
        <v>-0.45439397682763893</v>
      </c>
      <c r="S179" s="8">
        <f>bdrate(C179:C182,F179:F182,J179:J182,M179:M182)</f>
        <v>-0.46763912625048809</v>
      </c>
      <c r="T179" s="25">
        <f>bdrate(C179:C182,H179:H182,J179:J182,O179:O182)</f>
        <v>-0.62930512753979961</v>
      </c>
      <c r="U179" s="28">
        <f t="shared" si="8"/>
        <v>2.8469192030260375</v>
      </c>
    </row>
    <row r="180" spans="1:21" x14ac:dyDescent="0.25">
      <c r="B180" s="9"/>
      <c r="C180" s="17">
        <v>440.09570309999998</v>
      </c>
      <c r="D180" s="18">
        <v>28.65</v>
      </c>
      <c r="E180" s="18">
        <v>39.241999999999997</v>
      </c>
      <c r="F180" s="18">
        <v>39.906999999999996</v>
      </c>
      <c r="G180" s="18">
        <v>494.8</v>
      </c>
      <c r="H180" s="18">
        <f t="shared" si="6"/>
        <v>31.381124999999997</v>
      </c>
      <c r="I180" s="5"/>
      <c r="J180" s="17">
        <v>399.61200000000002</v>
      </c>
      <c r="K180" s="18">
        <v>31.918099999999999</v>
      </c>
      <c r="L180" s="18">
        <v>40.319899999999997</v>
      </c>
      <c r="M180" s="18">
        <v>41.1586</v>
      </c>
      <c r="N180" s="18">
        <v>2135.2312999999999</v>
      </c>
      <c r="O180" s="18">
        <f t="shared" si="7"/>
        <v>34.1233875</v>
      </c>
      <c r="P180" s="7"/>
      <c r="Q180" s="10"/>
      <c r="R180" s="11"/>
      <c r="S180" s="11"/>
      <c r="T180" s="26"/>
      <c r="U180" s="28">
        <f t="shared" si="8"/>
        <v>3.3153421584478577</v>
      </c>
    </row>
    <row r="181" spans="1:21" x14ac:dyDescent="0.25">
      <c r="B181" s="9"/>
      <c r="C181" s="17">
        <v>282.4755859</v>
      </c>
      <c r="D181" s="18">
        <v>27.529</v>
      </c>
      <c r="E181" s="18">
        <v>38.515999999999998</v>
      </c>
      <c r="F181" s="18">
        <v>39.155000000000001</v>
      </c>
      <c r="G181" s="18">
        <v>523.9</v>
      </c>
      <c r="H181" s="18">
        <f t="shared" si="6"/>
        <v>30.355625</v>
      </c>
      <c r="I181" s="5"/>
      <c r="J181" s="17">
        <v>250.09119999999999</v>
      </c>
      <c r="K181" s="18">
        <v>30.372399999999999</v>
      </c>
      <c r="L181" s="18">
        <v>39.3339</v>
      </c>
      <c r="M181" s="18">
        <v>40.097200000000001</v>
      </c>
      <c r="N181" s="18">
        <v>2564.1026000000002</v>
      </c>
      <c r="O181" s="18">
        <f t="shared" si="7"/>
        <v>32.708187500000001</v>
      </c>
      <c r="P181" s="7"/>
      <c r="Q181" s="10"/>
      <c r="R181" s="11"/>
      <c r="S181" s="11"/>
      <c r="T181" s="26"/>
      <c r="U181" s="28">
        <f t="shared" si="8"/>
        <v>3.8942595915251004</v>
      </c>
    </row>
    <row r="182" spans="1:21" ht="16.5" thickBot="1" x14ac:dyDescent="0.3">
      <c r="B182" s="12"/>
      <c r="C182" s="19">
        <v>139.4697266</v>
      </c>
      <c r="D182" s="20">
        <v>25.553000000000001</v>
      </c>
      <c r="E182" s="20">
        <v>37.496000000000002</v>
      </c>
      <c r="F182" s="20">
        <v>37.646000000000001</v>
      </c>
      <c r="G182" s="20">
        <v>624.13</v>
      </c>
      <c r="H182" s="20">
        <f t="shared" si="6"/>
        <v>28.557500000000005</v>
      </c>
      <c r="I182" s="5"/>
      <c r="J182" s="19">
        <v>119.69759999999999</v>
      </c>
      <c r="K182" s="20">
        <v>27.811900000000001</v>
      </c>
      <c r="L182" s="20">
        <v>38.0779</v>
      </c>
      <c r="M182" s="20">
        <v>38.6357</v>
      </c>
      <c r="N182" s="20">
        <v>2955.665</v>
      </c>
      <c r="O182" s="20">
        <f t="shared" si="7"/>
        <v>30.448124999999997</v>
      </c>
      <c r="P182" s="7"/>
      <c r="Q182" s="13"/>
      <c r="R182" s="14"/>
      <c r="S182" s="14"/>
      <c r="T182" s="27"/>
      <c r="U182" s="28">
        <f t="shared" si="8"/>
        <v>3.7356560331982118</v>
      </c>
    </row>
    <row r="183" spans="1:21" x14ac:dyDescent="0.25">
      <c r="B183" s="6" t="s">
        <v>59</v>
      </c>
      <c r="C183" s="29">
        <v>653.05859380000004</v>
      </c>
      <c r="D183" s="30">
        <v>30.553000000000001</v>
      </c>
      <c r="E183" s="30">
        <v>36.648000000000003</v>
      </c>
      <c r="F183" s="30">
        <v>37.366999999999997</v>
      </c>
      <c r="G183" s="16">
        <v>439.33</v>
      </c>
      <c r="H183" s="16">
        <f t="shared" si="6"/>
        <v>32.166625000000003</v>
      </c>
      <c r="I183" s="5"/>
      <c r="J183" s="29">
        <v>642.44240000000002</v>
      </c>
      <c r="K183" s="30">
        <v>32.835799999999999</v>
      </c>
      <c r="L183" s="30">
        <v>37.982100000000003</v>
      </c>
      <c r="M183" s="30">
        <v>38.734299999999998</v>
      </c>
      <c r="N183" s="16">
        <v>1602.5641000000001</v>
      </c>
      <c r="O183" s="16">
        <f t="shared" si="7"/>
        <v>34.2164</v>
      </c>
      <c r="P183" s="7"/>
      <c r="Q183" s="8">
        <f>bdrate(C183:C186,D183:D186,J183:J186,K183:K186)</f>
        <v>-0.40281218021420839</v>
      </c>
      <c r="R183" s="8">
        <f>bdrate(C183:C186,E183:E186,J183:J186,L183:L186)</f>
        <v>-0.45069202344153514</v>
      </c>
      <c r="S183" s="8">
        <f>bdrate(C183:C186,F183:F186,J183:J186,M183:M186)</f>
        <v>-0.46483050226138756</v>
      </c>
      <c r="T183" s="25">
        <f>bdrate(C183:C186,H183:H186,J183:J186,O183:O186)</f>
        <v>-0.41705303392294113</v>
      </c>
      <c r="U183" s="28">
        <f t="shared" si="8"/>
        <v>2.6477456581612913</v>
      </c>
    </row>
    <row r="184" spans="1:21" x14ac:dyDescent="0.25">
      <c r="B184" s="9"/>
      <c r="C184" s="31">
        <v>445.91015629999998</v>
      </c>
      <c r="D184" s="32">
        <v>29.457000000000001</v>
      </c>
      <c r="E184" s="32">
        <v>35.688000000000002</v>
      </c>
      <c r="F184" s="32">
        <v>36.353999999999999</v>
      </c>
      <c r="G184" s="18">
        <v>492.52</v>
      </c>
      <c r="H184" s="18">
        <f t="shared" si="6"/>
        <v>31.097999999999999</v>
      </c>
      <c r="I184" s="5"/>
      <c r="J184" s="31">
        <v>426.2072</v>
      </c>
      <c r="K184" s="32">
        <v>31.2898</v>
      </c>
      <c r="L184" s="32">
        <v>36.943199999999997</v>
      </c>
      <c r="M184" s="32">
        <v>37.689900000000002</v>
      </c>
      <c r="N184" s="18">
        <v>1779.3594000000001</v>
      </c>
      <c r="O184" s="18">
        <f t="shared" si="7"/>
        <v>32.796487499999998</v>
      </c>
      <c r="P184" s="7"/>
      <c r="Q184" s="10"/>
      <c r="R184" s="11"/>
      <c r="S184" s="11"/>
      <c r="T184" s="26"/>
      <c r="U184" s="28">
        <f t="shared" si="8"/>
        <v>2.6127657760090961</v>
      </c>
    </row>
    <row r="185" spans="1:21" x14ac:dyDescent="0.25">
      <c r="B185" s="9"/>
      <c r="C185" s="31">
        <v>281.88671879999998</v>
      </c>
      <c r="D185" s="32">
        <v>28.251000000000001</v>
      </c>
      <c r="E185" s="32">
        <v>34.637999999999998</v>
      </c>
      <c r="F185" s="32">
        <v>35.256999999999998</v>
      </c>
      <c r="G185" s="18">
        <v>518.61</v>
      </c>
      <c r="H185" s="18">
        <f t="shared" si="6"/>
        <v>29.925125000000001</v>
      </c>
      <c r="I185" s="5"/>
      <c r="J185" s="31">
        <v>263.73039999999997</v>
      </c>
      <c r="K185" s="32">
        <v>29.601400000000002</v>
      </c>
      <c r="L185" s="32">
        <v>35.837200000000003</v>
      </c>
      <c r="M185" s="32">
        <v>36.569299999999998</v>
      </c>
      <c r="N185" s="18">
        <v>2136.7521000000002</v>
      </c>
      <c r="O185" s="18">
        <f t="shared" si="7"/>
        <v>31.251862500000001</v>
      </c>
      <c r="P185" s="7"/>
      <c r="Q185" s="10"/>
      <c r="R185" s="11"/>
      <c r="S185" s="11"/>
      <c r="T185" s="26"/>
      <c r="U185" s="28">
        <f t="shared" si="8"/>
        <v>3.1201521374443222</v>
      </c>
    </row>
    <row r="186" spans="1:21" ht="16.5" thickBot="1" x14ac:dyDescent="0.3">
      <c r="B186" s="12"/>
      <c r="C186" s="33">
        <v>138.57226560000001</v>
      </c>
      <c r="D186" s="34">
        <v>26.454999999999998</v>
      </c>
      <c r="E186" s="34">
        <v>33.122</v>
      </c>
      <c r="F186" s="34">
        <v>33.779000000000003</v>
      </c>
      <c r="G186" s="20">
        <v>582.42999999999995</v>
      </c>
      <c r="H186" s="20">
        <f t="shared" si="6"/>
        <v>28.203874999999996</v>
      </c>
      <c r="I186" s="5"/>
      <c r="J186" s="33">
        <v>128.33760000000001</v>
      </c>
      <c r="K186" s="34">
        <v>27.202999999999999</v>
      </c>
      <c r="L186" s="34">
        <v>34.322699999999998</v>
      </c>
      <c r="M186" s="34">
        <v>35.000900000000001</v>
      </c>
      <c r="N186" s="20">
        <v>2906.9767000000002</v>
      </c>
      <c r="O186" s="20">
        <f t="shared" si="7"/>
        <v>29.067699999999999</v>
      </c>
      <c r="P186" s="7"/>
      <c r="Q186" s="13"/>
      <c r="R186" s="14"/>
      <c r="S186" s="14"/>
      <c r="T186" s="27"/>
      <c r="U186" s="28">
        <f t="shared" si="8"/>
        <v>3.9911177308861161</v>
      </c>
    </row>
    <row r="187" spans="1:21" x14ac:dyDescent="0.25">
      <c r="B187" s="6" t="s">
        <v>60</v>
      </c>
      <c r="C187" s="15">
        <v>614.85351560000004</v>
      </c>
      <c r="D187" s="16">
        <v>32.729999999999997</v>
      </c>
      <c r="E187" s="16">
        <v>36.323999999999998</v>
      </c>
      <c r="F187" s="16">
        <v>37.426000000000002</v>
      </c>
      <c r="G187" s="16">
        <v>381.08</v>
      </c>
      <c r="H187" s="16">
        <f t="shared" si="6"/>
        <v>33.766249999999999</v>
      </c>
      <c r="I187" s="5"/>
      <c r="J187" s="15">
        <v>603.26800000000003</v>
      </c>
      <c r="K187" s="16">
        <v>33.445500000000003</v>
      </c>
      <c r="L187" s="16">
        <v>37.404299999999999</v>
      </c>
      <c r="M187" s="16">
        <v>38.442500000000003</v>
      </c>
      <c r="N187" s="16">
        <v>1067.6157000000001</v>
      </c>
      <c r="O187" s="16">
        <f t="shared" si="7"/>
        <v>34.564975000000004</v>
      </c>
      <c r="P187" s="7"/>
      <c r="Q187" s="8">
        <f>bdrate(C187:C190,D187:D190,J187:J190,K187:K190)</f>
        <v>-0.10998236991919952</v>
      </c>
      <c r="R187" s="8">
        <f>bdrate(C187:C190,E187:E190,J187:J190,L187:L190)</f>
        <v>-0.41453285760084069</v>
      </c>
      <c r="S187" s="8">
        <f>bdrate(C187:C190,F187:F190,J187:J190,M187:M190)</f>
        <v>-0.39233704707727735</v>
      </c>
      <c r="T187" s="25">
        <f>bdrate(C187:C190,H187:H190,J187:J190,O187:O190)</f>
        <v>-0.17632257648860183</v>
      </c>
      <c r="U187" s="28">
        <f t="shared" si="8"/>
        <v>1.8015526923480638</v>
      </c>
    </row>
    <row r="188" spans="1:21" x14ac:dyDescent="0.25">
      <c r="B188" s="9"/>
      <c r="C188" s="17">
        <v>432.26367190000002</v>
      </c>
      <c r="D188" s="18">
        <v>31.355</v>
      </c>
      <c r="E188" s="18">
        <v>35.265999999999998</v>
      </c>
      <c r="F188" s="18">
        <v>36.378</v>
      </c>
      <c r="G188" s="18">
        <v>427.25</v>
      </c>
      <c r="H188" s="18">
        <f t="shared" si="6"/>
        <v>32.47175</v>
      </c>
      <c r="I188" s="5"/>
      <c r="J188" s="17">
        <v>400.8888</v>
      </c>
      <c r="K188" s="18">
        <v>31.555099999999999</v>
      </c>
      <c r="L188" s="18">
        <v>36.328099999999999</v>
      </c>
      <c r="M188" s="18">
        <v>37.392200000000003</v>
      </c>
      <c r="N188" s="18">
        <v>1282.0513000000001</v>
      </c>
      <c r="O188" s="18">
        <f t="shared" si="7"/>
        <v>32.881362500000002</v>
      </c>
      <c r="P188" s="7"/>
      <c r="Q188" s="10"/>
      <c r="R188" s="11"/>
      <c r="S188" s="11"/>
      <c r="T188" s="26"/>
      <c r="U188" s="28">
        <f t="shared" si="8"/>
        <v>2.0007052077238154</v>
      </c>
    </row>
    <row r="189" spans="1:21" x14ac:dyDescent="0.25">
      <c r="B189" s="9"/>
      <c r="C189" s="17">
        <v>289.72070309999998</v>
      </c>
      <c r="D189" s="18">
        <v>29.864000000000001</v>
      </c>
      <c r="E189" s="18">
        <v>34.109000000000002</v>
      </c>
      <c r="F189" s="18">
        <v>35.229999999999997</v>
      </c>
      <c r="G189" s="18">
        <v>453.97</v>
      </c>
      <c r="H189" s="18">
        <f t="shared" si="6"/>
        <v>31.065375</v>
      </c>
      <c r="I189" s="5"/>
      <c r="J189" s="17">
        <v>251.4016</v>
      </c>
      <c r="K189" s="18">
        <v>29.766200000000001</v>
      </c>
      <c r="L189" s="18">
        <v>35.148499999999999</v>
      </c>
      <c r="M189" s="18">
        <v>36.180999999999997</v>
      </c>
      <c r="N189" s="18">
        <v>1604.2781</v>
      </c>
      <c r="O189" s="18">
        <f t="shared" si="7"/>
        <v>31.240837499999998</v>
      </c>
      <c r="P189" s="7"/>
      <c r="Q189" s="10"/>
      <c r="R189" s="11"/>
      <c r="S189" s="11"/>
      <c r="T189" s="26"/>
      <c r="U189" s="28">
        <f t="shared" si="8"/>
        <v>2.5338857193206596</v>
      </c>
    </row>
    <row r="190" spans="1:21" ht="16.5" thickBot="1" x14ac:dyDescent="0.3">
      <c r="B190" s="12"/>
      <c r="C190" s="19">
        <v>147.3662109</v>
      </c>
      <c r="D190" s="20">
        <v>27.623999999999999</v>
      </c>
      <c r="E190" s="20">
        <v>32.369</v>
      </c>
      <c r="F190" s="20">
        <v>33.427999999999997</v>
      </c>
      <c r="G190" s="20">
        <v>507.77</v>
      </c>
      <c r="H190" s="20">
        <f t="shared" si="6"/>
        <v>28.942625</v>
      </c>
      <c r="I190" s="5"/>
      <c r="J190" s="19">
        <v>121.5056</v>
      </c>
      <c r="K190" s="20">
        <v>27.255800000000001</v>
      </c>
      <c r="L190" s="20">
        <v>33.641199999999998</v>
      </c>
      <c r="M190" s="20">
        <v>34.527500000000003</v>
      </c>
      <c r="N190" s="20">
        <v>2419.3548000000001</v>
      </c>
      <c r="O190" s="20">
        <f t="shared" si="7"/>
        <v>28.962937500000002</v>
      </c>
      <c r="P190" s="7"/>
      <c r="Q190" s="13"/>
      <c r="R190" s="14"/>
      <c r="S190" s="14"/>
      <c r="T190" s="27"/>
      <c r="U190" s="28">
        <f t="shared" si="8"/>
        <v>3.7646666797959711</v>
      </c>
    </row>
    <row r="191" spans="1:21" x14ac:dyDescent="0.25">
      <c r="A191" s="6" t="s">
        <v>43</v>
      </c>
      <c r="B191" s="6" t="s">
        <v>61</v>
      </c>
      <c r="C191" s="15">
        <v>1490.1289059999999</v>
      </c>
      <c r="D191" s="16">
        <v>40.040999999999997</v>
      </c>
      <c r="E191" s="16">
        <v>45.264000000000003</v>
      </c>
      <c r="F191" s="16">
        <v>46.469000000000001</v>
      </c>
      <c r="G191" s="16">
        <v>242.02</v>
      </c>
      <c r="H191" s="16">
        <f t="shared" si="6"/>
        <v>41.497374999999998</v>
      </c>
      <c r="I191" s="5"/>
      <c r="J191" s="15">
        <v>1499.9151999999999</v>
      </c>
      <c r="K191" s="16">
        <v>41.126399999999997</v>
      </c>
      <c r="L191" s="16">
        <v>45.6751</v>
      </c>
      <c r="M191" s="16">
        <v>46.859200000000001</v>
      </c>
      <c r="N191" s="16">
        <v>436.99930000000001</v>
      </c>
      <c r="O191" s="16">
        <f t="shared" si="7"/>
        <v>42.411587499999996</v>
      </c>
      <c r="P191" s="7"/>
      <c r="Q191" s="8">
        <f>bdrate(C191:C194,D191:D194,J191:J194,K191:K194)</f>
        <v>-0.27571433661435651</v>
      </c>
      <c r="R191" s="8">
        <f>bdrate(C191:C194,E191:E194,J191:J194,L191:L194)</f>
        <v>-0.17576495137882564</v>
      </c>
      <c r="S191" s="8">
        <f>bdrate(C191:C194,F191:F194,J191:J194,M191:M194)</f>
        <v>-0.18526396440252302</v>
      </c>
      <c r="T191" s="25">
        <f>bdrate(C191:C194,H191:H194,J191:J194,O191:O194)</f>
        <v>-0.25906916513726164</v>
      </c>
      <c r="U191" s="28">
        <f t="shared" si="8"/>
        <v>0.80563300553673245</v>
      </c>
    </row>
    <row r="192" spans="1:21" x14ac:dyDescent="0.25">
      <c r="A192" s="9" t="s">
        <v>44</v>
      </c>
      <c r="B192" s="9"/>
      <c r="C192" s="17">
        <v>997.35449219999998</v>
      </c>
      <c r="D192" s="18">
        <v>38.850999999999999</v>
      </c>
      <c r="E192" s="18">
        <v>44.384999999999998</v>
      </c>
      <c r="F192" s="18">
        <v>45.48</v>
      </c>
      <c r="G192" s="18">
        <v>269.76</v>
      </c>
      <c r="H192" s="18">
        <f t="shared" si="6"/>
        <v>40.371375</v>
      </c>
      <c r="I192" s="5"/>
      <c r="J192" s="17">
        <v>991.87519999999995</v>
      </c>
      <c r="K192" s="18">
        <v>39.963700000000003</v>
      </c>
      <c r="L192" s="18">
        <v>44.723700000000001</v>
      </c>
      <c r="M192" s="18">
        <v>45.8523</v>
      </c>
      <c r="N192" s="18">
        <v>493.01560000000001</v>
      </c>
      <c r="O192" s="18">
        <f t="shared" si="7"/>
        <v>41.294775000000001</v>
      </c>
      <c r="P192" s="7"/>
      <c r="Q192" s="10"/>
      <c r="R192" s="11"/>
      <c r="S192" s="11"/>
      <c r="T192" s="26"/>
      <c r="U192" s="28">
        <f t="shared" si="8"/>
        <v>0.82760824436536184</v>
      </c>
    </row>
    <row r="193" spans="1:21" x14ac:dyDescent="0.25">
      <c r="B193" s="9"/>
      <c r="C193" s="17">
        <v>602.19726560000004</v>
      </c>
      <c r="D193" s="18">
        <v>36.914000000000001</v>
      </c>
      <c r="E193" s="18">
        <v>42.902999999999999</v>
      </c>
      <c r="F193" s="18">
        <v>43.941000000000003</v>
      </c>
      <c r="G193" s="18">
        <v>283.73</v>
      </c>
      <c r="H193" s="18">
        <f t="shared" si="6"/>
        <v>38.540999999999997</v>
      </c>
      <c r="I193" s="5"/>
      <c r="J193" s="17">
        <v>576.10479999999995</v>
      </c>
      <c r="K193" s="18">
        <v>38.019500000000001</v>
      </c>
      <c r="L193" s="18">
        <v>43.292400000000001</v>
      </c>
      <c r="M193" s="18">
        <v>44.410400000000003</v>
      </c>
      <c r="N193" s="18">
        <v>542.00540000000001</v>
      </c>
      <c r="O193" s="18">
        <f t="shared" si="7"/>
        <v>39.477474999999998</v>
      </c>
      <c r="P193" s="7"/>
      <c r="Q193" s="10"/>
      <c r="R193" s="11"/>
      <c r="S193" s="11"/>
      <c r="T193" s="26"/>
      <c r="U193" s="28">
        <f t="shared" si="8"/>
        <v>0.91028583512494265</v>
      </c>
    </row>
    <row r="194" spans="1:21" ht="16.5" thickBot="1" x14ac:dyDescent="0.3">
      <c r="B194" s="12"/>
      <c r="C194" s="19">
        <v>303.734375</v>
      </c>
      <c r="D194" s="20">
        <v>33.518999999999998</v>
      </c>
      <c r="E194" s="20">
        <v>40.491</v>
      </c>
      <c r="F194" s="20">
        <v>41.338999999999999</v>
      </c>
      <c r="G194" s="20">
        <v>311.93</v>
      </c>
      <c r="H194" s="20">
        <f t="shared" si="6"/>
        <v>35.367999999999995</v>
      </c>
      <c r="I194" s="5"/>
      <c r="J194" s="19">
        <v>283.01760000000002</v>
      </c>
      <c r="K194" s="20">
        <v>34.805700000000002</v>
      </c>
      <c r="L194" s="20">
        <v>41.462699999999998</v>
      </c>
      <c r="M194" s="20">
        <v>42.4</v>
      </c>
      <c r="N194" s="20">
        <v>630.25210000000004</v>
      </c>
      <c r="O194" s="20">
        <f t="shared" si="7"/>
        <v>36.587112499999996</v>
      </c>
      <c r="P194" s="7"/>
      <c r="Q194" s="13"/>
      <c r="R194" s="14"/>
      <c r="S194" s="14"/>
      <c r="T194" s="27"/>
      <c r="U194" s="28">
        <f t="shared" si="8"/>
        <v>1.020492097585997</v>
      </c>
    </row>
    <row r="195" spans="1:21" x14ac:dyDescent="0.25">
      <c r="B195" s="6" t="s">
        <v>62</v>
      </c>
      <c r="C195" s="15">
        <v>1484.9375</v>
      </c>
      <c r="D195" s="16">
        <v>41.268000000000001</v>
      </c>
      <c r="E195" s="16">
        <v>47.304000000000002</v>
      </c>
      <c r="F195" s="16">
        <v>47.957999999999998</v>
      </c>
      <c r="G195" s="16">
        <v>203.14</v>
      </c>
      <c r="H195" s="16">
        <f t="shared" si="6"/>
        <v>42.858750000000001</v>
      </c>
      <c r="I195" s="5"/>
      <c r="J195" s="15">
        <v>1492.9784</v>
      </c>
      <c r="K195" s="16">
        <v>42.447200000000002</v>
      </c>
      <c r="L195" s="16">
        <v>47.663600000000002</v>
      </c>
      <c r="M195" s="16">
        <v>48.304299999999998</v>
      </c>
      <c r="N195" s="16">
        <v>447.09390000000002</v>
      </c>
      <c r="O195" s="16">
        <f t="shared" si="7"/>
        <v>43.831387500000005</v>
      </c>
      <c r="P195" s="7"/>
      <c r="Q195" s="8">
        <f>bdrate(C195:C198,D195:D198,J195:J198,K195:K198)</f>
        <v>-0.45439336549904641</v>
      </c>
      <c r="R195" s="8">
        <f>bdrate(C195:C198,E195:E198,J195:J198,L195:L198)</f>
        <v>-0.28685415675195125</v>
      </c>
      <c r="S195" s="8">
        <f>bdrate(C195:C198,F195:F198,J195:J198,M195:M198)</f>
        <v>-0.28322261574740004</v>
      </c>
      <c r="T195" s="25">
        <f>bdrate(C195:C198,H195:H198,J195:J198,O195:O198)</f>
        <v>-0.41736999778267703</v>
      </c>
      <c r="U195" s="28">
        <f t="shared" ref="U195:U246" si="9">(N195-G195)/G195</f>
        <v>1.2009151324209908</v>
      </c>
    </row>
    <row r="196" spans="1:21" x14ac:dyDescent="0.25">
      <c r="B196" s="9"/>
      <c r="C196" s="17">
        <v>995.91015630000004</v>
      </c>
      <c r="D196" s="18">
        <v>40.686999999999998</v>
      </c>
      <c r="E196" s="18">
        <v>46.734000000000002</v>
      </c>
      <c r="F196" s="18">
        <v>47.362000000000002</v>
      </c>
      <c r="G196" s="18">
        <v>246.8</v>
      </c>
      <c r="H196" s="18">
        <f t="shared" si="6"/>
        <v>42.277250000000002</v>
      </c>
      <c r="I196" s="5"/>
      <c r="J196" s="17">
        <v>979.55920000000003</v>
      </c>
      <c r="K196" s="18">
        <v>41.871699999999997</v>
      </c>
      <c r="L196" s="18">
        <v>47.213299999999997</v>
      </c>
      <c r="M196" s="18">
        <v>47.8962</v>
      </c>
      <c r="N196" s="18">
        <v>557.62080000000003</v>
      </c>
      <c r="O196" s="18">
        <f t="shared" si="7"/>
        <v>43.292462499999999</v>
      </c>
      <c r="P196" s="7"/>
      <c r="Q196" s="10"/>
      <c r="R196" s="11"/>
      <c r="S196" s="11"/>
      <c r="T196" s="26"/>
      <c r="U196" s="28">
        <f t="shared" si="9"/>
        <v>1.2594035656401945</v>
      </c>
    </row>
    <row r="197" spans="1:21" x14ac:dyDescent="0.25">
      <c r="B197" s="9"/>
      <c r="C197" s="17">
        <v>607.26953130000004</v>
      </c>
      <c r="D197" s="18">
        <v>39.726999999999997</v>
      </c>
      <c r="E197" s="18">
        <v>45.743000000000002</v>
      </c>
      <c r="F197" s="18">
        <v>46.362000000000002</v>
      </c>
      <c r="G197" s="18">
        <v>263.27999999999997</v>
      </c>
      <c r="H197" s="18">
        <f t="shared" si="6"/>
        <v>41.308374999999998</v>
      </c>
      <c r="I197" s="5"/>
      <c r="J197" s="17">
        <v>580.14080000000001</v>
      </c>
      <c r="K197" s="18">
        <v>40.927799999999998</v>
      </c>
      <c r="L197" s="18">
        <v>46.344499999999996</v>
      </c>
      <c r="M197" s="18">
        <v>46.948999999999998</v>
      </c>
      <c r="N197" s="18">
        <v>610.37639999999999</v>
      </c>
      <c r="O197" s="18">
        <f t="shared" si="7"/>
        <v>42.357537499999999</v>
      </c>
      <c r="P197" s="7"/>
      <c r="Q197" s="10"/>
      <c r="R197" s="11"/>
      <c r="S197" s="11"/>
      <c r="T197" s="26"/>
      <c r="U197" s="28">
        <f t="shared" si="9"/>
        <v>1.3183546034639928</v>
      </c>
    </row>
    <row r="198" spans="1:21" ht="16.5" thickBot="1" x14ac:dyDescent="0.3">
      <c r="B198" s="12"/>
      <c r="C198" s="19">
        <v>304.62109379999998</v>
      </c>
      <c r="D198" s="20">
        <v>37.731999999999999</v>
      </c>
      <c r="E198" s="20">
        <v>43.75</v>
      </c>
      <c r="F198" s="20">
        <v>44.253</v>
      </c>
      <c r="G198" s="20">
        <v>286.68</v>
      </c>
      <c r="H198" s="20">
        <f t="shared" si="6"/>
        <v>39.299374999999998</v>
      </c>
      <c r="I198" s="5"/>
      <c r="J198" s="19">
        <v>281.8064</v>
      </c>
      <c r="K198" s="20">
        <v>39.0717</v>
      </c>
      <c r="L198" s="20">
        <v>44.629800000000003</v>
      </c>
      <c r="M198" s="20">
        <v>45.196800000000003</v>
      </c>
      <c r="N198" s="20">
        <v>674.15729999999996</v>
      </c>
      <c r="O198" s="20">
        <f t="shared" si="7"/>
        <v>40.5321</v>
      </c>
      <c r="P198" s="7"/>
      <c r="Q198" s="13"/>
      <c r="R198" s="14"/>
      <c r="S198" s="14"/>
      <c r="T198" s="27"/>
      <c r="U198" s="28">
        <f t="shared" si="9"/>
        <v>1.3516021347844285</v>
      </c>
    </row>
    <row r="199" spans="1:21" x14ac:dyDescent="0.25">
      <c r="B199" s="6" t="s">
        <v>63</v>
      </c>
      <c r="C199" s="15">
        <v>1494.2460940000001</v>
      </c>
      <c r="D199" s="16">
        <v>41.05</v>
      </c>
      <c r="E199" s="16">
        <v>46.262</v>
      </c>
      <c r="F199" s="16">
        <v>47.142000000000003</v>
      </c>
      <c r="G199" s="16">
        <v>215.27</v>
      </c>
      <c r="H199" s="16">
        <f t="shared" si="6"/>
        <v>42.463000000000001</v>
      </c>
      <c r="I199" s="5"/>
      <c r="J199" s="15">
        <v>1539.9416000000001</v>
      </c>
      <c r="K199" s="16">
        <v>42.294600000000003</v>
      </c>
      <c r="L199" s="16">
        <v>46.773099999999999</v>
      </c>
      <c r="M199" s="16">
        <v>47.639000000000003</v>
      </c>
      <c r="N199" s="16">
        <v>452.48869999999999</v>
      </c>
      <c r="O199" s="16">
        <f t="shared" si="7"/>
        <v>43.522462500000003</v>
      </c>
      <c r="P199" s="7"/>
      <c r="Q199" s="8">
        <f>bdrate(C199:C202,D199:D202,J199:J202,K199:K202)</f>
        <v>-0.37168615004799432</v>
      </c>
      <c r="R199" s="8">
        <f>bdrate(C199:C202,E199:E202,J199:J202,L199:L202)</f>
        <v>-0.22171580983253536</v>
      </c>
      <c r="S199" s="8">
        <f>bdrate(C199:C202,F199:F202,J199:J202,M199:M202)</f>
        <v>-0.21134916627022271</v>
      </c>
      <c r="T199" s="25">
        <f>bdrate(C199:C202,H199:H202,J199:J202,O199:O202)</f>
        <v>-0.34136361575965424</v>
      </c>
      <c r="U199" s="28">
        <f t="shared" si="9"/>
        <v>1.1019589352905652</v>
      </c>
    </row>
    <row r="200" spans="1:21" x14ac:dyDescent="0.25">
      <c r="B200" s="9"/>
      <c r="C200" s="17">
        <v>1001.355469</v>
      </c>
      <c r="D200" s="18">
        <v>40.075000000000003</v>
      </c>
      <c r="E200" s="18">
        <v>45.457999999999998</v>
      </c>
      <c r="F200" s="18">
        <v>46.331000000000003</v>
      </c>
      <c r="G200" s="18">
        <v>272.38</v>
      </c>
      <c r="H200" s="18">
        <f t="shared" si="6"/>
        <v>41.529875000000004</v>
      </c>
      <c r="I200" s="5"/>
      <c r="J200" s="17">
        <v>1015.0592</v>
      </c>
      <c r="K200" s="18">
        <v>41.413899999999998</v>
      </c>
      <c r="L200" s="18">
        <v>45.994500000000002</v>
      </c>
      <c r="M200" s="18">
        <v>46.821800000000003</v>
      </c>
      <c r="N200" s="18">
        <v>493.01560000000001</v>
      </c>
      <c r="O200" s="18">
        <f t="shared" si="7"/>
        <v>42.662462499999997</v>
      </c>
      <c r="P200" s="7"/>
      <c r="Q200" s="10"/>
      <c r="R200" s="11"/>
      <c r="S200" s="11"/>
      <c r="T200" s="26"/>
      <c r="U200" s="28">
        <f t="shared" si="9"/>
        <v>0.81002863646376388</v>
      </c>
    </row>
    <row r="201" spans="1:21" x14ac:dyDescent="0.25">
      <c r="B201" s="9"/>
      <c r="C201" s="17">
        <v>607.203125</v>
      </c>
      <c r="D201" s="18">
        <v>38.484000000000002</v>
      </c>
      <c r="E201" s="18">
        <v>44.161999999999999</v>
      </c>
      <c r="F201" s="18">
        <v>44.991999999999997</v>
      </c>
      <c r="G201" s="18">
        <v>280.95999999999998</v>
      </c>
      <c r="H201" s="18">
        <f t="shared" si="6"/>
        <v>40.007249999999999</v>
      </c>
      <c r="I201" s="5"/>
      <c r="J201" s="17">
        <v>601.57039999999995</v>
      </c>
      <c r="K201" s="18">
        <v>39.991599999999998</v>
      </c>
      <c r="L201" s="18">
        <v>44.791699999999999</v>
      </c>
      <c r="M201" s="18">
        <v>45.595799999999997</v>
      </c>
      <c r="N201" s="18">
        <v>534.28319999999997</v>
      </c>
      <c r="O201" s="18">
        <f t="shared" si="7"/>
        <v>41.292137499999995</v>
      </c>
      <c r="P201" s="7"/>
      <c r="Q201" s="10"/>
      <c r="R201" s="11"/>
      <c r="S201" s="11"/>
      <c r="T201" s="26"/>
      <c r="U201" s="28">
        <f t="shared" si="9"/>
        <v>0.90163439635535314</v>
      </c>
    </row>
    <row r="202" spans="1:21" ht="16.5" thickBot="1" x14ac:dyDescent="0.3">
      <c r="B202" s="12"/>
      <c r="C202" s="19">
        <v>308.18359379999998</v>
      </c>
      <c r="D202" s="20">
        <v>35.542999999999999</v>
      </c>
      <c r="E202" s="20">
        <v>41.698</v>
      </c>
      <c r="F202" s="20">
        <v>42.448</v>
      </c>
      <c r="G202" s="20">
        <v>321.8</v>
      </c>
      <c r="H202" s="20">
        <f t="shared" si="6"/>
        <v>37.1755</v>
      </c>
      <c r="I202" s="5"/>
      <c r="J202" s="19">
        <v>298.04320000000001</v>
      </c>
      <c r="K202" s="20">
        <v>37.335900000000002</v>
      </c>
      <c r="L202" s="20">
        <v>42.754899999999999</v>
      </c>
      <c r="M202" s="20">
        <v>43.576799999999999</v>
      </c>
      <c r="N202" s="20">
        <v>641.02560000000005</v>
      </c>
      <c r="O202" s="20">
        <f t="shared" si="7"/>
        <v>38.793387500000001</v>
      </c>
      <c r="P202" s="7"/>
      <c r="Q202" s="13"/>
      <c r="R202" s="14"/>
      <c r="S202" s="14"/>
      <c r="T202" s="27"/>
      <c r="U202" s="28">
        <f t="shared" si="9"/>
        <v>0.9920000000000001</v>
      </c>
    </row>
    <row r="203" spans="1:21" x14ac:dyDescent="0.25">
      <c r="A203" s="6" t="s">
        <v>94</v>
      </c>
      <c r="B203" s="6" t="s">
        <v>95</v>
      </c>
      <c r="C203" s="15">
        <v>1556.3242190000001</v>
      </c>
      <c r="D203" s="16">
        <v>44.277000000000001</v>
      </c>
      <c r="E203" s="16">
        <v>49.664999999999999</v>
      </c>
      <c r="F203" s="16">
        <v>50.22</v>
      </c>
      <c r="G203" s="16">
        <v>183.53</v>
      </c>
      <c r="H203" s="16">
        <f t="shared" ref="H203:H246" si="10">(6*D203+E203+F203)/8</f>
        <v>45.693375000000003</v>
      </c>
      <c r="I203" s="5"/>
      <c r="J203" s="15">
        <v>1287.8276000000001</v>
      </c>
      <c r="K203" s="16">
        <v>43.029299999999999</v>
      </c>
      <c r="L203" s="16">
        <v>47.979599999999998</v>
      </c>
      <c r="M203" s="16">
        <v>49.533099999999997</v>
      </c>
      <c r="N203" s="16">
        <v>325.02710000000002</v>
      </c>
      <c r="O203" s="16">
        <f t="shared" ref="O203:O246" si="11">(6*K203+L203+M203)/8</f>
        <v>44.461062499999997</v>
      </c>
      <c r="P203" s="7"/>
      <c r="Q203" s="8">
        <f>bdrate(C203:C206,D203:D206,J203:J206,K203:K206)</f>
        <v>-0.10168719761634848</v>
      </c>
      <c r="R203" s="8">
        <f>bdrate(C203:C206,E203:E206,J203:J206,L203:L206)</f>
        <v>-0.21985007717047222</v>
      </c>
      <c r="S203" s="8">
        <f>bdrate(C203:C206,F203:F206,J203:J206,M203:M206)</f>
        <v>-0.27420935669494784</v>
      </c>
      <c r="T203" s="25">
        <f>bdrate(C203:C206,H203:H206,J203:J206,O203:O206)</f>
        <v>-0.13391632430022493</v>
      </c>
      <c r="U203" s="28">
        <f t="shared" si="9"/>
        <v>0.77097531738680336</v>
      </c>
    </row>
    <row r="204" spans="1:21" x14ac:dyDescent="0.25">
      <c r="A204" s="9" t="s">
        <v>77</v>
      </c>
      <c r="B204" s="9"/>
      <c r="C204" s="17">
        <v>1089.993164</v>
      </c>
      <c r="D204" s="18">
        <v>42.389000000000003</v>
      </c>
      <c r="E204" s="18">
        <v>47.917999999999999</v>
      </c>
      <c r="F204" s="18">
        <v>48.482999999999997</v>
      </c>
      <c r="G204" s="18">
        <v>215.47</v>
      </c>
      <c r="H204" s="18">
        <f t="shared" si="10"/>
        <v>43.841875000000002</v>
      </c>
      <c r="I204" s="5"/>
      <c r="J204" s="17">
        <v>876.29510000000005</v>
      </c>
      <c r="K204" s="18">
        <v>41.234699999999997</v>
      </c>
      <c r="L204" s="18">
        <v>47.253900000000002</v>
      </c>
      <c r="M204" s="18">
        <v>48.405799999999999</v>
      </c>
      <c r="N204" s="18">
        <v>369.83769999999998</v>
      </c>
      <c r="O204" s="18">
        <f t="shared" si="11"/>
        <v>42.883487499999994</v>
      </c>
      <c r="P204" s="7"/>
      <c r="Q204" s="10"/>
      <c r="R204" s="11"/>
      <c r="S204" s="11"/>
      <c r="T204" s="26"/>
      <c r="U204" s="28">
        <f t="shared" si="9"/>
        <v>0.71642316795841643</v>
      </c>
    </row>
    <row r="205" spans="1:21" x14ac:dyDescent="0.25">
      <c r="B205" s="9"/>
      <c r="C205" s="17">
        <v>715.75878909999994</v>
      </c>
      <c r="D205" s="18">
        <v>39.963000000000001</v>
      </c>
      <c r="E205" s="18">
        <v>45.956000000000003</v>
      </c>
      <c r="F205" s="18">
        <v>46.662999999999997</v>
      </c>
      <c r="G205" s="18">
        <v>239.31</v>
      </c>
      <c r="H205" s="18">
        <f t="shared" si="10"/>
        <v>41.549625000000006</v>
      </c>
      <c r="I205" s="5"/>
      <c r="J205" s="17">
        <v>542.11149999999998</v>
      </c>
      <c r="K205" s="18">
        <v>38.909500000000001</v>
      </c>
      <c r="L205" s="18">
        <v>45.695099999999996</v>
      </c>
      <c r="M205" s="18">
        <v>46.882800000000003</v>
      </c>
      <c r="N205" s="18">
        <v>436.99930000000001</v>
      </c>
      <c r="O205" s="18">
        <f t="shared" si="11"/>
        <v>40.754362499999999</v>
      </c>
      <c r="P205" s="7"/>
      <c r="Q205" s="10"/>
      <c r="R205" s="11"/>
      <c r="S205" s="11"/>
      <c r="T205" s="26"/>
      <c r="U205" s="28">
        <f t="shared" si="9"/>
        <v>0.82608039781037146</v>
      </c>
    </row>
    <row r="206" spans="1:21" ht="16.5" thickBot="1" x14ac:dyDescent="0.3">
      <c r="B206" s="12"/>
      <c r="C206" s="19">
        <v>496.86425780000002</v>
      </c>
      <c r="D206" s="20">
        <v>36.642000000000003</v>
      </c>
      <c r="E206" s="20">
        <v>43.301000000000002</v>
      </c>
      <c r="F206" s="20">
        <v>44.261000000000003</v>
      </c>
      <c r="G206" s="20">
        <v>241.44</v>
      </c>
      <c r="H206" s="20">
        <f t="shared" si="10"/>
        <v>38.426750000000006</v>
      </c>
      <c r="I206" s="5"/>
      <c r="J206" s="19">
        <v>279.91879999999998</v>
      </c>
      <c r="K206" s="20">
        <v>35.8003</v>
      </c>
      <c r="L206" s="20">
        <v>43.443600000000004</v>
      </c>
      <c r="M206" s="20">
        <v>44.853000000000002</v>
      </c>
      <c r="N206" s="20">
        <v>536.67259999999999</v>
      </c>
      <c r="O206" s="20">
        <f t="shared" si="11"/>
        <v>37.887300000000003</v>
      </c>
      <c r="P206" s="7"/>
      <c r="Q206" s="13"/>
      <c r="R206" s="14"/>
      <c r="S206" s="14"/>
      <c r="T206" s="27"/>
      <c r="U206" s="28">
        <f t="shared" si="9"/>
        <v>1.2227990390987409</v>
      </c>
    </row>
    <row r="207" spans="1:21" x14ac:dyDescent="0.25">
      <c r="B207" s="6" t="s">
        <v>96</v>
      </c>
      <c r="C207" s="15">
        <v>1568.7998050000001</v>
      </c>
      <c r="D207" s="16">
        <v>50.341000000000001</v>
      </c>
      <c r="E207" s="16">
        <v>51.116999999999997</v>
      </c>
      <c r="F207" s="16">
        <v>51.484999999999999</v>
      </c>
      <c r="G207" s="16">
        <v>212.23</v>
      </c>
      <c r="H207" s="16">
        <f t="shared" si="10"/>
        <v>50.581000000000003</v>
      </c>
      <c r="I207" s="5"/>
      <c r="J207" s="15">
        <v>1425.0488</v>
      </c>
      <c r="K207" s="16">
        <v>51.102600000000002</v>
      </c>
      <c r="L207" s="16">
        <v>51.630899999999997</v>
      </c>
      <c r="M207" s="16">
        <v>52.079799999999999</v>
      </c>
      <c r="N207" s="16">
        <v>467.16840000000002</v>
      </c>
      <c r="O207" s="16">
        <f t="shared" si="11"/>
        <v>51.2907875</v>
      </c>
      <c r="P207" s="7"/>
      <c r="Q207" s="8">
        <f>bdrate(C207:C210,D207:D210,J207:J210,K207:K210)</f>
        <v>-0.24235785698399914</v>
      </c>
      <c r="R207" s="8">
        <f>bdrate(C207:C210,E207:E210,J207:J210,L207:L210)</f>
        <v>-0.25767774319734349</v>
      </c>
      <c r="S207" s="8">
        <f>bdrate(C207:C210,F207:F210,J207:J210,M207:M210)</f>
        <v>-0.27205832584386558</v>
      </c>
      <c r="T207" s="25">
        <f>bdrate(C207:C210,H207:H210,J207:J210,O207:O210)</f>
        <v>-0.24764062733039605</v>
      </c>
      <c r="U207" s="28">
        <f t="shared" si="9"/>
        <v>1.2012363944776896</v>
      </c>
    </row>
    <row r="208" spans="1:21" x14ac:dyDescent="0.25">
      <c r="B208" s="9"/>
      <c r="C208" s="17">
        <v>1087.4970699999999</v>
      </c>
      <c r="D208" s="18">
        <v>48.045999999999999</v>
      </c>
      <c r="E208" s="18">
        <v>48.976999999999997</v>
      </c>
      <c r="F208" s="18">
        <v>49.387</v>
      </c>
      <c r="G208" s="18">
        <v>321.06</v>
      </c>
      <c r="H208" s="18">
        <f t="shared" si="10"/>
        <v>48.33</v>
      </c>
      <c r="I208" s="5"/>
      <c r="J208" s="17">
        <v>964.42359999999996</v>
      </c>
      <c r="K208" s="18">
        <v>48.961500000000001</v>
      </c>
      <c r="L208" s="18">
        <v>49.776200000000003</v>
      </c>
      <c r="M208" s="18">
        <v>50.2883</v>
      </c>
      <c r="N208" s="18">
        <v>552.1472</v>
      </c>
      <c r="O208" s="18">
        <f t="shared" si="11"/>
        <v>49.229187500000002</v>
      </c>
      <c r="P208" s="7"/>
      <c r="Q208" s="10"/>
      <c r="R208" s="11"/>
      <c r="S208" s="11"/>
      <c r="T208" s="26"/>
      <c r="U208" s="28">
        <f t="shared" si="9"/>
        <v>0.71976328412134805</v>
      </c>
    </row>
    <row r="209" spans="2:21" x14ac:dyDescent="0.25">
      <c r="B209" s="9"/>
      <c r="C209" s="17">
        <v>701.40820310000004</v>
      </c>
      <c r="D209" s="18">
        <v>45.402999999999999</v>
      </c>
      <c r="E209" s="18">
        <v>46.555</v>
      </c>
      <c r="F209" s="18">
        <v>46.991999999999997</v>
      </c>
      <c r="G209" s="18">
        <v>325.36</v>
      </c>
      <c r="H209" s="18">
        <f t="shared" si="10"/>
        <v>45.745625000000004</v>
      </c>
      <c r="I209" s="5"/>
      <c r="J209" s="17">
        <v>589.29290000000003</v>
      </c>
      <c r="K209" s="18">
        <v>46.097000000000001</v>
      </c>
      <c r="L209" s="18">
        <v>47.368099999999998</v>
      </c>
      <c r="M209" s="18">
        <v>47.893599999999999</v>
      </c>
      <c r="N209" s="18">
        <v>610.37639999999999</v>
      </c>
      <c r="O209" s="18">
        <f t="shared" si="11"/>
        <v>46.480462500000002</v>
      </c>
      <c r="P209" s="7"/>
      <c r="Q209" s="10"/>
      <c r="R209" s="11"/>
      <c r="S209" s="11"/>
      <c r="T209" s="26"/>
      <c r="U209" s="28">
        <f t="shared" si="9"/>
        <v>0.87600319645930647</v>
      </c>
    </row>
    <row r="210" spans="2:21" ht="16.5" thickBot="1" x14ac:dyDescent="0.3">
      <c r="B210" s="12"/>
      <c r="C210" s="19">
        <v>386.48730469999998</v>
      </c>
      <c r="D210" s="20">
        <v>41.832999999999998</v>
      </c>
      <c r="E210" s="20">
        <v>43.341999999999999</v>
      </c>
      <c r="F210" s="20">
        <v>43.706000000000003</v>
      </c>
      <c r="G210" s="20">
        <v>367.05</v>
      </c>
      <c r="H210" s="20">
        <f t="shared" si="10"/>
        <v>42.255749999999999</v>
      </c>
      <c r="I210" s="5"/>
      <c r="J210" s="19">
        <v>297.48079999999999</v>
      </c>
      <c r="K210" s="20">
        <v>41.841799999999999</v>
      </c>
      <c r="L210" s="20">
        <v>43.532899999999998</v>
      </c>
      <c r="M210" s="20">
        <v>44.0077</v>
      </c>
      <c r="N210" s="20">
        <v>663.22770000000003</v>
      </c>
      <c r="O210" s="20">
        <f t="shared" si="11"/>
        <v>42.323924999999996</v>
      </c>
      <c r="P210" s="7"/>
      <c r="Q210" s="13"/>
      <c r="R210" s="14"/>
      <c r="S210" s="14"/>
      <c r="T210" s="27"/>
      <c r="U210" s="28">
        <f t="shared" si="9"/>
        <v>0.80691377196567227</v>
      </c>
    </row>
    <row r="211" spans="2:21" x14ac:dyDescent="0.25">
      <c r="B211" s="6" t="s">
        <v>97</v>
      </c>
      <c r="C211" s="15">
        <v>1888.9404300000001</v>
      </c>
      <c r="D211" s="16">
        <v>41.131</v>
      </c>
      <c r="E211" s="16">
        <v>43.892000000000003</v>
      </c>
      <c r="F211" s="16">
        <v>44.311</v>
      </c>
      <c r="G211" s="16">
        <v>200.59</v>
      </c>
      <c r="H211" s="16">
        <f t="shared" si="10"/>
        <v>41.873624999999997</v>
      </c>
      <c r="I211" s="5"/>
      <c r="J211" s="15">
        <v>1474.924</v>
      </c>
      <c r="K211" s="16">
        <v>41.980200000000004</v>
      </c>
      <c r="L211" s="16">
        <v>44.412700000000001</v>
      </c>
      <c r="M211" s="16">
        <v>44.818399999999997</v>
      </c>
      <c r="N211" s="16">
        <v>356.15350000000001</v>
      </c>
      <c r="O211" s="16">
        <f t="shared" si="11"/>
        <v>42.639037500000001</v>
      </c>
      <c r="P211" s="7"/>
      <c r="Q211" s="8">
        <f>bdrate(C211:C214,D211:D214,J211:J214,K211:K214)</f>
        <v>-0.37313767657715058</v>
      </c>
      <c r="R211" s="8">
        <f>bdrate(C211:C214,E211:E214,J211:J214,L211:L214)</f>
        <v>-0.41320260793603003</v>
      </c>
      <c r="S211" s="8">
        <f>bdrate(C211:C214,F211:F214,J211:J214,M211:M214)</f>
        <v>-0.41676052222402582</v>
      </c>
      <c r="T211" s="25">
        <f>bdrate(C211:C214,H211:H214,J211:J214,O211:O214)</f>
        <v>-0.38344088384008901</v>
      </c>
      <c r="U211" s="28">
        <f t="shared" si="9"/>
        <v>0.77552968742210482</v>
      </c>
    </row>
    <row r="212" spans="2:21" x14ac:dyDescent="0.25">
      <c r="B212" s="9"/>
      <c r="C212" s="17">
        <v>1324.654297</v>
      </c>
      <c r="D212" s="18">
        <v>39.229999999999997</v>
      </c>
      <c r="E212" s="18">
        <v>42.357999999999997</v>
      </c>
      <c r="F212" s="18">
        <v>42.789000000000001</v>
      </c>
      <c r="G212" s="18">
        <v>237.32</v>
      </c>
      <c r="H212" s="18">
        <f t="shared" si="10"/>
        <v>40.065874999999998</v>
      </c>
      <c r="I212" s="5"/>
      <c r="J212" s="17">
        <v>986.20050000000003</v>
      </c>
      <c r="K212" s="18">
        <v>40.049999999999997</v>
      </c>
      <c r="L212" s="18">
        <v>43.056100000000001</v>
      </c>
      <c r="M212" s="18">
        <v>43.4544</v>
      </c>
      <c r="N212" s="18">
        <v>413.60289999999998</v>
      </c>
      <c r="O212" s="18">
        <f t="shared" si="11"/>
        <v>40.851312499999999</v>
      </c>
      <c r="P212" s="7"/>
      <c r="Q212" s="10"/>
      <c r="R212" s="11"/>
      <c r="S212" s="11"/>
      <c r="T212" s="26"/>
      <c r="U212" s="28">
        <f t="shared" si="9"/>
        <v>0.74280675880667446</v>
      </c>
    </row>
    <row r="213" spans="2:21" x14ac:dyDescent="0.25">
      <c r="B213" s="9"/>
      <c r="C213" s="17">
        <v>871.17480469999998</v>
      </c>
      <c r="D213" s="18">
        <v>36.963000000000001</v>
      </c>
      <c r="E213" s="18">
        <v>40.593000000000004</v>
      </c>
      <c r="F213" s="18">
        <v>40.954000000000001</v>
      </c>
      <c r="G213" s="18">
        <v>254.92</v>
      </c>
      <c r="H213" s="18">
        <f t="shared" si="10"/>
        <v>37.915625000000006</v>
      </c>
      <c r="I213" s="5"/>
      <c r="J213" s="17">
        <v>591.0729</v>
      </c>
      <c r="K213" s="18">
        <v>37.339599999999997</v>
      </c>
      <c r="L213" s="18">
        <v>41.177199999999999</v>
      </c>
      <c r="M213" s="18">
        <v>41.601900000000001</v>
      </c>
      <c r="N213" s="18">
        <v>474.80880000000002</v>
      </c>
      <c r="O213" s="18">
        <f t="shared" si="11"/>
        <v>38.352087499999996</v>
      </c>
      <c r="P213" s="7"/>
      <c r="Q213" s="10"/>
      <c r="R213" s="11"/>
      <c r="S213" s="11"/>
      <c r="T213" s="26"/>
      <c r="U213" s="28">
        <f t="shared" si="9"/>
        <v>0.86257963282598482</v>
      </c>
    </row>
    <row r="214" spans="2:21" ht="16.5" thickBot="1" x14ac:dyDescent="0.3">
      <c r="B214" s="12"/>
      <c r="C214" s="19">
        <v>540.36132810000004</v>
      </c>
      <c r="D214" s="20">
        <v>34.112000000000002</v>
      </c>
      <c r="E214" s="20">
        <v>38.365000000000002</v>
      </c>
      <c r="F214" s="20">
        <v>38.744999999999997</v>
      </c>
      <c r="G214" s="20">
        <v>272.27</v>
      </c>
      <c r="H214" s="20">
        <f t="shared" si="10"/>
        <v>35.222750000000005</v>
      </c>
      <c r="I214" s="5"/>
      <c r="J214" s="19">
        <v>299.3775</v>
      </c>
      <c r="K214" s="20">
        <v>33.835299999999997</v>
      </c>
      <c r="L214" s="20">
        <v>38.9452</v>
      </c>
      <c r="M214" s="20">
        <v>39.460999999999999</v>
      </c>
      <c r="N214" s="20">
        <v>560.0498</v>
      </c>
      <c r="O214" s="20">
        <f t="shared" si="11"/>
        <v>35.177250000000001</v>
      </c>
      <c r="P214" s="7"/>
      <c r="Q214" s="13"/>
      <c r="R214" s="14"/>
      <c r="S214" s="14"/>
      <c r="T214" s="27"/>
      <c r="U214" s="28">
        <f t="shared" si="9"/>
        <v>1.0569647776104603</v>
      </c>
    </row>
    <row r="215" spans="2:21" x14ac:dyDescent="0.25">
      <c r="B215" s="6" t="s">
        <v>98</v>
      </c>
      <c r="C215" s="29">
        <v>1767.345703</v>
      </c>
      <c r="D215" s="30">
        <v>37.582000000000001</v>
      </c>
      <c r="E215" s="30">
        <v>42.463999999999999</v>
      </c>
      <c r="F215" s="30">
        <v>42.445999999999998</v>
      </c>
      <c r="G215" s="16">
        <v>183.72</v>
      </c>
      <c r="H215" s="16">
        <f t="shared" si="10"/>
        <v>38.800250000000005</v>
      </c>
      <c r="I215" s="5"/>
      <c r="J215" s="29">
        <v>1505.5669</v>
      </c>
      <c r="K215" s="30">
        <v>38.476100000000002</v>
      </c>
      <c r="L215" s="30">
        <v>43.099299999999999</v>
      </c>
      <c r="M215" s="30">
        <v>43.0794</v>
      </c>
      <c r="N215" s="16">
        <v>331.55279999999999</v>
      </c>
      <c r="O215" s="16">
        <f t="shared" si="11"/>
        <v>39.629412500000008</v>
      </c>
      <c r="P215" s="7"/>
      <c r="Q215" s="8">
        <f>bdrate(C215:C218,D215:D218,J215:J218,K215:K218)</f>
        <v>-0.33612939472282855</v>
      </c>
      <c r="R215" s="8">
        <f>bdrate(C215:C218,E215:E218,J215:J218,L215:L218)</f>
        <v>-0.4272933172219503</v>
      </c>
      <c r="S215" s="8">
        <f>bdrate(C215:C218,F215:F218,J215:J218,M215:M218)</f>
        <v>-0.42339886017443185</v>
      </c>
      <c r="T215" s="25">
        <f>bdrate(C215:C218,H215:H218,J215:J218,O215:O218)</f>
        <v>-0.35678228218657548</v>
      </c>
      <c r="U215" s="28">
        <f t="shared" si="9"/>
        <v>0.80466361854996726</v>
      </c>
    </row>
    <row r="216" spans="2:21" x14ac:dyDescent="0.25">
      <c r="B216" s="9"/>
      <c r="C216" s="31">
        <v>1219.7861330000001</v>
      </c>
      <c r="D216" s="32">
        <v>35.786000000000001</v>
      </c>
      <c r="E216" s="32">
        <v>40.966000000000001</v>
      </c>
      <c r="F216" s="32">
        <v>40.951999999999998</v>
      </c>
      <c r="G216" s="18">
        <v>212.02</v>
      </c>
      <c r="H216" s="18">
        <f t="shared" si="10"/>
        <v>37.079250000000002</v>
      </c>
      <c r="I216" s="5"/>
      <c r="J216" s="31">
        <v>1002.7932</v>
      </c>
      <c r="K216" s="32">
        <v>36.642099999999999</v>
      </c>
      <c r="L216" s="32">
        <v>41.892899999999997</v>
      </c>
      <c r="M216" s="32">
        <v>41.846400000000003</v>
      </c>
      <c r="N216" s="18">
        <v>374.60980000000001</v>
      </c>
      <c r="O216" s="18">
        <f t="shared" si="11"/>
        <v>37.948987500000001</v>
      </c>
      <c r="P216" s="7"/>
      <c r="Q216" s="10"/>
      <c r="R216" s="11"/>
      <c r="S216" s="11"/>
      <c r="T216" s="26"/>
      <c r="U216" s="28">
        <f t="shared" si="9"/>
        <v>0.76686067352136589</v>
      </c>
    </row>
    <row r="217" spans="2:21" x14ac:dyDescent="0.25">
      <c r="B217" s="9"/>
      <c r="C217" s="31">
        <v>763.02832030000002</v>
      </c>
      <c r="D217" s="32">
        <v>33.51</v>
      </c>
      <c r="E217" s="32">
        <v>39.082000000000001</v>
      </c>
      <c r="F217" s="32">
        <v>39.054000000000002</v>
      </c>
      <c r="G217" s="18">
        <v>221.08</v>
      </c>
      <c r="H217" s="18">
        <f t="shared" si="10"/>
        <v>34.899500000000003</v>
      </c>
      <c r="I217" s="5"/>
      <c r="J217" s="31">
        <v>602.00189999999998</v>
      </c>
      <c r="K217" s="32">
        <v>34.349499999999999</v>
      </c>
      <c r="L217" s="32">
        <v>40.361699999999999</v>
      </c>
      <c r="M217" s="32">
        <v>40.3294</v>
      </c>
      <c r="N217" s="18">
        <v>438.70339999999999</v>
      </c>
      <c r="O217" s="18">
        <f t="shared" si="11"/>
        <v>35.848512499999998</v>
      </c>
      <c r="P217" s="7"/>
      <c r="Q217" s="10"/>
      <c r="R217" s="11"/>
      <c r="S217" s="11"/>
      <c r="T217" s="26"/>
      <c r="U217" s="28">
        <f t="shared" si="9"/>
        <v>0.98436493576985695</v>
      </c>
    </row>
    <row r="218" spans="2:21" ht="16.5" thickBot="1" x14ac:dyDescent="0.3">
      <c r="B218" s="12"/>
      <c r="C218" s="33">
        <v>439.62792969999998</v>
      </c>
      <c r="D218" s="34">
        <v>30.878</v>
      </c>
      <c r="E218" s="34">
        <v>36.896000000000001</v>
      </c>
      <c r="F218" s="34">
        <v>36.790999999999997</v>
      </c>
      <c r="G218" s="20">
        <v>247.03</v>
      </c>
      <c r="H218" s="20">
        <f t="shared" si="10"/>
        <v>32.369374999999998</v>
      </c>
      <c r="I218" s="5"/>
      <c r="J218" s="33">
        <v>301.70679999999999</v>
      </c>
      <c r="K218" s="34">
        <v>31.29</v>
      </c>
      <c r="L218" s="34">
        <v>38.460700000000003</v>
      </c>
      <c r="M218" s="34">
        <v>38.323599999999999</v>
      </c>
      <c r="N218" s="20">
        <v>534.12459999999999</v>
      </c>
      <c r="O218" s="20">
        <f t="shared" si="11"/>
        <v>33.065537500000005</v>
      </c>
      <c r="P218" s="7"/>
      <c r="Q218" s="13"/>
      <c r="R218" s="14"/>
      <c r="S218" s="14"/>
      <c r="T218" s="27"/>
      <c r="U218" s="28">
        <f t="shared" si="9"/>
        <v>1.1621851596972028</v>
      </c>
    </row>
    <row r="219" spans="2:21" x14ac:dyDescent="0.25">
      <c r="B219" s="6" t="s">
        <v>99</v>
      </c>
      <c r="C219" s="15">
        <v>1568.3720699999999</v>
      </c>
      <c r="D219" s="16">
        <v>34.878</v>
      </c>
      <c r="E219" s="16">
        <v>39.542000000000002</v>
      </c>
      <c r="F219" s="16">
        <v>40.273000000000003</v>
      </c>
      <c r="G219" s="16">
        <v>201.59</v>
      </c>
      <c r="H219" s="16">
        <f t="shared" si="10"/>
        <v>36.135375000000003</v>
      </c>
      <c r="I219" s="5"/>
      <c r="J219" s="15">
        <v>1494.7057</v>
      </c>
      <c r="K219" s="16">
        <v>36.344000000000001</v>
      </c>
      <c r="L219" s="16">
        <v>41.052999999999997</v>
      </c>
      <c r="M219" s="16">
        <v>41.620899999999999</v>
      </c>
      <c r="N219" s="16">
        <v>336.38569999999999</v>
      </c>
      <c r="O219" s="16">
        <f t="shared" si="11"/>
        <v>37.592237500000003</v>
      </c>
      <c r="P219" s="7"/>
      <c r="Q219" s="8">
        <f>bdrate(C219:C222,D219:D222,J219:J222,K219:K222)</f>
        <v>-0.26268373574848813</v>
      </c>
      <c r="R219" s="8">
        <f>bdrate(C219:C222,E219:E222,J219:J222,L219:L222)</f>
        <v>-0.44005806921578061</v>
      </c>
      <c r="S219" s="8">
        <f>bdrate(C219:C222,F219:F222,J219:J222,M219:M222)</f>
        <v>-0.41538107360769494</v>
      </c>
      <c r="T219" s="25">
        <f>bdrate(C219:C222,H219:H222,J219:J222,O219:O222)</f>
        <v>-0.30041571607484274</v>
      </c>
      <c r="U219" s="28">
        <f t="shared" si="9"/>
        <v>0.66866263207500365</v>
      </c>
    </row>
    <row r="220" spans="2:21" x14ac:dyDescent="0.25">
      <c r="B220" s="9"/>
      <c r="C220" s="17">
        <v>1078.921875</v>
      </c>
      <c r="D220" s="18">
        <v>33.237000000000002</v>
      </c>
      <c r="E220" s="18">
        <v>38.11</v>
      </c>
      <c r="F220" s="18">
        <v>38.927999999999997</v>
      </c>
      <c r="G220" s="18">
        <v>233.87</v>
      </c>
      <c r="H220" s="18">
        <f t="shared" si="10"/>
        <v>34.557500000000005</v>
      </c>
      <c r="I220" s="5"/>
      <c r="J220" s="17">
        <v>992.49890000000005</v>
      </c>
      <c r="K220" s="18">
        <v>34.356099999999998</v>
      </c>
      <c r="L220" s="18">
        <v>39.619999999999997</v>
      </c>
      <c r="M220" s="18">
        <v>40.240499999999997</v>
      </c>
      <c r="N220" s="18">
        <v>385.9348</v>
      </c>
      <c r="O220" s="18">
        <f t="shared" si="11"/>
        <v>35.749637499999999</v>
      </c>
      <c r="P220" s="7"/>
      <c r="Q220" s="10"/>
      <c r="R220" s="11"/>
      <c r="S220" s="11"/>
      <c r="T220" s="26"/>
      <c r="U220" s="28">
        <f t="shared" si="9"/>
        <v>0.65021080087227945</v>
      </c>
    </row>
    <row r="221" spans="2:21" x14ac:dyDescent="0.25">
      <c r="B221" s="9"/>
      <c r="C221" s="17">
        <v>673.7578125</v>
      </c>
      <c r="D221" s="18">
        <v>31.219000000000001</v>
      </c>
      <c r="E221" s="18">
        <v>36.356999999999999</v>
      </c>
      <c r="F221" s="18">
        <v>37.284999999999997</v>
      </c>
      <c r="G221" s="18">
        <v>251.43</v>
      </c>
      <c r="H221" s="18">
        <f t="shared" si="10"/>
        <v>32.619500000000002</v>
      </c>
      <c r="I221" s="5"/>
      <c r="J221" s="17">
        <v>594.57830000000001</v>
      </c>
      <c r="K221" s="18">
        <v>31.981000000000002</v>
      </c>
      <c r="L221" s="18">
        <v>37.986699999999999</v>
      </c>
      <c r="M221" s="18">
        <v>38.681199999999997</v>
      </c>
      <c r="N221" s="18">
        <v>427.35039999999998</v>
      </c>
      <c r="O221" s="18">
        <f t="shared" si="11"/>
        <v>33.5692375</v>
      </c>
      <c r="P221" s="7"/>
      <c r="Q221" s="10"/>
      <c r="R221" s="11"/>
      <c r="S221" s="11"/>
      <c r="T221" s="26"/>
      <c r="U221" s="28">
        <f t="shared" si="9"/>
        <v>0.69967943363958152</v>
      </c>
    </row>
    <row r="222" spans="2:21" ht="16.5" thickBot="1" x14ac:dyDescent="0.3">
      <c r="B222" s="12"/>
      <c r="C222" s="19">
        <v>416.38085940000002</v>
      </c>
      <c r="D222" s="20">
        <v>29.170999999999999</v>
      </c>
      <c r="E222" s="20">
        <v>34.566000000000003</v>
      </c>
      <c r="F222" s="20">
        <v>35.505000000000003</v>
      </c>
      <c r="G222" s="20">
        <v>263.07</v>
      </c>
      <c r="H222" s="20">
        <f t="shared" si="10"/>
        <v>30.637125000000001</v>
      </c>
      <c r="I222" s="5"/>
      <c r="J222" s="19">
        <v>298.43329999999997</v>
      </c>
      <c r="K222" s="20">
        <v>28.866499999999998</v>
      </c>
      <c r="L222" s="20">
        <v>35.898099999999999</v>
      </c>
      <c r="M222" s="20">
        <v>36.652500000000003</v>
      </c>
      <c r="N222" s="20">
        <v>536.67259999999999</v>
      </c>
      <c r="O222" s="20">
        <f t="shared" si="11"/>
        <v>30.718699999999998</v>
      </c>
      <c r="P222" s="7"/>
      <c r="Q222" s="13"/>
      <c r="R222" s="14"/>
      <c r="S222" s="14"/>
      <c r="T222" s="27"/>
      <c r="U222" s="28">
        <f t="shared" si="9"/>
        <v>1.0400372524423158</v>
      </c>
    </row>
    <row r="223" spans="2:21" x14ac:dyDescent="0.25">
      <c r="B223" s="6" t="s">
        <v>100</v>
      </c>
      <c r="C223" s="15">
        <v>1646.8408199999999</v>
      </c>
      <c r="D223" s="16">
        <v>36.095999999999997</v>
      </c>
      <c r="E223" s="16">
        <v>41.741999999999997</v>
      </c>
      <c r="F223" s="16">
        <v>43.46</v>
      </c>
      <c r="G223" s="16">
        <v>177.79</v>
      </c>
      <c r="H223" s="16">
        <f t="shared" si="10"/>
        <v>37.722249999999995</v>
      </c>
      <c r="I223" s="5"/>
      <c r="J223" s="15">
        <v>1510.2439999999999</v>
      </c>
      <c r="K223" s="16">
        <v>36.758000000000003</v>
      </c>
      <c r="L223" s="16">
        <v>42.8309</v>
      </c>
      <c r="M223" s="16">
        <v>44.223500000000001</v>
      </c>
      <c r="N223" s="16">
        <v>318.69690000000003</v>
      </c>
      <c r="O223" s="16">
        <f t="shared" si="11"/>
        <v>38.450299999999999</v>
      </c>
      <c r="P223" s="7"/>
      <c r="Q223" s="8">
        <f>bdrate(C223:C226,D223:D226,J223:J226,K223:K226)</f>
        <v>-0.30516086969044054</v>
      </c>
      <c r="R223" s="8">
        <f>bdrate(C223:C226,E223:E226,J223:J226,L223:L226)</f>
        <v>-0.49822733215278991</v>
      </c>
      <c r="S223" s="8">
        <f>bdrate(C223:C226,F223:F226,J223:J226,M223:M226)</f>
        <v>-0.41635610336928752</v>
      </c>
      <c r="T223" s="25">
        <f>bdrate(C223:C226,H223:H226,J223:J226,O223:O226)</f>
        <v>-0.34124247507145788</v>
      </c>
      <c r="U223" s="28">
        <f t="shared" si="9"/>
        <v>0.79254682490578798</v>
      </c>
    </row>
    <row r="224" spans="2:21" x14ac:dyDescent="0.25">
      <c r="B224" s="9"/>
      <c r="C224" s="17">
        <v>1107.8330080000001</v>
      </c>
      <c r="D224" s="18">
        <v>34.639000000000003</v>
      </c>
      <c r="E224" s="18">
        <v>40.603000000000002</v>
      </c>
      <c r="F224" s="18">
        <v>42.155999999999999</v>
      </c>
      <c r="G224" s="18">
        <v>195.55</v>
      </c>
      <c r="H224" s="18">
        <f t="shared" si="10"/>
        <v>36.324125000000002</v>
      </c>
      <c r="I224" s="5"/>
      <c r="J224" s="17">
        <v>1008.3977</v>
      </c>
      <c r="K224" s="18">
        <v>35.377400000000002</v>
      </c>
      <c r="L224" s="18">
        <v>41.8947</v>
      </c>
      <c r="M224" s="18">
        <v>43.162500000000001</v>
      </c>
      <c r="N224" s="18">
        <v>372.20839999999998</v>
      </c>
      <c r="O224" s="18">
        <f t="shared" si="11"/>
        <v>37.165200000000006</v>
      </c>
      <c r="P224" s="7"/>
      <c r="Q224" s="10"/>
      <c r="R224" s="11"/>
      <c r="S224" s="11"/>
      <c r="T224" s="26"/>
      <c r="U224" s="28">
        <f t="shared" si="9"/>
        <v>0.90339248274098671</v>
      </c>
    </row>
    <row r="225" spans="2:21" x14ac:dyDescent="0.25">
      <c r="B225" s="9"/>
      <c r="C225" s="17">
        <v>673.56445310000004</v>
      </c>
      <c r="D225" s="18">
        <v>32.755000000000003</v>
      </c>
      <c r="E225" s="18">
        <v>39.101999999999997</v>
      </c>
      <c r="F225" s="18">
        <v>40.332999999999998</v>
      </c>
      <c r="G225" s="18">
        <v>223.65</v>
      </c>
      <c r="H225" s="18">
        <f t="shared" si="10"/>
        <v>34.495625000000004</v>
      </c>
      <c r="I225" s="5"/>
      <c r="J225" s="17">
        <v>603.4701</v>
      </c>
      <c r="K225" s="18">
        <v>33.707000000000001</v>
      </c>
      <c r="L225" s="18">
        <v>40.729500000000002</v>
      </c>
      <c r="M225" s="18">
        <v>41.848500000000001</v>
      </c>
      <c r="N225" s="18">
        <v>432.06909999999999</v>
      </c>
      <c r="O225" s="18">
        <f t="shared" si="11"/>
        <v>35.602500000000006</v>
      </c>
      <c r="P225" s="7"/>
      <c r="Q225" s="10"/>
      <c r="R225" s="11"/>
      <c r="S225" s="11"/>
      <c r="T225" s="26"/>
      <c r="U225" s="28">
        <f t="shared" si="9"/>
        <v>0.93189850212385417</v>
      </c>
    </row>
    <row r="226" spans="2:21" ht="16.5" thickBot="1" x14ac:dyDescent="0.3">
      <c r="B226" s="12"/>
      <c r="C226" s="19">
        <v>366.09863280000002</v>
      </c>
      <c r="D226" s="20">
        <v>30.68</v>
      </c>
      <c r="E226" s="20">
        <v>37.249000000000002</v>
      </c>
      <c r="F226" s="20">
        <v>37.97</v>
      </c>
      <c r="G226" s="20">
        <v>255.95</v>
      </c>
      <c r="H226" s="20">
        <f t="shared" si="10"/>
        <v>32.412374999999997</v>
      </c>
      <c r="I226" s="5"/>
      <c r="J226" s="19">
        <v>301.30270000000002</v>
      </c>
      <c r="K226" s="20">
        <v>31.6248</v>
      </c>
      <c r="L226" s="20">
        <v>39.303100000000001</v>
      </c>
      <c r="M226" s="20">
        <v>40.093899999999998</v>
      </c>
      <c r="N226" s="20">
        <v>529.25609999999995</v>
      </c>
      <c r="O226" s="20">
        <f t="shared" si="11"/>
        <v>33.643225000000001</v>
      </c>
      <c r="P226" s="7"/>
      <c r="Q226" s="13"/>
      <c r="R226" s="14"/>
      <c r="S226" s="14"/>
      <c r="T226" s="27"/>
      <c r="U226" s="28">
        <f t="shared" si="9"/>
        <v>1.067810509865208</v>
      </c>
    </row>
    <row r="227" spans="2:21" x14ac:dyDescent="0.25">
      <c r="B227" s="6" t="s">
        <v>101</v>
      </c>
      <c r="C227" s="15">
        <v>1487.100586</v>
      </c>
      <c r="D227" s="16">
        <v>44.356999999999999</v>
      </c>
      <c r="E227" s="16">
        <v>49.048000000000002</v>
      </c>
      <c r="F227" s="16">
        <v>50.692</v>
      </c>
      <c r="G227" s="16">
        <v>215.82</v>
      </c>
      <c r="H227" s="16">
        <f t="shared" si="10"/>
        <v>45.735250000000001</v>
      </c>
      <c r="I227" s="5"/>
      <c r="J227" s="15">
        <v>1496.4305999999999</v>
      </c>
      <c r="K227" s="16">
        <v>46.7087</v>
      </c>
      <c r="L227" s="16">
        <v>51.449599999999997</v>
      </c>
      <c r="M227" s="16">
        <v>52.984499999999997</v>
      </c>
      <c r="N227" s="16">
        <v>378.1</v>
      </c>
      <c r="O227" s="16">
        <f t="shared" si="11"/>
        <v>48.085787499999995</v>
      </c>
      <c r="P227" s="7"/>
      <c r="Q227" s="8">
        <f>bdrate(C227:C230,D227:D230,J227:J230,K227:K230)</f>
        <v>-0.40281902538200542</v>
      </c>
      <c r="R227" s="8">
        <f>bdrate(C227:C230,E227:E230,J227:J230,L227:L230)</f>
        <v>-0.51556772622798364</v>
      </c>
      <c r="S227" s="8">
        <f>bdrate(C227:C230,F227:F230,J227:J230,M227:M230)</f>
        <v>-0.47203619898929794</v>
      </c>
      <c r="T227" s="25">
        <f>bdrate(C227:C230,H227:H230,J227:J230,O227:O230)</f>
        <v>-0.42572372053736485</v>
      </c>
      <c r="U227" s="28">
        <f t="shared" si="9"/>
        <v>0.75192289871188966</v>
      </c>
    </row>
    <row r="228" spans="2:21" x14ac:dyDescent="0.25">
      <c r="B228" s="9"/>
      <c r="C228" s="17">
        <v>1021.200195</v>
      </c>
      <c r="D228" s="18">
        <v>42.616999999999997</v>
      </c>
      <c r="E228" s="18">
        <v>47.429000000000002</v>
      </c>
      <c r="F228" s="18">
        <v>49.2</v>
      </c>
      <c r="G228" s="18">
        <v>267.61</v>
      </c>
      <c r="H228" s="18">
        <f t="shared" si="10"/>
        <v>44.041374999999995</v>
      </c>
      <c r="I228" s="5"/>
      <c r="J228" s="17">
        <v>1002.8758</v>
      </c>
      <c r="K228" s="18">
        <v>44.9604</v>
      </c>
      <c r="L228" s="18">
        <v>50.197400000000002</v>
      </c>
      <c r="M228" s="18">
        <v>51.683300000000003</v>
      </c>
      <c r="N228" s="18">
        <v>427.113</v>
      </c>
      <c r="O228" s="18">
        <f t="shared" si="11"/>
        <v>46.455387500000001</v>
      </c>
      <c r="P228" s="7"/>
      <c r="Q228" s="10"/>
      <c r="R228" s="11"/>
      <c r="S228" s="11"/>
      <c r="T228" s="26"/>
      <c r="U228" s="28">
        <f t="shared" si="9"/>
        <v>0.59602780165165714</v>
      </c>
    </row>
    <row r="229" spans="2:21" x14ac:dyDescent="0.25">
      <c r="B229" s="9"/>
      <c r="C229" s="17">
        <v>628.52050780000002</v>
      </c>
      <c r="D229" s="18">
        <v>40.588000000000001</v>
      </c>
      <c r="E229" s="18">
        <v>45.506999999999998</v>
      </c>
      <c r="F229" s="18">
        <v>47.302</v>
      </c>
      <c r="G229" s="18">
        <v>283.36</v>
      </c>
      <c r="H229" s="18">
        <f t="shared" si="10"/>
        <v>42.042125000000006</v>
      </c>
      <c r="I229" s="5"/>
      <c r="J229" s="17">
        <v>602.42430000000002</v>
      </c>
      <c r="K229" s="18">
        <v>42.708599999999997</v>
      </c>
      <c r="L229" s="18">
        <v>48.274799999999999</v>
      </c>
      <c r="M229" s="18">
        <v>49.750500000000002</v>
      </c>
      <c r="N229" s="18">
        <v>497.09859999999998</v>
      </c>
      <c r="O229" s="18">
        <f t="shared" si="11"/>
        <v>44.284612499999994</v>
      </c>
      <c r="P229" s="7"/>
      <c r="Q229" s="10"/>
      <c r="R229" s="11"/>
      <c r="S229" s="11"/>
      <c r="T229" s="26"/>
      <c r="U229" s="28">
        <f t="shared" si="9"/>
        <v>0.75430053642010142</v>
      </c>
    </row>
    <row r="230" spans="2:21" ht="16.5" thickBot="1" x14ac:dyDescent="0.3">
      <c r="B230" s="12"/>
      <c r="C230" s="19">
        <v>320.25488280000002</v>
      </c>
      <c r="D230" s="20">
        <v>37.869999999999997</v>
      </c>
      <c r="E230" s="20">
        <v>42.890999999999998</v>
      </c>
      <c r="F230" s="20">
        <v>44.575000000000003</v>
      </c>
      <c r="G230" s="20">
        <v>318.48</v>
      </c>
      <c r="H230" s="20">
        <f t="shared" si="10"/>
        <v>39.335749999999997</v>
      </c>
      <c r="I230" s="5"/>
      <c r="J230" s="19">
        <v>302.31459999999998</v>
      </c>
      <c r="K230" s="20">
        <v>39.363700000000001</v>
      </c>
      <c r="L230" s="20">
        <v>45.369799999999998</v>
      </c>
      <c r="M230" s="20">
        <v>46.660600000000002</v>
      </c>
      <c r="N230" s="20">
        <v>588.29300000000001</v>
      </c>
      <c r="O230" s="20">
        <f t="shared" si="11"/>
        <v>41.026575000000001</v>
      </c>
      <c r="P230" s="7"/>
      <c r="Q230" s="13"/>
      <c r="R230" s="14"/>
      <c r="S230" s="14"/>
      <c r="T230" s="27"/>
      <c r="U230" s="28">
        <f t="shared" si="9"/>
        <v>0.8471897764380808</v>
      </c>
    </row>
    <row r="231" spans="2:21" x14ac:dyDescent="0.25">
      <c r="B231" s="6" t="s">
        <v>102</v>
      </c>
      <c r="C231" s="15">
        <v>1593.5273440000001</v>
      </c>
      <c r="D231" s="16">
        <v>30.074999999999999</v>
      </c>
      <c r="E231" s="16">
        <v>38.508000000000003</v>
      </c>
      <c r="F231" s="16">
        <v>37.901000000000003</v>
      </c>
      <c r="G231" s="16">
        <v>165.27</v>
      </c>
      <c r="H231" s="16">
        <f t="shared" si="10"/>
        <v>32.107374999999998</v>
      </c>
      <c r="I231" s="5"/>
      <c r="J231" s="15">
        <v>1497.8923</v>
      </c>
      <c r="K231" s="16">
        <v>31.343499999999999</v>
      </c>
      <c r="L231" s="16">
        <v>39.9283</v>
      </c>
      <c r="M231" s="16">
        <v>39.295000000000002</v>
      </c>
      <c r="N231" s="16">
        <v>276.66770000000002</v>
      </c>
      <c r="O231" s="16">
        <f t="shared" si="11"/>
        <v>33.410537499999997</v>
      </c>
      <c r="P231" s="7"/>
      <c r="Q231" s="8">
        <f>bdrate(C231:C234,D231:D234,J231:J234,K231:K234)</f>
        <v>-0.28119674468431199</v>
      </c>
      <c r="R231" s="8">
        <f>bdrate(C231:C234,E231:E234,J231:J234,L231:L234)</f>
        <v>-0.52733942331170791</v>
      </c>
      <c r="S231" s="8">
        <f>bdrate(C231:C234,F231:F234,J231:J234,M231:M234)</f>
        <v>-0.51689808550982863</v>
      </c>
      <c r="T231" s="25">
        <f>bdrate(C231:C234,H231:H234,J231:J234,O231:O234)</f>
        <v>-0.33720322421020643</v>
      </c>
      <c r="U231" s="28">
        <f t="shared" si="9"/>
        <v>0.67403461003206877</v>
      </c>
    </row>
    <row r="232" spans="2:21" x14ac:dyDescent="0.25">
      <c r="B232" s="9"/>
      <c r="C232" s="17">
        <v>1128.1865230000001</v>
      </c>
      <c r="D232" s="18">
        <v>28.687000000000001</v>
      </c>
      <c r="E232" s="18">
        <v>37.198</v>
      </c>
      <c r="F232" s="18">
        <v>36.633000000000003</v>
      </c>
      <c r="G232" s="18">
        <v>186.42</v>
      </c>
      <c r="H232" s="18">
        <f t="shared" si="10"/>
        <v>30.744125000000004</v>
      </c>
      <c r="I232" s="5"/>
      <c r="J232" s="17">
        <v>995.80759999999998</v>
      </c>
      <c r="K232" s="18">
        <v>29.587900000000001</v>
      </c>
      <c r="L232" s="18">
        <v>38.9358</v>
      </c>
      <c r="M232" s="18">
        <v>38.261800000000001</v>
      </c>
      <c r="N232" s="18">
        <v>326.85669999999999</v>
      </c>
      <c r="O232" s="18">
        <f t="shared" si="11"/>
        <v>31.840624999999999</v>
      </c>
      <c r="P232" s="7"/>
      <c r="Q232" s="10"/>
      <c r="R232" s="11"/>
      <c r="S232" s="11"/>
      <c r="T232" s="26"/>
      <c r="U232" s="28">
        <f t="shared" si="9"/>
        <v>0.75333494260272504</v>
      </c>
    </row>
    <row r="233" spans="2:21" x14ac:dyDescent="0.25">
      <c r="B233" s="9"/>
      <c r="C233" s="17">
        <v>858.03515630000004</v>
      </c>
      <c r="D233" s="18">
        <v>27.698</v>
      </c>
      <c r="E233" s="18">
        <v>36.155999999999999</v>
      </c>
      <c r="F233" s="18">
        <v>35.588000000000001</v>
      </c>
      <c r="G233" s="18">
        <v>193.97</v>
      </c>
      <c r="H233" s="18">
        <f t="shared" si="10"/>
        <v>29.741499999999998</v>
      </c>
      <c r="I233" s="5"/>
      <c r="J233" s="17">
        <v>598.83079999999995</v>
      </c>
      <c r="K233" s="18">
        <v>27.487100000000002</v>
      </c>
      <c r="L233" s="18">
        <v>37.522399999999998</v>
      </c>
      <c r="M233" s="18">
        <v>36.8508</v>
      </c>
      <c r="N233" s="18">
        <v>399.29020000000003</v>
      </c>
      <c r="O233" s="18">
        <f t="shared" si="11"/>
        <v>29.911975000000002</v>
      </c>
      <c r="P233" s="7"/>
      <c r="Q233" s="10"/>
      <c r="R233" s="11"/>
      <c r="S233" s="11"/>
      <c r="T233" s="26"/>
      <c r="U233" s="28">
        <f t="shared" si="9"/>
        <v>1.0585152343145849</v>
      </c>
    </row>
    <row r="234" spans="2:21" ht="16.5" thickBot="1" x14ac:dyDescent="0.3">
      <c r="B234" s="12"/>
      <c r="C234" s="19">
        <v>688.82226560000004</v>
      </c>
      <c r="D234" s="20">
        <v>26.805</v>
      </c>
      <c r="E234" s="20">
        <v>34.996000000000002</v>
      </c>
      <c r="F234" s="20">
        <v>34.47</v>
      </c>
      <c r="G234" s="20">
        <v>198.21</v>
      </c>
      <c r="H234" s="20">
        <f t="shared" si="10"/>
        <v>28.786999999999999</v>
      </c>
      <c r="I234" s="5"/>
      <c r="J234" s="19">
        <v>300.6139</v>
      </c>
      <c r="K234" s="20">
        <v>24.793199999999999</v>
      </c>
      <c r="L234" s="20">
        <v>35.160299999999999</v>
      </c>
      <c r="M234" s="20">
        <v>34.633400000000002</v>
      </c>
      <c r="N234" s="20">
        <v>499.44510000000002</v>
      </c>
      <c r="O234" s="20">
        <f t="shared" si="11"/>
        <v>27.319112499999999</v>
      </c>
      <c r="P234" s="7"/>
      <c r="Q234" s="13"/>
      <c r="R234" s="14"/>
      <c r="S234" s="14"/>
      <c r="T234" s="27"/>
      <c r="U234" s="28">
        <f t="shared" si="9"/>
        <v>1.5197775087028909</v>
      </c>
    </row>
    <row r="235" spans="2:21" x14ac:dyDescent="0.25">
      <c r="B235" s="6" t="s">
        <v>103</v>
      </c>
      <c r="C235" s="15">
        <v>2147.2890630000002</v>
      </c>
      <c r="D235" s="16">
        <v>44.706000000000003</v>
      </c>
      <c r="E235" s="16">
        <v>45.82</v>
      </c>
      <c r="F235" s="16">
        <v>45.720999999999997</v>
      </c>
      <c r="G235" s="16">
        <v>210.57</v>
      </c>
      <c r="H235" s="16">
        <f t="shared" si="10"/>
        <v>44.972124999999998</v>
      </c>
      <c r="I235" s="5"/>
      <c r="J235" s="15">
        <v>1377.7435</v>
      </c>
      <c r="K235" s="16">
        <v>44.129399999999997</v>
      </c>
      <c r="L235" s="16">
        <v>45.282800000000002</v>
      </c>
      <c r="M235" s="16">
        <v>45.168999999999997</v>
      </c>
      <c r="N235" s="16">
        <v>325.96890000000002</v>
      </c>
      <c r="O235" s="16">
        <f t="shared" si="11"/>
        <v>44.403524999999995</v>
      </c>
      <c r="P235" s="7"/>
      <c r="Q235" s="8">
        <f>bdrate(C235:C238,D235:D238,J235:J238,K235:K238)</f>
        <v>-0.30496230495786714</v>
      </c>
      <c r="R235" s="8">
        <f>bdrate(C235:C238,E235:E238,J235:J238,L235:L238)</f>
        <v>-0.34222015430730912</v>
      </c>
      <c r="S235" s="8">
        <f>bdrate(C235:C238,F235:F238,J235:J238,M235:M238)</f>
        <v>-0.3337709061214682</v>
      </c>
      <c r="T235" s="25">
        <f>bdrate(C235:C238,H235:H238,J235:J238,O235:O238)</f>
        <v>-0.31186844642673528</v>
      </c>
      <c r="U235" s="28">
        <f t="shared" si="9"/>
        <v>0.54803105855534995</v>
      </c>
    </row>
    <row r="236" spans="2:21" x14ac:dyDescent="0.25">
      <c r="B236" s="9"/>
      <c r="C236" s="17">
        <v>1558.658203</v>
      </c>
      <c r="D236" s="18">
        <v>42.871000000000002</v>
      </c>
      <c r="E236" s="18">
        <v>44.225999999999999</v>
      </c>
      <c r="F236" s="18">
        <v>44.087000000000003</v>
      </c>
      <c r="G236" s="18">
        <v>239.53</v>
      </c>
      <c r="H236" s="18">
        <f t="shared" si="10"/>
        <v>43.192374999999998</v>
      </c>
      <c r="I236" s="5"/>
      <c r="J236" s="17">
        <v>935.16129999999998</v>
      </c>
      <c r="K236" s="18">
        <v>42.047899999999998</v>
      </c>
      <c r="L236" s="18">
        <v>43.574300000000001</v>
      </c>
      <c r="M236" s="18">
        <v>43.459800000000001</v>
      </c>
      <c r="N236" s="18">
        <v>412.08789999999999</v>
      </c>
      <c r="O236" s="18">
        <f t="shared" si="11"/>
        <v>42.415187500000002</v>
      </c>
      <c r="P236" s="7"/>
      <c r="Q236" s="10"/>
      <c r="R236" s="11"/>
      <c r="S236" s="11"/>
      <c r="T236" s="26"/>
      <c r="U236" s="28">
        <f t="shared" si="9"/>
        <v>0.72040203732309105</v>
      </c>
    </row>
    <row r="237" spans="2:21" x14ac:dyDescent="0.25">
      <c r="B237" s="9"/>
      <c r="C237" s="17">
        <v>1010.6201170000001</v>
      </c>
      <c r="D237" s="18">
        <v>40.226999999999997</v>
      </c>
      <c r="E237" s="18">
        <v>41.851999999999997</v>
      </c>
      <c r="F237" s="18">
        <v>41.749000000000002</v>
      </c>
      <c r="G237" s="18">
        <v>272.04000000000002</v>
      </c>
      <c r="H237" s="18">
        <f t="shared" si="10"/>
        <v>40.620374999999996</v>
      </c>
      <c r="I237" s="5"/>
      <c r="J237" s="17">
        <v>577.86429999999996</v>
      </c>
      <c r="K237" s="18">
        <v>38.883200000000002</v>
      </c>
      <c r="L237" s="18">
        <v>41.102600000000002</v>
      </c>
      <c r="M237" s="18">
        <v>40.883400000000002</v>
      </c>
      <c r="N237" s="18">
        <v>484.78320000000002</v>
      </c>
      <c r="O237" s="18">
        <f t="shared" si="11"/>
        <v>39.410650000000004</v>
      </c>
      <c r="P237" s="7"/>
      <c r="Q237" s="10"/>
      <c r="R237" s="11"/>
      <c r="S237" s="11"/>
      <c r="T237" s="26"/>
      <c r="U237" s="28">
        <f t="shared" si="9"/>
        <v>0.78202911336568148</v>
      </c>
    </row>
    <row r="238" spans="2:21" ht="16.5" thickBot="1" x14ac:dyDescent="0.3">
      <c r="B238" s="12"/>
      <c r="C238" s="19">
        <v>602.140625</v>
      </c>
      <c r="D238" s="20">
        <v>36.689</v>
      </c>
      <c r="E238" s="20">
        <v>38.820999999999998</v>
      </c>
      <c r="F238" s="20">
        <v>38.679000000000002</v>
      </c>
      <c r="G238" s="20">
        <v>286.47000000000003</v>
      </c>
      <c r="H238" s="20">
        <f t="shared" si="10"/>
        <v>37.204250000000002</v>
      </c>
      <c r="I238" s="5"/>
      <c r="J238" s="19">
        <v>290.69650000000001</v>
      </c>
      <c r="K238" s="20">
        <v>34.682899999999997</v>
      </c>
      <c r="L238" s="20">
        <v>37.974400000000003</v>
      </c>
      <c r="M238" s="20">
        <v>37.629899999999999</v>
      </c>
      <c r="N238" s="20">
        <v>573.9796</v>
      </c>
      <c r="O238" s="20">
        <f t="shared" si="11"/>
        <v>35.462712500000002</v>
      </c>
      <c r="P238" s="7"/>
      <c r="Q238" s="13"/>
      <c r="R238" s="14"/>
      <c r="S238" s="14"/>
      <c r="T238" s="27"/>
      <c r="U238" s="28">
        <f t="shared" si="9"/>
        <v>1.0036290012915836</v>
      </c>
    </row>
    <row r="239" spans="2:21" x14ac:dyDescent="0.25">
      <c r="B239" s="6" t="s">
        <v>104</v>
      </c>
      <c r="C239" s="15">
        <v>2040.6992190000001</v>
      </c>
      <c r="D239" s="16">
        <v>45.74</v>
      </c>
      <c r="E239" s="16">
        <v>47.168999999999997</v>
      </c>
      <c r="F239" s="16">
        <v>47.427999999999997</v>
      </c>
      <c r="G239" s="16">
        <v>213.68</v>
      </c>
      <c r="H239" s="16">
        <f t="shared" si="10"/>
        <v>46.129624999999997</v>
      </c>
      <c r="I239" s="5"/>
      <c r="J239" s="15">
        <v>1354.8562999999999</v>
      </c>
      <c r="K239" s="16">
        <v>45.375300000000003</v>
      </c>
      <c r="L239" s="16">
        <v>47.697800000000001</v>
      </c>
      <c r="M239" s="16">
        <v>47.929400000000001</v>
      </c>
      <c r="N239" s="16">
        <v>334.44819999999999</v>
      </c>
      <c r="O239" s="16">
        <f t="shared" si="11"/>
        <v>45.984875000000002</v>
      </c>
      <c r="P239" s="7"/>
      <c r="Q239" s="8">
        <f>bdrate(C239:C242,D239:D242,J239:J242,K239:K242)</f>
        <v>-8.6218130286714767E-2</v>
      </c>
      <c r="R239" s="8">
        <f>bdrate(C239:C242,E239:E242,J239:J242,L239:L242)</f>
        <v>-0.21856558516297897</v>
      </c>
      <c r="S239" s="8">
        <f>bdrate(C239:C242,F239:F242,J239:J242,M239:M242)</f>
        <v>-0.21679248324422851</v>
      </c>
      <c r="T239" s="25">
        <f>bdrate(C239:C242,H239:H242,J239:J242,O239:O242)</f>
        <v>-0.1180624980385836</v>
      </c>
      <c r="U239" s="28">
        <f t="shared" si="9"/>
        <v>0.56518251591164348</v>
      </c>
    </row>
    <row r="240" spans="2:21" x14ac:dyDescent="0.25">
      <c r="B240" s="9"/>
      <c r="C240" s="17">
        <v>1459.4726559999999</v>
      </c>
      <c r="D240" s="18">
        <v>45.378999999999998</v>
      </c>
      <c r="E240" s="18">
        <v>46.889000000000003</v>
      </c>
      <c r="F240" s="18">
        <v>47.151000000000003</v>
      </c>
      <c r="G240" s="18">
        <v>264.8</v>
      </c>
      <c r="H240" s="18">
        <f t="shared" si="10"/>
        <v>45.789250000000003</v>
      </c>
      <c r="I240" s="5"/>
      <c r="J240" s="17">
        <v>951.19150000000002</v>
      </c>
      <c r="K240" s="18">
        <v>43.749000000000002</v>
      </c>
      <c r="L240" s="18">
        <v>46.32</v>
      </c>
      <c r="M240" s="18">
        <v>46.555100000000003</v>
      </c>
      <c r="N240" s="18">
        <v>361.73630000000003</v>
      </c>
      <c r="O240" s="18">
        <f t="shared" si="11"/>
        <v>44.4211375</v>
      </c>
      <c r="P240" s="7"/>
      <c r="Q240" s="10"/>
      <c r="R240" s="11"/>
      <c r="S240" s="11"/>
      <c r="T240" s="26"/>
      <c r="U240" s="28">
        <f t="shared" si="9"/>
        <v>0.36607364048338376</v>
      </c>
    </row>
    <row r="241" spans="2:21" x14ac:dyDescent="0.25">
      <c r="B241" s="9"/>
      <c r="C241" s="17">
        <v>932.35351560000004</v>
      </c>
      <c r="D241" s="18">
        <v>42.887</v>
      </c>
      <c r="E241" s="18">
        <v>44.732999999999997</v>
      </c>
      <c r="F241" s="18">
        <v>44.978000000000002</v>
      </c>
      <c r="G241" s="18">
        <v>274.73</v>
      </c>
      <c r="H241" s="18">
        <f t="shared" si="10"/>
        <v>43.379125000000002</v>
      </c>
      <c r="I241" s="5"/>
      <c r="J241" s="17">
        <v>627.25530000000003</v>
      </c>
      <c r="K241" s="18">
        <v>40.990600000000001</v>
      </c>
      <c r="L241" s="18">
        <v>43.888800000000003</v>
      </c>
      <c r="M241" s="18">
        <v>44.127099999999999</v>
      </c>
      <c r="N241" s="18">
        <v>385.85210000000001</v>
      </c>
      <c r="O241" s="18">
        <f t="shared" si="11"/>
        <v>41.744937499999999</v>
      </c>
      <c r="P241" s="7"/>
      <c r="Q241" s="10"/>
      <c r="R241" s="11"/>
      <c r="S241" s="11"/>
      <c r="T241" s="26"/>
      <c r="U241" s="28">
        <f t="shared" si="9"/>
        <v>0.40447748698722374</v>
      </c>
    </row>
    <row r="242" spans="2:21" ht="16.5" thickBot="1" x14ac:dyDescent="0.3">
      <c r="B242" s="12"/>
      <c r="C242" s="19">
        <v>578.51757810000004</v>
      </c>
      <c r="D242" s="20">
        <v>39.832999999999998</v>
      </c>
      <c r="E242" s="20">
        <v>42.264000000000003</v>
      </c>
      <c r="F242" s="20">
        <v>42.503</v>
      </c>
      <c r="G242" s="20">
        <v>287.11</v>
      </c>
      <c r="H242" s="20">
        <f t="shared" si="10"/>
        <v>40.470624999999998</v>
      </c>
      <c r="I242" s="5"/>
      <c r="J242" s="19">
        <v>343.39679999999998</v>
      </c>
      <c r="K242" s="20">
        <v>36.985300000000002</v>
      </c>
      <c r="L242" s="20">
        <v>40.404600000000002</v>
      </c>
      <c r="M242" s="20">
        <v>40.662999999999997</v>
      </c>
      <c r="N242" s="20">
        <v>552.1472</v>
      </c>
      <c r="O242" s="20">
        <f t="shared" si="11"/>
        <v>37.872425000000007</v>
      </c>
      <c r="P242" s="7"/>
      <c r="Q242" s="13"/>
      <c r="R242" s="14"/>
      <c r="S242" s="14"/>
      <c r="T242" s="27"/>
      <c r="U242" s="28">
        <f t="shared" si="9"/>
        <v>0.92312075511128133</v>
      </c>
    </row>
    <row r="243" spans="2:21" x14ac:dyDescent="0.25">
      <c r="B243" s="6" t="s">
        <v>105</v>
      </c>
      <c r="C243" s="29">
        <v>1746.3740230000001</v>
      </c>
      <c r="D243" s="30">
        <v>31.603999999999999</v>
      </c>
      <c r="E243" s="30">
        <v>35.29</v>
      </c>
      <c r="F243" s="30">
        <v>34.045000000000002</v>
      </c>
      <c r="G243" s="16">
        <v>172.02</v>
      </c>
      <c r="H243" s="16">
        <f t="shared" si="10"/>
        <v>32.369875</v>
      </c>
      <c r="I243" s="5"/>
      <c r="J243" s="29">
        <v>1510.1925000000001</v>
      </c>
      <c r="K243" s="30">
        <v>31.8276</v>
      </c>
      <c r="L243" s="30">
        <v>36.243600000000001</v>
      </c>
      <c r="M243" s="30">
        <v>35.136099999999999</v>
      </c>
      <c r="N243" s="16">
        <v>297.3732</v>
      </c>
      <c r="O243" s="16">
        <f t="shared" si="11"/>
        <v>32.793162500000001</v>
      </c>
      <c r="P243" s="7"/>
      <c r="Q243" s="8">
        <f>bdrate(C243:C246,D243:D246,J243:J246,K243:K246)</f>
        <v>-0.15360972537083428</v>
      </c>
      <c r="R243" s="8">
        <f>bdrate(C243:C246,E243:E246,J243:J246,L243:L246)</f>
        <v>-0.48956979673768042</v>
      </c>
      <c r="S243" s="8">
        <f>bdrate(C243:C246,F243:F246,J243:J246,M243:M246)</f>
        <v>-0.48864851931649445</v>
      </c>
      <c r="T243" s="25">
        <f>bdrate(C243:C246,H243:H246,J243:J246,O243:O246)</f>
        <v>-0.22644249326749011</v>
      </c>
      <c r="U243" s="28">
        <f t="shared" si="9"/>
        <v>0.7287129403557725</v>
      </c>
    </row>
    <row r="244" spans="2:21" x14ac:dyDescent="0.25">
      <c r="B244" s="9"/>
      <c r="C244" s="31">
        <v>1201.7294919999999</v>
      </c>
      <c r="D244" s="32">
        <v>30.018999999999998</v>
      </c>
      <c r="E244" s="32">
        <v>34.091000000000001</v>
      </c>
      <c r="F244" s="32">
        <v>32.811</v>
      </c>
      <c r="G244" s="18">
        <v>200.69</v>
      </c>
      <c r="H244" s="18">
        <f t="shared" si="10"/>
        <v>30.876999999999999</v>
      </c>
      <c r="I244" s="5"/>
      <c r="J244" s="31">
        <v>1005.1581</v>
      </c>
      <c r="K244" s="32">
        <v>29.984300000000001</v>
      </c>
      <c r="L244" s="32">
        <v>35.228200000000001</v>
      </c>
      <c r="M244" s="32">
        <v>34.055399999999999</v>
      </c>
      <c r="N244" s="18">
        <v>346.48700000000002</v>
      </c>
      <c r="O244" s="18">
        <f t="shared" si="11"/>
        <v>31.148675000000001</v>
      </c>
      <c r="P244" s="7"/>
      <c r="Q244" s="10"/>
      <c r="R244" s="11"/>
      <c r="S244" s="11"/>
      <c r="T244" s="26"/>
      <c r="U244" s="28">
        <f t="shared" si="9"/>
        <v>0.72647864866211587</v>
      </c>
    </row>
    <row r="245" spans="2:21" x14ac:dyDescent="0.25">
      <c r="B245" s="9"/>
      <c r="C245" s="31">
        <v>819.44335939999996</v>
      </c>
      <c r="D245" s="32">
        <v>28.495999999999999</v>
      </c>
      <c r="E245" s="32">
        <v>32.881999999999998</v>
      </c>
      <c r="F245" s="32">
        <v>31.600999999999999</v>
      </c>
      <c r="G245" s="18">
        <v>212.07</v>
      </c>
      <c r="H245" s="18">
        <f t="shared" si="10"/>
        <v>29.432375</v>
      </c>
      <c r="I245" s="5"/>
      <c r="J245" s="31">
        <v>602.00009999999997</v>
      </c>
      <c r="K245" s="32">
        <v>27.848099999999999</v>
      </c>
      <c r="L245" s="32">
        <v>33.997999999999998</v>
      </c>
      <c r="M245" s="32">
        <v>32.7209</v>
      </c>
      <c r="N245" s="18">
        <v>418.11849999999998</v>
      </c>
      <c r="O245" s="18">
        <f t="shared" si="11"/>
        <v>29.225937499999997</v>
      </c>
      <c r="P245" s="7"/>
      <c r="Q245" s="10"/>
      <c r="R245" s="11"/>
      <c r="S245" s="11"/>
      <c r="T245" s="26"/>
      <c r="U245" s="28">
        <f t="shared" si="9"/>
        <v>0.97160607346630823</v>
      </c>
    </row>
    <row r="246" spans="2:21" ht="16.5" thickBot="1" x14ac:dyDescent="0.3">
      <c r="B246" s="12"/>
      <c r="C246" s="33">
        <v>609.53613280000002</v>
      </c>
      <c r="D246" s="34">
        <v>27.181999999999999</v>
      </c>
      <c r="E246" s="34">
        <v>31.739000000000001</v>
      </c>
      <c r="F246" s="34">
        <v>30.498000000000001</v>
      </c>
      <c r="G246" s="20">
        <v>215.91</v>
      </c>
      <c r="H246" s="20">
        <f t="shared" si="10"/>
        <v>28.166124999999997</v>
      </c>
      <c r="I246" s="5"/>
      <c r="J246" s="33">
        <v>302.60079999999999</v>
      </c>
      <c r="K246" s="34">
        <v>25.383299999999998</v>
      </c>
      <c r="L246" s="34">
        <v>32.163800000000002</v>
      </c>
      <c r="M246" s="34">
        <v>30.783000000000001</v>
      </c>
      <c r="N246" s="20">
        <v>529.41179999999997</v>
      </c>
      <c r="O246" s="20">
        <f t="shared" si="11"/>
        <v>26.905825</v>
      </c>
      <c r="P246" s="7"/>
      <c r="Q246" s="13"/>
      <c r="R246" s="14"/>
      <c r="S246" s="14"/>
      <c r="T246" s="27"/>
      <c r="U246" s="28">
        <f t="shared" si="9"/>
        <v>1.4520022231485341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-0.29877071336429684</v>
      </c>
      <c r="R247" s="21">
        <f>AVERAGE(R131:R246)</f>
        <v>-0.40264024047295677</v>
      </c>
      <c r="S247" s="21">
        <f>AVERAGE(S131:S246)</f>
        <v>-0.40758861184534245</v>
      </c>
      <c r="T247" s="21">
        <f>AVERAGE(T131:T246)</f>
        <v>-0.32234973601530875</v>
      </c>
      <c r="U247" s="21">
        <f>AVERAGE(U131:U246)</f>
        <v>1.3256096142862683</v>
      </c>
    </row>
  </sheetData>
  <mergeCells count="12">
    <mergeCell ref="B127:B128"/>
    <mergeCell ref="C127:U128"/>
    <mergeCell ref="C129:H129"/>
    <mergeCell ref="J129:O129"/>
    <mergeCell ref="Q129:S129"/>
    <mergeCell ref="U129:U130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427" priority="85" operator="greaterThan">
      <formula>0.03</formula>
    </cfRule>
    <cfRule type="cellIs" dxfId="426" priority="86" stopIfTrue="1" operator="lessThan">
      <formula>-0.03</formula>
    </cfRule>
  </conditionalFormatting>
  <conditionalFormatting sqref="Q33:T36">
    <cfRule type="cellIs" dxfId="425" priority="83" operator="greaterThan">
      <formula>0.03</formula>
    </cfRule>
    <cfRule type="cellIs" dxfId="424" priority="84" stopIfTrue="1" operator="lessThan">
      <formula>-0.03</formula>
    </cfRule>
  </conditionalFormatting>
  <conditionalFormatting sqref="Q46:T48 Q62:T64">
    <cfRule type="cellIs" dxfId="423" priority="81" operator="greaterThan">
      <formula>0.03</formula>
    </cfRule>
    <cfRule type="cellIs" dxfId="422" priority="82" stopIfTrue="1" operator="lessThan">
      <formula>-0.03</formula>
    </cfRule>
  </conditionalFormatting>
  <conditionalFormatting sqref="Q50:T52 Q54:T56 Q58:T60">
    <cfRule type="cellIs" dxfId="421" priority="79" operator="greaterThan">
      <formula>0.03</formula>
    </cfRule>
    <cfRule type="cellIs" dxfId="420" priority="80" stopIfTrue="1" operator="lessThan">
      <formula>-0.03</formula>
    </cfRule>
  </conditionalFormatting>
  <conditionalFormatting sqref="Q70:T72 Q74:T76">
    <cfRule type="cellIs" dxfId="419" priority="77" operator="greaterThan">
      <formula>0.03</formula>
    </cfRule>
    <cfRule type="cellIs" dxfId="418" priority="78" stopIfTrue="1" operator="lessThan">
      <formula>-0.03</formula>
    </cfRule>
  </conditionalFormatting>
  <conditionalFormatting sqref="Q66:T68">
    <cfRule type="cellIs" dxfId="417" priority="75" operator="greaterThan">
      <formula>0.03</formula>
    </cfRule>
    <cfRule type="cellIs" dxfId="416" priority="76" stopIfTrue="1" operator="lessThan">
      <formula>-0.03</formula>
    </cfRule>
  </conditionalFormatting>
  <conditionalFormatting sqref="Q78:T80">
    <cfRule type="cellIs" dxfId="415" priority="73" operator="greaterThan">
      <formula>0.03</formula>
    </cfRule>
    <cfRule type="cellIs" dxfId="414" priority="74" stopIfTrue="1" operator="lessThan">
      <formula>-0.03</formula>
    </cfRule>
  </conditionalFormatting>
  <conditionalFormatting sqref="Q21:T28">
    <cfRule type="cellIs" dxfId="413" priority="71" operator="greaterThan">
      <formula>0.03</formula>
    </cfRule>
    <cfRule type="cellIs" dxfId="412" priority="72" stopIfTrue="1" operator="lessThan">
      <formula>-0.03</formula>
    </cfRule>
  </conditionalFormatting>
  <conditionalFormatting sqref="Q151:T154 Q159:T166 Q131:T142">
    <cfRule type="cellIs" dxfId="411" priority="69" operator="greaterThan">
      <formula>0.03</formula>
    </cfRule>
    <cfRule type="cellIs" dxfId="410" priority="70" stopIfTrue="1" operator="lessThan">
      <formula>-0.03</formula>
    </cfRule>
  </conditionalFormatting>
  <conditionalFormatting sqref="Q155:T158">
    <cfRule type="cellIs" dxfId="409" priority="67" operator="greaterThan">
      <formula>0.03</formula>
    </cfRule>
    <cfRule type="cellIs" dxfId="408" priority="68" stopIfTrue="1" operator="lessThan">
      <formula>-0.03</formula>
    </cfRule>
  </conditionalFormatting>
  <conditionalFormatting sqref="Q167:T170 Q183:T186">
    <cfRule type="cellIs" dxfId="407" priority="65" operator="greaterThan">
      <formula>0.03</formula>
    </cfRule>
    <cfRule type="cellIs" dxfId="406" priority="66" stopIfTrue="1" operator="lessThan">
      <formula>-0.03</formula>
    </cfRule>
  </conditionalFormatting>
  <conditionalFormatting sqref="Q171:T182">
    <cfRule type="cellIs" dxfId="405" priority="63" operator="greaterThan">
      <formula>0.03</formula>
    </cfRule>
    <cfRule type="cellIs" dxfId="404" priority="64" stopIfTrue="1" operator="lessThan">
      <formula>-0.03</formula>
    </cfRule>
  </conditionalFormatting>
  <conditionalFormatting sqref="Q191:T198">
    <cfRule type="cellIs" dxfId="403" priority="61" operator="greaterThan">
      <formula>0.03</formula>
    </cfRule>
    <cfRule type="cellIs" dxfId="402" priority="62" stopIfTrue="1" operator="lessThan">
      <formula>-0.03</formula>
    </cfRule>
  </conditionalFormatting>
  <conditionalFormatting sqref="Q187:T190">
    <cfRule type="cellIs" dxfId="401" priority="59" operator="greaterThan">
      <formula>0.03</formula>
    </cfRule>
    <cfRule type="cellIs" dxfId="400" priority="60" stopIfTrue="1" operator="lessThan">
      <formula>-0.03</formula>
    </cfRule>
  </conditionalFormatting>
  <conditionalFormatting sqref="Q199:T202">
    <cfRule type="cellIs" dxfId="399" priority="57" operator="greaterThan">
      <formula>0.03</formula>
    </cfRule>
    <cfRule type="cellIs" dxfId="398" priority="58" stopIfTrue="1" operator="lessThan">
      <formula>-0.03</formula>
    </cfRule>
  </conditionalFormatting>
  <conditionalFormatting sqref="Q143:T150">
    <cfRule type="cellIs" dxfId="397" priority="55" operator="greaterThan">
      <formula>0.03</formula>
    </cfRule>
    <cfRule type="cellIs" dxfId="396" priority="56" stopIfTrue="1" operator="lessThan">
      <formula>-0.03</formula>
    </cfRule>
  </conditionalFormatting>
  <conditionalFormatting sqref="Q45:T45">
    <cfRule type="cellIs" dxfId="395" priority="53" operator="greaterThan">
      <formula>0.03</formula>
    </cfRule>
    <cfRule type="cellIs" dxfId="394" priority="54" stopIfTrue="1" operator="lessThan">
      <formula>-0.03</formula>
    </cfRule>
  </conditionalFormatting>
  <conditionalFormatting sqref="Q49:T49">
    <cfRule type="cellIs" dxfId="393" priority="51" operator="greaterThan">
      <formula>0.03</formula>
    </cfRule>
    <cfRule type="cellIs" dxfId="392" priority="52" stopIfTrue="1" operator="lessThan">
      <formula>-0.03</formula>
    </cfRule>
  </conditionalFormatting>
  <conditionalFormatting sqref="Q53:T53">
    <cfRule type="cellIs" dxfId="391" priority="49" operator="greaterThan">
      <formula>0.03</formula>
    </cfRule>
    <cfRule type="cellIs" dxfId="390" priority="50" stopIfTrue="1" operator="lessThan">
      <formula>-0.03</formula>
    </cfRule>
  </conditionalFormatting>
  <conditionalFormatting sqref="Q57:T57">
    <cfRule type="cellIs" dxfId="389" priority="47" operator="greaterThan">
      <formula>0.03</formula>
    </cfRule>
    <cfRule type="cellIs" dxfId="388" priority="48" stopIfTrue="1" operator="lessThan">
      <formula>-0.03</formula>
    </cfRule>
  </conditionalFormatting>
  <conditionalFormatting sqref="Q61:T61">
    <cfRule type="cellIs" dxfId="387" priority="45" operator="greaterThan">
      <formula>0.03</formula>
    </cfRule>
    <cfRule type="cellIs" dxfId="386" priority="46" stopIfTrue="1" operator="lessThan">
      <formula>-0.03</formula>
    </cfRule>
  </conditionalFormatting>
  <conditionalFormatting sqref="Q65:T65">
    <cfRule type="cellIs" dxfId="385" priority="43" operator="greaterThan">
      <formula>0.03</formula>
    </cfRule>
    <cfRule type="cellIs" dxfId="384" priority="44" stopIfTrue="1" operator="lessThan">
      <formula>-0.03</formula>
    </cfRule>
  </conditionalFormatting>
  <conditionalFormatting sqref="Q69:T69">
    <cfRule type="cellIs" dxfId="383" priority="41" operator="greaterThan">
      <formula>0.03</formula>
    </cfRule>
    <cfRule type="cellIs" dxfId="382" priority="42" stopIfTrue="1" operator="lessThan">
      <formula>-0.03</formula>
    </cfRule>
  </conditionalFormatting>
  <conditionalFormatting sqref="Q73:T73">
    <cfRule type="cellIs" dxfId="381" priority="39" operator="greaterThan">
      <formula>0.03</formula>
    </cfRule>
    <cfRule type="cellIs" dxfId="380" priority="40" stopIfTrue="1" operator="lessThan">
      <formula>-0.03</formula>
    </cfRule>
  </conditionalFormatting>
  <conditionalFormatting sqref="Q77:T77">
    <cfRule type="cellIs" dxfId="379" priority="37" operator="greaterThan">
      <formula>0.03</formula>
    </cfRule>
    <cfRule type="cellIs" dxfId="378" priority="38" stopIfTrue="1" operator="lessThan">
      <formula>-0.03</formula>
    </cfRule>
  </conditionalFormatting>
  <conditionalFormatting sqref="Q117:T117">
    <cfRule type="cellIs" dxfId="377" priority="21" operator="greaterThan">
      <formula>0.03</formula>
    </cfRule>
    <cfRule type="cellIs" dxfId="376" priority="22" stopIfTrue="1" operator="lessThan">
      <formula>-0.03</formula>
    </cfRule>
  </conditionalFormatting>
  <conditionalFormatting sqref="Q93:T96 Q101:T108 Q81:T84">
    <cfRule type="cellIs" dxfId="375" priority="35" operator="greaterThan">
      <formula>0.03</formula>
    </cfRule>
    <cfRule type="cellIs" dxfId="374" priority="36" stopIfTrue="1" operator="lessThan">
      <formula>-0.03</formula>
    </cfRule>
  </conditionalFormatting>
  <conditionalFormatting sqref="Q97:T100">
    <cfRule type="cellIs" dxfId="373" priority="33" operator="greaterThan">
      <formula>0.03</formula>
    </cfRule>
    <cfRule type="cellIs" dxfId="372" priority="34" stopIfTrue="1" operator="lessThan">
      <formula>-0.03</formula>
    </cfRule>
  </conditionalFormatting>
  <conditionalFormatting sqref="Q110:T112 Q122:T124">
    <cfRule type="cellIs" dxfId="371" priority="31" operator="greaterThan">
      <formula>0.03</formula>
    </cfRule>
    <cfRule type="cellIs" dxfId="370" priority="32" stopIfTrue="1" operator="lessThan">
      <formula>-0.03</formula>
    </cfRule>
  </conditionalFormatting>
  <conditionalFormatting sqref="Q114:T116 Q118:T120">
    <cfRule type="cellIs" dxfId="369" priority="29" operator="greaterThan">
      <formula>0.03</formula>
    </cfRule>
    <cfRule type="cellIs" dxfId="368" priority="30" stopIfTrue="1" operator="lessThan">
      <formula>-0.03</formula>
    </cfRule>
  </conditionalFormatting>
  <conditionalFormatting sqref="Q85:T92">
    <cfRule type="cellIs" dxfId="367" priority="27" operator="greaterThan">
      <formula>0.03</formula>
    </cfRule>
    <cfRule type="cellIs" dxfId="366" priority="28" stopIfTrue="1" operator="lessThan">
      <formula>-0.03</formula>
    </cfRule>
  </conditionalFormatting>
  <conditionalFormatting sqref="Q109:T109">
    <cfRule type="cellIs" dxfId="365" priority="25" operator="greaterThan">
      <formula>0.03</formula>
    </cfRule>
    <cfRule type="cellIs" dxfId="364" priority="26" stopIfTrue="1" operator="lessThan">
      <formula>-0.03</formula>
    </cfRule>
  </conditionalFormatting>
  <conditionalFormatting sqref="Q113:T113">
    <cfRule type="cellIs" dxfId="363" priority="23" operator="greaterThan">
      <formula>0.03</formula>
    </cfRule>
    <cfRule type="cellIs" dxfId="362" priority="24" stopIfTrue="1" operator="lessThan">
      <formula>-0.03</formula>
    </cfRule>
  </conditionalFormatting>
  <conditionalFormatting sqref="Q121:T121">
    <cfRule type="cellIs" dxfId="361" priority="19" operator="greaterThan">
      <formula>0.03</formula>
    </cfRule>
    <cfRule type="cellIs" dxfId="360" priority="20" stopIfTrue="1" operator="lessThan">
      <formula>-0.03</formula>
    </cfRule>
  </conditionalFormatting>
  <conditionalFormatting sqref="Q239:T239">
    <cfRule type="cellIs" dxfId="359" priority="3" operator="greaterThan">
      <formula>0.03</formula>
    </cfRule>
    <cfRule type="cellIs" dxfId="358" priority="4" stopIfTrue="1" operator="lessThan">
      <formula>-0.03</formula>
    </cfRule>
  </conditionalFormatting>
  <conditionalFormatting sqref="Q215:T218 Q223:T230 Q203:T206">
    <cfRule type="cellIs" dxfId="357" priority="17" operator="greaterThan">
      <formula>0.03</formula>
    </cfRule>
    <cfRule type="cellIs" dxfId="356" priority="18" stopIfTrue="1" operator="lessThan">
      <formula>-0.03</formula>
    </cfRule>
  </conditionalFormatting>
  <conditionalFormatting sqref="Q219:T222">
    <cfRule type="cellIs" dxfId="355" priority="15" operator="greaterThan">
      <formula>0.03</formula>
    </cfRule>
    <cfRule type="cellIs" dxfId="354" priority="16" stopIfTrue="1" operator="lessThan">
      <formula>-0.03</formula>
    </cfRule>
  </conditionalFormatting>
  <conditionalFormatting sqref="Q232:T234 Q244:T246">
    <cfRule type="cellIs" dxfId="353" priority="13" operator="greaterThan">
      <formula>0.03</formula>
    </cfRule>
    <cfRule type="cellIs" dxfId="352" priority="14" stopIfTrue="1" operator="lessThan">
      <formula>-0.03</formula>
    </cfRule>
  </conditionalFormatting>
  <conditionalFormatting sqref="Q236:T238 Q240:T242">
    <cfRule type="cellIs" dxfId="351" priority="11" operator="greaterThan">
      <formula>0.03</formula>
    </cfRule>
    <cfRule type="cellIs" dxfId="350" priority="12" stopIfTrue="1" operator="lessThan">
      <formula>-0.03</formula>
    </cfRule>
  </conditionalFormatting>
  <conditionalFormatting sqref="Q207:T214">
    <cfRule type="cellIs" dxfId="349" priority="9" operator="greaterThan">
      <formula>0.03</formula>
    </cfRule>
    <cfRule type="cellIs" dxfId="348" priority="10" stopIfTrue="1" operator="lessThan">
      <formula>-0.03</formula>
    </cfRule>
  </conditionalFormatting>
  <conditionalFormatting sqref="Q231:T231">
    <cfRule type="cellIs" dxfId="347" priority="7" operator="greaterThan">
      <formula>0.03</formula>
    </cfRule>
    <cfRule type="cellIs" dxfId="346" priority="8" stopIfTrue="1" operator="lessThan">
      <formula>-0.03</formula>
    </cfRule>
  </conditionalFormatting>
  <conditionalFormatting sqref="Q235:T235">
    <cfRule type="cellIs" dxfId="345" priority="5" operator="greaterThan">
      <formula>0.03</formula>
    </cfRule>
    <cfRule type="cellIs" dxfId="344" priority="6" stopIfTrue="1" operator="lessThan">
      <formula>-0.03</formula>
    </cfRule>
  </conditionalFormatting>
  <conditionalFormatting sqref="Q243:T243">
    <cfRule type="cellIs" dxfId="343" priority="1" operator="greaterThan">
      <formula>0.03</formula>
    </cfRule>
    <cfRule type="cellIs" dxfId="342" priority="2" stopIfTrue="1" operator="lessThan">
      <formula>-0.03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zoomScaleNormal="100"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116</v>
      </c>
    </row>
    <row r="2" spans="1:21" x14ac:dyDescent="0.25">
      <c r="A2" t="s">
        <v>114</v>
      </c>
    </row>
    <row r="3" spans="1:21" x14ac:dyDescent="0.25">
      <c r="A3" t="s">
        <v>85</v>
      </c>
    </row>
    <row r="4" spans="1:21" x14ac:dyDescent="0.25">
      <c r="A4" t="s">
        <v>81</v>
      </c>
    </row>
    <row r="5" spans="1:21" s="35" customFormat="1" ht="15.75" customHeight="1" x14ac:dyDescent="0.25">
      <c r="B5" s="61" t="s">
        <v>29</v>
      </c>
      <c r="C5" s="63" t="s">
        <v>204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112</v>
      </c>
      <c r="D7" s="70"/>
      <c r="E7" s="70"/>
      <c r="F7" s="70"/>
      <c r="G7" s="70"/>
      <c r="H7" s="70"/>
      <c r="I7" s="5"/>
      <c r="J7" s="69" t="s">
        <v>179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4442.7382809999999</v>
      </c>
      <c r="D9" s="16">
        <v>36.252000000000002</v>
      </c>
      <c r="E9" s="16">
        <v>38.652999999999999</v>
      </c>
      <c r="F9" s="16">
        <v>40.99</v>
      </c>
      <c r="G9" s="16">
        <v>14.59</v>
      </c>
      <c r="H9" s="16">
        <f t="shared" ref="H9:H80" si="0">(6*D9+E9+F9)/8</f>
        <v>37.144375000000004</v>
      </c>
      <c r="I9" s="5"/>
      <c r="J9" s="15">
        <v>4022.6143999999999</v>
      </c>
      <c r="K9" s="16">
        <v>37.903100000000002</v>
      </c>
      <c r="L9" s="16">
        <v>39.505899999999997</v>
      </c>
      <c r="M9" s="16">
        <v>41.9831</v>
      </c>
      <c r="N9" s="16">
        <v>17.674099999999999</v>
      </c>
      <c r="O9" s="16">
        <f t="shared" ref="O9:O80" si="1">(6*K9+L9+M9)/8</f>
        <v>38.61345</v>
      </c>
      <c r="P9" s="7"/>
      <c r="Q9" s="8">
        <f>bdrate(C9:C12,D9:D12,J9:J12,K9:K12)</f>
        <v>-0.39709753859213925</v>
      </c>
      <c r="R9" s="8">
        <f>bdrate(C9:C12,E9:E12,J9:J12,L9:L12)</f>
        <v>-0.45334062455605895</v>
      </c>
      <c r="S9" s="8">
        <f>bdrate(C9:C12,F9:F12,J9:J12,M9:M12)</f>
        <v>-0.46689398185014264</v>
      </c>
      <c r="T9" s="25">
        <f>bdrate(C9:C12,H9:H12,J9:J12,O9:O12)</f>
        <v>-0.40788316953965442</v>
      </c>
      <c r="U9" s="28">
        <f t="shared" ref="U9:U72" si="2">(N9-G9)/G9</f>
        <v>0.21138450993831387</v>
      </c>
    </row>
    <row r="10" spans="1:21" x14ac:dyDescent="0.25">
      <c r="A10" s="9" t="s">
        <v>36</v>
      </c>
      <c r="B10" s="9"/>
      <c r="C10" s="17">
        <v>3313.9697270000001</v>
      </c>
      <c r="D10" s="18">
        <v>35.381</v>
      </c>
      <c r="E10" s="18">
        <v>38.168999999999997</v>
      </c>
      <c r="F10" s="18">
        <v>40.423000000000002</v>
      </c>
      <c r="G10" s="18">
        <v>17.670000000000002</v>
      </c>
      <c r="H10" s="18">
        <f t="shared" si="0"/>
        <v>36.359749999999998</v>
      </c>
      <c r="I10" s="5"/>
      <c r="J10" s="17">
        <v>2943.9839999999999</v>
      </c>
      <c r="K10" s="18">
        <v>36.929400000000001</v>
      </c>
      <c r="L10" s="18">
        <v>38.935499999999998</v>
      </c>
      <c r="M10" s="18">
        <v>41.287199999999999</v>
      </c>
      <c r="N10" s="18">
        <v>19.7837</v>
      </c>
      <c r="O10" s="18">
        <f t="shared" si="1"/>
        <v>37.724887500000001</v>
      </c>
      <c r="P10" s="7"/>
      <c r="Q10" s="10"/>
      <c r="R10" s="11"/>
      <c r="S10" s="11"/>
      <c r="T10" s="26"/>
      <c r="U10" s="28">
        <f t="shared" si="2"/>
        <v>0.11962082625919625</v>
      </c>
    </row>
    <row r="11" spans="1:21" x14ac:dyDescent="0.25">
      <c r="B11" s="9"/>
      <c r="C11" s="17">
        <v>2225.3310550000001</v>
      </c>
      <c r="D11" s="18">
        <v>34.076999999999998</v>
      </c>
      <c r="E11" s="18">
        <v>37.405000000000001</v>
      </c>
      <c r="F11" s="18">
        <v>39.591999999999999</v>
      </c>
      <c r="G11" s="18">
        <v>18.78</v>
      </c>
      <c r="H11" s="18">
        <f t="shared" si="0"/>
        <v>35.182375</v>
      </c>
      <c r="I11" s="5"/>
      <c r="J11" s="17">
        <v>1941.8112000000001</v>
      </c>
      <c r="K11" s="18">
        <v>35.381900000000002</v>
      </c>
      <c r="L11" s="18">
        <v>38.250799999999998</v>
      </c>
      <c r="M11" s="18">
        <v>40.5593</v>
      </c>
      <c r="N11" s="18">
        <v>23.227</v>
      </c>
      <c r="O11" s="18">
        <f t="shared" si="1"/>
        <v>36.387687499999998</v>
      </c>
      <c r="P11" s="7"/>
      <c r="Q11" s="10"/>
      <c r="R11" s="11"/>
      <c r="S11" s="11"/>
      <c r="T11" s="26"/>
      <c r="U11" s="28">
        <f t="shared" si="2"/>
        <v>0.23679446219382316</v>
      </c>
    </row>
    <row r="12" spans="1:21" ht="16.5" thickBot="1" x14ac:dyDescent="0.3">
      <c r="B12" s="12"/>
      <c r="C12" s="19">
        <v>1141.341797</v>
      </c>
      <c r="D12" s="20">
        <v>31.34</v>
      </c>
      <c r="E12" s="20">
        <v>35.914999999999999</v>
      </c>
      <c r="F12" s="20">
        <v>37.944000000000003</v>
      </c>
      <c r="G12" s="20">
        <v>22.71</v>
      </c>
      <c r="H12" s="20">
        <f t="shared" si="0"/>
        <v>32.737375</v>
      </c>
      <c r="I12" s="5"/>
      <c r="J12" s="19">
        <v>924.39840000000004</v>
      </c>
      <c r="K12" s="20">
        <v>32.535400000000003</v>
      </c>
      <c r="L12" s="20">
        <v>36.930999999999997</v>
      </c>
      <c r="M12" s="20">
        <v>39.154299999999999</v>
      </c>
      <c r="N12" s="20">
        <v>29.492699999999999</v>
      </c>
      <c r="O12" s="20">
        <f t="shared" si="1"/>
        <v>33.912212499999995</v>
      </c>
      <c r="P12" s="7"/>
      <c r="Q12" s="13"/>
      <c r="R12" s="14"/>
      <c r="S12" s="14"/>
      <c r="T12" s="27"/>
      <c r="U12" s="28">
        <f t="shared" si="2"/>
        <v>0.29866578599735794</v>
      </c>
    </row>
    <row r="13" spans="1:21" x14ac:dyDescent="0.25">
      <c r="B13" s="6" t="s">
        <v>47</v>
      </c>
      <c r="C13" s="15">
        <v>4760.0185549999997</v>
      </c>
      <c r="D13" s="16">
        <v>28.39</v>
      </c>
      <c r="E13" s="16">
        <v>38.631999999999998</v>
      </c>
      <c r="F13" s="16">
        <v>39.74</v>
      </c>
      <c r="G13" s="16">
        <v>13.25</v>
      </c>
      <c r="H13" s="16">
        <f t="shared" si="0"/>
        <v>31.089000000000002</v>
      </c>
      <c r="I13" s="5"/>
      <c r="J13" s="15">
        <v>4056.4688000000001</v>
      </c>
      <c r="K13" s="16">
        <v>29.521999999999998</v>
      </c>
      <c r="L13" s="16">
        <v>39.341099999999997</v>
      </c>
      <c r="M13" s="16">
        <v>40.2699</v>
      </c>
      <c r="N13" s="16">
        <v>12.126099999999999</v>
      </c>
      <c r="O13" s="16">
        <f t="shared" si="1"/>
        <v>32.092874999999999</v>
      </c>
      <c r="P13" s="7"/>
      <c r="Q13" s="8">
        <f>bdrate(C13:C16,D13:D16,J13:J16,K13:K16)</f>
        <v>-0.29438147618156973</v>
      </c>
      <c r="R13" s="8">
        <f>bdrate(C13:C16,E13:E16,J13:J16,L13:L16)</f>
        <v>-0.54356820890475754</v>
      </c>
      <c r="S13" s="8">
        <f>bdrate(C13:C16,F13:F16,J13:J16,M13:M16)</f>
        <v>-0.54989542746765485</v>
      </c>
      <c r="T13" s="25">
        <f>bdrate(C13:C16,H13:H16,J13:J16,O13:O16)</f>
        <v>-0.33041402832644506</v>
      </c>
      <c r="U13" s="28">
        <f t="shared" si="2"/>
        <v>-8.4822641509434027E-2</v>
      </c>
    </row>
    <row r="14" spans="1:21" x14ac:dyDescent="0.25">
      <c r="B14" s="9"/>
      <c r="C14" s="17">
        <v>3910.8085940000001</v>
      </c>
      <c r="D14" s="18">
        <v>27.646000000000001</v>
      </c>
      <c r="E14" s="18">
        <v>38.040999999999997</v>
      </c>
      <c r="F14" s="18">
        <v>39.137</v>
      </c>
      <c r="G14" s="18">
        <v>15.1</v>
      </c>
      <c r="H14" s="18">
        <f t="shared" si="0"/>
        <v>30.38175</v>
      </c>
      <c r="I14" s="5"/>
      <c r="J14" s="17">
        <v>3049.3744000000002</v>
      </c>
      <c r="K14" s="18">
        <v>28.228300000000001</v>
      </c>
      <c r="L14" s="18">
        <v>38.856200000000001</v>
      </c>
      <c r="M14" s="18">
        <v>39.847900000000003</v>
      </c>
      <c r="N14" s="18">
        <v>14.724600000000001</v>
      </c>
      <c r="O14" s="18">
        <f t="shared" si="1"/>
        <v>31.009237500000001</v>
      </c>
      <c r="P14" s="7"/>
      <c r="Q14" s="10"/>
      <c r="R14" s="11"/>
      <c r="S14" s="11"/>
      <c r="T14" s="26"/>
      <c r="U14" s="28">
        <f t="shared" si="2"/>
        <v>-2.4860927152317819E-2</v>
      </c>
    </row>
    <row r="15" spans="1:21" x14ac:dyDescent="0.25">
      <c r="B15" s="9"/>
      <c r="C15" s="17">
        <v>3317.53125</v>
      </c>
      <c r="D15" s="18">
        <v>27.271000000000001</v>
      </c>
      <c r="E15" s="18">
        <v>37.456000000000003</v>
      </c>
      <c r="F15" s="18">
        <v>38.442</v>
      </c>
      <c r="G15" s="18">
        <v>15.15</v>
      </c>
      <c r="H15" s="18">
        <f t="shared" si="0"/>
        <v>29.9405</v>
      </c>
      <c r="I15" s="5"/>
      <c r="J15" s="17">
        <v>2013.3504</v>
      </c>
      <c r="K15" s="18">
        <v>26.4132</v>
      </c>
      <c r="L15" s="18">
        <v>38.150799999999997</v>
      </c>
      <c r="M15" s="18">
        <v>39.242899999999999</v>
      </c>
      <c r="N15" s="18">
        <v>18.454699999999999</v>
      </c>
      <c r="O15" s="18">
        <f t="shared" si="1"/>
        <v>29.484112499999998</v>
      </c>
      <c r="P15" s="7"/>
      <c r="Q15" s="10"/>
      <c r="R15" s="11"/>
      <c r="S15" s="11"/>
      <c r="T15" s="26"/>
      <c r="U15" s="28">
        <f t="shared" si="2"/>
        <v>0.21813201320132003</v>
      </c>
    </row>
    <row r="16" spans="1:21" ht="16.5" thickBot="1" x14ac:dyDescent="0.3">
      <c r="B16" s="12"/>
      <c r="C16" s="19">
        <v>2839.109375</v>
      </c>
      <c r="D16" s="20">
        <v>26.760999999999999</v>
      </c>
      <c r="E16" s="20">
        <v>36.472999999999999</v>
      </c>
      <c r="F16" s="20">
        <v>37.152000000000001</v>
      </c>
      <c r="G16" s="20">
        <v>15.03</v>
      </c>
      <c r="H16" s="20">
        <f t="shared" si="0"/>
        <v>29.273874999999997</v>
      </c>
      <c r="I16" s="5"/>
      <c r="J16" s="19">
        <v>1104.9680000000001</v>
      </c>
      <c r="K16" s="20">
        <v>24.195599999999999</v>
      </c>
      <c r="L16" s="20">
        <v>36.599800000000002</v>
      </c>
      <c r="M16" s="20">
        <v>37.86</v>
      </c>
      <c r="N16" s="20">
        <v>23.977</v>
      </c>
      <c r="O16" s="20">
        <f t="shared" si="1"/>
        <v>27.454174999999999</v>
      </c>
      <c r="P16" s="7"/>
      <c r="Q16" s="13"/>
      <c r="R16" s="14"/>
      <c r="S16" s="14"/>
      <c r="T16" s="27"/>
      <c r="U16" s="28">
        <f t="shared" si="2"/>
        <v>0.59527611443779116</v>
      </c>
    </row>
    <row r="17" spans="1:21" x14ac:dyDescent="0.25">
      <c r="A17" s="6" t="s">
        <v>37</v>
      </c>
      <c r="B17" s="6" t="s">
        <v>48</v>
      </c>
      <c r="C17" s="15">
        <v>2281.7998050000001</v>
      </c>
      <c r="D17" s="16">
        <v>37.85</v>
      </c>
      <c r="E17" s="16">
        <v>41.279000000000003</v>
      </c>
      <c r="F17" s="16">
        <v>42.430999999999997</v>
      </c>
      <c r="G17" s="16">
        <v>26.32</v>
      </c>
      <c r="H17" s="16">
        <f t="shared" si="0"/>
        <v>38.85125</v>
      </c>
      <c r="I17" s="5"/>
      <c r="J17" s="15">
        <v>2379.4816000000001</v>
      </c>
      <c r="K17" s="16">
        <v>39.094499999999996</v>
      </c>
      <c r="L17" s="16">
        <v>41.933799999999998</v>
      </c>
      <c r="M17" s="16">
        <v>43.271299999999997</v>
      </c>
      <c r="N17" s="16">
        <v>34.261200000000002</v>
      </c>
      <c r="O17" s="16">
        <f t="shared" si="1"/>
        <v>39.971512499999996</v>
      </c>
      <c r="P17" s="7"/>
      <c r="Q17" s="8">
        <f>bdrate(C17:C20,D17:D20,J17:J20,K17:K20)</f>
        <v>-0.35363660334649327</v>
      </c>
      <c r="R17" s="8">
        <f>bdrate(C17:C20,E17:E20,J17:J20,L17:L20)</f>
        <v>-0.34844233868930896</v>
      </c>
      <c r="S17" s="8">
        <f>bdrate(C17:C20,F17:F20,J17:J20,M17:M20)</f>
        <v>-0.38527431982765437</v>
      </c>
      <c r="T17" s="25">
        <f>bdrate(C17:C20,H17:H20,J17:J20,O17:O20)</f>
        <v>-0.35615578010175242</v>
      </c>
      <c r="U17" s="28">
        <f t="shared" si="2"/>
        <v>0.30171732522796357</v>
      </c>
    </row>
    <row r="18" spans="1:21" x14ac:dyDescent="0.25">
      <c r="A18" s="9" t="s">
        <v>38</v>
      </c>
      <c r="B18" s="9"/>
      <c r="C18" s="17">
        <v>1552.663086</v>
      </c>
      <c r="D18" s="18">
        <v>36.466999999999999</v>
      </c>
      <c r="E18" s="18">
        <v>40.569000000000003</v>
      </c>
      <c r="F18" s="18">
        <v>41.66</v>
      </c>
      <c r="G18" s="18">
        <v>29.9</v>
      </c>
      <c r="H18" s="18">
        <f t="shared" si="0"/>
        <v>37.628874999999994</v>
      </c>
      <c r="I18" s="5"/>
      <c r="J18" s="17">
        <v>1572.1016</v>
      </c>
      <c r="K18" s="18">
        <v>37.856200000000001</v>
      </c>
      <c r="L18" s="18">
        <v>41.245899999999999</v>
      </c>
      <c r="M18" s="18">
        <v>42.485599999999998</v>
      </c>
      <c r="N18" s="18">
        <v>38.369300000000003</v>
      </c>
      <c r="O18" s="18">
        <f t="shared" si="1"/>
        <v>38.858587499999999</v>
      </c>
      <c r="P18" s="7"/>
      <c r="Q18" s="10"/>
      <c r="R18" s="11"/>
      <c r="S18" s="11"/>
      <c r="T18" s="26"/>
      <c r="U18" s="28">
        <f t="shared" si="2"/>
        <v>0.28325418060200686</v>
      </c>
    </row>
    <row r="19" spans="1:21" x14ac:dyDescent="0.25">
      <c r="B19" s="9"/>
      <c r="C19" s="17">
        <v>990.92285159999994</v>
      </c>
      <c r="D19" s="18">
        <v>34.659999999999997</v>
      </c>
      <c r="E19" s="18">
        <v>39.633000000000003</v>
      </c>
      <c r="F19" s="18">
        <v>40.633000000000003</v>
      </c>
      <c r="G19" s="18">
        <v>33.11</v>
      </c>
      <c r="H19" s="18">
        <f t="shared" si="0"/>
        <v>36.02825</v>
      </c>
      <c r="I19" s="5"/>
      <c r="J19" s="17">
        <v>965.09839999999997</v>
      </c>
      <c r="K19" s="18">
        <v>36.272399999999998</v>
      </c>
      <c r="L19" s="18">
        <v>40.4358</v>
      </c>
      <c r="M19" s="18">
        <v>41.624699999999997</v>
      </c>
      <c r="N19" s="18">
        <v>45.1128</v>
      </c>
      <c r="O19" s="18">
        <f t="shared" si="1"/>
        <v>37.461862500000002</v>
      </c>
      <c r="P19" s="7"/>
      <c r="Q19" s="10"/>
      <c r="R19" s="11"/>
      <c r="S19" s="11"/>
      <c r="T19" s="26"/>
      <c r="U19" s="28">
        <f t="shared" si="2"/>
        <v>0.36251283600120809</v>
      </c>
    </row>
    <row r="20" spans="1:21" ht="16.5" thickBot="1" x14ac:dyDescent="0.3">
      <c r="B20" s="12"/>
      <c r="C20" s="19">
        <v>626.93359380000004</v>
      </c>
      <c r="D20" s="20">
        <v>32.344000000000001</v>
      </c>
      <c r="E20" s="20">
        <v>38.564999999999998</v>
      </c>
      <c r="F20" s="20">
        <v>39.645000000000003</v>
      </c>
      <c r="G20" s="20">
        <v>37.75</v>
      </c>
      <c r="H20" s="20">
        <f t="shared" si="0"/>
        <v>34.03425</v>
      </c>
      <c r="I20" s="5"/>
      <c r="J20" s="19">
        <v>558.00319999999999</v>
      </c>
      <c r="K20" s="20">
        <v>34.451000000000001</v>
      </c>
      <c r="L20" s="20">
        <v>39.686399999999999</v>
      </c>
      <c r="M20" s="20">
        <v>40.898699999999998</v>
      </c>
      <c r="N20" s="20">
        <v>54.545499999999997</v>
      </c>
      <c r="O20" s="20">
        <f t="shared" si="1"/>
        <v>35.911387500000004</v>
      </c>
      <c r="P20" s="7"/>
      <c r="Q20" s="13"/>
      <c r="R20" s="14"/>
      <c r="S20" s="14"/>
      <c r="T20" s="27"/>
      <c r="U20" s="28">
        <f t="shared" si="2"/>
        <v>0.44491390728476815</v>
      </c>
    </row>
    <row r="21" spans="1:21" x14ac:dyDescent="0.25">
      <c r="B21" s="6" t="s">
        <v>49</v>
      </c>
      <c r="C21" s="15">
        <v>2502.9033199999999</v>
      </c>
      <c r="D21" s="16">
        <v>34.609000000000002</v>
      </c>
      <c r="E21" s="16">
        <v>38.759</v>
      </c>
      <c r="F21" s="16">
        <v>40.034999999999997</v>
      </c>
      <c r="G21" s="16">
        <v>27.83</v>
      </c>
      <c r="H21" s="16">
        <f t="shared" si="0"/>
        <v>35.805999999999997</v>
      </c>
      <c r="I21" s="5"/>
      <c r="J21" s="15">
        <v>2477.4872</v>
      </c>
      <c r="K21" s="16">
        <v>36.015999999999998</v>
      </c>
      <c r="L21" s="16">
        <v>39.965400000000002</v>
      </c>
      <c r="M21" s="16">
        <v>41.177399999999999</v>
      </c>
      <c r="N21" s="16">
        <v>31.08</v>
      </c>
      <c r="O21" s="16">
        <f t="shared" si="1"/>
        <v>37.154849999999996</v>
      </c>
      <c r="P21" s="7"/>
      <c r="Q21" s="8">
        <f>bdrate(C21:C24,D21:D24,J21:J24,K21:K24)</f>
        <v>-0.32500667928581195</v>
      </c>
      <c r="R21" s="8">
        <f>bdrate(C21:C24,E21:E24,J21:J24,L21:L24)</f>
        <v>-0.46097256644729712</v>
      </c>
      <c r="S21" s="8">
        <f>bdrate(C21:C24,F21:F24,J21:J24,M21:M24)</f>
        <v>-0.45775765594752948</v>
      </c>
      <c r="T21" s="25">
        <f>bdrate(C21:C24,H21:H24,J21:J24,O21:O24)</f>
        <v>-0.34903973385448483</v>
      </c>
      <c r="U21" s="28">
        <f t="shared" si="2"/>
        <v>0.1167804527488322</v>
      </c>
    </row>
    <row r="22" spans="1:21" x14ac:dyDescent="0.25">
      <c r="B22" s="9"/>
      <c r="C22" s="17">
        <v>1692.1357419999999</v>
      </c>
      <c r="D22" s="18">
        <v>33.548999999999999</v>
      </c>
      <c r="E22" s="18">
        <v>38.036999999999999</v>
      </c>
      <c r="F22" s="18">
        <v>39.396000000000001</v>
      </c>
      <c r="G22" s="18">
        <v>30.81</v>
      </c>
      <c r="H22" s="18">
        <f t="shared" si="0"/>
        <v>34.840874999999997</v>
      </c>
      <c r="I22" s="5"/>
      <c r="J22" s="17">
        <v>1634.6967999999999</v>
      </c>
      <c r="K22" s="18">
        <v>34.734900000000003</v>
      </c>
      <c r="L22" s="18">
        <v>39.170400000000001</v>
      </c>
      <c r="M22" s="18">
        <v>40.383800000000001</v>
      </c>
      <c r="N22" s="18">
        <v>36.985700000000001</v>
      </c>
      <c r="O22" s="18">
        <f t="shared" si="1"/>
        <v>35.995449999999998</v>
      </c>
      <c r="P22" s="7"/>
      <c r="Q22" s="10"/>
      <c r="R22" s="11"/>
      <c r="S22" s="11"/>
      <c r="T22" s="26"/>
      <c r="U22" s="28">
        <f t="shared" si="2"/>
        <v>0.20044466082440776</v>
      </c>
    </row>
    <row r="23" spans="1:21" x14ac:dyDescent="0.25">
      <c r="B23" s="9"/>
      <c r="C23" s="17">
        <v>1049.2460940000001</v>
      </c>
      <c r="D23" s="18">
        <v>32.234000000000002</v>
      </c>
      <c r="E23" s="18">
        <v>37.162999999999997</v>
      </c>
      <c r="F23" s="18">
        <v>38.703000000000003</v>
      </c>
      <c r="G23" s="18">
        <v>32.409999999999997</v>
      </c>
      <c r="H23" s="18">
        <f t="shared" si="0"/>
        <v>33.658749999999998</v>
      </c>
      <c r="I23" s="5"/>
      <c r="J23" s="17">
        <v>1021.0544</v>
      </c>
      <c r="K23" s="18">
        <v>33.238</v>
      </c>
      <c r="L23" s="18">
        <v>38.230200000000004</v>
      </c>
      <c r="M23" s="18">
        <v>39.545200000000001</v>
      </c>
      <c r="N23" s="18">
        <v>44.460900000000002</v>
      </c>
      <c r="O23" s="18">
        <f t="shared" si="1"/>
        <v>34.650424999999998</v>
      </c>
      <c r="P23" s="7"/>
      <c r="Q23" s="10"/>
      <c r="R23" s="11"/>
      <c r="S23" s="11"/>
      <c r="T23" s="26"/>
      <c r="U23" s="28">
        <f t="shared" si="2"/>
        <v>0.37182659672940471</v>
      </c>
    </row>
    <row r="24" spans="1:21" ht="16.5" thickBot="1" x14ac:dyDescent="0.3">
      <c r="B24" s="12"/>
      <c r="C24" s="19">
        <v>625.03710939999996</v>
      </c>
      <c r="D24" s="20">
        <v>30.727</v>
      </c>
      <c r="E24" s="20">
        <v>36.264000000000003</v>
      </c>
      <c r="F24" s="20">
        <v>38.034999999999997</v>
      </c>
      <c r="G24" s="20">
        <v>35.369999999999997</v>
      </c>
      <c r="H24" s="20">
        <f t="shared" si="0"/>
        <v>32.332625</v>
      </c>
      <c r="I24" s="5"/>
      <c r="J24" s="19">
        <v>597.27359999999999</v>
      </c>
      <c r="K24" s="20">
        <v>31.619199999999999</v>
      </c>
      <c r="L24" s="20">
        <v>37.292900000000003</v>
      </c>
      <c r="M24" s="20">
        <v>38.813600000000001</v>
      </c>
      <c r="N24" s="20">
        <v>53.981099999999998</v>
      </c>
      <c r="O24" s="20">
        <f t="shared" si="1"/>
        <v>33.227712499999996</v>
      </c>
      <c r="P24" s="7"/>
      <c r="Q24" s="13"/>
      <c r="R24" s="14"/>
      <c r="S24" s="14"/>
      <c r="T24" s="27"/>
      <c r="U24" s="28">
        <f t="shared" si="2"/>
        <v>0.5261832061068703</v>
      </c>
    </row>
    <row r="25" spans="1:21" x14ac:dyDescent="0.25">
      <c r="B25" s="6" t="s">
        <v>50</v>
      </c>
      <c r="C25" s="15">
        <v>2448.1640630000002</v>
      </c>
      <c r="D25" s="16">
        <v>32.728999999999999</v>
      </c>
      <c r="E25" s="16">
        <v>37.518999999999998</v>
      </c>
      <c r="F25" s="16">
        <v>38.883000000000003</v>
      </c>
      <c r="G25" s="16">
        <v>35.86</v>
      </c>
      <c r="H25" s="16">
        <f t="shared" si="0"/>
        <v>34.097000000000001</v>
      </c>
      <c r="I25" s="5"/>
      <c r="J25" s="15">
        <v>2413.9096</v>
      </c>
      <c r="K25" s="16">
        <v>34.110199999999999</v>
      </c>
      <c r="L25" s="16">
        <v>38.195900000000002</v>
      </c>
      <c r="M25" s="16">
        <v>40.166499999999999</v>
      </c>
      <c r="N25" s="16">
        <v>43.963799999999999</v>
      </c>
      <c r="O25" s="16">
        <f t="shared" si="1"/>
        <v>35.377949999999998</v>
      </c>
      <c r="P25" s="7"/>
      <c r="Q25" s="8">
        <f>bdrate(C25:C28,D25:D28,J25:J28,K25:K28)</f>
        <v>-0.39903691123112106</v>
      </c>
      <c r="R25" s="8">
        <f>bdrate(C25:C28,E25:E28,J25:J28,L25:L28)</f>
        <v>-0.50835438785919151</v>
      </c>
      <c r="S25" s="8">
        <f>bdrate(C25:C28,F25:F28,J25:J28,M25:M28)</f>
        <v>-0.52926759078836616</v>
      </c>
      <c r="T25" s="25">
        <f>bdrate(C25:C28,H25:H28,J25:J28,O25:O28)</f>
        <v>-0.42236632327311696</v>
      </c>
      <c r="U25" s="28">
        <f t="shared" si="2"/>
        <v>0.22598438371444507</v>
      </c>
    </row>
    <row r="26" spans="1:21" x14ac:dyDescent="0.25">
      <c r="B26" s="9"/>
      <c r="C26" s="17">
        <v>1638.609375</v>
      </c>
      <c r="D26" s="18">
        <v>31.407</v>
      </c>
      <c r="E26" s="18">
        <v>36.804000000000002</v>
      </c>
      <c r="F26" s="18">
        <v>37.72</v>
      </c>
      <c r="G26" s="18">
        <v>41.05</v>
      </c>
      <c r="H26" s="18">
        <f t="shared" si="0"/>
        <v>32.870750000000001</v>
      </c>
      <c r="I26" s="5"/>
      <c r="J26" s="17">
        <v>1608.1744000000001</v>
      </c>
      <c r="K26" s="18">
        <v>32.920200000000001</v>
      </c>
      <c r="L26" s="18">
        <v>37.722999999999999</v>
      </c>
      <c r="M26" s="18">
        <v>39.359400000000001</v>
      </c>
      <c r="N26" s="18">
        <v>50.875100000000003</v>
      </c>
      <c r="O26" s="18">
        <f t="shared" si="1"/>
        <v>34.325450000000004</v>
      </c>
      <c r="P26" s="7"/>
      <c r="Q26" s="10"/>
      <c r="R26" s="11"/>
      <c r="S26" s="11"/>
      <c r="T26" s="26"/>
      <c r="U26" s="28">
        <f t="shared" si="2"/>
        <v>0.23934470158343502</v>
      </c>
    </row>
    <row r="27" spans="1:21" x14ac:dyDescent="0.25">
      <c r="B27" s="9"/>
      <c r="C27" s="17">
        <v>1051.430664</v>
      </c>
      <c r="D27" s="18">
        <v>29.625</v>
      </c>
      <c r="E27" s="18">
        <v>35.744999999999997</v>
      </c>
      <c r="F27" s="18">
        <v>36.15</v>
      </c>
      <c r="G27" s="18">
        <v>45.73</v>
      </c>
      <c r="H27" s="18">
        <f t="shared" si="0"/>
        <v>31.205625000000001</v>
      </c>
      <c r="I27" s="5"/>
      <c r="J27" s="17">
        <v>996.95839999999998</v>
      </c>
      <c r="K27" s="18">
        <v>31.369399999999999</v>
      </c>
      <c r="L27" s="18">
        <v>37.124000000000002</v>
      </c>
      <c r="M27" s="18">
        <v>38.350700000000003</v>
      </c>
      <c r="N27" s="18">
        <v>60.5914</v>
      </c>
      <c r="O27" s="18">
        <f t="shared" si="1"/>
        <v>32.961387500000001</v>
      </c>
      <c r="P27" s="7"/>
      <c r="Q27" s="10"/>
      <c r="R27" s="11"/>
      <c r="S27" s="11"/>
      <c r="T27" s="26"/>
      <c r="U27" s="28">
        <f t="shared" si="2"/>
        <v>0.32498141263940528</v>
      </c>
    </row>
    <row r="28" spans="1:21" ht="16.5" thickBot="1" x14ac:dyDescent="0.3">
      <c r="B28" s="12"/>
      <c r="C28" s="19">
        <v>845.1796875</v>
      </c>
      <c r="D28" s="20">
        <v>28.719000000000001</v>
      </c>
      <c r="E28" s="20">
        <v>35.008000000000003</v>
      </c>
      <c r="F28" s="20">
        <v>35.075000000000003</v>
      </c>
      <c r="G28" s="20">
        <v>44.94</v>
      </c>
      <c r="H28" s="20">
        <f t="shared" si="0"/>
        <v>30.299625000000006</v>
      </c>
      <c r="I28" s="5"/>
      <c r="J28" s="19">
        <v>584.17600000000004</v>
      </c>
      <c r="K28" s="20">
        <v>29.616299999999999</v>
      </c>
      <c r="L28" s="20">
        <v>36.469900000000003</v>
      </c>
      <c r="M28" s="20">
        <v>37.256500000000003</v>
      </c>
      <c r="N28" s="20">
        <v>72.348399999999998</v>
      </c>
      <c r="O28" s="20">
        <f t="shared" si="1"/>
        <v>31.428024999999998</v>
      </c>
      <c r="P28" s="7"/>
      <c r="Q28" s="13"/>
      <c r="R28" s="14"/>
      <c r="S28" s="14"/>
      <c r="T28" s="27"/>
      <c r="U28" s="28">
        <f t="shared" si="2"/>
        <v>0.60988874054294617</v>
      </c>
    </row>
    <row r="29" spans="1:21" x14ac:dyDescent="0.25">
      <c r="B29" s="6" t="s">
        <v>51</v>
      </c>
      <c r="C29" s="29">
        <v>2488.053711</v>
      </c>
      <c r="D29" s="30">
        <v>32.409999999999997</v>
      </c>
      <c r="E29" s="30">
        <v>38.899000000000001</v>
      </c>
      <c r="F29" s="30">
        <v>37.981999999999999</v>
      </c>
      <c r="G29" s="16">
        <v>31.07</v>
      </c>
      <c r="H29" s="16">
        <f t="shared" si="0"/>
        <v>33.917625000000001</v>
      </c>
      <c r="I29" s="5"/>
      <c r="J29" s="29">
        <v>2415.6855999999998</v>
      </c>
      <c r="K29" s="30">
        <v>34.043500000000002</v>
      </c>
      <c r="L29" s="30">
        <v>40.366199999999999</v>
      </c>
      <c r="M29" s="30">
        <v>39.964700000000001</v>
      </c>
      <c r="N29" s="16">
        <v>38.384799999999998</v>
      </c>
      <c r="O29" s="16">
        <f t="shared" si="1"/>
        <v>35.573987500000001</v>
      </c>
      <c r="P29" s="7"/>
      <c r="Q29" s="8">
        <f>bdrate(C29:C32,D29:D32,J29:J32,K29:K32)</f>
        <v>-0.44817779077680264</v>
      </c>
      <c r="R29" s="8">
        <f>bdrate(C29:C32,E29:E32,J29:J32,L29:L32)</f>
        <v>-0.61475715858172575</v>
      </c>
      <c r="S29" s="8">
        <f>bdrate(C29:C32,F29:F32,J29:J32,M29:M32)</f>
        <v>-0.60953116768179616</v>
      </c>
      <c r="T29" s="25">
        <f>bdrate(C29:C32,H29:H32,J29:J32,O29:O32)</f>
        <v>-0.48391393664435933</v>
      </c>
      <c r="U29" s="28">
        <f t="shared" si="2"/>
        <v>0.23542967492758282</v>
      </c>
    </row>
    <row r="30" spans="1:21" x14ac:dyDescent="0.25">
      <c r="B30" s="9"/>
      <c r="C30" s="31">
        <v>1708.2851559999999</v>
      </c>
      <c r="D30" s="32">
        <v>30.864000000000001</v>
      </c>
      <c r="E30" s="32">
        <v>37.722000000000001</v>
      </c>
      <c r="F30" s="32">
        <v>36.600999999999999</v>
      </c>
      <c r="G30" s="18">
        <v>37.18</v>
      </c>
      <c r="H30" s="18">
        <f t="shared" si="0"/>
        <v>32.438375000000001</v>
      </c>
      <c r="I30" s="5"/>
      <c r="J30" s="31">
        <v>1609.4952000000001</v>
      </c>
      <c r="K30" s="32">
        <v>32.690199999999997</v>
      </c>
      <c r="L30" s="32">
        <v>39.654200000000003</v>
      </c>
      <c r="M30" s="32">
        <v>39.034700000000001</v>
      </c>
      <c r="N30" s="18">
        <v>44.891399999999997</v>
      </c>
      <c r="O30" s="18">
        <f t="shared" si="1"/>
        <v>34.353762499999995</v>
      </c>
      <c r="P30" s="7"/>
      <c r="Q30" s="10"/>
      <c r="R30" s="11"/>
      <c r="S30" s="11"/>
      <c r="T30" s="26"/>
      <c r="U30" s="28">
        <f t="shared" si="2"/>
        <v>0.20740720817643887</v>
      </c>
    </row>
    <row r="31" spans="1:21" x14ac:dyDescent="0.25">
      <c r="B31" s="9"/>
      <c r="C31" s="31">
        <v>1283.7607419999999</v>
      </c>
      <c r="D31" s="32">
        <v>29.390999999999998</v>
      </c>
      <c r="E31" s="32">
        <v>36.673000000000002</v>
      </c>
      <c r="F31" s="32">
        <v>35.308</v>
      </c>
      <c r="G31" s="18">
        <v>40.68</v>
      </c>
      <c r="H31" s="18">
        <f t="shared" si="0"/>
        <v>31.040875</v>
      </c>
      <c r="I31" s="5"/>
      <c r="J31" s="31">
        <v>1001.1888</v>
      </c>
      <c r="K31" s="32">
        <v>30.991800000000001</v>
      </c>
      <c r="L31" s="32">
        <v>38.807600000000001</v>
      </c>
      <c r="M31" s="32">
        <v>37.891100000000002</v>
      </c>
      <c r="N31" s="18">
        <v>54.048200000000001</v>
      </c>
      <c r="O31" s="18">
        <f t="shared" si="1"/>
        <v>32.831187500000006</v>
      </c>
      <c r="P31" s="7"/>
      <c r="Q31" s="10"/>
      <c r="R31" s="11"/>
      <c r="S31" s="11"/>
      <c r="T31" s="26"/>
      <c r="U31" s="28">
        <f t="shared" si="2"/>
        <v>0.32861848574237962</v>
      </c>
    </row>
    <row r="32" spans="1:21" ht="16.5" thickBot="1" x14ac:dyDescent="0.3">
      <c r="B32" s="12"/>
      <c r="C32" s="33">
        <v>1074.140625</v>
      </c>
      <c r="D32" s="34">
        <v>28.733000000000001</v>
      </c>
      <c r="E32" s="34">
        <v>35.667000000000002</v>
      </c>
      <c r="F32" s="34">
        <v>34.465000000000003</v>
      </c>
      <c r="G32" s="20">
        <v>40.46</v>
      </c>
      <c r="H32" s="20">
        <f t="shared" si="0"/>
        <v>30.31625</v>
      </c>
      <c r="I32" s="5"/>
      <c r="J32" s="33">
        <v>594.51520000000005</v>
      </c>
      <c r="K32" s="34">
        <v>29.151900000000001</v>
      </c>
      <c r="L32" s="34">
        <v>37.622799999999998</v>
      </c>
      <c r="M32" s="34">
        <v>36.3752</v>
      </c>
      <c r="N32" s="20">
        <v>65.274199999999993</v>
      </c>
      <c r="O32" s="20">
        <f t="shared" si="1"/>
        <v>31.113675000000001</v>
      </c>
      <c r="P32" s="7"/>
      <c r="Q32" s="13"/>
      <c r="R32" s="14"/>
      <c r="S32" s="14"/>
      <c r="T32" s="27"/>
      <c r="U32" s="28">
        <f t="shared" si="2"/>
        <v>0.61330202669302991</v>
      </c>
    </row>
    <row r="33" spans="1:21" x14ac:dyDescent="0.25">
      <c r="B33" s="6" t="s">
        <v>52</v>
      </c>
      <c r="C33" s="15">
        <v>2999.4423830000001</v>
      </c>
      <c r="D33" s="16">
        <v>31.907</v>
      </c>
      <c r="E33" s="16">
        <v>38.835000000000001</v>
      </c>
      <c r="F33" s="16">
        <v>41.375</v>
      </c>
      <c r="G33" s="16">
        <v>31.86</v>
      </c>
      <c r="H33" s="16">
        <f t="shared" si="0"/>
        <v>33.956500000000005</v>
      </c>
      <c r="I33" s="5"/>
      <c r="J33" s="15">
        <v>2425.6632</v>
      </c>
      <c r="K33" s="16">
        <v>33.603000000000002</v>
      </c>
      <c r="L33" s="16">
        <v>39.814</v>
      </c>
      <c r="M33" s="16">
        <v>42.2928</v>
      </c>
      <c r="N33" s="16">
        <v>48.685499999999998</v>
      </c>
      <c r="O33" s="16">
        <f t="shared" si="1"/>
        <v>35.465599999999995</v>
      </c>
      <c r="P33" s="7"/>
      <c r="Q33" s="8">
        <f>bdrate(C33:C36,D33:D36,J33:J36,K33:K36)</f>
        <v>-0.63005533105592315</v>
      </c>
      <c r="R33" s="8">
        <f>bdrate(C33:C36,E33:E36,J33:J36,L33:L36)</f>
        <v>-0.62969359437377781</v>
      </c>
      <c r="S33" s="8">
        <f>bdrate(C33:C36,F33:F36,J33:J36,M33:M36)</f>
        <v>-0.62204559578013741</v>
      </c>
      <c r="T33" s="25">
        <f>bdrate(C33:C36,H33:H36,J33:J36,O33:O36)</f>
        <v>-0.63074145555355987</v>
      </c>
      <c r="U33" s="28">
        <f t="shared" si="2"/>
        <v>0.52810734463276832</v>
      </c>
    </row>
    <row r="34" spans="1:21" x14ac:dyDescent="0.25">
      <c r="B34" s="9"/>
      <c r="C34" s="17">
        <v>2042.165039</v>
      </c>
      <c r="D34" s="18">
        <v>31.126000000000001</v>
      </c>
      <c r="E34" s="18">
        <v>38.286999999999999</v>
      </c>
      <c r="F34" s="18">
        <v>40.834000000000003</v>
      </c>
      <c r="G34" s="18">
        <v>35.69</v>
      </c>
      <c r="H34" s="18">
        <f t="shared" si="0"/>
        <v>33.234625000000001</v>
      </c>
      <c r="I34" s="5"/>
      <c r="J34" s="17">
        <v>1605.8664000000001</v>
      </c>
      <c r="K34" s="18">
        <v>32.902000000000001</v>
      </c>
      <c r="L34" s="18">
        <v>39.333500000000001</v>
      </c>
      <c r="M34" s="18">
        <v>41.871200000000002</v>
      </c>
      <c r="N34" s="18">
        <v>54.864699999999999</v>
      </c>
      <c r="O34" s="18">
        <f t="shared" si="1"/>
        <v>34.827087499999998</v>
      </c>
      <c r="P34" s="7"/>
      <c r="Q34" s="10"/>
      <c r="R34" s="11"/>
      <c r="S34" s="11"/>
      <c r="T34" s="26"/>
      <c r="U34" s="28">
        <f t="shared" si="2"/>
        <v>0.53725693471560665</v>
      </c>
    </row>
    <row r="35" spans="1:21" x14ac:dyDescent="0.25">
      <c r="B35" s="9"/>
      <c r="C35" s="17">
        <v>1275.4882809999999</v>
      </c>
      <c r="D35" s="18">
        <v>29.904</v>
      </c>
      <c r="E35" s="18">
        <v>37.54</v>
      </c>
      <c r="F35" s="18">
        <v>40.036999999999999</v>
      </c>
      <c r="G35" s="18">
        <v>39.21</v>
      </c>
      <c r="H35" s="18">
        <f t="shared" si="0"/>
        <v>32.125124999999997</v>
      </c>
      <c r="I35" s="5"/>
      <c r="J35" s="17">
        <v>1024.164</v>
      </c>
      <c r="K35" s="18">
        <v>31.872599999999998</v>
      </c>
      <c r="L35" s="18">
        <v>38.655099999999997</v>
      </c>
      <c r="M35" s="18">
        <v>41.165999999999997</v>
      </c>
      <c r="N35" s="18">
        <v>62.945900000000002</v>
      </c>
      <c r="O35" s="18">
        <f t="shared" si="1"/>
        <v>33.882087499999997</v>
      </c>
      <c r="P35" s="7"/>
      <c r="Q35" s="10"/>
      <c r="R35" s="11"/>
      <c r="S35" s="11"/>
      <c r="T35" s="26"/>
      <c r="U35" s="28">
        <f t="shared" si="2"/>
        <v>0.60535322621780163</v>
      </c>
    </row>
    <row r="36" spans="1:21" ht="16.5" thickBot="1" x14ac:dyDescent="0.3">
      <c r="B36" s="12"/>
      <c r="C36" s="19">
        <v>875.73828130000004</v>
      </c>
      <c r="D36" s="20">
        <v>28.49</v>
      </c>
      <c r="E36" s="20">
        <v>36.945999999999998</v>
      </c>
      <c r="F36" s="20">
        <v>39.24</v>
      </c>
      <c r="G36" s="20">
        <v>45.3</v>
      </c>
      <c r="H36" s="20">
        <f t="shared" si="0"/>
        <v>30.890750000000001</v>
      </c>
      <c r="I36" s="5"/>
      <c r="J36" s="19">
        <v>596.14800000000002</v>
      </c>
      <c r="K36" s="20">
        <v>30.4481</v>
      </c>
      <c r="L36" s="20">
        <v>38.105400000000003</v>
      </c>
      <c r="M36" s="20">
        <v>40.650700000000001</v>
      </c>
      <c r="N36" s="20">
        <v>71.761799999999994</v>
      </c>
      <c r="O36" s="20">
        <f t="shared" si="1"/>
        <v>32.680587500000001</v>
      </c>
      <c r="P36" s="7"/>
      <c r="Q36" s="13"/>
      <c r="R36" s="14"/>
      <c r="S36" s="14"/>
      <c r="T36" s="27"/>
      <c r="U36" s="28">
        <f t="shared" si="2"/>
        <v>0.58414569536423833</v>
      </c>
    </row>
    <row r="37" spans="1:21" x14ac:dyDescent="0.25">
      <c r="A37" s="6" t="s">
        <v>39</v>
      </c>
      <c r="B37" s="6" t="s">
        <v>53</v>
      </c>
      <c r="C37" s="15">
        <v>1244.3066409999999</v>
      </c>
      <c r="D37" s="16">
        <v>33.637999999999998</v>
      </c>
      <c r="E37" s="16">
        <v>37.978999999999999</v>
      </c>
      <c r="F37" s="16">
        <v>37.406999999999996</v>
      </c>
      <c r="G37" s="16">
        <v>153.15</v>
      </c>
      <c r="H37" s="16">
        <f t="shared" si="0"/>
        <v>34.651749999999993</v>
      </c>
      <c r="I37" s="5"/>
      <c r="J37" s="15">
        <v>1215.22</v>
      </c>
      <c r="K37" s="16">
        <v>35.049399999999999</v>
      </c>
      <c r="L37" s="16">
        <v>39.264200000000002</v>
      </c>
      <c r="M37" s="16">
        <v>39.177100000000003</v>
      </c>
      <c r="N37" s="16">
        <v>143.10249999999999</v>
      </c>
      <c r="O37" s="16">
        <f t="shared" si="1"/>
        <v>36.092212500000002</v>
      </c>
      <c r="P37" s="7"/>
      <c r="Q37" s="8">
        <f>bdrate(C37:C40,D37:D40,J37:J40,K37:K40)</f>
        <v>-0.30783637837028621</v>
      </c>
      <c r="R37" s="8">
        <f>bdrate(C37:C40,E37:E40,J37:J40,L37:L40)</f>
        <v>-0.38916630725851387</v>
      </c>
      <c r="S37" s="8">
        <f>bdrate(C37:C40,F37:F40,J37:J40,M37:M40)</f>
        <v>-0.46039561815120877</v>
      </c>
      <c r="T37" s="25">
        <f>bdrate(C37:C40,H37:H40,J37:J40,O37:O40)</f>
        <v>-0.33583821321437346</v>
      </c>
      <c r="U37" s="28">
        <f t="shared" si="2"/>
        <v>-6.5605615409729104E-2</v>
      </c>
    </row>
    <row r="38" spans="1:21" x14ac:dyDescent="0.25">
      <c r="A38" s="9" t="s">
        <v>40</v>
      </c>
      <c r="B38" s="9"/>
      <c r="C38" s="17">
        <v>835.79492189999996</v>
      </c>
      <c r="D38" s="18">
        <v>32.244</v>
      </c>
      <c r="E38" s="18">
        <v>36.884</v>
      </c>
      <c r="F38" s="18">
        <v>36.143000000000001</v>
      </c>
      <c r="G38" s="18">
        <v>180.23</v>
      </c>
      <c r="H38" s="18">
        <f t="shared" si="0"/>
        <v>33.311374999999998</v>
      </c>
      <c r="I38" s="5"/>
      <c r="J38" s="17">
        <v>810.69119999999998</v>
      </c>
      <c r="K38" s="18">
        <v>33.507300000000001</v>
      </c>
      <c r="L38" s="18">
        <v>38.052100000000003</v>
      </c>
      <c r="M38" s="18">
        <v>37.832599999999999</v>
      </c>
      <c r="N38" s="18">
        <v>169.54900000000001</v>
      </c>
      <c r="O38" s="18">
        <f t="shared" si="1"/>
        <v>34.616062499999998</v>
      </c>
      <c r="P38" s="7"/>
      <c r="Q38" s="10"/>
      <c r="R38" s="11"/>
      <c r="S38" s="11"/>
      <c r="T38" s="26"/>
      <c r="U38" s="28">
        <f t="shared" si="2"/>
        <v>-5.9263163735227123E-2</v>
      </c>
    </row>
    <row r="39" spans="1:21" x14ac:dyDescent="0.25">
      <c r="B39" s="9"/>
      <c r="C39" s="17">
        <v>523.65820310000004</v>
      </c>
      <c r="D39" s="18">
        <v>30.579000000000001</v>
      </c>
      <c r="E39" s="18">
        <v>35.462000000000003</v>
      </c>
      <c r="F39" s="18">
        <v>34.598999999999997</v>
      </c>
      <c r="G39" s="18">
        <v>203.02</v>
      </c>
      <c r="H39" s="18">
        <f t="shared" si="0"/>
        <v>31.691874999999996</v>
      </c>
      <c r="I39" s="5"/>
      <c r="J39" s="17">
        <v>506.96960000000001</v>
      </c>
      <c r="K39" s="18">
        <v>31.778500000000001</v>
      </c>
      <c r="L39" s="18">
        <v>36.831400000000002</v>
      </c>
      <c r="M39" s="18">
        <v>36.479199999999999</v>
      </c>
      <c r="N39" s="18">
        <v>209.46799999999999</v>
      </c>
      <c r="O39" s="18">
        <f t="shared" si="1"/>
        <v>32.997700000000002</v>
      </c>
      <c r="P39" s="7"/>
      <c r="Q39" s="10"/>
      <c r="R39" s="11"/>
      <c r="S39" s="11"/>
      <c r="T39" s="26"/>
      <c r="U39" s="28">
        <f t="shared" si="2"/>
        <v>3.1760417692838036E-2</v>
      </c>
    </row>
    <row r="40" spans="1:21" ht="16.5" thickBot="1" x14ac:dyDescent="0.3">
      <c r="B40" s="12"/>
      <c r="C40" s="19">
        <v>327.3515625</v>
      </c>
      <c r="D40" s="20">
        <v>28.786000000000001</v>
      </c>
      <c r="E40" s="20">
        <v>33.835999999999999</v>
      </c>
      <c r="F40" s="20">
        <v>32.923000000000002</v>
      </c>
      <c r="G40" s="20">
        <v>230.62</v>
      </c>
      <c r="H40" s="20">
        <f t="shared" si="0"/>
        <v>29.934375000000003</v>
      </c>
      <c r="I40" s="5"/>
      <c r="J40" s="19">
        <v>303.30560000000003</v>
      </c>
      <c r="K40" s="20">
        <v>29.852599999999999</v>
      </c>
      <c r="L40" s="20">
        <v>35.532600000000002</v>
      </c>
      <c r="M40" s="20">
        <v>35.0274</v>
      </c>
      <c r="N40" s="20">
        <v>271.5915</v>
      </c>
      <c r="O40" s="20">
        <f t="shared" si="1"/>
        <v>31.20945</v>
      </c>
      <c r="P40" s="7"/>
      <c r="Q40" s="13"/>
      <c r="R40" s="14"/>
      <c r="S40" s="14"/>
      <c r="T40" s="27"/>
      <c r="U40" s="28">
        <f t="shared" si="2"/>
        <v>0.17765805220709388</v>
      </c>
    </row>
    <row r="41" spans="1:21" x14ac:dyDescent="0.25">
      <c r="B41" s="6" t="s">
        <v>54</v>
      </c>
      <c r="C41" s="15">
        <v>1336.654297</v>
      </c>
      <c r="D41" s="16">
        <v>33.154000000000003</v>
      </c>
      <c r="E41" s="16">
        <v>39.097000000000001</v>
      </c>
      <c r="F41" s="16">
        <v>39.798000000000002</v>
      </c>
      <c r="G41" s="16">
        <v>150.43</v>
      </c>
      <c r="H41" s="16">
        <f t="shared" si="0"/>
        <v>34.727375000000009</v>
      </c>
      <c r="I41" s="5"/>
      <c r="J41" s="15">
        <v>1244.7023999999999</v>
      </c>
      <c r="K41" s="16">
        <v>35.2485</v>
      </c>
      <c r="L41" s="16">
        <v>40.559699999999999</v>
      </c>
      <c r="M41" s="16">
        <v>41.436799999999998</v>
      </c>
      <c r="N41" s="16">
        <v>150.8296</v>
      </c>
      <c r="O41" s="16">
        <f t="shared" si="1"/>
        <v>36.685937499999994</v>
      </c>
      <c r="P41" s="7"/>
      <c r="Q41" s="8">
        <f>bdrate(C41:C44,D41:D44,J41:J44,K41:K44)</f>
        <v>-0.43031797965946872</v>
      </c>
      <c r="R41" s="8">
        <f>bdrate(C41:C44,E41:E44,J41:J44,L41:L44)</f>
        <v>-0.51064236005131247</v>
      </c>
      <c r="S41" s="8">
        <f>bdrate(C41:C44,F41:F44,J41:J44,M41:M44)</f>
        <v>-0.52246925136895306</v>
      </c>
      <c r="T41" s="25">
        <f>bdrate(C41:C44,H41:H44,J41:J44,O41:O44)</f>
        <v>-0.44823626208003631</v>
      </c>
      <c r="U41" s="28">
        <f t="shared" si="2"/>
        <v>2.6563850295818147E-3</v>
      </c>
    </row>
    <row r="42" spans="1:21" x14ac:dyDescent="0.25">
      <c r="B42" s="9"/>
      <c r="C42" s="17">
        <v>905.265625</v>
      </c>
      <c r="D42" s="18">
        <v>31.795999999999999</v>
      </c>
      <c r="E42" s="18">
        <v>38.158000000000001</v>
      </c>
      <c r="F42" s="18">
        <v>38.695</v>
      </c>
      <c r="G42" s="18">
        <v>166.44</v>
      </c>
      <c r="H42" s="18">
        <f t="shared" si="0"/>
        <v>33.453625000000002</v>
      </c>
      <c r="I42" s="5"/>
      <c r="J42" s="17">
        <v>829.51440000000002</v>
      </c>
      <c r="K42" s="18">
        <v>33.689399999999999</v>
      </c>
      <c r="L42" s="18">
        <v>39.537300000000002</v>
      </c>
      <c r="M42" s="18">
        <v>40.2896</v>
      </c>
      <c r="N42" s="18">
        <v>178.04150000000001</v>
      </c>
      <c r="O42" s="18">
        <f t="shared" si="1"/>
        <v>35.2454125</v>
      </c>
      <c r="P42" s="7"/>
      <c r="Q42" s="10"/>
      <c r="R42" s="11"/>
      <c r="S42" s="11"/>
      <c r="T42" s="26"/>
      <c r="U42" s="28">
        <f t="shared" si="2"/>
        <v>6.9703797164143336E-2</v>
      </c>
    </row>
    <row r="43" spans="1:21" x14ac:dyDescent="0.25">
      <c r="B43" s="9"/>
      <c r="C43" s="17">
        <v>581.72265630000004</v>
      </c>
      <c r="D43" s="18">
        <v>30.183</v>
      </c>
      <c r="E43" s="18">
        <v>36.997</v>
      </c>
      <c r="F43" s="18">
        <v>37.408999999999999</v>
      </c>
      <c r="G43" s="18">
        <v>182.21</v>
      </c>
      <c r="H43" s="18">
        <f t="shared" si="0"/>
        <v>31.938000000000002</v>
      </c>
      <c r="I43" s="5"/>
      <c r="J43" s="17">
        <v>518.21360000000004</v>
      </c>
      <c r="K43" s="18">
        <v>31.839500000000001</v>
      </c>
      <c r="L43" s="18">
        <v>38.480899999999998</v>
      </c>
      <c r="M43" s="18">
        <v>39.149700000000003</v>
      </c>
      <c r="N43" s="18">
        <v>218.49959999999999</v>
      </c>
      <c r="O43" s="18">
        <f t="shared" si="1"/>
        <v>33.583449999999999</v>
      </c>
      <c r="P43" s="7"/>
      <c r="Q43" s="10"/>
      <c r="R43" s="11"/>
      <c r="S43" s="11"/>
      <c r="T43" s="26"/>
      <c r="U43" s="28">
        <f t="shared" si="2"/>
        <v>0.19916360243674869</v>
      </c>
    </row>
    <row r="44" spans="1:21" ht="16.5" thickBot="1" x14ac:dyDescent="0.3">
      <c r="B44" s="12"/>
      <c r="C44" s="19">
        <v>403.4052734</v>
      </c>
      <c r="D44" s="20">
        <v>28.648</v>
      </c>
      <c r="E44" s="20">
        <v>36.042000000000002</v>
      </c>
      <c r="F44" s="20">
        <v>36.325000000000003</v>
      </c>
      <c r="G44" s="20">
        <v>201.09</v>
      </c>
      <c r="H44" s="20">
        <f t="shared" si="0"/>
        <v>30.531874999999999</v>
      </c>
      <c r="I44" s="5"/>
      <c r="J44" s="19">
        <v>310.65120000000002</v>
      </c>
      <c r="K44" s="20">
        <v>29.796700000000001</v>
      </c>
      <c r="L44" s="20">
        <v>37.474800000000002</v>
      </c>
      <c r="M44" s="20">
        <v>37.955199999999998</v>
      </c>
      <c r="N44" s="20">
        <v>265.25200000000001</v>
      </c>
      <c r="O44" s="20">
        <f t="shared" si="1"/>
        <v>31.776274999999998</v>
      </c>
      <c r="P44" s="7"/>
      <c r="Q44" s="13"/>
      <c r="R44" s="14"/>
      <c r="S44" s="14"/>
      <c r="T44" s="27"/>
      <c r="U44" s="28">
        <f t="shared" si="2"/>
        <v>0.31907106270824009</v>
      </c>
    </row>
    <row r="45" spans="1:21" x14ac:dyDescent="0.25">
      <c r="B45" s="6" t="s">
        <v>55</v>
      </c>
      <c r="C45" s="15">
        <v>1333.673828</v>
      </c>
      <c r="D45" s="16">
        <v>28.565000000000001</v>
      </c>
      <c r="E45" s="16">
        <v>35.481999999999999</v>
      </c>
      <c r="F45" s="16">
        <v>36.281999999999996</v>
      </c>
      <c r="G45" s="16">
        <v>122.95</v>
      </c>
      <c r="H45" s="16">
        <f t="shared" si="0"/>
        <v>30.39425</v>
      </c>
      <c r="I45" s="5"/>
      <c r="J45" s="15">
        <v>1223.0672</v>
      </c>
      <c r="K45" s="16">
        <v>30.351199999999999</v>
      </c>
      <c r="L45" s="16">
        <v>36.814300000000003</v>
      </c>
      <c r="M45" s="16">
        <v>37.619300000000003</v>
      </c>
      <c r="N45" s="16">
        <v>134.66200000000001</v>
      </c>
      <c r="O45" s="16">
        <f t="shared" si="1"/>
        <v>32.067599999999999</v>
      </c>
      <c r="P45" s="7"/>
      <c r="Q45" s="8">
        <f>bdrate(C45:C48,D45:D48,J45:J48,K45:K48)</f>
        <v>-0.43125230337323972</v>
      </c>
      <c r="R45" s="8">
        <f>bdrate(C45:C48,E45:E48,J45:J48,L45:L48)</f>
        <v>-0.55392524782790531</v>
      </c>
      <c r="S45" s="8">
        <f>bdrate(C45:C48,F45:F48,J45:J48,M45:M48)</f>
        <v>-0.5407679844376263</v>
      </c>
      <c r="T45" s="25">
        <f>bdrate(C45:C48,H45:H48,J45:J48,O45:O48)</f>
        <v>-0.45519772927062707</v>
      </c>
      <c r="U45" s="28">
        <f t="shared" si="2"/>
        <v>9.5258235054900386E-2</v>
      </c>
    </row>
    <row r="46" spans="1:21" x14ac:dyDescent="0.25">
      <c r="B46" s="9"/>
      <c r="C46" s="17">
        <v>918.98828130000004</v>
      </c>
      <c r="D46" s="18">
        <v>27.55</v>
      </c>
      <c r="E46" s="18">
        <v>34.767000000000003</v>
      </c>
      <c r="F46" s="18">
        <v>35.558999999999997</v>
      </c>
      <c r="G46" s="18">
        <v>139.09</v>
      </c>
      <c r="H46" s="18">
        <f t="shared" si="0"/>
        <v>29.453250000000001</v>
      </c>
      <c r="I46" s="5"/>
      <c r="J46" s="17">
        <v>818.59760000000006</v>
      </c>
      <c r="K46" s="18">
        <v>29.017900000000001</v>
      </c>
      <c r="L46" s="18">
        <v>36.0107</v>
      </c>
      <c r="M46" s="18">
        <v>36.7913</v>
      </c>
      <c r="N46" s="18">
        <v>162.70750000000001</v>
      </c>
      <c r="O46" s="18">
        <f t="shared" si="1"/>
        <v>30.863675000000004</v>
      </c>
      <c r="P46" s="7"/>
      <c r="Q46" s="10"/>
      <c r="R46" s="11"/>
      <c r="S46" s="11"/>
      <c r="T46" s="26"/>
      <c r="U46" s="28">
        <f t="shared" si="2"/>
        <v>0.16980012941261058</v>
      </c>
    </row>
    <row r="47" spans="1:21" x14ac:dyDescent="0.25">
      <c r="B47" s="9"/>
      <c r="C47" s="17">
        <v>580.72167969999998</v>
      </c>
      <c r="D47" s="18">
        <v>26.35</v>
      </c>
      <c r="E47" s="18">
        <v>33.886000000000003</v>
      </c>
      <c r="F47" s="18">
        <v>34.607999999999997</v>
      </c>
      <c r="G47" s="18">
        <v>152.59</v>
      </c>
      <c r="H47" s="18">
        <f t="shared" si="0"/>
        <v>28.324250000000003</v>
      </c>
      <c r="I47" s="5"/>
      <c r="J47" s="17">
        <v>514.82000000000005</v>
      </c>
      <c r="K47" s="18">
        <v>27.557700000000001</v>
      </c>
      <c r="L47" s="18">
        <v>35.1843</v>
      </c>
      <c r="M47" s="18">
        <v>35.928800000000003</v>
      </c>
      <c r="N47" s="18">
        <v>205.42320000000001</v>
      </c>
      <c r="O47" s="18">
        <f t="shared" si="1"/>
        <v>29.557412500000002</v>
      </c>
      <c r="P47" s="7"/>
      <c r="Q47" s="10"/>
      <c r="R47" s="11"/>
      <c r="S47" s="11"/>
      <c r="T47" s="26"/>
      <c r="U47" s="28">
        <f t="shared" si="2"/>
        <v>0.34624287305852286</v>
      </c>
    </row>
    <row r="48" spans="1:21" ht="16.5" thickBot="1" x14ac:dyDescent="0.3">
      <c r="B48" s="12"/>
      <c r="C48" s="19">
        <v>392.04296879999998</v>
      </c>
      <c r="D48" s="20">
        <v>25.327000000000002</v>
      </c>
      <c r="E48" s="20">
        <v>33.094000000000001</v>
      </c>
      <c r="F48" s="20">
        <v>33.783999999999999</v>
      </c>
      <c r="G48" s="20">
        <v>163.71</v>
      </c>
      <c r="H48" s="20">
        <f t="shared" si="0"/>
        <v>27.355</v>
      </c>
      <c r="I48" s="5"/>
      <c r="J48" s="19">
        <v>309.87520000000001</v>
      </c>
      <c r="K48" s="20">
        <v>25.994299999999999</v>
      </c>
      <c r="L48" s="20">
        <v>34.271099999999997</v>
      </c>
      <c r="M48" s="20">
        <v>34.9816</v>
      </c>
      <c r="N48" s="20">
        <v>250.37559999999999</v>
      </c>
      <c r="O48" s="20">
        <f t="shared" si="1"/>
        <v>28.152312500000001</v>
      </c>
      <c r="P48" s="7"/>
      <c r="Q48" s="13"/>
      <c r="R48" s="14"/>
      <c r="S48" s="14"/>
      <c r="T48" s="27"/>
      <c r="U48" s="28">
        <f t="shared" si="2"/>
        <v>0.52938488791155081</v>
      </c>
    </row>
    <row r="49" spans="1:21" x14ac:dyDescent="0.25">
      <c r="B49" s="6" t="s">
        <v>56</v>
      </c>
      <c r="C49" s="15">
        <v>1308.8935550000001</v>
      </c>
      <c r="D49" s="16">
        <v>31.594000000000001</v>
      </c>
      <c r="E49" s="16">
        <v>35.904000000000003</v>
      </c>
      <c r="F49" s="16">
        <v>37.564</v>
      </c>
      <c r="G49" s="16">
        <v>109.14</v>
      </c>
      <c r="H49" s="16">
        <f t="shared" si="0"/>
        <v>32.879000000000005</v>
      </c>
      <c r="I49" s="5"/>
      <c r="J49" s="15">
        <v>1210.7056</v>
      </c>
      <c r="K49" s="16">
        <v>32.445799999999998</v>
      </c>
      <c r="L49" s="16">
        <v>36.927599999999998</v>
      </c>
      <c r="M49" s="16">
        <v>38.525700000000001</v>
      </c>
      <c r="N49" s="16">
        <v>95.663300000000007</v>
      </c>
      <c r="O49" s="16">
        <f t="shared" si="1"/>
        <v>33.766012500000002</v>
      </c>
      <c r="P49" s="7"/>
      <c r="Q49" s="8">
        <f>bdrate(C49:C52,D49:D52,J49:J52,K49:K52)</f>
        <v>-0.24960084199760513</v>
      </c>
      <c r="R49" s="8">
        <f>bdrate(C49:C52,E49:E52,J49:J52,L49:L52)</f>
        <v>-0.48702262910915284</v>
      </c>
      <c r="S49" s="8">
        <f>bdrate(C49:C52,F49:F52,J49:J52,M49:M52)</f>
        <v>-0.47515009730111013</v>
      </c>
      <c r="T49" s="25">
        <f>bdrate(C49:C52,H49:H52,J49:J52,O49:O52)</f>
        <v>-0.29983051803835281</v>
      </c>
      <c r="U49" s="28">
        <f t="shared" si="2"/>
        <v>-0.1234808502840388</v>
      </c>
    </row>
    <row r="50" spans="1:21" x14ac:dyDescent="0.25">
      <c r="B50" s="9"/>
      <c r="C50" s="17">
        <v>933.37109380000004</v>
      </c>
      <c r="D50" s="18">
        <v>30.411999999999999</v>
      </c>
      <c r="E50" s="18">
        <v>35.036000000000001</v>
      </c>
      <c r="F50" s="18">
        <v>36.648000000000003</v>
      </c>
      <c r="G50" s="18">
        <v>122.88</v>
      </c>
      <c r="H50" s="18">
        <f t="shared" si="0"/>
        <v>31.769499999999997</v>
      </c>
      <c r="I50" s="5"/>
      <c r="J50" s="17">
        <v>806.42560000000003</v>
      </c>
      <c r="K50" s="18">
        <v>30.911799999999999</v>
      </c>
      <c r="L50" s="18">
        <v>36.032800000000002</v>
      </c>
      <c r="M50" s="18">
        <v>37.619199999999999</v>
      </c>
      <c r="N50" s="18">
        <v>113.76560000000001</v>
      </c>
      <c r="O50" s="18">
        <f t="shared" si="1"/>
        <v>32.390349999999998</v>
      </c>
      <c r="P50" s="7"/>
      <c r="Q50" s="10"/>
      <c r="R50" s="11"/>
      <c r="S50" s="11"/>
      <c r="T50" s="26"/>
      <c r="U50" s="28">
        <f t="shared" si="2"/>
        <v>-7.417317708333325E-2</v>
      </c>
    </row>
    <row r="51" spans="1:21" x14ac:dyDescent="0.25">
      <c r="B51" s="9"/>
      <c r="C51" s="17">
        <v>614.359375</v>
      </c>
      <c r="D51" s="18">
        <v>29.001000000000001</v>
      </c>
      <c r="E51" s="18">
        <v>33.97</v>
      </c>
      <c r="F51" s="18">
        <v>35.484000000000002</v>
      </c>
      <c r="G51" s="18">
        <v>134.4</v>
      </c>
      <c r="H51" s="18">
        <f t="shared" si="0"/>
        <v>30.432500000000001</v>
      </c>
      <c r="I51" s="5"/>
      <c r="J51" s="17">
        <v>504.0376</v>
      </c>
      <c r="K51" s="18">
        <v>29.257000000000001</v>
      </c>
      <c r="L51" s="18">
        <v>35.131999999999998</v>
      </c>
      <c r="M51" s="18">
        <v>36.702800000000003</v>
      </c>
      <c r="N51" s="18">
        <v>143.54069999999999</v>
      </c>
      <c r="O51" s="18">
        <f t="shared" si="1"/>
        <v>30.9221</v>
      </c>
      <c r="P51" s="7"/>
      <c r="Q51" s="10"/>
      <c r="R51" s="11"/>
      <c r="S51" s="11"/>
      <c r="T51" s="26"/>
      <c r="U51" s="28">
        <f t="shared" si="2"/>
        <v>6.8011160714285576E-2</v>
      </c>
    </row>
    <row r="52" spans="1:21" ht="16.5" thickBot="1" x14ac:dyDescent="0.3">
      <c r="B52" s="12"/>
      <c r="C52" s="19">
        <v>401.12890629999998</v>
      </c>
      <c r="D52" s="20">
        <v>27.507000000000001</v>
      </c>
      <c r="E52" s="20">
        <v>32.868000000000002</v>
      </c>
      <c r="F52" s="20">
        <v>34.167000000000002</v>
      </c>
      <c r="G52" s="20">
        <v>148.18</v>
      </c>
      <c r="H52" s="20">
        <f t="shared" si="0"/>
        <v>29.009625</v>
      </c>
      <c r="I52" s="5"/>
      <c r="J52" s="19">
        <v>302.73439999999999</v>
      </c>
      <c r="K52" s="20">
        <v>27.650700000000001</v>
      </c>
      <c r="L52" s="20">
        <v>34.209099999999999</v>
      </c>
      <c r="M52" s="20">
        <v>35.683</v>
      </c>
      <c r="N52" s="20">
        <v>186.6833</v>
      </c>
      <c r="O52" s="20">
        <f t="shared" si="1"/>
        <v>29.4745375</v>
      </c>
      <c r="P52" s="7"/>
      <c r="Q52" s="13"/>
      <c r="R52" s="14"/>
      <c r="S52" s="14"/>
      <c r="T52" s="27"/>
      <c r="U52" s="28">
        <f t="shared" si="2"/>
        <v>0.25984140909704412</v>
      </c>
    </row>
    <row r="53" spans="1:21" x14ac:dyDescent="0.25">
      <c r="A53" s="6" t="s">
        <v>41</v>
      </c>
      <c r="B53" s="6" t="s">
        <v>57</v>
      </c>
      <c r="C53" s="15">
        <v>609.73339840000006</v>
      </c>
      <c r="D53" s="16">
        <v>32.978000000000002</v>
      </c>
      <c r="E53" s="16">
        <v>38.465000000000003</v>
      </c>
      <c r="F53" s="16">
        <v>36.328000000000003</v>
      </c>
      <c r="G53" s="16">
        <v>492.25</v>
      </c>
      <c r="H53" s="16">
        <f t="shared" si="0"/>
        <v>34.082625</v>
      </c>
      <c r="I53" s="5"/>
      <c r="J53" s="15">
        <v>605.77279999999996</v>
      </c>
      <c r="K53" s="16">
        <v>34.363900000000001</v>
      </c>
      <c r="L53" s="16">
        <v>39.734200000000001</v>
      </c>
      <c r="M53" s="16">
        <v>38.252099999999999</v>
      </c>
      <c r="N53" s="16">
        <v>381.67939999999999</v>
      </c>
      <c r="O53" s="16">
        <f t="shared" si="1"/>
        <v>35.521212499999997</v>
      </c>
      <c r="P53" s="7"/>
      <c r="Q53" s="8">
        <f>bdrate(C53:C56,D53:D56,J53:J56,K53:K56)</f>
        <v>-0.24059164359667962</v>
      </c>
      <c r="R53" s="8">
        <f>bdrate(C53:C56,E53:E56,J53:J56,L53:L56)</f>
        <v>-0.40578675455566837</v>
      </c>
      <c r="S53" s="8">
        <f>bdrate(C53:C56,F53:F56,J53:J56,M53:M56)</f>
        <v>-0.50822044502266783</v>
      </c>
      <c r="T53" s="25">
        <f>bdrate(C53:C56,H53:H56,J53:J56,O53:O56)</f>
        <v>-0.28993009390554647</v>
      </c>
      <c r="U53" s="28">
        <f t="shared" si="2"/>
        <v>-0.22462285424073136</v>
      </c>
    </row>
    <row r="54" spans="1:21" x14ac:dyDescent="0.25">
      <c r="A54" s="9" t="s">
        <v>42</v>
      </c>
      <c r="B54" s="9"/>
      <c r="C54" s="17">
        <v>420.05273440000002</v>
      </c>
      <c r="D54" s="18">
        <v>31.484000000000002</v>
      </c>
      <c r="E54" s="18">
        <v>37.445999999999998</v>
      </c>
      <c r="F54" s="18">
        <v>35.133000000000003</v>
      </c>
      <c r="G54" s="18">
        <v>539.83000000000004</v>
      </c>
      <c r="H54" s="18">
        <f t="shared" si="0"/>
        <v>32.685375000000001</v>
      </c>
      <c r="I54" s="5"/>
      <c r="J54" s="17">
        <v>405.08479999999997</v>
      </c>
      <c r="K54" s="18">
        <v>32.584699999999998</v>
      </c>
      <c r="L54" s="18">
        <v>38.533799999999999</v>
      </c>
      <c r="M54" s="18">
        <v>36.893599999999999</v>
      </c>
      <c r="N54" s="18">
        <v>451.6712</v>
      </c>
      <c r="O54" s="18">
        <f t="shared" si="1"/>
        <v>33.866949999999996</v>
      </c>
      <c r="P54" s="7"/>
      <c r="Q54" s="10"/>
      <c r="R54" s="11"/>
      <c r="S54" s="11"/>
      <c r="T54" s="26"/>
      <c r="U54" s="28">
        <f t="shared" si="2"/>
        <v>-0.16330844895615293</v>
      </c>
    </row>
    <row r="55" spans="1:21" x14ac:dyDescent="0.25">
      <c r="B55" s="9"/>
      <c r="C55" s="17">
        <v>265.21679690000002</v>
      </c>
      <c r="D55" s="18">
        <v>29.803000000000001</v>
      </c>
      <c r="E55" s="18">
        <v>36.243000000000002</v>
      </c>
      <c r="F55" s="18">
        <v>33.712000000000003</v>
      </c>
      <c r="G55" s="18">
        <v>585.71</v>
      </c>
      <c r="H55" s="18">
        <f t="shared" si="0"/>
        <v>31.096625000000003</v>
      </c>
      <c r="I55" s="5"/>
      <c r="J55" s="17">
        <v>254.43360000000001</v>
      </c>
      <c r="K55" s="18">
        <v>30.656500000000001</v>
      </c>
      <c r="L55" s="18">
        <v>37.442300000000003</v>
      </c>
      <c r="M55" s="18">
        <v>35.664900000000003</v>
      </c>
      <c r="N55" s="18">
        <v>561.79780000000005</v>
      </c>
      <c r="O55" s="18">
        <f t="shared" si="1"/>
        <v>32.130775</v>
      </c>
      <c r="P55" s="7"/>
      <c r="Q55" s="10"/>
      <c r="R55" s="11"/>
      <c r="S55" s="11"/>
      <c r="T55" s="26"/>
      <c r="U55" s="28">
        <f t="shared" si="2"/>
        <v>-4.0826006043946636E-2</v>
      </c>
    </row>
    <row r="56" spans="1:21" ht="16.5" thickBot="1" x14ac:dyDescent="0.3">
      <c r="B56" s="12"/>
      <c r="C56" s="19">
        <v>140.16796880000001</v>
      </c>
      <c r="D56" s="20">
        <v>27.504999999999999</v>
      </c>
      <c r="E56" s="20">
        <v>34.497</v>
      </c>
      <c r="F56" s="20">
        <v>31.785</v>
      </c>
      <c r="G56" s="20">
        <v>662.35</v>
      </c>
      <c r="H56" s="20">
        <f t="shared" si="0"/>
        <v>28.913999999999998</v>
      </c>
      <c r="I56" s="5"/>
      <c r="J56" s="19">
        <v>122.996</v>
      </c>
      <c r="K56" s="20">
        <v>27.891400000000001</v>
      </c>
      <c r="L56" s="20">
        <v>35.864199999999997</v>
      </c>
      <c r="M56" s="20">
        <v>33.802599999999998</v>
      </c>
      <c r="N56" s="20">
        <v>781.25</v>
      </c>
      <c r="O56" s="20">
        <f t="shared" si="1"/>
        <v>29.626899999999999</v>
      </c>
      <c r="P56" s="7"/>
      <c r="Q56" s="13"/>
      <c r="R56" s="14"/>
      <c r="S56" s="14"/>
      <c r="T56" s="27"/>
      <c r="U56" s="28">
        <f t="shared" si="2"/>
        <v>0.179512342417151</v>
      </c>
    </row>
    <row r="57" spans="1:21" x14ac:dyDescent="0.25">
      <c r="B57" s="6" t="s">
        <v>58</v>
      </c>
      <c r="C57" s="15">
        <v>643.4921875</v>
      </c>
      <c r="D57" s="16">
        <v>29.710999999999999</v>
      </c>
      <c r="E57" s="16">
        <v>39.936999999999998</v>
      </c>
      <c r="F57" s="16">
        <v>40.688000000000002</v>
      </c>
      <c r="G57" s="16">
        <v>464.34</v>
      </c>
      <c r="H57" s="16">
        <f t="shared" si="0"/>
        <v>32.361374999999995</v>
      </c>
      <c r="I57" s="5"/>
      <c r="J57" s="15">
        <v>604.36559999999997</v>
      </c>
      <c r="K57" s="16">
        <v>33.636299999999999</v>
      </c>
      <c r="L57" s="16">
        <v>41.261499999999998</v>
      </c>
      <c r="M57" s="16">
        <v>42.127699999999997</v>
      </c>
      <c r="N57" s="16">
        <v>458.01530000000002</v>
      </c>
      <c r="O57" s="16">
        <f t="shared" si="1"/>
        <v>35.650874999999999</v>
      </c>
      <c r="P57" s="7"/>
      <c r="Q57" s="8">
        <f>bdrate(C57:C60,D57:D60,J57:J60,K57:K60)</f>
        <v>-0.70932297488038076</v>
      </c>
      <c r="R57" s="8">
        <f>bdrate(C57:C60,E57:E60,J57:J60,L57:L60)</f>
        <v>-0.51438808142238557</v>
      </c>
      <c r="S57" s="8">
        <f>bdrate(C57:C60,F57:F60,J57:J60,M57:M60)</f>
        <v>-0.50430935269108756</v>
      </c>
      <c r="T57" s="25">
        <f>bdrate(C57:C60,H57:H60,J57:J60,O57:O60)</f>
        <v>-0.68302568054089119</v>
      </c>
      <c r="U57" s="28">
        <f t="shared" si="2"/>
        <v>-1.3620838178920512E-2</v>
      </c>
    </row>
    <row r="58" spans="1:21" x14ac:dyDescent="0.25">
      <c r="B58" s="9"/>
      <c r="C58" s="17">
        <v>440.09570309999998</v>
      </c>
      <c r="D58" s="18">
        <v>28.65</v>
      </c>
      <c r="E58" s="18">
        <v>39.241999999999997</v>
      </c>
      <c r="F58" s="18">
        <v>39.906999999999996</v>
      </c>
      <c r="G58" s="18">
        <v>494.99</v>
      </c>
      <c r="H58" s="18">
        <f t="shared" si="0"/>
        <v>31.381124999999997</v>
      </c>
      <c r="I58" s="5"/>
      <c r="J58" s="17">
        <v>403.83920000000001</v>
      </c>
      <c r="K58" s="18">
        <v>32.382399999999997</v>
      </c>
      <c r="L58" s="18">
        <v>40.468800000000002</v>
      </c>
      <c r="M58" s="18">
        <v>41.338299999999997</v>
      </c>
      <c r="N58" s="18">
        <v>573.61379999999997</v>
      </c>
      <c r="O58" s="18">
        <f t="shared" si="1"/>
        <v>34.512687499999998</v>
      </c>
      <c r="P58" s="7"/>
      <c r="Q58" s="10"/>
      <c r="R58" s="11"/>
      <c r="S58" s="11"/>
      <c r="T58" s="26"/>
      <c r="U58" s="28">
        <f t="shared" si="2"/>
        <v>0.15883916846804977</v>
      </c>
    </row>
    <row r="59" spans="1:21" x14ac:dyDescent="0.25">
      <c r="B59" s="9"/>
      <c r="C59" s="17">
        <v>282.4755859</v>
      </c>
      <c r="D59" s="18">
        <v>27.529</v>
      </c>
      <c r="E59" s="18">
        <v>38.515999999999998</v>
      </c>
      <c r="F59" s="18">
        <v>39.155000000000001</v>
      </c>
      <c r="G59" s="18">
        <v>523.04</v>
      </c>
      <c r="H59" s="18">
        <f t="shared" si="0"/>
        <v>30.355625</v>
      </c>
      <c r="I59" s="5"/>
      <c r="J59" s="17">
        <v>252.4776</v>
      </c>
      <c r="K59" s="18">
        <v>30.860900000000001</v>
      </c>
      <c r="L59" s="18">
        <v>39.5244</v>
      </c>
      <c r="M59" s="18">
        <v>40.261000000000003</v>
      </c>
      <c r="N59" s="18">
        <v>725.51390000000004</v>
      </c>
      <c r="O59" s="18">
        <f t="shared" si="1"/>
        <v>33.118850000000002</v>
      </c>
      <c r="P59" s="7"/>
      <c r="Q59" s="10"/>
      <c r="R59" s="11"/>
      <c r="S59" s="11"/>
      <c r="T59" s="26"/>
      <c r="U59" s="28">
        <f t="shared" si="2"/>
        <v>0.38710978127867868</v>
      </c>
    </row>
    <row r="60" spans="1:21" ht="16.5" thickBot="1" x14ac:dyDescent="0.3">
      <c r="B60" s="12"/>
      <c r="C60" s="19">
        <v>139.4697266</v>
      </c>
      <c r="D60" s="20">
        <v>25.553000000000001</v>
      </c>
      <c r="E60" s="20">
        <v>37.496000000000002</v>
      </c>
      <c r="F60" s="20">
        <v>37.646000000000001</v>
      </c>
      <c r="G60" s="20">
        <v>624.53</v>
      </c>
      <c r="H60" s="20">
        <f t="shared" si="0"/>
        <v>28.557500000000005</v>
      </c>
      <c r="I60" s="5"/>
      <c r="J60" s="19">
        <v>120.70959999999999</v>
      </c>
      <c r="K60" s="20">
        <v>28.351299999999998</v>
      </c>
      <c r="L60" s="20">
        <v>38.346200000000003</v>
      </c>
      <c r="M60" s="20">
        <v>38.786499999999997</v>
      </c>
      <c r="N60" s="20">
        <v>986.84209999999996</v>
      </c>
      <c r="O60" s="20">
        <f t="shared" si="1"/>
        <v>30.9050625</v>
      </c>
      <c r="P60" s="7"/>
      <c r="Q60" s="13"/>
      <c r="R60" s="14"/>
      <c r="S60" s="14"/>
      <c r="T60" s="27"/>
      <c r="U60" s="28">
        <f t="shared" si="2"/>
        <v>0.58013562198773483</v>
      </c>
    </row>
    <row r="61" spans="1:21" x14ac:dyDescent="0.25">
      <c r="B61" s="6" t="s">
        <v>59</v>
      </c>
      <c r="C61" s="29">
        <v>653.05859380000004</v>
      </c>
      <c r="D61" s="30">
        <v>30.553000000000001</v>
      </c>
      <c r="E61" s="30">
        <v>36.648000000000003</v>
      </c>
      <c r="F61" s="30">
        <v>37.366999999999997</v>
      </c>
      <c r="G61" s="16">
        <v>467.15</v>
      </c>
      <c r="H61" s="16">
        <f t="shared" si="0"/>
        <v>32.166625000000003</v>
      </c>
      <c r="I61" s="5"/>
      <c r="J61" s="29">
        <v>643.15440000000001</v>
      </c>
      <c r="K61" s="30">
        <v>33.180500000000002</v>
      </c>
      <c r="L61" s="30">
        <v>38.228499999999997</v>
      </c>
      <c r="M61" s="30">
        <v>38.942100000000003</v>
      </c>
      <c r="N61" s="16">
        <v>411.18419999999998</v>
      </c>
      <c r="O61" s="16">
        <f t="shared" si="1"/>
        <v>34.531700000000001</v>
      </c>
      <c r="P61" s="7"/>
      <c r="Q61" s="8">
        <f>bdrate(C61:C64,D61:D64,J61:J64,K61:K64)</f>
        <v>-0.4638591023216968</v>
      </c>
      <c r="R61" s="8">
        <f>bdrate(C61:C64,E61:E64,J61:J64,L61:L64)</f>
        <v>-0.49743673237844876</v>
      </c>
      <c r="S61" s="8">
        <f>bdrate(C61:C64,F61:F64,J61:J64,M61:M64)</f>
        <v>-0.49679083882376562</v>
      </c>
      <c r="T61" s="25">
        <f>bdrate(C61:C64,H61:H64,J61:J64,O61:O64)</f>
        <v>-0.47297429678325442</v>
      </c>
      <c r="U61" s="28">
        <f t="shared" si="2"/>
        <v>-0.11980263298726319</v>
      </c>
    </row>
    <row r="62" spans="1:21" x14ac:dyDescent="0.25">
      <c r="B62" s="9"/>
      <c r="C62" s="31">
        <v>445.91015629999998</v>
      </c>
      <c r="D62" s="32">
        <v>29.457000000000001</v>
      </c>
      <c r="E62" s="32">
        <v>35.688000000000002</v>
      </c>
      <c r="F62" s="32">
        <v>36.353999999999999</v>
      </c>
      <c r="G62" s="18">
        <v>493.39</v>
      </c>
      <c r="H62" s="18">
        <f t="shared" si="0"/>
        <v>31.097999999999999</v>
      </c>
      <c r="I62" s="5"/>
      <c r="J62" s="31">
        <v>427.54719999999998</v>
      </c>
      <c r="K62" s="32">
        <v>31.614899999999999</v>
      </c>
      <c r="L62" s="32">
        <v>37.187399999999997</v>
      </c>
      <c r="M62" s="32">
        <v>37.8996</v>
      </c>
      <c r="N62" s="18">
        <v>501.00200000000001</v>
      </c>
      <c r="O62" s="18">
        <f t="shared" si="1"/>
        <v>33.097049999999996</v>
      </c>
      <c r="P62" s="7"/>
      <c r="Q62" s="10"/>
      <c r="R62" s="11"/>
      <c r="S62" s="11"/>
      <c r="T62" s="26"/>
      <c r="U62" s="28">
        <f t="shared" si="2"/>
        <v>1.5427957599464973E-2</v>
      </c>
    </row>
    <row r="63" spans="1:21" x14ac:dyDescent="0.25">
      <c r="B63" s="9"/>
      <c r="C63" s="31">
        <v>281.88671879999998</v>
      </c>
      <c r="D63" s="32">
        <v>28.251000000000001</v>
      </c>
      <c r="E63" s="32">
        <v>34.637999999999998</v>
      </c>
      <c r="F63" s="32">
        <v>35.256999999999998</v>
      </c>
      <c r="G63" s="18">
        <v>518.32000000000005</v>
      </c>
      <c r="H63" s="18">
        <f t="shared" si="0"/>
        <v>29.925125000000001</v>
      </c>
      <c r="I63" s="5"/>
      <c r="J63" s="31">
        <v>266.7056</v>
      </c>
      <c r="K63" s="32">
        <v>29.956299999999999</v>
      </c>
      <c r="L63" s="32">
        <v>36.056399999999996</v>
      </c>
      <c r="M63" s="32">
        <v>36.7361</v>
      </c>
      <c r="N63" s="18">
        <v>616.52279999999996</v>
      </c>
      <c r="O63" s="18">
        <f t="shared" si="1"/>
        <v>31.566287499999998</v>
      </c>
      <c r="P63" s="7"/>
      <c r="Q63" s="10"/>
      <c r="R63" s="11"/>
      <c r="S63" s="11"/>
      <c r="T63" s="26"/>
      <c r="U63" s="28">
        <f t="shared" si="2"/>
        <v>0.18946365179811681</v>
      </c>
    </row>
    <row r="64" spans="1:21" ht="16.5" thickBot="1" x14ac:dyDescent="0.3">
      <c r="B64" s="12"/>
      <c r="C64" s="33">
        <v>138.57226560000001</v>
      </c>
      <c r="D64" s="34">
        <v>26.454999999999998</v>
      </c>
      <c r="E64" s="34">
        <v>33.122</v>
      </c>
      <c r="F64" s="34">
        <v>33.779000000000003</v>
      </c>
      <c r="G64" s="20">
        <v>583.27</v>
      </c>
      <c r="H64" s="20">
        <f t="shared" si="0"/>
        <v>28.203874999999996</v>
      </c>
      <c r="I64" s="5"/>
      <c r="J64" s="33">
        <v>127.91759999999999</v>
      </c>
      <c r="K64" s="34">
        <v>27.517499999999998</v>
      </c>
      <c r="L64" s="34">
        <v>34.535499999999999</v>
      </c>
      <c r="M64" s="34">
        <v>35.145400000000002</v>
      </c>
      <c r="N64" s="20">
        <v>891.26559999999995</v>
      </c>
      <c r="O64" s="20">
        <f t="shared" si="1"/>
        <v>29.348237499999996</v>
      </c>
      <c r="P64" s="7"/>
      <c r="Q64" s="13"/>
      <c r="R64" s="14"/>
      <c r="S64" s="14"/>
      <c r="T64" s="27"/>
      <c r="U64" s="28">
        <f t="shared" si="2"/>
        <v>0.52804978826272564</v>
      </c>
    </row>
    <row r="65" spans="1:21" x14ac:dyDescent="0.25">
      <c r="B65" s="6" t="s">
        <v>60</v>
      </c>
      <c r="C65" s="15">
        <v>614.85351560000004</v>
      </c>
      <c r="D65" s="16">
        <v>32.729999999999997</v>
      </c>
      <c r="E65" s="16">
        <v>36.323999999999998</v>
      </c>
      <c r="F65" s="16">
        <v>37.426000000000002</v>
      </c>
      <c r="G65" s="16">
        <v>401.21</v>
      </c>
      <c r="H65" s="16">
        <f t="shared" si="0"/>
        <v>33.766249999999999</v>
      </c>
      <c r="I65" s="5"/>
      <c r="J65" s="15">
        <v>605.52719999999999</v>
      </c>
      <c r="K65" s="16">
        <v>33.870600000000003</v>
      </c>
      <c r="L65" s="16">
        <v>37.7288</v>
      </c>
      <c r="M65" s="16">
        <v>38.817599999999999</v>
      </c>
      <c r="N65" s="16">
        <v>278.81040000000002</v>
      </c>
      <c r="O65" s="16">
        <f t="shared" si="1"/>
        <v>34.971250000000005</v>
      </c>
      <c r="P65" s="7"/>
      <c r="Q65" s="8">
        <f>bdrate(C65:C68,D65:D68,J65:J68,K65:K68)</f>
        <v>-0.21026418835914451</v>
      </c>
      <c r="R65" s="8">
        <f>bdrate(C65:C68,E65:E68,J65:J68,L65:L68)</f>
        <v>-0.46874986829995935</v>
      </c>
      <c r="S65" s="8">
        <f>bdrate(C65:C68,F65:F68,J65:J68,M65:M68)</f>
        <v>-0.45442944647248584</v>
      </c>
      <c r="T65" s="25">
        <f>bdrate(C65:C68,H65:H68,J65:J68,O65:O68)</f>
        <v>-0.26814329154684247</v>
      </c>
      <c r="U65" s="28">
        <f t="shared" si="2"/>
        <v>-0.30507614466239619</v>
      </c>
    </row>
    <row r="66" spans="1:21" x14ac:dyDescent="0.25">
      <c r="B66" s="9"/>
      <c r="C66" s="17">
        <v>432.26367190000002</v>
      </c>
      <c r="D66" s="18">
        <v>31.355</v>
      </c>
      <c r="E66" s="18">
        <v>35.265999999999998</v>
      </c>
      <c r="F66" s="18">
        <v>36.378</v>
      </c>
      <c r="G66" s="18">
        <v>426.31</v>
      </c>
      <c r="H66" s="18">
        <f t="shared" si="0"/>
        <v>32.47175</v>
      </c>
      <c r="I66" s="5"/>
      <c r="J66" s="17">
        <v>403.67599999999999</v>
      </c>
      <c r="K66" s="18">
        <v>32.028399999999998</v>
      </c>
      <c r="L66" s="18">
        <v>36.571199999999997</v>
      </c>
      <c r="M66" s="18">
        <v>37.690199999999997</v>
      </c>
      <c r="N66" s="18">
        <v>315.45740000000001</v>
      </c>
      <c r="O66" s="18">
        <f t="shared" si="1"/>
        <v>33.303974999999994</v>
      </c>
      <c r="P66" s="7"/>
      <c r="Q66" s="10"/>
      <c r="R66" s="11"/>
      <c r="S66" s="11"/>
      <c r="T66" s="26"/>
      <c r="U66" s="28">
        <f t="shared" si="2"/>
        <v>-0.26002814853041212</v>
      </c>
    </row>
    <row r="67" spans="1:21" x14ac:dyDescent="0.25">
      <c r="B67" s="9"/>
      <c r="C67" s="17">
        <v>289.72070309999998</v>
      </c>
      <c r="D67" s="18">
        <v>29.864000000000001</v>
      </c>
      <c r="E67" s="18">
        <v>34.109000000000002</v>
      </c>
      <c r="F67" s="18">
        <v>35.229999999999997</v>
      </c>
      <c r="G67" s="18">
        <v>452.24</v>
      </c>
      <c r="H67" s="18">
        <f t="shared" si="0"/>
        <v>31.065375</v>
      </c>
      <c r="I67" s="5"/>
      <c r="J67" s="17">
        <v>252.88560000000001</v>
      </c>
      <c r="K67" s="18">
        <v>30.223700000000001</v>
      </c>
      <c r="L67" s="18">
        <v>35.4133</v>
      </c>
      <c r="M67" s="18">
        <v>36.466500000000003</v>
      </c>
      <c r="N67" s="18">
        <v>427.35039999999998</v>
      </c>
      <c r="O67" s="18">
        <f t="shared" si="1"/>
        <v>31.652749999999997</v>
      </c>
      <c r="P67" s="7"/>
      <c r="Q67" s="10"/>
      <c r="R67" s="11"/>
      <c r="S67" s="11"/>
      <c r="T67" s="26"/>
      <c r="U67" s="28">
        <f t="shared" si="2"/>
        <v>-5.5036263930656353E-2</v>
      </c>
    </row>
    <row r="68" spans="1:21" ht="16.5" thickBot="1" x14ac:dyDescent="0.3">
      <c r="B68" s="12"/>
      <c r="C68" s="19">
        <v>147.3662109</v>
      </c>
      <c r="D68" s="20">
        <v>27.623999999999999</v>
      </c>
      <c r="E68" s="20">
        <v>32.369</v>
      </c>
      <c r="F68" s="20">
        <v>33.427999999999997</v>
      </c>
      <c r="G68" s="20">
        <v>507.68</v>
      </c>
      <c r="H68" s="20">
        <f t="shared" si="0"/>
        <v>28.942625</v>
      </c>
      <c r="I68" s="5"/>
      <c r="J68" s="19">
        <v>122.1144</v>
      </c>
      <c r="K68" s="20">
        <v>27.742799999999999</v>
      </c>
      <c r="L68" s="20">
        <v>33.941800000000001</v>
      </c>
      <c r="M68" s="20">
        <v>34.902099999999997</v>
      </c>
      <c r="N68" s="20">
        <v>601.20240000000001</v>
      </c>
      <c r="O68" s="20">
        <f t="shared" si="1"/>
        <v>29.412587499999997</v>
      </c>
      <c r="P68" s="7"/>
      <c r="Q68" s="13"/>
      <c r="R68" s="14"/>
      <c r="S68" s="14"/>
      <c r="T68" s="27"/>
      <c r="U68" s="28">
        <f t="shared" si="2"/>
        <v>0.18421525370312009</v>
      </c>
    </row>
    <row r="69" spans="1:21" x14ac:dyDescent="0.25">
      <c r="A69" s="6" t="s">
        <v>43</v>
      </c>
      <c r="B69" s="6" t="s">
        <v>61</v>
      </c>
      <c r="C69" s="15">
        <v>1490.1289059999999</v>
      </c>
      <c r="D69" s="16">
        <v>40.040999999999997</v>
      </c>
      <c r="E69" s="16">
        <v>45.264000000000003</v>
      </c>
      <c r="F69" s="16">
        <v>46.469000000000001</v>
      </c>
      <c r="G69" s="16">
        <v>98.4</v>
      </c>
      <c r="H69" s="16">
        <f t="shared" si="0"/>
        <v>41.497374999999998</v>
      </c>
      <c r="I69" s="5"/>
      <c r="J69" s="15">
        <v>1494.3152</v>
      </c>
      <c r="K69" s="16">
        <v>41.3508</v>
      </c>
      <c r="L69" s="16">
        <v>45.814900000000002</v>
      </c>
      <c r="M69" s="16">
        <v>47.022599999999997</v>
      </c>
      <c r="N69" s="16">
        <v>115.1631</v>
      </c>
      <c r="O69" s="16">
        <f t="shared" si="1"/>
        <v>42.617787500000006</v>
      </c>
      <c r="P69" s="7"/>
      <c r="Q69" s="8">
        <f>bdrate(C69:C72,D69:D72,J69:J72,K69:K72)</f>
        <v>-0.34506389287536343</v>
      </c>
      <c r="R69" s="8">
        <f>bdrate(C69:C72,E69:E72,J69:J72,L69:L72)</f>
        <v>-0.20934905344006949</v>
      </c>
      <c r="S69" s="8">
        <f>bdrate(C69:C72,F69:F72,J69:J72,M69:M72)</f>
        <v>-0.23333677177853918</v>
      </c>
      <c r="T69" s="25">
        <f>bdrate(C69:C72,H69:H72,J69:J72,O69:O72)</f>
        <v>-0.32251884690435417</v>
      </c>
      <c r="U69" s="28">
        <f t="shared" si="2"/>
        <v>0.17035670731707311</v>
      </c>
    </row>
    <row r="70" spans="1:21" x14ac:dyDescent="0.25">
      <c r="A70" s="9" t="s">
        <v>44</v>
      </c>
      <c r="B70" s="9"/>
      <c r="C70" s="17">
        <v>997.35449219999998</v>
      </c>
      <c r="D70" s="18">
        <v>38.850999999999999</v>
      </c>
      <c r="E70" s="18">
        <v>44.384999999999998</v>
      </c>
      <c r="F70" s="18">
        <v>45.48</v>
      </c>
      <c r="G70" s="18">
        <v>111.01</v>
      </c>
      <c r="H70" s="18">
        <f t="shared" si="0"/>
        <v>40.371375</v>
      </c>
      <c r="I70" s="5"/>
      <c r="J70" s="17">
        <v>984.78319999999997</v>
      </c>
      <c r="K70" s="18">
        <v>40.255099999999999</v>
      </c>
      <c r="L70" s="18">
        <v>44.865600000000001</v>
      </c>
      <c r="M70" s="18">
        <v>46.0745</v>
      </c>
      <c r="N70" s="18">
        <v>129.50569999999999</v>
      </c>
      <c r="O70" s="18">
        <f t="shared" si="1"/>
        <v>41.558837500000003</v>
      </c>
      <c r="P70" s="7"/>
      <c r="Q70" s="10"/>
      <c r="R70" s="11"/>
      <c r="S70" s="11"/>
      <c r="T70" s="26"/>
      <c r="U70" s="28">
        <f t="shared" si="2"/>
        <v>0.16661291775515705</v>
      </c>
    </row>
    <row r="71" spans="1:21" x14ac:dyDescent="0.25">
      <c r="B71" s="9"/>
      <c r="C71" s="17">
        <v>602.19726560000004</v>
      </c>
      <c r="D71" s="18">
        <v>36.914000000000001</v>
      </c>
      <c r="E71" s="18">
        <v>42.902999999999999</v>
      </c>
      <c r="F71" s="18">
        <v>43.941000000000003</v>
      </c>
      <c r="G71" s="18">
        <v>119.2</v>
      </c>
      <c r="H71" s="18">
        <f t="shared" si="0"/>
        <v>38.540999999999997</v>
      </c>
      <c r="I71" s="5"/>
      <c r="J71" s="17">
        <v>574.80799999999999</v>
      </c>
      <c r="K71" s="18">
        <v>38.377200000000002</v>
      </c>
      <c r="L71" s="18">
        <v>43.377400000000002</v>
      </c>
      <c r="M71" s="18">
        <v>44.549300000000002</v>
      </c>
      <c r="N71" s="18">
        <v>150.8296</v>
      </c>
      <c r="O71" s="18">
        <f t="shared" si="1"/>
        <v>39.773737500000003</v>
      </c>
      <c r="P71" s="7"/>
      <c r="Q71" s="10"/>
      <c r="R71" s="11"/>
      <c r="S71" s="11"/>
      <c r="T71" s="26"/>
      <c r="U71" s="28">
        <f t="shared" si="2"/>
        <v>0.26534899328859057</v>
      </c>
    </row>
    <row r="72" spans="1:21" ht="16.5" thickBot="1" x14ac:dyDescent="0.3">
      <c r="B72" s="12"/>
      <c r="C72" s="19">
        <v>303.734375</v>
      </c>
      <c r="D72" s="20">
        <v>33.518999999999998</v>
      </c>
      <c r="E72" s="20">
        <v>40.491</v>
      </c>
      <c r="F72" s="20">
        <v>41.338999999999999</v>
      </c>
      <c r="G72" s="20">
        <v>130.03</v>
      </c>
      <c r="H72" s="20">
        <f t="shared" si="0"/>
        <v>35.367999999999995</v>
      </c>
      <c r="I72" s="5"/>
      <c r="J72" s="19">
        <v>281.50319999999999</v>
      </c>
      <c r="K72" s="20">
        <v>35.328800000000001</v>
      </c>
      <c r="L72" s="20">
        <v>41.579799999999999</v>
      </c>
      <c r="M72" s="20">
        <v>42.572800000000001</v>
      </c>
      <c r="N72" s="20">
        <v>181.4333</v>
      </c>
      <c r="O72" s="20">
        <f t="shared" si="1"/>
        <v>37.015675000000002</v>
      </c>
      <c r="P72" s="7"/>
      <c r="Q72" s="13"/>
      <c r="R72" s="14"/>
      <c r="S72" s="14"/>
      <c r="T72" s="27"/>
      <c r="U72" s="28">
        <f t="shared" si="2"/>
        <v>0.39531877259094056</v>
      </c>
    </row>
    <row r="73" spans="1:21" x14ac:dyDescent="0.25">
      <c r="B73" s="6" t="s">
        <v>62</v>
      </c>
      <c r="C73" s="15">
        <v>1484.9375</v>
      </c>
      <c r="D73" s="16">
        <v>41.268000000000001</v>
      </c>
      <c r="E73" s="16">
        <v>47.304000000000002</v>
      </c>
      <c r="F73" s="16">
        <v>47.957999999999998</v>
      </c>
      <c r="G73" s="16">
        <v>95.01</v>
      </c>
      <c r="H73" s="16">
        <f t="shared" si="0"/>
        <v>42.858750000000001</v>
      </c>
      <c r="I73" s="5"/>
      <c r="J73" s="15">
        <v>1477.9767999999999</v>
      </c>
      <c r="K73" s="16">
        <v>42.629199999999997</v>
      </c>
      <c r="L73" s="16">
        <v>47.865499999999997</v>
      </c>
      <c r="M73" s="16">
        <v>48.527700000000003</v>
      </c>
      <c r="N73" s="16">
        <v>129.50569999999999</v>
      </c>
      <c r="O73" s="16">
        <f t="shared" si="1"/>
        <v>44.021049999999995</v>
      </c>
      <c r="P73" s="7"/>
      <c r="Q73" s="8">
        <f>bdrate(C73:C76,D73:D76,J73:J76,K73:K76)</f>
        <v>-0.53349327338901398</v>
      </c>
      <c r="R73" s="8">
        <f>bdrate(C73:C76,E73:E76,J73:J76,L73:L76)</f>
        <v>-0.35893528517388196</v>
      </c>
      <c r="S73" s="8">
        <f>bdrate(C73:C76,F73:F76,J73:J76,M73:M76)</f>
        <v>-0.35426977655030933</v>
      </c>
      <c r="T73" s="25">
        <f>bdrate(C73:C76,H73:H76,J73:J76,O73:O76)</f>
        <v>-0.49493775660209138</v>
      </c>
      <c r="U73" s="28">
        <f t="shared" ref="U73:U124" si="3">(N73-G73)/G73</f>
        <v>0.36307441321966089</v>
      </c>
    </row>
    <row r="74" spans="1:21" x14ac:dyDescent="0.25">
      <c r="B74" s="9"/>
      <c r="C74" s="17">
        <v>995.91015630000004</v>
      </c>
      <c r="D74" s="18">
        <v>40.686999999999998</v>
      </c>
      <c r="E74" s="18">
        <v>46.734000000000002</v>
      </c>
      <c r="F74" s="18">
        <v>47.362000000000002</v>
      </c>
      <c r="G74" s="18">
        <v>106.47</v>
      </c>
      <c r="H74" s="18">
        <f t="shared" si="0"/>
        <v>42.277250000000002</v>
      </c>
      <c r="I74" s="5"/>
      <c r="J74" s="17">
        <v>971.61120000000005</v>
      </c>
      <c r="K74" s="18">
        <v>42.067399999999999</v>
      </c>
      <c r="L74" s="18">
        <v>47.371000000000002</v>
      </c>
      <c r="M74" s="18">
        <v>47.998100000000001</v>
      </c>
      <c r="N74" s="18">
        <v>145.70179999999999</v>
      </c>
      <c r="O74" s="18">
        <f t="shared" si="1"/>
        <v>43.471687500000002</v>
      </c>
      <c r="P74" s="7"/>
      <c r="Q74" s="10"/>
      <c r="R74" s="11"/>
      <c r="S74" s="11"/>
      <c r="T74" s="26"/>
      <c r="U74" s="28">
        <f t="shared" si="3"/>
        <v>0.36847750540058227</v>
      </c>
    </row>
    <row r="75" spans="1:21" x14ac:dyDescent="0.25">
      <c r="B75" s="9"/>
      <c r="C75" s="17">
        <v>607.26953130000004</v>
      </c>
      <c r="D75" s="18">
        <v>39.726999999999997</v>
      </c>
      <c r="E75" s="18">
        <v>45.743000000000002</v>
      </c>
      <c r="F75" s="18">
        <v>46.362000000000002</v>
      </c>
      <c r="G75" s="18">
        <v>114.68</v>
      </c>
      <c r="H75" s="18">
        <f t="shared" si="0"/>
        <v>41.308374999999998</v>
      </c>
      <c r="I75" s="5"/>
      <c r="J75" s="17">
        <v>577.4384</v>
      </c>
      <c r="K75" s="18">
        <v>41.207999999999998</v>
      </c>
      <c r="L75" s="18">
        <v>46.568800000000003</v>
      </c>
      <c r="M75" s="18">
        <v>47.177500000000002</v>
      </c>
      <c r="N75" s="18">
        <v>166.48169999999999</v>
      </c>
      <c r="O75" s="18">
        <f t="shared" si="1"/>
        <v>42.624287500000001</v>
      </c>
      <c r="P75" s="7"/>
      <c r="Q75" s="10"/>
      <c r="R75" s="11"/>
      <c r="S75" s="11"/>
      <c r="T75" s="26"/>
      <c r="U75" s="28">
        <f t="shared" si="3"/>
        <v>0.4517064876177187</v>
      </c>
    </row>
    <row r="76" spans="1:21" ht="16.5" thickBot="1" x14ac:dyDescent="0.3">
      <c r="B76" s="12"/>
      <c r="C76" s="19">
        <v>304.62109379999998</v>
      </c>
      <c r="D76" s="20">
        <v>37.731999999999999</v>
      </c>
      <c r="E76" s="20">
        <v>43.75</v>
      </c>
      <c r="F76" s="20">
        <v>44.253</v>
      </c>
      <c r="G76" s="20">
        <v>127.72</v>
      </c>
      <c r="H76" s="20">
        <f t="shared" si="0"/>
        <v>39.299374999999998</v>
      </c>
      <c r="I76" s="5"/>
      <c r="J76" s="19">
        <v>281.16320000000002</v>
      </c>
      <c r="K76" s="20">
        <v>39.445900000000002</v>
      </c>
      <c r="L76" s="20">
        <v>44.796599999999998</v>
      </c>
      <c r="M76" s="20">
        <v>45.404800000000002</v>
      </c>
      <c r="N76" s="20">
        <v>194.23759999999999</v>
      </c>
      <c r="O76" s="20">
        <f t="shared" si="1"/>
        <v>40.859600000000007</v>
      </c>
      <c r="P76" s="7"/>
      <c r="Q76" s="13"/>
      <c r="R76" s="14"/>
      <c r="S76" s="14"/>
      <c r="T76" s="27"/>
      <c r="U76" s="28">
        <f t="shared" si="3"/>
        <v>0.52080801753836503</v>
      </c>
    </row>
    <row r="77" spans="1:21" x14ac:dyDescent="0.25">
      <c r="B77" s="6" t="s">
        <v>63</v>
      </c>
      <c r="C77" s="15">
        <v>1494.2460940000001</v>
      </c>
      <c r="D77" s="16">
        <v>41.05</v>
      </c>
      <c r="E77" s="16">
        <v>46.262</v>
      </c>
      <c r="F77" s="16">
        <v>47.142000000000003</v>
      </c>
      <c r="G77" s="16">
        <v>92.28</v>
      </c>
      <c r="H77" s="16">
        <f t="shared" si="0"/>
        <v>42.463000000000001</v>
      </c>
      <c r="I77" s="5"/>
      <c r="J77" s="15">
        <v>1542.1432</v>
      </c>
      <c r="K77" s="16">
        <v>42.494900000000001</v>
      </c>
      <c r="L77" s="16">
        <v>46.9236</v>
      </c>
      <c r="M77" s="16">
        <v>47.825899999999997</v>
      </c>
      <c r="N77" s="16">
        <v>114.81059999999999</v>
      </c>
      <c r="O77" s="16">
        <f t="shared" si="1"/>
        <v>43.714862500000002</v>
      </c>
      <c r="P77" s="7"/>
      <c r="Q77" s="8">
        <f>bdrate(C77:C80,D77:D80,J77:J80,K77:K80)</f>
        <v>-0.43661158761715591</v>
      </c>
      <c r="R77" s="8">
        <f>bdrate(C77:C80,E77:E80,J77:J80,L77:L80)</f>
        <v>-0.26794474916961364</v>
      </c>
      <c r="S77" s="8">
        <f>bdrate(C77:C80,F77:F80,J77:J80,M77:M80)</f>
        <v>-0.278386980860589</v>
      </c>
      <c r="T77" s="25">
        <f>bdrate(C77:C80,H77:H80,J77:J80,O77:O80)</f>
        <v>-0.40404815760323853</v>
      </c>
      <c r="U77" s="28">
        <f t="shared" si="3"/>
        <v>0.24415474642392709</v>
      </c>
    </row>
    <row r="78" spans="1:21" x14ac:dyDescent="0.25">
      <c r="B78" s="9"/>
      <c r="C78" s="17">
        <v>1001.355469</v>
      </c>
      <c r="D78" s="18">
        <v>40.075000000000003</v>
      </c>
      <c r="E78" s="18">
        <v>45.457999999999998</v>
      </c>
      <c r="F78" s="18">
        <v>46.331000000000003</v>
      </c>
      <c r="G78" s="18">
        <v>106.14</v>
      </c>
      <c r="H78" s="18">
        <f t="shared" si="0"/>
        <v>41.529875000000004</v>
      </c>
      <c r="I78" s="5"/>
      <c r="J78" s="17">
        <v>1014.0768</v>
      </c>
      <c r="K78" s="18">
        <v>41.68</v>
      </c>
      <c r="L78" s="18">
        <v>46.207099999999997</v>
      </c>
      <c r="M78" s="18">
        <v>47.0777</v>
      </c>
      <c r="N78" s="18">
        <v>129.50569999999999</v>
      </c>
      <c r="O78" s="18">
        <f t="shared" si="1"/>
        <v>42.9206</v>
      </c>
      <c r="P78" s="7"/>
      <c r="Q78" s="10"/>
      <c r="R78" s="11"/>
      <c r="S78" s="11"/>
      <c r="T78" s="26"/>
      <c r="U78" s="28">
        <f t="shared" si="3"/>
        <v>0.22014038062935734</v>
      </c>
    </row>
    <row r="79" spans="1:21" x14ac:dyDescent="0.25">
      <c r="B79" s="9"/>
      <c r="C79" s="17">
        <v>607.203125</v>
      </c>
      <c r="D79" s="18">
        <v>38.484000000000002</v>
      </c>
      <c r="E79" s="18">
        <v>44.161999999999999</v>
      </c>
      <c r="F79" s="18">
        <v>44.991999999999997</v>
      </c>
      <c r="G79" s="18">
        <v>114.95</v>
      </c>
      <c r="H79" s="18">
        <f t="shared" si="0"/>
        <v>40.007249999999999</v>
      </c>
      <c r="I79" s="5"/>
      <c r="J79" s="17">
        <v>605.58960000000002</v>
      </c>
      <c r="K79" s="18">
        <v>40.362699999999997</v>
      </c>
      <c r="L79" s="18">
        <v>45.003</v>
      </c>
      <c r="M79" s="18">
        <v>45.888100000000001</v>
      </c>
      <c r="N79" s="18">
        <v>149.66329999999999</v>
      </c>
      <c r="O79" s="18">
        <f t="shared" si="1"/>
        <v>41.633412499999999</v>
      </c>
      <c r="P79" s="7"/>
      <c r="Q79" s="10"/>
      <c r="R79" s="11"/>
      <c r="S79" s="11"/>
      <c r="T79" s="26"/>
      <c r="U79" s="28">
        <f t="shared" si="3"/>
        <v>0.30198608090474111</v>
      </c>
    </row>
    <row r="80" spans="1:21" ht="16.5" thickBot="1" x14ac:dyDescent="0.3">
      <c r="B80" s="12"/>
      <c r="C80" s="19">
        <v>308.18359379999998</v>
      </c>
      <c r="D80" s="20">
        <v>35.542999999999999</v>
      </c>
      <c r="E80" s="20">
        <v>41.698</v>
      </c>
      <c r="F80" s="20">
        <v>42.448</v>
      </c>
      <c r="G80" s="20">
        <v>131.06</v>
      </c>
      <c r="H80" s="20">
        <f t="shared" si="0"/>
        <v>37.1755</v>
      </c>
      <c r="I80" s="5"/>
      <c r="J80" s="19">
        <v>305.24079999999998</v>
      </c>
      <c r="K80" s="20">
        <v>37.771900000000002</v>
      </c>
      <c r="L80" s="20">
        <v>42.838999999999999</v>
      </c>
      <c r="M80" s="20">
        <v>43.744900000000001</v>
      </c>
      <c r="N80" s="20">
        <v>178.04150000000001</v>
      </c>
      <c r="O80" s="20">
        <f t="shared" si="1"/>
        <v>39.151912500000009</v>
      </c>
      <c r="P80" s="7"/>
      <c r="Q80" s="13"/>
      <c r="R80" s="14"/>
      <c r="S80" s="14"/>
      <c r="T80" s="27"/>
      <c r="U80" s="28">
        <f t="shared" si="3"/>
        <v>0.35847321837326424</v>
      </c>
    </row>
    <row r="81" spans="1:21" x14ac:dyDescent="0.25">
      <c r="A81" s="6" t="s">
        <v>94</v>
      </c>
      <c r="B81" s="6" t="s">
        <v>95</v>
      </c>
      <c r="C81" s="15">
        <v>1556.3242190000001</v>
      </c>
      <c r="D81" s="16">
        <v>44.277000000000001</v>
      </c>
      <c r="E81" s="16">
        <v>49.664999999999999</v>
      </c>
      <c r="F81" s="16">
        <v>50.22</v>
      </c>
      <c r="G81" s="16">
        <v>73.760000000000005</v>
      </c>
      <c r="H81" s="16">
        <f t="shared" ref="H81:H124" si="4">(6*D81+E81+F81)/8</f>
        <v>45.693375000000003</v>
      </c>
      <c r="I81" s="5"/>
      <c r="J81" s="15">
        <v>1285.4259</v>
      </c>
      <c r="K81" s="16">
        <v>43.733699999999999</v>
      </c>
      <c r="L81" s="16">
        <v>49.466500000000003</v>
      </c>
      <c r="M81" s="16">
        <v>50.424100000000003</v>
      </c>
      <c r="N81" s="16">
        <v>66.123000000000005</v>
      </c>
      <c r="O81" s="16">
        <f t="shared" ref="O81:O124" si="5">(6*K81+L81+M81)/8</f>
        <v>45.2866</v>
      </c>
      <c r="P81" s="7"/>
      <c r="Q81" s="8">
        <f>bdrate(C81:C84,D81:D84,J81:J84,K81:K84)</f>
        <v>-0.22446804099255724</v>
      </c>
      <c r="R81" s="8">
        <f>bdrate(C81:C84,E81:E84,J81:J84,L81:L84)</f>
        <v>-0.30344683066967204</v>
      </c>
      <c r="S81" s="8">
        <f>bdrate(C81:C84,F81:F84,J81:J84,M81:M84)</f>
        <v>-0.37668985414006251</v>
      </c>
      <c r="T81" s="25">
        <f>bdrate(C81:C84,H81:H84,J81:J84,O81:O84)</f>
        <v>-0.25390973659719085</v>
      </c>
      <c r="U81" s="28">
        <f t="shared" si="3"/>
        <v>-0.1035385032537961</v>
      </c>
    </row>
    <row r="82" spans="1:21" x14ac:dyDescent="0.25">
      <c r="A82" s="9" t="s">
        <v>77</v>
      </c>
      <c r="B82" s="9"/>
      <c r="C82" s="17">
        <v>1089.993164</v>
      </c>
      <c r="D82" s="18">
        <v>42.389000000000003</v>
      </c>
      <c r="E82" s="18">
        <v>47.917999999999999</v>
      </c>
      <c r="F82" s="18">
        <v>48.482999999999997</v>
      </c>
      <c r="G82" s="18">
        <v>83.56</v>
      </c>
      <c r="H82" s="18">
        <f t="shared" si="4"/>
        <v>43.841875000000002</v>
      </c>
      <c r="I82" s="5"/>
      <c r="J82" s="17">
        <v>872.10630000000003</v>
      </c>
      <c r="K82" s="18">
        <v>42.0351</v>
      </c>
      <c r="L82" s="18">
        <v>48.264899999999997</v>
      </c>
      <c r="M82" s="18">
        <v>49.22</v>
      </c>
      <c r="N82" s="18">
        <v>73.918899999999994</v>
      </c>
      <c r="O82" s="18">
        <f t="shared" si="5"/>
        <v>43.711937500000005</v>
      </c>
      <c r="P82" s="7"/>
      <c r="Q82" s="10"/>
      <c r="R82" s="11"/>
      <c r="S82" s="11"/>
      <c r="T82" s="26"/>
      <c r="U82" s="28">
        <f t="shared" si="3"/>
        <v>-0.11537936811871718</v>
      </c>
    </row>
    <row r="83" spans="1:21" x14ac:dyDescent="0.25">
      <c r="B83" s="9"/>
      <c r="C83" s="17">
        <v>715.75878909999994</v>
      </c>
      <c r="D83" s="18">
        <v>39.963000000000001</v>
      </c>
      <c r="E83" s="18">
        <v>45.956000000000003</v>
      </c>
      <c r="F83" s="18">
        <v>46.662999999999997</v>
      </c>
      <c r="G83" s="18">
        <v>91.56</v>
      </c>
      <c r="H83" s="18">
        <f t="shared" si="4"/>
        <v>41.549625000000006</v>
      </c>
      <c r="I83" s="5"/>
      <c r="J83" s="17">
        <v>535.25800000000004</v>
      </c>
      <c r="K83" s="18">
        <v>39.624000000000002</v>
      </c>
      <c r="L83" s="18">
        <v>46.189799999999998</v>
      </c>
      <c r="M83" s="18">
        <v>47.463799999999999</v>
      </c>
      <c r="N83" s="18">
        <v>95.278400000000005</v>
      </c>
      <c r="O83" s="18">
        <f t="shared" si="5"/>
        <v>41.424700000000001</v>
      </c>
      <c r="P83" s="7"/>
      <c r="Q83" s="10"/>
      <c r="R83" s="11"/>
      <c r="S83" s="11"/>
      <c r="T83" s="26"/>
      <c r="U83" s="28">
        <f t="shared" si="3"/>
        <v>4.0611620795107058E-2</v>
      </c>
    </row>
    <row r="84" spans="1:21" ht="16.5" thickBot="1" x14ac:dyDescent="0.3">
      <c r="B84" s="12"/>
      <c r="C84" s="19">
        <v>496.86425780000002</v>
      </c>
      <c r="D84" s="20">
        <v>36.642000000000003</v>
      </c>
      <c r="E84" s="20">
        <v>43.301000000000002</v>
      </c>
      <c r="F84" s="20">
        <v>44.261000000000003</v>
      </c>
      <c r="G84" s="20">
        <v>96.07</v>
      </c>
      <c r="H84" s="20">
        <f t="shared" si="4"/>
        <v>38.426750000000006</v>
      </c>
      <c r="I84" s="5"/>
      <c r="J84" s="19">
        <v>274.5197</v>
      </c>
      <c r="K84" s="20">
        <v>36.4223</v>
      </c>
      <c r="L84" s="20">
        <v>43.944000000000003</v>
      </c>
      <c r="M84" s="20">
        <v>45.368299999999998</v>
      </c>
      <c r="N84" s="20">
        <v>127.2175</v>
      </c>
      <c r="O84" s="20">
        <f t="shared" si="5"/>
        <v>38.480762499999997</v>
      </c>
      <c r="P84" s="7"/>
      <c r="Q84" s="13"/>
      <c r="R84" s="14"/>
      <c r="S84" s="14"/>
      <c r="T84" s="27"/>
      <c r="U84" s="28">
        <f t="shared" si="3"/>
        <v>0.32421671697720422</v>
      </c>
    </row>
    <row r="85" spans="1:21" x14ac:dyDescent="0.25">
      <c r="B85" s="6" t="s">
        <v>96</v>
      </c>
      <c r="C85" s="15">
        <v>1568.7998050000001</v>
      </c>
      <c r="D85" s="16">
        <v>50.341000000000001</v>
      </c>
      <c r="E85" s="16">
        <v>51.116999999999997</v>
      </c>
      <c r="F85" s="16">
        <v>51.484999999999999</v>
      </c>
      <c r="G85" s="16">
        <v>148.76</v>
      </c>
      <c r="H85" s="16">
        <f t="shared" si="4"/>
        <v>50.581000000000003</v>
      </c>
      <c r="I85" s="5"/>
      <c r="J85" s="15">
        <v>1445.6994999999999</v>
      </c>
      <c r="K85" s="16">
        <v>51.702599999999997</v>
      </c>
      <c r="L85" s="16">
        <v>52.706299999999999</v>
      </c>
      <c r="M85" s="16">
        <v>53.203200000000002</v>
      </c>
      <c r="N85" s="16">
        <v>119.944</v>
      </c>
      <c r="O85" s="16">
        <f t="shared" si="5"/>
        <v>52.015637499999997</v>
      </c>
      <c r="P85" s="7"/>
      <c r="Q85" s="8">
        <f>bdrate(C85:C88,D85:D88,J85:J88,K85:K88)</f>
        <v>-0.29159460861124187</v>
      </c>
      <c r="R85" s="8">
        <f>bdrate(C85:C88,E85:E88,J85:J88,L85:L88)</f>
        <v>-0.33773459535389549</v>
      </c>
      <c r="S85" s="8">
        <f>bdrate(C85:C88,F85:F88,J85:J88,M85:M88)</f>
        <v>-0.35685843326360966</v>
      </c>
      <c r="T85" s="25">
        <f>bdrate(C85:C88,H85:H88,J85:J88,O85:O88)</f>
        <v>-0.3050052747004065</v>
      </c>
      <c r="U85" s="28">
        <f t="shared" si="3"/>
        <v>-0.19370798601774664</v>
      </c>
    </row>
    <row r="86" spans="1:21" x14ac:dyDescent="0.25">
      <c r="B86" s="9"/>
      <c r="C86" s="17">
        <v>1087.4970699999999</v>
      </c>
      <c r="D86" s="18">
        <v>48.045999999999999</v>
      </c>
      <c r="E86" s="18">
        <v>48.976999999999997</v>
      </c>
      <c r="F86" s="18">
        <v>49.387</v>
      </c>
      <c r="G86" s="18">
        <v>167.48</v>
      </c>
      <c r="H86" s="18">
        <f t="shared" si="4"/>
        <v>48.33</v>
      </c>
      <c r="I86" s="5"/>
      <c r="J86" s="17">
        <v>973.9511</v>
      </c>
      <c r="K86" s="18">
        <v>49.504199999999997</v>
      </c>
      <c r="L86" s="18">
        <v>50.674399999999999</v>
      </c>
      <c r="M86" s="18">
        <v>51.231000000000002</v>
      </c>
      <c r="N86" s="18">
        <v>146.2345</v>
      </c>
      <c r="O86" s="18">
        <f t="shared" si="5"/>
        <v>49.866324999999996</v>
      </c>
      <c r="P86" s="7"/>
      <c r="Q86" s="10"/>
      <c r="R86" s="11"/>
      <c r="S86" s="11"/>
      <c r="T86" s="26"/>
      <c r="U86" s="28">
        <f t="shared" si="3"/>
        <v>-0.12685395271077141</v>
      </c>
    </row>
    <row r="87" spans="1:21" x14ac:dyDescent="0.25">
      <c r="B87" s="9"/>
      <c r="C87" s="17">
        <v>701.40820310000004</v>
      </c>
      <c r="D87" s="18">
        <v>45.402999999999999</v>
      </c>
      <c r="E87" s="18">
        <v>46.555</v>
      </c>
      <c r="F87" s="18">
        <v>46.991999999999997</v>
      </c>
      <c r="G87" s="18">
        <v>174.48</v>
      </c>
      <c r="H87" s="18">
        <f t="shared" si="4"/>
        <v>45.745625000000004</v>
      </c>
      <c r="I87" s="5"/>
      <c r="J87" s="17">
        <v>592.16800000000001</v>
      </c>
      <c r="K87" s="18">
        <v>46.430100000000003</v>
      </c>
      <c r="L87" s="18">
        <v>47.863199999999999</v>
      </c>
      <c r="M87" s="18">
        <v>48.459299999999999</v>
      </c>
      <c r="N87" s="18">
        <v>169.42769999999999</v>
      </c>
      <c r="O87" s="18">
        <f t="shared" si="5"/>
        <v>46.862887499999999</v>
      </c>
      <c r="P87" s="7"/>
      <c r="Q87" s="10"/>
      <c r="R87" s="11"/>
      <c r="S87" s="11"/>
      <c r="T87" s="26"/>
      <c r="U87" s="28">
        <f t="shared" si="3"/>
        <v>-2.8956327372764802E-2</v>
      </c>
    </row>
    <row r="88" spans="1:21" ht="16.5" thickBot="1" x14ac:dyDescent="0.3">
      <c r="B88" s="12"/>
      <c r="C88" s="19">
        <v>386.48730469999998</v>
      </c>
      <c r="D88" s="20">
        <v>41.832999999999998</v>
      </c>
      <c r="E88" s="20">
        <v>43.341999999999999</v>
      </c>
      <c r="F88" s="20">
        <v>43.706000000000003</v>
      </c>
      <c r="G88" s="20">
        <v>184.3</v>
      </c>
      <c r="H88" s="20">
        <f t="shared" si="4"/>
        <v>42.255749999999999</v>
      </c>
      <c r="I88" s="5"/>
      <c r="J88" s="19">
        <v>300.18650000000002</v>
      </c>
      <c r="K88" s="20">
        <v>42.445300000000003</v>
      </c>
      <c r="L88" s="20">
        <v>44.286200000000001</v>
      </c>
      <c r="M88" s="20">
        <v>44.813499999999998</v>
      </c>
      <c r="N88" s="20">
        <v>192.6164</v>
      </c>
      <c r="O88" s="20">
        <f t="shared" si="5"/>
        <v>42.9714375</v>
      </c>
      <c r="P88" s="7"/>
      <c r="Q88" s="13"/>
      <c r="R88" s="14"/>
      <c r="S88" s="14"/>
      <c r="T88" s="27"/>
      <c r="U88" s="28">
        <f t="shared" si="3"/>
        <v>4.512425393380351E-2</v>
      </c>
    </row>
    <row r="89" spans="1:21" x14ac:dyDescent="0.25">
      <c r="B89" s="6" t="s">
        <v>97</v>
      </c>
      <c r="C89" s="15">
        <v>1888.9404300000001</v>
      </c>
      <c r="D89" s="16">
        <v>41.131</v>
      </c>
      <c r="E89" s="16">
        <v>43.892000000000003</v>
      </c>
      <c r="F89" s="16">
        <v>44.311</v>
      </c>
      <c r="G89" s="16">
        <v>83.35</v>
      </c>
      <c r="H89" s="16">
        <f t="shared" si="4"/>
        <v>41.873624999999997</v>
      </c>
      <c r="I89" s="5"/>
      <c r="J89" s="15">
        <v>1472.0864999999999</v>
      </c>
      <c r="K89" s="16">
        <v>42.637700000000002</v>
      </c>
      <c r="L89" s="16">
        <v>45.135599999999997</v>
      </c>
      <c r="M89" s="16">
        <v>45.5745</v>
      </c>
      <c r="N89" s="16">
        <v>86.364099999999993</v>
      </c>
      <c r="O89" s="16">
        <f t="shared" si="5"/>
        <v>43.317037500000005</v>
      </c>
      <c r="P89" s="7"/>
      <c r="Q89" s="8">
        <f>bdrate(C89:C92,D89:D92,J89:J92,K89:K92)</f>
        <v>-0.45861659417176626</v>
      </c>
      <c r="R89" s="8">
        <f>bdrate(C89:C92,E89:E92,J89:J92,L89:L92)</f>
        <v>-0.4942875693309875</v>
      </c>
      <c r="S89" s="8">
        <f>bdrate(C89:C92,F89:F92,J89:J92,M89:M92)</f>
        <v>-0.4987216642880945</v>
      </c>
      <c r="T89" s="25">
        <f>bdrate(C89:C92,H89:H92,J89:J92,O89:O92)</f>
        <v>-0.46667675605601755</v>
      </c>
      <c r="U89" s="28">
        <f t="shared" si="3"/>
        <v>3.6161967606478697E-2</v>
      </c>
    </row>
    <row r="90" spans="1:21" x14ac:dyDescent="0.25">
      <c r="B90" s="9"/>
      <c r="C90" s="17">
        <v>1324.654297</v>
      </c>
      <c r="D90" s="18">
        <v>39.229999999999997</v>
      </c>
      <c r="E90" s="18">
        <v>42.357999999999997</v>
      </c>
      <c r="F90" s="18">
        <v>42.789000000000001</v>
      </c>
      <c r="G90" s="18">
        <v>92.61</v>
      </c>
      <c r="H90" s="18">
        <f t="shared" si="4"/>
        <v>40.065874999999998</v>
      </c>
      <c r="I90" s="5"/>
      <c r="J90" s="17">
        <v>983.68320000000006</v>
      </c>
      <c r="K90" s="18">
        <v>40.726900000000001</v>
      </c>
      <c r="L90" s="18">
        <v>43.666699999999999</v>
      </c>
      <c r="M90" s="18">
        <v>44.097299999999997</v>
      </c>
      <c r="N90" s="18">
        <v>101.0385</v>
      </c>
      <c r="O90" s="18">
        <f t="shared" si="5"/>
        <v>41.515675000000002</v>
      </c>
      <c r="P90" s="7"/>
      <c r="Q90" s="10"/>
      <c r="R90" s="11"/>
      <c r="S90" s="11"/>
      <c r="T90" s="26"/>
      <c r="U90" s="28">
        <f t="shared" si="3"/>
        <v>9.1010689990281821E-2</v>
      </c>
    </row>
    <row r="91" spans="1:21" x14ac:dyDescent="0.25">
      <c r="B91" s="9"/>
      <c r="C91" s="17">
        <v>871.17480469999998</v>
      </c>
      <c r="D91" s="18">
        <v>36.963000000000001</v>
      </c>
      <c r="E91" s="18">
        <v>40.593000000000004</v>
      </c>
      <c r="F91" s="18">
        <v>40.954000000000001</v>
      </c>
      <c r="G91" s="18">
        <v>99.69</v>
      </c>
      <c r="H91" s="18">
        <f t="shared" si="4"/>
        <v>37.915625000000006</v>
      </c>
      <c r="I91" s="5"/>
      <c r="J91" s="17">
        <v>593.0163</v>
      </c>
      <c r="K91" s="18">
        <v>38.184100000000001</v>
      </c>
      <c r="L91" s="18">
        <v>41.814100000000003</v>
      </c>
      <c r="M91" s="18">
        <v>42.237299999999998</v>
      </c>
      <c r="N91" s="18">
        <v>118.71</v>
      </c>
      <c r="O91" s="18">
        <f t="shared" si="5"/>
        <v>39.144500000000001</v>
      </c>
      <c r="P91" s="7"/>
      <c r="Q91" s="10"/>
      <c r="R91" s="11"/>
      <c r="S91" s="11"/>
      <c r="T91" s="26"/>
      <c r="U91" s="28">
        <f t="shared" si="3"/>
        <v>0.19079145350586815</v>
      </c>
    </row>
    <row r="92" spans="1:21" ht="16.5" thickBot="1" x14ac:dyDescent="0.3">
      <c r="B92" s="12"/>
      <c r="C92" s="19">
        <v>540.36132810000004</v>
      </c>
      <c r="D92" s="20">
        <v>34.112000000000002</v>
      </c>
      <c r="E92" s="20">
        <v>38.365000000000002</v>
      </c>
      <c r="F92" s="20">
        <v>38.744999999999997</v>
      </c>
      <c r="G92" s="20">
        <v>105.48</v>
      </c>
      <c r="H92" s="20">
        <f t="shared" si="4"/>
        <v>35.222750000000005</v>
      </c>
      <c r="I92" s="5"/>
      <c r="J92" s="19">
        <v>295.83530000000002</v>
      </c>
      <c r="K92" s="20">
        <v>34.495399999999997</v>
      </c>
      <c r="L92" s="20">
        <v>39.202399999999997</v>
      </c>
      <c r="M92" s="20">
        <v>39.693100000000001</v>
      </c>
      <c r="N92" s="20">
        <v>146.79499999999999</v>
      </c>
      <c r="O92" s="20">
        <f t="shared" si="5"/>
        <v>35.733487500000003</v>
      </c>
      <c r="P92" s="7"/>
      <c r="Q92" s="13"/>
      <c r="R92" s="14"/>
      <c r="S92" s="14"/>
      <c r="T92" s="27"/>
      <c r="U92" s="28">
        <f t="shared" si="3"/>
        <v>0.39168562760712916</v>
      </c>
    </row>
    <row r="93" spans="1:21" x14ac:dyDescent="0.25">
      <c r="B93" s="6" t="s">
        <v>98</v>
      </c>
      <c r="C93" s="29">
        <v>1767.345703</v>
      </c>
      <c r="D93" s="30">
        <v>37.582000000000001</v>
      </c>
      <c r="E93" s="30">
        <v>42.463999999999999</v>
      </c>
      <c r="F93" s="30">
        <v>42.445999999999998</v>
      </c>
      <c r="G93" s="16">
        <v>72.05</v>
      </c>
      <c r="H93" s="16">
        <f t="shared" si="4"/>
        <v>38.800250000000005</v>
      </c>
      <c r="I93" s="5"/>
      <c r="J93" s="29">
        <v>1497.3056999999999</v>
      </c>
      <c r="K93" s="30">
        <v>39.031799999999997</v>
      </c>
      <c r="L93" s="30">
        <v>43.633000000000003</v>
      </c>
      <c r="M93" s="30">
        <v>43.633499999999998</v>
      </c>
      <c r="N93" s="16">
        <v>74.202299999999994</v>
      </c>
      <c r="O93" s="16">
        <f t="shared" si="5"/>
        <v>40.18216249999999</v>
      </c>
      <c r="P93" s="7"/>
      <c r="Q93" s="8">
        <f>bdrate(C93:C96,D93:D96,J93:J96,K93:K96)</f>
        <v>-0.41356143852399951</v>
      </c>
      <c r="R93" s="8">
        <f>bdrate(C93:C96,E93:E96,J93:J96,L93:L96)</f>
        <v>-0.50174381630385723</v>
      </c>
      <c r="S93" s="8">
        <f>bdrate(C93:C96,F93:F96,J93:J96,M93:M96)</f>
        <v>-0.49454631091333345</v>
      </c>
      <c r="T93" s="25">
        <f>bdrate(C93:C96,H93:H96,J93:J96,O93:O96)</f>
        <v>-0.43282475741040738</v>
      </c>
      <c r="U93" s="28">
        <f t="shared" si="3"/>
        <v>2.9872310895211616E-2</v>
      </c>
    </row>
    <row r="94" spans="1:21" x14ac:dyDescent="0.25">
      <c r="B94" s="9"/>
      <c r="C94" s="31">
        <v>1219.7861330000001</v>
      </c>
      <c r="D94" s="32">
        <v>35.786000000000001</v>
      </c>
      <c r="E94" s="32">
        <v>40.966000000000001</v>
      </c>
      <c r="F94" s="32">
        <v>40.951999999999998</v>
      </c>
      <c r="G94" s="18">
        <v>79.37</v>
      </c>
      <c r="H94" s="18">
        <f t="shared" si="4"/>
        <v>37.079250000000002</v>
      </c>
      <c r="I94" s="5"/>
      <c r="J94" s="31">
        <v>999.99069999999995</v>
      </c>
      <c r="K94" s="32">
        <v>37.192</v>
      </c>
      <c r="L94" s="32">
        <v>42.327300000000001</v>
      </c>
      <c r="M94" s="32">
        <v>42.321800000000003</v>
      </c>
      <c r="N94" s="18">
        <v>85.409300000000002</v>
      </c>
      <c r="O94" s="18">
        <f t="shared" si="5"/>
        <v>38.475137499999995</v>
      </c>
      <c r="P94" s="7"/>
      <c r="Q94" s="10"/>
      <c r="R94" s="11"/>
      <c r="S94" s="11"/>
      <c r="T94" s="26"/>
      <c r="U94" s="28">
        <f t="shared" si="3"/>
        <v>7.6090462391331701E-2</v>
      </c>
    </row>
    <row r="95" spans="1:21" x14ac:dyDescent="0.25">
      <c r="B95" s="9"/>
      <c r="C95" s="31">
        <v>763.02832030000002</v>
      </c>
      <c r="D95" s="32">
        <v>33.51</v>
      </c>
      <c r="E95" s="32">
        <v>39.082000000000001</v>
      </c>
      <c r="F95" s="32">
        <v>39.054000000000002</v>
      </c>
      <c r="G95" s="18">
        <v>86.4</v>
      </c>
      <c r="H95" s="18">
        <f t="shared" si="4"/>
        <v>34.899500000000003</v>
      </c>
      <c r="I95" s="5"/>
      <c r="J95" s="31">
        <v>599.79920000000004</v>
      </c>
      <c r="K95" s="32">
        <v>34.899799999999999</v>
      </c>
      <c r="L95" s="32">
        <v>40.840699999999998</v>
      </c>
      <c r="M95" s="32">
        <v>40.751300000000001</v>
      </c>
      <c r="N95" s="18">
        <v>103.1164</v>
      </c>
      <c r="O95" s="18">
        <f t="shared" si="5"/>
        <v>36.373849999999997</v>
      </c>
      <c r="P95" s="7"/>
      <c r="Q95" s="10"/>
      <c r="R95" s="11"/>
      <c r="S95" s="11"/>
      <c r="T95" s="26"/>
      <c r="U95" s="28">
        <f t="shared" si="3"/>
        <v>0.19347685185185176</v>
      </c>
    </row>
    <row r="96" spans="1:21" ht="16.5" thickBot="1" x14ac:dyDescent="0.3">
      <c r="B96" s="12"/>
      <c r="C96" s="33">
        <v>439.62792969999998</v>
      </c>
      <c r="D96" s="34">
        <v>30.878</v>
      </c>
      <c r="E96" s="34">
        <v>36.896000000000001</v>
      </c>
      <c r="F96" s="34">
        <v>36.790999999999997</v>
      </c>
      <c r="G96" s="20">
        <v>92.78</v>
      </c>
      <c r="H96" s="20">
        <f t="shared" si="4"/>
        <v>32.369374999999998</v>
      </c>
      <c r="I96" s="5"/>
      <c r="J96" s="33">
        <v>300.69810000000001</v>
      </c>
      <c r="K96" s="34">
        <v>31.897400000000001</v>
      </c>
      <c r="L96" s="34">
        <v>38.866700000000002</v>
      </c>
      <c r="M96" s="34">
        <v>38.844999999999999</v>
      </c>
      <c r="N96" s="20">
        <v>132.7825</v>
      </c>
      <c r="O96" s="20">
        <f t="shared" si="5"/>
        <v>33.637012499999997</v>
      </c>
      <c r="P96" s="7"/>
      <c r="Q96" s="13"/>
      <c r="R96" s="14"/>
      <c r="S96" s="14"/>
      <c r="T96" s="27"/>
      <c r="U96" s="28">
        <f t="shared" si="3"/>
        <v>0.43115434360853627</v>
      </c>
    </row>
    <row r="97" spans="2:21" x14ac:dyDescent="0.25">
      <c r="B97" s="6" t="s">
        <v>99</v>
      </c>
      <c r="C97" s="15">
        <v>1568.3720699999999</v>
      </c>
      <c r="D97" s="16">
        <v>34.878</v>
      </c>
      <c r="E97" s="16">
        <v>39.542000000000002</v>
      </c>
      <c r="F97" s="16">
        <v>40.273000000000003</v>
      </c>
      <c r="G97" s="16">
        <v>78.849999999999994</v>
      </c>
      <c r="H97" s="16">
        <f t="shared" si="4"/>
        <v>36.135375000000003</v>
      </c>
      <c r="I97" s="5"/>
      <c r="J97" s="15">
        <v>1502.7127</v>
      </c>
      <c r="K97" s="16">
        <v>36.952100000000002</v>
      </c>
      <c r="L97" s="16">
        <v>41.564500000000002</v>
      </c>
      <c r="M97" s="16">
        <v>42.107100000000003</v>
      </c>
      <c r="N97" s="16">
        <v>74.297300000000007</v>
      </c>
      <c r="O97" s="16">
        <f t="shared" si="5"/>
        <v>38.173025000000003</v>
      </c>
      <c r="P97" s="7"/>
      <c r="Q97" s="8">
        <f>bdrate(C97:C100,D97:D100,J97:J100,K97:K100)</f>
        <v>-0.3604423000415039</v>
      </c>
      <c r="R97" s="8">
        <f>bdrate(C97:C100,E97:E100,J97:J100,L97:L100)</f>
        <v>-0.50606409439571409</v>
      </c>
      <c r="S97" s="8">
        <f>bdrate(C97:C100,F97:F100,J97:J100,M97:M100)</f>
        <v>-0.48293267850131205</v>
      </c>
      <c r="T97" s="25">
        <f>bdrate(C97:C100,H97:H100,J97:J100,O97:O100)</f>
        <v>-0.3917982257322119</v>
      </c>
      <c r="U97" s="28">
        <f t="shared" si="3"/>
        <v>-5.7738744451490014E-2</v>
      </c>
    </row>
    <row r="98" spans="2:21" x14ac:dyDescent="0.25">
      <c r="B98" s="9"/>
      <c r="C98" s="17">
        <v>1078.921875</v>
      </c>
      <c r="D98" s="18">
        <v>33.237000000000002</v>
      </c>
      <c r="E98" s="18">
        <v>38.11</v>
      </c>
      <c r="F98" s="18">
        <v>38.927999999999997</v>
      </c>
      <c r="G98" s="18">
        <v>87.31</v>
      </c>
      <c r="H98" s="18">
        <f t="shared" si="4"/>
        <v>34.557500000000005</v>
      </c>
      <c r="I98" s="5"/>
      <c r="J98" s="17">
        <v>1003.7981</v>
      </c>
      <c r="K98" s="18">
        <v>35.0578</v>
      </c>
      <c r="L98" s="18">
        <v>40.175400000000003</v>
      </c>
      <c r="M98" s="18">
        <v>40.767400000000002</v>
      </c>
      <c r="N98" s="18">
        <v>85.596100000000007</v>
      </c>
      <c r="O98" s="18">
        <f t="shared" si="5"/>
        <v>36.411200000000001</v>
      </c>
      <c r="P98" s="7"/>
      <c r="Q98" s="10"/>
      <c r="R98" s="11"/>
      <c r="S98" s="11"/>
      <c r="T98" s="26"/>
      <c r="U98" s="28">
        <f t="shared" si="3"/>
        <v>-1.9630053831176213E-2</v>
      </c>
    </row>
    <row r="99" spans="2:21" x14ac:dyDescent="0.25">
      <c r="B99" s="9"/>
      <c r="C99" s="17">
        <v>673.7578125</v>
      </c>
      <c r="D99" s="18">
        <v>31.219000000000001</v>
      </c>
      <c r="E99" s="18">
        <v>36.356999999999999</v>
      </c>
      <c r="F99" s="18">
        <v>37.284999999999997</v>
      </c>
      <c r="G99" s="18">
        <v>93.83</v>
      </c>
      <c r="H99" s="18">
        <f t="shared" si="4"/>
        <v>32.619500000000002</v>
      </c>
      <c r="I99" s="5"/>
      <c r="J99" s="17">
        <v>604.43010000000004</v>
      </c>
      <c r="K99" s="18">
        <v>32.672699999999999</v>
      </c>
      <c r="L99" s="18">
        <v>38.453400000000002</v>
      </c>
      <c r="M99" s="18">
        <v>39.1126</v>
      </c>
      <c r="N99" s="18">
        <v>101.7467</v>
      </c>
      <c r="O99" s="18">
        <f t="shared" si="5"/>
        <v>34.200274999999998</v>
      </c>
      <c r="P99" s="7"/>
      <c r="Q99" s="10"/>
      <c r="R99" s="11"/>
      <c r="S99" s="11"/>
      <c r="T99" s="26"/>
      <c r="U99" s="28">
        <f t="shared" si="3"/>
        <v>8.4372801875732775E-2</v>
      </c>
    </row>
    <row r="100" spans="2:21" ht="16.5" thickBot="1" x14ac:dyDescent="0.3">
      <c r="B100" s="12"/>
      <c r="C100" s="19">
        <v>416.38085940000002</v>
      </c>
      <c r="D100" s="20">
        <v>29.170999999999999</v>
      </c>
      <c r="E100" s="20">
        <v>34.566000000000003</v>
      </c>
      <c r="F100" s="20">
        <v>35.505000000000003</v>
      </c>
      <c r="G100" s="20">
        <v>98.32</v>
      </c>
      <c r="H100" s="20">
        <f t="shared" si="4"/>
        <v>30.637125000000001</v>
      </c>
      <c r="I100" s="5"/>
      <c r="J100" s="19">
        <v>298.91129999999998</v>
      </c>
      <c r="K100" s="20">
        <v>29.5654</v>
      </c>
      <c r="L100" s="20">
        <v>36.362699999999997</v>
      </c>
      <c r="M100" s="20">
        <v>37.097099999999998</v>
      </c>
      <c r="N100" s="20">
        <v>129.3475</v>
      </c>
      <c r="O100" s="20">
        <f t="shared" si="5"/>
        <v>31.356524999999998</v>
      </c>
      <c r="P100" s="7"/>
      <c r="Q100" s="13"/>
      <c r="R100" s="14"/>
      <c r="S100" s="14"/>
      <c r="T100" s="27"/>
      <c r="U100" s="28">
        <f t="shared" si="3"/>
        <v>0.31557668836452407</v>
      </c>
    </row>
    <row r="101" spans="2:21" x14ac:dyDescent="0.25">
      <c r="B101" s="6" t="s">
        <v>100</v>
      </c>
      <c r="C101" s="15">
        <v>1646.8408199999999</v>
      </c>
      <c r="D101" s="16">
        <v>36.095999999999997</v>
      </c>
      <c r="E101" s="16">
        <v>41.741999999999997</v>
      </c>
      <c r="F101" s="16">
        <v>43.46</v>
      </c>
      <c r="G101" s="16">
        <v>64.23</v>
      </c>
      <c r="H101" s="16">
        <f t="shared" si="4"/>
        <v>37.722249999999995</v>
      </c>
      <c r="I101" s="5"/>
      <c r="J101" s="15">
        <v>1506.7999</v>
      </c>
      <c r="K101" s="16">
        <v>37.188699999999997</v>
      </c>
      <c r="L101" s="16">
        <v>43.180500000000002</v>
      </c>
      <c r="M101" s="16">
        <v>44.625300000000003</v>
      </c>
      <c r="N101" s="16">
        <v>70.7881</v>
      </c>
      <c r="O101" s="16">
        <f t="shared" si="5"/>
        <v>38.867249999999999</v>
      </c>
      <c r="P101" s="7"/>
      <c r="Q101" s="8">
        <f>bdrate(C101:C104,D101:D104,J101:J104,K101:K104)</f>
        <v>-0.38532944986618911</v>
      </c>
      <c r="R101" s="8">
        <f>bdrate(C101:C104,E101:E104,J101:J104,L101:L104)</f>
        <v>-0.5563100426044818</v>
      </c>
      <c r="S101" s="8">
        <f>bdrate(C101:C104,F101:F104,J101:J104,M101:M104)</f>
        <v>-0.48413898995135562</v>
      </c>
      <c r="T101" s="25">
        <f>bdrate(C101:C104,H101:H104,J101:J104,O101:O104)</f>
        <v>-0.41684460898835773</v>
      </c>
      <c r="U101" s="28">
        <f t="shared" si="3"/>
        <v>0.10210337848357459</v>
      </c>
    </row>
    <row r="102" spans="2:21" x14ac:dyDescent="0.25">
      <c r="B102" s="9"/>
      <c r="C102" s="17">
        <v>1107.8330080000001</v>
      </c>
      <c r="D102" s="18">
        <v>34.639000000000003</v>
      </c>
      <c r="E102" s="18">
        <v>40.603000000000002</v>
      </c>
      <c r="F102" s="18">
        <v>42.155999999999999</v>
      </c>
      <c r="G102" s="18">
        <v>71.989999999999995</v>
      </c>
      <c r="H102" s="18">
        <f t="shared" si="4"/>
        <v>36.324125000000002</v>
      </c>
      <c r="I102" s="5"/>
      <c r="J102" s="17">
        <v>1007.7996000000001</v>
      </c>
      <c r="K102" s="18">
        <v>35.789000000000001</v>
      </c>
      <c r="L102" s="18">
        <v>42.189</v>
      </c>
      <c r="M102" s="18">
        <v>43.497999999999998</v>
      </c>
      <c r="N102" s="18">
        <v>82.004599999999996</v>
      </c>
      <c r="O102" s="18">
        <f t="shared" si="5"/>
        <v>37.552624999999999</v>
      </c>
      <c r="P102" s="7"/>
      <c r="Q102" s="10"/>
      <c r="R102" s="11"/>
      <c r="S102" s="11"/>
      <c r="T102" s="26"/>
      <c r="U102" s="28">
        <f t="shared" si="3"/>
        <v>0.13911098763717186</v>
      </c>
    </row>
    <row r="103" spans="2:21" x14ac:dyDescent="0.25">
      <c r="B103" s="9"/>
      <c r="C103" s="17">
        <v>673.56445310000004</v>
      </c>
      <c r="D103" s="18">
        <v>32.755000000000003</v>
      </c>
      <c r="E103" s="18">
        <v>39.101999999999997</v>
      </c>
      <c r="F103" s="18">
        <v>40.332999999999998</v>
      </c>
      <c r="G103" s="18">
        <v>81.680000000000007</v>
      </c>
      <c r="H103" s="18">
        <f t="shared" si="4"/>
        <v>34.495625000000004</v>
      </c>
      <c r="I103" s="5"/>
      <c r="J103" s="17">
        <v>604.84069999999997</v>
      </c>
      <c r="K103" s="18">
        <v>34.133000000000003</v>
      </c>
      <c r="L103" s="18">
        <v>41.045200000000001</v>
      </c>
      <c r="M103" s="18">
        <v>42.223500000000001</v>
      </c>
      <c r="N103" s="18">
        <v>98.787099999999995</v>
      </c>
      <c r="O103" s="18">
        <f t="shared" si="5"/>
        <v>36.008337499999996</v>
      </c>
      <c r="P103" s="7"/>
      <c r="Q103" s="10"/>
      <c r="R103" s="11"/>
      <c r="S103" s="11"/>
      <c r="T103" s="26"/>
      <c r="U103" s="28">
        <f t="shared" si="3"/>
        <v>0.20944049951028387</v>
      </c>
    </row>
    <row r="104" spans="2:21" ht="16.5" thickBot="1" x14ac:dyDescent="0.3">
      <c r="B104" s="12"/>
      <c r="C104" s="19">
        <v>366.09863280000002</v>
      </c>
      <c r="D104" s="20">
        <v>30.68</v>
      </c>
      <c r="E104" s="20">
        <v>37.249000000000002</v>
      </c>
      <c r="F104" s="20">
        <v>37.97</v>
      </c>
      <c r="G104" s="20">
        <v>95.58</v>
      </c>
      <c r="H104" s="20">
        <f t="shared" si="4"/>
        <v>32.412374999999997</v>
      </c>
      <c r="I104" s="5"/>
      <c r="J104" s="19">
        <v>302.68529999999998</v>
      </c>
      <c r="K104" s="20">
        <v>32.0916</v>
      </c>
      <c r="L104" s="20">
        <v>39.644199999999998</v>
      </c>
      <c r="M104" s="20">
        <v>40.593699999999998</v>
      </c>
      <c r="N104" s="20">
        <v>127.2085</v>
      </c>
      <c r="O104" s="20">
        <f t="shared" si="5"/>
        <v>34.098437500000003</v>
      </c>
      <c r="P104" s="7"/>
      <c r="Q104" s="13"/>
      <c r="R104" s="14"/>
      <c r="S104" s="14"/>
      <c r="T104" s="27"/>
      <c r="U104" s="28">
        <f t="shared" si="3"/>
        <v>0.33091127851014862</v>
      </c>
    </row>
    <row r="105" spans="2:21" x14ac:dyDescent="0.25">
      <c r="B105" s="6" t="s">
        <v>101</v>
      </c>
      <c r="C105" s="15">
        <v>1487.100586</v>
      </c>
      <c r="D105" s="16">
        <v>44.356999999999999</v>
      </c>
      <c r="E105" s="16">
        <v>49.048000000000002</v>
      </c>
      <c r="F105" s="16">
        <v>50.692</v>
      </c>
      <c r="G105" s="16">
        <v>91.56</v>
      </c>
      <c r="H105" s="16">
        <f t="shared" si="4"/>
        <v>45.735250000000001</v>
      </c>
      <c r="I105" s="5"/>
      <c r="J105" s="15">
        <v>1499.3635999999999</v>
      </c>
      <c r="K105" s="16">
        <v>47.389499999999998</v>
      </c>
      <c r="L105" s="16">
        <v>53.001100000000001</v>
      </c>
      <c r="M105" s="16">
        <v>54.354799999999997</v>
      </c>
      <c r="N105" s="16">
        <v>87.897599999999997</v>
      </c>
      <c r="O105" s="16">
        <f t="shared" si="5"/>
        <v>48.961612500000001</v>
      </c>
      <c r="P105" s="7"/>
      <c r="Q105" s="8">
        <f>bdrate(C105:C108,D105:D108,J105:J108,K105:K108)</f>
        <v>-0.48678236522648854</v>
      </c>
      <c r="R105" s="8">
        <f>bdrate(C105:C108,E105:E108,J105:J108,L105:L108)</f>
        <v>-0.62048711026216941</v>
      </c>
      <c r="S105" s="8">
        <f>bdrate(C105:C108,F105:F108,J105:J108,M105:M108)</f>
        <v>-0.58479041971261259</v>
      </c>
      <c r="T105" s="25">
        <f>bdrate(C105:C108,H105:H108,J105:J108,O105:O108)</f>
        <v>-0.51745873847267798</v>
      </c>
      <c r="U105" s="28">
        <f t="shared" si="3"/>
        <v>-4.0000000000000056E-2</v>
      </c>
    </row>
    <row r="106" spans="2:21" x14ac:dyDescent="0.25">
      <c r="B106" s="9"/>
      <c r="C106" s="17">
        <v>1021.200195</v>
      </c>
      <c r="D106" s="18">
        <v>42.616999999999997</v>
      </c>
      <c r="E106" s="18">
        <v>47.429000000000002</v>
      </c>
      <c r="F106" s="18">
        <v>49.2</v>
      </c>
      <c r="G106" s="18">
        <v>103.12</v>
      </c>
      <c r="H106" s="18">
        <f t="shared" si="4"/>
        <v>44.041374999999995</v>
      </c>
      <c r="I106" s="5"/>
      <c r="J106" s="17">
        <v>1001.5828</v>
      </c>
      <c r="K106" s="18">
        <v>45.580800000000004</v>
      </c>
      <c r="L106" s="18">
        <v>51.417000000000002</v>
      </c>
      <c r="M106" s="18">
        <v>52.7879</v>
      </c>
      <c r="N106" s="18">
        <v>103.4265</v>
      </c>
      <c r="O106" s="18">
        <f t="shared" si="5"/>
        <v>47.211212499999995</v>
      </c>
      <c r="P106" s="7"/>
      <c r="Q106" s="10"/>
      <c r="R106" s="11"/>
      <c r="S106" s="11"/>
      <c r="T106" s="26"/>
      <c r="U106" s="28">
        <f t="shared" si="3"/>
        <v>2.9722653219550017E-3</v>
      </c>
    </row>
    <row r="107" spans="2:21" x14ac:dyDescent="0.25">
      <c r="B107" s="9"/>
      <c r="C107" s="17">
        <v>628.52050780000002</v>
      </c>
      <c r="D107" s="18">
        <v>40.588000000000001</v>
      </c>
      <c r="E107" s="18">
        <v>45.506999999999998</v>
      </c>
      <c r="F107" s="18">
        <v>47.302</v>
      </c>
      <c r="G107" s="18">
        <v>116.79</v>
      </c>
      <c r="H107" s="18">
        <f t="shared" si="4"/>
        <v>42.042125000000006</v>
      </c>
      <c r="I107" s="5"/>
      <c r="J107" s="17">
        <v>603.18269999999995</v>
      </c>
      <c r="K107" s="18">
        <v>43.337299999999999</v>
      </c>
      <c r="L107" s="18">
        <v>49.357399999999998</v>
      </c>
      <c r="M107" s="18">
        <v>50.732100000000003</v>
      </c>
      <c r="N107" s="18">
        <v>125.4795</v>
      </c>
      <c r="O107" s="18">
        <f t="shared" si="5"/>
        <v>45.014162499999998</v>
      </c>
      <c r="P107" s="7"/>
      <c r="Q107" s="10"/>
      <c r="R107" s="11"/>
      <c r="S107" s="11"/>
      <c r="T107" s="26"/>
      <c r="U107" s="28">
        <f t="shared" si="3"/>
        <v>7.440277421012069E-2</v>
      </c>
    </row>
    <row r="108" spans="2:21" ht="16.5" thickBot="1" x14ac:dyDescent="0.3">
      <c r="B108" s="12"/>
      <c r="C108" s="19">
        <v>320.25488280000002</v>
      </c>
      <c r="D108" s="20">
        <v>37.869999999999997</v>
      </c>
      <c r="E108" s="20">
        <v>42.890999999999998</v>
      </c>
      <c r="F108" s="20">
        <v>44.575000000000003</v>
      </c>
      <c r="G108" s="20">
        <v>135.54</v>
      </c>
      <c r="H108" s="20">
        <f t="shared" si="4"/>
        <v>39.335749999999997</v>
      </c>
      <c r="I108" s="5"/>
      <c r="J108" s="19">
        <v>302.9332</v>
      </c>
      <c r="K108" s="20">
        <v>40.121600000000001</v>
      </c>
      <c r="L108" s="20">
        <v>46.318199999999997</v>
      </c>
      <c r="M108" s="20">
        <v>47.703499999999998</v>
      </c>
      <c r="N108" s="20">
        <v>157.32400000000001</v>
      </c>
      <c r="O108" s="20">
        <f t="shared" si="5"/>
        <v>41.843912500000002</v>
      </c>
      <c r="P108" s="7"/>
      <c r="Q108" s="13"/>
      <c r="R108" s="14"/>
      <c r="S108" s="14"/>
      <c r="T108" s="27"/>
      <c r="U108" s="28">
        <f t="shared" si="3"/>
        <v>0.1607200826324334</v>
      </c>
    </row>
    <row r="109" spans="2:21" x14ac:dyDescent="0.25">
      <c r="B109" s="6" t="s">
        <v>102</v>
      </c>
      <c r="C109" s="15">
        <v>1593.5273440000001</v>
      </c>
      <c r="D109" s="16">
        <v>30.074999999999999</v>
      </c>
      <c r="E109" s="16">
        <v>38.508000000000003</v>
      </c>
      <c r="F109" s="16">
        <v>37.901000000000003</v>
      </c>
      <c r="G109" s="16">
        <v>61.3</v>
      </c>
      <c r="H109" s="16">
        <f t="shared" si="4"/>
        <v>32.107374999999998</v>
      </c>
      <c r="I109" s="5"/>
      <c r="J109" s="15">
        <v>1496.1239</v>
      </c>
      <c r="K109" s="16">
        <v>31.974599999999999</v>
      </c>
      <c r="L109" s="16">
        <v>40.315300000000001</v>
      </c>
      <c r="M109" s="16">
        <v>39.712699999999998</v>
      </c>
      <c r="N109" s="16">
        <v>53.270200000000003</v>
      </c>
      <c r="O109" s="16">
        <f t="shared" si="5"/>
        <v>33.984450000000002</v>
      </c>
      <c r="P109" s="7"/>
      <c r="Q109" s="8">
        <f>bdrate(C109:C112,D109:D112,J109:J112,K109:K112)</f>
        <v>-0.37633546048957389</v>
      </c>
      <c r="R109" s="8">
        <f>bdrate(C109:C112,E109:E112,J109:J112,L109:L112)</f>
        <v>-0.58957209272575084</v>
      </c>
      <c r="S109" s="8">
        <f>bdrate(C109:C112,F109:F112,J109:J112,M109:M112)</f>
        <v>-0.57709833703985258</v>
      </c>
      <c r="T109" s="25">
        <f>bdrate(C109:C112,H109:H112,J109:J112,O109:O112)</f>
        <v>-0.42582749086641725</v>
      </c>
      <c r="U109" s="28">
        <f t="shared" si="3"/>
        <v>-0.13099184339314837</v>
      </c>
    </row>
    <row r="110" spans="2:21" x14ac:dyDescent="0.25">
      <c r="B110" s="9"/>
      <c r="C110" s="17">
        <v>1128.1865230000001</v>
      </c>
      <c r="D110" s="18">
        <v>28.687000000000001</v>
      </c>
      <c r="E110" s="18">
        <v>37.198</v>
      </c>
      <c r="F110" s="18">
        <v>36.633000000000003</v>
      </c>
      <c r="G110" s="18">
        <v>68.260000000000005</v>
      </c>
      <c r="H110" s="18">
        <f t="shared" si="4"/>
        <v>30.744125000000004</v>
      </c>
      <c r="I110" s="5"/>
      <c r="J110" s="17">
        <v>996.12909999999999</v>
      </c>
      <c r="K110" s="18">
        <v>30.223400000000002</v>
      </c>
      <c r="L110" s="18">
        <v>39.313699999999997</v>
      </c>
      <c r="M110" s="18">
        <v>38.685600000000001</v>
      </c>
      <c r="N110" s="18">
        <v>63.572800000000001</v>
      </c>
      <c r="O110" s="18">
        <f t="shared" si="5"/>
        <v>32.417462500000006</v>
      </c>
      <c r="P110" s="7"/>
      <c r="Q110" s="10"/>
      <c r="R110" s="11"/>
      <c r="S110" s="11"/>
      <c r="T110" s="26"/>
      <c r="U110" s="28">
        <f t="shared" si="3"/>
        <v>-6.8666861998242068E-2</v>
      </c>
    </row>
    <row r="111" spans="2:21" x14ac:dyDescent="0.25">
      <c r="B111" s="9"/>
      <c r="C111" s="17">
        <v>858.03515630000004</v>
      </c>
      <c r="D111" s="18">
        <v>27.698</v>
      </c>
      <c r="E111" s="18">
        <v>36.155999999999999</v>
      </c>
      <c r="F111" s="18">
        <v>35.588000000000001</v>
      </c>
      <c r="G111" s="18">
        <v>70.989999999999995</v>
      </c>
      <c r="H111" s="18">
        <f t="shared" si="4"/>
        <v>29.741499999999998</v>
      </c>
      <c r="I111" s="5"/>
      <c r="J111" s="17">
        <v>598.29729999999995</v>
      </c>
      <c r="K111" s="18">
        <v>28.049600000000002</v>
      </c>
      <c r="L111" s="18">
        <v>37.989800000000002</v>
      </c>
      <c r="M111" s="18">
        <v>37.296100000000003</v>
      </c>
      <c r="N111" s="18">
        <v>80.238900000000001</v>
      </c>
      <c r="O111" s="18">
        <f t="shared" si="5"/>
        <v>30.447937500000002</v>
      </c>
      <c r="P111" s="7"/>
      <c r="Q111" s="10"/>
      <c r="R111" s="11"/>
      <c r="S111" s="11"/>
      <c r="T111" s="26"/>
      <c r="U111" s="28">
        <f t="shared" si="3"/>
        <v>0.13028454711931267</v>
      </c>
    </row>
    <row r="112" spans="2:21" ht="16.5" thickBot="1" x14ac:dyDescent="0.3">
      <c r="B112" s="12"/>
      <c r="C112" s="19">
        <v>688.82226560000004</v>
      </c>
      <c r="D112" s="20">
        <v>26.805</v>
      </c>
      <c r="E112" s="20">
        <v>34.996000000000002</v>
      </c>
      <c r="F112" s="20">
        <v>34.47</v>
      </c>
      <c r="G112" s="20">
        <v>72.599999999999994</v>
      </c>
      <c r="H112" s="20">
        <f t="shared" si="4"/>
        <v>28.786999999999999</v>
      </c>
      <c r="I112" s="5"/>
      <c r="J112" s="19">
        <v>299.09199999999998</v>
      </c>
      <c r="K112" s="20">
        <v>25.2942</v>
      </c>
      <c r="L112" s="20">
        <v>35.707799999999999</v>
      </c>
      <c r="M112" s="20">
        <v>35.117400000000004</v>
      </c>
      <c r="N112" s="20">
        <v>108.3424</v>
      </c>
      <c r="O112" s="20">
        <f t="shared" si="5"/>
        <v>27.823799999999999</v>
      </c>
      <c r="P112" s="7"/>
      <c r="Q112" s="13"/>
      <c r="R112" s="14"/>
      <c r="S112" s="14"/>
      <c r="T112" s="27"/>
      <c r="U112" s="28">
        <f t="shared" si="3"/>
        <v>0.49231955922865023</v>
      </c>
    </row>
    <row r="113" spans="2:21" x14ac:dyDescent="0.25">
      <c r="B113" s="6" t="s">
        <v>103</v>
      </c>
      <c r="C113" s="15">
        <v>2147.2890630000002</v>
      </c>
      <c r="D113" s="16">
        <v>44.706000000000003</v>
      </c>
      <c r="E113" s="16">
        <v>45.82</v>
      </c>
      <c r="F113" s="16">
        <v>45.720999999999997</v>
      </c>
      <c r="G113" s="16">
        <v>83.39</v>
      </c>
      <c r="H113" s="16">
        <f t="shared" si="4"/>
        <v>44.972124999999998</v>
      </c>
      <c r="I113" s="5"/>
      <c r="J113" s="15">
        <v>1403.1137000000001</v>
      </c>
      <c r="K113" s="16">
        <v>44.934100000000001</v>
      </c>
      <c r="L113" s="16">
        <v>46.1387</v>
      </c>
      <c r="M113" s="16">
        <v>46.026600000000002</v>
      </c>
      <c r="N113" s="16">
        <v>76.514300000000006</v>
      </c>
      <c r="O113" s="16">
        <f t="shared" si="5"/>
        <v>45.221237500000001</v>
      </c>
      <c r="P113" s="7"/>
      <c r="Q113" s="8">
        <f>bdrate(C113:C116,D113:D116,J113:J116,K113:K116)</f>
        <v>-0.40669431089687591</v>
      </c>
      <c r="R113" s="8">
        <f>bdrate(C113:C116,E113:E116,J113:J116,L113:L116)</f>
        <v>-0.44133720878429594</v>
      </c>
      <c r="S113" s="8">
        <f>bdrate(C113:C116,F113:F116,J113:J116,M113:M116)</f>
        <v>-0.43360976817268104</v>
      </c>
      <c r="T113" s="25">
        <f>bdrate(C113:C116,H113:H116,J113:J116,O113:O116)</f>
        <v>-0.41343386944396621</v>
      </c>
      <c r="U113" s="28">
        <f t="shared" si="3"/>
        <v>-8.245233241395844E-2</v>
      </c>
    </row>
    <row r="114" spans="2:21" x14ac:dyDescent="0.25">
      <c r="B114" s="9"/>
      <c r="C114" s="17">
        <v>1558.658203</v>
      </c>
      <c r="D114" s="18">
        <v>42.871000000000002</v>
      </c>
      <c r="E114" s="18">
        <v>44.225999999999999</v>
      </c>
      <c r="F114" s="18">
        <v>44.087000000000003</v>
      </c>
      <c r="G114" s="18">
        <v>95.02</v>
      </c>
      <c r="H114" s="18">
        <f t="shared" si="4"/>
        <v>43.192374999999998</v>
      </c>
      <c r="I114" s="5"/>
      <c r="J114" s="17">
        <v>953.97749999999996</v>
      </c>
      <c r="K114" s="18">
        <v>43.059199999999997</v>
      </c>
      <c r="L114" s="18">
        <v>44.554099999999998</v>
      </c>
      <c r="M114" s="18">
        <v>44.394199999999998</v>
      </c>
      <c r="N114" s="18">
        <v>96.236099999999993</v>
      </c>
      <c r="O114" s="18">
        <f t="shared" si="5"/>
        <v>43.412937499999998</v>
      </c>
      <c r="P114" s="7"/>
      <c r="Q114" s="10"/>
      <c r="R114" s="11"/>
      <c r="S114" s="11"/>
      <c r="T114" s="26"/>
      <c r="U114" s="28">
        <f t="shared" si="3"/>
        <v>1.2798358240370421E-2</v>
      </c>
    </row>
    <row r="115" spans="2:21" x14ac:dyDescent="0.25">
      <c r="B115" s="9"/>
      <c r="C115" s="17">
        <v>1010.6201170000001</v>
      </c>
      <c r="D115" s="18">
        <v>40.226999999999997</v>
      </c>
      <c r="E115" s="18">
        <v>41.851999999999997</v>
      </c>
      <c r="F115" s="18">
        <v>41.749000000000002</v>
      </c>
      <c r="G115" s="18">
        <v>104.73</v>
      </c>
      <c r="H115" s="18">
        <f t="shared" si="4"/>
        <v>40.620374999999996</v>
      </c>
      <c r="I115" s="5"/>
      <c r="J115" s="17">
        <v>585.13329999999996</v>
      </c>
      <c r="K115" s="18">
        <v>40.0608</v>
      </c>
      <c r="L115" s="18">
        <v>42.039200000000001</v>
      </c>
      <c r="M115" s="18">
        <v>41.853700000000003</v>
      </c>
      <c r="N115" s="18">
        <v>117.9786</v>
      </c>
      <c r="O115" s="18">
        <f t="shared" si="5"/>
        <v>40.5322125</v>
      </c>
      <c r="P115" s="7"/>
      <c r="Q115" s="10"/>
      <c r="R115" s="11"/>
      <c r="S115" s="11"/>
      <c r="T115" s="26"/>
      <c r="U115" s="28">
        <f t="shared" si="3"/>
        <v>0.12650243483242621</v>
      </c>
    </row>
    <row r="116" spans="2:21" ht="16.5" thickBot="1" x14ac:dyDescent="0.3">
      <c r="B116" s="12"/>
      <c r="C116" s="19">
        <v>602.140625</v>
      </c>
      <c r="D116" s="20">
        <v>36.689</v>
      </c>
      <c r="E116" s="20">
        <v>38.820999999999998</v>
      </c>
      <c r="F116" s="20">
        <v>38.679000000000002</v>
      </c>
      <c r="G116" s="20">
        <v>115.54</v>
      </c>
      <c r="H116" s="20">
        <f t="shared" si="4"/>
        <v>37.204250000000002</v>
      </c>
      <c r="I116" s="5"/>
      <c r="J116" s="19">
        <v>298.36720000000003</v>
      </c>
      <c r="K116" s="20">
        <v>35.584299999999999</v>
      </c>
      <c r="L116" s="20">
        <v>38.554499999999997</v>
      </c>
      <c r="M116" s="20">
        <v>38.272799999999997</v>
      </c>
      <c r="N116" s="20">
        <v>148.5026</v>
      </c>
      <c r="O116" s="20">
        <f t="shared" si="5"/>
        <v>36.2916375</v>
      </c>
      <c r="P116" s="7"/>
      <c r="Q116" s="13"/>
      <c r="R116" s="14"/>
      <c r="S116" s="14"/>
      <c r="T116" s="27"/>
      <c r="U116" s="28">
        <f t="shared" si="3"/>
        <v>0.28529167387917598</v>
      </c>
    </row>
    <row r="117" spans="2:21" x14ac:dyDescent="0.25">
      <c r="B117" s="6" t="s">
        <v>104</v>
      </c>
      <c r="C117" s="15">
        <v>2040.6992190000001</v>
      </c>
      <c r="D117" s="16">
        <v>45.74</v>
      </c>
      <c r="E117" s="16">
        <v>47.168999999999997</v>
      </c>
      <c r="F117" s="16">
        <v>47.427999999999997</v>
      </c>
      <c r="G117" s="16">
        <v>87.26</v>
      </c>
      <c r="H117" s="16">
        <f t="shared" si="4"/>
        <v>46.129624999999997</v>
      </c>
      <c r="I117" s="5"/>
      <c r="J117" s="15">
        <v>1355.6251</v>
      </c>
      <c r="K117" s="16">
        <v>45.491300000000003</v>
      </c>
      <c r="L117" s="16">
        <v>47.807000000000002</v>
      </c>
      <c r="M117" s="16">
        <v>48.050699999999999</v>
      </c>
      <c r="N117" s="16">
        <v>74.202299999999994</v>
      </c>
      <c r="O117" s="16">
        <f t="shared" si="5"/>
        <v>46.100687500000006</v>
      </c>
      <c r="P117" s="7"/>
      <c r="Q117" s="8">
        <f>bdrate(C117:C120,D117:D120,J117:J120,K117:K120)</f>
        <v>-0.11771435154128873</v>
      </c>
      <c r="R117" s="8">
        <f>bdrate(C117:C120,E117:E120,J117:J120,L117:L120)</f>
        <v>-0.23854853402623954</v>
      </c>
      <c r="S117" s="8">
        <f>bdrate(C117:C120,F117:F120,J117:J120,M117:M120)</f>
        <v>-0.24014926822989657</v>
      </c>
      <c r="T117" s="25">
        <f>bdrate(C117:C120,H117:H120,J117:J120,O117:O120)</f>
        <v>-0.15028469927081323</v>
      </c>
      <c r="U117" s="28">
        <f t="shared" si="3"/>
        <v>-0.14964130185652086</v>
      </c>
    </row>
    <row r="118" spans="2:21" x14ac:dyDescent="0.25">
      <c r="B118" s="9"/>
      <c r="C118" s="17">
        <v>1459.4726559999999</v>
      </c>
      <c r="D118" s="18">
        <v>45.378999999999998</v>
      </c>
      <c r="E118" s="18">
        <v>46.889000000000003</v>
      </c>
      <c r="F118" s="18">
        <v>47.151000000000003</v>
      </c>
      <c r="G118" s="18">
        <v>96.51</v>
      </c>
      <c r="H118" s="18">
        <f t="shared" si="4"/>
        <v>45.789250000000003</v>
      </c>
      <c r="I118" s="5"/>
      <c r="J118" s="17">
        <v>944.79769999999996</v>
      </c>
      <c r="K118" s="18">
        <v>43.870699999999999</v>
      </c>
      <c r="L118" s="18">
        <v>46.406399999999998</v>
      </c>
      <c r="M118" s="18">
        <v>46.650599999999997</v>
      </c>
      <c r="N118" s="18">
        <v>81.374300000000005</v>
      </c>
      <c r="O118" s="18">
        <f t="shared" si="5"/>
        <v>44.535150000000002</v>
      </c>
      <c r="P118" s="7"/>
      <c r="Q118" s="10"/>
      <c r="R118" s="11"/>
      <c r="S118" s="11"/>
      <c r="T118" s="26"/>
      <c r="U118" s="28">
        <f t="shared" si="3"/>
        <v>-0.15683038027147445</v>
      </c>
    </row>
    <row r="119" spans="2:21" x14ac:dyDescent="0.25">
      <c r="B119" s="9"/>
      <c r="C119" s="17">
        <v>932.35351560000004</v>
      </c>
      <c r="D119" s="18">
        <v>42.887</v>
      </c>
      <c r="E119" s="18">
        <v>44.732999999999997</v>
      </c>
      <c r="F119" s="18">
        <v>44.978000000000002</v>
      </c>
      <c r="G119" s="18">
        <v>102.43</v>
      </c>
      <c r="H119" s="18">
        <f t="shared" si="4"/>
        <v>43.379125000000002</v>
      </c>
      <c r="I119" s="5"/>
      <c r="J119" s="17">
        <v>622.52329999999995</v>
      </c>
      <c r="K119" s="18">
        <v>41.222200000000001</v>
      </c>
      <c r="L119" s="18">
        <v>44.002200000000002</v>
      </c>
      <c r="M119" s="18">
        <v>44.274500000000003</v>
      </c>
      <c r="N119" s="18">
        <v>93.206299999999999</v>
      </c>
      <c r="O119" s="18">
        <f t="shared" si="5"/>
        <v>41.951237499999998</v>
      </c>
      <c r="P119" s="7"/>
      <c r="Q119" s="10"/>
      <c r="R119" s="11"/>
      <c r="S119" s="11"/>
      <c r="T119" s="26"/>
      <c r="U119" s="28">
        <f t="shared" si="3"/>
        <v>-9.004881382407505E-2</v>
      </c>
    </row>
    <row r="120" spans="2:21" ht="16.5" thickBot="1" x14ac:dyDescent="0.3">
      <c r="B120" s="12"/>
      <c r="C120" s="19">
        <v>578.51757810000004</v>
      </c>
      <c r="D120" s="20">
        <v>39.832999999999998</v>
      </c>
      <c r="E120" s="20">
        <v>42.264000000000003</v>
      </c>
      <c r="F120" s="20">
        <v>42.503</v>
      </c>
      <c r="G120" s="20">
        <v>113.85</v>
      </c>
      <c r="H120" s="20">
        <f t="shared" si="4"/>
        <v>40.470624999999998</v>
      </c>
      <c r="I120" s="5"/>
      <c r="J120" s="19">
        <v>339.50790000000001</v>
      </c>
      <c r="K120" s="20">
        <v>37.178699999999999</v>
      </c>
      <c r="L120" s="20">
        <v>40.481200000000001</v>
      </c>
      <c r="M120" s="20">
        <v>40.761699999999998</v>
      </c>
      <c r="N120" s="20">
        <v>145.87889999999999</v>
      </c>
      <c r="O120" s="20">
        <f t="shared" si="5"/>
        <v>38.039387500000004</v>
      </c>
      <c r="P120" s="7"/>
      <c r="Q120" s="13"/>
      <c r="R120" s="14"/>
      <c r="S120" s="14"/>
      <c r="T120" s="27"/>
      <c r="U120" s="28">
        <f t="shared" si="3"/>
        <v>0.28132542819499334</v>
      </c>
    </row>
    <row r="121" spans="2:21" x14ac:dyDescent="0.25">
      <c r="B121" s="6" t="s">
        <v>105</v>
      </c>
      <c r="C121" s="29">
        <v>1746.3740230000001</v>
      </c>
      <c r="D121" s="30">
        <v>31.603999999999999</v>
      </c>
      <c r="E121" s="30">
        <v>35.29</v>
      </c>
      <c r="F121" s="30">
        <v>34.045000000000002</v>
      </c>
      <c r="G121" s="16">
        <v>67.09</v>
      </c>
      <c r="H121" s="16">
        <f t="shared" si="4"/>
        <v>32.369875</v>
      </c>
      <c r="I121" s="5"/>
      <c r="J121" s="29">
        <v>1504.7097000000001</v>
      </c>
      <c r="K121" s="30">
        <v>32.347299999999997</v>
      </c>
      <c r="L121" s="30">
        <v>36.641100000000002</v>
      </c>
      <c r="M121" s="30">
        <v>35.537399999999998</v>
      </c>
      <c r="N121" s="16">
        <v>64.317899999999995</v>
      </c>
      <c r="O121" s="16">
        <f t="shared" si="5"/>
        <v>33.282787499999998</v>
      </c>
      <c r="P121" s="7"/>
      <c r="Q121" s="8">
        <f>bdrate(C121:C124,D121:D124,J121:J124,K121:K124)</f>
        <v>-0.24856444387687515</v>
      </c>
      <c r="R121" s="8">
        <f>bdrate(C121:C124,E121:E124,J121:J124,L121:L124)</f>
        <v>-0.54940391612340644</v>
      </c>
      <c r="S121" s="8">
        <f>bdrate(C121:C124,F121:F124,J121:J124,M121:M124)</f>
        <v>-0.55242453121581403</v>
      </c>
      <c r="T121" s="25">
        <f>bdrate(C121:C124,H121:H124,J121:J124,O121:O124)</f>
        <v>-0.31689232677789447</v>
      </c>
      <c r="U121" s="28">
        <f t="shared" si="3"/>
        <v>-4.1319123565360091E-2</v>
      </c>
    </row>
    <row r="122" spans="2:21" x14ac:dyDescent="0.25">
      <c r="B122" s="9"/>
      <c r="C122" s="31">
        <v>1201.7294919999999</v>
      </c>
      <c r="D122" s="32">
        <v>30.018999999999998</v>
      </c>
      <c r="E122" s="32">
        <v>34.091000000000001</v>
      </c>
      <c r="F122" s="32">
        <v>32.811</v>
      </c>
      <c r="G122" s="18">
        <v>73</v>
      </c>
      <c r="H122" s="18">
        <f t="shared" si="4"/>
        <v>30.876999999999999</v>
      </c>
      <c r="I122" s="5"/>
      <c r="J122" s="31">
        <v>1002.8028</v>
      </c>
      <c r="K122" s="32">
        <v>30.457699999999999</v>
      </c>
      <c r="L122" s="32">
        <v>35.551499999999997</v>
      </c>
      <c r="M122" s="32">
        <v>34.405000000000001</v>
      </c>
      <c r="N122" s="18">
        <v>75.4148</v>
      </c>
      <c r="O122" s="18">
        <f t="shared" si="5"/>
        <v>31.587837499999999</v>
      </c>
      <c r="P122" s="7"/>
      <c r="Q122" s="10"/>
      <c r="R122" s="11"/>
      <c r="S122" s="11"/>
      <c r="T122" s="26"/>
      <c r="U122" s="28">
        <f t="shared" si="3"/>
        <v>3.3079452054794518E-2</v>
      </c>
    </row>
    <row r="123" spans="2:21" x14ac:dyDescent="0.25">
      <c r="B123" s="9"/>
      <c r="C123" s="31">
        <v>819.44335939999996</v>
      </c>
      <c r="D123" s="32">
        <v>28.495999999999999</v>
      </c>
      <c r="E123" s="32">
        <v>32.881999999999998</v>
      </c>
      <c r="F123" s="32">
        <v>31.600999999999999</v>
      </c>
      <c r="G123" s="18">
        <v>77.97</v>
      </c>
      <c r="H123" s="18">
        <f t="shared" si="4"/>
        <v>29.432375</v>
      </c>
      <c r="I123" s="5"/>
      <c r="J123" s="31">
        <v>603.75559999999996</v>
      </c>
      <c r="K123" s="32">
        <v>28.366800000000001</v>
      </c>
      <c r="L123" s="32">
        <v>34.352400000000003</v>
      </c>
      <c r="M123" s="32">
        <v>33.118299999999998</v>
      </c>
      <c r="N123" s="18">
        <v>94.577600000000004</v>
      </c>
      <c r="O123" s="18">
        <f t="shared" si="5"/>
        <v>29.708937500000001</v>
      </c>
      <c r="P123" s="7"/>
      <c r="Q123" s="10"/>
      <c r="R123" s="11"/>
      <c r="S123" s="11"/>
      <c r="T123" s="26"/>
      <c r="U123" s="28">
        <f t="shared" si="3"/>
        <v>0.21299987174554322</v>
      </c>
    </row>
    <row r="124" spans="2:21" ht="16.5" thickBot="1" x14ac:dyDescent="0.3">
      <c r="B124" s="12"/>
      <c r="C124" s="33">
        <v>609.53613280000002</v>
      </c>
      <c r="D124" s="34">
        <v>27.181999999999999</v>
      </c>
      <c r="E124" s="34">
        <v>31.739000000000001</v>
      </c>
      <c r="F124" s="34">
        <v>30.498000000000001</v>
      </c>
      <c r="G124" s="20">
        <v>79.11</v>
      </c>
      <c r="H124" s="20">
        <f t="shared" si="4"/>
        <v>28.166124999999997</v>
      </c>
      <c r="I124" s="5"/>
      <c r="J124" s="33">
        <v>303.1696</v>
      </c>
      <c r="K124" s="34">
        <v>25.8187</v>
      </c>
      <c r="L124" s="34">
        <v>32.5794</v>
      </c>
      <c r="M124" s="34">
        <v>31.2178</v>
      </c>
      <c r="N124" s="20">
        <v>126.65349999999999</v>
      </c>
      <c r="O124" s="20">
        <f t="shared" si="5"/>
        <v>27.338674999999999</v>
      </c>
      <c r="P124" s="7"/>
      <c r="Q124" s="13"/>
      <c r="R124" s="14"/>
      <c r="S124" s="14"/>
      <c r="T124" s="27"/>
      <c r="U124" s="28">
        <f t="shared" si="3"/>
        <v>0.60097964859057007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-0.37847275383269846</v>
      </c>
      <c r="R125" s="21">
        <f>AVERAGE(R9:R124)</f>
        <v>-0.46073833650618973</v>
      </c>
      <c r="S125" s="21">
        <f>AVERAGE(S9:S124)</f>
        <v>-0.46659146752518105</v>
      </c>
      <c r="T125" s="21">
        <f>AVERAGE(T9:T124)</f>
        <v>-0.39814316407239109</v>
      </c>
      <c r="U125" s="21">
        <f>AVERAGE(U9:U124)</f>
        <v>0.17301892461531115</v>
      </c>
    </row>
    <row r="127" spans="2:21" s="35" customFormat="1" ht="15.75" customHeight="1" x14ac:dyDescent="0.25">
      <c r="B127" s="61" t="s">
        <v>29</v>
      </c>
      <c r="C127" s="63" t="s">
        <v>205</v>
      </c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5"/>
    </row>
    <row r="128" spans="2:21" s="35" customFormat="1" x14ac:dyDescent="0.25">
      <c r="B128" s="62"/>
      <c r="C128" s="66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8"/>
    </row>
    <row r="129" spans="1:21" ht="16.5" customHeight="1" thickBot="1" x14ac:dyDescent="0.3">
      <c r="C129" s="69" t="s">
        <v>113</v>
      </c>
      <c r="D129" s="70"/>
      <c r="E129" s="70"/>
      <c r="F129" s="70"/>
      <c r="G129" s="70"/>
      <c r="H129" s="70"/>
      <c r="I129" s="5"/>
      <c r="J129" s="69" t="s">
        <v>180</v>
      </c>
      <c r="K129" s="70"/>
      <c r="L129" s="70"/>
      <c r="M129" s="70"/>
      <c r="N129" s="70"/>
      <c r="O129" s="70"/>
      <c r="Q129" s="69" t="s">
        <v>7</v>
      </c>
      <c r="R129" s="70"/>
      <c r="S129" s="71"/>
      <c r="T129" s="36"/>
      <c r="U129" s="7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2"/>
    </row>
    <row r="131" spans="1:21" x14ac:dyDescent="0.25">
      <c r="A131" s="6" t="s">
        <v>35</v>
      </c>
      <c r="B131" s="6" t="s">
        <v>46</v>
      </c>
      <c r="C131" s="15">
        <v>4442.7382809999999</v>
      </c>
      <c r="D131" s="16">
        <v>36.252000000000002</v>
      </c>
      <c r="E131" s="16">
        <v>38.652999999999999</v>
      </c>
      <c r="F131" s="16">
        <v>40.99</v>
      </c>
      <c r="G131" s="16">
        <v>44.17</v>
      </c>
      <c r="H131" s="16">
        <f t="shared" ref="H131:H202" si="6">(6*D131+E131+F131)/8</f>
        <v>37.144375000000004</v>
      </c>
      <c r="I131" s="5"/>
      <c r="J131" s="15">
        <v>3985.5632000000001</v>
      </c>
      <c r="K131" s="16">
        <v>37.829599999999999</v>
      </c>
      <c r="L131" s="16">
        <v>39.483199999999997</v>
      </c>
      <c r="M131" s="16">
        <v>41.954599999999999</v>
      </c>
      <c r="N131" s="16">
        <v>56.882800000000003</v>
      </c>
      <c r="O131" s="16">
        <f t="shared" ref="O131:O202" si="7">(6*K131+L131+M131)/8</f>
        <v>38.551924999999997</v>
      </c>
      <c r="P131" s="7"/>
      <c r="Q131" s="8">
        <f>bdrate(C131:C134,D131:D134,J131:J134,K131:K134)</f>
        <v>-0.38353233244381746</v>
      </c>
      <c r="R131" s="8">
        <f>bdrate(C131:C134,E131:E134,J131:J134,L131:L134)</f>
        <v>-0.4525244078428774</v>
      </c>
      <c r="S131" s="8">
        <f>bdrate(C131:C134,F131:F134,J131:J134,M131:M134)</f>
        <v>-0.46427962438780201</v>
      </c>
      <c r="T131" s="25">
        <f>bdrate(C131:C134,H131:H134,J131:J134,O131:O134)</f>
        <v>-0.3963279217572041</v>
      </c>
      <c r="U131" s="28">
        <f t="shared" ref="U131:U194" si="8">(N131-G131)/G131</f>
        <v>0.28781525922571882</v>
      </c>
    </row>
    <row r="132" spans="1:21" x14ac:dyDescent="0.25">
      <c r="A132" s="9" t="s">
        <v>36</v>
      </c>
      <c r="B132" s="9"/>
      <c r="C132" s="17">
        <v>3313.9697270000001</v>
      </c>
      <c r="D132" s="18">
        <v>35.381</v>
      </c>
      <c r="E132" s="18">
        <v>38.168999999999997</v>
      </c>
      <c r="F132" s="18">
        <v>40.423000000000002</v>
      </c>
      <c r="G132" s="18">
        <v>53.08</v>
      </c>
      <c r="H132" s="18">
        <f t="shared" si="6"/>
        <v>36.359749999999998</v>
      </c>
      <c r="I132" s="5"/>
      <c r="J132" s="17">
        <v>2974.7887999999998</v>
      </c>
      <c r="K132" s="18">
        <v>36.900700000000001</v>
      </c>
      <c r="L132" s="18">
        <v>38.922199999999997</v>
      </c>
      <c r="M132" s="18">
        <v>41.272500000000001</v>
      </c>
      <c r="N132" s="18">
        <v>62.448</v>
      </c>
      <c r="O132" s="18">
        <f t="shared" si="7"/>
        <v>37.699862499999995</v>
      </c>
      <c r="P132" s="7"/>
      <c r="Q132" s="10"/>
      <c r="R132" s="11"/>
      <c r="S132" s="11"/>
      <c r="T132" s="26"/>
      <c r="U132" s="28">
        <f t="shared" si="8"/>
        <v>0.17648831951770916</v>
      </c>
    </row>
    <row r="133" spans="1:21" x14ac:dyDescent="0.25">
      <c r="B133" s="9"/>
      <c r="C133" s="17">
        <v>2225.3310550000001</v>
      </c>
      <c r="D133" s="18">
        <v>34.076999999999998</v>
      </c>
      <c r="E133" s="18">
        <v>37.405000000000001</v>
      </c>
      <c r="F133" s="18">
        <v>39.591999999999999</v>
      </c>
      <c r="G133" s="18">
        <v>55.89</v>
      </c>
      <c r="H133" s="18">
        <f t="shared" si="6"/>
        <v>35.182375</v>
      </c>
      <c r="I133" s="5"/>
      <c r="J133" s="17">
        <v>1925.2719999999999</v>
      </c>
      <c r="K133" s="18">
        <v>35.298200000000001</v>
      </c>
      <c r="L133" s="18">
        <v>38.231299999999997</v>
      </c>
      <c r="M133" s="18">
        <v>40.536299999999997</v>
      </c>
      <c r="N133" s="18">
        <v>70.688000000000002</v>
      </c>
      <c r="O133" s="18">
        <f t="shared" si="7"/>
        <v>36.319600000000001</v>
      </c>
      <c r="P133" s="7"/>
      <c r="Q133" s="10"/>
      <c r="R133" s="11"/>
      <c r="S133" s="11"/>
      <c r="T133" s="26"/>
      <c r="U133" s="28">
        <f t="shared" si="8"/>
        <v>0.26477008409375563</v>
      </c>
    </row>
    <row r="134" spans="1:21" ht="16.5" thickBot="1" x14ac:dyDescent="0.3">
      <c r="B134" s="12"/>
      <c r="C134" s="19">
        <v>1141.341797</v>
      </c>
      <c r="D134" s="20">
        <v>31.34</v>
      </c>
      <c r="E134" s="20">
        <v>35.914999999999999</v>
      </c>
      <c r="F134" s="20">
        <v>37.944000000000003</v>
      </c>
      <c r="G134" s="20">
        <v>64.92</v>
      </c>
      <c r="H134" s="20">
        <f t="shared" si="6"/>
        <v>32.737375</v>
      </c>
      <c r="I134" s="5"/>
      <c r="J134" s="19">
        <v>916.8048</v>
      </c>
      <c r="K134" s="20">
        <v>32.348999999999997</v>
      </c>
      <c r="L134" s="20">
        <v>36.9099</v>
      </c>
      <c r="M134" s="20">
        <v>39.110199999999999</v>
      </c>
      <c r="N134" s="20">
        <v>88.235299999999995</v>
      </c>
      <c r="O134" s="20">
        <f t="shared" si="7"/>
        <v>33.764262500000001</v>
      </c>
      <c r="P134" s="7"/>
      <c r="Q134" s="13"/>
      <c r="R134" s="14"/>
      <c r="S134" s="14"/>
      <c r="T134" s="27"/>
      <c r="U134" s="28">
        <f t="shared" si="8"/>
        <v>0.35913894023413423</v>
      </c>
    </row>
    <row r="135" spans="1:21" x14ac:dyDescent="0.25">
      <c r="B135" s="6" t="s">
        <v>47</v>
      </c>
      <c r="C135" s="15">
        <v>4760.0185549999997</v>
      </c>
      <c r="D135" s="16">
        <v>28.39</v>
      </c>
      <c r="E135" s="16">
        <v>38.631999999999998</v>
      </c>
      <c r="F135" s="16">
        <v>39.74</v>
      </c>
      <c r="G135" s="16">
        <v>39.31</v>
      </c>
      <c r="H135" s="16">
        <f t="shared" si="6"/>
        <v>31.089000000000002</v>
      </c>
      <c r="I135" s="5"/>
      <c r="J135" s="15">
        <v>4065.6992</v>
      </c>
      <c r="K135" s="16">
        <v>29.452100000000002</v>
      </c>
      <c r="L135" s="16">
        <v>39.308</v>
      </c>
      <c r="M135" s="16">
        <v>40.256999999999998</v>
      </c>
      <c r="N135" s="16">
        <v>43.516100000000002</v>
      </c>
      <c r="O135" s="16">
        <f t="shared" si="7"/>
        <v>32.034700000000001</v>
      </c>
      <c r="P135" s="7"/>
      <c r="Q135" s="8">
        <f>bdrate(C135:C138,D135:D138,J135:J138,K135:K138)</f>
        <v>-0.28020747158360648</v>
      </c>
      <c r="R135" s="8">
        <f>bdrate(C135:C138,E135:E138,J135:J138,L135:L138)</f>
        <v>-0.53271211445045119</v>
      </c>
      <c r="S135" s="8">
        <f>bdrate(C135:C138,F135:F138,J135:J138,M135:M138)</f>
        <v>-0.53892451401246011</v>
      </c>
      <c r="T135" s="25">
        <f>bdrate(C135:C138,H135:H138,J135:J138,O135:O138)</f>
        <v>-0.31697840003904498</v>
      </c>
      <c r="U135" s="28">
        <f t="shared" si="8"/>
        <v>0.10699821928262526</v>
      </c>
    </row>
    <row r="136" spans="1:21" x14ac:dyDescent="0.25">
      <c r="B136" s="9"/>
      <c r="C136" s="17">
        <v>3910.8085940000001</v>
      </c>
      <c r="D136" s="18">
        <v>27.646000000000001</v>
      </c>
      <c r="E136" s="18">
        <v>38.040999999999997</v>
      </c>
      <c r="F136" s="18">
        <v>39.137</v>
      </c>
      <c r="G136" s="18">
        <v>45.64</v>
      </c>
      <c r="H136" s="18">
        <f t="shared" si="6"/>
        <v>30.38175</v>
      </c>
      <c r="I136" s="5"/>
      <c r="J136" s="17">
        <v>3031.1792</v>
      </c>
      <c r="K136" s="18">
        <v>28.114699999999999</v>
      </c>
      <c r="L136" s="18">
        <v>38.8444</v>
      </c>
      <c r="M136" s="18">
        <v>39.823599999999999</v>
      </c>
      <c r="N136" s="18">
        <v>49.570399999999999</v>
      </c>
      <c r="O136" s="18">
        <f t="shared" si="7"/>
        <v>30.919525</v>
      </c>
      <c r="P136" s="7"/>
      <c r="Q136" s="10"/>
      <c r="R136" s="11"/>
      <c r="S136" s="11"/>
      <c r="T136" s="26"/>
      <c r="U136" s="28">
        <f t="shared" si="8"/>
        <v>8.6117440841367188E-2</v>
      </c>
    </row>
    <row r="137" spans="1:21" x14ac:dyDescent="0.25">
      <c r="B137" s="9"/>
      <c r="C137" s="17">
        <v>3317.53125</v>
      </c>
      <c r="D137" s="18">
        <v>27.271000000000001</v>
      </c>
      <c r="E137" s="18">
        <v>37.456000000000003</v>
      </c>
      <c r="F137" s="18">
        <v>38.442</v>
      </c>
      <c r="G137" s="18">
        <v>45.65</v>
      </c>
      <c r="H137" s="18">
        <f t="shared" si="6"/>
        <v>29.9405</v>
      </c>
      <c r="I137" s="5"/>
      <c r="J137" s="17">
        <v>2019.7072000000001</v>
      </c>
      <c r="K137" s="18">
        <v>26.331700000000001</v>
      </c>
      <c r="L137" s="18">
        <v>38.118699999999997</v>
      </c>
      <c r="M137" s="18">
        <v>39.212600000000002</v>
      </c>
      <c r="N137" s="18">
        <v>59.358899999999998</v>
      </c>
      <c r="O137" s="18">
        <f t="shared" si="7"/>
        <v>29.415187500000002</v>
      </c>
      <c r="P137" s="7"/>
      <c r="Q137" s="10"/>
      <c r="R137" s="11"/>
      <c r="S137" s="11"/>
      <c r="T137" s="26"/>
      <c r="U137" s="28">
        <f t="shared" si="8"/>
        <v>0.30030449069003284</v>
      </c>
    </row>
    <row r="138" spans="1:21" ht="16.5" thickBot="1" x14ac:dyDescent="0.3">
      <c r="B138" s="12"/>
      <c r="C138" s="19">
        <v>2839.109375</v>
      </c>
      <c r="D138" s="20">
        <v>26.760999999999999</v>
      </c>
      <c r="E138" s="20">
        <v>36.472999999999999</v>
      </c>
      <c r="F138" s="20">
        <v>37.152000000000001</v>
      </c>
      <c r="G138" s="20">
        <v>45.43</v>
      </c>
      <c r="H138" s="20">
        <f t="shared" si="6"/>
        <v>29.273874999999997</v>
      </c>
      <c r="I138" s="5"/>
      <c r="J138" s="19">
        <v>1139.0224000000001</v>
      </c>
      <c r="K138" s="20">
        <v>24.173200000000001</v>
      </c>
      <c r="L138" s="20">
        <v>36.592700000000001</v>
      </c>
      <c r="M138" s="20">
        <v>37.866</v>
      </c>
      <c r="N138" s="20">
        <v>72.289199999999994</v>
      </c>
      <c r="O138" s="20">
        <f t="shared" si="7"/>
        <v>27.437237500000002</v>
      </c>
      <c r="P138" s="7"/>
      <c r="Q138" s="13"/>
      <c r="R138" s="14"/>
      <c r="S138" s="14"/>
      <c r="T138" s="27"/>
      <c r="U138" s="28">
        <f t="shared" si="8"/>
        <v>0.59122165969623586</v>
      </c>
    </row>
    <row r="139" spans="1:21" x14ac:dyDescent="0.25">
      <c r="A139" s="6" t="s">
        <v>37</v>
      </c>
      <c r="B139" s="6" t="s">
        <v>48</v>
      </c>
      <c r="C139" s="15">
        <v>2281.7998050000001</v>
      </c>
      <c r="D139" s="16">
        <v>37.85</v>
      </c>
      <c r="E139" s="16">
        <v>41.279000000000003</v>
      </c>
      <c r="F139" s="16">
        <v>42.430999999999997</v>
      </c>
      <c r="G139" s="16">
        <v>78.88</v>
      </c>
      <c r="H139" s="16">
        <f t="shared" si="6"/>
        <v>38.85125</v>
      </c>
      <c r="I139" s="5"/>
      <c r="J139" s="15">
        <v>2379.8575999999998</v>
      </c>
      <c r="K139" s="16">
        <v>39.062899999999999</v>
      </c>
      <c r="L139" s="16">
        <v>41.921999999999997</v>
      </c>
      <c r="M139" s="16">
        <v>43.255400000000002</v>
      </c>
      <c r="N139" s="16">
        <v>112.2544</v>
      </c>
      <c r="O139" s="16">
        <f t="shared" si="7"/>
        <v>39.94435</v>
      </c>
      <c r="P139" s="7"/>
      <c r="Q139" s="8">
        <f>bdrate(C139:C142,D139:D142,J139:J142,K139:K142)</f>
        <v>-0.34553052221996106</v>
      </c>
      <c r="R139" s="8">
        <f>bdrate(C139:C142,E139:E142,J139:J142,L139:L142)</f>
        <v>-0.34457163749289554</v>
      </c>
      <c r="S139" s="8">
        <f>bdrate(C139:C142,F139:F142,J139:J142,M139:M142)</f>
        <v>-0.37788455526394704</v>
      </c>
      <c r="T139" s="25">
        <f>bdrate(C139:C142,H139:H142,J139:J142,O139:O142)</f>
        <v>-0.34844643360903405</v>
      </c>
      <c r="U139" s="28">
        <f t="shared" si="8"/>
        <v>0.42310344827586222</v>
      </c>
    </row>
    <row r="140" spans="1:21" x14ac:dyDescent="0.25">
      <c r="A140" s="9" t="s">
        <v>38</v>
      </c>
      <c r="B140" s="9"/>
      <c r="C140" s="17">
        <v>1552.663086</v>
      </c>
      <c r="D140" s="18">
        <v>36.466999999999999</v>
      </c>
      <c r="E140" s="18">
        <v>40.569000000000003</v>
      </c>
      <c r="F140" s="18">
        <v>41.66</v>
      </c>
      <c r="G140" s="18">
        <v>88.17</v>
      </c>
      <c r="H140" s="18">
        <f t="shared" si="6"/>
        <v>37.628874999999994</v>
      </c>
      <c r="I140" s="5"/>
      <c r="J140" s="17">
        <v>1575.9392</v>
      </c>
      <c r="K140" s="18">
        <v>37.814</v>
      </c>
      <c r="L140" s="18">
        <v>41.228000000000002</v>
      </c>
      <c r="M140" s="18">
        <v>42.464399999999998</v>
      </c>
      <c r="N140" s="18">
        <v>125.13030000000001</v>
      </c>
      <c r="O140" s="18">
        <f t="shared" si="7"/>
        <v>38.822050000000004</v>
      </c>
      <c r="P140" s="7"/>
      <c r="Q140" s="10"/>
      <c r="R140" s="11"/>
      <c r="S140" s="11"/>
      <c r="T140" s="26"/>
      <c r="U140" s="28">
        <f t="shared" si="8"/>
        <v>0.41919360326641719</v>
      </c>
    </row>
    <row r="141" spans="1:21" x14ac:dyDescent="0.25">
      <c r="B141" s="9"/>
      <c r="C141" s="17">
        <v>990.92285159999994</v>
      </c>
      <c r="D141" s="18">
        <v>34.659999999999997</v>
      </c>
      <c r="E141" s="18">
        <v>39.633000000000003</v>
      </c>
      <c r="F141" s="18">
        <v>40.633000000000003</v>
      </c>
      <c r="G141" s="18">
        <v>96.67</v>
      </c>
      <c r="H141" s="18">
        <f t="shared" si="6"/>
        <v>36.02825</v>
      </c>
      <c r="I141" s="5"/>
      <c r="J141" s="17">
        <v>963.49120000000005</v>
      </c>
      <c r="K141" s="18">
        <v>36.228999999999999</v>
      </c>
      <c r="L141" s="18">
        <v>40.428800000000003</v>
      </c>
      <c r="M141" s="18">
        <v>41.600999999999999</v>
      </c>
      <c r="N141" s="18">
        <v>142.4332</v>
      </c>
      <c r="O141" s="18">
        <f t="shared" si="7"/>
        <v>37.425474999999999</v>
      </c>
      <c r="P141" s="7"/>
      <c r="Q141" s="10"/>
      <c r="R141" s="11"/>
      <c r="S141" s="11"/>
      <c r="T141" s="26"/>
      <c r="U141" s="28">
        <f t="shared" si="8"/>
        <v>0.47339608979000719</v>
      </c>
    </row>
    <row r="142" spans="1:21" ht="16.5" thickBot="1" x14ac:dyDescent="0.3">
      <c r="B142" s="12"/>
      <c r="C142" s="19">
        <v>626.93359380000004</v>
      </c>
      <c r="D142" s="20">
        <v>32.344000000000001</v>
      </c>
      <c r="E142" s="20">
        <v>38.564999999999998</v>
      </c>
      <c r="F142" s="20">
        <v>39.645000000000003</v>
      </c>
      <c r="G142" s="20">
        <v>107.91</v>
      </c>
      <c r="H142" s="20">
        <f t="shared" si="6"/>
        <v>34.03425</v>
      </c>
      <c r="I142" s="5"/>
      <c r="J142" s="19">
        <v>559.0136</v>
      </c>
      <c r="K142" s="20">
        <v>34.3902</v>
      </c>
      <c r="L142" s="20">
        <v>39.667999999999999</v>
      </c>
      <c r="M142" s="20">
        <v>40.888100000000001</v>
      </c>
      <c r="N142" s="20">
        <v>165.4032</v>
      </c>
      <c r="O142" s="20">
        <f t="shared" si="7"/>
        <v>35.862162500000004</v>
      </c>
      <c r="P142" s="7"/>
      <c r="Q142" s="13"/>
      <c r="R142" s="14"/>
      <c r="S142" s="14"/>
      <c r="T142" s="27"/>
      <c r="U142" s="28">
        <f t="shared" si="8"/>
        <v>0.53278843480678351</v>
      </c>
    </row>
    <row r="143" spans="1:21" x14ac:dyDescent="0.25">
      <c r="B143" s="6" t="s">
        <v>49</v>
      </c>
      <c r="C143" s="15">
        <v>2502.9033199999999</v>
      </c>
      <c r="D143" s="16">
        <v>34.609000000000002</v>
      </c>
      <c r="E143" s="16">
        <v>38.759</v>
      </c>
      <c r="F143" s="16">
        <v>40.034999999999997</v>
      </c>
      <c r="G143" s="16">
        <v>79.3</v>
      </c>
      <c r="H143" s="16">
        <f t="shared" si="6"/>
        <v>35.805999999999997</v>
      </c>
      <c r="I143" s="5"/>
      <c r="J143" s="15">
        <v>2481.3296</v>
      </c>
      <c r="K143" s="16">
        <v>36.008000000000003</v>
      </c>
      <c r="L143" s="16">
        <v>39.948999999999998</v>
      </c>
      <c r="M143" s="16">
        <v>41.1586</v>
      </c>
      <c r="N143" s="16">
        <v>102.5641</v>
      </c>
      <c r="O143" s="16">
        <f t="shared" si="7"/>
        <v>37.144449999999999</v>
      </c>
      <c r="P143" s="7"/>
      <c r="Q143" s="8">
        <f>bdrate(C143:C146,D143:D146,J143:J146,K143:K146)</f>
        <v>-0.32050365259953728</v>
      </c>
      <c r="R143" s="8">
        <f>bdrate(C143:C146,E143:E146,J143:J146,L143:L146)</f>
        <v>-0.46384327895330002</v>
      </c>
      <c r="S143" s="8">
        <f>bdrate(C143:C146,F143:F146,J143:J146,M143:M146)</f>
        <v>-0.46098438439158673</v>
      </c>
      <c r="T143" s="25">
        <f>bdrate(C143:C146,H143:H146,J143:J146,O143:O146)</f>
        <v>-0.34587989036115652</v>
      </c>
      <c r="U143" s="28">
        <f t="shared" si="8"/>
        <v>0.29336822194199241</v>
      </c>
    </row>
    <row r="144" spans="1:21" x14ac:dyDescent="0.25">
      <c r="B144" s="9"/>
      <c r="C144" s="17">
        <v>1692.1357419999999</v>
      </c>
      <c r="D144" s="18">
        <v>33.548999999999999</v>
      </c>
      <c r="E144" s="18">
        <v>38.036999999999999</v>
      </c>
      <c r="F144" s="18">
        <v>39.396000000000001</v>
      </c>
      <c r="G144" s="18">
        <v>89.01</v>
      </c>
      <c r="H144" s="18">
        <f t="shared" si="6"/>
        <v>34.840874999999997</v>
      </c>
      <c r="I144" s="5"/>
      <c r="J144" s="17">
        <v>1653.3712</v>
      </c>
      <c r="K144" s="18">
        <v>34.735799999999998</v>
      </c>
      <c r="L144" s="18">
        <v>39.166499999999999</v>
      </c>
      <c r="M144" s="18">
        <v>40.404600000000002</v>
      </c>
      <c r="N144" s="18">
        <v>118.3432</v>
      </c>
      <c r="O144" s="18">
        <f t="shared" si="7"/>
        <v>35.998237500000002</v>
      </c>
      <c r="P144" s="7"/>
      <c r="Q144" s="10"/>
      <c r="R144" s="11"/>
      <c r="S144" s="11"/>
      <c r="T144" s="26"/>
      <c r="U144" s="28">
        <f t="shared" si="8"/>
        <v>0.32954948882148061</v>
      </c>
    </row>
    <row r="145" spans="1:21" x14ac:dyDescent="0.25">
      <c r="B145" s="9"/>
      <c r="C145" s="17">
        <v>1049.2460940000001</v>
      </c>
      <c r="D145" s="18">
        <v>32.234000000000002</v>
      </c>
      <c r="E145" s="18">
        <v>37.162999999999997</v>
      </c>
      <c r="F145" s="18">
        <v>38.703000000000003</v>
      </c>
      <c r="G145" s="18">
        <v>93.78</v>
      </c>
      <c r="H145" s="18">
        <f t="shared" si="6"/>
        <v>33.658749999999998</v>
      </c>
      <c r="I145" s="5"/>
      <c r="J145" s="17">
        <v>1017.412</v>
      </c>
      <c r="K145" s="18">
        <v>33.218400000000003</v>
      </c>
      <c r="L145" s="18">
        <v>38.2346</v>
      </c>
      <c r="M145" s="18">
        <v>39.548999999999999</v>
      </c>
      <c r="N145" s="18">
        <v>139.86009999999999</v>
      </c>
      <c r="O145" s="18">
        <f t="shared" si="7"/>
        <v>34.636749999999999</v>
      </c>
      <c r="P145" s="7"/>
      <c r="Q145" s="10"/>
      <c r="R145" s="11"/>
      <c r="S145" s="11"/>
      <c r="T145" s="26"/>
      <c r="U145" s="28">
        <f t="shared" si="8"/>
        <v>0.4913638302409894</v>
      </c>
    </row>
    <row r="146" spans="1:21" ht="16.5" thickBot="1" x14ac:dyDescent="0.3">
      <c r="B146" s="12"/>
      <c r="C146" s="19">
        <v>625.03710939999996</v>
      </c>
      <c r="D146" s="20">
        <v>30.727</v>
      </c>
      <c r="E146" s="20">
        <v>36.264000000000003</v>
      </c>
      <c r="F146" s="20">
        <v>38.034999999999997</v>
      </c>
      <c r="G146" s="20">
        <v>101.29</v>
      </c>
      <c r="H146" s="20">
        <f t="shared" si="6"/>
        <v>32.332625</v>
      </c>
      <c r="I146" s="5"/>
      <c r="J146" s="19">
        <v>581.43759999999997</v>
      </c>
      <c r="K146" s="20">
        <v>31.517900000000001</v>
      </c>
      <c r="L146" s="20">
        <v>37.255800000000001</v>
      </c>
      <c r="M146" s="20">
        <v>38.785200000000003</v>
      </c>
      <c r="N146" s="20">
        <v>165.4032</v>
      </c>
      <c r="O146" s="20">
        <f t="shared" si="7"/>
        <v>33.143550000000005</v>
      </c>
      <c r="P146" s="7"/>
      <c r="Q146" s="13"/>
      <c r="R146" s="14"/>
      <c r="S146" s="14"/>
      <c r="T146" s="27"/>
      <c r="U146" s="28">
        <f t="shared" si="8"/>
        <v>0.63296672919340491</v>
      </c>
    </row>
    <row r="147" spans="1:21" x14ac:dyDescent="0.25">
      <c r="B147" s="6" t="s">
        <v>50</v>
      </c>
      <c r="C147" s="15">
        <v>2448.1640630000002</v>
      </c>
      <c r="D147" s="16">
        <v>32.728999999999999</v>
      </c>
      <c r="E147" s="16">
        <v>37.518999999999998</v>
      </c>
      <c r="F147" s="16">
        <v>38.883000000000003</v>
      </c>
      <c r="G147" s="16">
        <v>83.93</v>
      </c>
      <c r="H147" s="16">
        <f t="shared" si="6"/>
        <v>34.097000000000001</v>
      </c>
      <c r="I147" s="5"/>
      <c r="J147" s="15">
        <v>2410.0423999999998</v>
      </c>
      <c r="K147" s="16">
        <v>34.0212</v>
      </c>
      <c r="L147" s="16">
        <v>38.170099999999998</v>
      </c>
      <c r="M147" s="16">
        <v>40.130000000000003</v>
      </c>
      <c r="N147" s="16">
        <v>139.9384</v>
      </c>
      <c r="O147" s="16">
        <f t="shared" si="7"/>
        <v>35.3034125</v>
      </c>
      <c r="P147" s="7"/>
      <c r="Q147" s="8">
        <f>bdrate(C147:C150,D147:D150,J147:J150,K147:K150)</f>
        <v>-0.37084533618886928</v>
      </c>
      <c r="R147" s="8">
        <f>bdrate(C147:C150,E147:E150,J147:J150,L147:L150)</f>
        <v>-0.48772873326822086</v>
      </c>
      <c r="S147" s="8">
        <f>bdrate(C147:C150,F147:F150,J147:J150,M147:M150)</f>
        <v>-0.50767158394307543</v>
      </c>
      <c r="T147" s="25">
        <f>bdrate(C147:C150,H147:H150,J147:J150,O147:O150)</f>
        <v>-0.3956846554502722</v>
      </c>
      <c r="U147" s="28">
        <f t="shared" si="8"/>
        <v>0.667322768974145</v>
      </c>
    </row>
    <row r="148" spans="1:21" x14ac:dyDescent="0.25">
      <c r="B148" s="9"/>
      <c r="C148" s="17">
        <v>1638.609375</v>
      </c>
      <c r="D148" s="18">
        <v>31.407</v>
      </c>
      <c r="E148" s="18">
        <v>36.804000000000002</v>
      </c>
      <c r="F148" s="18">
        <v>37.72</v>
      </c>
      <c r="G148" s="18">
        <v>95.55</v>
      </c>
      <c r="H148" s="18">
        <f t="shared" si="6"/>
        <v>32.870750000000001</v>
      </c>
      <c r="I148" s="5"/>
      <c r="J148" s="17">
        <v>1605.8871999999999</v>
      </c>
      <c r="K148" s="18">
        <v>32.808900000000001</v>
      </c>
      <c r="L148" s="18">
        <v>37.694800000000001</v>
      </c>
      <c r="M148" s="18">
        <v>39.292700000000004</v>
      </c>
      <c r="N148" s="18">
        <v>162.70750000000001</v>
      </c>
      <c r="O148" s="18">
        <f t="shared" si="7"/>
        <v>34.230112500000004</v>
      </c>
      <c r="P148" s="7"/>
      <c r="Q148" s="10"/>
      <c r="R148" s="11"/>
      <c r="S148" s="11"/>
      <c r="T148" s="26"/>
      <c r="U148" s="28">
        <f t="shared" si="8"/>
        <v>0.70285190999476732</v>
      </c>
    </row>
    <row r="149" spans="1:21" x14ac:dyDescent="0.25">
      <c r="B149" s="9"/>
      <c r="C149" s="17">
        <v>1051.430664</v>
      </c>
      <c r="D149" s="18">
        <v>29.625</v>
      </c>
      <c r="E149" s="18">
        <v>35.744999999999997</v>
      </c>
      <c r="F149" s="18">
        <v>36.15</v>
      </c>
      <c r="G149" s="18">
        <v>107.87</v>
      </c>
      <c r="H149" s="18">
        <f t="shared" si="6"/>
        <v>31.205625000000001</v>
      </c>
      <c r="I149" s="5"/>
      <c r="J149" s="17">
        <v>1002.3216</v>
      </c>
      <c r="K149" s="18">
        <v>31.229399999999998</v>
      </c>
      <c r="L149" s="18">
        <v>37.074399999999997</v>
      </c>
      <c r="M149" s="18">
        <v>38.260399999999997</v>
      </c>
      <c r="N149" s="18">
        <v>185.32249999999999</v>
      </c>
      <c r="O149" s="18">
        <f t="shared" si="7"/>
        <v>32.838899999999995</v>
      </c>
      <c r="P149" s="7"/>
      <c r="Q149" s="10"/>
      <c r="R149" s="11"/>
      <c r="S149" s="11"/>
      <c r="T149" s="26"/>
      <c r="U149" s="28">
        <f t="shared" si="8"/>
        <v>0.71801705756929624</v>
      </c>
    </row>
    <row r="150" spans="1:21" ht="16.5" thickBot="1" x14ac:dyDescent="0.3">
      <c r="B150" s="12"/>
      <c r="C150" s="19">
        <v>845.1796875</v>
      </c>
      <c r="D150" s="20">
        <v>28.719000000000001</v>
      </c>
      <c r="E150" s="20">
        <v>35.008000000000003</v>
      </c>
      <c r="F150" s="20">
        <v>35.075000000000003</v>
      </c>
      <c r="G150" s="20">
        <v>107.99</v>
      </c>
      <c r="H150" s="20">
        <f t="shared" si="6"/>
        <v>30.299625000000006</v>
      </c>
      <c r="I150" s="5"/>
      <c r="J150" s="19">
        <v>596.05359999999996</v>
      </c>
      <c r="K150" s="20">
        <v>29.463000000000001</v>
      </c>
      <c r="L150" s="20">
        <v>36.367699999999999</v>
      </c>
      <c r="M150" s="20">
        <v>37.1569</v>
      </c>
      <c r="N150" s="20">
        <v>210.88149999999999</v>
      </c>
      <c r="O150" s="20">
        <f t="shared" si="7"/>
        <v>31.287825000000005</v>
      </c>
      <c r="P150" s="7"/>
      <c r="Q150" s="13"/>
      <c r="R150" s="14"/>
      <c r="S150" s="14"/>
      <c r="T150" s="27"/>
      <c r="U150" s="28">
        <f t="shared" si="8"/>
        <v>0.95278729511991844</v>
      </c>
    </row>
    <row r="151" spans="1:21" x14ac:dyDescent="0.25">
      <c r="B151" s="6" t="s">
        <v>51</v>
      </c>
      <c r="C151" s="29">
        <v>2488.053711</v>
      </c>
      <c r="D151" s="30">
        <v>32.409999999999997</v>
      </c>
      <c r="E151" s="30">
        <v>38.899000000000001</v>
      </c>
      <c r="F151" s="30">
        <v>37.981999999999999</v>
      </c>
      <c r="G151" s="16">
        <v>86.3</v>
      </c>
      <c r="H151" s="16">
        <f t="shared" si="6"/>
        <v>33.917625000000001</v>
      </c>
      <c r="I151" s="5"/>
      <c r="J151" s="29">
        <v>2413.5639999999999</v>
      </c>
      <c r="K151" s="30">
        <v>33.969700000000003</v>
      </c>
      <c r="L151" s="30">
        <v>40.327100000000002</v>
      </c>
      <c r="M151" s="30">
        <v>39.897399999999998</v>
      </c>
      <c r="N151" s="16">
        <v>120.9482</v>
      </c>
      <c r="O151" s="16">
        <f t="shared" si="7"/>
        <v>35.505337500000003</v>
      </c>
      <c r="P151" s="7"/>
      <c r="Q151" s="8">
        <f>bdrate(C151:C154,D151:D154,J151:J154,K151:K154)</f>
        <v>-0.42447458241215541</v>
      </c>
      <c r="R151" s="8">
        <f>bdrate(C151:C154,E151:E154,J151:J154,L151:L154)</f>
        <v>-0.60106100944148266</v>
      </c>
      <c r="S151" s="8">
        <f>bdrate(C151:C154,F151:F154,J151:J154,M151:M154)</f>
        <v>-0.59139353339302814</v>
      </c>
      <c r="T151" s="25">
        <f>bdrate(C151:C154,H151:H154,J151:J154,O151:O154)</f>
        <v>-0.46256260204200328</v>
      </c>
      <c r="U151" s="28">
        <f t="shared" si="8"/>
        <v>0.40148551564310547</v>
      </c>
    </row>
    <row r="152" spans="1:21" x14ac:dyDescent="0.25">
      <c r="B152" s="9"/>
      <c r="C152" s="31">
        <v>1708.2851559999999</v>
      </c>
      <c r="D152" s="32">
        <v>30.864000000000001</v>
      </c>
      <c r="E152" s="32">
        <v>37.722000000000001</v>
      </c>
      <c r="F152" s="32">
        <v>36.600999999999999</v>
      </c>
      <c r="G152" s="18">
        <v>100.16</v>
      </c>
      <c r="H152" s="18">
        <f t="shared" si="6"/>
        <v>32.438375000000001</v>
      </c>
      <c r="I152" s="5"/>
      <c r="J152" s="31">
        <v>1607.3152</v>
      </c>
      <c r="K152" s="32">
        <v>32.576700000000002</v>
      </c>
      <c r="L152" s="32">
        <v>39.596499999999999</v>
      </c>
      <c r="M152" s="32">
        <v>38.950899999999997</v>
      </c>
      <c r="N152" s="18">
        <v>135.2448</v>
      </c>
      <c r="O152" s="18">
        <f t="shared" si="7"/>
        <v>34.250950000000003</v>
      </c>
      <c r="P152" s="7"/>
      <c r="Q152" s="10"/>
      <c r="R152" s="11"/>
      <c r="S152" s="11"/>
      <c r="T152" s="26"/>
      <c r="U152" s="28">
        <f t="shared" si="8"/>
        <v>0.35028753993610229</v>
      </c>
    </row>
    <row r="153" spans="1:21" x14ac:dyDescent="0.25">
      <c r="B153" s="9"/>
      <c r="C153" s="31">
        <v>1283.7607419999999</v>
      </c>
      <c r="D153" s="32">
        <v>29.390999999999998</v>
      </c>
      <c r="E153" s="32">
        <v>36.673000000000002</v>
      </c>
      <c r="F153" s="32">
        <v>35.308</v>
      </c>
      <c r="G153" s="18">
        <v>109.8</v>
      </c>
      <c r="H153" s="18">
        <f t="shared" si="6"/>
        <v>31.040875</v>
      </c>
      <c r="I153" s="5"/>
      <c r="J153" s="31">
        <v>998.91039999999998</v>
      </c>
      <c r="K153" s="32">
        <v>30.8139</v>
      </c>
      <c r="L153" s="32">
        <v>38.7361</v>
      </c>
      <c r="M153" s="32">
        <v>37.775300000000001</v>
      </c>
      <c r="N153" s="18">
        <v>165.2346</v>
      </c>
      <c r="O153" s="18">
        <f t="shared" si="7"/>
        <v>32.674349999999997</v>
      </c>
      <c r="P153" s="7"/>
      <c r="Q153" s="10"/>
      <c r="R153" s="11"/>
      <c r="S153" s="11"/>
      <c r="T153" s="26"/>
      <c r="U153" s="28">
        <f t="shared" si="8"/>
        <v>0.50486885245901647</v>
      </c>
    </row>
    <row r="154" spans="1:21" ht="16.5" thickBot="1" x14ac:dyDescent="0.3">
      <c r="B154" s="12"/>
      <c r="C154" s="33">
        <v>1074.140625</v>
      </c>
      <c r="D154" s="34">
        <v>28.733000000000001</v>
      </c>
      <c r="E154" s="34">
        <v>35.667000000000002</v>
      </c>
      <c r="F154" s="34">
        <v>34.465000000000003</v>
      </c>
      <c r="G154" s="20">
        <v>109.13</v>
      </c>
      <c r="H154" s="20">
        <f t="shared" si="6"/>
        <v>30.31625</v>
      </c>
      <c r="I154" s="5"/>
      <c r="J154" s="33">
        <v>598.96320000000003</v>
      </c>
      <c r="K154" s="34">
        <v>28.943000000000001</v>
      </c>
      <c r="L154" s="34">
        <v>37.488700000000001</v>
      </c>
      <c r="M154" s="34">
        <v>36.158900000000003</v>
      </c>
      <c r="N154" s="20">
        <v>191.93860000000001</v>
      </c>
      <c r="O154" s="20">
        <f t="shared" si="7"/>
        <v>30.913200000000003</v>
      </c>
      <c r="P154" s="7"/>
      <c r="Q154" s="13"/>
      <c r="R154" s="14"/>
      <c r="S154" s="14"/>
      <c r="T154" s="27"/>
      <c r="U154" s="28">
        <f t="shared" si="8"/>
        <v>0.75880692751763967</v>
      </c>
    </row>
    <row r="155" spans="1:21" x14ac:dyDescent="0.25">
      <c r="B155" s="6" t="s">
        <v>52</v>
      </c>
      <c r="C155" s="15">
        <v>2999.4423830000001</v>
      </c>
      <c r="D155" s="16">
        <v>31.907</v>
      </c>
      <c r="E155" s="16">
        <v>38.835000000000001</v>
      </c>
      <c r="F155" s="16">
        <v>41.375</v>
      </c>
      <c r="G155" s="16">
        <v>92.29</v>
      </c>
      <c r="H155" s="16">
        <f t="shared" si="6"/>
        <v>33.956500000000005</v>
      </c>
      <c r="I155" s="5"/>
      <c r="J155" s="15">
        <v>2414.5848000000001</v>
      </c>
      <c r="K155" s="16">
        <v>33.574199999999998</v>
      </c>
      <c r="L155" s="16">
        <v>39.790799999999997</v>
      </c>
      <c r="M155" s="16">
        <v>42.293199999999999</v>
      </c>
      <c r="N155" s="16">
        <v>150.2253</v>
      </c>
      <c r="O155" s="16">
        <f t="shared" si="7"/>
        <v>35.44115</v>
      </c>
      <c r="P155" s="7"/>
      <c r="Q155" s="8">
        <f>bdrate(C155:C158,D155:D158,J155:J158,K155:K158)</f>
        <v>-0.60958316987477046</v>
      </c>
      <c r="R155" s="8">
        <f>bdrate(C155:C158,E155:E158,J155:J158,L155:L158)</f>
        <v>-0.62423911009190902</v>
      </c>
      <c r="S155" s="8">
        <f>bdrate(C155:C158,F155:F158,J155:J158,M155:M158)</f>
        <v>-0.63228839147740179</v>
      </c>
      <c r="T155" s="25">
        <f>bdrate(C155:C158,H155:H158,J155:J158,O155:O158)</f>
        <v>-0.61394156736181238</v>
      </c>
      <c r="U155" s="28">
        <f t="shared" si="8"/>
        <v>0.6277527359410553</v>
      </c>
    </row>
    <row r="156" spans="1:21" x14ac:dyDescent="0.25">
      <c r="B156" s="9"/>
      <c r="C156" s="17">
        <v>2042.165039</v>
      </c>
      <c r="D156" s="18">
        <v>31.126000000000001</v>
      </c>
      <c r="E156" s="18">
        <v>38.286999999999999</v>
      </c>
      <c r="F156" s="18">
        <v>40.834000000000003</v>
      </c>
      <c r="G156" s="18">
        <v>103.1</v>
      </c>
      <c r="H156" s="18">
        <f t="shared" si="6"/>
        <v>33.234625000000001</v>
      </c>
      <c r="I156" s="5"/>
      <c r="J156" s="17">
        <v>1613.4824000000001</v>
      </c>
      <c r="K156" s="18">
        <v>32.866700000000002</v>
      </c>
      <c r="L156" s="18">
        <v>39.3063</v>
      </c>
      <c r="M156" s="18">
        <v>41.831899999999997</v>
      </c>
      <c r="N156" s="18">
        <v>167.22409999999999</v>
      </c>
      <c r="O156" s="18">
        <f t="shared" si="7"/>
        <v>34.792299999999997</v>
      </c>
      <c r="P156" s="7"/>
      <c r="Q156" s="10"/>
      <c r="R156" s="11"/>
      <c r="S156" s="11"/>
      <c r="T156" s="26"/>
      <c r="U156" s="28">
        <f t="shared" si="8"/>
        <v>0.62196023278370516</v>
      </c>
    </row>
    <row r="157" spans="1:21" x14ac:dyDescent="0.25">
      <c r="B157" s="9"/>
      <c r="C157" s="17">
        <v>1275.4882809999999</v>
      </c>
      <c r="D157" s="18">
        <v>29.904</v>
      </c>
      <c r="E157" s="18">
        <v>37.54</v>
      </c>
      <c r="F157" s="18">
        <v>40.036999999999999</v>
      </c>
      <c r="G157" s="18">
        <v>112.32</v>
      </c>
      <c r="H157" s="18">
        <f t="shared" si="6"/>
        <v>32.125124999999997</v>
      </c>
      <c r="I157" s="5"/>
      <c r="J157" s="17">
        <v>1027.6168</v>
      </c>
      <c r="K157" s="18">
        <v>31.773</v>
      </c>
      <c r="L157" s="18">
        <v>38.645899999999997</v>
      </c>
      <c r="M157" s="18">
        <v>41.221699999999998</v>
      </c>
      <c r="N157" s="18">
        <v>184.04910000000001</v>
      </c>
      <c r="O157" s="18">
        <f t="shared" si="7"/>
        <v>33.813200000000002</v>
      </c>
      <c r="P157" s="7"/>
      <c r="Q157" s="10"/>
      <c r="R157" s="11"/>
      <c r="S157" s="11"/>
      <c r="T157" s="26"/>
      <c r="U157" s="28">
        <f t="shared" si="8"/>
        <v>0.63861378205128227</v>
      </c>
    </row>
    <row r="158" spans="1:21" ht="16.5" thickBot="1" x14ac:dyDescent="0.3">
      <c r="B158" s="12"/>
      <c r="C158" s="19">
        <v>875.73828130000004</v>
      </c>
      <c r="D158" s="20">
        <v>28.49</v>
      </c>
      <c r="E158" s="20">
        <v>36.945999999999998</v>
      </c>
      <c r="F158" s="20">
        <v>39.24</v>
      </c>
      <c r="G158" s="20">
        <v>126.35</v>
      </c>
      <c r="H158" s="20">
        <f t="shared" si="6"/>
        <v>30.890750000000001</v>
      </c>
      <c r="I158" s="5"/>
      <c r="J158" s="19">
        <v>597.10559999999998</v>
      </c>
      <c r="K158" s="20">
        <v>30.3005</v>
      </c>
      <c r="L158" s="20">
        <v>38.066600000000001</v>
      </c>
      <c r="M158" s="20">
        <v>40.628300000000003</v>
      </c>
      <c r="N158" s="20">
        <v>207.90020000000001</v>
      </c>
      <c r="O158" s="20">
        <f t="shared" si="7"/>
        <v>32.562237500000002</v>
      </c>
      <c r="P158" s="7"/>
      <c r="Q158" s="13"/>
      <c r="R158" s="14"/>
      <c r="S158" s="14"/>
      <c r="T158" s="27"/>
      <c r="U158" s="28">
        <f t="shared" si="8"/>
        <v>0.64543094578551663</v>
      </c>
    </row>
    <row r="159" spans="1:21" x14ac:dyDescent="0.25">
      <c r="A159" s="6" t="s">
        <v>39</v>
      </c>
      <c r="B159" s="6" t="s">
        <v>53</v>
      </c>
      <c r="C159" s="15">
        <v>1244.3066409999999</v>
      </c>
      <c r="D159" s="16">
        <v>33.637999999999998</v>
      </c>
      <c r="E159" s="16">
        <v>37.978999999999999</v>
      </c>
      <c r="F159" s="16">
        <v>37.406999999999996</v>
      </c>
      <c r="G159" s="16">
        <v>248.77</v>
      </c>
      <c r="H159" s="16">
        <f t="shared" si="6"/>
        <v>34.651749999999993</v>
      </c>
      <c r="I159" s="5"/>
      <c r="J159" s="15">
        <v>1210.5583999999999</v>
      </c>
      <c r="K159" s="16">
        <v>34.966099999999997</v>
      </c>
      <c r="L159" s="16">
        <v>39.192500000000003</v>
      </c>
      <c r="M159" s="16">
        <v>39.061999999999998</v>
      </c>
      <c r="N159" s="16">
        <v>478.01150000000001</v>
      </c>
      <c r="O159" s="16">
        <f t="shared" si="7"/>
        <v>36.006387499999995</v>
      </c>
      <c r="P159" s="7"/>
      <c r="Q159" s="8">
        <f>bdrate(C159:C162,D159:D162,J159:J162,K159:K162)</f>
        <v>-0.28219007613160874</v>
      </c>
      <c r="R159" s="8">
        <f>bdrate(C159:C162,E159:E162,J159:J162,L159:L162)</f>
        <v>-0.3793218167579524</v>
      </c>
      <c r="S159" s="8">
        <f>bdrate(C159:C162,F159:F162,J159:J162,M159:M162)</f>
        <v>-0.43921755014562902</v>
      </c>
      <c r="T159" s="25">
        <f>bdrate(C159:C162,H159:H162,J159:J162,O159:O162)</f>
        <v>-0.31263211758236631</v>
      </c>
      <c r="U159" s="28">
        <f t="shared" si="8"/>
        <v>0.92149977891224821</v>
      </c>
    </row>
    <row r="160" spans="1:21" x14ac:dyDescent="0.25">
      <c r="A160" s="9" t="s">
        <v>40</v>
      </c>
      <c r="B160" s="9"/>
      <c r="C160" s="17">
        <v>835.79492189999996</v>
      </c>
      <c r="D160" s="18">
        <v>32.244</v>
      </c>
      <c r="E160" s="18">
        <v>36.884</v>
      </c>
      <c r="F160" s="18">
        <v>36.143000000000001</v>
      </c>
      <c r="G160" s="18">
        <v>296</v>
      </c>
      <c r="H160" s="18">
        <f t="shared" si="6"/>
        <v>33.311374999999998</v>
      </c>
      <c r="I160" s="5"/>
      <c r="J160" s="17">
        <v>805.48879999999997</v>
      </c>
      <c r="K160" s="18">
        <v>33.417700000000004</v>
      </c>
      <c r="L160" s="18">
        <v>38.041699999999999</v>
      </c>
      <c r="M160" s="18">
        <v>37.784700000000001</v>
      </c>
      <c r="N160" s="18">
        <v>572.08240000000001</v>
      </c>
      <c r="O160" s="18">
        <f t="shared" si="7"/>
        <v>34.541575000000002</v>
      </c>
      <c r="P160" s="7"/>
      <c r="Q160" s="10"/>
      <c r="R160" s="11"/>
      <c r="S160" s="11"/>
      <c r="T160" s="26"/>
      <c r="U160" s="28">
        <f t="shared" si="8"/>
        <v>0.93271081081081086</v>
      </c>
    </row>
    <row r="161" spans="1:21" x14ac:dyDescent="0.25">
      <c r="B161" s="9"/>
      <c r="C161" s="17">
        <v>523.65820310000004</v>
      </c>
      <c r="D161" s="18">
        <v>30.579000000000001</v>
      </c>
      <c r="E161" s="18">
        <v>35.462000000000003</v>
      </c>
      <c r="F161" s="18">
        <v>34.598999999999997</v>
      </c>
      <c r="G161" s="18">
        <v>328.9</v>
      </c>
      <c r="H161" s="18">
        <f t="shared" si="6"/>
        <v>31.691874999999996</v>
      </c>
      <c r="I161" s="5"/>
      <c r="J161" s="17">
        <v>501.49759999999998</v>
      </c>
      <c r="K161" s="18">
        <v>31.601400000000002</v>
      </c>
      <c r="L161" s="18">
        <v>36.7592</v>
      </c>
      <c r="M161" s="18">
        <v>36.334099999999999</v>
      </c>
      <c r="N161" s="18">
        <v>682.12819999999999</v>
      </c>
      <c r="O161" s="18">
        <f t="shared" si="7"/>
        <v>32.837712500000002</v>
      </c>
      <c r="P161" s="7"/>
      <c r="Q161" s="10"/>
      <c r="R161" s="11"/>
      <c r="S161" s="11"/>
      <c r="T161" s="26"/>
      <c r="U161" s="28">
        <f t="shared" si="8"/>
        <v>1.0739683794466404</v>
      </c>
    </row>
    <row r="162" spans="1:21" ht="16.5" thickBot="1" x14ac:dyDescent="0.3">
      <c r="B162" s="12"/>
      <c r="C162" s="19">
        <v>327.3515625</v>
      </c>
      <c r="D162" s="20">
        <v>28.786000000000001</v>
      </c>
      <c r="E162" s="20">
        <v>33.835999999999999</v>
      </c>
      <c r="F162" s="20">
        <v>32.923000000000002</v>
      </c>
      <c r="G162" s="20">
        <v>372.32</v>
      </c>
      <c r="H162" s="20">
        <f t="shared" si="6"/>
        <v>29.934375000000003</v>
      </c>
      <c r="I162" s="5"/>
      <c r="J162" s="19">
        <v>301.04880000000003</v>
      </c>
      <c r="K162" s="20">
        <v>29.6219</v>
      </c>
      <c r="L162" s="20">
        <v>35.378399999999999</v>
      </c>
      <c r="M162" s="20">
        <v>34.809199999999997</v>
      </c>
      <c r="N162" s="20">
        <v>844.59460000000001</v>
      </c>
      <c r="O162" s="20">
        <f t="shared" si="7"/>
        <v>30.989875000000001</v>
      </c>
      <c r="P162" s="7"/>
      <c r="Q162" s="13"/>
      <c r="R162" s="14"/>
      <c r="S162" s="14"/>
      <c r="T162" s="27"/>
      <c r="U162" s="28">
        <f t="shared" si="8"/>
        <v>1.268464224323163</v>
      </c>
    </row>
    <row r="163" spans="1:21" x14ac:dyDescent="0.25">
      <c r="B163" s="6" t="s">
        <v>54</v>
      </c>
      <c r="C163" s="15">
        <v>1336.654297</v>
      </c>
      <c r="D163" s="16">
        <v>33.154000000000003</v>
      </c>
      <c r="E163" s="16">
        <v>39.097000000000001</v>
      </c>
      <c r="F163" s="16">
        <v>39.798000000000002</v>
      </c>
      <c r="G163" s="16">
        <v>249.22</v>
      </c>
      <c r="H163" s="16">
        <f t="shared" si="6"/>
        <v>34.727375000000009</v>
      </c>
      <c r="I163" s="5"/>
      <c r="J163" s="15">
        <v>1233.4176</v>
      </c>
      <c r="K163" s="16">
        <v>35.1601</v>
      </c>
      <c r="L163" s="16">
        <v>40.493899999999996</v>
      </c>
      <c r="M163" s="16">
        <v>41.369500000000002</v>
      </c>
      <c r="N163" s="16">
        <v>486.61799999999999</v>
      </c>
      <c r="O163" s="16">
        <f t="shared" si="7"/>
        <v>36.603000000000002</v>
      </c>
      <c r="P163" s="7"/>
      <c r="Q163" s="8">
        <f>bdrate(C163:C166,D163:D166,J163:J166,K163:K166)</f>
        <v>-0.41245305294853518</v>
      </c>
      <c r="R163" s="8">
        <f>bdrate(C163:C166,E163:E166,J163:J166,L163:L166)</f>
        <v>-0.5098451522166505</v>
      </c>
      <c r="S163" s="8">
        <f>bdrate(C163:C166,F163:F166,J163:J166,M163:M166)</f>
        <v>-0.51069517418280985</v>
      </c>
      <c r="T163" s="25">
        <f>bdrate(C163:C166,H163:H166,J163:J166,O163:O166)</f>
        <v>-0.43265388861927256</v>
      </c>
      <c r="U163" s="28">
        <f t="shared" si="8"/>
        <v>0.95256399967899852</v>
      </c>
    </row>
    <row r="164" spans="1:21" x14ac:dyDescent="0.25">
      <c r="B164" s="9"/>
      <c r="C164" s="17">
        <v>905.265625</v>
      </c>
      <c r="D164" s="18">
        <v>31.795999999999999</v>
      </c>
      <c r="E164" s="18">
        <v>38.158000000000001</v>
      </c>
      <c r="F164" s="18">
        <v>38.695</v>
      </c>
      <c r="G164" s="18">
        <v>290.29000000000002</v>
      </c>
      <c r="H164" s="18">
        <f t="shared" si="6"/>
        <v>33.453625000000002</v>
      </c>
      <c r="I164" s="5"/>
      <c r="J164" s="17">
        <v>822.11680000000001</v>
      </c>
      <c r="K164" s="18">
        <v>33.591900000000003</v>
      </c>
      <c r="L164" s="18">
        <v>39.5565</v>
      </c>
      <c r="M164" s="18">
        <v>40.3309</v>
      </c>
      <c r="N164" s="18">
        <v>583.09040000000005</v>
      </c>
      <c r="O164" s="18">
        <f t="shared" si="7"/>
        <v>35.179850000000002</v>
      </c>
      <c r="P164" s="7"/>
      <c r="Q164" s="10"/>
      <c r="R164" s="11"/>
      <c r="S164" s="11"/>
      <c r="T164" s="26"/>
      <c r="U164" s="28">
        <f t="shared" si="8"/>
        <v>1.0086479038203175</v>
      </c>
    </row>
    <row r="165" spans="1:21" x14ac:dyDescent="0.25">
      <c r="B165" s="9"/>
      <c r="C165" s="17">
        <v>581.72265630000004</v>
      </c>
      <c r="D165" s="18">
        <v>30.183</v>
      </c>
      <c r="E165" s="18">
        <v>36.997</v>
      </c>
      <c r="F165" s="18">
        <v>37.408999999999999</v>
      </c>
      <c r="G165" s="18">
        <v>315.51</v>
      </c>
      <c r="H165" s="18">
        <f t="shared" si="6"/>
        <v>31.938000000000002</v>
      </c>
      <c r="I165" s="5"/>
      <c r="J165" s="17">
        <v>512.96799999999996</v>
      </c>
      <c r="K165" s="18">
        <v>31.685300000000002</v>
      </c>
      <c r="L165" s="18">
        <v>38.461300000000001</v>
      </c>
      <c r="M165" s="18">
        <v>39.059800000000003</v>
      </c>
      <c r="N165" s="18">
        <v>699.30070000000001</v>
      </c>
      <c r="O165" s="18">
        <f t="shared" si="7"/>
        <v>33.454112500000001</v>
      </c>
      <c r="P165" s="7"/>
      <c r="Q165" s="10"/>
      <c r="R165" s="11"/>
      <c r="S165" s="11"/>
      <c r="T165" s="26"/>
      <c r="U165" s="28">
        <f t="shared" si="8"/>
        <v>1.2164137428290704</v>
      </c>
    </row>
    <row r="166" spans="1:21" ht="16.5" thickBot="1" x14ac:dyDescent="0.3">
      <c r="B166" s="12"/>
      <c r="C166" s="19">
        <v>403.4052734</v>
      </c>
      <c r="D166" s="20">
        <v>28.648</v>
      </c>
      <c r="E166" s="20">
        <v>36.042000000000002</v>
      </c>
      <c r="F166" s="20">
        <v>36.325000000000003</v>
      </c>
      <c r="G166" s="20">
        <v>345.25</v>
      </c>
      <c r="H166" s="20">
        <f t="shared" si="6"/>
        <v>30.531874999999999</v>
      </c>
      <c r="I166" s="5"/>
      <c r="J166" s="19">
        <v>307.70319999999998</v>
      </c>
      <c r="K166" s="20">
        <v>29.611499999999999</v>
      </c>
      <c r="L166" s="20">
        <v>37.393000000000001</v>
      </c>
      <c r="M166" s="20">
        <v>37.819699999999997</v>
      </c>
      <c r="N166" s="20">
        <v>818.5539</v>
      </c>
      <c r="O166" s="20">
        <f t="shared" si="7"/>
        <v>31.610212499999996</v>
      </c>
      <c r="P166" s="7"/>
      <c r="Q166" s="13"/>
      <c r="R166" s="14"/>
      <c r="S166" s="14"/>
      <c r="T166" s="27"/>
      <c r="U166" s="28">
        <f t="shared" si="8"/>
        <v>1.3709019551049964</v>
      </c>
    </row>
    <row r="167" spans="1:21" x14ac:dyDescent="0.25">
      <c r="B167" s="6" t="s">
        <v>55</v>
      </c>
      <c r="C167" s="15">
        <v>1333.673828</v>
      </c>
      <c r="D167" s="16">
        <v>28.565000000000001</v>
      </c>
      <c r="E167" s="16">
        <v>35.481999999999999</v>
      </c>
      <c r="F167" s="16">
        <v>36.281999999999996</v>
      </c>
      <c r="G167" s="16">
        <v>209.24</v>
      </c>
      <c r="H167" s="16">
        <f t="shared" si="6"/>
        <v>30.39425</v>
      </c>
      <c r="I167" s="5"/>
      <c r="J167" s="15">
        <v>1214.5552</v>
      </c>
      <c r="K167" s="16">
        <v>30.277999999999999</v>
      </c>
      <c r="L167" s="16">
        <v>36.765099999999997</v>
      </c>
      <c r="M167" s="16">
        <v>37.554000000000002</v>
      </c>
      <c r="N167" s="16">
        <v>421.58519999999999</v>
      </c>
      <c r="O167" s="16">
        <f t="shared" si="7"/>
        <v>31.9983875</v>
      </c>
      <c r="P167" s="7"/>
      <c r="Q167" s="8">
        <f>bdrate(C167:C170,D167:D170,J167:J170,K167:K170)</f>
        <v>-0.41013183785059248</v>
      </c>
      <c r="R167" s="8">
        <f>bdrate(C167:C170,E167:E170,J167:J170,L167:L170)</f>
        <v>-0.53399128369871396</v>
      </c>
      <c r="S167" s="8">
        <f>bdrate(C167:C170,F167:F170,J167:J170,M167:M170)</f>
        <v>-0.51508789675918676</v>
      </c>
      <c r="T167" s="25">
        <f>bdrate(C167:C170,H167:H170,J167:J170,O167:O170)</f>
        <v>-0.43412388041417727</v>
      </c>
      <c r="U167" s="28">
        <f t="shared" si="8"/>
        <v>1.0148403746893517</v>
      </c>
    </row>
    <row r="168" spans="1:21" x14ac:dyDescent="0.25">
      <c r="B168" s="9"/>
      <c r="C168" s="17">
        <v>918.98828130000004</v>
      </c>
      <c r="D168" s="18">
        <v>27.55</v>
      </c>
      <c r="E168" s="18">
        <v>34.767000000000003</v>
      </c>
      <c r="F168" s="18">
        <v>35.558999999999997</v>
      </c>
      <c r="G168" s="18">
        <v>242.84</v>
      </c>
      <c r="H168" s="18">
        <f t="shared" si="6"/>
        <v>29.453250000000001</v>
      </c>
      <c r="I168" s="5"/>
      <c r="J168" s="17">
        <v>809.55200000000002</v>
      </c>
      <c r="K168" s="18">
        <v>28.936199999999999</v>
      </c>
      <c r="L168" s="18">
        <v>35.966500000000003</v>
      </c>
      <c r="M168" s="18">
        <v>36.737299999999998</v>
      </c>
      <c r="N168" s="18">
        <v>543.47829999999999</v>
      </c>
      <c r="O168" s="18">
        <f t="shared" si="7"/>
        <v>30.790125</v>
      </c>
      <c r="P168" s="7"/>
      <c r="Q168" s="10"/>
      <c r="R168" s="11"/>
      <c r="S168" s="11"/>
      <c r="T168" s="26"/>
      <c r="U168" s="28">
        <f t="shared" si="8"/>
        <v>1.2380098006918134</v>
      </c>
    </row>
    <row r="169" spans="1:21" x14ac:dyDescent="0.25">
      <c r="B169" s="9"/>
      <c r="C169" s="17">
        <v>580.72167969999998</v>
      </c>
      <c r="D169" s="18">
        <v>26.35</v>
      </c>
      <c r="E169" s="18">
        <v>33.886000000000003</v>
      </c>
      <c r="F169" s="18">
        <v>34.607999999999997</v>
      </c>
      <c r="G169" s="18">
        <v>265.13</v>
      </c>
      <c r="H169" s="18">
        <f t="shared" si="6"/>
        <v>28.324250000000003</v>
      </c>
      <c r="I169" s="5"/>
      <c r="J169" s="17">
        <v>507.916</v>
      </c>
      <c r="K169" s="18">
        <v>27.407</v>
      </c>
      <c r="L169" s="18">
        <v>35.056199999999997</v>
      </c>
      <c r="M169" s="18">
        <v>35.779200000000003</v>
      </c>
      <c r="N169" s="18">
        <v>654.45029999999997</v>
      </c>
      <c r="O169" s="18">
        <f t="shared" si="7"/>
        <v>29.409675</v>
      </c>
      <c r="P169" s="7"/>
      <c r="Q169" s="10"/>
      <c r="R169" s="11"/>
      <c r="S169" s="11"/>
      <c r="T169" s="26"/>
      <c r="U169" s="28">
        <f t="shared" si="8"/>
        <v>1.4684128540715875</v>
      </c>
    </row>
    <row r="170" spans="1:21" ht="16.5" thickBot="1" x14ac:dyDescent="0.3">
      <c r="B170" s="12"/>
      <c r="C170" s="19">
        <v>392.04296879999998</v>
      </c>
      <c r="D170" s="20">
        <v>25.327000000000002</v>
      </c>
      <c r="E170" s="20">
        <v>33.094000000000001</v>
      </c>
      <c r="F170" s="20">
        <v>33.783999999999999</v>
      </c>
      <c r="G170" s="20">
        <v>284.25</v>
      </c>
      <c r="H170" s="20">
        <f t="shared" si="6"/>
        <v>27.355</v>
      </c>
      <c r="I170" s="5"/>
      <c r="J170" s="19">
        <v>305.35680000000002</v>
      </c>
      <c r="K170" s="20">
        <v>25.849</v>
      </c>
      <c r="L170" s="20">
        <v>34.232100000000003</v>
      </c>
      <c r="M170" s="20">
        <v>34.897599999999997</v>
      </c>
      <c r="N170" s="20">
        <v>745.15650000000005</v>
      </c>
      <c r="O170" s="20">
        <f t="shared" si="7"/>
        <v>28.027962500000001</v>
      </c>
      <c r="P170" s="7"/>
      <c r="Q170" s="13"/>
      <c r="R170" s="14"/>
      <c r="S170" s="14"/>
      <c r="T170" s="27"/>
      <c r="U170" s="28">
        <f t="shared" si="8"/>
        <v>1.6214828496042217</v>
      </c>
    </row>
    <row r="171" spans="1:21" x14ac:dyDescent="0.25">
      <c r="B171" s="6" t="s">
        <v>56</v>
      </c>
      <c r="C171" s="15">
        <v>1308.8935550000001</v>
      </c>
      <c r="D171" s="16">
        <v>31.594000000000001</v>
      </c>
      <c r="E171" s="16">
        <v>35.904000000000003</v>
      </c>
      <c r="F171" s="16">
        <v>37.564</v>
      </c>
      <c r="G171" s="16">
        <v>185.71</v>
      </c>
      <c r="H171" s="16">
        <f t="shared" si="6"/>
        <v>32.879000000000005</v>
      </c>
      <c r="I171" s="5"/>
      <c r="J171" s="15">
        <v>1204.2639999999999</v>
      </c>
      <c r="K171" s="16">
        <v>32.298000000000002</v>
      </c>
      <c r="L171" s="16">
        <v>36.855400000000003</v>
      </c>
      <c r="M171" s="16">
        <v>38.439</v>
      </c>
      <c r="N171" s="16">
        <v>331.85840000000002</v>
      </c>
      <c r="O171" s="16">
        <f t="shared" si="7"/>
        <v>33.635300000000001</v>
      </c>
      <c r="P171" s="7"/>
      <c r="Q171" s="8">
        <f>bdrate(C171:C174,D171:D174,J171:J174,K171:K174)</f>
        <v>-0.22692180215033719</v>
      </c>
      <c r="R171" s="8">
        <f>bdrate(C171:C174,E171:E174,J171:J174,L171:L174)</f>
        <v>-0.47595218785764559</v>
      </c>
      <c r="S171" s="8">
        <f>bdrate(C171:C174,F171:F174,J171:J174,M171:M174)</f>
        <v>-0.45702887295712691</v>
      </c>
      <c r="T171" s="25">
        <f>bdrate(C171:C174,H171:H174,J171:J174,O171:O174)</f>
        <v>-0.27934979355885792</v>
      </c>
      <c r="U171" s="28">
        <f t="shared" si="8"/>
        <v>0.78697108394809112</v>
      </c>
    </row>
    <row r="172" spans="1:21" x14ac:dyDescent="0.25">
      <c r="B172" s="9"/>
      <c r="C172" s="17">
        <v>933.37109380000004</v>
      </c>
      <c r="D172" s="18">
        <v>30.411999999999999</v>
      </c>
      <c r="E172" s="18">
        <v>35.036000000000001</v>
      </c>
      <c r="F172" s="18">
        <v>36.648000000000003</v>
      </c>
      <c r="G172" s="18">
        <v>210.84</v>
      </c>
      <c r="H172" s="18">
        <f t="shared" si="6"/>
        <v>31.769499999999997</v>
      </c>
      <c r="I172" s="5"/>
      <c r="J172" s="17">
        <v>800.8152</v>
      </c>
      <c r="K172" s="18">
        <v>30.796199999999999</v>
      </c>
      <c r="L172" s="18">
        <v>35.9861</v>
      </c>
      <c r="M172" s="18">
        <v>37.567700000000002</v>
      </c>
      <c r="N172" s="18">
        <v>392.67020000000002</v>
      </c>
      <c r="O172" s="18">
        <f t="shared" si="7"/>
        <v>32.291375000000002</v>
      </c>
      <c r="P172" s="7"/>
      <c r="Q172" s="10"/>
      <c r="R172" s="11"/>
      <c r="S172" s="11"/>
      <c r="T172" s="26"/>
      <c r="U172" s="28">
        <f t="shared" si="8"/>
        <v>0.86240846139252525</v>
      </c>
    </row>
    <row r="173" spans="1:21" x14ac:dyDescent="0.25">
      <c r="B173" s="9"/>
      <c r="C173" s="17">
        <v>614.359375</v>
      </c>
      <c r="D173" s="18">
        <v>29.001000000000001</v>
      </c>
      <c r="E173" s="18">
        <v>33.97</v>
      </c>
      <c r="F173" s="18">
        <v>35.484000000000002</v>
      </c>
      <c r="G173" s="18">
        <v>229.49</v>
      </c>
      <c r="H173" s="18">
        <f t="shared" si="6"/>
        <v>30.432500000000001</v>
      </c>
      <c r="I173" s="5"/>
      <c r="J173" s="17">
        <v>500.94400000000002</v>
      </c>
      <c r="K173" s="18">
        <v>29.1297</v>
      </c>
      <c r="L173" s="18">
        <v>35.071899999999999</v>
      </c>
      <c r="M173" s="18">
        <v>36.597700000000003</v>
      </c>
      <c r="N173" s="18">
        <v>480.76920000000001</v>
      </c>
      <c r="O173" s="18">
        <f t="shared" si="7"/>
        <v>30.805975</v>
      </c>
      <c r="P173" s="7"/>
      <c r="Q173" s="10"/>
      <c r="R173" s="11"/>
      <c r="S173" s="11"/>
      <c r="T173" s="26"/>
      <c r="U173" s="28">
        <f t="shared" si="8"/>
        <v>1.094946185018955</v>
      </c>
    </row>
    <row r="174" spans="1:21" ht="16.5" thickBot="1" x14ac:dyDescent="0.3">
      <c r="B174" s="12"/>
      <c r="C174" s="19">
        <v>401.12890629999998</v>
      </c>
      <c r="D174" s="20">
        <v>27.507000000000001</v>
      </c>
      <c r="E174" s="20">
        <v>32.868000000000002</v>
      </c>
      <c r="F174" s="20">
        <v>34.167000000000002</v>
      </c>
      <c r="G174" s="20">
        <v>253.49</v>
      </c>
      <c r="H174" s="20">
        <f t="shared" si="6"/>
        <v>29.009625</v>
      </c>
      <c r="I174" s="5"/>
      <c r="J174" s="19">
        <v>300.01440000000002</v>
      </c>
      <c r="K174" s="20">
        <v>27.493500000000001</v>
      </c>
      <c r="L174" s="20">
        <v>34.097499999999997</v>
      </c>
      <c r="M174" s="20">
        <v>35.552999999999997</v>
      </c>
      <c r="N174" s="20">
        <v>601.20240000000001</v>
      </c>
      <c r="O174" s="20">
        <f t="shared" si="7"/>
        <v>29.326437500000001</v>
      </c>
      <c r="P174" s="7"/>
      <c r="Q174" s="13"/>
      <c r="R174" s="14"/>
      <c r="S174" s="14"/>
      <c r="T174" s="27"/>
      <c r="U174" s="28">
        <f t="shared" si="8"/>
        <v>1.3717006588031087</v>
      </c>
    </row>
    <row r="175" spans="1:21" x14ac:dyDescent="0.25">
      <c r="A175" s="6" t="s">
        <v>41</v>
      </c>
      <c r="B175" s="6" t="s">
        <v>57</v>
      </c>
      <c r="C175" s="15">
        <v>609.73339840000006</v>
      </c>
      <c r="D175" s="16">
        <v>32.978000000000002</v>
      </c>
      <c r="E175" s="16">
        <v>38.465000000000003</v>
      </c>
      <c r="F175" s="16">
        <v>36.328000000000003</v>
      </c>
      <c r="G175" s="16">
        <v>485.22</v>
      </c>
      <c r="H175" s="16">
        <f t="shared" si="6"/>
        <v>34.082625</v>
      </c>
      <c r="I175" s="5"/>
      <c r="J175" s="15">
        <v>601.55280000000005</v>
      </c>
      <c r="K175" s="16">
        <v>34.286999999999999</v>
      </c>
      <c r="L175" s="16">
        <v>39.668500000000002</v>
      </c>
      <c r="M175" s="16">
        <v>38.181800000000003</v>
      </c>
      <c r="N175" s="16">
        <v>1144.1648</v>
      </c>
      <c r="O175" s="16">
        <f t="shared" si="7"/>
        <v>35.446537499999998</v>
      </c>
      <c r="P175" s="7"/>
      <c r="Q175" s="8">
        <f>bdrate(C175:C178,D175:D178,J175:J178,K175:K178)</f>
        <v>-0.21943170392988254</v>
      </c>
      <c r="R175" s="8">
        <f>bdrate(C175:C178,E175:E178,J175:J178,L175:L178)</f>
        <v>-0.39566074342409008</v>
      </c>
      <c r="S175" s="8">
        <f>bdrate(C175:C178,F175:F178,J175:J178,M175:M178)</f>
        <v>-0.49436342302189773</v>
      </c>
      <c r="T175" s="25">
        <f>bdrate(C175:C178,H175:H178,J175:J178,O175:O178)</f>
        <v>-0.27099707598640499</v>
      </c>
      <c r="U175" s="28">
        <f t="shared" si="8"/>
        <v>1.3580330571699435</v>
      </c>
    </row>
    <row r="176" spans="1:21" x14ac:dyDescent="0.25">
      <c r="A176" s="9" t="s">
        <v>42</v>
      </c>
      <c r="B176" s="9"/>
      <c r="C176" s="17">
        <v>420.05273440000002</v>
      </c>
      <c r="D176" s="18">
        <v>31.484000000000002</v>
      </c>
      <c r="E176" s="18">
        <v>37.445999999999998</v>
      </c>
      <c r="F176" s="18">
        <v>35.133000000000003</v>
      </c>
      <c r="G176" s="18">
        <v>541.07000000000005</v>
      </c>
      <c r="H176" s="18">
        <f t="shared" si="6"/>
        <v>32.685375000000001</v>
      </c>
      <c r="I176" s="5"/>
      <c r="J176" s="17">
        <v>402.02480000000003</v>
      </c>
      <c r="K176" s="18">
        <v>32.473100000000002</v>
      </c>
      <c r="L176" s="18">
        <v>38.492199999999997</v>
      </c>
      <c r="M176" s="18">
        <v>36.826000000000001</v>
      </c>
      <c r="N176" s="18">
        <v>1336.8984</v>
      </c>
      <c r="O176" s="18">
        <f t="shared" si="7"/>
        <v>33.769600000000004</v>
      </c>
      <c r="P176" s="7"/>
      <c r="Q176" s="10"/>
      <c r="R176" s="11"/>
      <c r="S176" s="11"/>
      <c r="T176" s="26"/>
      <c r="U176" s="28">
        <f t="shared" si="8"/>
        <v>1.4708418504075256</v>
      </c>
    </row>
    <row r="177" spans="1:21" x14ac:dyDescent="0.25">
      <c r="B177" s="9"/>
      <c r="C177" s="17">
        <v>265.21679690000002</v>
      </c>
      <c r="D177" s="18">
        <v>29.803000000000001</v>
      </c>
      <c r="E177" s="18">
        <v>36.243000000000002</v>
      </c>
      <c r="F177" s="18">
        <v>33.712000000000003</v>
      </c>
      <c r="G177" s="18">
        <v>584.55999999999995</v>
      </c>
      <c r="H177" s="18">
        <f t="shared" si="6"/>
        <v>31.096625000000003</v>
      </c>
      <c r="I177" s="5"/>
      <c r="J177" s="17">
        <v>253.55199999999999</v>
      </c>
      <c r="K177" s="18">
        <v>30.553999999999998</v>
      </c>
      <c r="L177" s="18">
        <v>37.395899999999997</v>
      </c>
      <c r="M177" s="18">
        <v>35.5959</v>
      </c>
      <c r="N177" s="18">
        <v>1602.5641000000001</v>
      </c>
      <c r="O177" s="18">
        <f t="shared" si="7"/>
        <v>32.039474999999996</v>
      </c>
      <c r="P177" s="7"/>
      <c r="Q177" s="10"/>
      <c r="R177" s="11"/>
      <c r="S177" s="11"/>
      <c r="T177" s="26"/>
      <c r="U177" s="28">
        <f t="shared" si="8"/>
        <v>1.74148778568496</v>
      </c>
    </row>
    <row r="178" spans="1:21" ht="16.5" thickBot="1" x14ac:dyDescent="0.3">
      <c r="B178" s="12"/>
      <c r="C178" s="19">
        <v>140.16796880000001</v>
      </c>
      <c r="D178" s="20">
        <v>27.504999999999999</v>
      </c>
      <c r="E178" s="20">
        <v>34.497</v>
      </c>
      <c r="F178" s="20">
        <v>31.785</v>
      </c>
      <c r="G178" s="20">
        <v>662.24</v>
      </c>
      <c r="H178" s="20">
        <f t="shared" si="6"/>
        <v>28.913999999999998</v>
      </c>
      <c r="I178" s="5"/>
      <c r="J178" s="19">
        <v>121.2984</v>
      </c>
      <c r="K178" s="20">
        <v>27.6828</v>
      </c>
      <c r="L178" s="20">
        <v>35.750999999999998</v>
      </c>
      <c r="M178" s="20">
        <v>33.612299999999998</v>
      </c>
      <c r="N178" s="20">
        <v>2293.578</v>
      </c>
      <c r="O178" s="20">
        <f t="shared" si="7"/>
        <v>29.432512500000001</v>
      </c>
      <c r="P178" s="7"/>
      <c r="Q178" s="13"/>
      <c r="R178" s="14"/>
      <c r="S178" s="14"/>
      <c r="T178" s="27"/>
      <c r="U178" s="28">
        <f t="shared" si="8"/>
        <v>2.4633637352017397</v>
      </c>
    </row>
    <row r="179" spans="1:21" x14ac:dyDescent="0.25">
      <c r="B179" s="6" t="s">
        <v>58</v>
      </c>
      <c r="C179" s="15">
        <v>643.4921875</v>
      </c>
      <c r="D179" s="16">
        <v>29.710999999999999</v>
      </c>
      <c r="E179" s="16">
        <v>39.936999999999998</v>
      </c>
      <c r="F179" s="16">
        <v>40.688000000000002</v>
      </c>
      <c r="G179" s="16">
        <v>454.72</v>
      </c>
      <c r="H179" s="16">
        <f t="shared" si="6"/>
        <v>32.361374999999995</v>
      </c>
      <c r="I179" s="5"/>
      <c r="J179" s="15">
        <v>599.77520000000004</v>
      </c>
      <c r="K179" s="16">
        <v>33.579000000000001</v>
      </c>
      <c r="L179" s="16">
        <v>41.312800000000003</v>
      </c>
      <c r="M179" s="16">
        <v>42.164400000000001</v>
      </c>
      <c r="N179" s="16">
        <v>1372.9976999999999</v>
      </c>
      <c r="O179" s="16">
        <f t="shared" si="7"/>
        <v>35.618899999999996</v>
      </c>
      <c r="P179" s="7"/>
      <c r="Q179" s="8">
        <f>bdrate(C179:C182,D179:D182,J179:J182,K179:K182)</f>
        <v>-0.69583196825389426</v>
      </c>
      <c r="R179" s="8">
        <f>bdrate(C179:C182,E179:E182,J179:J182,L179:L182)</f>
        <v>-0.49940797255640901</v>
      </c>
      <c r="S179" s="8">
        <f>bdrate(C179:C182,F179:F182,J179:J182,M179:M182)</f>
        <v>-0.50742228874302164</v>
      </c>
      <c r="T179" s="25">
        <f>bdrate(C179:C182,H179:H182,J179:J182,O179:O182)</f>
        <v>-0.67111010856348485</v>
      </c>
      <c r="U179" s="28">
        <f t="shared" si="8"/>
        <v>2.0194354767769171</v>
      </c>
    </row>
    <row r="180" spans="1:21" x14ac:dyDescent="0.25">
      <c r="B180" s="9"/>
      <c r="C180" s="17">
        <v>440.09570309999998</v>
      </c>
      <c r="D180" s="18">
        <v>28.65</v>
      </c>
      <c r="E180" s="18">
        <v>39.241999999999997</v>
      </c>
      <c r="F180" s="18">
        <v>39.906999999999996</v>
      </c>
      <c r="G180" s="18">
        <v>494.8</v>
      </c>
      <c r="H180" s="18">
        <f t="shared" si="6"/>
        <v>31.381124999999997</v>
      </c>
      <c r="I180" s="5"/>
      <c r="J180" s="17">
        <v>399.54480000000001</v>
      </c>
      <c r="K180" s="18">
        <v>32.295999999999999</v>
      </c>
      <c r="L180" s="18">
        <v>40.393500000000003</v>
      </c>
      <c r="M180" s="18">
        <v>41.209099999999999</v>
      </c>
      <c r="N180" s="18">
        <v>1604.2781</v>
      </c>
      <c r="O180" s="18">
        <f t="shared" si="7"/>
        <v>34.422325000000001</v>
      </c>
      <c r="P180" s="7"/>
      <c r="Q180" s="10"/>
      <c r="R180" s="11"/>
      <c r="S180" s="11"/>
      <c r="T180" s="26"/>
      <c r="U180" s="28">
        <f t="shared" si="8"/>
        <v>2.2422758690379951</v>
      </c>
    </row>
    <row r="181" spans="1:21" x14ac:dyDescent="0.25">
      <c r="B181" s="9"/>
      <c r="C181" s="17">
        <v>282.4755859</v>
      </c>
      <c r="D181" s="18">
        <v>27.529</v>
      </c>
      <c r="E181" s="18">
        <v>38.515999999999998</v>
      </c>
      <c r="F181" s="18">
        <v>39.155000000000001</v>
      </c>
      <c r="G181" s="18">
        <v>523.9</v>
      </c>
      <c r="H181" s="18">
        <f t="shared" si="6"/>
        <v>30.355625</v>
      </c>
      <c r="I181" s="5"/>
      <c r="J181" s="17">
        <v>249.83840000000001</v>
      </c>
      <c r="K181" s="18">
        <v>30.7743</v>
      </c>
      <c r="L181" s="18">
        <v>39.4634</v>
      </c>
      <c r="M181" s="18">
        <v>40.216900000000003</v>
      </c>
      <c r="N181" s="18">
        <v>2020.202</v>
      </c>
      <c r="O181" s="18">
        <f t="shared" si="7"/>
        <v>33.0407625</v>
      </c>
      <c r="P181" s="7"/>
      <c r="Q181" s="10"/>
      <c r="R181" s="11"/>
      <c r="S181" s="11"/>
      <c r="T181" s="26"/>
      <c r="U181" s="28">
        <f t="shared" si="8"/>
        <v>2.8560832219889294</v>
      </c>
    </row>
    <row r="182" spans="1:21" ht="16.5" thickBot="1" x14ac:dyDescent="0.3">
      <c r="B182" s="12"/>
      <c r="C182" s="19">
        <v>139.4697266</v>
      </c>
      <c r="D182" s="20">
        <v>25.553000000000001</v>
      </c>
      <c r="E182" s="20">
        <v>37.496000000000002</v>
      </c>
      <c r="F182" s="20">
        <v>37.646000000000001</v>
      </c>
      <c r="G182" s="20">
        <v>624.13</v>
      </c>
      <c r="H182" s="20">
        <f t="shared" si="6"/>
        <v>28.557500000000005</v>
      </c>
      <c r="I182" s="5"/>
      <c r="J182" s="19">
        <v>119.5424</v>
      </c>
      <c r="K182" s="20">
        <v>28.1419</v>
      </c>
      <c r="L182" s="20">
        <v>38.2607</v>
      </c>
      <c r="M182" s="20">
        <v>38.838900000000002</v>
      </c>
      <c r="N182" s="20">
        <v>2409.6386000000002</v>
      </c>
      <c r="O182" s="20">
        <f t="shared" si="7"/>
        <v>30.743874999999999</v>
      </c>
      <c r="P182" s="7"/>
      <c r="Q182" s="13"/>
      <c r="R182" s="14"/>
      <c r="S182" s="14"/>
      <c r="T182" s="27"/>
      <c r="U182" s="28">
        <f t="shared" si="8"/>
        <v>2.8607959880153175</v>
      </c>
    </row>
    <row r="183" spans="1:21" x14ac:dyDescent="0.25">
      <c r="B183" s="6" t="s">
        <v>59</v>
      </c>
      <c r="C183" s="29">
        <v>653.05859380000004</v>
      </c>
      <c r="D183" s="30">
        <v>30.553000000000001</v>
      </c>
      <c r="E183" s="30">
        <v>36.648000000000003</v>
      </c>
      <c r="F183" s="30">
        <v>37.366999999999997</v>
      </c>
      <c r="G183" s="16">
        <v>439.33</v>
      </c>
      <c r="H183" s="16">
        <f t="shared" si="6"/>
        <v>32.166625000000003</v>
      </c>
      <c r="I183" s="5"/>
      <c r="J183" s="29">
        <v>636.95360000000005</v>
      </c>
      <c r="K183" s="30">
        <v>33.086199999999998</v>
      </c>
      <c r="L183" s="30">
        <v>38.176400000000001</v>
      </c>
      <c r="M183" s="30">
        <v>38.917999999999999</v>
      </c>
      <c r="N183" s="16">
        <v>1231.5271</v>
      </c>
      <c r="O183" s="16">
        <f t="shared" si="7"/>
        <v>34.451450000000001</v>
      </c>
      <c r="P183" s="7"/>
      <c r="Q183" s="8">
        <f>bdrate(C183:C186,D183:D186,J183:J186,K183:K186)</f>
        <v>-0.44917618986417163</v>
      </c>
      <c r="R183" s="8">
        <f>bdrate(C183:C186,E183:E186,J183:J186,L183:L186)</f>
        <v>-0.48383025768879129</v>
      </c>
      <c r="S183" s="8">
        <f>bdrate(C183:C186,F183:F186,J183:J186,M183:M186)</f>
        <v>-0.48420890777463288</v>
      </c>
      <c r="T183" s="25">
        <f>bdrate(C183:C186,H183:H186,J183:J186,O183:O186)</f>
        <v>-0.45862323949633099</v>
      </c>
      <c r="U183" s="28">
        <f t="shared" si="8"/>
        <v>1.803193726811281</v>
      </c>
    </row>
    <row r="184" spans="1:21" x14ac:dyDescent="0.25">
      <c r="B184" s="9"/>
      <c r="C184" s="31">
        <v>445.91015629999998</v>
      </c>
      <c r="D184" s="32">
        <v>29.457000000000001</v>
      </c>
      <c r="E184" s="32">
        <v>35.688000000000002</v>
      </c>
      <c r="F184" s="32">
        <v>36.353999999999999</v>
      </c>
      <c r="G184" s="18">
        <v>492.52</v>
      </c>
      <c r="H184" s="18">
        <f t="shared" si="6"/>
        <v>31.097999999999999</v>
      </c>
      <c r="I184" s="5"/>
      <c r="J184" s="31">
        <v>427.60160000000002</v>
      </c>
      <c r="K184" s="32">
        <v>31.5245</v>
      </c>
      <c r="L184" s="32">
        <v>37.135399999999997</v>
      </c>
      <c r="M184" s="32">
        <v>37.889800000000001</v>
      </c>
      <c r="N184" s="18">
        <v>1392.7577000000001</v>
      </c>
      <c r="O184" s="18">
        <f t="shared" si="7"/>
        <v>33.021524999999997</v>
      </c>
      <c r="P184" s="7"/>
      <c r="Q184" s="10"/>
      <c r="R184" s="11"/>
      <c r="S184" s="11"/>
      <c r="T184" s="26"/>
      <c r="U184" s="28">
        <f t="shared" si="8"/>
        <v>1.8278195809307241</v>
      </c>
    </row>
    <row r="185" spans="1:21" x14ac:dyDescent="0.25">
      <c r="B185" s="9"/>
      <c r="C185" s="31">
        <v>281.88671879999998</v>
      </c>
      <c r="D185" s="32">
        <v>28.251000000000001</v>
      </c>
      <c r="E185" s="32">
        <v>34.637999999999998</v>
      </c>
      <c r="F185" s="32">
        <v>35.256999999999998</v>
      </c>
      <c r="G185" s="18">
        <v>518.61</v>
      </c>
      <c r="H185" s="18">
        <f t="shared" si="6"/>
        <v>29.925125000000001</v>
      </c>
      <c r="I185" s="5"/>
      <c r="J185" s="31">
        <v>265.12959999999998</v>
      </c>
      <c r="K185" s="32">
        <v>29.8538</v>
      </c>
      <c r="L185" s="32">
        <v>35.983400000000003</v>
      </c>
      <c r="M185" s="32">
        <v>36.656999999999996</v>
      </c>
      <c r="N185" s="18">
        <v>1689.1892</v>
      </c>
      <c r="O185" s="18">
        <f t="shared" si="7"/>
        <v>31.470399999999998</v>
      </c>
      <c r="P185" s="7"/>
      <c r="Q185" s="10"/>
      <c r="R185" s="11"/>
      <c r="S185" s="11"/>
      <c r="T185" s="26"/>
      <c r="U185" s="28">
        <f t="shared" si="8"/>
        <v>2.2571473747131758</v>
      </c>
    </row>
    <row r="186" spans="1:21" ht="16.5" thickBot="1" x14ac:dyDescent="0.3">
      <c r="B186" s="12"/>
      <c r="C186" s="33">
        <v>138.57226560000001</v>
      </c>
      <c r="D186" s="34">
        <v>26.454999999999998</v>
      </c>
      <c r="E186" s="34">
        <v>33.122</v>
      </c>
      <c r="F186" s="34">
        <v>33.779000000000003</v>
      </c>
      <c r="G186" s="20">
        <v>582.42999999999995</v>
      </c>
      <c r="H186" s="20">
        <f t="shared" si="6"/>
        <v>28.203874999999996</v>
      </c>
      <c r="I186" s="5"/>
      <c r="J186" s="33">
        <v>126.2824</v>
      </c>
      <c r="K186" s="34">
        <v>27.411300000000001</v>
      </c>
      <c r="L186" s="34">
        <v>34.443300000000001</v>
      </c>
      <c r="M186" s="34">
        <v>35.0764</v>
      </c>
      <c r="N186" s="20">
        <v>2463.0542</v>
      </c>
      <c r="O186" s="20">
        <f t="shared" si="7"/>
        <v>29.248437500000001</v>
      </c>
      <c r="P186" s="7"/>
      <c r="Q186" s="13"/>
      <c r="R186" s="14"/>
      <c r="S186" s="14"/>
      <c r="T186" s="27"/>
      <c r="U186" s="28">
        <f t="shared" si="8"/>
        <v>3.2289274247549069</v>
      </c>
    </row>
    <row r="187" spans="1:21" x14ac:dyDescent="0.25">
      <c r="B187" s="6" t="s">
        <v>60</v>
      </c>
      <c r="C187" s="15">
        <v>614.85351560000004</v>
      </c>
      <c r="D187" s="16">
        <v>32.729999999999997</v>
      </c>
      <c r="E187" s="16">
        <v>36.323999999999998</v>
      </c>
      <c r="F187" s="16">
        <v>37.426000000000002</v>
      </c>
      <c r="G187" s="16">
        <v>381.08</v>
      </c>
      <c r="H187" s="16">
        <f t="shared" si="6"/>
        <v>33.766249999999999</v>
      </c>
      <c r="I187" s="5"/>
      <c r="J187" s="15">
        <v>601.28319999999997</v>
      </c>
      <c r="K187" s="16">
        <v>33.8277</v>
      </c>
      <c r="L187" s="16">
        <v>37.668399999999998</v>
      </c>
      <c r="M187" s="16">
        <v>38.773400000000002</v>
      </c>
      <c r="N187" s="16">
        <v>802.13900000000001</v>
      </c>
      <c r="O187" s="16">
        <f t="shared" si="7"/>
        <v>34.926000000000002</v>
      </c>
      <c r="P187" s="7"/>
      <c r="Q187" s="8">
        <f>bdrate(C187:C190,D187:D190,J187:J190,K187:K190)</f>
        <v>-0.19400812598178507</v>
      </c>
      <c r="R187" s="8">
        <f>bdrate(C187:C190,E187:E190,J187:J190,L187:L190)</f>
        <v>-0.45736212915586538</v>
      </c>
      <c r="S187" s="8">
        <f>bdrate(C187:C190,F187:F190,J187:J190,M187:M190)</f>
        <v>-0.44195005744656168</v>
      </c>
      <c r="T187" s="25">
        <f>bdrate(C187:C190,H187:H190,J187:J190,O187:O190)</f>
        <v>-0.25284072580275474</v>
      </c>
      <c r="U187" s="28">
        <f t="shared" si="8"/>
        <v>1.1049097302403696</v>
      </c>
    </row>
    <row r="188" spans="1:21" x14ac:dyDescent="0.25">
      <c r="B188" s="9"/>
      <c r="C188" s="17">
        <v>432.26367190000002</v>
      </c>
      <c r="D188" s="18">
        <v>31.355</v>
      </c>
      <c r="E188" s="18">
        <v>35.265999999999998</v>
      </c>
      <c r="F188" s="18">
        <v>36.378</v>
      </c>
      <c r="G188" s="18">
        <v>427.25</v>
      </c>
      <c r="H188" s="18">
        <f t="shared" si="6"/>
        <v>32.47175</v>
      </c>
      <c r="I188" s="5"/>
      <c r="J188" s="17">
        <v>401.03120000000001</v>
      </c>
      <c r="K188" s="18">
        <v>31.977499999999999</v>
      </c>
      <c r="L188" s="18">
        <v>36.5214</v>
      </c>
      <c r="M188" s="18">
        <v>37.622</v>
      </c>
      <c r="N188" s="18">
        <v>961.5385</v>
      </c>
      <c r="O188" s="18">
        <f t="shared" si="7"/>
        <v>33.251049999999999</v>
      </c>
      <c r="P188" s="7"/>
      <c r="Q188" s="10"/>
      <c r="R188" s="11"/>
      <c r="S188" s="11"/>
      <c r="T188" s="26"/>
      <c r="U188" s="28">
        <f t="shared" si="8"/>
        <v>1.250528964306612</v>
      </c>
    </row>
    <row r="189" spans="1:21" x14ac:dyDescent="0.25">
      <c r="B189" s="9"/>
      <c r="C189" s="17">
        <v>289.72070309999998</v>
      </c>
      <c r="D189" s="18">
        <v>29.864000000000001</v>
      </c>
      <c r="E189" s="18">
        <v>34.109000000000002</v>
      </c>
      <c r="F189" s="18">
        <v>35.229999999999997</v>
      </c>
      <c r="G189" s="18">
        <v>453.97</v>
      </c>
      <c r="H189" s="18">
        <f t="shared" si="6"/>
        <v>31.065375</v>
      </c>
      <c r="I189" s="5"/>
      <c r="J189" s="17">
        <v>251.49600000000001</v>
      </c>
      <c r="K189" s="18">
        <v>30.115500000000001</v>
      </c>
      <c r="L189" s="18">
        <v>35.3401</v>
      </c>
      <c r="M189" s="18">
        <v>36.3947</v>
      </c>
      <c r="N189" s="18">
        <v>1200</v>
      </c>
      <c r="O189" s="18">
        <f t="shared" si="7"/>
        <v>31.553475000000002</v>
      </c>
      <c r="P189" s="7"/>
      <c r="Q189" s="10"/>
      <c r="R189" s="11"/>
      <c r="S189" s="11"/>
      <c r="T189" s="26"/>
      <c r="U189" s="28">
        <f t="shared" si="8"/>
        <v>1.6433464766394255</v>
      </c>
    </row>
    <row r="190" spans="1:21" ht="16.5" thickBot="1" x14ac:dyDescent="0.3">
      <c r="B190" s="12"/>
      <c r="C190" s="19">
        <v>147.3662109</v>
      </c>
      <c r="D190" s="20">
        <v>27.623999999999999</v>
      </c>
      <c r="E190" s="20">
        <v>32.369</v>
      </c>
      <c r="F190" s="20">
        <v>33.427999999999997</v>
      </c>
      <c r="G190" s="20">
        <v>507.77</v>
      </c>
      <c r="H190" s="20">
        <f t="shared" si="6"/>
        <v>28.942625</v>
      </c>
      <c r="I190" s="5"/>
      <c r="J190" s="19">
        <v>120.7672</v>
      </c>
      <c r="K190" s="20">
        <v>27.611599999999999</v>
      </c>
      <c r="L190" s="20">
        <v>33.860599999999998</v>
      </c>
      <c r="M190" s="20">
        <v>34.796399999999998</v>
      </c>
      <c r="N190" s="20">
        <v>1754.386</v>
      </c>
      <c r="O190" s="20">
        <f t="shared" si="7"/>
        <v>29.290825000000002</v>
      </c>
      <c r="P190" s="7"/>
      <c r="Q190" s="13"/>
      <c r="R190" s="14"/>
      <c r="S190" s="14"/>
      <c r="T190" s="27"/>
      <c r="U190" s="28">
        <f t="shared" si="8"/>
        <v>2.4550800559308348</v>
      </c>
    </row>
    <row r="191" spans="1:21" x14ac:dyDescent="0.25">
      <c r="A191" s="6" t="s">
        <v>43</v>
      </c>
      <c r="B191" s="6" t="s">
        <v>61</v>
      </c>
      <c r="C191" s="15">
        <v>1490.1289059999999</v>
      </c>
      <c r="D191" s="16">
        <v>40.040999999999997</v>
      </c>
      <c r="E191" s="16">
        <v>45.264000000000003</v>
      </c>
      <c r="F191" s="16">
        <v>46.469000000000001</v>
      </c>
      <c r="G191" s="16">
        <v>242.02</v>
      </c>
      <c r="H191" s="16">
        <f t="shared" si="6"/>
        <v>41.497374999999998</v>
      </c>
      <c r="I191" s="5"/>
      <c r="J191" s="15">
        <v>1494.3552</v>
      </c>
      <c r="K191" s="16">
        <v>41.330399999999997</v>
      </c>
      <c r="L191" s="16">
        <v>45.799700000000001</v>
      </c>
      <c r="M191" s="16">
        <v>47.013199999999998</v>
      </c>
      <c r="N191" s="16">
        <v>315.12610000000001</v>
      </c>
      <c r="O191" s="16">
        <f t="shared" si="7"/>
        <v>42.5994125</v>
      </c>
      <c r="P191" s="7"/>
      <c r="Q191" s="8">
        <f>bdrate(C191:C194,D191:D194,J191:J194,K191:K194)</f>
        <v>-0.31032193471634806</v>
      </c>
      <c r="R191" s="8">
        <f>bdrate(C191:C194,E191:E194,J191:J194,L191:L194)</f>
        <v>-0.18254780683147898</v>
      </c>
      <c r="S191" s="8">
        <f>bdrate(C191:C194,F191:F194,J191:J194,M191:M194)</f>
        <v>-0.19897836052026885</v>
      </c>
      <c r="T191" s="25">
        <f>bdrate(C191:C194,H191:H194,J191:J194,O191:O194)</f>
        <v>-0.28829004548516357</v>
      </c>
      <c r="U191" s="28">
        <f t="shared" si="8"/>
        <v>0.30206635815221883</v>
      </c>
    </row>
    <row r="192" spans="1:21" x14ac:dyDescent="0.25">
      <c r="A192" s="9" t="s">
        <v>44</v>
      </c>
      <c r="B192" s="9"/>
      <c r="C192" s="17">
        <v>997.35449219999998</v>
      </c>
      <c r="D192" s="18">
        <v>38.850999999999999</v>
      </c>
      <c r="E192" s="18">
        <v>44.384999999999998</v>
      </c>
      <c r="F192" s="18">
        <v>45.48</v>
      </c>
      <c r="G192" s="18">
        <v>269.76</v>
      </c>
      <c r="H192" s="18">
        <f t="shared" si="6"/>
        <v>40.371375</v>
      </c>
      <c r="I192" s="5"/>
      <c r="J192" s="17">
        <v>987.96640000000002</v>
      </c>
      <c r="K192" s="18">
        <v>40.193600000000004</v>
      </c>
      <c r="L192" s="18">
        <v>44.851300000000002</v>
      </c>
      <c r="M192" s="18">
        <v>46.0321</v>
      </c>
      <c r="N192" s="18">
        <v>369.68579999999997</v>
      </c>
      <c r="O192" s="18">
        <f t="shared" si="7"/>
        <v>41.505625000000002</v>
      </c>
      <c r="P192" s="7"/>
      <c r="Q192" s="10"/>
      <c r="R192" s="11"/>
      <c r="S192" s="11"/>
      <c r="T192" s="26"/>
      <c r="U192" s="28">
        <f t="shared" si="8"/>
        <v>0.37042482206405686</v>
      </c>
    </row>
    <row r="193" spans="1:21" x14ac:dyDescent="0.25">
      <c r="B193" s="9"/>
      <c r="C193" s="17">
        <v>602.19726560000004</v>
      </c>
      <c r="D193" s="18">
        <v>36.914000000000001</v>
      </c>
      <c r="E193" s="18">
        <v>42.902999999999999</v>
      </c>
      <c r="F193" s="18">
        <v>43.941000000000003</v>
      </c>
      <c r="G193" s="18">
        <v>283.73</v>
      </c>
      <c r="H193" s="18">
        <f t="shared" si="6"/>
        <v>38.540999999999997</v>
      </c>
      <c r="I193" s="5"/>
      <c r="J193" s="17">
        <v>577.04</v>
      </c>
      <c r="K193" s="18">
        <v>38.244300000000003</v>
      </c>
      <c r="L193" s="18">
        <v>43.2971</v>
      </c>
      <c r="M193" s="18">
        <v>44.454300000000003</v>
      </c>
      <c r="N193" s="18">
        <v>432.27670000000001</v>
      </c>
      <c r="O193" s="18">
        <f t="shared" si="7"/>
        <v>39.652149999999999</v>
      </c>
      <c r="P193" s="7"/>
      <c r="Q193" s="10"/>
      <c r="R193" s="11"/>
      <c r="S193" s="11"/>
      <c r="T193" s="26"/>
      <c r="U193" s="28">
        <f t="shared" si="8"/>
        <v>0.52354950128643418</v>
      </c>
    </row>
    <row r="194" spans="1:21" ht="16.5" thickBot="1" x14ac:dyDescent="0.3">
      <c r="B194" s="12"/>
      <c r="C194" s="19">
        <v>303.734375</v>
      </c>
      <c r="D194" s="20">
        <v>33.518999999999998</v>
      </c>
      <c r="E194" s="20">
        <v>40.491</v>
      </c>
      <c r="F194" s="20">
        <v>41.338999999999999</v>
      </c>
      <c r="G194" s="20">
        <v>311.93</v>
      </c>
      <c r="H194" s="20">
        <f t="shared" si="6"/>
        <v>35.367999999999995</v>
      </c>
      <c r="I194" s="5"/>
      <c r="J194" s="19">
        <v>283.3304</v>
      </c>
      <c r="K194" s="20">
        <v>34.923900000000003</v>
      </c>
      <c r="L194" s="20">
        <v>41.323799999999999</v>
      </c>
      <c r="M194" s="20">
        <v>42.199300000000001</v>
      </c>
      <c r="N194" s="20">
        <v>519.48050000000001</v>
      </c>
      <c r="O194" s="20">
        <f t="shared" si="7"/>
        <v>36.633312500000002</v>
      </c>
      <c r="P194" s="7"/>
      <c r="Q194" s="13"/>
      <c r="R194" s="14"/>
      <c r="S194" s="14"/>
      <c r="T194" s="27"/>
      <c r="U194" s="28">
        <f t="shared" si="8"/>
        <v>0.66537524444586926</v>
      </c>
    </row>
    <row r="195" spans="1:21" x14ac:dyDescent="0.25">
      <c r="B195" s="6" t="s">
        <v>62</v>
      </c>
      <c r="C195" s="15">
        <v>1484.9375</v>
      </c>
      <c r="D195" s="16">
        <v>41.268000000000001</v>
      </c>
      <c r="E195" s="16">
        <v>47.304000000000002</v>
      </c>
      <c r="F195" s="16">
        <v>47.957999999999998</v>
      </c>
      <c r="G195" s="16">
        <v>203.14</v>
      </c>
      <c r="H195" s="16">
        <f t="shared" si="6"/>
        <v>42.858750000000001</v>
      </c>
      <c r="I195" s="5"/>
      <c r="J195" s="15">
        <v>1472.4856</v>
      </c>
      <c r="K195" s="16">
        <v>42.598799999999997</v>
      </c>
      <c r="L195" s="16">
        <v>47.848999999999997</v>
      </c>
      <c r="M195" s="16">
        <v>48.530700000000003</v>
      </c>
      <c r="N195" s="16">
        <v>388.601</v>
      </c>
      <c r="O195" s="16">
        <f t="shared" si="7"/>
        <v>43.996562500000003</v>
      </c>
      <c r="P195" s="7"/>
      <c r="Q195" s="8">
        <f>bdrate(C195:C198,D195:D198,J195:J198,K195:K198)</f>
        <v>-0.50331388813915434</v>
      </c>
      <c r="R195" s="8">
        <f>bdrate(C195:C198,E195:E198,J195:J198,L195:L198)</f>
        <v>-0.32367990048729001</v>
      </c>
      <c r="S195" s="8">
        <f>bdrate(C195:C198,F195:F198,J195:J198,M195:M198)</f>
        <v>-0.33157589493892137</v>
      </c>
      <c r="T195" s="25">
        <f>bdrate(C195:C198,H195:H198,J195:J198,O195:O198)</f>
        <v>-0.46553540073860089</v>
      </c>
      <c r="U195" s="28">
        <f t="shared" ref="U195:U246" si="9">(N195-G195)/G195</f>
        <v>0.91297134980801431</v>
      </c>
    </row>
    <row r="196" spans="1:21" x14ac:dyDescent="0.25">
      <c r="B196" s="9"/>
      <c r="C196" s="17">
        <v>995.91015630000004</v>
      </c>
      <c r="D196" s="18">
        <v>40.686999999999998</v>
      </c>
      <c r="E196" s="18">
        <v>46.734000000000002</v>
      </c>
      <c r="F196" s="18">
        <v>47.362000000000002</v>
      </c>
      <c r="G196" s="18">
        <v>246.8</v>
      </c>
      <c r="H196" s="18">
        <f t="shared" si="6"/>
        <v>42.277250000000002</v>
      </c>
      <c r="I196" s="5"/>
      <c r="J196" s="17">
        <v>970.45039999999995</v>
      </c>
      <c r="K196" s="18">
        <v>42.035699999999999</v>
      </c>
      <c r="L196" s="18">
        <v>47.316699999999997</v>
      </c>
      <c r="M196" s="18">
        <v>47.991100000000003</v>
      </c>
      <c r="N196" s="18">
        <v>431.96539999999999</v>
      </c>
      <c r="O196" s="18">
        <f t="shared" si="7"/>
        <v>43.440249999999999</v>
      </c>
      <c r="P196" s="7"/>
      <c r="Q196" s="10"/>
      <c r="R196" s="11"/>
      <c r="S196" s="11"/>
      <c r="T196" s="26"/>
      <c r="U196" s="28">
        <f t="shared" si="9"/>
        <v>0.75026499189627216</v>
      </c>
    </row>
    <row r="197" spans="1:21" x14ac:dyDescent="0.25">
      <c r="B197" s="9"/>
      <c r="C197" s="17">
        <v>607.26953130000004</v>
      </c>
      <c r="D197" s="18">
        <v>39.726999999999997</v>
      </c>
      <c r="E197" s="18">
        <v>45.743000000000002</v>
      </c>
      <c r="F197" s="18">
        <v>46.362000000000002</v>
      </c>
      <c r="G197" s="18">
        <v>263.27999999999997</v>
      </c>
      <c r="H197" s="18">
        <f t="shared" si="6"/>
        <v>41.308374999999998</v>
      </c>
      <c r="I197" s="5"/>
      <c r="J197" s="17">
        <v>572.89760000000001</v>
      </c>
      <c r="K197" s="18">
        <v>41.111199999999997</v>
      </c>
      <c r="L197" s="18">
        <v>46.433</v>
      </c>
      <c r="M197" s="18">
        <v>47.0901</v>
      </c>
      <c r="N197" s="18">
        <v>469.11649999999997</v>
      </c>
      <c r="O197" s="18">
        <f t="shared" si="7"/>
        <v>42.523787499999997</v>
      </c>
      <c r="P197" s="7"/>
      <c r="Q197" s="10"/>
      <c r="R197" s="11"/>
      <c r="S197" s="11"/>
      <c r="T197" s="26"/>
      <c r="U197" s="28">
        <f t="shared" si="9"/>
        <v>0.78181593740504418</v>
      </c>
    </row>
    <row r="198" spans="1:21" ht="16.5" thickBot="1" x14ac:dyDescent="0.3">
      <c r="B198" s="12"/>
      <c r="C198" s="19">
        <v>304.62109379999998</v>
      </c>
      <c r="D198" s="20">
        <v>37.731999999999999</v>
      </c>
      <c r="E198" s="20">
        <v>43.75</v>
      </c>
      <c r="F198" s="20">
        <v>44.253</v>
      </c>
      <c r="G198" s="20">
        <v>286.68</v>
      </c>
      <c r="H198" s="20">
        <f t="shared" si="6"/>
        <v>39.299374999999998</v>
      </c>
      <c r="I198" s="5"/>
      <c r="J198" s="19">
        <v>278.68639999999999</v>
      </c>
      <c r="K198" s="20">
        <v>39.234000000000002</v>
      </c>
      <c r="L198" s="20">
        <v>44.703699999999998</v>
      </c>
      <c r="M198" s="20">
        <v>45.296300000000002</v>
      </c>
      <c r="N198" s="20">
        <v>534.28319999999997</v>
      </c>
      <c r="O198" s="20">
        <f t="shared" si="7"/>
        <v>40.6755</v>
      </c>
      <c r="P198" s="7"/>
      <c r="Q198" s="13"/>
      <c r="R198" s="14"/>
      <c r="S198" s="14"/>
      <c r="T198" s="27"/>
      <c r="U198" s="28">
        <f t="shared" si="9"/>
        <v>0.8636919213059856</v>
      </c>
    </row>
    <row r="199" spans="1:21" x14ac:dyDescent="0.25">
      <c r="B199" s="6" t="s">
        <v>63</v>
      </c>
      <c r="C199" s="15">
        <v>1494.2460940000001</v>
      </c>
      <c r="D199" s="16">
        <v>41.05</v>
      </c>
      <c r="E199" s="16">
        <v>46.262</v>
      </c>
      <c r="F199" s="16">
        <v>47.142000000000003</v>
      </c>
      <c r="G199" s="16">
        <v>215.27</v>
      </c>
      <c r="H199" s="16">
        <f t="shared" si="6"/>
        <v>42.463000000000001</v>
      </c>
      <c r="I199" s="5"/>
      <c r="J199" s="15">
        <v>1542.096</v>
      </c>
      <c r="K199" s="16">
        <v>42.4831</v>
      </c>
      <c r="L199" s="16">
        <v>46.911799999999999</v>
      </c>
      <c r="M199" s="16">
        <v>47.799500000000002</v>
      </c>
      <c r="N199" s="16">
        <v>346.62049999999999</v>
      </c>
      <c r="O199" s="16">
        <f t="shared" si="7"/>
        <v>43.701237499999998</v>
      </c>
      <c r="P199" s="7"/>
      <c r="Q199" s="8">
        <f>bdrate(C199:C202,D199:D202,J199:J202,K199:K202)</f>
        <v>-0.41723325909868947</v>
      </c>
      <c r="R199" s="8">
        <f>bdrate(C199:C202,E199:E202,J199:J202,L199:L202)</f>
        <v>-0.25082296354596556</v>
      </c>
      <c r="S199" s="8">
        <f>bdrate(C199:C202,F199:F202,J199:J202,M199:M202)</f>
        <v>-0.25929589466136416</v>
      </c>
      <c r="T199" s="25">
        <f>bdrate(C199:C202,H199:H202,J199:J202,O199:O202)</f>
        <v>-0.38474700542139584</v>
      </c>
      <c r="U199" s="28">
        <f t="shared" si="9"/>
        <v>0.61016630278255202</v>
      </c>
    </row>
    <row r="200" spans="1:21" x14ac:dyDescent="0.25">
      <c r="B200" s="9"/>
      <c r="C200" s="17">
        <v>1001.355469</v>
      </c>
      <c r="D200" s="18">
        <v>40.075000000000003</v>
      </c>
      <c r="E200" s="18">
        <v>45.457999999999998</v>
      </c>
      <c r="F200" s="18">
        <v>46.331000000000003</v>
      </c>
      <c r="G200" s="18">
        <v>272.38</v>
      </c>
      <c r="H200" s="18">
        <f t="shared" si="6"/>
        <v>41.529875000000004</v>
      </c>
      <c r="I200" s="5"/>
      <c r="J200" s="17">
        <v>1005.5848</v>
      </c>
      <c r="K200" s="18">
        <v>41.636899999999997</v>
      </c>
      <c r="L200" s="18">
        <v>46.178100000000001</v>
      </c>
      <c r="M200" s="18">
        <v>47.057299999999998</v>
      </c>
      <c r="N200" s="18">
        <v>388.34949999999998</v>
      </c>
      <c r="O200" s="18">
        <f t="shared" si="7"/>
        <v>42.882100000000001</v>
      </c>
      <c r="P200" s="7"/>
      <c r="Q200" s="10"/>
      <c r="R200" s="11"/>
      <c r="S200" s="11"/>
      <c r="T200" s="26"/>
      <c r="U200" s="28">
        <f t="shared" si="9"/>
        <v>0.42576363903370285</v>
      </c>
    </row>
    <row r="201" spans="1:21" x14ac:dyDescent="0.25">
      <c r="B201" s="9"/>
      <c r="C201" s="17">
        <v>607.203125</v>
      </c>
      <c r="D201" s="18">
        <v>38.484000000000002</v>
      </c>
      <c r="E201" s="18">
        <v>44.161999999999999</v>
      </c>
      <c r="F201" s="18">
        <v>44.991999999999997</v>
      </c>
      <c r="G201" s="18">
        <v>280.95999999999998</v>
      </c>
      <c r="H201" s="18">
        <f t="shared" si="6"/>
        <v>40.007249999999999</v>
      </c>
      <c r="I201" s="5"/>
      <c r="J201" s="17">
        <v>597.50879999999995</v>
      </c>
      <c r="K201" s="18">
        <v>40.2014</v>
      </c>
      <c r="L201" s="18">
        <v>44.8598</v>
      </c>
      <c r="M201" s="18">
        <v>45.721200000000003</v>
      </c>
      <c r="N201" s="18">
        <v>437.31779999999998</v>
      </c>
      <c r="O201" s="18">
        <f t="shared" si="7"/>
        <v>41.473675</v>
      </c>
      <c r="P201" s="7"/>
      <c r="Q201" s="10"/>
      <c r="R201" s="11"/>
      <c r="S201" s="11"/>
      <c r="T201" s="26"/>
      <c r="U201" s="28">
        <f t="shared" si="9"/>
        <v>0.55651267084282463</v>
      </c>
    </row>
    <row r="202" spans="1:21" ht="16.5" thickBot="1" x14ac:dyDescent="0.3">
      <c r="B202" s="12"/>
      <c r="C202" s="19">
        <v>308.18359379999998</v>
      </c>
      <c r="D202" s="20">
        <v>35.542999999999999</v>
      </c>
      <c r="E202" s="20">
        <v>41.698</v>
      </c>
      <c r="F202" s="20">
        <v>42.448</v>
      </c>
      <c r="G202" s="20">
        <v>321.8</v>
      </c>
      <c r="H202" s="20">
        <f t="shared" si="6"/>
        <v>37.1755</v>
      </c>
      <c r="I202" s="5"/>
      <c r="J202" s="19">
        <v>294.60160000000002</v>
      </c>
      <c r="K202" s="20">
        <v>37.590600000000002</v>
      </c>
      <c r="L202" s="20">
        <v>42.765099999999997</v>
      </c>
      <c r="M202" s="20">
        <v>43.6995</v>
      </c>
      <c r="N202" s="20">
        <v>499.58370000000002</v>
      </c>
      <c r="O202" s="20">
        <f t="shared" si="7"/>
        <v>39.001025000000006</v>
      </c>
      <c r="P202" s="7"/>
      <c r="Q202" s="13"/>
      <c r="R202" s="14"/>
      <c r="S202" s="14"/>
      <c r="T202" s="27"/>
      <c r="U202" s="28">
        <f t="shared" si="9"/>
        <v>0.55246643878185209</v>
      </c>
    </row>
    <row r="203" spans="1:21" x14ac:dyDescent="0.25">
      <c r="A203" s="6" t="s">
        <v>94</v>
      </c>
      <c r="B203" s="6" t="s">
        <v>95</v>
      </c>
      <c r="C203" s="15">
        <v>1556.3242190000001</v>
      </c>
      <c r="D203" s="16">
        <v>44.277000000000001</v>
      </c>
      <c r="E203" s="16">
        <v>49.664999999999999</v>
      </c>
      <c r="F203" s="16">
        <v>50.22</v>
      </c>
      <c r="G203" s="16">
        <v>183.53</v>
      </c>
      <c r="H203" s="16">
        <f t="shared" ref="H203:H246" si="10">(6*D203+E203+F203)/8</f>
        <v>45.693375000000003</v>
      </c>
      <c r="I203" s="5"/>
      <c r="J203" s="15">
        <v>1285.8616999999999</v>
      </c>
      <c r="K203" s="16">
        <v>43.378100000000003</v>
      </c>
      <c r="L203" s="16">
        <v>49.314900000000002</v>
      </c>
      <c r="M203" s="16">
        <v>50.346899999999998</v>
      </c>
      <c r="N203" s="16">
        <v>224.94380000000001</v>
      </c>
      <c r="O203" s="16">
        <f t="shared" ref="O203:O246" si="11">(6*K203+L203+M203)/8</f>
        <v>44.991300000000003</v>
      </c>
      <c r="P203" s="7"/>
      <c r="Q203" s="8">
        <f>bdrate(C203:C206,D203:D206,J203:J206,K203:K206)</f>
        <v>-0.18621413900843053</v>
      </c>
      <c r="R203" s="8">
        <f>bdrate(C203:C206,E203:E206,J203:J206,L203:L206)</f>
        <v>-0.31750122993365659</v>
      </c>
      <c r="S203" s="8">
        <f>bdrate(C203:C206,F203:F206,J203:J206,M203:M206)</f>
        <v>-0.35747039677819581</v>
      </c>
      <c r="T203" s="25">
        <f>bdrate(C203:C206,H203:H206,J203:J206,O203:O206)</f>
        <v>-0.22565563246296705</v>
      </c>
      <c r="U203" s="28">
        <f t="shared" si="9"/>
        <v>0.22565139214297394</v>
      </c>
    </row>
    <row r="204" spans="1:21" x14ac:dyDescent="0.25">
      <c r="A204" s="9" t="s">
        <v>77</v>
      </c>
      <c r="B204" s="9"/>
      <c r="C204" s="17">
        <v>1089.993164</v>
      </c>
      <c r="D204" s="18">
        <v>42.389000000000003</v>
      </c>
      <c r="E204" s="18">
        <v>47.917999999999999</v>
      </c>
      <c r="F204" s="18">
        <v>48.482999999999997</v>
      </c>
      <c r="G204" s="18">
        <v>215.47</v>
      </c>
      <c r="H204" s="18">
        <f t="shared" si="10"/>
        <v>43.841875000000002</v>
      </c>
      <c r="I204" s="5"/>
      <c r="J204" s="17">
        <v>874.06290000000001</v>
      </c>
      <c r="K204" s="18">
        <v>41.732700000000001</v>
      </c>
      <c r="L204" s="18">
        <v>48.180300000000003</v>
      </c>
      <c r="M204" s="18">
        <v>49.0242</v>
      </c>
      <c r="N204" s="18">
        <v>258.13850000000002</v>
      </c>
      <c r="O204" s="18">
        <f t="shared" si="11"/>
        <v>43.450087500000002</v>
      </c>
      <c r="P204" s="7"/>
      <c r="Q204" s="10"/>
      <c r="R204" s="11"/>
      <c r="S204" s="11"/>
      <c r="T204" s="26"/>
      <c r="U204" s="28">
        <f t="shared" si="9"/>
        <v>0.19802524713417191</v>
      </c>
    </row>
    <row r="205" spans="1:21" x14ac:dyDescent="0.25">
      <c r="B205" s="9"/>
      <c r="C205" s="17">
        <v>715.75878909999994</v>
      </c>
      <c r="D205" s="18">
        <v>39.963000000000001</v>
      </c>
      <c r="E205" s="18">
        <v>45.956000000000003</v>
      </c>
      <c r="F205" s="18">
        <v>46.662999999999997</v>
      </c>
      <c r="G205" s="18">
        <v>239.31</v>
      </c>
      <c r="H205" s="18">
        <f t="shared" si="10"/>
        <v>41.549625000000006</v>
      </c>
      <c r="I205" s="5"/>
      <c r="J205" s="17">
        <v>533.56209999999999</v>
      </c>
      <c r="K205" s="18">
        <v>39.346299999999999</v>
      </c>
      <c r="L205" s="18">
        <v>46.402000000000001</v>
      </c>
      <c r="M205" s="18">
        <v>47.399099999999997</v>
      </c>
      <c r="N205" s="18">
        <v>311.8503</v>
      </c>
      <c r="O205" s="18">
        <f t="shared" si="11"/>
        <v>41.234862499999998</v>
      </c>
      <c r="P205" s="7"/>
      <c r="Q205" s="10"/>
      <c r="R205" s="11"/>
      <c r="S205" s="11"/>
      <c r="T205" s="26"/>
      <c r="U205" s="28">
        <f t="shared" si="9"/>
        <v>0.30312272784254735</v>
      </c>
    </row>
    <row r="206" spans="1:21" ht="16.5" thickBot="1" x14ac:dyDescent="0.3">
      <c r="B206" s="12"/>
      <c r="C206" s="19">
        <v>496.86425780000002</v>
      </c>
      <c r="D206" s="20">
        <v>36.642000000000003</v>
      </c>
      <c r="E206" s="20">
        <v>43.301000000000002</v>
      </c>
      <c r="F206" s="20">
        <v>44.261000000000003</v>
      </c>
      <c r="G206" s="20">
        <v>241.44</v>
      </c>
      <c r="H206" s="20">
        <f t="shared" si="10"/>
        <v>38.426750000000006</v>
      </c>
      <c r="I206" s="5"/>
      <c r="J206" s="19">
        <v>279.87810000000002</v>
      </c>
      <c r="K206" s="20">
        <v>36.383400000000002</v>
      </c>
      <c r="L206" s="20">
        <v>43.835000000000001</v>
      </c>
      <c r="M206" s="20">
        <v>45.173200000000001</v>
      </c>
      <c r="N206" s="20">
        <v>396.47579999999999</v>
      </c>
      <c r="O206" s="20">
        <f t="shared" si="11"/>
        <v>38.413575000000002</v>
      </c>
      <c r="P206" s="7"/>
      <c r="Q206" s="13"/>
      <c r="R206" s="14"/>
      <c r="S206" s="14"/>
      <c r="T206" s="27"/>
      <c r="U206" s="28">
        <f t="shared" si="9"/>
        <v>0.64212972166998006</v>
      </c>
    </row>
    <row r="207" spans="1:21" x14ac:dyDescent="0.25">
      <c r="B207" s="6" t="s">
        <v>96</v>
      </c>
      <c r="C207" s="15">
        <v>1568.7998050000001</v>
      </c>
      <c r="D207" s="16">
        <v>50.341000000000001</v>
      </c>
      <c r="E207" s="16">
        <v>51.116999999999997</v>
      </c>
      <c r="F207" s="16">
        <v>51.484999999999999</v>
      </c>
      <c r="G207" s="16">
        <v>212.23</v>
      </c>
      <c r="H207" s="16">
        <f t="shared" si="10"/>
        <v>50.581000000000003</v>
      </c>
      <c r="I207" s="5"/>
      <c r="J207" s="15">
        <v>1442.1204</v>
      </c>
      <c r="K207" s="16">
        <v>51.399700000000003</v>
      </c>
      <c r="L207" s="16">
        <v>52.3977</v>
      </c>
      <c r="M207" s="16">
        <v>52.907600000000002</v>
      </c>
      <c r="N207" s="16">
        <v>366.30040000000002</v>
      </c>
      <c r="O207" s="16">
        <f t="shared" si="11"/>
        <v>51.712937500000002</v>
      </c>
      <c r="P207" s="7"/>
      <c r="Q207" s="8">
        <f>bdrate(C207:C210,D207:D210,J207:J210,K207:K210)</f>
        <v>-0.28172875569708</v>
      </c>
      <c r="R207" s="8">
        <f>bdrate(C207:C210,E207:E210,J207:J210,L207:L210)</f>
        <v>-0.32700322011441885</v>
      </c>
      <c r="S207" s="8">
        <f>bdrate(C207:C210,F207:F210,J207:J210,M207:M210)</f>
        <v>-0.34644041690039107</v>
      </c>
      <c r="T207" s="25">
        <f>bdrate(C207:C210,H207:H210,J207:J210,O207:O210)</f>
        <v>-0.2949678970979025</v>
      </c>
      <c r="U207" s="28">
        <f t="shared" si="9"/>
        <v>0.72595957216227702</v>
      </c>
    </row>
    <row r="208" spans="1:21" x14ac:dyDescent="0.25">
      <c r="B208" s="9"/>
      <c r="C208" s="17">
        <v>1087.4970699999999</v>
      </c>
      <c r="D208" s="18">
        <v>48.045999999999999</v>
      </c>
      <c r="E208" s="18">
        <v>48.976999999999997</v>
      </c>
      <c r="F208" s="18">
        <v>49.387</v>
      </c>
      <c r="G208" s="18">
        <v>321.06</v>
      </c>
      <c r="H208" s="18">
        <f t="shared" si="10"/>
        <v>48.33</v>
      </c>
      <c r="I208" s="5"/>
      <c r="J208" s="17">
        <v>975.17129999999997</v>
      </c>
      <c r="K208" s="18">
        <v>49.386800000000001</v>
      </c>
      <c r="L208" s="18">
        <v>50.5351</v>
      </c>
      <c r="M208" s="18">
        <v>51.102499999999999</v>
      </c>
      <c r="N208" s="18">
        <v>418.02140000000003</v>
      </c>
      <c r="O208" s="18">
        <f t="shared" si="11"/>
        <v>49.744800000000005</v>
      </c>
      <c r="P208" s="7"/>
      <c r="Q208" s="10"/>
      <c r="R208" s="11"/>
      <c r="S208" s="11"/>
      <c r="T208" s="26"/>
      <c r="U208" s="28">
        <f t="shared" si="9"/>
        <v>0.30200398679374579</v>
      </c>
    </row>
    <row r="209" spans="2:21" x14ac:dyDescent="0.25">
      <c r="B209" s="9"/>
      <c r="C209" s="17">
        <v>701.40820310000004</v>
      </c>
      <c r="D209" s="18">
        <v>45.402999999999999</v>
      </c>
      <c r="E209" s="18">
        <v>46.555</v>
      </c>
      <c r="F209" s="18">
        <v>46.991999999999997</v>
      </c>
      <c r="G209" s="18">
        <v>325.36</v>
      </c>
      <c r="H209" s="18">
        <f t="shared" si="10"/>
        <v>45.745625000000004</v>
      </c>
      <c r="I209" s="5"/>
      <c r="J209" s="17">
        <v>592.48969999999997</v>
      </c>
      <c r="K209" s="18">
        <v>46.4529</v>
      </c>
      <c r="L209" s="18">
        <v>47.869399999999999</v>
      </c>
      <c r="M209" s="18">
        <v>48.441800000000001</v>
      </c>
      <c r="N209" s="18">
        <v>472.9375</v>
      </c>
      <c r="O209" s="18">
        <f t="shared" si="11"/>
        <v>46.878574999999998</v>
      </c>
      <c r="P209" s="7"/>
      <c r="Q209" s="10"/>
      <c r="R209" s="11"/>
      <c r="S209" s="11"/>
      <c r="T209" s="26"/>
      <c r="U209" s="28">
        <f t="shared" si="9"/>
        <v>0.4535821858864027</v>
      </c>
    </row>
    <row r="210" spans="2:21" ht="16.5" thickBot="1" x14ac:dyDescent="0.3">
      <c r="B210" s="12"/>
      <c r="C210" s="19">
        <v>386.48730469999998</v>
      </c>
      <c r="D210" s="20">
        <v>41.832999999999998</v>
      </c>
      <c r="E210" s="20">
        <v>43.341999999999999</v>
      </c>
      <c r="F210" s="20">
        <v>43.706000000000003</v>
      </c>
      <c r="G210" s="20">
        <v>367.05</v>
      </c>
      <c r="H210" s="20">
        <f t="shared" si="10"/>
        <v>42.255749999999999</v>
      </c>
      <c r="I210" s="5"/>
      <c r="J210" s="19">
        <v>299.57049999999998</v>
      </c>
      <c r="K210" s="20">
        <v>42.117899999999999</v>
      </c>
      <c r="L210" s="20">
        <v>43.979900000000001</v>
      </c>
      <c r="M210" s="20">
        <v>44.548900000000003</v>
      </c>
      <c r="N210" s="20">
        <v>522.04179999999997</v>
      </c>
      <c r="O210" s="20">
        <f t="shared" si="11"/>
        <v>42.654525</v>
      </c>
      <c r="P210" s="7"/>
      <c r="Q210" s="13"/>
      <c r="R210" s="14"/>
      <c r="S210" s="14"/>
      <c r="T210" s="27"/>
      <c r="U210" s="28">
        <f t="shared" si="9"/>
        <v>0.42226345184579744</v>
      </c>
    </row>
    <row r="211" spans="2:21" x14ac:dyDescent="0.25">
      <c r="B211" s="6" t="s">
        <v>97</v>
      </c>
      <c r="C211" s="15">
        <v>1888.9404300000001</v>
      </c>
      <c r="D211" s="16">
        <v>41.131</v>
      </c>
      <c r="E211" s="16">
        <v>43.892000000000003</v>
      </c>
      <c r="F211" s="16">
        <v>44.311</v>
      </c>
      <c r="G211" s="16">
        <v>200.59</v>
      </c>
      <c r="H211" s="16">
        <f t="shared" si="10"/>
        <v>41.873624999999997</v>
      </c>
      <c r="I211" s="5"/>
      <c r="J211" s="15">
        <v>1470.5624</v>
      </c>
      <c r="K211" s="16">
        <v>42.555999999999997</v>
      </c>
      <c r="L211" s="16">
        <v>45.070599999999999</v>
      </c>
      <c r="M211" s="16">
        <v>45.501100000000001</v>
      </c>
      <c r="N211" s="16">
        <v>267.06229999999999</v>
      </c>
      <c r="O211" s="16">
        <f t="shared" si="11"/>
        <v>43.238462499999997</v>
      </c>
      <c r="P211" s="7"/>
      <c r="Q211" s="8">
        <f>bdrate(C211:C214,D211:D214,J211:J214,K211:K214)</f>
        <v>-0.44585673424774608</v>
      </c>
      <c r="R211" s="8">
        <f>bdrate(C211:C214,E211:E214,J211:J214,L211:L214)</f>
        <v>-0.48222531600223895</v>
      </c>
      <c r="S211" s="8">
        <f>bdrate(C211:C214,F211:F214,J211:J214,M211:M214)</f>
        <v>-0.48679516702916392</v>
      </c>
      <c r="T211" s="25">
        <f>bdrate(C211:C214,H211:H214,J211:J214,O211:O214)</f>
        <v>-0.45410480028734446</v>
      </c>
      <c r="U211" s="28">
        <f t="shared" si="9"/>
        <v>0.33138391744354151</v>
      </c>
    </row>
    <row r="212" spans="2:21" x14ac:dyDescent="0.25">
      <c r="B212" s="9"/>
      <c r="C212" s="17">
        <v>1324.654297</v>
      </c>
      <c r="D212" s="18">
        <v>39.229999999999997</v>
      </c>
      <c r="E212" s="18">
        <v>42.357999999999997</v>
      </c>
      <c r="F212" s="18">
        <v>42.789000000000001</v>
      </c>
      <c r="G212" s="18">
        <v>237.32</v>
      </c>
      <c r="H212" s="18">
        <f t="shared" si="10"/>
        <v>40.065874999999998</v>
      </c>
      <c r="I212" s="5"/>
      <c r="J212" s="17">
        <v>983.94799999999998</v>
      </c>
      <c r="K212" s="18">
        <v>40.645000000000003</v>
      </c>
      <c r="L212" s="18">
        <v>43.589599999999997</v>
      </c>
      <c r="M212" s="18">
        <v>44.027299999999997</v>
      </c>
      <c r="N212" s="18">
        <v>310.1309</v>
      </c>
      <c r="O212" s="18">
        <f t="shared" si="11"/>
        <v>41.435862499999999</v>
      </c>
      <c r="P212" s="7"/>
      <c r="Q212" s="10"/>
      <c r="R212" s="11"/>
      <c r="S212" s="11"/>
      <c r="T212" s="26"/>
      <c r="U212" s="28">
        <f t="shared" si="9"/>
        <v>0.30680473622113602</v>
      </c>
    </row>
    <row r="213" spans="2:21" x14ac:dyDescent="0.25">
      <c r="B213" s="9"/>
      <c r="C213" s="17">
        <v>871.17480469999998</v>
      </c>
      <c r="D213" s="18">
        <v>36.963000000000001</v>
      </c>
      <c r="E213" s="18">
        <v>40.593000000000004</v>
      </c>
      <c r="F213" s="18">
        <v>40.954000000000001</v>
      </c>
      <c r="G213" s="18">
        <v>254.92</v>
      </c>
      <c r="H213" s="18">
        <f t="shared" si="10"/>
        <v>37.915625000000006</v>
      </c>
      <c r="I213" s="5"/>
      <c r="J213" s="17">
        <v>593.23710000000005</v>
      </c>
      <c r="K213" s="18">
        <v>38.055599999999998</v>
      </c>
      <c r="L213" s="18">
        <v>41.712600000000002</v>
      </c>
      <c r="M213" s="18">
        <v>42.137300000000003</v>
      </c>
      <c r="N213" s="18">
        <v>356.0831</v>
      </c>
      <c r="O213" s="18">
        <f t="shared" si="11"/>
        <v>39.022937499999998</v>
      </c>
      <c r="P213" s="7"/>
      <c r="Q213" s="10"/>
      <c r="R213" s="11"/>
      <c r="S213" s="11"/>
      <c r="T213" s="26"/>
      <c r="U213" s="28">
        <f t="shared" si="9"/>
        <v>0.39684253883571324</v>
      </c>
    </row>
    <row r="214" spans="2:21" ht="16.5" thickBot="1" x14ac:dyDescent="0.3">
      <c r="B214" s="12"/>
      <c r="C214" s="19">
        <v>540.36132810000004</v>
      </c>
      <c r="D214" s="20">
        <v>34.112000000000002</v>
      </c>
      <c r="E214" s="20">
        <v>38.365000000000002</v>
      </c>
      <c r="F214" s="20">
        <v>38.744999999999997</v>
      </c>
      <c r="G214" s="20">
        <v>272.27</v>
      </c>
      <c r="H214" s="20">
        <f t="shared" si="10"/>
        <v>35.222750000000005</v>
      </c>
      <c r="I214" s="5"/>
      <c r="J214" s="19">
        <v>297.2321</v>
      </c>
      <c r="K214" s="20">
        <v>34.368400000000001</v>
      </c>
      <c r="L214" s="20">
        <v>39.151299999999999</v>
      </c>
      <c r="M214" s="20">
        <v>39.622</v>
      </c>
      <c r="N214" s="20">
        <v>422.7337</v>
      </c>
      <c r="O214" s="20">
        <f t="shared" si="11"/>
        <v>35.6229625</v>
      </c>
      <c r="P214" s="7"/>
      <c r="Q214" s="13"/>
      <c r="R214" s="14"/>
      <c r="S214" s="14"/>
      <c r="T214" s="27"/>
      <c r="U214" s="28">
        <f t="shared" si="9"/>
        <v>0.55262680427516808</v>
      </c>
    </row>
    <row r="215" spans="2:21" x14ac:dyDescent="0.25">
      <c r="B215" s="6" t="s">
        <v>98</v>
      </c>
      <c r="C215" s="29">
        <v>1767.345703</v>
      </c>
      <c r="D215" s="30">
        <v>37.582000000000001</v>
      </c>
      <c r="E215" s="30">
        <v>42.463999999999999</v>
      </c>
      <c r="F215" s="30">
        <v>42.445999999999998</v>
      </c>
      <c r="G215" s="16">
        <v>183.72</v>
      </c>
      <c r="H215" s="16">
        <f t="shared" si="10"/>
        <v>38.800250000000005</v>
      </c>
      <c r="I215" s="5"/>
      <c r="J215" s="29">
        <v>1492.7491</v>
      </c>
      <c r="K215" s="30">
        <v>38.954999999999998</v>
      </c>
      <c r="L215" s="30">
        <v>43.576099999999997</v>
      </c>
      <c r="M215" s="30">
        <v>43.551400000000001</v>
      </c>
      <c r="N215" s="16">
        <v>244.4324</v>
      </c>
      <c r="O215" s="16">
        <f t="shared" si="11"/>
        <v>40.107187500000002</v>
      </c>
      <c r="P215" s="7"/>
      <c r="Q215" s="8">
        <f>bdrate(C215:C218,D215:D218,J215:J218,K215:K218)</f>
        <v>-0.39128708451768024</v>
      </c>
      <c r="R215" s="8">
        <f>bdrate(C215:C218,E215:E218,J215:J218,L215:L218)</f>
        <v>-0.48040704092804842</v>
      </c>
      <c r="S215" s="8">
        <f>bdrate(C215:C218,F215:F218,J215:J218,M215:M218)</f>
        <v>-0.4765107560240891</v>
      </c>
      <c r="T215" s="25">
        <f>bdrate(C215:C218,H215:H218,J215:J218,O215:O218)</f>
        <v>-0.4113059299279318</v>
      </c>
      <c r="U215" s="28">
        <f t="shared" si="9"/>
        <v>0.33046157195732639</v>
      </c>
    </row>
    <row r="216" spans="2:21" x14ac:dyDescent="0.25">
      <c r="B216" s="9"/>
      <c r="C216" s="31">
        <v>1219.7861330000001</v>
      </c>
      <c r="D216" s="32">
        <v>35.786000000000001</v>
      </c>
      <c r="E216" s="32">
        <v>40.966000000000001</v>
      </c>
      <c r="F216" s="32">
        <v>40.951999999999998</v>
      </c>
      <c r="G216" s="18">
        <v>212.02</v>
      </c>
      <c r="H216" s="18">
        <f t="shared" si="10"/>
        <v>37.079250000000002</v>
      </c>
      <c r="I216" s="5"/>
      <c r="J216" s="31">
        <v>995.62639999999999</v>
      </c>
      <c r="K216" s="32">
        <v>37.047899999999998</v>
      </c>
      <c r="L216" s="32">
        <v>42.250999999999998</v>
      </c>
      <c r="M216" s="32">
        <v>42.221600000000002</v>
      </c>
      <c r="N216" s="18">
        <v>278.03519999999997</v>
      </c>
      <c r="O216" s="18">
        <f t="shared" si="11"/>
        <v>38.344999999999999</v>
      </c>
      <c r="P216" s="7"/>
      <c r="Q216" s="10"/>
      <c r="R216" s="11"/>
      <c r="S216" s="11"/>
      <c r="T216" s="26"/>
      <c r="U216" s="28">
        <f t="shared" si="9"/>
        <v>0.31136307895481541</v>
      </c>
    </row>
    <row r="217" spans="2:21" x14ac:dyDescent="0.25">
      <c r="B217" s="9"/>
      <c r="C217" s="31">
        <v>763.02832030000002</v>
      </c>
      <c r="D217" s="32">
        <v>33.51</v>
      </c>
      <c r="E217" s="32">
        <v>39.082000000000001</v>
      </c>
      <c r="F217" s="32">
        <v>39.054000000000002</v>
      </c>
      <c r="G217" s="18">
        <v>221.08</v>
      </c>
      <c r="H217" s="18">
        <f t="shared" si="10"/>
        <v>34.899500000000003</v>
      </c>
      <c r="I217" s="5"/>
      <c r="J217" s="31">
        <v>601.52790000000005</v>
      </c>
      <c r="K217" s="32">
        <v>34.741599999999998</v>
      </c>
      <c r="L217" s="32">
        <v>40.679099999999998</v>
      </c>
      <c r="M217" s="32">
        <v>40.638100000000001</v>
      </c>
      <c r="N217" s="18">
        <v>325.90980000000002</v>
      </c>
      <c r="O217" s="18">
        <f t="shared" si="11"/>
        <v>36.220849999999999</v>
      </c>
      <c r="P217" s="7"/>
      <c r="Q217" s="10"/>
      <c r="R217" s="11"/>
      <c r="S217" s="11"/>
      <c r="T217" s="26"/>
      <c r="U217" s="28">
        <f t="shared" si="9"/>
        <v>0.47417134069115252</v>
      </c>
    </row>
    <row r="218" spans="2:21" ht="16.5" thickBot="1" x14ac:dyDescent="0.3">
      <c r="B218" s="12"/>
      <c r="C218" s="33">
        <v>439.62792969999998</v>
      </c>
      <c r="D218" s="34">
        <v>30.878</v>
      </c>
      <c r="E218" s="34">
        <v>36.896000000000001</v>
      </c>
      <c r="F218" s="34">
        <v>36.790999999999997</v>
      </c>
      <c r="G218" s="20">
        <v>247.03</v>
      </c>
      <c r="H218" s="20">
        <f t="shared" si="10"/>
        <v>32.369374999999998</v>
      </c>
      <c r="I218" s="5"/>
      <c r="J218" s="33">
        <v>301.65769999999998</v>
      </c>
      <c r="K218" s="34">
        <v>31.673400000000001</v>
      </c>
      <c r="L218" s="34">
        <v>38.764299999999999</v>
      </c>
      <c r="M218" s="34">
        <v>38.654600000000002</v>
      </c>
      <c r="N218" s="20">
        <v>404.85829999999999</v>
      </c>
      <c r="O218" s="20">
        <f t="shared" si="11"/>
        <v>33.432412499999998</v>
      </c>
      <c r="P218" s="7"/>
      <c r="Q218" s="13"/>
      <c r="R218" s="14"/>
      <c r="S218" s="14"/>
      <c r="T218" s="27"/>
      <c r="U218" s="28">
        <f t="shared" si="9"/>
        <v>0.63890337206007364</v>
      </c>
    </row>
    <row r="219" spans="2:21" x14ac:dyDescent="0.25">
      <c r="B219" s="6" t="s">
        <v>99</v>
      </c>
      <c r="C219" s="15">
        <v>1568.3720699999999</v>
      </c>
      <c r="D219" s="16">
        <v>34.878</v>
      </c>
      <c r="E219" s="16">
        <v>39.542000000000002</v>
      </c>
      <c r="F219" s="16">
        <v>40.273000000000003</v>
      </c>
      <c r="G219" s="16">
        <v>201.59</v>
      </c>
      <c r="H219" s="16">
        <f t="shared" si="10"/>
        <v>36.135375000000003</v>
      </c>
      <c r="I219" s="5"/>
      <c r="J219" s="15">
        <v>1499.8879999999999</v>
      </c>
      <c r="K219" s="16">
        <v>36.868600000000001</v>
      </c>
      <c r="L219" s="16">
        <v>41.513399999999997</v>
      </c>
      <c r="M219" s="16">
        <v>42.047199999999997</v>
      </c>
      <c r="N219" s="16">
        <v>247.083</v>
      </c>
      <c r="O219" s="16">
        <f t="shared" si="11"/>
        <v>38.096525</v>
      </c>
      <c r="P219" s="7"/>
      <c r="Q219" s="8">
        <f>bdrate(C219:C222,D219:D222,J219:J222,K219:K222)</f>
        <v>-0.34702015598969982</v>
      </c>
      <c r="R219" s="8">
        <f>bdrate(C219:C222,E219:E222,J219:J222,L219:L222)</f>
        <v>-0.50027166196464634</v>
      </c>
      <c r="S219" s="8">
        <f>bdrate(C219:C222,F219:F222,J219:J222,M219:M222)</f>
        <v>-0.47584200007803767</v>
      </c>
      <c r="T219" s="25">
        <f>bdrate(C219:C222,H219:H222,J219:J222,O219:O222)</f>
        <v>-0.38016158544621481</v>
      </c>
      <c r="U219" s="28">
        <f t="shared" si="9"/>
        <v>0.22567091621608212</v>
      </c>
    </row>
    <row r="220" spans="2:21" x14ac:dyDescent="0.25">
      <c r="B220" s="9"/>
      <c r="C220" s="17">
        <v>1078.921875</v>
      </c>
      <c r="D220" s="18">
        <v>33.237000000000002</v>
      </c>
      <c r="E220" s="18">
        <v>38.11</v>
      </c>
      <c r="F220" s="18">
        <v>38.927999999999997</v>
      </c>
      <c r="G220" s="18">
        <v>233.87</v>
      </c>
      <c r="H220" s="18">
        <f t="shared" si="10"/>
        <v>34.557500000000005</v>
      </c>
      <c r="I220" s="5"/>
      <c r="J220" s="17">
        <v>1003.8531</v>
      </c>
      <c r="K220" s="18">
        <v>34.947699999999998</v>
      </c>
      <c r="L220" s="18">
        <v>40.097999999999999</v>
      </c>
      <c r="M220" s="18">
        <v>40.685899999999997</v>
      </c>
      <c r="N220" s="18">
        <v>278.72410000000002</v>
      </c>
      <c r="O220" s="18">
        <f t="shared" si="11"/>
        <v>36.3087625</v>
      </c>
      <c r="P220" s="7"/>
      <c r="Q220" s="10"/>
      <c r="R220" s="11"/>
      <c r="S220" s="11"/>
      <c r="T220" s="26"/>
      <c r="U220" s="28">
        <f t="shared" si="9"/>
        <v>0.191790738444435</v>
      </c>
    </row>
    <row r="221" spans="2:21" x14ac:dyDescent="0.25">
      <c r="B221" s="9"/>
      <c r="C221" s="17">
        <v>673.7578125</v>
      </c>
      <c r="D221" s="18">
        <v>31.219000000000001</v>
      </c>
      <c r="E221" s="18">
        <v>36.356999999999999</v>
      </c>
      <c r="F221" s="18">
        <v>37.284999999999997</v>
      </c>
      <c r="G221" s="18">
        <v>251.43</v>
      </c>
      <c r="H221" s="18">
        <f t="shared" si="10"/>
        <v>32.619500000000002</v>
      </c>
      <c r="I221" s="5"/>
      <c r="J221" s="17">
        <v>599.44949999999994</v>
      </c>
      <c r="K221" s="18">
        <v>32.595799999999997</v>
      </c>
      <c r="L221" s="18">
        <v>38.411000000000001</v>
      </c>
      <c r="M221" s="18">
        <v>39.064300000000003</v>
      </c>
      <c r="N221" s="18">
        <v>327.8091</v>
      </c>
      <c r="O221" s="18">
        <f t="shared" si="11"/>
        <v>34.131262499999998</v>
      </c>
      <c r="P221" s="7"/>
      <c r="Q221" s="10"/>
      <c r="R221" s="11"/>
      <c r="S221" s="11"/>
      <c r="T221" s="26"/>
      <c r="U221" s="28">
        <f t="shared" si="9"/>
        <v>0.3037787853478105</v>
      </c>
    </row>
    <row r="222" spans="2:21" ht="16.5" thickBot="1" x14ac:dyDescent="0.3">
      <c r="B222" s="12"/>
      <c r="C222" s="19">
        <v>416.38085940000002</v>
      </c>
      <c r="D222" s="20">
        <v>29.170999999999999</v>
      </c>
      <c r="E222" s="20">
        <v>34.566000000000003</v>
      </c>
      <c r="F222" s="20">
        <v>35.505000000000003</v>
      </c>
      <c r="G222" s="20">
        <v>263.07</v>
      </c>
      <c r="H222" s="20">
        <f t="shared" si="10"/>
        <v>30.637125000000001</v>
      </c>
      <c r="I222" s="5"/>
      <c r="J222" s="19">
        <v>298.08749999999998</v>
      </c>
      <c r="K222" s="20">
        <v>29.343</v>
      </c>
      <c r="L222" s="20">
        <v>36.223700000000001</v>
      </c>
      <c r="M222" s="20">
        <v>36.969200000000001</v>
      </c>
      <c r="N222" s="20">
        <v>403.40649999999999</v>
      </c>
      <c r="O222" s="20">
        <f t="shared" si="11"/>
        <v>31.1563625</v>
      </c>
      <c r="P222" s="7"/>
      <c r="Q222" s="13"/>
      <c r="R222" s="14"/>
      <c r="S222" s="14"/>
      <c r="T222" s="27"/>
      <c r="U222" s="28">
        <f t="shared" si="9"/>
        <v>0.53345687459611513</v>
      </c>
    </row>
    <row r="223" spans="2:21" x14ac:dyDescent="0.25">
      <c r="B223" s="6" t="s">
        <v>100</v>
      </c>
      <c r="C223" s="15">
        <v>1646.8408199999999</v>
      </c>
      <c r="D223" s="16">
        <v>36.095999999999997</v>
      </c>
      <c r="E223" s="16">
        <v>41.741999999999997</v>
      </c>
      <c r="F223" s="16">
        <v>43.46</v>
      </c>
      <c r="G223" s="16">
        <v>177.79</v>
      </c>
      <c r="H223" s="16">
        <f t="shared" si="10"/>
        <v>37.722249999999995</v>
      </c>
      <c r="I223" s="5"/>
      <c r="J223" s="15">
        <v>1508.4127000000001</v>
      </c>
      <c r="K223" s="16">
        <v>37.103700000000003</v>
      </c>
      <c r="L223" s="16">
        <v>43.130099999999999</v>
      </c>
      <c r="M223" s="16">
        <v>44.557200000000002</v>
      </c>
      <c r="N223" s="16">
        <v>235.9418</v>
      </c>
      <c r="O223" s="16">
        <f t="shared" si="11"/>
        <v>38.788687500000002</v>
      </c>
      <c r="P223" s="7"/>
      <c r="Q223" s="8">
        <f>bdrate(C223:C226,D223:D226,J223:J226,K223:K226)</f>
        <v>-0.36700431355981489</v>
      </c>
      <c r="R223" s="8">
        <f>bdrate(C223:C226,E223:E226,J223:J226,L223:L226)</f>
        <v>-0.54357568380983157</v>
      </c>
      <c r="S223" s="8">
        <f>bdrate(C223:C226,F223:F226,J223:J226,M223:M226)</f>
        <v>-0.47122655003759828</v>
      </c>
      <c r="T223" s="25">
        <f>bdrate(C223:C226,H223:H226,J223:J226,O223:O226)</f>
        <v>-0.400051910940731</v>
      </c>
      <c r="U223" s="28">
        <f t="shared" si="9"/>
        <v>0.32708138815456445</v>
      </c>
    </row>
    <row r="224" spans="2:21" x14ac:dyDescent="0.25">
      <c r="B224" s="9"/>
      <c r="C224" s="17">
        <v>1107.8330080000001</v>
      </c>
      <c r="D224" s="18">
        <v>34.639000000000003</v>
      </c>
      <c r="E224" s="18">
        <v>40.603000000000002</v>
      </c>
      <c r="F224" s="18">
        <v>42.155999999999999</v>
      </c>
      <c r="G224" s="18">
        <v>195.55</v>
      </c>
      <c r="H224" s="18">
        <f t="shared" si="10"/>
        <v>36.324125000000002</v>
      </c>
      <c r="I224" s="5"/>
      <c r="J224" s="17">
        <v>1004.0333000000001</v>
      </c>
      <c r="K224" s="18">
        <v>35.679000000000002</v>
      </c>
      <c r="L224" s="18">
        <v>42.124600000000001</v>
      </c>
      <c r="M224" s="18">
        <v>43.435400000000001</v>
      </c>
      <c r="N224" s="18">
        <v>270.1891</v>
      </c>
      <c r="O224" s="18">
        <f t="shared" si="11"/>
        <v>37.454250000000002</v>
      </c>
      <c r="P224" s="7"/>
      <c r="Q224" s="10"/>
      <c r="R224" s="11"/>
      <c r="S224" s="11"/>
      <c r="T224" s="26"/>
      <c r="U224" s="28">
        <f t="shared" si="9"/>
        <v>0.38168805931986693</v>
      </c>
    </row>
    <row r="225" spans="2:21" x14ac:dyDescent="0.25">
      <c r="B225" s="9"/>
      <c r="C225" s="17">
        <v>673.56445310000004</v>
      </c>
      <c r="D225" s="18">
        <v>32.755000000000003</v>
      </c>
      <c r="E225" s="18">
        <v>39.101999999999997</v>
      </c>
      <c r="F225" s="18">
        <v>40.332999999999998</v>
      </c>
      <c r="G225" s="18">
        <v>223.65</v>
      </c>
      <c r="H225" s="18">
        <f t="shared" si="10"/>
        <v>34.495625000000004</v>
      </c>
      <c r="I225" s="5"/>
      <c r="J225" s="17">
        <v>604.02449999999999</v>
      </c>
      <c r="K225" s="18">
        <v>34.034700000000001</v>
      </c>
      <c r="L225" s="18">
        <v>40.9803</v>
      </c>
      <c r="M225" s="18">
        <v>42.147199999999998</v>
      </c>
      <c r="N225" s="18">
        <v>317.85270000000003</v>
      </c>
      <c r="O225" s="18">
        <f t="shared" si="11"/>
        <v>35.916962499999997</v>
      </c>
      <c r="P225" s="7"/>
      <c r="Q225" s="10"/>
      <c r="R225" s="11"/>
      <c r="S225" s="11"/>
      <c r="T225" s="26"/>
      <c r="U225" s="28">
        <f t="shared" si="9"/>
        <v>0.4212059020791416</v>
      </c>
    </row>
    <row r="226" spans="2:21" ht="16.5" thickBot="1" x14ac:dyDescent="0.3">
      <c r="B226" s="12"/>
      <c r="C226" s="19">
        <v>366.09863280000002</v>
      </c>
      <c r="D226" s="20">
        <v>30.68</v>
      </c>
      <c r="E226" s="20">
        <v>37.249000000000002</v>
      </c>
      <c r="F226" s="20">
        <v>37.97</v>
      </c>
      <c r="G226" s="20">
        <v>255.95</v>
      </c>
      <c r="H226" s="20">
        <f t="shared" si="10"/>
        <v>32.412374999999997</v>
      </c>
      <c r="I226" s="5"/>
      <c r="J226" s="19">
        <v>302.57799999999997</v>
      </c>
      <c r="K226" s="20">
        <v>31.952000000000002</v>
      </c>
      <c r="L226" s="20">
        <v>39.515300000000003</v>
      </c>
      <c r="M226" s="20">
        <v>40.465200000000003</v>
      </c>
      <c r="N226" s="20">
        <v>395.17009999999999</v>
      </c>
      <c r="O226" s="20">
        <f t="shared" si="11"/>
        <v>33.961562499999999</v>
      </c>
      <c r="P226" s="7"/>
      <c r="Q226" s="13"/>
      <c r="R226" s="14"/>
      <c r="S226" s="14"/>
      <c r="T226" s="27"/>
      <c r="U226" s="28">
        <f t="shared" si="9"/>
        <v>0.54393475288142223</v>
      </c>
    </row>
    <row r="227" spans="2:21" x14ac:dyDescent="0.25">
      <c r="B227" s="6" t="s">
        <v>101</v>
      </c>
      <c r="C227" s="15">
        <v>1487.100586</v>
      </c>
      <c r="D227" s="16">
        <v>44.356999999999999</v>
      </c>
      <c r="E227" s="16">
        <v>49.048000000000002</v>
      </c>
      <c r="F227" s="16">
        <v>50.692</v>
      </c>
      <c r="G227" s="16">
        <v>215.82</v>
      </c>
      <c r="H227" s="16">
        <f t="shared" si="10"/>
        <v>45.735250000000001</v>
      </c>
      <c r="I227" s="5"/>
      <c r="J227" s="15">
        <v>1499.5565999999999</v>
      </c>
      <c r="K227" s="16">
        <v>47.317300000000003</v>
      </c>
      <c r="L227" s="16">
        <v>52.920299999999997</v>
      </c>
      <c r="M227" s="16">
        <v>54.265700000000002</v>
      </c>
      <c r="N227" s="16">
        <v>286.14600000000002</v>
      </c>
      <c r="O227" s="16">
        <f t="shared" si="11"/>
        <v>48.886225000000003</v>
      </c>
      <c r="P227" s="7"/>
      <c r="Q227" s="8">
        <f>bdrate(C227:C230,D227:D230,J227:J230,K227:K230)</f>
        <v>-0.4563362338213699</v>
      </c>
      <c r="R227" s="8">
        <f>bdrate(C227:C230,E227:E230,J227:J230,L227:L230)</f>
        <v>-0.59814281591413454</v>
      </c>
      <c r="S227" s="8">
        <f>bdrate(C227:C230,F227:F230,J227:J230,M227:M230)</f>
        <v>-0.56242722529667355</v>
      </c>
      <c r="T227" s="25">
        <f>bdrate(C227:C230,H227:H230,J227:J230,O227:O230)</f>
        <v>-0.48895086336050686</v>
      </c>
      <c r="U227" s="28">
        <f t="shared" si="9"/>
        <v>0.32585487906588834</v>
      </c>
    </row>
    <row r="228" spans="2:21" x14ac:dyDescent="0.25">
      <c r="B228" s="9"/>
      <c r="C228" s="17">
        <v>1021.200195</v>
      </c>
      <c r="D228" s="18">
        <v>42.616999999999997</v>
      </c>
      <c r="E228" s="18">
        <v>47.429000000000002</v>
      </c>
      <c r="F228" s="18">
        <v>49.2</v>
      </c>
      <c r="G228" s="18">
        <v>267.61</v>
      </c>
      <c r="H228" s="18">
        <f t="shared" si="10"/>
        <v>44.041374999999995</v>
      </c>
      <c r="I228" s="5"/>
      <c r="J228" s="17">
        <v>1002.3271999999999</v>
      </c>
      <c r="K228" s="18">
        <v>45.483600000000003</v>
      </c>
      <c r="L228" s="18">
        <v>51.296700000000001</v>
      </c>
      <c r="M228" s="18">
        <v>52.691600000000001</v>
      </c>
      <c r="N228" s="18">
        <v>328.52449999999999</v>
      </c>
      <c r="O228" s="18">
        <f t="shared" si="11"/>
        <v>47.111237500000001</v>
      </c>
      <c r="P228" s="7"/>
      <c r="Q228" s="10"/>
      <c r="R228" s="11"/>
      <c r="S228" s="11"/>
      <c r="T228" s="26"/>
      <c r="U228" s="28">
        <f t="shared" si="9"/>
        <v>0.2276241545532677</v>
      </c>
    </row>
    <row r="229" spans="2:21" x14ac:dyDescent="0.25">
      <c r="B229" s="9"/>
      <c r="C229" s="17">
        <v>628.52050780000002</v>
      </c>
      <c r="D229" s="18">
        <v>40.588000000000001</v>
      </c>
      <c r="E229" s="18">
        <v>45.506999999999998</v>
      </c>
      <c r="F229" s="18">
        <v>47.302</v>
      </c>
      <c r="G229" s="18">
        <v>283.36</v>
      </c>
      <c r="H229" s="18">
        <f t="shared" si="10"/>
        <v>42.042125000000006</v>
      </c>
      <c r="I229" s="5"/>
      <c r="J229" s="17">
        <v>602.36040000000003</v>
      </c>
      <c r="K229" s="18">
        <v>43.085700000000003</v>
      </c>
      <c r="L229" s="18">
        <v>49.121400000000001</v>
      </c>
      <c r="M229" s="18">
        <v>50.528399999999998</v>
      </c>
      <c r="N229" s="18">
        <v>386.9649</v>
      </c>
      <c r="O229" s="18">
        <f t="shared" si="11"/>
        <v>44.770499999999998</v>
      </c>
      <c r="P229" s="7"/>
      <c r="Q229" s="10"/>
      <c r="R229" s="11"/>
      <c r="S229" s="11"/>
      <c r="T229" s="26"/>
      <c r="U229" s="28">
        <f t="shared" si="9"/>
        <v>0.36562994071146238</v>
      </c>
    </row>
    <row r="230" spans="2:21" ht="16.5" thickBot="1" x14ac:dyDescent="0.3">
      <c r="B230" s="12"/>
      <c r="C230" s="19">
        <v>320.25488280000002</v>
      </c>
      <c r="D230" s="20">
        <v>37.869999999999997</v>
      </c>
      <c r="E230" s="20">
        <v>42.890999999999998</v>
      </c>
      <c r="F230" s="20">
        <v>44.575000000000003</v>
      </c>
      <c r="G230" s="20">
        <v>318.48</v>
      </c>
      <c r="H230" s="20">
        <f t="shared" si="10"/>
        <v>39.335749999999997</v>
      </c>
      <c r="I230" s="5"/>
      <c r="J230" s="19">
        <v>302.67750000000001</v>
      </c>
      <c r="K230" s="20">
        <v>39.863599999999998</v>
      </c>
      <c r="L230" s="20">
        <v>46.094099999999997</v>
      </c>
      <c r="M230" s="20">
        <v>47.488999999999997</v>
      </c>
      <c r="N230" s="20">
        <v>441.90620000000001</v>
      </c>
      <c r="O230" s="20">
        <f t="shared" si="11"/>
        <v>41.595587500000001</v>
      </c>
      <c r="P230" s="7"/>
      <c r="Q230" s="13"/>
      <c r="R230" s="14"/>
      <c r="S230" s="14"/>
      <c r="T230" s="27"/>
      <c r="U230" s="28">
        <f t="shared" si="9"/>
        <v>0.38754772670183368</v>
      </c>
    </row>
    <row r="231" spans="2:21" x14ac:dyDescent="0.25">
      <c r="B231" s="6" t="s">
        <v>102</v>
      </c>
      <c r="C231" s="15">
        <v>1593.5273440000001</v>
      </c>
      <c r="D231" s="16">
        <v>30.074999999999999</v>
      </c>
      <c r="E231" s="16">
        <v>38.508000000000003</v>
      </c>
      <c r="F231" s="16">
        <v>37.901000000000003</v>
      </c>
      <c r="G231" s="16">
        <v>165.27</v>
      </c>
      <c r="H231" s="16">
        <f t="shared" si="10"/>
        <v>32.107374999999998</v>
      </c>
      <c r="I231" s="5"/>
      <c r="J231" s="15">
        <v>1495.4557</v>
      </c>
      <c r="K231" s="16">
        <v>31.929500000000001</v>
      </c>
      <c r="L231" s="16">
        <v>40.285600000000002</v>
      </c>
      <c r="M231" s="16">
        <v>39.692399999999999</v>
      </c>
      <c r="N231" s="16">
        <v>188.54089999999999</v>
      </c>
      <c r="O231" s="16">
        <f t="shared" si="11"/>
        <v>33.944375000000001</v>
      </c>
      <c r="P231" s="7"/>
      <c r="Q231" s="8">
        <f>bdrate(C231:C234,D231:D234,J231:J234,K231:K234)</f>
        <v>-0.36204093903124324</v>
      </c>
      <c r="R231" s="8">
        <f>bdrate(C231:C234,E231:E234,J231:J234,L231:L234)</f>
        <v>-0.57677918517874815</v>
      </c>
      <c r="S231" s="8">
        <f>bdrate(C231:C234,F231:F234,J231:J234,M231:M234)</f>
        <v>-0.56147070334762628</v>
      </c>
      <c r="T231" s="25">
        <f>bdrate(C231:C234,H231:H234,J231:J234,O231:O234)</f>
        <v>-0.4107735179966181</v>
      </c>
      <c r="U231" s="28">
        <f t="shared" si="9"/>
        <v>0.14080534882313778</v>
      </c>
    </row>
    <row r="232" spans="2:21" x14ac:dyDescent="0.25">
      <c r="B232" s="9"/>
      <c r="C232" s="17">
        <v>1128.1865230000001</v>
      </c>
      <c r="D232" s="18">
        <v>28.687000000000001</v>
      </c>
      <c r="E232" s="18">
        <v>37.198</v>
      </c>
      <c r="F232" s="18">
        <v>36.633000000000003</v>
      </c>
      <c r="G232" s="18">
        <v>186.42</v>
      </c>
      <c r="H232" s="18">
        <f t="shared" si="10"/>
        <v>30.744125000000004</v>
      </c>
      <c r="I232" s="5"/>
      <c r="J232" s="17">
        <v>995.61829999999998</v>
      </c>
      <c r="K232" s="18">
        <v>30.162299999999998</v>
      </c>
      <c r="L232" s="18">
        <v>39.290500000000002</v>
      </c>
      <c r="M232" s="18">
        <v>38.649099999999997</v>
      </c>
      <c r="N232" s="18">
        <v>221.48390000000001</v>
      </c>
      <c r="O232" s="18">
        <f t="shared" si="11"/>
        <v>32.364174999999996</v>
      </c>
      <c r="P232" s="7"/>
      <c r="Q232" s="10"/>
      <c r="R232" s="11"/>
      <c r="S232" s="11"/>
      <c r="T232" s="26"/>
      <c r="U232" s="28">
        <f t="shared" si="9"/>
        <v>0.18809087007831787</v>
      </c>
    </row>
    <row r="233" spans="2:21" x14ac:dyDescent="0.25">
      <c r="B233" s="9"/>
      <c r="C233" s="17">
        <v>858.03515630000004</v>
      </c>
      <c r="D233" s="18">
        <v>27.698</v>
      </c>
      <c r="E233" s="18">
        <v>36.155999999999999</v>
      </c>
      <c r="F233" s="18">
        <v>35.588000000000001</v>
      </c>
      <c r="G233" s="18">
        <v>193.97</v>
      </c>
      <c r="H233" s="18">
        <f t="shared" si="10"/>
        <v>29.741499999999998</v>
      </c>
      <c r="I233" s="5"/>
      <c r="J233" s="17">
        <v>597.88279999999997</v>
      </c>
      <c r="K233" s="18">
        <v>27.942399999999999</v>
      </c>
      <c r="L233" s="18">
        <v>37.915300000000002</v>
      </c>
      <c r="M233" s="18">
        <v>37.201999999999998</v>
      </c>
      <c r="N233" s="18">
        <v>272.10879999999997</v>
      </c>
      <c r="O233" s="18">
        <f t="shared" si="11"/>
        <v>30.346462500000001</v>
      </c>
      <c r="P233" s="7"/>
      <c r="Q233" s="10"/>
      <c r="R233" s="11"/>
      <c r="S233" s="11"/>
      <c r="T233" s="26"/>
      <c r="U233" s="28">
        <f t="shared" si="9"/>
        <v>0.40283961437335658</v>
      </c>
    </row>
    <row r="234" spans="2:21" ht="16.5" thickBot="1" x14ac:dyDescent="0.3">
      <c r="B234" s="12"/>
      <c r="C234" s="19">
        <v>688.82226560000004</v>
      </c>
      <c r="D234" s="20">
        <v>26.805</v>
      </c>
      <c r="E234" s="20">
        <v>34.996000000000002</v>
      </c>
      <c r="F234" s="20">
        <v>34.47</v>
      </c>
      <c r="G234" s="20">
        <v>198.21</v>
      </c>
      <c r="H234" s="20">
        <f t="shared" si="10"/>
        <v>28.786999999999999</v>
      </c>
      <c r="I234" s="5"/>
      <c r="J234" s="19">
        <v>299.48349999999999</v>
      </c>
      <c r="K234" s="20">
        <v>25.095300000000002</v>
      </c>
      <c r="L234" s="20">
        <v>35.507399999999997</v>
      </c>
      <c r="M234" s="20">
        <v>34.885300000000001</v>
      </c>
      <c r="N234" s="20">
        <v>355.02960000000002</v>
      </c>
      <c r="O234" s="20">
        <f t="shared" si="11"/>
        <v>27.620562499999998</v>
      </c>
      <c r="P234" s="7"/>
      <c r="Q234" s="13"/>
      <c r="R234" s="14"/>
      <c r="S234" s="14"/>
      <c r="T234" s="27"/>
      <c r="U234" s="28">
        <f t="shared" si="9"/>
        <v>0.79117905252005449</v>
      </c>
    </row>
    <row r="235" spans="2:21" x14ac:dyDescent="0.25">
      <c r="B235" s="6" t="s">
        <v>103</v>
      </c>
      <c r="C235" s="15">
        <v>2147.2890630000002</v>
      </c>
      <c r="D235" s="16">
        <v>44.706000000000003</v>
      </c>
      <c r="E235" s="16">
        <v>45.82</v>
      </c>
      <c r="F235" s="16">
        <v>45.720999999999997</v>
      </c>
      <c r="G235" s="16">
        <v>210.57</v>
      </c>
      <c r="H235" s="16">
        <f t="shared" si="10"/>
        <v>44.972124999999998</v>
      </c>
      <c r="I235" s="5"/>
      <c r="J235" s="15">
        <v>1402.2963999999999</v>
      </c>
      <c r="K235" s="16">
        <v>44.7956</v>
      </c>
      <c r="L235" s="16">
        <v>46.010199999999998</v>
      </c>
      <c r="M235" s="16">
        <v>45.927300000000002</v>
      </c>
      <c r="N235" s="16">
        <v>248.13900000000001</v>
      </c>
      <c r="O235" s="16">
        <f t="shared" si="11"/>
        <v>45.088887499999998</v>
      </c>
      <c r="P235" s="7"/>
      <c r="Q235" s="8">
        <f>bdrate(C235:C238,D235:D238,J235:J238,K235:K238)</f>
        <v>-0.39640619877110306</v>
      </c>
      <c r="R235" s="8">
        <f>bdrate(C235:C238,E235:E238,J235:J238,L235:L238)</f>
        <v>-0.43070759340755838</v>
      </c>
      <c r="S235" s="8">
        <f>bdrate(C235:C238,F235:F238,J235:J238,M235:M238)</f>
        <v>-0.42572979435971336</v>
      </c>
      <c r="T235" s="25">
        <f>bdrate(C235:C238,H235:H238,J235:J238,O235:O238)</f>
        <v>-0.40328800572181656</v>
      </c>
      <c r="U235" s="28">
        <f t="shared" si="9"/>
        <v>0.1784157287362873</v>
      </c>
    </row>
    <row r="236" spans="2:21" x14ac:dyDescent="0.25">
      <c r="B236" s="9"/>
      <c r="C236" s="17">
        <v>1558.658203</v>
      </c>
      <c r="D236" s="18">
        <v>42.871000000000002</v>
      </c>
      <c r="E236" s="18">
        <v>44.225999999999999</v>
      </c>
      <c r="F236" s="18">
        <v>44.087000000000003</v>
      </c>
      <c r="G236" s="18">
        <v>239.53</v>
      </c>
      <c r="H236" s="18">
        <f t="shared" si="10"/>
        <v>43.192374999999998</v>
      </c>
      <c r="I236" s="5"/>
      <c r="J236" s="17">
        <v>952.91510000000005</v>
      </c>
      <c r="K236" s="18">
        <v>42.893700000000003</v>
      </c>
      <c r="L236" s="18">
        <v>44.412199999999999</v>
      </c>
      <c r="M236" s="18">
        <v>44.278500000000001</v>
      </c>
      <c r="N236" s="18">
        <v>297.3732</v>
      </c>
      <c r="O236" s="18">
        <f t="shared" si="11"/>
        <v>43.256612500000003</v>
      </c>
      <c r="P236" s="7"/>
      <c r="Q236" s="10"/>
      <c r="R236" s="11"/>
      <c r="S236" s="11"/>
      <c r="T236" s="26"/>
      <c r="U236" s="28">
        <f t="shared" si="9"/>
        <v>0.24148624389429296</v>
      </c>
    </row>
    <row r="237" spans="2:21" x14ac:dyDescent="0.25">
      <c r="B237" s="9"/>
      <c r="C237" s="17">
        <v>1010.6201170000001</v>
      </c>
      <c r="D237" s="18">
        <v>40.226999999999997</v>
      </c>
      <c r="E237" s="18">
        <v>41.851999999999997</v>
      </c>
      <c r="F237" s="18">
        <v>41.749000000000002</v>
      </c>
      <c r="G237" s="18">
        <v>272.04000000000002</v>
      </c>
      <c r="H237" s="18">
        <f t="shared" si="10"/>
        <v>40.620374999999996</v>
      </c>
      <c r="I237" s="5"/>
      <c r="J237" s="17">
        <v>585.03409999999997</v>
      </c>
      <c r="K237" s="18">
        <v>39.966200000000001</v>
      </c>
      <c r="L237" s="18">
        <v>41.914999999999999</v>
      </c>
      <c r="M237" s="18">
        <v>41.756</v>
      </c>
      <c r="N237" s="18">
        <v>359.42489999999998</v>
      </c>
      <c r="O237" s="18">
        <f t="shared" si="11"/>
        <v>40.433525000000003</v>
      </c>
      <c r="P237" s="7"/>
      <c r="Q237" s="10"/>
      <c r="R237" s="11"/>
      <c r="S237" s="11"/>
      <c r="T237" s="26"/>
      <c r="U237" s="28">
        <f t="shared" si="9"/>
        <v>0.32122077635641799</v>
      </c>
    </row>
    <row r="238" spans="2:21" ht="16.5" thickBot="1" x14ac:dyDescent="0.3">
      <c r="B238" s="12"/>
      <c r="C238" s="19">
        <v>602.140625</v>
      </c>
      <c r="D238" s="20">
        <v>36.689</v>
      </c>
      <c r="E238" s="20">
        <v>38.820999999999998</v>
      </c>
      <c r="F238" s="20">
        <v>38.679000000000002</v>
      </c>
      <c r="G238" s="20">
        <v>286.47000000000003</v>
      </c>
      <c r="H238" s="20">
        <f t="shared" si="10"/>
        <v>37.204250000000002</v>
      </c>
      <c r="I238" s="5"/>
      <c r="J238" s="19">
        <v>291.45150000000001</v>
      </c>
      <c r="K238" s="20">
        <v>35.511299999999999</v>
      </c>
      <c r="L238" s="20">
        <v>38.552599999999998</v>
      </c>
      <c r="M238" s="20">
        <v>38.290100000000002</v>
      </c>
      <c r="N238" s="20">
        <v>435.41359999999997</v>
      </c>
      <c r="O238" s="20">
        <f t="shared" si="11"/>
        <v>36.238812499999995</v>
      </c>
      <c r="P238" s="7"/>
      <c r="Q238" s="13"/>
      <c r="R238" s="14"/>
      <c r="S238" s="14"/>
      <c r="T238" s="27"/>
      <c r="U238" s="28">
        <f t="shared" si="9"/>
        <v>0.51992739204803273</v>
      </c>
    </row>
    <row r="239" spans="2:21" x14ac:dyDescent="0.25">
      <c r="B239" s="6" t="s">
        <v>104</v>
      </c>
      <c r="C239" s="15">
        <v>2040.6992190000001</v>
      </c>
      <c r="D239" s="16">
        <v>45.74</v>
      </c>
      <c r="E239" s="16">
        <v>47.168999999999997</v>
      </c>
      <c r="F239" s="16">
        <v>47.427999999999997</v>
      </c>
      <c r="G239" s="16">
        <v>213.68</v>
      </c>
      <c r="H239" s="16">
        <f t="shared" si="10"/>
        <v>46.129624999999997</v>
      </c>
      <c r="I239" s="5"/>
      <c r="J239" s="15">
        <v>1351.7563</v>
      </c>
      <c r="K239" s="16">
        <v>45.436100000000003</v>
      </c>
      <c r="L239" s="16">
        <v>47.747700000000002</v>
      </c>
      <c r="M239" s="16">
        <v>47.9923</v>
      </c>
      <c r="N239" s="16">
        <v>249.7225</v>
      </c>
      <c r="O239" s="16">
        <f t="shared" si="11"/>
        <v>46.044575000000002</v>
      </c>
      <c r="P239" s="7"/>
      <c r="Q239" s="8">
        <f>bdrate(C239:C242,D239:D242,J239:J242,K239:K242)</f>
        <v>-9.9743082776329373E-2</v>
      </c>
      <c r="R239" s="8">
        <f>bdrate(C239:C242,E239:E242,J239:J242,L239:L242)</f>
        <v>-0.22004249587611135</v>
      </c>
      <c r="S239" s="8">
        <f>bdrate(C239:C242,F239:F242,J239:J242,M239:M242)</f>
        <v>-0.2242316974235179</v>
      </c>
      <c r="T239" s="25">
        <f>bdrate(C239:C242,H239:H242,J239:J242,O239:O242)</f>
        <v>-0.13072532015729532</v>
      </c>
      <c r="U239" s="28">
        <f t="shared" si="9"/>
        <v>0.16867512167727439</v>
      </c>
    </row>
    <row r="240" spans="2:21" x14ac:dyDescent="0.25">
      <c r="B240" s="9"/>
      <c r="C240" s="17">
        <v>1459.4726559999999</v>
      </c>
      <c r="D240" s="18">
        <v>45.378999999999998</v>
      </c>
      <c r="E240" s="18">
        <v>46.889000000000003</v>
      </c>
      <c r="F240" s="18">
        <v>47.151000000000003</v>
      </c>
      <c r="G240" s="18">
        <v>264.8</v>
      </c>
      <c r="H240" s="18">
        <f t="shared" si="10"/>
        <v>45.789250000000003</v>
      </c>
      <c r="I240" s="5"/>
      <c r="J240" s="17">
        <v>941.12720000000002</v>
      </c>
      <c r="K240" s="18">
        <v>43.634799999999998</v>
      </c>
      <c r="L240" s="18">
        <v>46.107799999999997</v>
      </c>
      <c r="M240" s="18">
        <v>46.377299999999998</v>
      </c>
      <c r="N240" s="18">
        <v>267.69779999999997</v>
      </c>
      <c r="O240" s="18">
        <f t="shared" si="11"/>
        <v>44.286737500000001</v>
      </c>
      <c r="P240" s="7"/>
      <c r="Q240" s="10"/>
      <c r="R240" s="11"/>
      <c r="S240" s="11"/>
      <c r="T240" s="26"/>
      <c r="U240" s="28">
        <f t="shared" si="9"/>
        <v>1.0943353474320095E-2</v>
      </c>
    </row>
    <row r="241" spans="2:21" x14ac:dyDescent="0.25">
      <c r="B241" s="9"/>
      <c r="C241" s="17">
        <v>932.35351560000004</v>
      </c>
      <c r="D241" s="18">
        <v>42.887</v>
      </c>
      <c r="E241" s="18">
        <v>44.732999999999997</v>
      </c>
      <c r="F241" s="18">
        <v>44.978000000000002</v>
      </c>
      <c r="G241" s="18">
        <v>274.73</v>
      </c>
      <c r="H241" s="18">
        <f t="shared" si="10"/>
        <v>43.379125000000002</v>
      </c>
      <c r="I241" s="5"/>
      <c r="J241" s="17">
        <v>623.76229999999998</v>
      </c>
      <c r="K241" s="18">
        <v>41.211300000000001</v>
      </c>
      <c r="L241" s="18">
        <v>44.019399999999997</v>
      </c>
      <c r="M241" s="18">
        <v>44.305900000000001</v>
      </c>
      <c r="N241" s="18">
        <v>305.24</v>
      </c>
      <c r="O241" s="18">
        <f t="shared" si="11"/>
        <v>41.949137500000006</v>
      </c>
      <c r="P241" s="7"/>
      <c r="Q241" s="10"/>
      <c r="R241" s="11"/>
      <c r="S241" s="11"/>
      <c r="T241" s="26"/>
      <c r="U241" s="28">
        <f t="shared" si="9"/>
        <v>0.11105448986277432</v>
      </c>
    </row>
    <row r="242" spans="2:21" ht="16.5" thickBot="1" x14ac:dyDescent="0.3">
      <c r="B242" s="12"/>
      <c r="C242" s="19">
        <v>578.51757810000004</v>
      </c>
      <c r="D242" s="20">
        <v>39.832999999999998</v>
      </c>
      <c r="E242" s="20">
        <v>42.264000000000003</v>
      </c>
      <c r="F242" s="20">
        <v>42.503</v>
      </c>
      <c r="G242" s="20">
        <v>287.11</v>
      </c>
      <c r="H242" s="20">
        <f t="shared" si="10"/>
        <v>40.470624999999998</v>
      </c>
      <c r="I242" s="5"/>
      <c r="J242" s="19">
        <v>336.95370000000003</v>
      </c>
      <c r="K242" s="20">
        <v>36.607399999999998</v>
      </c>
      <c r="L242" s="20">
        <v>39.880299999999998</v>
      </c>
      <c r="M242" s="20">
        <v>40.162700000000001</v>
      </c>
      <c r="N242" s="20">
        <v>435.41359999999997</v>
      </c>
      <c r="O242" s="20">
        <f t="shared" si="11"/>
        <v>37.460925000000003</v>
      </c>
      <c r="P242" s="7"/>
      <c r="Q242" s="13"/>
      <c r="R242" s="14"/>
      <c r="S242" s="14"/>
      <c r="T242" s="27"/>
      <c r="U242" s="28">
        <f t="shared" si="9"/>
        <v>0.51653930549266813</v>
      </c>
    </row>
    <row r="243" spans="2:21" x14ac:dyDescent="0.25">
      <c r="B243" s="6" t="s">
        <v>105</v>
      </c>
      <c r="C243" s="29">
        <v>1746.3740230000001</v>
      </c>
      <c r="D243" s="30">
        <v>31.603999999999999</v>
      </c>
      <c r="E243" s="30">
        <v>35.29</v>
      </c>
      <c r="F243" s="30">
        <v>34.045000000000002</v>
      </c>
      <c r="G243" s="16">
        <v>172.02</v>
      </c>
      <c r="H243" s="16">
        <f t="shared" si="10"/>
        <v>32.369875</v>
      </c>
      <c r="I243" s="5"/>
      <c r="J243" s="29">
        <v>1507.5583999999999</v>
      </c>
      <c r="K243" s="30">
        <v>32.290599999999998</v>
      </c>
      <c r="L243" s="30">
        <v>36.605400000000003</v>
      </c>
      <c r="M243" s="30">
        <v>35.502000000000002</v>
      </c>
      <c r="N243" s="16">
        <v>216.89359999999999</v>
      </c>
      <c r="O243" s="16">
        <f t="shared" si="11"/>
        <v>33.231375</v>
      </c>
      <c r="P243" s="7"/>
      <c r="Q243" s="8">
        <f>bdrate(C243:C246,D243:D246,J243:J246,K243:K246)</f>
        <v>-0.22836424070441153</v>
      </c>
      <c r="R243" s="8">
        <f>bdrate(C243:C246,E243:E246,J243:J246,L243:L246)</f>
        <v>-0.5312729359659627</v>
      </c>
      <c r="S243" s="8">
        <f>bdrate(C243:C246,F243:F246,J243:J246,M243:M246)</f>
        <v>-0.53226992079980628</v>
      </c>
      <c r="T243" s="25">
        <f>bdrate(C243:C246,H243:H246,J243:J246,O243:O246)</f>
        <v>-0.29599748556998617</v>
      </c>
      <c r="U243" s="28">
        <f t="shared" si="9"/>
        <v>0.26086269038483884</v>
      </c>
    </row>
    <row r="244" spans="2:21" x14ac:dyDescent="0.25">
      <c r="B244" s="9"/>
      <c r="C244" s="31">
        <v>1201.7294919999999</v>
      </c>
      <c r="D244" s="32">
        <v>30.018999999999998</v>
      </c>
      <c r="E244" s="32">
        <v>34.091000000000001</v>
      </c>
      <c r="F244" s="32">
        <v>32.811</v>
      </c>
      <c r="G244" s="18">
        <v>200.69</v>
      </c>
      <c r="H244" s="18">
        <f t="shared" si="10"/>
        <v>30.876999999999999</v>
      </c>
      <c r="I244" s="5"/>
      <c r="J244" s="31">
        <v>1003.6941</v>
      </c>
      <c r="K244" s="32">
        <v>30.3889</v>
      </c>
      <c r="L244" s="32">
        <v>35.511899999999997</v>
      </c>
      <c r="M244" s="32">
        <v>34.354700000000001</v>
      </c>
      <c r="N244" s="18">
        <v>251.92439999999999</v>
      </c>
      <c r="O244" s="18">
        <f t="shared" si="11"/>
        <v>31.524999999999999</v>
      </c>
      <c r="P244" s="7"/>
      <c r="Q244" s="10"/>
      <c r="R244" s="11"/>
      <c r="S244" s="11"/>
      <c r="T244" s="26"/>
      <c r="U244" s="28">
        <f t="shared" si="9"/>
        <v>0.255291245204046</v>
      </c>
    </row>
    <row r="245" spans="2:21" x14ac:dyDescent="0.25">
      <c r="B245" s="9"/>
      <c r="C245" s="31">
        <v>819.44335939999996</v>
      </c>
      <c r="D245" s="32">
        <v>28.495999999999999</v>
      </c>
      <c r="E245" s="32">
        <v>32.881999999999998</v>
      </c>
      <c r="F245" s="32">
        <v>31.600999999999999</v>
      </c>
      <c r="G245" s="18">
        <v>212.07</v>
      </c>
      <c r="H245" s="18">
        <f t="shared" si="10"/>
        <v>29.432375</v>
      </c>
      <c r="I245" s="5"/>
      <c r="J245" s="31">
        <v>602.20510000000002</v>
      </c>
      <c r="K245" s="32">
        <v>28.21</v>
      </c>
      <c r="L245" s="32">
        <v>34.238700000000001</v>
      </c>
      <c r="M245" s="32">
        <v>32.989800000000002</v>
      </c>
      <c r="N245" s="18">
        <v>306.07040000000001</v>
      </c>
      <c r="O245" s="18">
        <f t="shared" si="11"/>
        <v>29.561062499999998</v>
      </c>
      <c r="P245" s="7"/>
      <c r="Q245" s="10"/>
      <c r="R245" s="11"/>
      <c r="S245" s="11"/>
      <c r="T245" s="26"/>
      <c r="U245" s="28">
        <f t="shared" si="9"/>
        <v>0.44325175649549686</v>
      </c>
    </row>
    <row r="246" spans="2:21" ht="16.5" thickBot="1" x14ac:dyDescent="0.3">
      <c r="B246" s="12"/>
      <c r="C246" s="33">
        <v>609.53613280000002</v>
      </c>
      <c r="D246" s="34">
        <v>27.181999999999999</v>
      </c>
      <c r="E246" s="34">
        <v>31.739000000000001</v>
      </c>
      <c r="F246" s="34">
        <v>30.498000000000001</v>
      </c>
      <c r="G246" s="20">
        <v>215.91</v>
      </c>
      <c r="H246" s="20">
        <f t="shared" si="10"/>
        <v>28.166124999999997</v>
      </c>
      <c r="I246" s="5"/>
      <c r="J246" s="33">
        <v>303.54770000000002</v>
      </c>
      <c r="K246" s="34">
        <v>25.684100000000001</v>
      </c>
      <c r="L246" s="34">
        <v>32.421700000000001</v>
      </c>
      <c r="M246" s="34">
        <v>31.041599999999999</v>
      </c>
      <c r="N246" s="20">
        <v>373.44400000000002</v>
      </c>
      <c r="O246" s="20">
        <f t="shared" si="11"/>
        <v>27.195987499999998</v>
      </c>
      <c r="P246" s="7"/>
      <c r="Q246" s="13"/>
      <c r="R246" s="14"/>
      <c r="S246" s="14"/>
      <c r="T246" s="27"/>
      <c r="U246" s="28">
        <f t="shared" si="9"/>
        <v>0.72962808577648108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-0.35923078567284916</v>
      </c>
      <c r="R247" s="21">
        <f>AVERAGE(R131:R246)</f>
        <v>-0.44851833396059804</v>
      </c>
      <c r="S247" s="21">
        <f>AVERAGE(S131:S246)</f>
        <v>-0.45288501848605295</v>
      </c>
      <c r="T247" s="21">
        <f>AVERAGE(T131:T246)</f>
        <v>-0.38023130004340172</v>
      </c>
      <c r="U247" s="21">
        <f>AVERAGE(U131:U246)</f>
        <v>0.75510192433139622</v>
      </c>
    </row>
  </sheetData>
  <mergeCells count="12">
    <mergeCell ref="B127:B128"/>
    <mergeCell ref="C127:U128"/>
    <mergeCell ref="C129:H129"/>
    <mergeCell ref="J129:O129"/>
    <mergeCell ref="Q129:S129"/>
    <mergeCell ref="U129:U130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341" priority="85" operator="greaterThan">
      <formula>0.03</formula>
    </cfRule>
    <cfRule type="cellIs" dxfId="340" priority="86" stopIfTrue="1" operator="lessThan">
      <formula>-0.03</formula>
    </cfRule>
  </conditionalFormatting>
  <conditionalFormatting sqref="Q33:T36">
    <cfRule type="cellIs" dxfId="339" priority="83" operator="greaterThan">
      <formula>0.03</formula>
    </cfRule>
    <cfRule type="cellIs" dxfId="338" priority="84" stopIfTrue="1" operator="lessThan">
      <formula>-0.03</formula>
    </cfRule>
  </conditionalFormatting>
  <conditionalFormatting sqref="Q46:T48 Q62:T64">
    <cfRule type="cellIs" dxfId="337" priority="81" operator="greaterThan">
      <formula>0.03</formula>
    </cfRule>
    <cfRule type="cellIs" dxfId="336" priority="82" stopIfTrue="1" operator="lessThan">
      <formula>-0.03</formula>
    </cfRule>
  </conditionalFormatting>
  <conditionalFormatting sqref="Q50:T52 Q54:T56 Q58:T60">
    <cfRule type="cellIs" dxfId="335" priority="79" operator="greaterThan">
      <formula>0.03</formula>
    </cfRule>
    <cfRule type="cellIs" dxfId="334" priority="80" stopIfTrue="1" operator="lessThan">
      <formula>-0.03</formula>
    </cfRule>
  </conditionalFormatting>
  <conditionalFormatting sqref="Q70:T72 Q74:T76">
    <cfRule type="cellIs" dxfId="333" priority="77" operator="greaterThan">
      <formula>0.03</formula>
    </cfRule>
    <cfRule type="cellIs" dxfId="332" priority="78" stopIfTrue="1" operator="lessThan">
      <formula>-0.03</formula>
    </cfRule>
  </conditionalFormatting>
  <conditionalFormatting sqref="Q66:T68">
    <cfRule type="cellIs" dxfId="331" priority="75" operator="greaterThan">
      <formula>0.03</formula>
    </cfRule>
    <cfRule type="cellIs" dxfId="330" priority="76" stopIfTrue="1" operator="lessThan">
      <formula>-0.03</formula>
    </cfRule>
  </conditionalFormatting>
  <conditionalFormatting sqref="Q78:T80">
    <cfRule type="cellIs" dxfId="329" priority="73" operator="greaterThan">
      <formula>0.03</formula>
    </cfRule>
    <cfRule type="cellIs" dxfId="328" priority="74" stopIfTrue="1" operator="lessThan">
      <formula>-0.03</formula>
    </cfRule>
  </conditionalFormatting>
  <conditionalFormatting sqref="Q21:T28">
    <cfRule type="cellIs" dxfId="327" priority="71" operator="greaterThan">
      <formula>0.03</formula>
    </cfRule>
    <cfRule type="cellIs" dxfId="326" priority="72" stopIfTrue="1" operator="lessThan">
      <formula>-0.03</formula>
    </cfRule>
  </conditionalFormatting>
  <conditionalFormatting sqref="Q151:T154 Q159:T166 Q131:T142">
    <cfRule type="cellIs" dxfId="325" priority="69" operator="greaterThan">
      <formula>0.03</formula>
    </cfRule>
    <cfRule type="cellIs" dxfId="324" priority="70" stopIfTrue="1" operator="lessThan">
      <formula>-0.03</formula>
    </cfRule>
  </conditionalFormatting>
  <conditionalFormatting sqref="Q155:T158">
    <cfRule type="cellIs" dxfId="323" priority="67" operator="greaterThan">
      <formula>0.03</formula>
    </cfRule>
    <cfRule type="cellIs" dxfId="322" priority="68" stopIfTrue="1" operator="lessThan">
      <formula>-0.03</formula>
    </cfRule>
  </conditionalFormatting>
  <conditionalFormatting sqref="Q167:T170 Q183:T186">
    <cfRule type="cellIs" dxfId="321" priority="65" operator="greaterThan">
      <formula>0.03</formula>
    </cfRule>
    <cfRule type="cellIs" dxfId="320" priority="66" stopIfTrue="1" operator="lessThan">
      <formula>-0.03</formula>
    </cfRule>
  </conditionalFormatting>
  <conditionalFormatting sqref="Q171:T182">
    <cfRule type="cellIs" dxfId="319" priority="63" operator="greaterThan">
      <formula>0.03</formula>
    </cfRule>
    <cfRule type="cellIs" dxfId="318" priority="64" stopIfTrue="1" operator="lessThan">
      <formula>-0.03</formula>
    </cfRule>
  </conditionalFormatting>
  <conditionalFormatting sqref="Q191:T198">
    <cfRule type="cellIs" dxfId="317" priority="61" operator="greaterThan">
      <formula>0.03</formula>
    </cfRule>
    <cfRule type="cellIs" dxfId="316" priority="62" stopIfTrue="1" operator="lessThan">
      <formula>-0.03</formula>
    </cfRule>
  </conditionalFormatting>
  <conditionalFormatting sqref="Q187:T190">
    <cfRule type="cellIs" dxfId="315" priority="59" operator="greaterThan">
      <formula>0.03</formula>
    </cfRule>
    <cfRule type="cellIs" dxfId="314" priority="60" stopIfTrue="1" operator="lessThan">
      <formula>-0.03</formula>
    </cfRule>
  </conditionalFormatting>
  <conditionalFormatting sqref="Q199:T202">
    <cfRule type="cellIs" dxfId="313" priority="57" operator="greaterThan">
      <formula>0.03</formula>
    </cfRule>
    <cfRule type="cellIs" dxfId="312" priority="58" stopIfTrue="1" operator="lessThan">
      <formula>-0.03</formula>
    </cfRule>
  </conditionalFormatting>
  <conditionalFormatting sqref="Q143:T150">
    <cfRule type="cellIs" dxfId="311" priority="55" operator="greaterThan">
      <formula>0.03</formula>
    </cfRule>
    <cfRule type="cellIs" dxfId="310" priority="56" stopIfTrue="1" operator="lessThan">
      <formula>-0.03</formula>
    </cfRule>
  </conditionalFormatting>
  <conditionalFormatting sqref="Q45:T45">
    <cfRule type="cellIs" dxfId="309" priority="53" operator="greaterThan">
      <formula>0.03</formula>
    </cfRule>
    <cfRule type="cellIs" dxfId="308" priority="54" stopIfTrue="1" operator="lessThan">
      <formula>-0.03</formula>
    </cfRule>
  </conditionalFormatting>
  <conditionalFormatting sqref="Q49:T49">
    <cfRule type="cellIs" dxfId="307" priority="51" operator="greaterThan">
      <formula>0.03</formula>
    </cfRule>
    <cfRule type="cellIs" dxfId="306" priority="52" stopIfTrue="1" operator="lessThan">
      <formula>-0.03</formula>
    </cfRule>
  </conditionalFormatting>
  <conditionalFormatting sqref="Q53:T53">
    <cfRule type="cellIs" dxfId="305" priority="49" operator="greaterThan">
      <formula>0.03</formula>
    </cfRule>
    <cfRule type="cellIs" dxfId="304" priority="50" stopIfTrue="1" operator="lessThan">
      <formula>-0.03</formula>
    </cfRule>
  </conditionalFormatting>
  <conditionalFormatting sqref="Q57:T57">
    <cfRule type="cellIs" dxfId="303" priority="47" operator="greaterThan">
      <formula>0.03</formula>
    </cfRule>
    <cfRule type="cellIs" dxfId="302" priority="48" stopIfTrue="1" operator="lessThan">
      <formula>-0.03</formula>
    </cfRule>
  </conditionalFormatting>
  <conditionalFormatting sqref="Q61:T61">
    <cfRule type="cellIs" dxfId="301" priority="45" operator="greaterThan">
      <formula>0.03</formula>
    </cfRule>
    <cfRule type="cellIs" dxfId="300" priority="46" stopIfTrue="1" operator="lessThan">
      <formula>-0.03</formula>
    </cfRule>
  </conditionalFormatting>
  <conditionalFormatting sqref="Q65:T65">
    <cfRule type="cellIs" dxfId="299" priority="43" operator="greaterThan">
      <formula>0.03</formula>
    </cfRule>
    <cfRule type="cellIs" dxfId="298" priority="44" stopIfTrue="1" operator="lessThan">
      <formula>-0.03</formula>
    </cfRule>
  </conditionalFormatting>
  <conditionalFormatting sqref="Q69:T69">
    <cfRule type="cellIs" dxfId="297" priority="41" operator="greaterThan">
      <formula>0.03</formula>
    </cfRule>
    <cfRule type="cellIs" dxfId="296" priority="42" stopIfTrue="1" operator="lessThan">
      <formula>-0.03</formula>
    </cfRule>
  </conditionalFormatting>
  <conditionalFormatting sqref="Q73:T73">
    <cfRule type="cellIs" dxfId="295" priority="39" operator="greaterThan">
      <formula>0.03</formula>
    </cfRule>
    <cfRule type="cellIs" dxfId="294" priority="40" stopIfTrue="1" operator="lessThan">
      <formula>-0.03</formula>
    </cfRule>
  </conditionalFormatting>
  <conditionalFormatting sqref="Q77:T77">
    <cfRule type="cellIs" dxfId="293" priority="37" operator="greaterThan">
      <formula>0.03</formula>
    </cfRule>
    <cfRule type="cellIs" dxfId="292" priority="38" stopIfTrue="1" operator="lessThan">
      <formula>-0.03</formula>
    </cfRule>
  </conditionalFormatting>
  <conditionalFormatting sqref="Q117:T117">
    <cfRule type="cellIs" dxfId="291" priority="21" operator="greaterThan">
      <formula>0.03</formula>
    </cfRule>
    <cfRule type="cellIs" dxfId="290" priority="22" stopIfTrue="1" operator="lessThan">
      <formula>-0.03</formula>
    </cfRule>
  </conditionalFormatting>
  <conditionalFormatting sqref="Q93:T96 Q101:T108 Q81:T84">
    <cfRule type="cellIs" dxfId="289" priority="35" operator="greaterThan">
      <formula>0.03</formula>
    </cfRule>
    <cfRule type="cellIs" dxfId="288" priority="36" stopIfTrue="1" operator="lessThan">
      <formula>-0.03</formula>
    </cfRule>
  </conditionalFormatting>
  <conditionalFormatting sqref="Q97:T100">
    <cfRule type="cellIs" dxfId="287" priority="33" operator="greaterThan">
      <formula>0.03</formula>
    </cfRule>
    <cfRule type="cellIs" dxfId="286" priority="34" stopIfTrue="1" operator="lessThan">
      <formula>-0.03</formula>
    </cfRule>
  </conditionalFormatting>
  <conditionalFormatting sqref="Q110:T112 Q122:T124">
    <cfRule type="cellIs" dxfId="285" priority="31" operator="greaterThan">
      <formula>0.03</formula>
    </cfRule>
    <cfRule type="cellIs" dxfId="284" priority="32" stopIfTrue="1" operator="lessThan">
      <formula>-0.03</formula>
    </cfRule>
  </conditionalFormatting>
  <conditionalFormatting sqref="Q114:T116 Q118:T120">
    <cfRule type="cellIs" dxfId="283" priority="29" operator="greaterThan">
      <formula>0.03</formula>
    </cfRule>
    <cfRule type="cellIs" dxfId="282" priority="30" stopIfTrue="1" operator="lessThan">
      <formula>-0.03</formula>
    </cfRule>
  </conditionalFormatting>
  <conditionalFormatting sqref="Q85:T92">
    <cfRule type="cellIs" dxfId="281" priority="27" operator="greaterThan">
      <formula>0.03</formula>
    </cfRule>
    <cfRule type="cellIs" dxfId="280" priority="28" stopIfTrue="1" operator="lessThan">
      <formula>-0.03</formula>
    </cfRule>
  </conditionalFormatting>
  <conditionalFormatting sqref="Q109:T109">
    <cfRule type="cellIs" dxfId="279" priority="25" operator="greaterThan">
      <formula>0.03</formula>
    </cfRule>
    <cfRule type="cellIs" dxfId="278" priority="26" stopIfTrue="1" operator="lessThan">
      <formula>-0.03</formula>
    </cfRule>
  </conditionalFormatting>
  <conditionalFormatting sqref="Q113:T113">
    <cfRule type="cellIs" dxfId="277" priority="23" operator="greaterThan">
      <formula>0.03</formula>
    </cfRule>
    <cfRule type="cellIs" dxfId="276" priority="24" stopIfTrue="1" operator="lessThan">
      <formula>-0.03</formula>
    </cfRule>
  </conditionalFormatting>
  <conditionalFormatting sqref="Q121:T121">
    <cfRule type="cellIs" dxfId="275" priority="19" operator="greaterThan">
      <formula>0.03</formula>
    </cfRule>
    <cfRule type="cellIs" dxfId="274" priority="20" stopIfTrue="1" operator="lessThan">
      <formula>-0.03</formula>
    </cfRule>
  </conditionalFormatting>
  <conditionalFormatting sqref="Q239:T239">
    <cfRule type="cellIs" dxfId="273" priority="3" operator="greaterThan">
      <formula>0.03</formula>
    </cfRule>
    <cfRule type="cellIs" dxfId="272" priority="4" stopIfTrue="1" operator="lessThan">
      <formula>-0.03</formula>
    </cfRule>
  </conditionalFormatting>
  <conditionalFormatting sqref="Q215:T218 Q223:T230 Q203:T206">
    <cfRule type="cellIs" dxfId="271" priority="17" operator="greaterThan">
      <formula>0.03</formula>
    </cfRule>
    <cfRule type="cellIs" dxfId="270" priority="18" stopIfTrue="1" operator="lessThan">
      <formula>-0.03</formula>
    </cfRule>
  </conditionalFormatting>
  <conditionalFormatting sqref="Q219:T222">
    <cfRule type="cellIs" dxfId="269" priority="15" operator="greaterThan">
      <formula>0.03</formula>
    </cfRule>
    <cfRule type="cellIs" dxfId="268" priority="16" stopIfTrue="1" operator="lessThan">
      <formula>-0.03</formula>
    </cfRule>
  </conditionalFormatting>
  <conditionalFormatting sqref="Q232:T234 Q244:T246">
    <cfRule type="cellIs" dxfId="267" priority="13" operator="greaterThan">
      <formula>0.03</formula>
    </cfRule>
    <cfRule type="cellIs" dxfId="266" priority="14" stopIfTrue="1" operator="lessThan">
      <formula>-0.03</formula>
    </cfRule>
  </conditionalFormatting>
  <conditionalFormatting sqref="Q236:T238 Q240:T242">
    <cfRule type="cellIs" dxfId="265" priority="11" operator="greaterThan">
      <formula>0.03</formula>
    </cfRule>
    <cfRule type="cellIs" dxfId="264" priority="12" stopIfTrue="1" operator="lessThan">
      <formula>-0.03</formula>
    </cfRule>
  </conditionalFormatting>
  <conditionalFormatting sqref="Q207:T214">
    <cfRule type="cellIs" dxfId="263" priority="9" operator="greaterThan">
      <formula>0.03</formula>
    </cfRule>
    <cfRule type="cellIs" dxfId="262" priority="10" stopIfTrue="1" operator="lessThan">
      <formula>-0.03</formula>
    </cfRule>
  </conditionalFormatting>
  <conditionalFormatting sqref="Q231:T231">
    <cfRule type="cellIs" dxfId="261" priority="7" operator="greaterThan">
      <formula>0.03</formula>
    </cfRule>
    <cfRule type="cellIs" dxfId="260" priority="8" stopIfTrue="1" operator="lessThan">
      <formula>-0.03</formula>
    </cfRule>
  </conditionalFormatting>
  <conditionalFormatting sqref="Q235:T235">
    <cfRule type="cellIs" dxfId="259" priority="5" operator="greaterThan">
      <formula>0.03</formula>
    </cfRule>
    <cfRule type="cellIs" dxfId="258" priority="6" stopIfTrue="1" operator="lessThan">
      <formula>-0.03</formula>
    </cfRule>
  </conditionalFormatting>
  <conditionalFormatting sqref="Q243:T243">
    <cfRule type="cellIs" dxfId="257" priority="1" operator="greaterThan">
      <formula>0.03</formula>
    </cfRule>
    <cfRule type="cellIs" dxfId="256" priority="2" stopIfTrue="1" operator="lessThan">
      <formula>-0.03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119</v>
      </c>
    </row>
    <row r="2" spans="1:21" x14ac:dyDescent="0.25">
      <c r="A2" t="s">
        <v>81</v>
      </c>
    </row>
    <row r="3" spans="1:21" x14ac:dyDescent="0.25">
      <c r="A3" t="s">
        <v>88</v>
      </c>
    </row>
    <row r="4" spans="1:21" x14ac:dyDescent="0.25">
      <c r="A4" t="s">
        <v>81</v>
      </c>
    </row>
    <row r="5" spans="1:21" s="35" customFormat="1" ht="15.75" customHeight="1" x14ac:dyDescent="0.25">
      <c r="B5" s="61" t="s">
        <v>29</v>
      </c>
      <c r="C5" s="63" t="s">
        <v>206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117</v>
      </c>
      <c r="D7" s="70"/>
      <c r="E7" s="70"/>
      <c r="F7" s="70"/>
      <c r="G7" s="70"/>
      <c r="H7" s="70"/>
      <c r="I7" s="5"/>
      <c r="J7" s="69" t="s">
        <v>181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4109.125</v>
      </c>
      <c r="D9" s="16">
        <v>37.292000000000002</v>
      </c>
      <c r="E9" s="16">
        <v>39.113</v>
      </c>
      <c r="F9" s="16">
        <v>41.540999999999997</v>
      </c>
      <c r="G9" s="16">
        <v>2.67</v>
      </c>
      <c r="H9" s="16">
        <f t="shared" ref="H9:H80" si="0">(6*D9+E9+F9)/8</f>
        <v>38.050750000000001</v>
      </c>
      <c r="I9" s="5"/>
      <c r="J9" s="15">
        <v>4100.3119999999999</v>
      </c>
      <c r="K9" s="16">
        <v>38.471699999999998</v>
      </c>
      <c r="L9" s="16">
        <v>40.2333</v>
      </c>
      <c r="M9" s="16">
        <v>42.970199999999998</v>
      </c>
      <c r="N9" s="16">
        <v>4.9743000000000004</v>
      </c>
      <c r="O9" s="16">
        <f t="shared" ref="O9:O80" si="1">(6*K9+L9+M9)/8</f>
        <v>39.254212499999994</v>
      </c>
      <c r="P9" s="7"/>
      <c r="Q9" s="8">
        <f>bdrate(C9:C12,D9:D12,J9:J12,K9:K12)</f>
        <v>-0.35585459866485469</v>
      </c>
      <c r="R9" s="8">
        <f>bdrate(C9:C12,E9:E12,J9:J12,L9:L12)</f>
        <v>-0.52709316673608808</v>
      </c>
      <c r="S9" s="8">
        <f>bdrate(C9:C12,F9:F12,J9:J12,M9:M12)</f>
        <v>-0.52284412826084492</v>
      </c>
      <c r="T9" s="25">
        <f>bdrate(C9:C12,H9:H12,J9:J12,O9:O12)</f>
        <v>-0.38574717029600691</v>
      </c>
      <c r="U9" s="28">
        <f t="shared" ref="U9:U72" si="2">(N9-G9)/G9</f>
        <v>0.86303370786516875</v>
      </c>
    </row>
    <row r="10" spans="1:21" x14ac:dyDescent="0.25">
      <c r="A10" s="9" t="s">
        <v>36</v>
      </c>
      <c r="B10" s="9"/>
      <c r="C10" s="17">
        <v>3071.2851559999999</v>
      </c>
      <c r="D10" s="18">
        <v>36.256</v>
      </c>
      <c r="E10" s="18">
        <v>38.561</v>
      </c>
      <c r="F10" s="18">
        <v>40.908999999999999</v>
      </c>
      <c r="G10" s="18">
        <v>3.24</v>
      </c>
      <c r="H10" s="18">
        <f t="shared" si="0"/>
        <v>37.125749999999996</v>
      </c>
      <c r="I10" s="5"/>
      <c r="J10" s="17">
        <v>3036.8672000000001</v>
      </c>
      <c r="K10" s="18">
        <v>37.577500000000001</v>
      </c>
      <c r="L10" s="18">
        <v>39.764000000000003</v>
      </c>
      <c r="M10" s="18">
        <v>42.336100000000002</v>
      </c>
      <c r="N10" s="18">
        <v>5.9465000000000003</v>
      </c>
      <c r="O10" s="18">
        <f t="shared" si="1"/>
        <v>38.445637499999997</v>
      </c>
      <c r="P10" s="7"/>
      <c r="Q10" s="10"/>
      <c r="R10" s="11"/>
      <c r="S10" s="11"/>
      <c r="T10" s="26"/>
      <c r="U10" s="28">
        <f t="shared" si="2"/>
        <v>0.83533950617283947</v>
      </c>
    </row>
    <row r="11" spans="1:21" x14ac:dyDescent="0.25">
      <c r="B11" s="9"/>
      <c r="C11" s="17">
        <v>2053.9746089999999</v>
      </c>
      <c r="D11" s="18">
        <v>34.744999999999997</v>
      </c>
      <c r="E11" s="18">
        <v>37.741999999999997</v>
      </c>
      <c r="F11" s="18">
        <v>40.052999999999997</v>
      </c>
      <c r="G11" s="18">
        <v>4.0199999999999996</v>
      </c>
      <c r="H11" s="18">
        <f t="shared" si="0"/>
        <v>35.783124999999998</v>
      </c>
      <c r="I11" s="5"/>
      <c r="J11" s="17">
        <v>1984.7344000000001</v>
      </c>
      <c r="K11" s="18">
        <v>36.214599999999997</v>
      </c>
      <c r="L11" s="18">
        <v>39.093499999999999</v>
      </c>
      <c r="M11" s="18">
        <v>41.514600000000002</v>
      </c>
      <c r="N11" s="18">
        <v>7.1863000000000001</v>
      </c>
      <c r="O11" s="18">
        <f t="shared" si="1"/>
        <v>37.236962500000004</v>
      </c>
      <c r="P11" s="7"/>
      <c r="Q11" s="10"/>
      <c r="R11" s="11"/>
      <c r="S11" s="11"/>
      <c r="T11" s="26"/>
      <c r="U11" s="28">
        <f t="shared" si="2"/>
        <v>0.78763681592039825</v>
      </c>
    </row>
    <row r="12" spans="1:21" ht="16.5" thickBot="1" x14ac:dyDescent="0.3">
      <c r="B12" s="12"/>
      <c r="C12" s="19">
        <v>1034.8779300000001</v>
      </c>
      <c r="D12" s="20">
        <v>32.106999999999999</v>
      </c>
      <c r="E12" s="20">
        <v>36.143999999999998</v>
      </c>
      <c r="F12" s="20">
        <v>38.520000000000003</v>
      </c>
      <c r="G12" s="20">
        <v>5.1100000000000003</v>
      </c>
      <c r="H12" s="20">
        <f t="shared" si="0"/>
        <v>33.413249999999998</v>
      </c>
      <c r="I12" s="5"/>
      <c r="J12" s="19">
        <v>945.7808</v>
      </c>
      <c r="K12" s="20">
        <v>33.5595</v>
      </c>
      <c r="L12" s="20">
        <v>37.7408</v>
      </c>
      <c r="M12" s="20">
        <v>40.007399999999997</v>
      </c>
      <c r="N12" s="20">
        <v>9.4733000000000001</v>
      </c>
      <c r="O12" s="20">
        <f t="shared" si="1"/>
        <v>34.888150000000003</v>
      </c>
      <c r="P12" s="7"/>
      <c r="Q12" s="13"/>
      <c r="R12" s="14"/>
      <c r="S12" s="14"/>
      <c r="T12" s="27"/>
      <c r="U12" s="28">
        <f t="shared" si="2"/>
        <v>0.85387475538160462</v>
      </c>
    </row>
    <row r="13" spans="1:21" x14ac:dyDescent="0.25">
      <c r="B13" s="6" t="s">
        <v>47</v>
      </c>
      <c r="C13" s="15">
        <v>4237.4794920000004</v>
      </c>
      <c r="D13" s="16">
        <v>28.495000000000001</v>
      </c>
      <c r="E13" s="16">
        <v>39.134</v>
      </c>
      <c r="F13" s="16">
        <v>40.183</v>
      </c>
      <c r="G13" s="16">
        <v>2.83</v>
      </c>
      <c r="H13" s="16">
        <f t="shared" si="0"/>
        <v>31.285874999999997</v>
      </c>
      <c r="I13" s="5"/>
      <c r="J13" s="15">
        <v>4163.3216000000002</v>
      </c>
      <c r="K13" s="16">
        <v>30.064900000000002</v>
      </c>
      <c r="L13" s="16">
        <v>40.859099999999998</v>
      </c>
      <c r="M13" s="16">
        <v>41.659399999999998</v>
      </c>
      <c r="N13" s="16">
        <v>3.4563000000000001</v>
      </c>
      <c r="O13" s="16">
        <f t="shared" si="1"/>
        <v>32.863487500000005</v>
      </c>
      <c r="P13" s="7"/>
      <c r="Q13" s="8">
        <f>bdrate(C13:C16,D13:D16,J13:J16,K13:K16)</f>
        <v>-0.2841693799543249</v>
      </c>
      <c r="R13" s="8">
        <f>bdrate(C13:C16,E13:E16,J13:J16,L13:L16)</f>
        <v>-0.57517081115700042</v>
      </c>
      <c r="S13" s="8">
        <f>bdrate(C13:C16,F13:F16,J13:J16,M13:M16)</f>
        <v>-0.57618433801352431</v>
      </c>
      <c r="T13" s="25">
        <f>bdrate(C13:C16,H13:H16,J13:J16,O13:O16)</f>
        <v>-0.34145601374669821</v>
      </c>
      <c r="U13" s="28">
        <f t="shared" si="2"/>
        <v>0.22130742049469967</v>
      </c>
    </row>
    <row r="14" spans="1:21" x14ac:dyDescent="0.25">
      <c r="B14" s="9"/>
      <c r="C14" s="17">
        <v>3526.2353520000001</v>
      </c>
      <c r="D14" s="18">
        <v>27.756</v>
      </c>
      <c r="E14" s="18">
        <v>38.74</v>
      </c>
      <c r="F14" s="18">
        <v>39.832999999999998</v>
      </c>
      <c r="G14" s="18">
        <v>3.09</v>
      </c>
      <c r="H14" s="18">
        <f t="shared" si="0"/>
        <v>30.638625000000001</v>
      </c>
      <c r="I14" s="5"/>
      <c r="J14" s="17">
        <v>3126.7152000000001</v>
      </c>
      <c r="K14" s="18">
        <v>28.815000000000001</v>
      </c>
      <c r="L14" s="18">
        <v>40.359499999999997</v>
      </c>
      <c r="M14" s="18">
        <v>41.24</v>
      </c>
      <c r="N14" s="18">
        <v>3.9584999999999999</v>
      </c>
      <c r="O14" s="18">
        <f t="shared" si="1"/>
        <v>31.811187500000003</v>
      </c>
      <c r="P14" s="7"/>
      <c r="Q14" s="10"/>
      <c r="R14" s="11"/>
      <c r="S14" s="11"/>
      <c r="T14" s="26"/>
      <c r="U14" s="28">
        <f t="shared" si="2"/>
        <v>0.28106796116504856</v>
      </c>
    </row>
    <row r="15" spans="1:21" x14ac:dyDescent="0.25">
      <c r="B15" s="9"/>
      <c r="C15" s="17">
        <v>2949.6152339999999</v>
      </c>
      <c r="D15" s="18">
        <v>27.318000000000001</v>
      </c>
      <c r="E15" s="18">
        <v>38.026000000000003</v>
      </c>
      <c r="F15" s="18">
        <v>39.222999999999999</v>
      </c>
      <c r="G15" s="18">
        <v>3.2</v>
      </c>
      <c r="H15" s="18">
        <f t="shared" si="0"/>
        <v>30.144625000000005</v>
      </c>
      <c r="I15" s="5"/>
      <c r="J15" s="17">
        <v>2117.3344000000002</v>
      </c>
      <c r="K15" s="18">
        <v>27.0991</v>
      </c>
      <c r="L15" s="18">
        <v>39.610700000000001</v>
      </c>
      <c r="M15" s="18">
        <v>40.609499999999997</v>
      </c>
      <c r="N15" s="18">
        <v>4.6071999999999997</v>
      </c>
      <c r="O15" s="18">
        <f t="shared" si="1"/>
        <v>30.351850000000002</v>
      </c>
      <c r="P15" s="7"/>
      <c r="Q15" s="10"/>
      <c r="R15" s="11"/>
      <c r="S15" s="11"/>
      <c r="T15" s="26"/>
      <c r="U15" s="28">
        <f t="shared" si="2"/>
        <v>0.43974999999999986</v>
      </c>
    </row>
    <row r="16" spans="1:21" ht="16.5" thickBot="1" x14ac:dyDescent="0.3">
      <c r="B16" s="12"/>
      <c r="C16" s="19">
        <v>2627.5634770000001</v>
      </c>
      <c r="D16" s="20">
        <v>27.045000000000002</v>
      </c>
      <c r="E16" s="20">
        <v>37.311999999999998</v>
      </c>
      <c r="F16" s="20">
        <v>38.506</v>
      </c>
      <c r="G16" s="20">
        <v>3.17</v>
      </c>
      <c r="H16" s="20">
        <f t="shared" si="0"/>
        <v>29.760999999999999</v>
      </c>
      <c r="I16" s="5"/>
      <c r="J16" s="19">
        <v>1357.9503999999999</v>
      </c>
      <c r="K16" s="20">
        <v>25.613299999999999</v>
      </c>
      <c r="L16" s="20">
        <v>38.376399999999997</v>
      </c>
      <c r="M16" s="20">
        <v>39.504600000000003</v>
      </c>
      <c r="N16" s="20">
        <v>5.1256000000000004</v>
      </c>
      <c r="O16" s="20">
        <f t="shared" si="1"/>
        <v>28.9451</v>
      </c>
      <c r="P16" s="7"/>
      <c r="Q16" s="13"/>
      <c r="R16" s="14"/>
      <c r="S16" s="14"/>
      <c r="T16" s="27"/>
      <c r="U16" s="28">
        <f t="shared" si="2"/>
        <v>0.61690851735015784</v>
      </c>
    </row>
    <row r="17" spans="1:21" x14ac:dyDescent="0.25">
      <c r="A17" s="6" t="s">
        <v>37</v>
      </c>
      <c r="B17" s="6" t="s">
        <v>48</v>
      </c>
      <c r="C17" s="15">
        <v>2181.3798830000001</v>
      </c>
      <c r="D17" s="16">
        <v>38.502000000000002</v>
      </c>
      <c r="E17" s="16">
        <v>41.453000000000003</v>
      </c>
      <c r="F17" s="16">
        <v>42.755000000000003</v>
      </c>
      <c r="G17" s="16">
        <v>4.7699999999999996</v>
      </c>
      <c r="H17" s="16">
        <f t="shared" si="0"/>
        <v>39.402500000000003</v>
      </c>
      <c r="I17" s="5"/>
      <c r="J17" s="15">
        <v>2378.8263999999999</v>
      </c>
      <c r="K17" s="16">
        <v>39.520099999999999</v>
      </c>
      <c r="L17" s="16">
        <v>42.451500000000003</v>
      </c>
      <c r="M17" s="16">
        <v>44.109400000000001</v>
      </c>
      <c r="N17" s="16">
        <v>8.1658000000000008</v>
      </c>
      <c r="O17" s="16">
        <f t="shared" si="1"/>
        <v>40.460187499999996</v>
      </c>
      <c r="P17" s="7"/>
      <c r="Q17" s="8">
        <f>bdrate(C17:C20,D17:D20,J17:J20,K17:K20)</f>
        <v>-0.28189673857589048</v>
      </c>
      <c r="R17" s="8">
        <f>bdrate(C17:C20,E17:E20,J17:J20,L17:L20)</f>
        <v>-0.49470321294670794</v>
      </c>
      <c r="S17" s="8">
        <f>bdrate(C17:C20,F17:F20,J17:J20,M17:M20)</f>
        <v>-0.50004233329367043</v>
      </c>
      <c r="T17" s="25">
        <f>bdrate(C17:C20,H17:H20,J17:J20,O17:O20)</f>
        <v>-0.31843226885645792</v>
      </c>
      <c r="U17" s="28">
        <f t="shared" si="2"/>
        <v>0.71190775681341756</v>
      </c>
    </row>
    <row r="18" spans="1:21" x14ac:dyDescent="0.25">
      <c r="A18" s="9" t="s">
        <v>38</v>
      </c>
      <c r="B18" s="9"/>
      <c r="C18" s="17">
        <v>1486.455078</v>
      </c>
      <c r="D18" s="18">
        <v>37.176000000000002</v>
      </c>
      <c r="E18" s="18">
        <v>40.75</v>
      </c>
      <c r="F18" s="18">
        <v>41.997999999999998</v>
      </c>
      <c r="G18" s="18">
        <v>6.14</v>
      </c>
      <c r="H18" s="18">
        <f t="shared" si="0"/>
        <v>38.225500000000004</v>
      </c>
      <c r="I18" s="5"/>
      <c r="J18" s="17">
        <v>1572.8471999999999</v>
      </c>
      <c r="K18" s="18">
        <v>38.351700000000001</v>
      </c>
      <c r="L18" s="18">
        <v>41.866999999999997</v>
      </c>
      <c r="M18" s="18">
        <v>43.34</v>
      </c>
      <c r="N18" s="18">
        <v>10.3462</v>
      </c>
      <c r="O18" s="18">
        <f t="shared" si="1"/>
        <v>39.414650000000009</v>
      </c>
      <c r="P18" s="7"/>
      <c r="Q18" s="10"/>
      <c r="R18" s="11"/>
      <c r="S18" s="11"/>
      <c r="T18" s="26"/>
      <c r="U18" s="28">
        <f t="shared" si="2"/>
        <v>0.68504885993485343</v>
      </c>
    </row>
    <row r="19" spans="1:21" x14ac:dyDescent="0.25">
      <c r="B19" s="9"/>
      <c r="C19" s="17">
        <v>942.67773439999996</v>
      </c>
      <c r="D19" s="18">
        <v>35.536000000000001</v>
      </c>
      <c r="E19" s="18">
        <v>39.896999999999998</v>
      </c>
      <c r="F19" s="18">
        <v>41.183999999999997</v>
      </c>
      <c r="G19" s="18">
        <v>7.81</v>
      </c>
      <c r="H19" s="18">
        <f t="shared" si="0"/>
        <v>36.787125000000003</v>
      </c>
      <c r="I19" s="5"/>
      <c r="J19" s="17">
        <v>971.78639999999996</v>
      </c>
      <c r="K19" s="18">
        <v>36.840699999999998</v>
      </c>
      <c r="L19" s="18">
        <v>41.149000000000001</v>
      </c>
      <c r="M19" s="18">
        <v>42.446899999999999</v>
      </c>
      <c r="N19" s="18">
        <v>12.8096</v>
      </c>
      <c r="O19" s="18">
        <f t="shared" si="1"/>
        <v>38.080012499999995</v>
      </c>
      <c r="P19" s="7"/>
      <c r="Q19" s="10"/>
      <c r="R19" s="11"/>
      <c r="S19" s="11"/>
      <c r="T19" s="26"/>
      <c r="U19" s="28">
        <f t="shared" si="2"/>
        <v>0.64015364916773376</v>
      </c>
    </row>
    <row r="20" spans="1:21" ht="16.5" thickBot="1" x14ac:dyDescent="0.3">
      <c r="B20" s="12"/>
      <c r="C20" s="19">
        <v>569.19140630000004</v>
      </c>
      <c r="D20" s="20">
        <v>33.802</v>
      </c>
      <c r="E20" s="20">
        <v>38.984999999999999</v>
      </c>
      <c r="F20" s="20">
        <v>40.417999999999999</v>
      </c>
      <c r="G20" s="20">
        <v>9.61</v>
      </c>
      <c r="H20" s="20">
        <f t="shared" si="0"/>
        <v>35.276875000000004</v>
      </c>
      <c r="I20" s="5"/>
      <c r="J20" s="19">
        <v>566.28800000000001</v>
      </c>
      <c r="K20" s="20">
        <v>35.0398</v>
      </c>
      <c r="L20" s="20">
        <v>40.410400000000003</v>
      </c>
      <c r="M20" s="20">
        <v>41.656300000000002</v>
      </c>
      <c r="N20" s="20">
        <v>16.058900000000001</v>
      </c>
      <c r="O20" s="20">
        <f t="shared" si="1"/>
        <v>36.538187499999999</v>
      </c>
      <c r="P20" s="7"/>
      <c r="Q20" s="13"/>
      <c r="R20" s="14"/>
      <c r="S20" s="14"/>
      <c r="T20" s="27"/>
      <c r="U20" s="28">
        <f t="shared" si="2"/>
        <v>0.67106139438085355</v>
      </c>
    </row>
    <row r="21" spans="1:21" x14ac:dyDescent="0.25">
      <c r="B21" s="6" t="s">
        <v>49</v>
      </c>
      <c r="C21" s="15">
        <v>2457.6669919999999</v>
      </c>
      <c r="D21" s="16">
        <v>35.301000000000002</v>
      </c>
      <c r="E21" s="16">
        <v>39.384</v>
      </c>
      <c r="F21" s="16">
        <v>40.545999999999999</v>
      </c>
      <c r="G21" s="16">
        <v>4.38</v>
      </c>
      <c r="H21" s="16">
        <f t="shared" si="0"/>
        <v>36.466999999999999</v>
      </c>
      <c r="I21" s="5"/>
      <c r="J21" s="15">
        <v>2535.2575999999999</v>
      </c>
      <c r="K21" s="16">
        <v>36.6265</v>
      </c>
      <c r="L21" s="16">
        <v>40.8446</v>
      </c>
      <c r="M21" s="16">
        <v>42.163200000000003</v>
      </c>
      <c r="N21" s="16">
        <v>7.6847000000000003</v>
      </c>
      <c r="O21" s="16">
        <f t="shared" si="1"/>
        <v>37.845850000000006</v>
      </c>
      <c r="P21" s="7"/>
      <c r="Q21" s="8">
        <f>bdrate(C21:C24,D21:D24,J21:J24,K21:K24)</f>
        <v>-0.34943564601277133</v>
      </c>
      <c r="R21" s="8">
        <f>bdrate(C21:C24,E21:E24,J21:J24,L21:L24)</f>
        <v>-0.53986399822143571</v>
      </c>
      <c r="S21" s="8">
        <f>bdrate(C21:C24,F21:F24,J21:J24,M21:M24)</f>
        <v>-0.54743089226678299</v>
      </c>
      <c r="T21" s="25">
        <f>bdrate(C21:C24,H21:H24,J21:J24,O21:O24)</f>
        <v>-0.38785405617601576</v>
      </c>
      <c r="U21" s="28">
        <f t="shared" si="2"/>
        <v>0.75449771689497724</v>
      </c>
    </row>
    <row r="22" spans="1:21" x14ac:dyDescent="0.25">
      <c r="B22" s="9"/>
      <c r="C22" s="17">
        <v>1652.1816409999999</v>
      </c>
      <c r="D22" s="18">
        <v>34.030999999999999</v>
      </c>
      <c r="E22" s="18">
        <v>38.506</v>
      </c>
      <c r="F22" s="18">
        <v>39.762999999999998</v>
      </c>
      <c r="G22" s="18">
        <v>5.62</v>
      </c>
      <c r="H22" s="18">
        <f t="shared" si="0"/>
        <v>35.306874999999998</v>
      </c>
      <c r="I22" s="5"/>
      <c r="J22" s="17">
        <v>1657.748</v>
      </c>
      <c r="K22" s="18">
        <v>35.369300000000003</v>
      </c>
      <c r="L22" s="18">
        <v>40.015000000000001</v>
      </c>
      <c r="M22" s="18">
        <v>41.231499999999997</v>
      </c>
      <c r="N22" s="18">
        <v>9.67</v>
      </c>
      <c r="O22" s="18">
        <f t="shared" si="1"/>
        <v>36.682787499999996</v>
      </c>
      <c r="P22" s="7"/>
      <c r="Q22" s="10"/>
      <c r="R22" s="11"/>
      <c r="S22" s="11"/>
      <c r="T22" s="26"/>
      <c r="U22" s="28">
        <f t="shared" si="2"/>
        <v>0.72064056939501775</v>
      </c>
    </row>
    <row r="23" spans="1:21" x14ac:dyDescent="0.25">
      <c r="B23" s="9"/>
      <c r="C23" s="17">
        <v>1024.0927730000001</v>
      </c>
      <c r="D23" s="18">
        <v>32.578000000000003</v>
      </c>
      <c r="E23" s="18">
        <v>37.488999999999997</v>
      </c>
      <c r="F23" s="18">
        <v>38.978999999999999</v>
      </c>
      <c r="G23" s="18">
        <v>7.35</v>
      </c>
      <c r="H23" s="18">
        <f t="shared" si="0"/>
        <v>33.992000000000004</v>
      </c>
      <c r="I23" s="5"/>
      <c r="J23" s="17">
        <v>1027.4680000000001</v>
      </c>
      <c r="K23" s="18">
        <v>33.905000000000001</v>
      </c>
      <c r="L23" s="18">
        <v>39.115000000000002</v>
      </c>
      <c r="M23" s="18">
        <v>40.336799999999997</v>
      </c>
      <c r="N23" s="18">
        <v>11.898899999999999</v>
      </c>
      <c r="O23" s="18">
        <f t="shared" si="1"/>
        <v>35.360225</v>
      </c>
      <c r="P23" s="7"/>
      <c r="Q23" s="10"/>
      <c r="R23" s="11"/>
      <c r="S23" s="11"/>
      <c r="T23" s="26"/>
      <c r="U23" s="28">
        <f t="shared" si="2"/>
        <v>0.61889795918367341</v>
      </c>
    </row>
    <row r="24" spans="1:21" ht="16.5" thickBot="1" x14ac:dyDescent="0.3">
      <c r="B24" s="12"/>
      <c r="C24" s="19">
        <v>609.97265630000004</v>
      </c>
      <c r="D24" s="20">
        <v>31.122</v>
      </c>
      <c r="E24" s="20">
        <v>36.552</v>
      </c>
      <c r="F24" s="20">
        <v>38.337000000000003</v>
      </c>
      <c r="G24" s="20">
        <v>8.73</v>
      </c>
      <c r="H24" s="20">
        <f t="shared" si="0"/>
        <v>32.702624999999998</v>
      </c>
      <c r="I24" s="5"/>
      <c r="J24" s="19">
        <v>617.54960000000005</v>
      </c>
      <c r="K24" s="20">
        <v>32.330300000000001</v>
      </c>
      <c r="L24" s="20">
        <v>38.141399999999997</v>
      </c>
      <c r="M24" s="20">
        <v>39.472799999999999</v>
      </c>
      <c r="N24" s="20">
        <v>14.4735</v>
      </c>
      <c r="O24" s="20">
        <f t="shared" si="1"/>
        <v>33.9495</v>
      </c>
      <c r="P24" s="7"/>
      <c r="Q24" s="13"/>
      <c r="R24" s="14"/>
      <c r="S24" s="14"/>
      <c r="T24" s="27"/>
      <c r="U24" s="28">
        <f t="shared" si="2"/>
        <v>0.65790378006872841</v>
      </c>
    </row>
    <row r="25" spans="1:21" x14ac:dyDescent="0.25">
      <c r="B25" s="6" t="s">
        <v>50</v>
      </c>
      <c r="C25" s="15">
        <v>2419.703125</v>
      </c>
      <c r="D25" s="16">
        <v>33.296999999999997</v>
      </c>
      <c r="E25" s="16">
        <v>37.874000000000002</v>
      </c>
      <c r="F25" s="16">
        <v>39.618000000000002</v>
      </c>
      <c r="G25" s="16">
        <v>7.83</v>
      </c>
      <c r="H25" s="16">
        <f t="shared" si="0"/>
        <v>34.65925</v>
      </c>
      <c r="I25" s="5"/>
      <c r="J25" s="15">
        <v>2412.8103999999998</v>
      </c>
      <c r="K25" s="16">
        <v>34.936700000000002</v>
      </c>
      <c r="L25" s="16">
        <v>38.764699999999998</v>
      </c>
      <c r="M25" s="16">
        <v>41.2545</v>
      </c>
      <c r="N25" s="16">
        <v>11.022</v>
      </c>
      <c r="O25" s="16">
        <f t="shared" si="1"/>
        <v>36.204925000000003</v>
      </c>
      <c r="P25" s="7"/>
      <c r="Q25" s="8">
        <f>bdrate(C25:C28,D25:D28,J25:J28,K25:K28)</f>
        <v>-0.42933490199801705</v>
      </c>
      <c r="R25" s="8">
        <f>bdrate(C25:C28,E25:E28,J25:J28,L25:L28)</f>
        <v>-0.59650296348887111</v>
      </c>
      <c r="S25" s="8">
        <f>bdrate(C25:C28,F25:F28,J25:J28,M25:M28)</f>
        <v>-0.59639293153960204</v>
      </c>
      <c r="T25" s="25">
        <f>bdrate(C25:C28,H25:H28,J25:J28,O25:O28)</f>
        <v>-0.46278075085320203</v>
      </c>
      <c r="U25" s="28">
        <f t="shared" si="2"/>
        <v>0.40766283524904218</v>
      </c>
    </row>
    <row r="26" spans="1:21" x14ac:dyDescent="0.25">
      <c r="B26" s="9"/>
      <c r="C26" s="17">
        <v>1617.8867190000001</v>
      </c>
      <c r="D26" s="18">
        <v>32.055</v>
      </c>
      <c r="E26" s="18">
        <v>37.247</v>
      </c>
      <c r="F26" s="18">
        <v>38.53</v>
      </c>
      <c r="G26" s="18">
        <v>9.19</v>
      </c>
      <c r="H26" s="18">
        <f t="shared" si="0"/>
        <v>33.513374999999996</v>
      </c>
      <c r="I26" s="5"/>
      <c r="J26" s="17">
        <v>1604.5391999999999</v>
      </c>
      <c r="K26" s="18">
        <v>33.825000000000003</v>
      </c>
      <c r="L26" s="18">
        <v>38.347799999999999</v>
      </c>
      <c r="M26" s="18">
        <v>40.454900000000002</v>
      </c>
      <c r="N26" s="18">
        <v>13.5351</v>
      </c>
      <c r="O26" s="18">
        <f t="shared" si="1"/>
        <v>35.219087500000001</v>
      </c>
      <c r="P26" s="7"/>
      <c r="Q26" s="10"/>
      <c r="R26" s="11"/>
      <c r="S26" s="11"/>
      <c r="T26" s="26"/>
      <c r="U26" s="28">
        <f t="shared" si="2"/>
        <v>0.47280739934711652</v>
      </c>
    </row>
    <row r="27" spans="1:21" x14ac:dyDescent="0.25">
      <c r="B27" s="9"/>
      <c r="C27" s="17">
        <v>1010.220703</v>
      </c>
      <c r="D27" s="18">
        <v>30.61</v>
      </c>
      <c r="E27" s="18">
        <v>36.365000000000002</v>
      </c>
      <c r="F27" s="18">
        <v>37.171999999999997</v>
      </c>
      <c r="G27" s="18">
        <v>10.9</v>
      </c>
      <c r="H27" s="18">
        <f t="shared" si="0"/>
        <v>32.149625</v>
      </c>
      <c r="I27" s="5"/>
      <c r="J27" s="17">
        <v>997.93759999999997</v>
      </c>
      <c r="K27" s="18">
        <v>32.310200000000002</v>
      </c>
      <c r="L27" s="18">
        <v>37.829599999999999</v>
      </c>
      <c r="M27" s="18">
        <v>39.521999999999998</v>
      </c>
      <c r="N27" s="18">
        <v>16.5044</v>
      </c>
      <c r="O27" s="18">
        <f t="shared" si="1"/>
        <v>33.901600000000002</v>
      </c>
      <c r="P27" s="7"/>
      <c r="Q27" s="10"/>
      <c r="R27" s="11"/>
      <c r="S27" s="11"/>
      <c r="T27" s="26"/>
      <c r="U27" s="28">
        <f t="shared" si="2"/>
        <v>0.51416513761467886</v>
      </c>
    </row>
    <row r="28" spans="1:21" ht="16.5" thickBot="1" x14ac:dyDescent="0.3">
      <c r="B28" s="12"/>
      <c r="C28" s="19">
        <v>661.18261719999998</v>
      </c>
      <c r="D28" s="20">
        <v>29.295000000000002</v>
      </c>
      <c r="E28" s="20">
        <v>35.472999999999999</v>
      </c>
      <c r="F28" s="20">
        <v>35.841000000000001</v>
      </c>
      <c r="G28" s="20">
        <v>12.04</v>
      </c>
      <c r="H28" s="20">
        <f t="shared" si="0"/>
        <v>30.8855</v>
      </c>
      <c r="I28" s="5"/>
      <c r="J28" s="19">
        <v>599.54560000000004</v>
      </c>
      <c r="K28" s="20">
        <v>30.660399999999999</v>
      </c>
      <c r="L28" s="20">
        <v>37.204300000000003</v>
      </c>
      <c r="M28" s="20">
        <v>38.489199999999997</v>
      </c>
      <c r="N28" s="20">
        <v>20.4666</v>
      </c>
      <c r="O28" s="20">
        <f t="shared" si="1"/>
        <v>32.456987499999997</v>
      </c>
      <c r="P28" s="7"/>
      <c r="Q28" s="13"/>
      <c r="R28" s="14"/>
      <c r="S28" s="14"/>
      <c r="T28" s="27"/>
      <c r="U28" s="28">
        <f t="shared" si="2"/>
        <v>0.69988372093023266</v>
      </c>
    </row>
    <row r="29" spans="1:21" x14ac:dyDescent="0.25">
      <c r="B29" s="6" t="s">
        <v>51</v>
      </c>
      <c r="C29" s="29">
        <v>2394.611328</v>
      </c>
      <c r="D29" s="30">
        <v>33.389000000000003</v>
      </c>
      <c r="E29" s="30">
        <v>39.768999999999998</v>
      </c>
      <c r="F29" s="30">
        <v>38.991</v>
      </c>
      <c r="G29" s="16">
        <v>7.47</v>
      </c>
      <c r="H29" s="16">
        <f t="shared" si="0"/>
        <v>34.886749999999999</v>
      </c>
      <c r="I29" s="5"/>
      <c r="J29" s="29">
        <v>2458.944</v>
      </c>
      <c r="K29" s="30">
        <v>34.660600000000002</v>
      </c>
      <c r="L29" s="30">
        <v>41.180700000000002</v>
      </c>
      <c r="M29" s="30">
        <v>40.968400000000003</v>
      </c>
      <c r="N29" s="16">
        <v>9.8986000000000001</v>
      </c>
      <c r="O29" s="16">
        <f t="shared" si="1"/>
        <v>36.264087500000002</v>
      </c>
      <c r="P29" s="7"/>
      <c r="Q29" s="8">
        <f>bdrate(C29:C32,D29:D32,J29:J32,K29:K32)</f>
        <v>-0.28829073032777497</v>
      </c>
      <c r="R29" s="8">
        <f>bdrate(C29:C32,E29:E32,J29:J32,L29:L32)</f>
        <v>-0.59742206944917531</v>
      </c>
      <c r="S29" s="8">
        <f>bdrate(C29:C32,F29:F32,J29:J32,M29:M32)</f>
        <v>-0.60199201461566376</v>
      </c>
      <c r="T29" s="25">
        <f>bdrate(C29:C32,H29:H32,J29:J32,O29:O32)</f>
        <v>-0.36523437125714509</v>
      </c>
      <c r="U29" s="28">
        <f t="shared" si="2"/>
        <v>0.32511378848728251</v>
      </c>
    </row>
    <row r="30" spans="1:21" x14ac:dyDescent="0.25">
      <c r="B30" s="9"/>
      <c r="C30" s="31">
        <v>1602.8632809999999</v>
      </c>
      <c r="D30" s="32">
        <v>32.119999999999997</v>
      </c>
      <c r="E30" s="32">
        <v>38.863</v>
      </c>
      <c r="F30" s="32">
        <v>37.707999999999998</v>
      </c>
      <c r="G30" s="18">
        <v>8.85</v>
      </c>
      <c r="H30" s="18">
        <f t="shared" si="0"/>
        <v>33.661374999999992</v>
      </c>
      <c r="I30" s="5"/>
      <c r="J30" s="31">
        <v>1639.232</v>
      </c>
      <c r="K30" s="32">
        <v>33.361800000000002</v>
      </c>
      <c r="L30" s="32">
        <v>40.530999999999999</v>
      </c>
      <c r="M30" s="32">
        <v>40.071100000000001</v>
      </c>
      <c r="N30" s="18">
        <v>11.941700000000001</v>
      </c>
      <c r="O30" s="18">
        <f t="shared" si="1"/>
        <v>35.096612500000006</v>
      </c>
      <c r="P30" s="7"/>
      <c r="Q30" s="10"/>
      <c r="R30" s="11"/>
      <c r="S30" s="11"/>
      <c r="T30" s="26"/>
      <c r="U30" s="28">
        <f t="shared" si="2"/>
        <v>0.34934463276836175</v>
      </c>
    </row>
    <row r="31" spans="1:21" x14ac:dyDescent="0.25">
      <c r="B31" s="9"/>
      <c r="C31" s="31">
        <v>1013.175781</v>
      </c>
      <c r="D31" s="32">
        <v>30.640999999999998</v>
      </c>
      <c r="E31" s="32">
        <v>37.789000000000001</v>
      </c>
      <c r="F31" s="32">
        <v>36.284999999999997</v>
      </c>
      <c r="G31" s="18">
        <v>10.57</v>
      </c>
      <c r="H31" s="18">
        <f t="shared" si="0"/>
        <v>32.239999999999995</v>
      </c>
      <c r="I31" s="5"/>
      <c r="J31" s="31">
        <v>1018.4048</v>
      </c>
      <c r="K31" s="32">
        <v>31.755299999999998</v>
      </c>
      <c r="L31" s="32">
        <v>39.795299999999997</v>
      </c>
      <c r="M31" s="32">
        <v>39.0259</v>
      </c>
      <c r="N31" s="18">
        <v>14.3406</v>
      </c>
      <c r="O31" s="18">
        <f t="shared" si="1"/>
        <v>33.669124999999994</v>
      </c>
      <c r="P31" s="7"/>
      <c r="Q31" s="10"/>
      <c r="R31" s="11"/>
      <c r="S31" s="11"/>
      <c r="T31" s="26"/>
      <c r="U31" s="28">
        <f t="shared" si="2"/>
        <v>0.35672658467360452</v>
      </c>
    </row>
    <row r="32" spans="1:21" ht="16.5" thickBot="1" x14ac:dyDescent="0.3">
      <c r="B32" s="12"/>
      <c r="C32" s="33">
        <v>785.15234380000004</v>
      </c>
      <c r="D32" s="34">
        <v>29.844999999999999</v>
      </c>
      <c r="E32" s="34">
        <v>37.101999999999997</v>
      </c>
      <c r="F32" s="34">
        <v>35.500999999999998</v>
      </c>
      <c r="G32" s="20">
        <v>11.04</v>
      </c>
      <c r="H32" s="20">
        <f t="shared" si="0"/>
        <v>31.459125</v>
      </c>
      <c r="I32" s="5"/>
      <c r="J32" s="33">
        <v>610.46960000000001</v>
      </c>
      <c r="K32" s="34">
        <v>30.010999999999999</v>
      </c>
      <c r="L32" s="34">
        <v>38.7774</v>
      </c>
      <c r="M32" s="34">
        <v>37.671399999999998</v>
      </c>
      <c r="N32" s="20">
        <v>17.796099999999999</v>
      </c>
      <c r="O32" s="20">
        <f t="shared" si="1"/>
        <v>32.064349999999997</v>
      </c>
      <c r="P32" s="7"/>
      <c r="Q32" s="13"/>
      <c r="R32" s="14"/>
      <c r="S32" s="14"/>
      <c r="T32" s="27"/>
      <c r="U32" s="28">
        <f t="shared" si="2"/>
        <v>0.61196557971014498</v>
      </c>
    </row>
    <row r="33" spans="1:21" x14ac:dyDescent="0.25">
      <c r="B33" s="6" t="s">
        <v>52</v>
      </c>
      <c r="C33" s="15">
        <v>2616.5253910000001</v>
      </c>
      <c r="D33" s="16">
        <v>33.042000000000002</v>
      </c>
      <c r="E33" s="16">
        <v>39.090000000000003</v>
      </c>
      <c r="F33" s="16">
        <v>41.692999999999998</v>
      </c>
      <c r="G33" s="16">
        <v>6.08</v>
      </c>
      <c r="H33" s="16">
        <f t="shared" si="0"/>
        <v>34.879375000000003</v>
      </c>
      <c r="I33" s="5"/>
      <c r="J33" s="15">
        <v>2401.1776</v>
      </c>
      <c r="K33" s="16">
        <v>33.996200000000002</v>
      </c>
      <c r="L33" s="16">
        <v>40.402700000000003</v>
      </c>
      <c r="M33" s="16">
        <v>42.835999999999999</v>
      </c>
      <c r="N33" s="16">
        <v>10.9985</v>
      </c>
      <c r="O33" s="16">
        <f t="shared" si="1"/>
        <v>35.901987500000004</v>
      </c>
      <c r="P33" s="7"/>
      <c r="Q33" s="8">
        <f>bdrate(C33:C36,D33:D36,J33:J36,K33:K36)</f>
        <v>-0.49117462648208488</v>
      </c>
      <c r="R33" s="8">
        <f>bdrate(C33:C36,E33:E36,J33:J36,L33:L36)</f>
        <v>-0.67482057258178185</v>
      </c>
      <c r="S33" s="8">
        <f>bdrate(C33:C36,F33:F36,J33:J36,M33:M36)</f>
        <v>-0.66262196213531266</v>
      </c>
      <c r="T33" s="25">
        <f>bdrate(C33:C36,H33:H36,J33:J36,O33:O36)</f>
        <v>-0.5225012212241984</v>
      </c>
      <c r="U33" s="28">
        <f t="shared" si="2"/>
        <v>0.80896381578947363</v>
      </c>
    </row>
    <row r="34" spans="1:21" x14ac:dyDescent="0.25">
      <c r="B34" s="9"/>
      <c r="C34" s="17">
        <v>1738.5898440000001</v>
      </c>
      <c r="D34" s="18">
        <v>32.203000000000003</v>
      </c>
      <c r="E34" s="18">
        <v>38.545000000000002</v>
      </c>
      <c r="F34" s="18">
        <v>41.241</v>
      </c>
      <c r="G34" s="18">
        <v>7.9</v>
      </c>
      <c r="H34" s="18">
        <f t="shared" si="0"/>
        <v>34.125500000000002</v>
      </c>
      <c r="I34" s="5"/>
      <c r="J34" s="17">
        <v>1609.4287999999999</v>
      </c>
      <c r="K34" s="18">
        <v>33.398400000000002</v>
      </c>
      <c r="L34" s="18">
        <v>39.945799999999998</v>
      </c>
      <c r="M34" s="18">
        <v>42.436900000000001</v>
      </c>
      <c r="N34" s="18">
        <v>13.697100000000001</v>
      </c>
      <c r="O34" s="18">
        <f t="shared" si="1"/>
        <v>35.3466375</v>
      </c>
      <c r="P34" s="7"/>
      <c r="Q34" s="10"/>
      <c r="R34" s="11"/>
      <c r="S34" s="11"/>
      <c r="T34" s="26"/>
      <c r="U34" s="28">
        <f t="shared" si="2"/>
        <v>0.73381012658227851</v>
      </c>
    </row>
    <row r="35" spans="1:21" x14ac:dyDescent="0.25">
      <c r="B35" s="9"/>
      <c r="C35" s="17">
        <v>1075.3955080000001</v>
      </c>
      <c r="D35" s="18">
        <v>30.952999999999999</v>
      </c>
      <c r="E35" s="18">
        <v>37.841000000000001</v>
      </c>
      <c r="F35" s="18">
        <v>40.613999999999997</v>
      </c>
      <c r="G35" s="18">
        <v>9.81</v>
      </c>
      <c r="H35" s="18">
        <f t="shared" si="0"/>
        <v>33.021625</v>
      </c>
      <c r="I35" s="5"/>
      <c r="J35" s="17">
        <v>988.5376</v>
      </c>
      <c r="K35" s="18">
        <v>32.468499999999999</v>
      </c>
      <c r="L35" s="18">
        <v>39.255699999999997</v>
      </c>
      <c r="M35" s="18">
        <v>41.8322</v>
      </c>
      <c r="N35" s="18">
        <v>17.003399999999999</v>
      </c>
      <c r="O35" s="18">
        <f t="shared" si="1"/>
        <v>34.487362499999996</v>
      </c>
      <c r="P35" s="7"/>
      <c r="Q35" s="10"/>
      <c r="R35" s="11"/>
      <c r="S35" s="11"/>
      <c r="T35" s="26"/>
      <c r="U35" s="28">
        <f t="shared" si="2"/>
        <v>0.73327217125382249</v>
      </c>
    </row>
    <row r="36" spans="1:21" ht="16.5" thickBot="1" x14ac:dyDescent="0.3">
      <c r="B36" s="12"/>
      <c r="C36" s="19">
        <v>660.06835939999996</v>
      </c>
      <c r="D36" s="20">
        <v>29.588000000000001</v>
      </c>
      <c r="E36" s="20">
        <v>37.182000000000002</v>
      </c>
      <c r="F36" s="20">
        <v>40.033999999999999</v>
      </c>
      <c r="G36" s="20">
        <v>11.8</v>
      </c>
      <c r="H36" s="20">
        <f t="shared" si="0"/>
        <v>31.843000000000004</v>
      </c>
      <c r="I36" s="5"/>
      <c r="J36" s="19">
        <v>605.82479999999998</v>
      </c>
      <c r="K36" s="20">
        <v>31.139700000000001</v>
      </c>
      <c r="L36" s="20">
        <v>38.6783</v>
      </c>
      <c r="M36" s="20">
        <v>41.285600000000002</v>
      </c>
      <c r="N36" s="20">
        <v>21.296199999999999</v>
      </c>
      <c r="O36" s="20">
        <f t="shared" si="1"/>
        <v>33.350262499999999</v>
      </c>
      <c r="P36" s="7"/>
      <c r="Q36" s="13"/>
      <c r="R36" s="14"/>
      <c r="S36" s="14"/>
      <c r="T36" s="27"/>
      <c r="U36" s="28">
        <f t="shared" si="2"/>
        <v>0.80476271186440662</v>
      </c>
    </row>
    <row r="37" spans="1:21" x14ac:dyDescent="0.25">
      <c r="A37" s="6" t="s">
        <v>39</v>
      </c>
      <c r="B37" s="6" t="s">
        <v>53</v>
      </c>
      <c r="C37" s="15">
        <v>946.86914060000004</v>
      </c>
      <c r="D37" s="16">
        <v>35.152999999999999</v>
      </c>
      <c r="E37" s="16">
        <v>39.481000000000002</v>
      </c>
      <c r="F37" s="16">
        <v>39.215000000000003</v>
      </c>
      <c r="G37" s="16">
        <v>29.6</v>
      </c>
      <c r="H37" s="16">
        <f t="shared" si="0"/>
        <v>36.201750000000004</v>
      </c>
      <c r="I37" s="5"/>
      <c r="J37" s="15">
        <v>1238.2911999999999</v>
      </c>
      <c r="K37" s="16">
        <v>36.559899999999999</v>
      </c>
      <c r="L37" s="16">
        <v>41.029699999999998</v>
      </c>
      <c r="M37" s="16">
        <v>41.094999999999999</v>
      </c>
      <c r="N37" s="16">
        <v>31.361699999999999</v>
      </c>
      <c r="O37" s="16">
        <f t="shared" si="1"/>
        <v>37.685512500000002</v>
      </c>
      <c r="P37" s="7"/>
      <c r="Q37" s="8">
        <f>bdrate(C37:C40,D37:D40,J37:J40,K37:K40)</f>
        <v>-6.2160411837166363E-2</v>
      </c>
      <c r="R37" s="8">
        <f>bdrate(C37:C40,E37:E40,J37:J40,L37:L40)</f>
        <v>-0.25551939249515587</v>
      </c>
      <c r="S37" s="8">
        <f>bdrate(C37:C40,F37:F40,J37:J40,M37:M40)</f>
        <v>-0.29287582057359818</v>
      </c>
      <c r="T37" s="25">
        <f>bdrate(C37:C40,H37:H40,J37:J40,O37:O40)</f>
        <v>-0.11465975874758039</v>
      </c>
      <c r="U37" s="28">
        <f t="shared" si="2"/>
        <v>5.9516891891891806E-2</v>
      </c>
    </row>
    <row r="38" spans="1:21" x14ac:dyDescent="0.25">
      <c r="A38" s="9" t="s">
        <v>40</v>
      </c>
      <c r="B38" s="9"/>
      <c r="C38" s="17">
        <v>666.66796880000004</v>
      </c>
      <c r="D38" s="18">
        <v>33.726999999999997</v>
      </c>
      <c r="E38" s="18">
        <v>38.386000000000003</v>
      </c>
      <c r="F38" s="18">
        <v>37.930999999999997</v>
      </c>
      <c r="G38" s="18">
        <v>33.75</v>
      </c>
      <c r="H38" s="18">
        <f t="shared" si="0"/>
        <v>34.834874999999997</v>
      </c>
      <c r="I38" s="5"/>
      <c r="J38" s="17">
        <v>825.20399999999995</v>
      </c>
      <c r="K38" s="18">
        <v>34.808300000000003</v>
      </c>
      <c r="L38" s="18">
        <v>39.757100000000001</v>
      </c>
      <c r="M38" s="18">
        <v>39.6404</v>
      </c>
      <c r="N38" s="18">
        <v>37.009599999999999</v>
      </c>
      <c r="O38" s="18">
        <f t="shared" si="1"/>
        <v>36.030912499999999</v>
      </c>
      <c r="P38" s="7"/>
      <c r="Q38" s="10"/>
      <c r="R38" s="11"/>
      <c r="S38" s="11"/>
      <c r="T38" s="26"/>
      <c r="U38" s="28">
        <f t="shared" si="2"/>
        <v>9.6580740740740703E-2</v>
      </c>
    </row>
    <row r="39" spans="1:21" x14ac:dyDescent="0.25">
      <c r="B39" s="9"/>
      <c r="C39" s="17">
        <v>443.76074219999998</v>
      </c>
      <c r="D39" s="18">
        <v>32.125</v>
      </c>
      <c r="E39" s="18">
        <v>36.914999999999999</v>
      </c>
      <c r="F39" s="18">
        <v>36.341000000000001</v>
      </c>
      <c r="G39" s="18">
        <v>35.79</v>
      </c>
      <c r="H39" s="18">
        <f t="shared" si="0"/>
        <v>33.250749999999996</v>
      </c>
      <c r="I39" s="5"/>
      <c r="J39" s="17">
        <v>516.41120000000001</v>
      </c>
      <c r="K39" s="18">
        <v>32.964599999999997</v>
      </c>
      <c r="L39" s="18">
        <v>38.433</v>
      </c>
      <c r="M39" s="18">
        <v>38.194000000000003</v>
      </c>
      <c r="N39" s="18">
        <v>44.456299999999999</v>
      </c>
      <c r="O39" s="18">
        <f t="shared" si="1"/>
        <v>34.301825000000001</v>
      </c>
      <c r="P39" s="7"/>
      <c r="Q39" s="10"/>
      <c r="R39" s="11"/>
      <c r="S39" s="11"/>
      <c r="T39" s="26"/>
      <c r="U39" s="28">
        <f t="shared" si="2"/>
        <v>0.24214305671975411</v>
      </c>
    </row>
    <row r="40" spans="1:21" ht="16.5" thickBot="1" x14ac:dyDescent="0.3">
      <c r="B40" s="12"/>
      <c r="C40" s="19">
        <v>286.8046875</v>
      </c>
      <c r="D40" s="20">
        <v>30.445</v>
      </c>
      <c r="E40" s="20">
        <v>35.356999999999999</v>
      </c>
      <c r="F40" s="20">
        <v>34.679000000000002</v>
      </c>
      <c r="G40" s="20">
        <v>40.270000000000003</v>
      </c>
      <c r="H40" s="20">
        <f t="shared" si="0"/>
        <v>31.588250000000002</v>
      </c>
      <c r="I40" s="5"/>
      <c r="J40" s="19">
        <v>309.23439999999999</v>
      </c>
      <c r="K40" s="20">
        <v>31.059899999999999</v>
      </c>
      <c r="L40" s="20">
        <v>37.104100000000003</v>
      </c>
      <c r="M40" s="20">
        <v>36.651400000000002</v>
      </c>
      <c r="N40" s="20">
        <v>54.507800000000003</v>
      </c>
      <c r="O40" s="20">
        <f t="shared" si="1"/>
        <v>32.514362500000004</v>
      </c>
      <c r="P40" s="7"/>
      <c r="Q40" s="13"/>
      <c r="R40" s="14"/>
      <c r="S40" s="14"/>
      <c r="T40" s="27"/>
      <c r="U40" s="28">
        <f t="shared" si="2"/>
        <v>0.35355848025825676</v>
      </c>
    </row>
    <row r="41" spans="1:21" x14ac:dyDescent="0.25">
      <c r="B41" s="6" t="s">
        <v>54</v>
      </c>
      <c r="C41" s="15">
        <v>1251.6455080000001</v>
      </c>
      <c r="D41" s="16">
        <v>34.53</v>
      </c>
      <c r="E41" s="16">
        <v>40.08</v>
      </c>
      <c r="F41" s="16">
        <v>40.843000000000004</v>
      </c>
      <c r="G41" s="16">
        <v>25.48</v>
      </c>
      <c r="H41" s="16">
        <f t="shared" si="0"/>
        <v>36.012875000000001</v>
      </c>
      <c r="I41" s="5"/>
      <c r="J41" s="15">
        <v>1258.9975999999999</v>
      </c>
      <c r="K41" s="16">
        <v>36.224499999999999</v>
      </c>
      <c r="L41" s="16">
        <v>41.821399999999997</v>
      </c>
      <c r="M41" s="16">
        <v>42.845300000000002</v>
      </c>
      <c r="N41" s="16">
        <v>35.319000000000003</v>
      </c>
      <c r="O41" s="16">
        <f t="shared" si="1"/>
        <v>37.751712499999996</v>
      </c>
      <c r="P41" s="7"/>
      <c r="Q41" s="8">
        <f>bdrate(C41:C44,D41:D44,J41:J44,K41:K44)</f>
        <v>-0.35885150171969649</v>
      </c>
      <c r="R41" s="8">
        <f>bdrate(C41:C44,E41:E44,J41:J44,L41:L44)</f>
        <v>-0.54188329874545937</v>
      </c>
      <c r="S41" s="8">
        <f>bdrate(C41:C44,F41:F44,J41:J44,M41:M44)</f>
        <v>-0.54584122177433869</v>
      </c>
      <c r="T41" s="25">
        <f>bdrate(C41:C44,H41:H44,J41:J44,O41:O44)</f>
        <v>-0.39972124435456369</v>
      </c>
      <c r="U41" s="28">
        <f t="shared" si="2"/>
        <v>0.38614599686028267</v>
      </c>
    </row>
    <row r="42" spans="1:21" x14ac:dyDescent="0.25">
      <c r="B42" s="9"/>
      <c r="C42" s="17">
        <v>839.40625</v>
      </c>
      <c r="D42" s="18">
        <v>33.024000000000001</v>
      </c>
      <c r="E42" s="18">
        <v>39.006999999999998</v>
      </c>
      <c r="F42" s="18">
        <v>39.634</v>
      </c>
      <c r="G42" s="18">
        <v>29.58</v>
      </c>
      <c r="H42" s="18">
        <f t="shared" si="0"/>
        <v>34.598125000000003</v>
      </c>
      <c r="I42" s="5"/>
      <c r="J42" s="17">
        <v>836.66160000000002</v>
      </c>
      <c r="K42" s="18">
        <v>34.734900000000003</v>
      </c>
      <c r="L42" s="18">
        <v>40.873600000000003</v>
      </c>
      <c r="M42" s="18">
        <v>41.760100000000001</v>
      </c>
      <c r="N42" s="18">
        <v>42.125999999999998</v>
      </c>
      <c r="O42" s="18">
        <f t="shared" si="1"/>
        <v>36.380387500000005</v>
      </c>
      <c r="P42" s="7"/>
      <c r="Q42" s="10"/>
      <c r="R42" s="11"/>
      <c r="S42" s="11"/>
      <c r="T42" s="26"/>
      <c r="U42" s="28">
        <f t="shared" si="2"/>
        <v>0.42413793103448277</v>
      </c>
    </row>
    <row r="43" spans="1:21" x14ac:dyDescent="0.25">
      <c r="B43" s="9"/>
      <c r="C43" s="17">
        <v>524.21875</v>
      </c>
      <c r="D43" s="18">
        <v>31.268999999999998</v>
      </c>
      <c r="E43" s="18">
        <v>37.707999999999998</v>
      </c>
      <c r="F43" s="18">
        <v>38.213000000000001</v>
      </c>
      <c r="G43" s="18">
        <v>33.090000000000003</v>
      </c>
      <c r="H43" s="18">
        <f t="shared" si="0"/>
        <v>32.941874999999996</v>
      </c>
      <c r="I43" s="5"/>
      <c r="J43" s="17">
        <v>520.82719999999995</v>
      </c>
      <c r="K43" s="18">
        <v>32.9221</v>
      </c>
      <c r="L43" s="18">
        <v>39.732900000000001</v>
      </c>
      <c r="M43" s="18">
        <v>40.467300000000002</v>
      </c>
      <c r="N43" s="18">
        <v>50.675699999999999</v>
      </c>
      <c r="O43" s="18">
        <f t="shared" si="1"/>
        <v>34.7166</v>
      </c>
      <c r="P43" s="7"/>
      <c r="Q43" s="10"/>
      <c r="R43" s="11"/>
      <c r="S43" s="11"/>
      <c r="T43" s="26"/>
      <c r="U43" s="28">
        <f t="shared" si="2"/>
        <v>0.5314505893019037</v>
      </c>
    </row>
    <row r="44" spans="1:21" ht="16.5" thickBot="1" x14ac:dyDescent="0.3">
      <c r="B44" s="12"/>
      <c r="C44" s="19">
        <v>323.515625</v>
      </c>
      <c r="D44" s="20">
        <v>29.439</v>
      </c>
      <c r="E44" s="20">
        <v>36.418999999999997</v>
      </c>
      <c r="F44" s="20">
        <v>36.704000000000001</v>
      </c>
      <c r="G44" s="20">
        <v>36.81</v>
      </c>
      <c r="H44" s="20">
        <f t="shared" si="0"/>
        <v>31.219625000000001</v>
      </c>
      <c r="I44" s="5"/>
      <c r="J44" s="19">
        <v>311.7944</v>
      </c>
      <c r="K44" s="20">
        <v>30.8934</v>
      </c>
      <c r="L44" s="20">
        <v>38.632800000000003</v>
      </c>
      <c r="M44" s="20">
        <v>39.2607</v>
      </c>
      <c r="N44" s="20">
        <v>61.343400000000003</v>
      </c>
      <c r="O44" s="20">
        <f t="shared" si="1"/>
        <v>32.906737499999998</v>
      </c>
      <c r="P44" s="7"/>
      <c r="Q44" s="13"/>
      <c r="R44" s="14"/>
      <c r="S44" s="14"/>
      <c r="T44" s="27"/>
      <c r="U44" s="28">
        <f t="shared" si="2"/>
        <v>0.66648736756316218</v>
      </c>
    </row>
    <row r="45" spans="1:21" x14ac:dyDescent="0.25">
      <c r="B45" s="6" t="s">
        <v>55</v>
      </c>
      <c r="C45" s="15">
        <v>1307.6689449999999</v>
      </c>
      <c r="D45" s="16">
        <v>29.879000000000001</v>
      </c>
      <c r="E45" s="16">
        <v>36.362000000000002</v>
      </c>
      <c r="F45" s="16">
        <v>37.213000000000001</v>
      </c>
      <c r="G45" s="16">
        <v>16.559999999999999</v>
      </c>
      <c r="H45" s="16">
        <f t="shared" si="0"/>
        <v>31.606124999999999</v>
      </c>
      <c r="I45" s="5"/>
      <c r="J45" s="15">
        <v>1240.0224000000001</v>
      </c>
      <c r="K45" s="16">
        <v>31.0687</v>
      </c>
      <c r="L45" s="16">
        <v>37.744199999999999</v>
      </c>
      <c r="M45" s="16">
        <v>38.618000000000002</v>
      </c>
      <c r="N45" s="16">
        <v>30.095099999999999</v>
      </c>
      <c r="O45" s="16">
        <f t="shared" si="1"/>
        <v>32.846800000000002</v>
      </c>
      <c r="P45" s="7"/>
      <c r="Q45" s="8">
        <f>bdrate(C45:C48,D45:D48,J45:J48,K45:K48)</f>
        <v>-0.34916235482896674</v>
      </c>
      <c r="R45" s="8">
        <f>bdrate(C45:C48,E45:E48,J45:J48,L45:L48)</f>
        <v>-0.55785340546102291</v>
      </c>
      <c r="S45" s="8">
        <f>bdrate(C45:C48,F45:F48,J45:J48,M45:M48)</f>
        <v>-0.53277663169426925</v>
      </c>
      <c r="T45" s="25">
        <f>bdrate(C45:C48,H45:H48,J45:J48,O45:O48)</f>
        <v>-0.3910938323424481</v>
      </c>
      <c r="U45" s="28">
        <f t="shared" si="2"/>
        <v>0.81733695652173921</v>
      </c>
    </row>
    <row r="46" spans="1:21" x14ac:dyDescent="0.25">
      <c r="B46" s="9"/>
      <c r="C46" s="17">
        <v>893.24804689999996</v>
      </c>
      <c r="D46" s="18">
        <v>28.6</v>
      </c>
      <c r="E46" s="18">
        <v>35.493000000000002</v>
      </c>
      <c r="F46" s="18">
        <v>36.353999999999999</v>
      </c>
      <c r="G46" s="18">
        <v>18.27</v>
      </c>
      <c r="H46" s="18">
        <f t="shared" si="0"/>
        <v>30.430875</v>
      </c>
      <c r="I46" s="5"/>
      <c r="J46" s="17">
        <v>825.27520000000004</v>
      </c>
      <c r="K46" s="18">
        <v>29.7439</v>
      </c>
      <c r="L46" s="18">
        <v>36.905999999999999</v>
      </c>
      <c r="M46" s="18">
        <v>37.683300000000003</v>
      </c>
      <c r="N46" s="18">
        <v>35.932400000000001</v>
      </c>
      <c r="O46" s="18">
        <f t="shared" si="1"/>
        <v>31.631587500000002</v>
      </c>
      <c r="P46" s="7"/>
      <c r="Q46" s="10"/>
      <c r="R46" s="11"/>
      <c r="S46" s="11"/>
      <c r="T46" s="26"/>
      <c r="U46" s="28">
        <f t="shared" si="2"/>
        <v>0.96674329501915723</v>
      </c>
    </row>
    <row r="47" spans="1:21" x14ac:dyDescent="0.25">
      <c r="B47" s="9"/>
      <c r="C47" s="17">
        <v>562.4921875</v>
      </c>
      <c r="D47" s="18">
        <v>27.228000000000002</v>
      </c>
      <c r="E47" s="18">
        <v>34.469000000000001</v>
      </c>
      <c r="F47" s="18">
        <v>35.304000000000002</v>
      </c>
      <c r="G47" s="18">
        <v>20.73</v>
      </c>
      <c r="H47" s="18">
        <f t="shared" si="0"/>
        <v>29.142624999999999</v>
      </c>
      <c r="I47" s="5"/>
      <c r="J47" s="17">
        <v>514.65279999999996</v>
      </c>
      <c r="K47" s="18">
        <v>28.2317</v>
      </c>
      <c r="L47" s="18">
        <v>36.002099999999999</v>
      </c>
      <c r="M47" s="18">
        <v>36.759700000000002</v>
      </c>
      <c r="N47" s="18">
        <v>43.192799999999998</v>
      </c>
      <c r="O47" s="18">
        <f t="shared" si="1"/>
        <v>30.268999999999998</v>
      </c>
      <c r="P47" s="7"/>
      <c r="Q47" s="10"/>
      <c r="R47" s="11"/>
      <c r="S47" s="11"/>
      <c r="T47" s="26"/>
      <c r="U47" s="28">
        <f t="shared" si="2"/>
        <v>1.0835890014471778</v>
      </c>
    </row>
    <row r="48" spans="1:21" ht="16.5" thickBot="1" x14ac:dyDescent="0.3">
      <c r="B48" s="12"/>
      <c r="C48" s="19">
        <v>351.3505859</v>
      </c>
      <c r="D48" s="20">
        <v>25.960999999999999</v>
      </c>
      <c r="E48" s="20">
        <v>33.404000000000003</v>
      </c>
      <c r="F48" s="20">
        <v>34.188000000000002</v>
      </c>
      <c r="G48" s="20">
        <v>23.22</v>
      </c>
      <c r="H48" s="20">
        <f t="shared" si="0"/>
        <v>27.919750000000001</v>
      </c>
      <c r="I48" s="5"/>
      <c r="J48" s="19">
        <v>309.51679999999999</v>
      </c>
      <c r="K48" s="20">
        <v>26.746400000000001</v>
      </c>
      <c r="L48" s="20">
        <v>35.185600000000001</v>
      </c>
      <c r="M48" s="20">
        <v>35.890799999999999</v>
      </c>
      <c r="N48" s="20">
        <v>53.954900000000002</v>
      </c>
      <c r="O48" s="20">
        <f t="shared" si="1"/>
        <v>28.94435</v>
      </c>
      <c r="P48" s="7"/>
      <c r="Q48" s="13"/>
      <c r="R48" s="14"/>
      <c r="S48" s="14"/>
      <c r="T48" s="27"/>
      <c r="U48" s="28">
        <f t="shared" si="2"/>
        <v>1.3236391042204998</v>
      </c>
    </row>
    <row r="49" spans="1:21" x14ac:dyDescent="0.25">
      <c r="B49" s="6" t="s">
        <v>56</v>
      </c>
      <c r="C49" s="15">
        <v>1225.0458980000001</v>
      </c>
      <c r="D49" s="16">
        <v>32.26</v>
      </c>
      <c r="E49" s="16">
        <v>36.613999999999997</v>
      </c>
      <c r="F49" s="16">
        <v>38.244</v>
      </c>
      <c r="G49" s="16">
        <v>16.82</v>
      </c>
      <c r="H49" s="16">
        <f t="shared" si="0"/>
        <v>33.552250000000001</v>
      </c>
      <c r="I49" s="5"/>
      <c r="J49" s="15">
        <v>1225.9392</v>
      </c>
      <c r="K49" s="16">
        <v>33.187899999999999</v>
      </c>
      <c r="L49" s="16">
        <v>37.915199999999999</v>
      </c>
      <c r="M49" s="16">
        <v>39.543199999999999</v>
      </c>
      <c r="N49" s="16">
        <v>20.545100000000001</v>
      </c>
      <c r="O49" s="16">
        <f t="shared" si="1"/>
        <v>34.573225000000001</v>
      </c>
      <c r="P49" s="7"/>
      <c r="Q49" s="8">
        <f>bdrate(C49:C52,D49:D52,J49:J52,K49:K52)</f>
        <v>-0.21292854165966435</v>
      </c>
      <c r="R49" s="8">
        <f>bdrate(C49:C52,E49:E52,J49:J52,L49:L52)</f>
        <v>-0.52354588199134211</v>
      </c>
      <c r="S49" s="8">
        <f>bdrate(C49:C52,F49:F52,J49:J52,M49:M52)</f>
        <v>-0.53664469555923189</v>
      </c>
      <c r="T49" s="25">
        <f>bdrate(C49:C52,H49:H52,J49:J52,O49:O52)</f>
        <v>-0.28624849014075937</v>
      </c>
      <c r="U49" s="28">
        <f t="shared" si="2"/>
        <v>0.22146848989298462</v>
      </c>
    </row>
    <row r="50" spans="1:21" x14ac:dyDescent="0.25">
      <c r="B50" s="9"/>
      <c r="C50" s="17">
        <v>857.51171880000004</v>
      </c>
      <c r="D50" s="18">
        <v>30.943999999999999</v>
      </c>
      <c r="E50" s="18">
        <v>35.665999999999997</v>
      </c>
      <c r="F50" s="18">
        <v>37.241</v>
      </c>
      <c r="G50" s="18">
        <v>19.579999999999998</v>
      </c>
      <c r="H50" s="18">
        <f t="shared" si="0"/>
        <v>32.321374999999996</v>
      </c>
      <c r="I50" s="5"/>
      <c r="J50" s="17">
        <v>820.23519999999996</v>
      </c>
      <c r="K50" s="18">
        <v>31.677199999999999</v>
      </c>
      <c r="L50" s="18">
        <v>37.0503</v>
      </c>
      <c r="M50" s="18">
        <v>38.687199999999997</v>
      </c>
      <c r="N50" s="18">
        <v>24.342700000000001</v>
      </c>
      <c r="O50" s="18">
        <f t="shared" si="1"/>
        <v>33.225087500000001</v>
      </c>
      <c r="P50" s="7"/>
      <c r="Q50" s="10"/>
      <c r="R50" s="11"/>
      <c r="S50" s="11"/>
      <c r="T50" s="26"/>
      <c r="U50" s="28">
        <f t="shared" si="2"/>
        <v>0.24324310520939749</v>
      </c>
    </row>
    <row r="51" spans="1:21" x14ac:dyDescent="0.25">
      <c r="B51" s="9"/>
      <c r="C51" s="17">
        <v>550.6484375</v>
      </c>
      <c r="D51" s="18">
        <v>29.491</v>
      </c>
      <c r="E51" s="18">
        <v>34.561</v>
      </c>
      <c r="F51" s="18">
        <v>36.064</v>
      </c>
      <c r="G51" s="18">
        <v>20.97</v>
      </c>
      <c r="H51" s="18">
        <f t="shared" si="0"/>
        <v>30.946375</v>
      </c>
      <c r="I51" s="5"/>
      <c r="J51" s="17">
        <v>516.11760000000004</v>
      </c>
      <c r="K51" s="18">
        <v>30.048999999999999</v>
      </c>
      <c r="L51" s="18">
        <v>36.170499999999997</v>
      </c>
      <c r="M51" s="18">
        <v>37.831800000000001</v>
      </c>
      <c r="N51" s="18">
        <v>29.0501</v>
      </c>
      <c r="O51" s="18">
        <f t="shared" si="1"/>
        <v>31.787037499999997</v>
      </c>
      <c r="P51" s="7"/>
      <c r="Q51" s="10"/>
      <c r="R51" s="11"/>
      <c r="S51" s="11"/>
      <c r="T51" s="26"/>
      <c r="U51" s="28">
        <f t="shared" si="2"/>
        <v>0.3853171196948022</v>
      </c>
    </row>
    <row r="52" spans="1:21" ht="16.5" thickBot="1" x14ac:dyDescent="0.3">
      <c r="B52" s="12"/>
      <c r="C52" s="19">
        <v>333.2421875</v>
      </c>
      <c r="D52" s="20">
        <v>28.071000000000002</v>
      </c>
      <c r="E52" s="20">
        <v>33.4</v>
      </c>
      <c r="F52" s="20">
        <v>34.804000000000002</v>
      </c>
      <c r="G52" s="20">
        <v>23.94</v>
      </c>
      <c r="H52" s="20">
        <f t="shared" si="0"/>
        <v>29.578750000000003</v>
      </c>
      <c r="I52" s="5"/>
      <c r="J52" s="19">
        <v>309.7328</v>
      </c>
      <c r="K52" s="20">
        <v>28.4391</v>
      </c>
      <c r="L52" s="20">
        <v>35.271599999999999</v>
      </c>
      <c r="M52" s="20">
        <v>36.924199999999999</v>
      </c>
      <c r="N52" s="20">
        <v>36.148899999999998</v>
      </c>
      <c r="O52" s="20">
        <f t="shared" si="1"/>
        <v>30.3538</v>
      </c>
      <c r="P52" s="7"/>
      <c r="Q52" s="13"/>
      <c r="R52" s="14"/>
      <c r="S52" s="14"/>
      <c r="T52" s="27"/>
      <c r="U52" s="28">
        <f t="shared" si="2"/>
        <v>0.50997911445279853</v>
      </c>
    </row>
    <row r="53" spans="1:21" x14ac:dyDescent="0.25">
      <c r="A53" s="6" t="s">
        <v>41</v>
      </c>
      <c r="B53" s="6" t="s">
        <v>57</v>
      </c>
      <c r="C53" s="15">
        <v>521.33496090000006</v>
      </c>
      <c r="D53" s="16">
        <v>33.307000000000002</v>
      </c>
      <c r="E53" s="16">
        <v>39.015000000000001</v>
      </c>
      <c r="F53" s="16">
        <v>37.222000000000001</v>
      </c>
      <c r="G53" s="16">
        <v>70.97</v>
      </c>
      <c r="H53" s="16">
        <f t="shared" si="0"/>
        <v>34.509875000000001</v>
      </c>
      <c r="I53" s="5"/>
      <c r="J53" s="15">
        <v>608.75840000000005</v>
      </c>
      <c r="K53" s="16">
        <v>35.268000000000001</v>
      </c>
      <c r="L53" s="16">
        <v>41.015700000000002</v>
      </c>
      <c r="M53" s="16">
        <v>39.448799999999999</v>
      </c>
      <c r="N53" s="16">
        <v>92.370199999999997</v>
      </c>
      <c r="O53" s="16">
        <f t="shared" si="1"/>
        <v>36.509062499999999</v>
      </c>
      <c r="P53" s="7"/>
      <c r="Q53" s="8">
        <f>bdrate(C53:C56,D53:D56,J53:J56,K53:K56)</f>
        <v>-0.24063342271628363</v>
      </c>
      <c r="R53" s="8">
        <f>bdrate(C53:C56,E53:E56,J53:J56,L53:L56)</f>
        <v>-0.49083892754428338</v>
      </c>
      <c r="S53" s="8">
        <f>bdrate(C53:C56,F53:F56,J53:J56,M53:M56)</f>
        <v>-0.49889150885010047</v>
      </c>
      <c r="T53" s="25">
        <f>bdrate(C53:C56,H53:H56,J53:J56,O53:O56)</f>
        <v>-0.30020561801120715</v>
      </c>
      <c r="U53" s="28">
        <f t="shared" si="2"/>
        <v>0.30153867831478087</v>
      </c>
    </row>
    <row r="54" spans="1:21" x14ac:dyDescent="0.25">
      <c r="A54" s="9" t="s">
        <v>42</v>
      </c>
      <c r="B54" s="9"/>
      <c r="C54" s="17">
        <v>374.5478516</v>
      </c>
      <c r="D54" s="18">
        <v>31.826000000000001</v>
      </c>
      <c r="E54" s="18">
        <v>37.963000000000001</v>
      </c>
      <c r="F54" s="18">
        <v>35.999000000000002</v>
      </c>
      <c r="G54" s="18">
        <v>80.84</v>
      </c>
      <c r="H54" s="18">
        <f t="shared" si="0"/>
        <v>33.114750000000001</v>
      </c>
      <c r="I54" s="5"/>
      <c r="J54" s="17">
        <v>409.32639999999998</v>
      </c>
      <c r="K54" s="18">
        <v>33.444899999999997</v>
      </c>
      <c r="L54" s="18">
        <v>39.865400000000001</v>
      </c>
      <c r="M54" s="18">
        <v>38.167000000000002</v>
      </c>
      <c r="N54" s="18">
        <v>107.5731</v>
      </c>
      <c r="O54" s="18">
        <f t="shared" si="1"/>
        <v>34.837724999999999</v>
      </c>
      <c r="P54" s="7"/>
      <c r="Q54" s="10"/>
      <c r="R54" s="11"/>
      <c r="S54" s="11"/>
      <c r="T54" s="26"/>
      <c r="U54" s="28">
        <f t="shared" si="2"/>
        <v>0.33069148936170201</v>
      </c>
    </row>
    <row r="55" spans="1:21" x14ac:dyDescent="0.25">
      <c r="B55" s="9"/>
      <c r="C55" s="17">
        <v>252.83300779999999</v>
      </c>
      <c r="D55" s="18">
        <v>30.256</v>
      </c>
      <c r="E55" s="18">
        <v>36.890999999999998</v>
      </c>
      <c r="F55" s="18">
        <v>34.627000000000002</v>
      </c>
      <c r="G55" s="18">
        <v>86.78</v>
      </c>
      <c r="H55" s="18">
        <f t="shared" si="0"/>
        <v>31.63175</v>
      </c>
      <c r="I55" s="5"/>
      <c r="J55" s="17">
        <v>254.45359999999999</v>
      </c>
      <c r="K55" s="18">
        <v>31.415099999999999</v>
      </c>
      <c r="L55" s="18">
        <v>38.648299999999999</v>
      </c>
      <c r="M55" s="18">
        <v>36.828499999999998</v>
      </c>
      <c r="N55" s="18">
        <v>124.2236</v>
      </c>
      <c r="O55" s="18">
        <f t="shared" si="1"/>
        <v>32.995925</v>
      </c>
      <c r="P55" s="7"/>
      <c r="Q55" s="10"/>
      <c r="R55" s="11"/>
      <c r="S55" s="11"/>
      <c r="T55" s="26"/>
      <c r="U55" s="28">
        <f t="shared" si="2"/>
        <v>0.43147729891680114</v>
      </c>
    </row>
    <row r="56" spans="1:21" ht="16.5" thickBot="1" x14ac:dyDescent="0.3">
      <c r="B56" s="12"/>
      <c r="C56" s="19">
        <v>128.95703130000001</v>
      </c>
      <c r="D56" s="20">
        <v>27.966000000000001</v>
      </c>
      <c r="E56" s="20">
        <v>35.036000000000001</v>
      </c>
      <c r="F56" s="20">
        <v>32.47</v>
      </c>
      <c r="G56" s="20">
        <v>101.55</v>
      </c>
      <c r="H56" s="20">
        <f t="shared" si="0"/>
        <v>29.412749999999999</v>
      </c>
      <c r="I56" s="5"/>
      <c r="J56" s="19">
        <v>123.2544</v>
      </c>
      <c r="K56" s="20">
        <v>28.559899999999999</v>
      </c>
      <c r="L56" s="20">
        <v>37.0595</v>
      </c>
      <c r="M56" s="20">
        <v>34.951099999999997</v>
      </c>
      <c r="N56" s="20">
        <v>181.0282</v>
      </c>
      <c r="O56" s="20">
        <f t="shared" si="1"/>
        <v>30.421250000000001</v>
      </c>
      <c r="P56" s="7"/>
      <c r="Q56" s="13"/>
      <c r="R56" s="14"/>
      <c r="S56" s="14"/>
      <c r="T56" s="27"/>
      <c r="U56" s="28">
        <f t="shared" si="2"/>
        <v>0.78265091088133931</v>
      </c>
    </row>
    <row r="57" spans="1:21" x14ac:dyDescent="0.25">
      <c r="B57" s="6" t="s">
        <v>58</v>
      </c>
      <c r="C57" s="15">
        <v>650.29980469999998</v>
      </c>
      <c r="D57" s="16">
        <v>32.637999999999998</v>
      </c>
      <c r="E57" s="16">
        <v>40.869</v>
      </c>
      <c r="F57" s="16">
        <v>41.81</v>
      </c>
      <c r="G57" s="16">
        <v>50.64</v>
      </c>
      <c r="H57" s="16">
        <f t="shared" si="0"/>
        <v>34.813374999999994</v>
      </c>
      <c r="I57" s="5"/>
      <c r="J57" s="15">
        <v>620.30399999999997</v>
      </c>
      <c r="K57" s="16">
        <v>34.1068</v>
      </c>
      <c r="L57" s="16">
        <v>42.032200000000003</v>
      </c>
      <c r="M57" s="16">
        <v>43.017200000000003</v>
      </c>
      <c r="N57" s="16">
        <v>119.0712</v>
      </c>
      <c r="O57" s="16">
        <f t="shared" si="1"/>
        <v>36.211275000000001</v>
      </c>
      <c r="P57" s="7"/>
      <c r="Q57" s="8">
        <f>bdrate(C57:C60,D57:D60,J57:J60,K57:K60)</f>
        <v>-0.41832159983734651</v>
      </c>
      <c r="R57" s="8">
        <f>bdrate(C57:C60,E57:E60,J57:J60,L57:L60)</f>
        <v>-0.47062069113454719</v>
      </c>
      <c r="S57" s="8">
        <f>bdrate(C57:C60,F57:F60,J57:J60,M57:M60)</f>
        <v>-0.48172210549684269</v>
      </c>
      <c r="T57" s="25">
        <f>bdrate(C57:C60,H57:H60,J57:J60,O57:O60)</f>
        <v>-0.42835748429175757</v>
      </c>
      <c r="U57" s="28">
        <f t="shared" si="2"/>
        <v>1.3513270142180096</v>
      </c>
    </row>
    <row r="58" spans="1:21" x14ac:dyDescent="0.25">
      <c r="B58" s="9"/>
      <c r="C58" s="17">
        <v>439.03515629999998</v>
      </c>
      <c r="D58" s="18">
        <v>31.363</v>
      </c>
      <c r="E58" s="18">
        <v>40.107999999999997</v>
      </c>
      <c r="F58" s="18">
        <v>40.935000000000002</v>
      </c>
      <c r="G58" s="18">
        <v>59.19</v>
      </c>
      <c r="H58" s="18">
        <f t="shared" si="0"/>
        <v>33.652625</v>
      </c>
      <c r="I58" s="5"/>
      <c r="J58" s="17">
        <v>411.41919999999999</v>
      </c>
      <c r="K58" s="18">
        <v>32.804900000000004</v>
      </c>
      <c r="L58" s="18">
        <v>41.202800000000003</v>
      </c>
      <c r="M58" s="18">
        <v>42.152900000000002</v>
      </c>
      <c r="N58" s="18">
        <v>144.05760000000001</v>
      </c>
      <c r="O58" s="18">
        <f t="shared" si="1"/>
        <v>35.023137500000004</v>
      </c>
      <c r="P58" s="7"/>
      <c r="Q58" s="10"/>
      <c r="R58" s="11"/>
      <c r="S58" s="11"/>
      <c r="T58" s="26"/>
      <c r="U58" s="28">
        <f t="shared" si="2"/>
        <v>1.4338165230613282</v>
      </c>
    </row>
    <row r="59" spans="1:21" x14ac:dyDescent="0.25">
      <c r="B59" s="9"/>
      <c r="C59" s="17">
        <v>274.8359375</v>
      </c>
      <c r="D59" s="18">
        <v>29.762</v>
      </c>
      <c r="E59" s="18">
        <v>39.229999999999997</v>
      </c>
      <c r="F59" s="18">
        <v>39.968000000000004</v>
      </c>
      <c r="G59" s="18">
        <v>68.73</v>
      </c>
      <c r="H59" s="18">
        <f t="shared" si="0"/>
        <v>32.221249999999998</v>
      </c>
      <c r="I59" s="5"/>
      <c r="J59" s="17">
        <v>254.24160000000001</v>
      </c>
      <c r="K59" s="18">
        <v>31.322399999999998</v>
      </c>
      <c r="L59" s="18">
        <v>40.251399999999997</v>
      </c>
      <c r="M59" s="18">
        <v>41.117699999999999</v>
      </c>
      <c r="N59" s="18">
        <v>182.31540000000001</v>
      </c>
      <c r="O59" s="18">
        <f t="shared" si="1"/>
        <v>33.662937499999998</v>
      </c>
      <c r="P59" s="7"/>
      <c r="Q59" s="10"/>
      <c r="R59" s="11"/>
      <c r="S59" s="11"/>
      <c r="T59" s="26"/>
      <c r="U59" s="28">
        <f t="shared" si="2"/>
        <v>1.6526320384111741</v>
      </c>
    </row>
    <row r="60" spans="1:21" ht="16.5" thickBot="1" x14ac:dyDescent="0.3">
      <c r="B60" s="12"/>
      <c r="C60" s="19">
        <v>132.5244141</v>
      </c>
      <c r="D60" s="20">
        <v>27.388000000000002</v>
      </c>
      <c r="E60" s="20">
        <v>38.018000000000001</v>
      </c>
      <c r="F60" s="20">
        <v>38.551000000000002</v>
      </c>
      <c r="G60" s="20">
        <v>90.89</v>
      </c>
      <c r="H60" s="20">
        <f t="shared" si="0"/>
        <v>30.112124999999999</v>
      </c>
      <c r="I60" s="5"/>
      <c r="J60" s="19">
        <v>121.2504</v>
      </c>
      <c r="K60" s="20">
        <v>28.893899999999999</v>
      </c>
      <c r="L60" s="20">
        <v>38.969499999999996</v>
      </c>
      <c r="M60" s="20">
        <v>39.804900000000004</v>
      </c>
      <c r="N60" s="20">
        <v>265.25200000000001</v>
      </c>
      <c r="O60" s="20">
        <f t="shared" si="1"/>
        <v>31.517225</v>
      </c>
      <c r="P60" s="7"/>
      <c r="Q60" s="13"/>
      <c r="R60" s="14"/>
      <c r="S60" s="14"/>
      <c r="T60" s="27"/>
      <c r="U60" s="28">
        <f t="shared" si="2"/>
        <v>1.9183848608207725</v>
      </c>
    </row>
    <row r="61" spans="1:21" x14ac:dyDescent="0.25">
      <c r="B61" s="6" t="s">
        <v>59</v>
      </c>
      <c r="C61" s="29">
        <v>633.40429689999996</v>
      </c>
      <c r="D61" s="30">
        <v>32.002000000000002</v>
      </c>
      <c r="E61" s="30">
        <v>37.53</v>
      </c>
      <c r="F61" s="30">
        <v>38.408999999999999</v>
      </c>
      <c r="G61" s="16">
        <v>55.41</v>
      </c>
      <c r="H61" s="16">
        <f t="shared" si="0"/>
        <v>33.493875000000003</v>
      </c>
      <c r="I61" s="5"/>
      <c r="J61" s="29">
        <v>645.20799999999997</v>
      </c>
      <c r="K61" s="30">
        <v>33.619999999999997</v>
      </c>
      <c r="L61" s="30">
        <v>39.130600000000001</v>
      </c>
      <c r="M61" s="30">
        <v>39.9664</v>
      </c>
      <c r="N61" s="16">
        <v>112.0574</v>
      </c>
      <c r="O61" s="16">
        <f t="shared" si="1"/>
        <v>35.102125000000001</v>
      </c>
      <c r="P61" s="7"/>
      <c r="Q61" s="8">
        <f>bdrate(C61:C64,D61:D64,J61:J64,K61:K64)</f>
        <v>-0.33927739093116471</v>
      </c>
      <c r="R61" s="8">
        <f>bdrate(C61:C64,E61:E64,J61:J64,L61:L64)</f>
        <v>-0.52525082184353344</v>
      </c>
      <c r="S61" s="8">
        <f>bdrate(C61:C64,F61:F64,J61:J64,M61:M64)</f>
        <v>-0.49813939625392412</v>
      </c>
      <c r="T61" s="25">
        <f>bdrate(C61:C64,H61:H64,J61:J64,O61:O64)</f>
        <v>-0.37958934629400787</v>
      </c>
      <c r="U61" s="28">
        <f t="shared" si="2"/>
        <v>1.0223317090777839</v>
      </c>
    </row>
    <row r="62" spans="1:21" x14ac:dyDescent="0.25">
      <c r="B62" s="9"/>
      <c r="C62" s="31">
        <v>435.19921879999998</v>
      </c>
      <c r="D62" s="32">
        <v>30.678999999999998</v>
      </c>
      <c r="E62" s="32">
        <v>36.401000000000003</v>
      </c>
      <c r="F62" s="32">
        <v>37.234999999999999</v>
      </c>
      <c r="G62" s="18">
        <v>62.88</v>
      </c>
      <c r="H62" s="18">
        <f t="shared" si="0"/>
        <v>32.213749999999997</v>
      </c>
      <c r="I62" s="5"/>
      <c r="J62" s="31">
        <v>430.23919999999998</v>
      </c>
      <c r="K62" s="32">
        <v>32.119399999999999</v>
      </c>
      <c r="L62" s="32">
        <v>38.084200000000003</v>
      </c>
      <c r="M62" s="32">
        <v>38.816200000000002</v>
      </c>
      <c r="N62" s="18">
        <v>132.9787</v>
      </c>
      <c r="O62" s="18">
        <f t="shared" si="1"/>
        <v>33.702100000000002</v>
      </c>
      <c r="P62" s="7"/>
      <c r="Q62" s="10"/>
      <c r="R62" s="11"/>
      <c r="S62" s="11"/>
      <c r="T62" s="26"/>
      <c r="U62" s="28">
        <f t="shared" si="2"/>
        <v>1.1148012086513996</v>
      </c>
    </row>
    <row r="63" spans="1:21" x14ac:dyDescent="0.25">
      <c r="B63" s="9"/>
      <c r="C63" s="31">
        <v>275.8896484</v>
      </c>
      <c r="D63" s="32">
        <v>29.178000000000001</v>
      </c>
      <c r="E63" s="32">
        <v>35.186</v>
      </c>
      <c r="F63" s="32">
        <v>36.029000000000003</v>
      </c>
      <c r="G63" s="18">
        <v>68.099999999999994</v>
      </c>
      <c r="H63" s="18">
        <f t="shared" si="0"/>
        <v>30.785375000000002</v>
      </c>
      <c r="I63" s="5"/>
      <c r="J63" s="31">
        <v>268.77839999999998</v>
      </c>
      <c r="K63" s="32">
        <v>30.4575</v>
      </c>
      <c r="L63" s="32">
        <v>36.971699999999998</v>
      </c>
      <c r="M63" s="32">
        <v>37.695599999999999</v>
      </c>
      <c r="N63" s="18">
        <v>161.8647</v>
      </c>
      <c r="O63" s="18">
        <f t="shared" si="1"/>
        <v>32.176537500000002</v>
      </c>
      <c r="P63" s="7"/>
      <c r="Q63" s="10"/>
      <c r="R63" s="11"/>
      <c r="S63" s="11"/>
      <c r="T63" s="26"/>
      <c r="U63" s="28">
        <f t="shared" si="2"/>
        <v>1.3768678414096918</v>
      </c>
    </row>
    <row r="64" spans="1:21" ht="16.5" thickBot="1" x14ac:dyDescent="0.3">
      <c r="B64" s="12"/>
      <c r="C64" s="33">
        <v>135.21289060000001</v>
      </c>
      <c r="D64" s="34">
        <v>27.047000000000001</v>
      </c>
      <c r="E64" s="34">
        <v>33.463999999999999</v>
      </c>
      <c r="F64" s="34">
        <v>34.286999999999999</v>
      </c>
      <c r="G64" s="20">
        <v>79.56</v>
      </c>
      <c r="H64" s="20">
        <f t="shared" si="0"/>
        <v>28.754125000000002</v>
      </c>
      <c r="I64" s="5"/>
      <c r="J64" s="33">
        <v>126.5528</v>
      </c>
      <c r="K64" s="34">
        <v>28.023199999999999</v>
      </c>
      <c r="L64" s="34">
        <v>35.494999999999997</v>
      </c>
      <c r="M64" s="34">
        <v>36.172899999999998</v>
      </c>
      <c r="N64" s="20">
        <v>225.6318</v>
      </c>
      <c r="O64" s="20">
        <f t="shared" si="1"/>
        <v>29.975887499999999</v>
      </c>
      <c r="P64" s="7"/>
      <c r="Q64" s="13"/>
      <c r="R64" s="14"/>
      <c r="S64" s="14"/>
      <c r="T64" s="27"/>
      <c r="U64" s="28">
        <f t="shared" si="2"/>
        <v>1.835995475113122</v>
      </c>
    </row>
    <row r="65" spans="1:21" x14ac:dyDescent="0.25">
      <c r="B65" s="6" t="s">
        <v>60</v>
      </c>
      <c r="C65" s="15">
        <v>570.25488280000002</v>
      </c>
      <c r="D65" s="16">
        <v>33.500999999999998</v>
      </c>
      <c r="E65" s="16">
        <v>37.344000000000001</v>
      </c>
      <c r="F65" s="16">
        <v>38.499000000000002</v>
      </c>
      <c r="G65" s="16">
        <v>48.58</v>
      </c>
      <c r="H65" s="16">
        <f t="shared" si="0"/>
        <v>34.606124999999999</v>
      </c>
      <c r="I65" s="5"/>
      <c r="J65" s="15">
        <v>614.25120000000004</v>
      </c>
      <c r="K65" s="16">
        <v>34.769100000000002</v>
      </c>
      <c r="L65" s="16">
        <v>38.855899999999998</v>
      </c>
      <c r="M65" s="16">
        <v>40.026400000000002</v>
      </c>
      <c r="N65" s="16">
        <v>65.861699999999999</v>
      </c>
      <c r="O65" s="16">
        <f t="shared" si="1"/>
        <v>35.937112499999998</v>
      </c>
      <c r="P65" s="7"/>
      <c r="Q65" s="8">
        <f>bdrate(C65:C68,D65:D68,J65:J68,K65:K68)</f>
        <v>-0.19633726541040142</v>
      </c>
      <c r="R65" s="8">
        <f>bdrate(C65:C68,E65:E68,J65:J68,L65:L68)</f>
        <v>-0.44489797063607195</v>
      </c>
      <c r="S65" s="8">
        <f>bdrate(C65:C68,F65:F68,J65:J68,M65:M68)</f>
        <v>-0.44658834949445014</v>
      </c>
      <c r="T65" s="25">
        <f>bdrate(C65:C68,H65:H68,J65:J68,O65:O68)</f>
        <v>-0.25434747447646022</v>
      </c>
      <c r="U65" s="28">
        <f t="shared" si="2"/>
        <v>0.35573692877727464</v>
      </c>
    </row>
    <row r="66" spans="1:21" x14ac:dyDescent="0.25">
      <c r="B66" s="9"/>
      <c r="C66" s="17">
        <v>404.69140629999998</v>
      </c>
      <c r="D66" s="18">
        <v>31.971</v>
      </c>
      <c r="E66" s="18">
        <v>36.238</v>
      </c>
      <c r="F66" s="18">
        <v>37.372</v>
      </c>
      <c r="G66" s="18">
        <v>56.8</v>
      </c>
      <c r="H66" s="18">
        <f t="shared" si="0"/>
        <v>33.179499999999997</v>
      </c>
      <c r="I66" s="5"/>
      <c r="J66" s="17">
        <v>410.9264</v>
      </c>
      <c r="K66" s="18">
        <v>32.896700000000003</v>
      </c>
      <c r="L66" s="18">
        <v>37.714399999999998</v>
      </c>
      <c r="M66" s="18">
        <v>38.866799999999998</v>
      </c>
      <c r="N66" s="18">
        <v>80.128200000000007</v>
      </c>
      <c r="O66" s="18">
        <f t="shared" si="1"/>
        <v>34.245175000000003</v>
      </c>
      <c r="P66" s="7"/>
      <c r="Q66" s="10"/>
      <c r="R66" s="11"/>
      <c r="S66" s="11"/>
      <c r="T66" s="26"/>
      <c r="U66" s="28">
        <f t="shared" si="2"/>
        <v>0.41070774647887343</v>
      </c>
    </row>
    <row r="67" spans="1:21" x14ac:dyDescent="0.25">
      <c r="B67" s="9"/>
      <c r="C67" s="17">
        <v>275.6328125</v>
      </c>
      <c r="D67" s="18">
        <v>30.346</v>
      </c>
      <c r="E67" s="18">
        <v>34.951999999999998</v>
      </c>
      <c r="F67" s="18">
        <v>36.106999999999999</v>
      </c>
      <c r="G67" s="18">
        <v>65.42</v>
      </c>
      <c r="H67" s="18">
        <f t="shared" si="0"/>
        <v>31.641874999999999</v>
      </c>
      <c r="I67" s="5"/>
      <c r="J67" s="17">
        <v>258.47680000000003</v>
      </c>
      <c r="K67" s="18">
        <v>30.967099999999999</v>
      </c>
      <c r="L67" s="18">
        <v>36.471800000000002</v>
      </c>
      <c r="M67" s="18">
        <v>37.631999999999998</v>
      </c>
      <c r="N67" s="18">
        <v>96.649500000000003</v>
      </c>
      <c r="O67" s="18">
        <f t="shared" si="1"/>
        <v>32.488299999999995</v>
      </c>
      <c r="P67" s="7"/>
      <c r="Q67" s="10"/>
      <c r="R67" s="11"/>
      <c r="S67" s="11"/>
      <c r="T67" s="26"/>
      <c r="U67" s="28">
        <f t="shared" si="2"/>
        <v>0.47736930602262306</v>
      </c>
    </row>
    <row r="68" spans="1:21" ht="16.5" thickBot="1" x14ac:dyDescent="0.3">
      <c r="B68" s="12"/>
      <c r="C68" s="19">
        <v>139.15039060000001</v>
      </c>
      <c r="D68" s="20">
        <v>27.905999999999999</v>
      </c>
      <c r="E68" s="20">
        <v>32.902999999999999</v>
      </c>
      <c r="F68" s="20">
        <v>34.014000000000003</v>
      </c>
      <c r="G68" s="20">
        <v>74.86</v>
      </c>
      <c r="H68" s="20">
        <f t="shared" si="0"/>
        <v>29.294124999999998</v>
      </c>
      <c r="I68" s="5"/>
      <c r="J68" s="19">
        <v>124.7792</v>
      </c>
      <c r="K68" s="20">
        <v>28.3841</v>
      </c>
      <c r="L68" s="20">
        <v>35.061599999999999</v>
      </c>
      <c r="M68" s="20">
        <v>36.162199999999999</v>
      </c>
      <c r="N68" s="20">
        <v>135.4402</v>
      </c>
      <c r="O68" s="20">
        <f t="shared" si="1"/>
        <v>30.191049999999997</v>
      </c>
      <c r="P68" s="7"/>
      <c r="Q68" s="13"/>
      <c r="R68" s="14"/>
      <c r="S68" s="14"/>
      <c r="T68" s="27"/>
      <c r="U68" s="28">
        <f t="shared" si="2"/>
        <v>0.80924659364146412</v>
      </c>
    </row>
    <row r="69" spans="1:21" x14ac:dyDescent="0.25">
      <c r="A69" s="6" t="s">
        <v>43</v>
      </c>
      <c r="B69" s="6" t="s">
        <v>61</v>
      </c>
      <c r="C69" s="15">
        <v>1484.5205080000001</v>
      </c>
      <c r="D69" s="16">
        <v>40.625</v>
      </c>
      <c r="E69" s="16">
        <v>45.497</v>
      </c>
      <c r="F69" s="16">
        <v>46.77</v>
      </c>
      <c r="G69" s="16">
        <v>13.72</v>
      </c>
      <c r="H69" s="16">
        <f t="shared" si="0"/>
        <v>42.002124999999999</v>
      </c>
      <c r="I69" s="5"/>
      <c r="J69" s="15">
        <v>1506.4944</v>
      </c>
      <c r="K69" s="16">
        <v>41.924100000000003</v>
      </c>
      <c r="L69" s="16">
        <v>46.7134</v>
      </c>
      <c r="M69" s="16">
        <v>48.0002</v>
      </c>
      <c r="N69" s="16">
        <v>31.864000000000001</v>
      </c>
      <c r="O69" s="16">
        <f t="shared" si="1"/>
        <v>43.282274999999998</v>
      </c>
      <c r="P69" s="7"/>
      <c r="Q69" s="8">
        <f>bdrate(C69:C72,D69:D72,J69:J72,K69:K72)</f>
        <v>-0.40406613927165624</v>
      </c>
      <c r="R69" s="8">
        <f>bdrate(C69:C72,E69:E72,J69:J72,L69:L72)</f>
        <v>-0.42365138255663237</v>
      </c>
      <c r="S69" s="8">
        <f>bdrate(C69:C72,F69:F72,J69:J72,M69:M72)</f>
        <v>-0.41520821412270958</v>
      </c>
      <c r="T69" s="25">
        <f>bdrate(C69:C72,H69:H72,J69:J72,O69:O72)</f>
        <v>-0.4071330357102142</v>
      </c>
      <c r="U69" s="28">
        <f t="shared" si="2"/>
        <v>1.3224489795918366</v>
      </c>
    </row>
    <row r="70" spans="1:21" x14ac:dyDescent="0.25">
      <c r="A70" s="9" t="s">
        <v>44</v>
      </c>
      <c r="B70" s="9"/>
      <c r="C70" s="17">
        <v>988.40234380000004</v>
      </c>
      <c r="D70" s="18">
        <v>39.369999999999997</v>
      </c>
      <c r="E70" s="18">
        <v>44.543999999999997</v>
      </c>
      <c r="F70" s="18">
        <v>45.78</v>
      </c>
      <c r="G70" s="18">
        <v>17.079999999999998</v>
      </c>
      <c r="H70" s="18">
        <f t="shared" si="0"/>
        <v>40.817999999999998</v>
      </c>
      <c r="I70" s="5"/>
      <c r="J70" s="17">
        <v>997.20399999999995</v>
      </c>
      <c r="K70" s="18">
        <v>40.956099999999999</v>
      </c>
      <c r="L70" s="18">
        <v>45.918900000000001</v>
      </c>
      <c r="M70" s="18">
        <v>47.127099999999999</v>
      </c>
      <c r="N70" s="18">
        <v>38.85</v>
      </c>
      <c r="O70" s="18">
        <f t="shared" si="1"/>
        <v>42.347825</v>
      </c>
      <c r="P70" s="7"/>
      <c r="Q70" s="10"/>
      <c r="R70" s="11"/>
      <c r="S70" s="11"/>
      <c r="T70" s="26"/>
      <c r="U70" s="28">
        <f t="shared" si="2"/>
        <v>1.2745901639344266</v>
      </c>
    </row>
    <row r="71" spans="1:21" x14ac:dyDescent="0.25">
      <c r="B71" s="9"/>
      <c r="C71" s="17">
        <v>597.51171880000004</v>
      </c>
      <c r="D71" s="18">
        <v>37.380000000000003</v>
      </c>
      <c r="E71" s="18">
        <v>43.042000000000002</v>
      </c>
      <c r="F71" s="18">
        <v>44.22</v>
      </c>
      <c r="G71" s="18">
        <v>21.87</v>
      </c>
      <c r="H71" s="18">
        <f t="shared" si="0"/>
        <v>38.942750000000004</v>
      </c>
      <c r="I71" s="5"/>
      <c r="J71" s="17">
        <v>586.32640000000004</v>
      </c>
      <c r="K71" s="18">
        <v>39.332000000000001</v>
      </c>
      <c r="L71" s="18">
        <v>44.558599999999998</v>
      </c>
      <c r="M71" s="18">
        <v>45.756900000000002</v>
      </c>
      <c r="N71" s="18">
        <v>48.076900000000002</v>
      </c>
      <c r="O71" s="18">
        <f t="shared" si="1"/>
        <v>40.788437500000001</v>
      </c>
      <c r="P71" s="7"/>
      <c r="Q71" s="10"/>
      <c r="R71" s="11"/>
      <c r="S71" s="11"/>
      <c r="T71" s="26"/>
      <c r="U71" s="28">
        <f t="shared" si="2"/>
        <v>1.1983036122542294</v>
      </c>
    </row>
    <row r="72" spans="1:21" ht="16.5" thickBot="1" x14ac:dyDescent="0.3">
      <c r="B72" s="12"/>
      <c r="C72" s="19">
        <v>300.47460940000002</v>
      </c>
      <c r="D72" s="20">
        <v>34.222999999999999</v>
      </c>
      <c r="E72" s="20">
        <v>40.759</v>
      </c>
      <c r="F72" s="20">
        <v>41.963000000000001</v>
      </c>
      <c r="G72" s="20">
        <v>28.68</v>
      </c>
      <c r="H72" s="20">
        <f t="shared" si="0"/>
        <v>36.0075</v>
      </c>
      <c r="I72" s="5"/>
      <c r="J72" s="19">
        <v>284.47680000000003</v>
      </c>
      <c r="K72" s="20">
        <v>36.349499999999999</v>
      </c>
      <c r="L72" s="20">
        <v>42.5456</v>
      </c>
      <c r="M72" s="20">
        <v>43.655299999999997</v>
      </c>
      <c r="N72" s="20">
        <v>63.051699999999997</v>
      </c>
      <c r="O72" s="20">
        <f t="shared" si="1"/>
        <v>38.037237499999996</v>
      </c>
      <c r="P72" s="7"/>
      <c r="Q72" s="13"/>
      <c r="R72" s="14"/>
      <c r="S72" s="14"/>
      <c r="T72" s="27"/>
      <c r="U72" s="28">
        <f t="shared" si="2"/>
        <v>1.1984553695955369</v>
      </c>
    </row>
    <row r="73" spans="1:21" x14ac:dyDescent="0.25">
      <c r="B73" s="6" t="s">
        <v>62</v>
      </c>
      <c r="C73" s="15">
        <v>1538.7158199999999</v>
      </c>
      <c r="D73" s="16">
        <v>41.98</v>
      </c>
      <c r="E73" s="16">
        <v>47.615000000000002</v>
      </c>
      <c r="F73" s="16">
        <v>48.243000000000002</v>
      </c>
      <c r="G73" s="16">
        <v>10.32</v>
      </c>
      <c r="H73" s="16">
        <f t="shared" si="0"/>
        <v>43.46725</v>
      </c>
      <c r="I73" s="5"/>
      <c r="J73" s="15">
        <v>1510.556</v>
      </c>
      <c r="K73" s="16">
        <v>42.9071</v>
      </c>
      <c r="L73" s="16">
        <v>48.471800000000002</v>
      </c>
      <c r="M73" s="16">
        <v>49.154699999999998</v>
      </c>
      <c r="N73" s="16">
        <v>34.774500000000003</v>
      </c>
      <c r="O73" s="16">
        <f t="shared" si="1"/>
        <v>44.383637499999999</v>
      </c>
      <c r="P73" s="7"/>
      <c r="Q73" s="8">
        <f>bdrate(C73:C76,D73:D76,J73:J76,K73:K76)</f>
        <v>-0.49387101342774786</v>
      </c>
      <c r="R73" s="8">
        <f>bdrate(C73:C76,E73:E76,J73:J76,L73:L76)</f>
        <v>-0.50064864653873331</v>
      </c>
      <c r="S73" s="8">
        <f>bdrate(C73:C76,F73:F76,J73:J76,M73:M76)</f>
        <v>-0.48558340160215863</v>
      </c>
      <c r="T73" s="25">
        <f>bdrate(C73:C76,H73:H76,J73:J76,O73:O76)</f>
        <v>-0.49377034183501944</v>
      </c>
      <c r="U73" s="28">
        <f t="shared" ref="U73:U124" si="3">(N73-G73)/G73</f>
        <v>2.3696220930232559</v>
      </c>
    </row>
    <row r="74" spans="1:21" x14ac:dyDescent="0.25">
      <c r="B74" s="9"/>
      <c r="C74" s="17">
        <v>1012.654297</v>
      </c>
      <c r="D74" s="18">
        <v>41.463999999999999</v>
      </c>
      <c r="E74" s="18">
        <v>47.085000000000001</v>
      </c>
      <c r="F74" s="18">
        <v>47.703000000000003</v>
      </c>
      <c r="G74" s="18">
        <v>12.38</v>
      </c>
      <c r="H74" s="18">
        <f t="shared" si="0"/>
        <v>42.9465</v>
      </c>
      <c r="I74" s="5"/>
      <c r="J74" s="17">
        <v>997.05119999999999</v>
      </c>
      <c r="K74" s="18">
        <v>42.484499999999997</v>
      </c>
      <c r="L74" s="18">
        <v>48.110599999999998</v>
      </c>
      <c r="M74" s="18">
        <v>48.776400000000002</v>
      </c>
      <c r="N74" s="18">
        <v>43.409100000000002</v>
      </c>
      <c r="O74" s="18">
        <f t="shared" si="1"/>
        <v>43.974249999999998</v>
      </c>
      <c r="P74" s="7"/>
      <c r="Q74" s="10"/>
      <c r="R74" s="11"/>
      <c r="S74" s="11"/>
      <c r="T74" s="26"/>
      <c r="U74" s="28">
        <f t="shared" si="3"/>
        <v>2.5063893376413566</v>
      </c>
    </row>
    <row r="75" spans="1:21" x14ac:dyDescent="0.25">
      <c r="B75" s="9"/>
      <c r="C75" s="17">
        <v>609.76660159999994</v>
      </c>
      <c r="D75" s="18">
        <v>40.567999999999998</v>
      </c>
      <c r="E75" s="18">
        <v>46.177999999999997</v>
      </c>
      <c r="F75" s="18">
        <v>46.841999999999999</v>
      </c>
      <c r="G75" s="18">
        <v>15.84</v>
      </c>
      <c r="H75" s="18">
        <f t="shared" si="0"/>
        <v>42.0535</v>
      </c>
      <c r="I75" s="5"/>
      <c r="J75" s="17">
        <v>580.99279999999999</v>
      </c>
      <c r="K75" s="18">
        <v>41.735999999999997</v>
      </c>
      <c r="L75" s="18">
        <v>47.369399999999999</v>
      </c>
      <c r="M75" s="18">
        <v>48.000999999999998</v>
      </c>
      <c r="N75" s="18">
        <v>53.494999999999997</v>
      </c>
      <c r="O75" s="18">
        <f t="shared" si="1"/>
        <v>43.223299999999995</v>
      </c>
      <c r="P75" s="7"/>
      <c r="Q75" s="10"/>
      <c r="R75" s="11"/>
      <c r="S75" s="11"/>
      <c r="T75" s="26"/>
      <c r="U75" s="28">
        <f t="shared" si="3"/>
        <v>2.377209595959596</v>
      </c>
    </row>
    <row r="76" spans="1:21" ht="16.5" thickBot="1" x14ac:dyDescent="0.3">
      <c r="B76" s="12"/>
      <c r="C76" s="19">
        <v>296.546875</v>
      </c>
      <c r="D76" s="20">
        <v>38.61</v>
      </c>
      <c r="E76" s="20">
        <v>44.338999999999999</v>
      </c>
      <c r="F76" s="20">
        <v>45.023000000000003</v>
      </c>
      <c r="G76" s="20">
        <v>22.34</v>
      </c>
      <c r="H76" s="20">
        <f t="shared" si="0"/>
        <v>40.127750000000006</v>
      </c>
      <c r="I76" s="5"/>
      <c r="J76" s="19">
        <v>279.69040000000001</v>
      </c>
      <c r="K76" s="20">
        <v>40.139099999999999</v>
      </c>
      <c r="L76" s="20">
        <v>45.793900000000001</v>
      </c>
      <c r="M76" s="20">
        <v>46.301099999999998</v>
      </c>
      <c r="N76" s="20">
        <v>71.098500000000001</v>
      </c>
      <c r="O76" s="20">
        <f t="shared" si="1"/>
        <v>41.616199999999999</v>
      </c>
      <c r="P76" s="7"/>
      <c r="Q76" s="13"/>
      <c r="R76" s="14"/>
      <c r="S76" s="14"/>
      <c r="T76" s="27"/>
      <c r="U76" s="28">
        <f t="shared" si="3"/>
        <v>2.1825649059982095</v>
      </c>
    </row>
    <row r="77" spans="1:21" x14ac:dyDescent="0.25">
      <c r="B77" s="6" t="s">
        <v>63</v>
      </c>
      <c r="C77" s="15">
        <v>1494.631836</v>
      </c>
      <c r="D77" s="16">
        <v>41.658999999999999</v>
      </c>
      <c r="E77" s="16">
        <v>46.502000000000002</v>
      </c>
      <c r="F77" s="16">
        <v>47.412999999999997</v>
      </c>
      <c r="G77" s="16">
        <v>13.04</v>
      </c>
      <c r="H77" s="16">
        <f t="shared" si="0"/>
        <v>42.983625000000004</v>
      </c>
      <c r="I77" s="5"/>
      <c r="J77" s="15">
        <v>1542.8704</v>
      </c>
      <c r="K77" s="16">
        <v>42.871000000000002</v>
      </c>
      <c r="L77" s="16">
        <v>47.660200000000003</v>
      </c>
      <c r="M77" s="16">
        <v>48.548999999999999</v>
      </c>
      <c r="N77" s="16">
        <v>30.3567</v>
      </c>
      <c r="O77" s="16">
        <f t="shared" si="1"/>
        <v>44.179400000000001</v>
      </c>
      <c r="P77" s="7"/>
      <c r="Q77" s="8">
        <f>bdrate(C77:C80,D77:D80,J77:J80,K77:K80)</f>
        <v>-0.4413764401577942</v>
      </c>
      <c r="R77" s="8">
        <f>bdrate(C77:C80,E77:E80,J77:J80,L77:L80)</f>
        <v>-0.47630402154638085</v>
      </c>
      <c r="S77" s="8">
        <f>bdrate(C77:C80,F77:F80,J77:J80,M77:M80)</f>
        <v>-0.46155626306167596</v>
      </c>
      <c r="T77" s="25">
        <f>bdrate(C77:C80,H77:H80,J77:J80,O77:O80)</f>
        <v>-0.44763413617650216</v>
      </c>
      <c r="U77" s="28">
        <f t="shared" si="3"/>
        <v>1.327967791411043</v>
      </c>
    </row>
    <row r="78" spans="1:21" x14ac:dyDescent="0.25">
      <c r="B78" s="9"/>
      <c r="C78" s="17">
        <v>999.42773439999996</v>
      </c>
      <c r="D78" s="18">
        <v>40.761000000000003</v>
      </c>
      <c r="E78" s="18">
        <v>45.728999999999999</v>
      </c>
      <c r="F78" s="18">
        <v>46.622999999999998</v>
      </c>
      <c r="G78" s="18">
        <v>15.93</v>
      </c>
      <c r="H78" s="18">
        <f t="shared" si="0"/>
        <v>42.114750000000001</v>
      </c>
      <c r="I78" s="5"/>
      <c r="J78" s="17">
        <v>1028.28</v>
      </c>
      <c r="K78" s="18">
        <v>42.195</v>
      </c>
      <c r="L78" s="18">
        <v>47.090299999999999</v>
      </c>
      <c r="M78" s="18">
        <v>47.969700000000003</v>
      </c>
      <c r="N78" s="18">
        <v>37.780999999999999</v>
      </c>
      <c r="O78" s="18">
        <f t="shared" si="1"/>
        <v>43.528750000000002</v>
      </c>
      <c r="P78" s="7"/>
      <c r="Q78" s="10"/>
      <c r="R78" s="11"/>
      <c r="S78" s="11"/>
      <c r="T78" s="26"/>
      <c r="U78" s="28">
        <f t="shared" si="3"/>
        <v>1.3716886377903326</v>
      </c>
    </row>
    <row r="79" spans="1:21" x14ac:dyDescent="0.25">
      <c r="B79" s="9"/>
      <c r="C79" s="17">
        <v>600.80859380000004</v>
      </c>
      <c r="D79" s="18">
        <v>39.267000000000003</v>
      </c>
      <c r="E79" s="18">
        <v>44.390999999999998</v>
      </c>
      <c r="F79" s="18">
        <v>45.360999999999997</v>
      </c>
      <c r="G79" s="18">
        <v>20.09</v>
      </c>
      <c r="H79" s="18">
        <f t="shared" si="0"/>
        <v>40.669250000000005</v>
      </c>
      <c r="I79" s="5"/>
      <c r="J79" s="17">
        <v>601.64239999999995</v>
      </c>
      <c r="K79" s="18">
        <v>40.969799999999999</v>
      </c>
      <c r="L79" s="18">
        <v>46.022100000000002</v>
      </c>
      <c r="M79" s="18">
        <v>46.895899999999997</v>
      </c>
      <c r="N79" s="18">
        <v>49.817300000000003</v>
      </c>
      <c r="O79" s="18">
        <f t="shared" si="1"/>
        <v>42.342100000000002</v>
      </c>
      <c r="P79" s="7"/>
      <c r="Q79" s="10"/>
      <c r="R79" s="11"/>
      <c r="S79" s="11"/>
      <c r="T79" s="26"/>
      <c r="U79" s="28">
        <f t="shared" si="3"/>
        <v>1.4797063215530115</v>
      </c>
    </row>
    <row r="80" spans="1:21" ht="16.5" thickBot="1" x14ac:dyDescent="0.3">
      <c r="B80" s="12"/>
      <c r="C80" s="19">
        <v>300.53125</v>
      </c>
      <c r="D80" s="20">
        <v>36.642000000000003</v>
      </c>
      <c r="E80" s="20">
        <v>42.313000000000002</v>
      </c>
      <c r="F80" s="20">
        <v>43.345999999999997</v>
      </c>
      <c r="G80" s="20">
        <v>28.25</v>
      </c>
      <c r="H80" s="20">
        <f t="shared" si="0"/>
        <v>38.188875000000003</v>
      </c>
      <c r="I80" s="5"/>
      <c r="J80" s="19">
        <v>294.16480000000001</v>
      </c>
      <c r="K80" s="20">
        <v>38.712499999999999</v>
      </c>
      <c r="L80" s="20">
        <v>44.182699999999997</v>
      </c>
      <c r="M80" s="20">
        <v>44.9861</v>
      </c>
      <c r="N80" s="20">
        <v>65.631200000000007</v>
      </c>
      <c r="O80" s="20">
        <f t="shared" si="1"/>
        <v>40.180475000000001</v>
      </c>
      <c r="P80" s="7"/>
      <c r="Q80" s="13"/>
      <c r="R80" s="14"/>
      <c r="S80" s="14"/>
      <c r="T80" s="27"/>
      <c r="U80" s="28">
        <f t="shared" si="3"/>
        <v>1.323228318584071</v>
      </c>
    </row>
    <row r="81" spans="1:21" x14ac:dyDescent="0.25">
      <c r="A81" s="6" t="s">
        <v>94</v>
      </c>
      <c r="B81" s="6" t="s">
        <v>95</v>
      </c>
      <c r="C81" s="15">
        <v>1302.0214840000001</v>
      </c>
      <c r="D81" s="16">
        <v>46.395000000000003</v>
      </c>
      <c r="E81" s="16">
        <v>51.869</v>
      </c>
      <c r="F81" s="16">
        <v>52.601999999999997</v>
      </c>
      <c r="G81" s="16">
        <v>16.21</v>
      </c>
      <c r="H81" s="16">
        <f t="shared" ref="H81:H124" si="4">(6*D81+E81+F81)/8</f>
        <v>47.855125000000001</v>
      </c>
      <c r="I81" s="5"/>
      <c r="J81" s="15">
        <v>1232.4636</v>
      </c>
      <c r="K81" s="16">
        <v>45.139099999999999</v>
      </c>
      <c r="L81" s="16">
        <v>51.5242</v>
      </c>
      <c r="M81" s="16">
        <v>52.136200000000002</v>
      </c>
      <c r="N81" s="16">
        <v>17.278300000000002</v>
      </c>
      <c r="O81" s="16">
        <f t="shared" ref="O81:O124" si="5">(6*K81+L81+M81)/8</f>
        <v>46.811875000000001</v>
      </c>
      <c r="P81" s="7"/>
      <c r="Q81" s="8">
        <f>bdrate(C81:C84,D81:D84,J81:J84,K81:K84)</f>
        <v>-7.3099470969365199E-2</v>
      </c>
      <c r="R81" s="8">
        <f>bdrate(C81:C84,E81:E84,J81:J84,L81:L84)</f>
        <v>-0.30213218604997172</v>
      </c>
      <c r="S81" s="8">
        <f>bdrate(C81:C84,F81:F84,J81:J84,M81:M84)</f>
        <v>-0.32669302240439713</v>
      </c>
      <c r="T81" s="25">
        <f>bdrate(C81:C84,H81:H84,J81:J84,O81:O84)</f>
        <v>-0.12973928569748305</v>
      </c>
      <c r="U81" s="28">
        <f t="shared" si="3"/>
        <v>6.5903763109191896E-2</v>
      </c>
    </row>
    <row r="82" spans="1:21" x14ac:dyDescent="0.25">
      <c r="A82" s="9" t="s">
        <v>77</v>
      </c>
      <c r="B82" s="9"/>
      <c r="C82" s="17">
        <v>932.22070310000004</v>
      </c>
      <c r="D82" s="18">
        <v>44.146000000000001</v>
      </c>
      <c r="E82" s="18">
        <v>49.942999999999998</v>
      </c>
      <c r="F82" s="18">
        <v>50.656999999999996</v>
      </c>
      <c r="G82" s="18">
        <v>19.63</v>
      </c>
      <c r="H82" s="18">
        <f t="shared" si="4"/>
        <v>45.684499999999993</v>
      </c>
      <c r="I82" s="5"/>
      <c r="J82" s="17">
        <v>832.05370000000005</v>
      </c>
      <c r="K82" s="18">
        <v>43.384399999999999</v>
      </c>
      <c r="L82" s="18">
        <v>50.268599999999999</v>
      </c>
      <c r="M82" s="18">
        <v>50.9529</v>
      </c>
      <c r="N82" s="18">
        <v>20.246600000000001</v>
      </c>
      <c r="O82" s="18">
        <f t="shared" si="5"/>
        <v>45.190987499999999</v>
      </c>
      <c r="P82" s="7"/>
      <c r="Q82" s="10"/>
      <c r="R82" s="11"/>
      <c r="S82" s="11"/>
      <c r="T82" s="26"/>
      <c r="U82" s="28">
        <f t="shared" si="3"/>
        <v>3.1411105450840644E-2</v>
      </c>
    </row>
    <row r="83" spans="1:21" x14ac:dyDescent="0.25">
      <c r="B83" s="9"/>
      <c r="C83" s="17">
        <v>591.80371090000006</v>
      </c>
      <c r="D83" s="18">
        <v>41.408999999999999</v>
      </c>
      <c r="E83" s="18">
        <v>47.445999999999998</v>
      </c>
      <c r="F83" s="18">
        <v>48.167999999999999</v>
      </c>
      <c r="G83" s="18">
        <v>23.5</v>
      </c>
      <c r="H83" s="18">
        <f t="shared" si="4"/>
        <v>43.008499999999998</v>
      </c>
      <c r="I83" s="5"/>
      <c r="J83" s="17">
        <v>505.97089999999997</v>
      </c>
      <c r="K83" s="18">
        <v>40.876600000000003</v>
      </c>
      <c r="L83" s="18">
        <v>48.822000000000003</v>
      </c>
      <c r="M83" s="18">
        <v>49.739600000000003</v>
      </c>
      <c r="N83" s="18">
        <v>24.755500000000001</v>
      </c>
      <c r="O83" s="18">
        <f t="shared" si="5"/>
        <v>42.977650000000004</v>
      </c>
      <c r="P83" s="7"/>
      <c r="Q83" s="10"/>
      <c r="R83" s="11"/>
      <c r="S83" s="11"/>
      <c r="T83" s="26"/>
      <c r="U83" s="28">
        <f t="shared" si="3"/>
        <v>5.3425531914893673E-2</v>
      </c>
    </row>
    <row r="84" spans="1:21" ht="16.5" thickBot="1" x14ac:dyDescent="0.3">
      <c r="B84" s="12"/>
      <c r="C84" s="19">
        <v>348.88476559999998</v>
      </c>
      <c r="D84" s="20">
        <v>37.511000000000003</v>
      </c>
      <c r="E84" s="20">
        <v>44.08</v>
      </c>
      <c r="F84" s="20">
        <v>45.156999999999996</v>
      </c>
      <c r="G84" s="20">
        <v>27.75</v>
      </c>
      <c r="H84" s="20">
        <f t="shared" si="4"/>
        <v>39.287875</v>
      </c>
      <c r="I84" s="5"/>
      <c r="J84" s="19">
        <v>257.34750000000003</v>
      </c>
      <c r="K84" s="20">
        <v>37.641399999999997</v>
      </c>
      <c r="L84" s="20">
        <v>46.2423</v>
      </c>
      <c r="M84" s="20">
        <v>46.936500000000002</v>
      </c>
      <c r="N84" s="20">
        <v>32.723700000000001</v>
      </c>
      <c r="O84" s="20">
        <f t="shared" si="5"/>
        <v>39.878399999999999</v>
      </c>
      <c r="P84" s="7"/>
      <c r="Q84" s="13"/>
      <c r="R84" s="14"/>
      <c r="S84" s="14"/>
      <c r="T84" s="27"/>
      <c r="U84" s="28">
        <f t="shared" si="3"/>
        <v>0.17923243243243248</v>
      </c>
    </row>
    <row r="85" spans="1:21" x14ac:dyDescent="0.25">
      <c r="B85" s="6" t="s">
        <v>96</v>
      </c>
      <c r="C85" s="15">
        <v>1456.3115230000001</v>
      </c>
      <c r="D85" s="16">
        <v>52.552</v>
      </c>
      <c r="E85" s="16">
        <v>53.933999999999997</v>
      </c>
      <c r="F85" s="16">
        <v>54.271999999999998</v>
      </c>
      <c r="G85" s="16">
        <v>21.19</v>
      </c>
      <c r="H85" s="16">
        <f t="shared" si="4"/>
        <v>52.939749999999997</v>
      </c>
      <c r="I85" s="5"/>
      <c r="J85" s="15">
        <v>1424.8912</v>
      </c>
      <c r="K85" s="16">
        <v>53.149799999999999</v>
      </c>
      <c r="L85" s="16">
        <v>54.135899999999999</v>
      </c>
      <c r="M85" s="16">
        <v>54.748600000000003</v>
      </c>
      <c r="N85" s="16">
        <v>35.811599999999999</v>
      </c>
      <c r="O85" s="16">
        <f t="shared" si="5"/>
        <v>53.4729125</v>
      </c>
      <c r="P85" s="7"/>
      <c r="Q85" s="8">
        <f>bdrate(C85:C88,D85:D88,J85:J88,K85:K88)</f>
        <v>-0.25415442906178587</v>
      </c>
      <c r="R85" s="8">
        <f>bdrate(C85:C88,E85:E88,J85:J88,L85:L88)</f>
        <v>-0.28267638016559704</v>
      </c>
      <c r="S85" s="8">
        <f>bdrate(C85:C88,F85:F88,J85:J88,M85:M88)</f>
        <v>-0.30601026100930884</v>
      </c>
      <c r="T85" s="25">
        <f>bdrate(C85:C88,H85:H88,J85:J88,O85:O88)</f>
        <v>-0.26416807073006243</v>
      </c>
      <c r="U85" s="28">
        <f t="shared" si="3"/>
        <v>0.69002359603586583</v>
      </c>
    </row>
    <row r="86" spans="1:21" x14ac:dyDescent="0.25">
      <c r="B86" s="9"/>
      <c r="C86" s="17">
        <v>1026.7158199999999</v>
      </c>
      <c r="D86" s="18">
        <v>49.987000000000002</v>
      </c>
      <c r="E86" s="18">
        <v>51.445</v>
      </c>
      <c r="F86" s="18">
        <v>51.826000000000001</v>
      </c>
      <c r="G86" s="18">
        <v>25.01</v>
      </c>
      <c r="H86" s="18">
        <f t="shared" si="4"/>
        <v>50.399125000000005</v>
      </c>
      <c r="I86" s="5"/>
      <c r="J86" s="17">
        <v>977.95230000000004</v>
      </c>
      <c r="K86" s="18">
        <v>51.276699999999998</v>
      </c>
      <c r="L86" s="18">
        <v>52.57</v>
      </c>
      <c r="M86" s="18">
        <v>53.1374</v>
      </c>
      <c r="N86" s="18">
        <v>46.676900000000003</v>
      </c>
      <c r="O86" s="18">
        <f t="shared" si="5"/>
        <v>51.670949999999998</v>
      </c>
      <c r="P86" s="7"/>
      <c r="Q86" s="10"/>
      <c r="R86" s="11"/>
      <c r="S86" s="11"/>
      <c r="T86" s="26"/>
      <c r="U86" s="28">
        <f t="shared" si="3"/>
        <v>0.86632946821271495</v>
      </c>
    </row>
    <row r="87" spans="1:21" x14ac:dyDescent="0.25">
      <c r="B87" s="9"/>
      <c r="C87" s="17">
        <v>653.37304689999996</v>
      </c>
      <c r="D87" s="18">
        <v>46.863</v>
      </c>
      <c r="E87" s="18">
        <v>48.534999999999997</v>
      </c>
      <c r="F87" s="18">
        <v>48.96</v>
      </c>
      <c r="G87" s="18">
        <v>30.07</v>
      </c>
      <c r="H87" s="18">
        <f t="shared" si="4"/>
        <v>47.334124999999993</v>
      </c>
      <c r="I87" s="5"/>
      <c r="J87" s="17">
        <v>606.43439999999998</v>
      </c>
      <c r="K87" s="18">
        <v>48.5154</v>
      </c>
      <c r="L87" s="18">
        <v>50.395000000000003</v>
      </c>
      <c r="M87" s="18">
        <v>50.949800000000003</v>
      </c>
      <c r="N87" s="18">
        <v>59.020299999999999</v>
      </c>
      <c r="O87" s="18">
        <f t="shared" si="5"/>
        <v>49.054649999999995</v>
      </c>
      <c r="P87" s="7"/>
      <c r="Q87" s="10"/>
      <c r="R87" s="11"/>
      <c r="S87" s="11"/>
      <c r="T87" s="26"/>
      <c r="U87" s="28">
        <f t="shared" si="3"/>
        <v>0.96276355171267036</v>
      </c>
    </row>
    <row r="88" spans="1:21" ht="16.5" thickBot="1" x14ac:dyDescent="0.3">
      <c r="B88" s="12"/>
      <c r="C88" s="19">
        <v>357.546875</v>
      </c>
      <c r="D88" s="20">
        <v>42.826000000000001</v>
      </c>
      <c r="E88" s="20">
        <v>44.768999999999998</v>
      </c>
      <c r="F88" s="20">
        <v>45.253999999999998</v>
      </c>
      <c r="G88" s="20">
        <v>37.200000000000003</v>
      </c>
      <c r="H88" s="20">
        <f t="shared" si="4"/>
        <v>43.372375000000005</v>
      </c>
      <c r="I88" s="5"/>
      <c r="J88" s="19">
        <v>311.66050000000001</v>
      </c>
      <c r="K88" s="20">
        <v>44.055300000000003</v>
      </c>
      <c r="L88" s="20">
        <v>46.680399999999999</v>
      </c>
      <c r="M88" s="20">
        <v>47.2759</v>
      </c>
      <c r="N88" s="20">
        <v>69.508799999999994</v>
      </c>
      <c r="O88" s="20">
        <f t="shared" si="5"/>
        <v>44.786012500000005</v>
      </c>
      <c r="P88" s="7"/>
      <c r="Q88" s="13"/>
      <c r="R88" s="14"/>
      <c r="S88" s="14"/>
      <c r="T88" s="27"/>
      <c r="U88" s="28">
        <f t="shared" si="3"/>
        <v>0.86851612903225772</v>
      </c>
    </row>
    <row r="89" spans="1:21" x14ac:dyDescent="0.25">
      <c r="B89" s="6" t="s">
        <v>97</v>
      </c>
      <c r="C89" s="15">
        <v>1635.734375</v>
      </c>
      <c r="D89" s="16">
        <v>42.2</v>
      </c>
      <c r="E89" s="16">
        <v>44.951000000000001</v>
      </c>
      <c r="F89" s="16">
        <v>45.381999999999998</v>
      </c>
      <c r="G89" s="16">
        <v>14.43</v>
      </c>
      <c r="H89" s="16">
        <f t="shared" si="4"/>
        <v>42.941625000000002</v>
      </c>
      <c r="I89" s="5"/>
      <c r="J89" s="15">
        <v>1474.9484</v>
      </c>
      <c r="K89" s="16">
        <v>43.950400000000002</v>
      </c>
      <c r="L89" s="16">
        <v>46.668999999999997</v>
      </c>
      <c r="M89" s="16">
        <v>47.096499999999999</v>
      </c>
      <c r="N89" s="16">
        <v>21.742000000000001</v>
      </c>
      <c r="O89" s="16">
        <f t="shared" si="5"/>
        <v>44.683487499999998</v>
      </c>
      <c r="P89" s="7"/>
      <c r="Q89" s="8">
        <f>bdrate(C89:C92,D89:D92,J89:J92,K89:K92)</f>
        <v>-0.38062326144148928</v>
      </c>
      <c r="R89" s="8">
        <f>bdrate(C89:C92,E89:E92,J89:J92,L89:L92)</f>
        <v>-0.47866414598971896</v>
      </c>
      <c r="S89" s="8">
        <f>bdrate(C89:C92,F89:F92,J89:J92,M89:M92)</f>
        <v>-0.4725506311928982</v>
      </c>
      <c r="T89" s="25">
        <f>bdrate(C89:C92,H89:H92,J89:J92,O89:O92)</f>
        <v>-0.40221436019126011</v>
      </c>
      <c r="U89" s="28">
        <f t="shared" si="3"/>
        <v>0.50672210672210682</v>
      </c>
    </row>
    <row r="90" spans="1:21" x14ac:dyDescent="0.25">
      <c r="B90" s="9"/>
      <c r="C90" s="17">
        <v>1161.234375</v>
      </c>
      <c r="D90" s="18">
        <v>40.344999999999999</v>
      </c>
      <c r="E90" s="18">
        <v>43.433999999999997</v>
      </c>
      <c r="F90" s="18">
        <v>43.860999999999997</v>
      </c>
      <c r="G90" s="18">
        <v>17.260000000000002</v>
      </c>
      <c r="H90" s="18">
        <f t="shared" si="4"/>
        <v>41.170625000000001</v>
      </c>
      <c r="I90" s="5"/>
      <c r="J90" s="17">
        <v>985.99480000000005</v>
      </c>
      <c r="K90" s="18">
        <v>42.003999999999998</v>
      </c>
      <c r="L90" s="18">
        <v>45.191000000000003</v>
      </c>
      <c r="M90" s="18">
        <v>45.539000000000001</v>
      </c>
      <c r="N90" s="18">
        <v>26.446100000000001</v>
      </c>
      <c r="O90" s="18">
        <f t="shared" si="5"/>
        <v>42.844250000000002</v>
      </c>
      <c r="P90" s="7"/>
      <c r="Q90" s="10"/>
      <c r="R90" s="11"/>
      <c r="S90" s="11"/>
      <c r="T90" s="26"/>
      <c r="U90" s="28">
        <f t="shared" si="3"/>
        <v>0.53221900347624562</v>
      </c>
    </row>
    <row r="91" spans="1:21" x14ac:dyDescent="0.25">
      <c r="B91" s="9"/>
      <c r="C91" s="17">
        <v>757.39746090000006</v>
      </c>
      <c r="D91" s="18">
        <v>38.137</v>
      </c>
      <c r="E91" s="18">
        <v>41.604999999999997</v>
      </c>
      <c r="F91" s="18">
        <v>42.045999999999999</v>
      </c>
      <c r="G91" s="18">
        <v>20.71</v>
      </c>
      <c r="H91" s="18">
        <f t="shared" si="4"/>
        <v>39.059125000000002</v>
      </c>
      <c r="I91" s="5"/>
      <c r="J91" s="17">
        <v>591.47239999999999</v>
      </c>
      <c r="K91" s="18">
        <v>39.379899999999999</v>
      </c>
      <c r="L91" s="18">
        <v>43.263100000000001</v>
      </c>
      <c r="M91" s="18">
        <v>43.652099999999997</v>
      </c>
      <c r="N91" s="18">
        <v>32.203200000000002</v>
      </c>
      <c r="O91" s="18">
        <f t="shared" si="5"/>
        <v>40.399325000000005</v>
      </c>
      <c r="P91" s="7"/>
      <c r="Q91" s="10"/>
      <c r="R91" s="11"/>
      <c r="S91" s="11"/>
      <c r="T91" s="26"/>
      <c r="U91" s="28">
        <f t="shared" si="3"/>
        <v>0.5549589570255915</v>
      </c>
    </row>
    <row r="92" spans="1:21" ht="16.5" thickBot="1" x14ac:dyDescent="0.3">
      <c r="B92" s="12"/>
      <c r="C92" s="19">
        <v>440.9765625</v>
      </c>
      <c r="D92" s="20">
        <v>35.488999999999997</v>
      </c>
      <c r="E92" s="20">
        <v>39.404000000000003</v>
      </c>
      <c r="F92" s="20">
        <v>39.840000000000003</v>
      </c>
      <c r="G92" s="20">
        <v>25.38</v>
      </c>
      <c r="H92" s="20">
        <f t="shared" si="4"/>
        <v>36.52225</v>
      </c>
      <c r="I92" s="5"/>
      <c r="J92" s="19">
        <v>298.42230000000001</v>
      </c>
      <c r="K92" s="20">
        <v>35.755899999999997</v>
      </c>
      <c r="L92" s="20">
        <v>40.774000000000001</v>
      </c>
      <c r="M92" s="20">
        <v>41.191800000000001</v>
      </c>
      <c r="N92" s="20">
        <v>40.786700000000003</v>
      </c>
      <c r="O92" s="20">
        <f t="shared" si="5"/>
        <v>37.062649999999998</v>
      </c>
      <c r="P92" s="7"/>
      <c r="Q92" s="13"/>
      <c r="R92" s="14"/>
      <c r="S92" s="14"/>
      <c r="T92" s="27"/>
      <c r="U92" s="28">
        <f t="shared" si="3"/>
        <v>0.60704097714736027</v>
      </c>
    </row>
    <row r="93" spans="1:21" x14ac:dyDescent="0.25">
      <c r="B93" s="6" t="s">
        <v>98</v>
      </c>
      <c r="C93" s="29">
        <v>1706.185547</v>
      </c>
      <c r="D93" s="30">
        <v>38.552</v>
      </c>
      <c r="E93" s="30">
        <v>43.558999999999997</v>
      </c>
      <c r="F93" s="30">
        <v>43.552999999999997</v>
      </c>
      <c r="G93" s="16">
        <v>14.47</v>
      </c>
      <c r="H93" s="16">
        <f t="shared" si="4"/>
        <v>39.802999999999997</v>
      </c>
      <c r="I93" s="5"/>
      <c r="J93" s="29">
        <v>1498.9504999999999</v>
      </c>
      <c r="K93" s="30">
        <v>39.990400000000001</v>
      </c>
      <c r="L93" s="30">
        <v>44.854300000000002</v>
      </c>
      <c r="M93" s="30">
        <v>44.854700000000001</v>
      </c>
      <c r="N93" s="16">
        <v>19.090599999999998</v>
      </c>
      <c r="O93" s="16">
        <f t="shared" si="5"/>
        <v>41.206425000000003</v>
      </c>
      <c r="P93" s="7"/>
      <c r="Q93" s="8">
        <f>bdrate(C93:C96,D93:D96,J93:J96,K93:K96)</f>
        <v>-0.3461645079537945</v>
      </c>
      <c r="R93" s="8">
        <f>bdrate(C93:C96,E93:E96,J93:J96,L93:L96)</f>
        <v>-0.47517350620764076</v>
      </c>
      <c r="S93" s="8">
        <f>bdrate(C93:C96,F93:F96,J93:J96,M93:M96)</f>
        <v>-0.47275773313232505</v>
      </c>
      <c r="T93" s="25">
        <f>bdrate(C93:C96,H93:H96,J93:J96,O93:O96)</f>
        <v>-0.3760659281877744</v>
      </c>
      <c r="U93" s="28">
        <f t="shared" si="3"/>
        <v>0.31932273669661354</v>
      </c>
    </row>
    <row r="94" spans="1:21" x14ac:dyDescent="0.25">
      <c r="B94" s="9"/>
      <c r="C94" s="31">
        <v>1127.1083980000001</v>
      </c>
      <c r="D94" s="32">
        <v>36.792999999999999</v>
      </c>
      <c r="E94" s="32">
        <v>42.131</v>
      </c>
      <c r="F94" s="32">
        <v>42.095999999999997</v>
      </c>
      <c r="G94" s="18">
        <v>17.72</v>
      </c>
      <c r="H94" s="18">
        <f t="shared" si="4"/>
        <v>38.123125000000002</v>
      </c>
      <c r="I94" s="5"/>
      <c r="J94" s="31">
        <v>1000.814</v>
      </c>
      <c r="K94" s="32">
        <v>38.168399999999998</v>
      </c>
      <c r="L94" s="32">
        <v>43.601300000000002</v>
      </c>
      <c r="M94" s="32">
        <v>43.5959</v>
      </c>
      <c r="N94" s="18">
        <v>21.206700000000001</v>
      </c>
      <c r="O94" s="18">
        <f t="shared" si="5"/>
        <v>39.525949999999995</v>
      </c>
      <c r="P94" s="7"/>
      <c r="Q94" s="10"/>
      <c r="R94" s="11"/>
      <c r="S94" s="11"/>
      <c r="T94" s="26"/>
      <c r="U94" s="28">
        <f t="shared" si="3"/>
        <v>0.19676636568848774</v>
      </c>
    </row>
    <row r="95" spans="1:21" x14ac:dyDescent="0.25">
      <c r="B95" s="9"/>
      <c r="C95" s="31">
        <v>741.81445310000004</v>
      </c>
      <c r="D95" s="32">
        <v>34.838999999999999</v>
      </c>
      <c r="E95" s="32">
        <v>40.527000000000001</v>
      </c>
      <c r="F95" s="32">
        <v>40.503999999999998</v>
      </c>
      <c r="G95" s="18">
        <v>21.05</v>
      </c>
      <c r="H95" s="18">
        <f t="shared" si="4"/>
        <v>36.258125</v>
      </c>
      <c r="I95" s="5"/>
      <c r="J95" s="31">
        <v>602.58000000000004</v>
      </c>
      <c r="K95" s="32">
        <v>35.840899999999998</v>
      </c>
      <c r="L95" s="32">
        <v>42.060899999999997</v>
      </c>
      <c r="M95" s="32">
        <v>42.025100000000002</v>
      </c>
      <c r="N95" s="18">
        <v>27.31</v>
      </c>
      <c r="O95" s="18">
        <f t="shared" si="5"/>
        <v>37.391424999999998</v>
      </c>
      <c r="P95" s="7"/>
      <c r="Q95" s="10"/>
      <c r="R95" s="11"/>
      <c r="S95" s="11"/>
      <c r="T95" s="26"/>
      <c r="U95" s="28">
        <f t="shared" si="3"/>
        <v>0.29738717339667448</v>
      </c>
    </row>
    <row r="96" spans="1:21" ht="16.5" thickBot="1" x14ac:dyDescent="0.3">
      <c r="B96" s="12"/>
      <c r="C96" s="33">
        <v>379.1337891</v>
      </c>
      <c r="D96" s="34">
        <v>32.305</v>
      </c>
      <c r="E96" s="34">
        <v>38.389000000000003</v>
      </c>
      <c r="F96" s="34">
        <v>38.372999999999998</v>
      </c>
      <c r="G96" s="20">
        <v>25.84</v>
      </c>
      <c r="H96" s="20">
        <f t="shared" si="4"/>
        <v>33.823999999999998</v>
      </c>
      <c r="I96" s="5"/>
      <c r="J96" s="33">
        <v>301.27210000000002</v>
      </c>
      <c r="K96" s="34">
        <v>32.865499999999997</v>
      </c>
      <c r="L96" s="34">
        <v>40.196899999999999</v>
      </c>
      <c r="M96" s="34">
        <v>40.0916</v>
      </c>
      <c r="N96" s="20">
        <v>35.590699999999998</v>
      </c>
      <c r="O96" s="20">
        <f t="shared" si="5"/>
        <v>34.685187499999998</v>
      </c>
      <c r="P96" s="7"/>
      <c r="Q96" s="13"/>
      <c r="R96" s="14"/>
      <c r="S96" s="14"/>
      <c r="T96" s="27"/>
      <c r="U96" s="28">
        <f t="shared" si="3"/>
        <v>0.37734907120743028</v>
      </c>
    </row>
    <row r="97" spans="2:21" x14ac:dyDescent="0.25">
      <c r="B97" s="6" t="s">
        <v>99</v>
      </c>
      <c r="C97" s="15">
        <v>1442.7558590000001</v>
      </c>
      <c r="D97" s="16">
        <v>35.987000000000002</v>
      </c>
      <c r="E97" s="16">
        <v>41.021000000000001</v>
      </c>
      <c r="F97" s="16">
        <v>41.665999999999997</v>
      </c>
      <c r="G97" s="16">
        <v>14.05</v>
      </c>
      <c r="H97" s="16">
        <f t="shared" si="4"/>
        <v>37.326125000000005</v>
      </c>
      <c r="I97" s="5"/>
      <c r="J97" s="15">
        <v>1507.2164</v>
      </c>
      <c r="K97" s="16">
        <v>38.024799999999999</v>
      </c>
      <c r="L97" s="16">
        <v>43.137500000000003</v>
      </c>
      <c r="M97" s="16">
        <v>43.6477</v>
      </c>
      <c r="N97" s="16">
        <v>20.998100000000001</v>
      </c>
      <c r="O97" s="16">
        <f t="shared" si="5"/>
        <v>39.366749999999996</v>
      </c>
      <c r="P97" s="7"/>
      <c r="Q97" s="8">
        <f>bdrate(C97:C100,D97:D100,J97:J100,K97:K100)</f>
        <v>-0.35553145690195642</v>
      </c>
      <c r="R97" s="8">
        <f>bdrate(C97:C100,E97:E100,J97:J100,L97:L100)</f>
        <v>-0.50983802214575924</v>
      </c>
      <c r="S97" s="8">
        <f>bdrate(C97:C100,F97:F100,J97:J100,M97:M100)</f>
        <v>-0.49475847237196857</v>
      </c>
      <c r="T97" s="25">
        <f>bdrate(C97:C100,H97:H100,J97:J100,O97:O100)</f>
        <v>-0.39108639862194816</v>
      </c>
      <c r="U97" s="28">
        <f t="shared" si="3"/>
        <v>0.49452669039145908</v>
      </c>
    </row>
    <row r="98" spans="2:21" x14ac:dyDescent="0.25">
      <c r="B98" s="9"/>
      <c r="C98" s="17">
        <v>1012.089844</v>
      </c>
      <c r="D98" s="18">
        <v>34.28</v>
      </c>
      <c r="E98" s="18">
        <v>39.549999999999997</v>
      </c>
      <c r="F98" s="18">
        <v>40.298999999999999</v>
      </c>
      <c r="G98" s="18">
        <v>16.510000000000002</v>
      </c>
      <c r="H98" s="18">
        <f t="shared" si="4"/>
        <v>35.691125</v>
      </c>
      <c r="I98" s="5"/>
      <c r="J98" s="17">
        <v>1007.0373</v>
      </c>
      <c r="K98" s="18">
        <v>36.208599999999997</v>
      </c>
      <c r="L98" s="18">
        <v>41.8461</v>
      </c>
      <c r="M98" s="18">
        <v>42.429499999999997</v>
      </c>
      <c r="N98" s="18">
        <v>24.281300000000002</v>
      </c>
      <c r="O98" s="18">
        <f t="shared" si="5"/>
        <v>37.690899999999999</v>
      </c>
      <c r="P98" s="7"/>
      <c r="Q98" s="10"/>
      <c r="R98" s="11"/>
      <c r="S98" s="11"/>
      <c r="T98" s="26"/>
      <c r="U98" s="28">
        <f t="shared" si="3"/>
        <v>0.47070260448213203</v>
      </c>
    </row>
    <row r="99" spans="2:21" x14ac:dyDescent="0.25">
      <c r="B99" s="9"/>
      <c r="C99" s="17">
        <v>632.23144530000002</v>
      </c>
      <c r="D99" s="18">
        <v>32.212000000000003</v>
      </c>
      <c r="E99" s="18">
        <v>37.655999999999999</v>
      </c>
      <c r="F99" s="18">
        <v>38.527999999999999</v>
      </c>
      <c r="G99" s="18">
        <v>19.12</v>
      </c>
      <c r="H99" s="18">
        <f t="shared" si="4"/>
        <v>33.682000000000002</v>
      </c>
      <c r="I99" s="5"/>
      <c r="J99" s="17">
        <v>604.62090000000001</v>
      </c>
      <c r="K99" s="18">
        <v>33.987699999999997</v>
      </c>
      <c r="L99" s="18">
        <v>40.180100000000003</v>
      </c>
      <c r="M99" s="18">
        <v>40.797600000000003</v>
      </c>
      <c r="N99" s="18">
        <v>28.7742</v>
      </c>
      <c r="O99" s="18">
        <f t="shared" si="5"/>
        <v>35.612987500000003</v>
      </c>
      <c r="P99" s="7"/>
      <c r="Q99" s="10"/>
      <c r="R99" s="11"/>
      <c r="S99" s="11"/>
      <c r="T99" s="26"/>
      <c r="U99" s="28">
        <f t="shared" si="3"/>
        <v>0.50492677824267773</v>
      </c>
    </row>
    <row r="100" spans="2:21" ht="16.5" thickBot="1" x14ac:dyDescent="0.3">
      <c r="B100" s="12"/>
      <c r="C100" s="19">
        <v>359.2978516</v>
      </c>
      <c r="D100" s="20">
        <v>29.87</v>
      </c>
      <c r="E100" s="20">
        <v>35.423999999999999</v>
      </c>
      <c r="F100" s="20">
        <v>36.323999999999998</v>
      </c>
      <c r="G100" s="20">
        <v>22.66</v>
      </c>
      <c r="H100" s="20">
        <f t="shared" si="4"/>
        <v>31.371000000000002</v>
      </c>
      <c r="I100" s="5"/>
      <c r="J100" s="19">
        <v>303.25749999999999</v>
      </c>
      <c r="K100" s="20">
        <v>30.890599999999999</v>
      </c>
      <c r="L100" s="20">
        <v>37.962299999999999</v>
      </c>
      <c r="M100" s="20">
        <v>38.671900000000001</v>
      </c>
      <c r="N100" s="20">
        <v>36.069299999999998</v>
      </c>
      <c r="O100" s="20">
        <f t="shared" si="5"/>
        <v>32.747225</v>
      </c>
      <c r="P100" s="7"/>
      <c r="Q100" s="13"/>
      <c r="R100" s="14"/>
      <c r="S100" s="14"/>
      <c r="T100" s="27"/>
      <c r="U100" s="28">
        <f t="shared" si="3"/>
        <v>0.59176081200353037</v>
      </c>
    </row>
    <row r="101" spans="2:21" x14ac:dyDescent="0.25">
      <c r="B101" s="6" t="s">
        <v>100</v>
      </c>
      <c r="C101" s="15">
        <v>1564.0664059999999</v>
      </c>
      <c r="D101" s="16">
        <v>36.713999999999999</v>
      </c>
      <c r="E101" s="16">
        <v>42.9</v>
      </c>
      <c r="F101" s="16">
        <v>44.683999999999997</v>
      </c>
      <c r="G101" s="16">
        <v>10.98</v>
      </c>
      <c r="H101" s="16">
        <f t="shared" si="4"/>
        <v>38.483499999999992</v>
      </c>
      <c r="I101" s="5"/>
      <c r="J101" s="15">
        <v>1509.6655000000001</v>
      </c>
      <c r="K101" s="16">
        <v>38.017699999999998</v>
      </c>
      <c r="L101" s="16">
        <v>44.2468</v>
      </c>
      <c r="M101" s="16">
        <v>45.781700000000001</v>
      </c>
      <c r="N101" s="16">
        <v>18.162199999999999</v>
      </c>
      <c r="O101" s="16">
        <f t="shared" si="5"/>
        <v>39.766837500000001</v>
      </c>
      <c r="P101" s="7"/>
      <c r="Q101" s="8">
        <f>bdrate(C101:C104,D101:D104,J101:J104,K101:K104)</f>
        <v>-0.3463728072312503</v>
      </c>
      <c r="R101" s="8">
        <f>bdrate(C101:C104,E101:E104,J101:J104,L101:L104)</f>
        <v>-0.52450573197051398</v>
      </c>
      <c r="S101" s="8">
        <f>bdrate(C101:C104,F101:F104,J101:J104,M101:M104)</f>
        <v>-0.45736098548800475</v>
      </c>
      <c r="T101" s="25">
        <f>bdrate(C101:C104,H101:H104,J101:J104,O101:O104)</f>
        <v>-0.38177590804972072</v>
      </c>
      <c r="U101" s="28">
        <f t="shared" si="3"/>
        <v>0.65411657559198522</v>
      </c>
    </row>
    <row r="102" spans="2:21" x14ac:dyDescent="0.25">
      <c r="B102" s="9"/>
      <c r="C102" s="17">
        <v>1054.0742190000001</v>
      </c>
      <c r="D102" s="18">
        <v>35.347000000000001</v>
      </c>
      <c r="E102" s="18">
        <v>41.832000000000001</v>
      </c>
      <c r="F102" s="18">
        <v>43.491</v>
      </c>
      <c r="G102" s="18">
        <v>13.8</v>
      </c>
      <c r="H102" s="18">
        <f t="shared" si="4"/>
        <v>37.175624999999997</v>
      </c>
      <c r="I102" s="5"/>
      <c r="J102" s="17">
        <v>1008.3017</v>
      </c>
      <c r="K102" s="18">
        <v>36.595300000000002</v>
      </c>
      <c r="L102" s="18">
        <v>43.288899999999998</v>
      </c>
      <c r="M102" s="18">
        <v>44.768799999999999</v>
      </c>
      <c r="N102" s="18">
        <v>21.623699999999999</v>
      </c>
      <c r="O102" s="18">
        <f t="shared" si="5"/>
        <v>38.453687500000001</v>
      </c>
      <c r="P102" s="7"/>
      <c r="Q102" s="10"/>
      <c r="R102" s="11"/>
      <c r="S102" s="11"/>
      <c r="T102" s="26"/>
      <c r="U102" s="28">
        <f t="shared" si="3"/>
        <v>0.56693478260869556</v>
      </c>
    </row>
    <row r="103" spans="2:21" x14ac:dyDescent="0.25">
      <c r="B103" s="9"/>
      <c r="C103" s="17">
        <v>638.78320310000004</v>
      </c>
      <c r="D103" s="18">
        <v>33.722999999999999</v>
      </c>
      <c r="E103" s="18">
        <v>40.444000000000003</v>
      </c>
      <c r="F103" s="18">
        <v>41.847999999999999</v>
      </c>
      <c r="G103" s="18">
        <v>17.920000000000002</v>
      </c>
      <c r="H103" s="18">
        <f t="shared" si="4"/>
        <v>35.578749999999999</v>
      </c>
      <c r="I103" s="5"/>
      <c r="J103" s="17">
        <v>603.98530000000005</v>
      </c>
      <c r="K103" s="18">
        <v>34.908099999999997</v>
      </c>
      <c r="L103" s="18">
        <v>42.214399999999998</v>
      </c>
      <c r="M103" s="18">
        <v>43.545999999999999</v>
      </c>
      <c r="N103" s="18">
        <v>27.022200000000002</v>
      </c>
      <c r="O103" s="18">
        <f t="shared" si="5"/>
        <v>36.901125</v>
      </c>
      <c r="P103" s="7"/>
      <c r="Q103" s="10"/>
      <c r="R103" s="11"/>
      <c r="S103" s="11"/>
      <c r="T103" s="26"/>
      <c r="U103" s="28">
        <f t="shared" si="3"/>
        <v>0.50793526785714282</v>
      </c>
    </row>
    <row r="104" spans="2:21" ht="16.5" thickBot="1" x14ac:dyDescent="0.3">
      <c r="B104" s="12"/>
      <c r="C104" s="19">
        <v>325.00390629999998</v>
      </c>
      <c r="D104" s="20">
        <v>31.847999999999999</v>
      </c>
      <c r="E104" s="20">
        <v>38.720999999999997</v>
      </c>
      <c r="F104" s="20">
        <v>39.76</v>
      </c>
      <c r="G104" s="20">
        <v>23.79</v>
      </c>
      <c r="H104" s="20">
        <f t="shared" si="4"/>
        <v>33.696125000000002</v>
      </c>
      <c r="I104" s="5"/>
      <c r="J104" s="19">
        <v>301.56560000000002</v>
      </c>
      <c r="K104" s="20">
        <v>32.792499999999997</v>
      </c>
      <c r="L104" s="20">
        <v>40.789000000000001</v>
      </c>
      <c r="M104" s="20">
        <v>41.9739</v>
      </c>
      <c r="N104" s="20">
        <v>36.641199999999998</v>
      </c>
      <c r="O104" s="20">
        <f t="shared" si="5"/>
        <v>34.9397375</v>
      </c>
      <c r="P104" s="7"/>
      <c r="Q104" s="13"/>
      <c r="R104" s="14"/>
      <c r="S104" s="14"/>
      <c r="T104" s="27"/>
      <c r="U104" s="28">
        <f t="shared" si="3"/>
        <v>0.54019335855401429</v>
      </c>
    </row>
    <row r="105" spans="2:21" x14ac:dyDescent="0.25">
      <c r="B105" s="6" t="s">
        <v>101</v>
      </c>
      <c r="C105" s="15">
        <v>1319.7353519999999</v>
      </c>
      <c r="D105" s="16">
        <v>47.177999999999997</v>
      </c>
      <c r="E105" s="16">
        <v>52.436999999999998</v>
      </c>
      <c r="F105" s="16">
        <v>53.694000000000003</v>
      </c>
      <c r="G105" s="16">
        <v>14.44</v>
      </c>
      <c r="H105" s="16">
        <f t="shared" si="4"/>
        <v>48.649875000000002</v>
      </c>
      <c r="I105" s="5"/>
      <c r="J105" s="15">
        <v>1497.4356</v>
      </c>
      <c r="K105" s="16">
        <v>49.155700000000003</v>
      </c>
      <c r="L105" s="16">
        <v>54.492199999999997</v>
      </c>
      <c r="M105" s="16">
        <v>55.931100000000001</v>
      </c>
      <c r="N105" s="16">
        <v>26.2927</v>
      </c>
      <c r="O105" s="16">
        <f t="shared" si="5"/>
        <v>50.669687500000009</v>
      </c>
      <c r="P105" s="7"/>
      <c r="Q105" s="8">
        <f>bdrate(C105:C108,D105:D108,J105:J108,K105:K108)</f>
        <v>-0.34052404851991269</v>
      </c>
      <c r="R105" s="8">
        <f>bdrate(C105:C108,E105:E108,J105:J108,L105:L108)</f>
        <v>-0.43787782628250171</v>
      </c>
      <c r="S105" s="8">
        <f>bdrate(C105:C108,F105:F108,J105:J108,M105:M108)</f>
        <v>-0.47013851541602769</v>
      </c>
      <c r="T105" s="25">
        <f>bdrate(C105:C108,H105:H108,J105:J108,O105:O108)</f>
        <v>-0.36822334068243767</v>
      </c>
      <c r="U105" s="28">
        <f t="shared" si="3"/>
        <v>0.82082409972299175</v>
      </c>
    </row>
    <row r="106" spans="2:21" x14ac:dyDescent="0.25">
      <c r="B106" s="9"/>
      <c r="C106" s="17">
        <v>939.03710939999996</v>
      </c>
      <c r="D106" s="18">
        <v>45.750999999999998</v>
      </c>
      <c r="E106" s="18">
        <v>51.145000000000003</v>
      </c>
      <c r="F106" s="18">
        <v>52.433999999999997</v>
      </c>
      <c r="G106" s="18">
        <v>17.57</v>
      </c>
      <c r="H106" s="18">
        <f t="shared" si="4"/>
        <v>47.26062499999999</v>
      </c>
      <c r="I106" s="5"/>
      <c r="J106" s="17">
        <v>1002.3043</v>
      </c>
      <c r="K106" s="18">
        <v>47.550199999999997</v>
      </c>
      <c r="L106" s="18">
        <v>53.186399999999999</v>
      </c>
      <c r="M106" s="18">
        <v>54.677300000000002</v>
      </c>
      <c r="N106" s="18">
        <v>31.066500000000001</v>
      </c>
      <c r="O106" s="18">
        <f t="shared" si="5"/>
        <v>49.145612499999999</v>
      </c>
      <c r="P106" s="7"/>
      <c r="Q106" s="10"/>
      <c r="R106" s="11"/>
      <c r="S106" s="11"/>
      <c r="T106" s="26"/>
      <c r="U106" s="28">
        <f t="shared" si="3"/>
        <v>0.76815594763801942</v>
      </c>
    </row>
    <row r="107" spans="2:21" x14ac:dyDescent="0.25">
      <c r="B107" s="9"/>
      <c r="C107" s="17">
        <v>604.83398439999996</v>
      </c>
      <c r="D107" s="18">
        <v>43.780999999999999</v>
      </c>
      <c r="E107" s="18">
        <v>49.308999999999997</v>
      </c>
      <c r="F107" s="18">
        <v>50.704000000000001</v>
      </c>
      <c r="G107" s="18">
        <v>21.68</v>
      </c>
      <c r="H107" s="18">
        <f t="shared" si="4"/>
        <v>45.337375000000002</v>
      </c>
      <c r="I107" s="5"/>
      <c r="J107" s="17">
        <v>601.50139999999999</v>
      </c>
      <c r="K107" s="18">
        <v>45.5533</v>
      </c>
      <c r="L107" s="18">
        <v>51.528300000000002</v>
      </c>
      <c r="M107" s="18">
        <v>53.060899999999997</v>
      </c>
      <c r="N107" s="18">
        <v>38.2742</v>
      </c>
      <c r="O107" s="18">
        <f t="shared" si="5"/>
        <v>47.238624999999999</v>
      </c>
      <c r="P107" s="7"/>
      <c r="Q107" s="10"/>
      <c r="R107" s="11"/>
      <c r="S107" s="11"/>
      <c r="T107" s="26"/>
      <c r="U107" s="28">
        <f t="shared" si="3"/>
        <v>0.76541512915129151</v>
      </c>
    </row>
    <row r="108" spans="2:21" ht="16.5" thickBot="1" x14ac:dyDescent="0.3">
      <c r="B108" s="12"/>
      <c r="C108" s="19">
        <v>313.8212891</v>
      </c>
      <c r="D108" s="20">
        <v>40.899000000000001</v>
      </c>
      <c r="E108" s="20">
        <v>46.441000000000003</v>
      </c>
      <c r="F108" s="20">
        <v>47.933</v>
      </c>
      <c r="G108" s="20">
        <v>28.99</v>
      </c>
      <c r="H108" s="20">
        <f t="shared" si="4"/>
        <v>42.471000000000004</v>
      </c>
      <c r="I108" s="5"/>
      <c r="J108" s="19">
        <v>302.12369999999999</v>
      </c>
      <c r="K108" s="20">
        <v>42.766800000000003</v>
      </c>
      <c r="L108" s="20">
        <v>49.102699999999999</v>
      </c>
      <c r="M108" s="20">
        <v>50.599800000000002</v>
      </c>
      <c r="N108" s="20">
        <v>49.770400000000002</v>
      </c>
      <c r="O108" s="20">
        <f t="shared" si="5"/>
        <v>44.537912500000012</v>
      </c>
      <c r="P108" s="7"/>
      <c r="Q108" s="13"/>
      <c r="R108" s="14"/>
      <c r="S108" s="14"/>
      <c r="T108" s="27"/>
      <c r="U108" s="28">
        <f t="shared" si="3"/>
        <v>0.71681269403242509</v>
      </c>
    </row>
    <row r="109" spans="2:21" x14ac:dyDescent="0.25">
      <c r="B109" s="6" t="s">
        <v>102</v>
      </c>
      <c r="C109" s="15">
        <v>1426.046875</v>
      </c>
      <c r="D109" s="16">
        <v>31.242999999999999</v>
      </c>
      <c r="E109" s="16">
        <v>39.752000000000002</v>
      </c>
      <c r="F109" s="16">
        <v>39.145000000000003</v>
      </c>
      <c r="G109" s="16">
        <v>12.19</v>
      </c>
      <c r="H109" s="16">
        <f t="shared" si="4"/>
        <v>33.294375000000002</v>
      </c>
      <c r="I109" s="5"/>
      <c r="J109" s="15">
        <v>1491.0736999999999</v>
      </c>
      <c r="K109" s="16">
        <v>32.9148</v>
      </c>
      <c r="L109" s="16">
        <v>41.539499999999997</v>
      </c>
      <c r="M109" s="16">
        <v>40.909199999999998</v>
      </c>
      <c r="N109" s="16">
        <v>12.947100000000001</v>
      </c>
      <c r="O109" s="16">
        <f t="shared" si="5"/>
        <v>34.9921875</v>
      </c>
      <c r="P109" s="7"/>
      <c r="Q109" s="8">
        <f>bdrate(C109:C112,D109:D112,J109:J112,K109:K112)</f>
        <v>-0.2828351961336335</v>
      </c>
      <c r="R109" s="8">
        <f>bdrate(C109:C112,E109:E112,J109:J112,L109:L112)</f>
        <v>-0.55599355926131377</v>
      </c>
      <c r="S109" s="8">
        <f>bdrate(C109:C112,F109:F112,J109:J112,M109:M112)</f>
        <v>-0.54183565189865202</v>
      </c>
      <c r="T109" s="25">
        <f>bdrate(C109:C112,H109:H112,J109:J112,O109:O112)</f>
        <v>-0.34540031674583238</v>
      </c>
      <c r="U109" s="28">
        <f t="shared" si="3"/>
        <v>6.2108285479901659E-2</v>
      </c>
    </row>
    <row r="110" spans="2:21" x14ac:dyDescent="0.25">
      <c r="B110" s="9"/>
      <c r="C110" s="17">
        <v>987.40234380000004</v>
      </c>
      <c r="D110" s="18">
        <v>29.747</v>
      </c>
      <c r="E110" s="18">
        <v>38.482999999999997</v>
      </c>
      <c r="F110" s="18">
        <v>37.865000000000002</v>
      </c>
      <c r="G110" s="18">
        <v>14.32</v>
      </c>
      <c r="H110" s="18">
        <f t="shared" si="4"/>
        <v>31.853750000000002</v>
      </c>
      <c r="I110" s="5"/>
      <c r="J110" s="17">
        <v>993.06449999999995</v>
      </c>
      <c r="K110" s="18">
        <v>31.231999999999999</v>
      </c>
      <c r="L110" s="18">
        <v>40.620800000000003</v>
      </c>
      <c r="M110" s="18">
        <v>39.9831</v>
      </c>
      <c r="N110" s="18">
        <v>15.073</v>
      </c>
      <c r="O110" s="18">
        <f t="shared" si="5"/>
        <v>33.499487500000001</v>
      </c>
      <c r="P110" s="7"/>
      <c r="Q110" s="10"/>
      <c r="R110" s="11"/>
      <c r="S110" s="11"/>
      <c r="T110" s="26"/>
      <c r="U110" s="28">
        <f t="shared" si="3"/>
        <v>5.2583798882681568E-2</v>
      </c>
    </row>
    <row r="111" spans="2:21" x14ac:dyDescent="0.25">
      <c r="B111" s="9"/>
      <c r="C111" s="17">
        <v>686.40917969999998</v>
      </c>
      <c r="D111" s="18">
        <v>28.437999999999999</v>
      </c>
      <c r="E111" s="18">
        <v>37.305999999999997</v>
      </c>
      <c r="F111" s="18">
        <v>36.703000000000003</v>
      </c>
      <c r="G111" s="18">
        <v>16.260000000000002</v>
      </c>
      <c r="H111" s="18">
        <f t="shared" si="4"/>
        <v>30.579624999999997</v>
      </c>
      <c r="I111" s="5"/>
      <c r="J111" s="17">
        <v>595.44050000000004</v>
      </c>
      <c r="K111" s="18">
        <v>29.120200000000001</v>
      </c>
      <c r="L111" s="18">
        <v>39.369599999999998</v>
      </c>
      <c r="M111" s="18">
        <v>38.670200000000001</v>
      </c>
      <c r="N111" s="18">
        <v>18.2484</v>
      </c>
      <c r="O111" s="18">
        <f t="shared" si="5"/>
        <v>31.595124999999999</v>
      </c>
      <c r="P111" s="7"/>
      <c r="Q111" s="10"/>
      <c r="R111" s="11"/>
      <c r="S111" s="11"/>
      <c r="T111" s="26"/>
      <c r="U111" s="28">
        <f t="shared" si="3"/>
        <v>0.12228782287822869</v>
      </c>
    </row>
    <row r="112" spans="2:21" ht="16.5" thickBot="1" x14ac:dyDescent="0.3">
      <c r="B112" s="12"/>
      <c r="C112" s="19">
        <v>508.9287109</v>
      </c>
      <c r="D112" s="20">
        <v>27.437000000000001</v>
      </c>
      <c r="E112" s="20">
        <v>36.094999999999999</v>
      </c>
      <c r="F112" s="20">
        <v>35.497</v>
      </c>
      <c r="G112" s="20">
        <v>16.61</v>
      </c>
      <c r="H112" s="20">
        <f t="shared" si="4"/>
        <v>29.52675</v>
      </c>
      <c r="I112" s="5"/>
      <c r="J112" s="19">
        <v>298.39929999999998</v>
      </c>
      <c r="K112" s="20">
        <v>26.385300000000001</v>
      </c>
      <c r="L112" s="20">
        <v>37.377099999999999</v>
      </c>
      <c r="M112" s="20">
        <v>36.678800000000003</v>
      </c>
      <c r="N112" s="20">
        <v>23.409500000000001</v>
      </c>
      <c r="O112" s="20">
        <f t="shared" si="5"/>
        <v>29.045962499999998</v>
      </c>
      <c r="P112" s="7"/>
      <c r="Q112" s="13"/>
      <c r="R112" s="14"/>
      <c r="S112" s="14"/>
      <c r="T112" s="27"/>
      <c r="U112" s="28">
        <f t="shared" si="3"/>
        <v>0.40936183022275752</v>
      </c>
    </row>
    <row r="113" spans="2:21" x14ac:dyDescent="0.25">
      <c r="B113" s="6" t="s">
        <v>103</v>
      </c>
      <c r="C113" s="15">
        <v>1861.841797</v>
      </c>
      <c r="D113" s="16">
        <v>47.228999999999999</v>
      </c>
      <c r="E113" s="16">
        <v>48.645000000000003</v>
      </c>
      <c r="F113" s="16">
        <v>48.555</v>
      </c>
      <c r="G113" s="16">
        <v>14.16</v>
      </c>
      <c r="H113" s="16">
        <f t="shared" si="4"/>
        <v>47.571750000000002</v>
      </c>
      <c r="I113" s="5"/>
      <c r="J113" s="15">
        <v>1388.7555</v>
      </c>
      <c r="K113" s="16">
        <v>46.505699999999997</v>
      </c>
      <c r="L113" s="16">
        <v>48.086599999999997</v>
      </c>
      <c r="M113" s="16">
        <v>47.985900000000001</v>
      </c>
      <c r="N113" s="16">
        <v>17.5731</v>
      </c>
      <c r="O113" s="16">
        <f t="shared" si="5"/>
        <v>46.888337499999999</v>
      </c>
      <c r="P113" s="7"/>
      <c r="Q113" s="8">
        <f>bdrate(C113:C116,D113:D116,J113:J116,K113:K116)</f>
        <v>-0.34550023752542447</v>
      </c>
      <c r="R113" s="8">
        <f>bdrate(C113:C116,E113:E116,J113:J116,L113:L116)</f>
        <v>-0.40827787271729532</v>
      </c>
      <c r="S113" s="8">
        <f>bdrate(C113:C116,F113:F116,J113:J116,M113:M116)</f>
        <v>-0.40872226211286788</v>
      </c>
      <c r="T113" s="25">
        <f>bdrate(C113:C116,H113:H116,J113:J116,O113:O116)</f>
        <v>-0.36109489979449583</v>
      </c>
      <c r="U113" s="28">
        <f t="shared" si="3"/>
        <v>0.24103813559322035</v>
      </c>
    </row>
    <row r="114" spans="2:21" x14ac:dyDescent="0.25">
      <c r="B114" s="9"/>
      <c r="C114" s="17">
        <v>1261.359375</v>
      </c>
      <c r="D114" s="18">
        <v>44.11</v>
      </c>
      <c r="E114" s="18">
        <v>45.719000000000001</v>
      </c>
      <c r="F114" s="18">
        <v>45.585999999999999</v>
      </c>
      <c r="G114" s="18">
        <v>17.45</v>
      </c>
      <c r="H114" s="18">
        <f t="shared" si="4"/>
        <v>44.495624999999997</v>
      </c>
      <c r="I114" s="5"/>
      <c r="J114" s="17">
        <v>943.49609999999996</v>
      </c>
      <c r="K114" s="18">
        <v>44.874499999999998</v>
      </c>
      <c r="L114" s="18">
        <v>46.676099999999998</v>
      </c>
      <c r="M114" s="18">
        <v>46.570599999999999</v>
      </c>
      <c r="N114" s="18">
        <v>25.348199999999999</v>
      </c>
      <c r="O114" s="18">
        <f t="shared" si="5"/>
        <v>45.311712499999999</v>
      </c>
      <c r="P114" s="7"/>
      <c r="Q114" s="10"/>
      <c r="R114" s="11"/>
      <c r="S114" s="11"/>
      <c r="T114" s="26"/>
      <c r="U114" s="28">
        <f t="shared" si="3"/>
        <v>0.45261891117478509</v>
      </c>
    </row>
    <row r="115" spans="2:21" x14ac:dyDescent="0.25">
      <c r="B115" s="9"/>
      <c r="C115" s="17">
        <v>793.03515630000004</v>
      </c>
      <c r="D115" s="18">
        <v>41.180999999999997</v>
      </c>
      <c r="E115" s="18">
        <v>43.061999999999998</v>
      </c>
      <c r="F115" s="18">
        <v>42.887999999999998</v>
      </c>
      <c r="G115" s="18">
        <v>21.69</v>
      </c>
      <c r="H115" s="18">
        <f t="shared" si="4"/>
        <v>41.629499999999993</v>
      </c>
      <c r="I115" s="5"/>
      <c r="J115" s="17">
        <v>590.45929999999998</v>
      </c>
      <c r="K115" s="18">
        <v>42.179499999999997</v>
      </c>
      <c r="L115" s="18">
        <v>44.580199999999998</v>
      </c>
      <c r="M115" s="18">
        <v>44.431199999999997</v>
      </c>
      <c r="N115" s="18">
        <v>33.338299999999997</v>
      </c>
      <c r="O115" s="18">
        <f t="shared" si="5"/>
        <v>42.761049999999997</v>
      </c>
      <c r="P115" s="7"/>
      <c r="Q115" s="10"/>
      <c r="R115" s="11"/>
      <c r="S115" s="11"/>
      <c r="T115" s="26"/>
      <c r="U115" s="28">
        <f t="shared" si="3"/>
        <v>0.53703550023052071</v>
      </c>
    </row>
    <row r="116" spans="2:21" ht="16.5" thickBot="1" x14ac:dyDescent="0.3">
      <c r="B116" s="12"/>
      <c r="C116" s="19">
        <v>452.0712891</v>
      </c>
      <c r="D116" s="20">
        <v>37.625999999999998</v>
      </c>
      <c r="E116" s="20">
        <v>39.814999999999998</v>
      </c>
      <c r="F116" s="20">
        <v>39.593000000000004</v>
      </c>
      <c r="G116" s="20">
        <v>26.82</v>
      </c>
      <c r="H116" s="20">
        <f t="shared" si="4"/>
        <v>38.145499999999998</v>
      </c>
      <c r="I116" s="5"/>
      <c r="J116" s="19">
        <v>302.05669999999998</v>
      </c>
      <c r="K116" s="20">
        <v>37.844200000000001</v>
      </c>
      <c r="L116" s="20">
        <v>41.197400000000002</v>
      </c>
      <c r="M116" s="20">
        <v>40.982399999999998</v>
      </c>
      <c r="N116" s="20">
        <v>42.1417</v>
      </c>
      <c r="O116" s="20">
        <f t="shared" si="5"/>
        <v>38.655625000000001</v>
      </c>
      <c r="P116" s="7"/>
      <c r="Q116" s="13"/>
      <c r="R116" s="14"/>
      <c r="S116" s="14"/>
      <c r="T116" s="27"/>
      <c r="U116" s="28">
        <f t="shared" si="3"/>
        <v>0.57127889634601048</v>
      </c>
    </row>
    <row r="117" spans="2:21" x14ac:dyDescent="0.25">
      <c r="B117" s="6" t="s">
        <v>104</v>
      </c>
      <c r="C117" s="15">
        <v>1391.0273440000001</v>
      </c>
      <c r="D117" s="16">
        <v>54.097999999999999</v>
      </c>
      <c r="E117" s="16">
        <v>56.747</v>
      </c>
      <c r="F117" s="16">
        <v>56.701999999999998</v>
      </c>
      <c r="G117" s="16">
        <v>14.85</v>
      </c>
      <c r="H117" s="16">
        <f t="shared" si="4"/>
        <v>54.754624999999997</v>
      </c>
      <c r="I117" s="5"/>
      <c r="J117" s="15">
        <v>1368.8044</v>
      </c>
      <c r="K117" s="16">
        <v>47.000900000000001</v>
      </c>
      <c r="L117" s="16">
        <v>49.93</v>
      </c>
      <c r="M117" s="16">
        <v>50.066699999999997</v>
      </c>
      <c r="N117" s="16">
        <v>17.366800000000001</v>
      </c>
      <c r="O117" s="16">
        <f t="shared" si="5"/>
        <v>47.750262500000005</v>
      </c>
      <c r="P117" s="7"/>
      <c r="Q117" s="8">
        <f>bdrate(C117:C120,D117:D120,J117:J120,K117:K120)</f>
        <v>-2.1741638752107439E-3</v>
      </c>
      <c r="R117" s="8">
        <f>bdrate(C117:C120,E117:E120,J117:J120,L117:L120)</f>
        <v>-6.5187223934612071E-2</v>
      </c>
      <c r="S117" s="8">
        <f>bdrate(C117:C120,F117:F120,J117:J120,M117:M120)</f>
        <v>-7.1569890090296351E-2</v>
      </c>
      <c r="T117" s="25">
        <f>bdrate(C117:C120,H117:H120,J117:J120,O117:O120)</f>
        <v>-1.7826715206241572E-2</v>
      </c>
      <c r="U117" s="28">
        <f t="shared" si="3"/>
        <v>0.16948148148148159</v>
      </c>
    </row>
    <row r="118" spans="2:21" x14ac:dyDescent="0.25">
      <c r="B118" s="9"/>
      <c r="C118" s="17">
        <v>1063.3720699999999</v>
      </c>
      <c r="D118" s="18">
        <v>52.433999999999997</v>
      </c>
      <c r="E118" s="18">
        <v>55.151000000000003</v>
      </c>
      <c r="F118" s="18">
        <v>55.109000000000002</v>
      </c>
      <c r="G118" s="18">
        <v>18.079999999999998</v>
      </c>
      <c r="H118" s="18">
        <f t="shared" si="4"/>
        <v>53.107999999999997</v>
      </c>
      <c r="I118" s="5"/>
      <c r="J118" s="17">
        <v>952.51350000000002</v>
      </c>
      <c r="K118" s="18">
        <v>45.869599999999998</v>
      </c>
      <c r="L118" s="18">
        <v>49.072600000000001</v>
      </c>
      <c r="M118" s="18">
        <v>49.214199999999998</v>
      </c>
      <c r="N118" s="18">
        <v>20.827500000000001</v>
      </c>
      <c r="O118" s="18">
        <f t="shared" si="5"/>
        <v>46.688050000000004</v>
      </c>
      <c r="P118" s="7"/>
      <c r="Q118" s="10"/>
      <c r="R118" s="11"/>
      <c r="S118" s="11"/>
      <c r="T118" s="26"/>
      <c r="U118" s="28">
        <f t="shared" si="3"/>
        <v>0.15196349557522137</v>
      </c>
    </row>
    <row r="119" spans="2:21" x14ac:dyDescent="0.25">
      <c r="B119" s="9"/>
      <c r="C119" s="17">
        <v>765.39160159999994</v>
      </c>
      <c r="D119" s="18">
        <v>43.902000000000001</v>
      </c>
      <c r="E119" s="18">
        <v>46.856999999999999</v>
      </c>
      <c r="F119" s="18">
        <v>47.1</v>
      </c>
      <c r="G119" s="18">
        <v>17.64</v>
      </c>
      <c r="H119" s="18">
        <f t="shared" si="4"/>
        <v>44.671125000000004</v>
      </c>
      <c r="I119" s="5"/>
      <c r="J119" s="17">
        <v>624.44349999999997</v>
      </c>
      <c r="K119" s="18">
        <v>43.0379</v>
      </c>
      <c r="L119" s="18">
        <v>46.437399999999997</v>
      </c>
      <c r="M119" s="18">
        <v>46.727800000000002</v>
      </c>
      <c r="N119" s="18">
        <v>23.629799999999999</v>
      </c>
      <c r="O119" s="18">
        <f t="shared" si="5"/>
        <v>43.924075000000002</v>
      </c>
      <c r="P119" s="7"/>
      <c r="Q119" s="10"/>
      <c r="R119" s="11"/>
      <c r="S119" s="11"/>
      <c r="T119" s="26"/>
      <c r="U119" s="28">
        <f t="shared" si="3"/>
        <v>0.33955782312925165</v>
      </c>
    </row>
    <row r="120" spans="2:21" ht="16.5" thickBot="1" x14ac:dyDescent="0.3">
      <c r="B120" s="12"/>
      <c r="C120" s="19">
        <v>452.0693359</v>
      </c>
      <c r="D120" s="20">
        <v>40.475000000000001</v>
      </c>
      <c r="E120" s="20">
        <v>43.468000000000004</v>
      </c>
      <c r="F120" s="20">
        <v>43.695999999999998</v>
      </c>
      <c r="G120" s="20">
        <v>21.18</v>
      </c>
      <c r="H120" s="20">
        <f t="shared" si="4"/>
        <v>41.251750000000001</v>
      </c>
      <c r="I120" s="5"/>
      <c r="J120" s="19">
        <v>354.8741</v>
      </c>
      <c r="K120" s="20">
        <v>38.706899999999997</v>
      </c>
      <c r="L120" s="20">
        <v>42.591500000000003</v>
      </c>
      <c r="M120" s="20">
        <v>42.894599999999997</v>
      </c>
      <c r="N120" s="20">
        <v>37.425899999999999</v>
      </c>
      <c r="O120" s="20">
        <f t="shared" si="5"/>
        <v>39.715937499999995</v>
      </c>
      <c r="P120" s="7"/>
      <c r="Q120" s="13"/>
      <c r="R120" s="14"/>
      <c r="S120" s="14"/>
      <c r="T120" s="27"/>
      <c r="U120" s="28">
        <f t="shared" si="3"/>
        <v>0.76703966005665714</v>
      </c>
    </row>
    <row r="121" spans="2:21" x14ac:dyDescent="0.25">
      <c r="B121" s="6" t="s">
        <v>105</v>
      </c>
      <c r="C121" s="29">
        <v>1535.3623050000001</v>
      </c>
      <c r="D121" s="30">
        <v>31.756</v>
      </c>
      <c r="E121" s="30">
        <v>35.909999999999997</v>
      </c>
      <c r="F121" s="30">
        <v>34.625999999999998</v>
      </c>
      <c r="G121" s="16">
        <v>12.92</v>
      </c>
      <c r="H121" s="16">
        <f t="shared" si="4"/>
        <v>32.634</v>
      </c>
      <c r="I121" s="5"/>
      <c r="J121" s="29">
        <v>1512.8175000000001</v>
      </c>
      <c r="K121" s="30">
        <v>33.293999999999997</v>
      </c>
      <c r="L121" s="30">
        <v>37.912199999999999</v>
      </c>
      <c r="M121" s="30">
        <v>36.765500000000003</v>
      </c>
      <c r="N121" s="16">
        <v>15.364000000000001</v>
      </c>
      <c r="O121" s="16">
        <f t="shared" si="5"/>
        <v>34.305212499999996</v>
      </c>
      <c r="P121" s="7"/>
      <c r="Q121" s="8">
        <f>bdrate(C121:C124,D121:D124,J121:J124,K121:K124)</f>
        <v>-0.25890195905530822</v>
      </c>
      <c r="R121" s="8">
        <f>bdrate(C121:C124,E121:E124,J121:J124,L121:L124)</f>
        <v>-0.58675821769613568</v>
      </c>
      <c r="S121" s="8">
        <f>bdrate(C121:C124,F121:F124,J121:J124,M121:M124)</f>
        <v>-0.5865040674977211</v>
      </c>
      <c r="T121" s="25">
        <f>bdrate(C121:C124,H121:H124,J121:J124,O121:O124)</f>
        <v>-0.34015979312894384</v>
      </c>
      <c r="U121" s="28">
        <f t="shared" si="3"/>
        <v>0.18916408668730655</v>
      </c>
    </row>
    <row r="122" spans="2:21" x14ac:dyDescent="0.25">
      <c r="B122" s="9"/>
      <c r="C122" s="31">
        <v>1062.5878909999999</v>
      </c>
      <c r="D122" s="32">
        <v>30.257000000000001</v>
      </c>
      <c r="E122" s="32">
        <v>34.743000000000002</v>
      </c>
      <c r="F122" s="32">
        <v>33.402000000000001</v>
      </c>
      <c r="G122" s="18">
        <v>14.94</v>
      </c>
      <c r="H122" s="18">
        <f t="shared" si="4"/>
        <v>31.210875000000001</v>
      </c>
      <c r="I122" s="5"/>
      <c r="J122" s="31">
        <v>1007.5997</v>
      </c>
      <c r="K122" s="32">
        <v>31.4192</v>
      </c>
      <c r="L122" s="32">
        <v>36.8217</v>
      </c>
      <c r="M122" s="32">
        <v>35.623199999999997</v>
      </c>
      <c r="N122" s="18">
        <v>17.808900000000001</v>
      </c>
      <c r="O122" s="18">
        <f t="shared" si="5"/>
        <v>32.620012500000001</v>
      </c>
      <c r="P122" s="7"/>
      <c r="Q122" s="10"/>
      <c r="R122" s="11"/>
      <c r="S122" s="11"/>
      <c r="T122" s="26"/>
      <c r="U122" s="28">
        <f t="shared" si="3"/>
        <v>0.19202811244979931</v>
      </c>
    </row>
    <row r="123" spans="2:21" x14ac:dyDescent="0.25">
      <c r="B123" s="9"/>
      <c r="C123" s="31">
        <v>712.00585939999996</v>
      </c>
      <c r="D123" s="32">
        <v>28.82</v>
      </c>
      <c r="E123" s="32">
        <v>33.536000000000001</v>
      </c>
      <c r="F123" s="32">
        <v>32.173000000000002</v>
      </c>
      <c r="G123" s="18">
        <v>16.579999999999998</v>
      </c>
      <c r="H123" s="18">
        <f t="shared" si="4"/>
        <v>29.828625000000002</v>
      </c>
      <c r="I123" s="5"/>
      <c r="J123" s="31">
        <v>605.82799999999997</v>
      </c>
      <c r="K123" s="32">
        <v>29.241499999999998</v>
      </c>
      <c r="L123" s="32">
        <v>35.544600000000003</v>
      </c>
      <c r="M123" s="32">
        <v>34.257300000000001</v>
      </c>
      <c r="N123" s="18">
        <v>21.466899999999999</v>
      </c>
      <c r="O123" s="18">
        <f t="shared" si="5"/>
        <v>30.6563625</v>
      </c>
      <c r="P123" s="7"/>
      <c r="Q123" s="10"/>
      <c r="R123" s="11"/>
      <c r="S123" s="11"/>
      <c r="T123" s="26"/>
      <c r="U123" s="28">
        <f t="shared" si="3"/>
        <v>0.29474668275030164</v>
      </c>
    </row>
    <row r="124" spans="2:21" ht="16.5" thickBot="1" x14ac:dyDescent="0.3">
      <c r="B124" s="12"/>
      <c r="C124" s="33">
        <v>479.421875</v>
      </c>
      <c r="D124" s="34">
        <v>27.45</v>
      </c>
      <c r="E124" s="34">
        <v>32.201000000000001</v>
      </c>
      <c r="F124" s="34">
        <v>30.885999999999999</v>
      </c>
      <c r="G124" s="20">
        <v>17.62</v>
      </c>
      <c r="H124" s="20">
        <f t="shared" si="4"/>
        <v>28.473374999999997</v>
      </c>
      <c r="I124" s="5"/>
      <c r="J124" s="33">
        <v>303.70400000000001</v>
      </c>
      <c r="K124" s="34">
        <v>26.8674</v>
      </c>
      <c r="L124" s="34">
        <v>33.971299999999999</v>
      </c>
      <c r="M124" s="34">
        <v>32.556100000000001</v>
      </c>
      <c r="N124" s="20">
        <v>27.577300000000001</v>
      </c>
      <c r="O124" s="20">
        <f t="shared" si="5"/>
        <v>28.466475000000003</v>
      </c>
      <c r="P124" s="7"/>
      <c r="Q124" s="13"/>
      <c r="R124" s="14"/>
      <c r="S124" s="14"/>
      <c r="T124" s="27"/>
      <c r="U124" s="28">
        <f t="shared" si="3"/>
        <v>0.5651135073779795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-0.30975945663733573</v>
      </c>
      <c r="R125" s="21">
        <f>AVERAGE(R9:R124)</f>
        <v>-0.47736813474121675</v>
      </c>
      <c r="S125" s="21">
        <f>AVERAGE(S9:S124)</f>
        <v>-0.47628405866286788</v>
      </c>
      <c r="T125" s="21">
        <f>AVERAGE(T9:T124)</f>
        <v>-0.34705247006298084</v>
      </c>
      <c r="U125" s="21">
        <f>AVERAGE(U9:U124)</f>
        <v>0.69530760004859971</v>
      </c>
    </row>
    <row r="127" spans="2:21" s="35" customFormat="1" ht="15.75" customHeight="1" x14ac:dyDescent="0.25">
      <c r="B127" s="61" t="s">
        <v>29</v>
      </c>
      <c r="C127" s="63" t="s">
        <v>207</v>
      </c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5"/>
    </row>
    <row r="128" spans="2:21" s="35" customFormat="1" x14ac:dyDescent="0.25">
      <c r="B128" s="62"/>
      <c r="C128" s="66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8"/>
    </row>
    <row r="129" spans="1:21" ht="16.5" customHeight="1" thickBot="1" x14ac:dyDescent="0.3">
      <c r="C129" s="69" t="s">
        <v>118</v>
      </c>
      <c r="D129" s="70"/>
      <c r="E129" s="70"/>
      <c r="F129" s="70"/>
      <c r="G129" s="70"/>
      <c r="H129" s="70"/>
      <c r="I129" s="5"/>
      <c r="J129" s="69" t="s">
        <v>182</v>
      </c>
      <c r="K129" s="70"/>
      <c r="L129" s="70"/>
      <c r="M129" s="70"/>
      <c r="N129" s="70"/>
      <c r="O129" s="70"/>
      <c r="Q129" s="69" t="s">
        <v>7</v>
      </c>
      <c r="R129" s="70"/>
      <c r="S129" s="71"/>
      <c r="T129" s="36"/>
      <c r="U129" s="7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2"/>
    </row>
    <row r="131" spans="1:21" x14ac:dyDescent="0.25">
      <c r="A131" s="6" t="s">
        <v>35</v>
      </c>
      <c r="B131" s="6" t="s">
        <v>46</v>
      </c>
      <c r="C131" s="15">
        <v>4109.125</v>
      </c>
      <c r="D131" s="16">
        <v>37.292000000000002</v>
      </c>
      <c r="E131" s="16">
        <v>39.113</v>
      </c>
      <c r="F131" s="16">
        <v>41.540999999999997</v>
      </c>
      <c r="G131" s="16">
        <v>8.02</v>
      </c>
      <c r="H131" s="16">
        <f t="shared" ref="H131:H202" si="6">(6*D131+E131+F131)/8</f>
        <v>38.050750000000001</v>
      </c>
      <c r="I131" s="5"/>
      <c r="J131" s="15">
        <v>4127.1696000000002</v>
      </c>
      <c r="K131" s="16">
        <v>38.478299999999997</v>
      </c>
      <c r="L131" s="16">
        <v>40.244300000000003</v>
      </c>
      <c r="M131" s="16">
        <v>42.994300000000003</v>
      </c>
      <c r="N131" s="16">
        <v>14.6585</v>
      </c>
      <c r="O131" s="16">
        <f t="shared" ref="O131:O202" si="7">(6*K131+L131+M131)/8</f>
        <v>39.263550000000002</v>
      </c>
      <c r="P131" s="7"/>
      <c r="Q131" s="8">
        <f>bdrate(C131:C134,D131:D134,J131:J134,K131:K134)</f>
        <v>-0.34594118271144192</v>
      </c>
      <c r="R131" s="8">
        <f>bdrate(C131:C134,E131:E134,J131:J134,L131:L134)</f>
        <v>-0.53309226855034764</v>
      </c>
      <c r="S131" s="8">
        <f>bdrate(C131:C134,F131:F134,J131:J134,M131:M134)</f>
        <v>-0.53134484270009086</v>
      </c>
      <c r="T131" s="25">
        <f>bdrate(C131:C134,H131:H134,J131:J134,O131:O134)</f>
        <v>-0.37904667192439589</v>
      </c>
      <c r="U131" s="28">
        <f t="shared" ref="U131:U194" si="8">(N131-G131)/G131</f>
        <v>0.82774314214463851</v>
      </c>
    </row>
    <row r="132" spans="1:21" x14ac:dyDescent="0.25">
      <c r="A132" s="9" t="s">
        <v>36</v>
      </c>
      <c r="B132" s="9"/>
      <c r="C132" s="17">
        <v>3071.2851559999999</v>
      </c>
      <c r="D132" s="18">
        <v>36.256</v>
      </c>
      <c r="E132" s="18">
        <v>38.561</v>
      </c>
      <c r="F132" s="18">
        <v>40.908999999999999</v>
      </c>
      <c r="G132" s="18">
        <v>9.8000000000000007</v>
      </c>
      <c r="H132" s="18">
        <f t="shared" si="6"/>
        <v>37.125749999999996</v>
      </c>
      <c r="I132" s="5"/>
      <c r="J132" s="17">
        <v>3041.1296000000002</v>
      </c>
      <c r="K132" s="18">
        <v>37.549199999999999</v>
      </c>
      <c r="L132" s="18">
        <v>39.770800000000001</v>
      </c>
      <c r="M132" s="18">
        <v>42.358199999999997</v>
      </c>
      <c r="N132" s="18">
        <v>20.2867</v>
      </c>
      <c r="O132" s="18">
        <f t="shared" si="7"/>
        <v>38.428024999999998</v>
      </c>
      <c r="P132" s="7"/>
      <c r="Q132" s="10"/>
      <c r="R132" s="11"/>
      <c r="S132" s="11"/>
      <c r="T132" s="26"/>
      <c r="U132" s="28">
        <f t="shared" si="8"/>
        <v>1.0700714285714283</v>
      </c>
    </row>
    <row r="133" spans="1:21" x14ac:dyDescent="0.25">
      <c r="B133" s="9"/>
      <c r="C133" s="17">
        <v>2053.9746089999999</v>
      </c>
      <c r="D133" s="18">
        <v>34.744999999999997</v>
      </c>
      <c r="E133" s="18">
        <v>37.741999999999997</v>
      </c>
      <c r="F133" s="18">
        <v>40.052999999999997</v>
      </c>
      <c r="G133" s="18">
        <v>11.96</v>
      </c>
      <c r="H133" s="18">
        <f t="shared" si="6"/>
        <v>35.783124999999998</v>
      </c>
      <c r="I133" s="5"/>
      <c r="J133" s="17">
        <v>1979.32</v>
      </c>
      <c r="K133" s="18">
        <v>36.144199999999998</v>
      </c>
      <c r="L133" s="18">
        <v>39.1004</v>
      </c>
      <c r="M133" s="18">
        <v>41.540799999999997</v>
      </c>
      <c r="N133" s="18">
        <v>24.1585</v>
      </c>
      <c r="O133" s="18">
        <f t="shared" si="7"/>
        <v>37.188299999999998</v>
      </c>
      <c r="P133" s="7"/>
      <c r="Q133" s="10"/>
      <c r="R133" s="11"/>
      <c r="S133" s="11"/>
      <c r="T133" s="26"/>
      <c r="U133" s="28">
        <f t="shared" si="8"/>
        <v>1.0199414715719062</v>
      </c>
    </row>
    <row r="134" spans="1:21" ht="16.5" thickBot="1" x14ac:dyDescent="0.3">
      <c r="B134" s="12"/>
      <c r="C134" s="19">
        <v>1034.8779300000001</v>
      </c>
      <c r="D134" s="20">
        <v>32.106999999999999</v>
      </c>
      <c r="E134" s="20">
        <v>36.143999999999998</v>
      </c>
      <c r="F134" s="20">
        <v>38.520000000000003</v>
      </c>
      <c r="G134" s="20">
        <v>14.7</v>
      </c>
      <c r="H134" s="20">
        <f t="shared" si="6"/>
        <v>33.413249999999998</v>
      </c>
      <c r="I134" s="5"/>
      <c r="J134" s="19">
        <v>923.71839999999997</v>
      </c>
      <c r="K134" s="20">
        <v>33.431800000000003</v>
      </c>
      <c r="L134" s="20">
        <v>37.732300000000002</v>
      </c>
      <c r="M134" s="20">
        <v>39.9955</v>
      </c>
      <c r="N134" s="20">
        <v>31.732600000000001</v>
      </c>
      <c r="O134" s="20">
        <f t="shared" si="7"/>
        <v>34.789825</v>
      </c>
      <c r="P134" s="7"/>
      <c r="Q134" s="13"/>
      <c r="R134" s="14"/>
      <c r="S134" s="14"/>
      <c r="T134" s="27"/>
      <c r="U134" s="28">
        <f t="shared" si="8"/>
        <v>1.1586802721088438</v>
      </c>
    </row>
    <row r="135" spans="1:21" x14ac:dyDescent="0.25">
      <c r="B135" s="6" t="s">
        <v>47</v>
      </c>
      <c r="C135" s="15">
        <v>4237.4794920000004</v>
      </c>
      <c r="D135" s="16">
        <v>28.495000000000001</v>
      </c>
      <c r="E135" s="16">
        <v>39.134</v>
      </c>
      <c r="F135" s="16">
        <v>40.183</v>
      </c>
      <c r="G135" s="16">
        <v>7.71</v>
      </c>
      <c r="H135" s="16">
        <f t="shared" si="6"/>
        <v>31.285874999999997</v>
      </c>
      <c r="I135" s="5"/>
      <c r="J135" s="15">
        <v>4177.3648000000003</v>
      </c>
      <c r="K135" s="16">
        <v>29.919899999999998</v>
      </c>
      <c r="L135" s="16">
        <v>40.8628</v>
      </c>
      <c r="M135" s="16">
        <v>41.668799999999997</v>
      </c>
      <c r="N135" s="16">
        <v>10.8893</v>
      </c>
      <c r="O135" s="16">
        <f t="shared" si="7"/>
        <v>32.756374999999998</v>
      </c>
      <c r="P135" s="7"/>
      <c r="Q135" s="8">
        <f>bdrate(C135:C138,D135:D138,J135:J138,K135:K138)</f>
        <v>-0.25413742703334186</v>
      </c>
      <c r="R135" s="8">
        <f>bdrate(C135:C138,E135:E138,J135:J138,L135:L138)</f>
        <v>-0.57020439693938663</v>
      </c>
      <c r="S135" s="8">
        <f>bdrate(C135:C138,F135:F138,J135:J138,M135:M138)</f>
        <v>-0.5726660865890324</v>
      </c>
      <c r="T135" s="25">
        <f>bdrate(C135:C138,H135:H138,J135:J138,O135:O138)</f>
        <v>-0.31798031391574699</v>
      </c>
      <c r="U135" s="28">
        <f t="shared" si="8"/>
        <v>0.41236057068741899</v>
      </c>
    </row>
    <row r="136" spans="1:21" x14ac:dyDescent="0.25">
      <c r="B136" s="9"/>
      <c r="C136" s="17">
        <v>3526.2353520000001</v>
      </c>
      <c r="D136" s="18">
        <v>27.756</v>
      </c>
      <c r="E136" s="18">
        <v>38.74</v>
      </c>
      <c r="F136" s="18">
        <v>39.832999999999998</v>
      </c>
      <c r="G136" s="18">
        <v>8.9499999999999993</v>
      </c>
      <c r="H136" s="18">
        <f t="shared" si="6"/>
        <v>30.638625000000001</v>
      </c>
      <c r="I136" s="5"/>
      <c r="J136" s="17">
        <v>3080.672</v>
      </c>
      <c r="K136" s="18">
        <v>28.553000000000001</v>
      </c>
      <c r="L136" s="18">
        <v>40.321100000000001</v>
      </c>
      <c r="M136" s="18">
        <v>41.238</v>
      </c>
      <c r="N136" s="18">
        <v>14.2653</v>
      </c>
      <c r="O136" s="18">
        <f t="shared" si="7"/>
        <v>31.609637500000002</v>
      </c>
      <c r="P136" s="7"/>
      <c r="Q136" s="10"/>
      <c r="R136" s="11"/>
      <c r="S136" s="11"/>
      <c r="T136" s="26"/>
      <c r="U136" s="28">
        <f t="shared" si="8"/>
        <v>0.5938882681564247</v>
      </c>
    </row>
    <row r="137" spans="1:21" x14ac:dyDescent="0.25">
      <c r="B137" s="9"/>
      <c r="C137" s="17">
        <v>2949.6152339999999</v>
      </c>
      <c r="D137" s="18">
        <v>27.318000000000001</v>
      </c>
      <c r="E137" s="18">
        <v>38.026000000000003</v>
      </c>
      <c r="F137" s="18">
        <v>39.222999999999999</v>
      </c>
      <c r="G137" s="18">
        <v>9.23</v>
      </c>
      <c r="H137" s="18">
        <f t="shared" si="6"/>
        <v>30.144625000000005</v>
      </c>
      <c r="I137" s="5"/>
      <c r="J137" s="17">
        <v>2085.2800000000002</v>
      </c>
      <c r="K137" s="18">
        <v>26.878799999999998</v>
      </c>
      <c r="L137" s="18">
        <v>39.572299999999998</v>
      </c>
      <c r="M137" s="18">
        <v>40.598599999999998</v>
      </c>
      <c r="N137" s="18">
        <v>16.3809</v>
      </c>
      <c r="O137" s="18">
        <f t="shared" si="7"/>
        <v>30.180462500000001</v>
      </c>
      <c r="P137" s="7"/>
      <c r="Q137" s="10"/>
      <c r="R137" s="11"/>
      <c r="S137" s="11"/>
      <c r="T137" s="26"/>
      <c r="U137" s="28">
        <f t="shared" si="8"/>
        <v>0.77474539544962073</v>
      </c>
    </row>
    <row r="138" spans="1:21" ht="16.5" thickBot="1" x14ac:dyDescent="0.3">
      <c r="B138" s="12"/>
      <c r="C138" s="19">
        <v>2627.5634770000001</v>
      </c>
      <c r="D138" s="20">
        <v>27.045000000000002</v>
      </c>
      <c r="E138" s="20">
        <v>37.311999999999998</v>
      </c>
      <c r="F138" s="20">
        <v>38.506</v>
      </c>
      <c r="G138" s="20">
        <v>9.19</v>
      </c>
      <c r="H138" s="20">
        <f t="shared" si="6"/>
        <v>29.760999999999999</v>
      </c>
      <c r="I138" s="5"/>
      <c r="J138" s="19">
        <v>1404.1343999999999</v>
      </c>
      <c r="K138" s="20">
        <v>25.6004</v>
      </c>
      <c r="L138" s="20">
        <v>38.424900000000001</v>
      </c>
      <c r="M138" s="20">
        <v>39.549399999999999</v>
      </c>
      <c r="N138" s="20">
        <v>17.7075</v>
      </c>
      <c r="O138" s="20">
        <f t="shared" si="7"/>
        <v>28.947087499999999</v>
      </c>
      <c r="P138" s="7"/>
      <c r="Q138" s="13"/>
      <c r="R138" s="14"/>
      <c r="S138" s="14"/>
      <c r="T138" s="27"/>
      <c r="U138" s="28">
        <f t="shared" si="8"/>
        <v>0.92682263329706205</v>
      </c>
    </row>
    <row r="139" spans="1:21" x14ac:dyDescent="0.25">
      <c r="A139" s="6" t="s">
        <v>37</v>
      </c>
      <c r="B139" s="6" t="s">
        <v>48</v>
      </c>
      <c r="C139" s="15">
        <v>2181.3798830000001</v>
      </c>
      <c r="D139" s="16">
        <v>38.502000000000002</v>
      </c>
      <c r="E139" s="16">
        <v>41.453000000000003</v>
      </c>
      <c r="F139" s="16">
        <v>42.755000000000003</v>
      </c>
      <c r="G139" s="16">
        <v>12.97</v>
      </c>
      <c r="H139" s="16">
        <f t="shared" si="6"/>
        <v>39.402500000000003</v>
      </c>
      <c r="I139" s="5"/>
      <c r="J139" s="15">
        <v>2363.7791999999999</v>
      </c>
      <c r="K139" s="16">
        <v>39.388500000000001</v>
      </c>
      <c r="L139" s="16">
        <v>42.432200000000002</v>
      </c>
      <c r="M139" s="16">
        <v>44.1008</v>
      </c>
      <c r="N139" s="16">
        <v>25.985299999999999</v>
      </c>
      <c r="O139" s="16">
        <f t="shared" si="7"/>
        <v>40.358000000000004</v>
      </c>
      <c r="P139" s="7"/>
      <c r="Q139" s="8">
        <f>bdrate(C139:C142,D139:D142,J139:J142,K139:K142)</f>
        <v>-0.26035662705218454</v>
      </c>
      <c r="R139" s="8">
        <f>bdrate(C139:C142,E139:E142,J139:J142,L139:L142)</f>
        <v>-0.49332536623210121</v>
      </c>
      <c r="S139" s="8">
        <f>bdrate(C139:C142,F139:F142,J139:J142,M139:M142)</f>
        <v>-0.49951351921658904</v>
      </c>
      <c r="T139" s="25">
        <f>bdrate(C139:C142,H139:H142,J139:J142,O139:O142)</f>
        <v>-0.30072622500404178</v>
      </c>
      <c r="U139" s="28">
        <f t="shared" si="8"/>
        <v>1.0034926754047802</v>
      </c>
    </row>
    <row r="140" spans="1:21" x14ac:dyDescent="0.25">
      <c r="A140" s="9" t="s">
        <v>38</v>
      </c>
      <c r="B140" s="9"/>
      <c r="C140" s="17">
        <v>1486.455078</v>
      </c>
      <c r="D140" s="18">
        <v>37.176000000000002</v>
      </c>
      <c r="E140" s="18">
        <v>40.75</v>
      </c>
      <c r="F140" s="18">
        <v>41.997999999999998</v>
      </c>
      <c r="G140" s="18">
        <v>16.600000000000001</v>
      </c>
      <c r="H140" s="18">
        <f t="shared" si="6"/>
        <v>38.225500000000004</v>
      </c>
      <c r="I140" s="5"/>
      <c r="J140" s="17">
        <v>1560.7167999999999</v>
      </c>
      <c r="K140" s="18">
        <v>38.242899999999999</v>
      </c>
      <c r="L140" s="18">
        <v>41.847200000000001</v>
      </c>
      <c r="M140" s="18">
        <v>43.314999999999998</v>
      </c>
      <c r="N140" s="18">
        <v>36.281199999999998</v>
      </c>
      <c r="O140" s="18">
        <f t="shared" si="7"/>
        <v>39.327449999999999</v>
      </c>
      <c r="P140" s="7"/>
      <c r="Q140" s="10"/>
      <c r="R140" s="11"/>
      <c r="S140" s="11"/>
      <c r="T140" s="26"/>
      <c r="U140" s="28">
        <f t="shared" si="8"/>
        <v>1.185614457831325</v>
      </c>
    </row>
    <row r="141" spans="1:21" x14ac:dyDescent="0.25">
      <c r="B141" s="9"/>
      <c r="C141" s="17">
        <v>942.67773439999996</v>
      </c>
      <c r="D141" s="18">
        <v>35.536000000000001</v>
      </c>
      <c r="E141" s="18">
        <v>39.896999999999998</v>
      </c>
      <c r="F141" s="18">
        <v>41.183999999999997</v>
      </c>
      <c r="G141" s="18">
        <v>21.13</v>
      </c>
      <c r="H141" s="18">
        <f t="shared" si="6"/>
        <v>36.787125000000003</v>
      </c>
      <c r="I141" s="5"/>
      <c r="J141" s="17">
        <v>970.49919999999997</v>
      </c>
      <c r="K141" s="18">
        <v>36.738500000000002</v>
      </c>
      <c r="L141" s="18">
        <v>41.143500000000003</v>
      </c>
      <c r="M141" s="18">
        <v>42.44</v>
      </c>
      <c r="N141" s="18">
        <v>44.985900000000001</v>
      </c>
      <c r="O141" s="18">
        <f t="shared" si="7"/>
        <v>38.0018125</v>
      </c>
      <c r="P141" s="7"/>
      <c r="Q141" s="10"/>
      <c r="R141" s="11"/>
      <c r="S141" s="11"/>
      <c r="T141" s="26"/>
      <c r="U141" s="28">
        <f t="shared" si="8"/>
        <v>1.129006152389967</v>
      </c>
    </row>
    <row r="142" spans="1:21" ht="16.5" thickBot="1" x14ac:dyDescent="0.3">
      <c r="B142" s="12"/>
      <c r="C142" s="19">
        <v>569.19140630000004</v>
      </c>
      <c r="D142" s="20">
        <v>33.802</v>
      </c>
      <c r="E142" s="20">
        <v>38.984999999999999</v>
      </c>
      <c r="F142" s="20">
        <v>40.417999999999999</v>
      </c>
      <c r="G142" s="20">
        <v>25.54</v>
      </c>
      <c r="H142" s="20">
        <f t="shared" si="6"/>
        <v>35.276875000000004</v>
      </c>
      <c r="I142" s="5"/>
      <c r="J142" s="19">
        <v>567.45039999999995</v>
      </c>
      <c r="K142" s="20">
        <v>34.921799999999998</v>
      </c>
      <c r="L142" s="20">
        <v>40.4071</v>
      </c>
      <c r="M142" s="20">
        <v>41.668700000000001</v>
      </c>
      <c r="N142" s="20">
        <v>56.153500000000001</v>
      </c>
      <c r="O142" s="20">
        <f t="shared" si="7"/>
        <v>36.450825000000002</v>
      </c>
      <c r="P142" s="7"/>
      <c r="Q142" s="13"/>
      <c r="R142" s="14"/>
      <c r="S142" s="14"/>
      <c r="T142" s="27"/>
      <c r="U142" s="28">
        <f t="shared" si="8"/>
        <v>1.1986491777603761</v>
      </c>
    </row>
    <row r="143" spans="1:21" x14ac:dyDescent="0.25">
      <c r="B143" s="6" t="s">
        <v>49</v>
      </c>
      <c r="C143" s="15">
        <v>2457.6669919999999</v>
      </c>
      <c r="D143" s="16">
        <v>35.301000000000002</v>
      </c>
      <c r="E143" s="16">
        <v>39.384</v>
      </c>
      <c r="F143" s="16">
        <v>40.545999999999999</v>
      </c>
      <c r="G143" s="16">
        <v>12.07</v>
      </c>
      <c r="H143" s="16">
        <f t="shared" si="6"/>
        <v>36.466999999999999</v>
      </c>
      <c r="I143" s="5"/>
      <c r="J143" s="15">
        <v>2547.2647999999999</v>
      </c>
      <c r="K143" s="16">
        <v>36.552300000000002</v>
      </c>
      <c r="L143" s="16">
        <v>40.862900000000003</v>
      </c>
      <c r="M143" s="16">
        <v>42.23</v>
      </c>
      <c r="N143" s="16">
        <v>24.852399999999999</v>
      </c>
      <c r="O143" s="16">
        <f t="shared" si="7"/>
        <v>37.800837500000007</v>
      </c>
      <c r="P143" s="7"/>
      <c r="Q143" s="8">
        <f>bdrate(C143:C146,D143:D146,J143:J146,K143:K146)</f>
        <v>-0.33417404712181054</v>
      </c>
      <c r="R143" s="8">
        <f>bdrate(C143:C146,E143:E146,J143:J146,L143:L146)</f>
        <v>-0.54081035068501748</v>
      </c>
      <c r="S143" s="8">
        <f>bdrate(C143:C146,F143:F146,J143:J146,M143:M146)</f>
        <v>-0.55063323206318571</v>
      </c>
      <c r="T143" s="25">
        <f>bdrate(C143:C146,H143:H146,J143:J146,O143:O146)</f>
        <v>-0.37623989647218747</v>
      </c>
      <c r="U143" s="28">
        <f t="shared" si="8"/>
        <v>1.0590223695111847</v>
      </c>
    </row>
    <row r="144" spans="1:21" x14ac:dyDescent="0.25">
      <c r="B144" s="9"/>
      <c r="C144" s="17">
        <v>1652.1816409999999</v>
      </c>
      <c r="D144" s="18">
        <v>34.030999999999999</v>
      </c>
      <c r="E144" s="18">
        <v>38.506</v>
      </c>
      <c r="F144" s="18">
        <v>39.762999999999998</v>
      </c>
      <c r="G144" s="18">
        <v>15.47</v>
      </c>
      <c r="H144" s="18">
        <f t="shared" si="6"/>
        <v>35.306874999999998</v>
      </c>
      <c r="I144" s="5"/>
      <c r="J144" s="17">
        <v>1672.9608000000001</v>
      </c>
      <c r="K144" s="18">
        <v>35.326799999999999</v>
      </c>
      <c r="L144" s="18">
        <v>40.0227</v>
      </c>
      <c r="M144" s="18">
        <v>41.235100000000003</v>
      </c>
      <c r="N144" s="18">
        <v>33.370399999999997</v>
      </c>
      <c r="O144" s="18">
        <f t="shared" si="7"/>
        <v>36.652324999999998</v>
      </c>
      <c r="P144" s="7"/>
      <c r="Q144" s="10"/>
      <c r="R144" s="11"/>
      <c r="S144" s="11"/>
      <c r="T144" s="26"/>
      <c r="U144" s="28">
        <f t="shared" si="8"/>
        <v>1.1571040723981898</v>
      </c>
    </row>
    <row r="145" spans="1:21" x14ac:dyDescent="0.25">
      <c r="B145" s="9"/>
      <c r="C145" s="17">
        <v>1024.0927730000001</v>
      </c>
      <c r="D145" s="18">
        <v>32.578000000000003</v>
      </c>
      <c r="E145" s="18">
        <v>37.488999999999997</v>
      </c>
      <c r="F145" s="18">
        <v>38.978999999999999</v>
      </c>
      <c r="G145" s="18">
        <v>19.77</v>
      </c>
      <c r="H145" s="18">
        <f t="shared" si="6"/>
        <v>33.992000000000004</v>
      </c>
      <c r="I145" s="5"/>
      <c r="J145" s="17">
        <v>1033.5904</v>
      </c>
      <c r="K145" s="18">
        <v>33.857999999999997</v>
      </c>
      <c r="L145" s="18">
        <v>39.139200000000002</v>
      </c>
      <c r="M145" s="18">
        <v>40.361199999999997</v>
      </c>
      <c r="N145" s="18">
        <v>40.913699999999999</v>
      </c>
      <c r="O145" s="18">
        <f t="shared" si="7"/>
        <v>35.331049999999998</v>
      </c>
      <c r="P145" s="7"/>
      <c r="Q145" s="10"/>
      <c r="R145" s="11"/>
      <c r="S145" s="11"/>
      <c r="T145" s="26"/>
      <c r="U145" s="28">
        <f t="shared" si="8"/>
        <v>1.06948406676783</v>
      </c>
    </row>
    <row r="146" spans="1:21" ht="16.5" thickBot="1" x14ac:dyDescent="0.3">
      <c r="B146" s="12"/>
      <c r="C146" s="19">
        <v>609.97265630000004</v>
      </c>
      <c r="D146" s="20">
        <v>31.122</v>
      </c>
      <c r="E146" s="20">
        <v>36.552</v>
      </c>
      <c r="F146" s="20">
        <v>38.337000000000003</v>
      </c>
      <c r="G146" s="20">
        <v>23.24</v>
      </c>
      <c r="H146" s="20">
        <f t="shared" si="6"/>
        <v>32.702624999999998</v>
      </c>
      <c r="I146" s="5"/>
      <c r="J146" s="19">
        <v>621.60159999999996</v>
      </c>
      <c r="K146" s="20">
        <v>32.2605</v>
      </c>
      <c r="L146" s="20">
        <v>38.133400000000002</v>
      </c>
      <c r="M146" s="20">
        <v>39.490900000000003</v>
      </c>
      <c r="N146" s="20">
        <v>48.999600000000001</v>
      </c>
      <c r="O146" s="20">
        <f t="shared" si="7"/>
        <v>33.898412499999999</v>
      </c>
      <c r="P146" s="7"/>
      <c r="Q146" s="13"/>
      <c r="R146" s="14"/>
      <c r="S146" s="14"/>
      <c r="T146" s="27"/>
      <c r="U146" s="28">
        <f t="shared" si="8"/>
        <v>1.1084165232358005</v>
      </c>
    </row>
    <row r="147" spans="1:21" x14ac:dyDescent="0.25">
      <c r="B147" s="6" t="s">
        <v>50</v>
      </c>
      <c r="C147" s="15">
        <v>2419.703125</v>
      </c>
      <c r="D147" s="16">
        <v>33.296999999999997</v>
      </c>
      <c r="E147" s="16">
        <v>37.874000000000002</v>
      </c>
      <c r="F147" s="16">
        <v>39.618000000000002</v>
      </c>
      <c r="G147" s="16">
        <v>17.64</v>
      </c>
      <c r="H147" s="16">
        <f t="shared" si="6"/>
        <v>34.65925</v>
      </c>
      <c r="I147" s="5"/>
      <c r="J147" s="15">
        <v>2409.3784000000001</v>
      </c>
      <c r="K147" s="16">
        <v>34.856699999999996</v>
      </c>
      <c r="L147" s="16">
        <v>38.751399999999997</v>
      </c>
      <c r="M147" s="16">
        <v>41.232599999999998</v>
      </c>
      <c r="N147" s="16">
        <v>36.421900000000001</v>
      </c>
      <c r="O147" s="16">
        <f t="shared" si="7"/>
        <v>36.140524999999997</v>
      </c>
      <c r="P147" s="7"/>
      <c r="Q147" s="8">
        <f>bdrate(C147:C150,D147:D150,J147:J150,K147:K150)</f>
        <v>-0.40433682912811841</v>
      </c>
      <c r="R147" s="8">
        <f>bdrate(C147:C150,E147:E150,J147:J150,L147:L150)</f>
        <v>-0.59042057135294423</v>
      </c>
      <c r="S147" s="8">
        <f>bdrate(C147:C150,F147:F150,J147:J150,M147:M150)</f>
        <v>-0.58642359588826509</v>
      </c>
      <c r="T147" s="25">
        <f>bdrate(C147:C150,H147:H150,J147:J150,O147:O150)</f>
        <v>-0.44167598150865961</v>
      </c>
      <c r="U147" s="28">
        <f t="shared" si="8"/>
        <v>1.0647335600907029</v>
      </c>
    </row>
    <row r="148" spans="1:21" x14ac:dyDescent="0.25">
      <c r="B148" s="9"/>
      <c r="C148" s="17">
        <v>1617.8867190000001</v>
      </c>
      <c r="D148" s="18">
        <v>32.055</v>
      </c>
      <c r="E148" s="18">
        <v>37.247</v>
      </c>
      <c r="F148" s="18">
        <v>38.53</v>
      </c>
      <c r="G148" s="18">
        <v>20.93</v>
      </c>
      <c r="H148" s="18">
        <f t="shared" si="6"/>
        <v>33.513374999999996</v>
      </c>
      <c r="I148" s="5"/>
      <c r="J148" s="17">
        <v>1603.4544000000001</v>
      </c>
      <c r="K148" s="18">
        <v>33.716000000000001</v>
      </c>
      <c r="L148" s="18">
        <v>38.330300000000001</v>
      </c>
      <c r="M148" s="18">
        <v>40.424399999999999</v>
      </c>
      <c r="N148" s="18">
        <v>48.487200000000001</v>
      </c>
      <c r="O148" s="18">
        <f t="shared" si="7"/>
        <v>35.131337500000001</v>
      </c>
      <c r="P148" s="7"/>
      <c r="Q148" s="10"/>
      <c r="R148" s="11"/>
      <c r="S148" s="11"/>
      <c r="T148" s="26"/>
      <c r="U148" s="28">
        <f t="shared" si="8"/>
        <v>1.3166364070711898</v>
      </c>
    </row>
    <row r="149" spans="1:21" x14ac:dyDescent="0.25">
      <c r="B149" s="9"/>
      <c r="C149" s="17">
        <v>1010.220703</v>
      </c>
      <c r="D149" s="18">
        <v>30.61</v>
      </c>
      <c r="E149" s="18">
        <v>36.365000000000002</v>
      </c>
      <c r="F149" s="18">
        <v>37.171999999999997</v>
      </c>
      <c r="G149" s="18">
        <v>24.38</v>
      </c>
      <c r="H149" s="18">
        <f t="shared" si="6"/>
        <v>32.149625</v>
      </c>
      <c r="I149" s="5"/>
      <c r="J149" s="17">
        <v>1001.6952</v>
      </c>
      <c r="K149" s="18">
        <v>32.195900000000002</v>
      </c>
      <c r="L149" s="18">
        <v>37.818800000000003</v>
      </c>
      <c r="M149" s="18">
        <v>39.478000000000002</v>
      </c>
      <c r="N149" s="18">
        <v>58.486400000000003</v>
      </c>
      <c r="O149" s="18">
        <f t="shared" si="7"/>
        <v>33.809025000000005</v>
      </c>
      <c r="P149" s="7"/>
      <c r="Q149" s="10"/>
      <c r="R149" s="11"/>
      <c r="S149" s="11"/>
      <c r="T149" s="26"/>
      <c r="U149" s="28">
        <f t="shared" si="8"/>
        <v>1.3989499589827732</v>
      </c>
    </row>
    <row r="150" spans="1:21" ht="16.5" thickBot="1" x14ac:dyDescent="0.3">
      <c r="B150" s="12"/>
      <c r="C150" s="19">
        <v>661.18261719999998</v>
      </c>
      <c r="D150" s="20">
        <v>29.295000000000002</v>
      </c>
      <c r="E150" s="20">
        <v>35.472999999999999</v>
      </c>
      <c r="F150" s="20">
        <v>35.841000000000001</v>
      </c>
      <c r="G150" s="20">
        <v>26.46</v>
      </c>
      <c r="H150" s="20">
        <f t="shared" si="6"/>
        <v>30.8855</v>
      </c>
      <c r="I150" s="5"/>
      <c r="J150" s="19">
        <v>588.88480000000004</v>
      </c>
      <c r="K150" s="20">
        <v>30.444500000000001</v>
      </c>
      <c r="L150" s="20">
        <v>37.134399999999999</v>
      </c>
      <c r="M150" s="20">
        <v>38.369500000000002</v>
      </c>
      <c r="N150" s="20">
        <v>71.551199999999994</v>
      </c>
      <c r="O150" s="20">
        <f t="shared" si="7"/>
        <v>32.271362500000002</v>
      </c>
      <c r="P150" s="7"/>
      <c r="Q150" s="13"/>
      <c r="R150" s="14"/>
      <c r="S150" s="14"/>
      <c r="T150" s="27"/>
      <c r="U150" s="28">
        <f t="shared" si="8"/>
        <v>1.7041269841269839</v>
      </c>
    </row>
    <row r="151" spans="1:21" x14ac:dyDescent="0.25">
      <c r="B151" s="6" t="s">
        <v>51</v>
      </c>
      <c r="C151" s="29">
        <v>2394.611328</v>
      </c>
      <c r="D151" s="30">
        <v>33.389000000000003</v>
      </c>
      <c r="E151" s="30">
        <v>39.768999999999998</v>
      </c>
      <c r="F151" s="30">
        <v>38.991</v>
      </c>
      <c r="G151" s="16">
        <v>18.57</v>
      </c>
      <c r="H151" s="16">
        <f t="shared" si="6"/>
        <v>34.886749999999999</v>
      </c>
      <c r="I151" s="5"/>
      <c r="J151" s="29">
        <v>2458.9567999999999</v>
      </c>
      <c r="K151" s="30">
        <v>34.580800000000004</v>
      </c>
      <c r="L151" s="30">
        <v>41.157200000000003</v>
      </c>
      <c r="M151" s="30">
        <v>40.920099999999998</v>
      </c>
      <c r="N151" s="16">
        <v>32.671199999999999</v>
      </c>
      <c r="O151" s="16">
        <f t="shared" si="7"/>
        <v>36.195262499999998</v>
      </c>
      <c r="P151" s="7"/>
      <c r="Q151" s="8">
        <f>bdrate(C151:C154,D151:D154,J151:J154,K151:K154)</f>
        <v>-0.25196839570556107</v>
      </c>
      <c r="R151" s="8">
        <f>bdrate(C151:C154,E151:E154,J151:J154,L151:L154)</f>
        <v>-0.57562768008666665</v>
      </c>
      <c r="S151" s="8">
        <f>bdrate(C151:C154,F151:F154,J151:J154,M151:M154)</f>
        <v>-0.57592358577989855</v>
      </c>
      <c r="T151" s="25">
        <f>bdrate(C151:C154,H151:H154,J151:J154,O151:O154)</f>
        <v>-0.33170817200520886</v>
      </c>
      <c r="U151" s="28">
        <f t="shared" si="8"/>
        <v>0.75935379644588041</v>
      </c>
    </row>
    <row r="152" spans="1:21" x14ac:dyDescent="0.25">
      <c r="B152" s="9"/>
      <c r="C152" s="31">
        <v>1602.8632809999999</v>
      </c>
      <c r="D152" s="32">
        <v>32.119999999999997</v>
      </c>
      <c r="E152" s="32">
        <v>38.863</v>
      </c>
      <c r="F152" s="32">
        <v>37.707999999999998</v>
      </c>
      <c r="G152" s="18">
        <v>21.93</v>
      </c>
      <c r="H152" s="18">
        <f t="shared" si="6"/>
        <v>33.661374999999992</v>
      </c>
      <c r="I152" s="5"/>
      <c r="J152" s="31">
        <v>1630.2472</v>
      </c>
      <c r="K152" s="32">
        <v>33.244199999999999</v>
      </c>
      <c r="L152" s="32">
        <v>40.490299999999998</v>
      </c>
      <c r="M152" s="32">
        <v>39.988</v>
      </c>
      <c r="N152" s="18">
        <v>41.305199999999999</v>
      </c>
      <c r="O152" s="18">
        <f t="shared" si="7"/>
        <v>34.992937499999996</v>
      </c>
      <c r="P152" s="7"/>
      <c r="Q152" s="10"/>
      <c r="R152" s="11"/>
      <c r="S152" s="11"/>
      <c r="T152" s="26"/>
      <c r="U152" s="28">
        <f t="shared" si="8"/>
        <v>0.88350205198358411</v>
      </c>
    </row>
    <row r="153" spans="1:21" x14ac:dyDescent="0.25">
      <c r="B153" s="9"/>
      <c r="C153" s="31">
        <v>1013.175781</v>
      </c>
      <c r="D153" s="32">
        <v>30.640999999999998</v>
      </c>
      <c r="E153" s="32">
        <v>37.789000000000001</v>
      </c>
      <c r="F153" s="32">
        <v>36.284999999999997</v>
      </c>
      <c r="G153" s="18">
        <v>25.66</v>
      </c>
      <c r="H153" s="18">
        <f t="shared" si="6"/>
        <v>32.239999999999995</v>
      </c>
      <c r="I153" s="5"/>
      <c r="J153" s="31">
        <v>1013.5152</v>
      </c>
      <c r="K153" s="32">
        <v>31.572299999999998</v>
      </c>
      <c r="L153" s="32">
        <v>39.698399999999999</v>
      </c>
      <c r="M153" s="32">
        <v>38.868600000000001</v>
      </c>
      <c r="N153" s="18">
        <v>50.7151</v>
      </c>
      <c r="O153" s="18">
        <f t="shared" si="7"/>
        <v>33.500099999999996</v>
      </c>
      <c r="P153" s="7"/>
      <c r="Q153" s="10"/>
      <c r="R153" s="11"/>
      <c r="S153" s="11"/>
      <c r="T153" s="26"/>
      <c r="U153" s="28">
        <f t="shared" si="8"/>
        <v>0.97642634450506627</v>
      </c>
    </row>
    <row r="154" spans="1:21" ht="16.5" thickBot="1" x14ac:dyDescent="0.3">
      <c r="B154" s="12"/>
      <c r="C154" s="33">
        <v>785.15234380000004</v>
      </c>
      <c r="D154" s="34">
        <v>29.844999999999999</v>
      </c>
      <c r="E154" s="34">
        <v>37.101999999999997</v>
      </c>
      <c r="F154" s="34">
        <v>35.500999999999998</v>
      </c>
      <c r="G154" s="20">
        <v>26.46</v>
      </c>
      <c r="H154" s="20">
        <f t="shared" si="6"/>
        <v>31.459125</v>
      </c>
      <c r="I154" s="5"/>
      <c r="J154" s="33">
        <v>607.80719999999997</v>
      </c>
      <c r="K154" s="34">
        <v>29.761600000000001</v>
      </c>
      <c r="L154" s="34">
        <v>38.637999999999998</v>
      </c>
      <c r="M154" s="34">
        <v>37.429299999999998</v>
      </c>
      <c r="N154" s="20">
        <v>61.169600000000003</v>
      </c>
      <c r="O154" s="20">
        <f t="shared" si="7"/>
        <v>31.829612500000003</v>
      </c>
      <c r="P154" s="7"/>
      <c r="Q154" s="13"/>
      <c r="R154" s="14"/>
      <c r="S154" s="14"/>
      <c r="T154" s="27"/>
      <c r="U154" s="28">
        <f t="shared" si="8"/>
        <v>1.3117762660619803</v>
      </c>
    </row>
    <row r="155" spans="1:21" x14ac:dyDescent="0.25">
      <c r="B155" s="6" t="s">
        <v>52</v>
      </c>
      <c r="C155" s="15">
        <v>2616.5253910000001</v>
      </c>
      <c r="D155" s="16">
        <v>33.042000000000002</v>
      </c>
      <c r="E155" s="16">
        <v>39.090000000000003</v>
      </c>
      <c r="F155" s="16">
        <v>41.692999999999998</v>
      </c>
      <c r="G155" s="16">
        <v>16.64</v>
      </c>
      <c r="H155" s="16">
        <f t="shared" si="6"/>
        <v>34.879375000000003</v>
      </c>
      <c r="I155" s="5"/>
      <c r="J155" s="15">
        <v>2416.3503999999998</v>
      </c>
      <c r="K155" s="16">
        <v>33.967300000000002</v>
      </c>
      <c r="L155" s="16">
        <v>40.399099999999997</v>
      </c>
      <c r="M155" s="16">
        <v>42.832000000000001</v>
      </c>
      <c r="N155" s="16">
        <v>36.875399999999999</v>
      </c>
      <c r="O155" s="16">
        <f t="shared" si="7"/>
        <v>35.879362500000006</v>
      </c>
      <c r="P155" s="7"/>
      <c r="Q155" s="8">
        <f>bdrate(C155:C158,D155:D158,J155:J158,K155:K158)</f>
        <v>-0.47114651365794957</v>
      </c>
      <c r="R155" s="8">
        <f>bdrate(C155:C158,E155:E158,J155:J158,L155:L158)</f>
        <v>-0.6765933488518644</v>
      </c>
      <c r="S155" s="8">
        <f>bdrate(C155:C158,F155:F158,J155:J158,M155:M158)</f>
        <v>-0.66399998131854154</v>
      </c>
      <c r="T155" s="25">
        <f>bdrate(C155:C158,H155:H158,J155:J158,O155:O158)</f>
        <v>-0.50562022699188292</v>
      </c>
      <c r="U155" s="28">
        <f t="shared" si="8"/>
        <v>1.2160697115384613</v>
      </c>
    </row>
    <row r="156" spans="1:21" x14ac:dyDescent="0.25">
      <c r="B156" s="9"/>
      <c r="C156" s="17">
        <v>1738.5898440000001</v>
      </c>
      <c r="D156" s="18">
        <v>32.203000000000003</v>
      </c>
      <c r="E156" s="18">
        <v>38.545000000000002</v>
      </c>
      <c r="F156" s="18">
        <v>41.241</v>
      </c>
      <c r="G156" s="18">
        <v>21.57</v>
      </c>
      <c r="H156" s="18">
        <f t="shared" si="6"/>
        <v>34.125500000000002</v>
      </c>
      <c r="I156" s="5"/>
      <c r="J156" s="17">
        <v>1594.1432</v>
      </c>
      <c r="K156" s="18">
        <v>33.333100000000002</v>
      </c>
      <c r="L156" s="18">
        <v>39.939399999999999</v>
      </c>
      <c r="M156" s="18">
        <v>42.4101</v>
      </c>
      <c r="N156" s="18">
        <v>48.504399999999997</v>
      </c>
      <c r="O156" s="18">
        <f t="shared" si="7"/>
        <v>35.293512500000006</v>
      </c>
      <c r="P156" s="7"/>
      <c r="Q156" s="10"/>
      <c r="R156" s="11"/>
      <c r="S156" s="11"/>
      <c r="T156" s="26"/>
      <c r="U156" s="28">
        <f t="shared" si="8"/>
        <v>1.2486972647195176</v>
      </c>
    </row>
    <row r="157" spans="1:21" x14ac:dyDescent="0.25">
      <c r="B157" s="9"/>
      <c r="C157" s="17">
        <v>1075.3955080000001</v>
      </c>
      <c r="D157" s="18">
        <v>30.952999999999999</v>
      </c>
      <c r="E157" s="18">
        <v>37.841000000000001</v>
      </c>
      <c r="F157" s="18">
        <v>40.613999999999997</v>
      </c>
      <c r="G157" s="18">
        <v>26.29</v>
      </c>
      <c r="H157" s="18">
        <f t="shared" si="6"/>
        <v>33.021625</v>
      </c>
      <c r="I157" s="5"/>
      <c r="J157" s="17">
        <v>990.36879999999996</v>
      </c>
      <c r="K157" s="18">
        <v>32.366599999999998</v>
      </c>
      <c r="L157" s="18">
        <v>39.241100000000003</v>
      </c>
      <c r="M157" s="18">
        <v>41.775599999999997</v>
      </c>
      <c r="N157" s="18">
        <v>58.542299999999997</v>
      </c>
      <c r="O157" s="18">
        <f t="shared" si="7"/>
        <v>34.402037499999999</v>
      </c>
      <c r="P157" s="7"/>
      <c r="Q157" s="10"/>
      <c r="R157" s="11"/>
      <c r="S157" s="11"/>
      <c r="T157" s="26"/>
      <c r="U157" s="28">
        <f t="shared" si="8"/>
        <v>1.2267896538607836</v>
      </c>
    </row>
    <row r="158" spans="1:21" ht="16.5" thickBot="1" x14ac:dyDescent="0.3">
      <c r="B158" s="12"/>
      <c r="C158" s="19">
        <v>660.06835939999996</v>
      </c>
      <c r="D158" s="20">
        <v>29.588000000000001</v>
      </c>
      <c r="E158" s="20">
        <v>37.182000000000002</v>
      </c>
      <c r="F158" s="20">
        <v>40.033999999999999</v>
      </c>
      <c r="G158" s="20">
        <v>30.98</v>
      </c>
      <c r="H158" s="20">
        <f t="shared" si="6"/>
        <v>31.843000000000004</v>
      </c>
      <c r="I158" s="5"/>
      <c r="J158" s="19">
        <v>581.63440000000003</v>
      </c>
      <c r="K158" s="20">
        <v>30.979099999999999</v>
      </c>
      <c r="L158" s="20">
        <v>38.658200000000001</v>
      </c>
      <c r="M158" s="20">
        <v>41.312399999999997</v>
      </c>
      <c r="N158" s="20">
        <v>70.439099999999996</v>
      </c>
      <c r="O158" s="20">
        <f t="shared" si="7"/>
        <v>33.230649999999997</v>
      </c>
      <c r="P158" s="7"/>
      <c r="Q158" s="13"/>
      <c r="R158" s="14"/>
      <c r="S158" s="14"/>
      <c r="T158" s="27"/>
      <c r="U158" s="28">
        <f t="shared" si="8"/>
        <v>1.2736959328599093</v>
      </c>
    </row>
    <row r="159" spans="1:21" x14ac:dyDescent="0.25">
      <c r="A159" s="6" t="s">
        <v>39</v>
      </c>
      <c r="B159" s="6" t="s">
        <v>53</v>
      </c>
      <c r="C159" s="15">
        <v>946.86914060000004</v>
      </c>
      <c r="D159" s="16">
        <v>35.152999999999999</v>
      </c>
      <c r="E159" s="16">
        <v>39.481000000000002</v>
      </c>
      <c r="F159" s="16">
        <v>39.215000000000003</v>
      </c>
      <c r="G159" s="16">
        <v>48.17</v>
      </c>
      <c r="H159" s="16">
        <f t="shared" si="6"/>
        <v>36.201750000000004</v>
      </c>
      <c r="I159" s="5"/>
      <c r="J159" s="15">
        <v>1195.6215999999999</v>
      </c>
      <c r="K159" s="16">
        <v>36.523499999999999</v>
      </c>
      <c r="L159" s="16">
        <v>41.0075</v>
      </c>
      <c r="M159" s="16">
        <v>41.0381</v>
      </c>
      <c r="N159" s="16">
        <v>106.49630000000001</v>
      </c>
      <c r="O159" s="16">
        <f t="shared" si="7"/>
        <v>37.648325</v>
      </c>
      <c r="P159" s="7"/>
      <c r="Q159" s="8">
        <f>bdrate(C159:C162,D159:D162,J159:J162,K159:K162)</f>
        <v>-6.896259003650107E-2</v>
      </c>
      <c r="R159" s="8">
        <f>bdrate(C159:C162,E159:E162,J159:J162,L159:L162)</f>
        <v>-0.2730932257035068</v>
      </c>
      <c r="S159" s="8">
        <f>bdrate(C159:C162,F159:F162,J159:J162,M159:M162)</f>
        <v>-0.30614746472827359</v>
      </c>
      <c r="T159" s="25">
        <f>bdrate(C159:C162,H159:H162,J159:J162,O159:O162)</f>
        <v>-0.12339126900263953</v>
      </c>
      <c r="U159" s="28">
        <f t="shared" si="8"/>
        <v>1.2108428482457962</v>
      </c>
    </row>
    <row r="160" spans="1:21" x14ac:dyDescent="0.25">
      <c r="A160" s="9" t="s">
        <v>40</v>
      </c>
      <c r="B160" s="9"/>
      <c r="C160" s="17">
        <v>666.66796880000004</v>
      </c>
      <c r="D160" s="18">
        <v>33.726999999999997</v>
      </c>
      <c r="E160" s="18">
        <v>38.386000000000003</v>
      </c>
      <c r="F160" s="18">
        <v>37.930999999999997</v>
      </c>
      <c r="G160" s="18">
        <v>54.73</v>
      </c>
      <c r="H160" s="18">
        <f t="shared" si="6"/>
        <v>34.834874999999997</v>
      </c>
      <c r="I160" s="5"/>
      <c r="J160" s="17">
        <v>812.49680000000001</v>
      </c>
      <c r="K160" s="18">
        <v>34.810699999999997</v>
      </c>
      <c r="L160" s="18">
        <v>39.777200000000001</v>
      </c>
      <c r="M160" s="18">
        <v>39.625100000000003</v>
      </c>
      <c r="N160" s="18">
        <v>127.68129999999999</v>
      </c>
      <c r="O160" s="18">
        <f t="shared" si="7"/>
        <v>36.033312499999994</v>
      </c>
      <c r="P160" s="7"/>
      <c r="Q160" s="10"/>
      <c r="R160" s="11"/>
      <c r="S160" s="11"/>
      <c r="T160" s="26"/>
      <c r="U160" s="28">
        <f t="shared" si="8"/>
        <v>1.3329307509592547</v>
      </c>
    </row>
    <row r="161" spans="1:21" x14ac:dyDescent="0.25">
      <c r="B161" s="9"/>
      <c r="C161" s="17">
        <v>443.76074219999998</v>
      </c>
      <c r="D161" s="18">
        <v>32.125</v>
      </c>
      <c r="E161" s="18">
        <v>36.914999999999999</v>
      </c>
      <c r="F161" s="18">
        <v>36.341000000000001</v>
      </c>
      <c r="G161" s="18">
        <v>57.08</v>
      </c>
      <c r="H161" s="18">
        <f t="shared" si="6"/>
        <v>33.250749999999996</v>
      </c>
      <c r="I161" s="5"/>
      <c r="J161" s="17">
        <v>497.44</v>
      </c>
      <c r="K161" s="18">
        <v>32.842399999999998</v>
      </c>
      <c r="L161" s="18">
        <v>38.3979</v>
      </c>
      <c r="M161" s="18">
        <v>38.152500000000003</v>
      </c>
      <c r="N161" s="18">
        <v>150.46639999999999</v>
      </c>
      <c r="O161" s="18">
        <f t="shared" si="7"/>
        <v>34.200599999999994</v>
      </c>
      <c r="P161" s="7"/>
      <c r="Q161" s="10"/>
      <c r="R161" s="11"/>
      <c r="S161" s="11"/>
      <c r="T161" s="26"/>
      <c r="U161" s="28">
        <f t="shared" si="8"/>
        <v>1.636061667834618</v>
      </c>
    </row>
    <row r="162" spans="1:21" ht="16.5" thickBot="1" x14ac:dyDescent="0.3">
      <c r="B162" s="12"/>
      <c r="C162" s="19">
        <v>286.8046875</v>
      </c>
      <c r="D162" s="20">
        <v>30.445</v>
      </c>
      <c r="E162" s="20">
        <v>35.356999999999999</v>
      </c>
      <c r="F162" s="20">
        <v>34.679000000000002</v>
      </c>
      <c r="G162" s="20">
        <v>64.44</v>
      </c>
      <c r="H162" s="20">
        <f t="shared" si="6"/>
        <v>31.588250000000002</v>
      </c>
      <c r="I162" s="5"/>
      <c r="J162" s="19">
        <v>298.56720000000001</v>
      </c>
      <c r="K162" s="20">
        <v>30.917899999999999</v>
      </c>
      <c r="L162" s="20">
        <v>37.034599999999998</v>
      </c>
      <c r="M162" s="20">
        <v>36.502200000000002</v>
      </c>
      <c r="N162" s="20">
        <v>180.0504</v>
      </c>
      <c r="O162" s="20">
        <f t="shared" si="7"/>
        <v>32.380524999999999</v>
      </c>
      <c r="P162" s="7"/>
      <c r="Q162" s="13"/>
      <c r="R162" s="14"/>
      <c r="S162" s="14"/>
      <c r="T162" s="27"/>
      <c r="U162" s="28">
        <f t="shared" si="8"/>
        <v>1.7940782122905028</v>
      </c>
    </row>
    <row r="163" spans="1:21" x14ac:dyDescent="0.25">
      <c r="B163" s="6" t="s">
        <v>54</v>
      </c>
      <c r="C163" s="15">
        <v>1251.6455080000001</v>
      </c>
      <c r="D163" s="16">
        <v>34.53</v>
      </c>
      <c r="E163" s="16">
        <v>40.08</v>
      </c>
      <c r="F163" s="16">
        <v>40.843000000000004</v>
      </c>
      <c r="G163" s="16">
        <v>42.6</v>
      </c>
      <c r="H163" s="16">
        <f t="shared" si="6"/>
        <v>36.012875000000001</v>
      </c>
      <c r="I163" s="5"/>
      <c r="J163" s="15">
        <v>1211.1143999999999</v>
      </c>
      <c r="K163" s="16">
        <v>35.992100000000001</v>
      </c>
      <c r="L163" s="16">
        <v>41.709299999999999</v>
      </c>
      <c r="M163" s="16">
        <v>42.716500000000003</v>
      </c>
      <c r="N163" s="16">
        <v>113.12220000000001</v>
      </c>
      <c r="O163" s="16">
        <f t="shared" si="7"/>
        <v>37.5473</v>
      </c>
      <c r="P163" s="7"/>
      <c r="Q163" s="8">
        <f>bdrate(C163:C166,D163:D166,J163:J166,K163:K166)</f>
        <v>-0.33631452396703809</v>
      </c>
      <c r="R163" s="8">
        <f>bdrate(C163:C166,E163:E166,J163:J166,L163:L166)</f>
        <v>-0.54342435194385952</v>
      </c>
      <c r="S163" s="8">
        <f>bdrate(C163:C166,F163:F166,J163:J166,M163:M166)</f>
        <v>-0.54731053170756483</v>
      </c>
      <c r="T163" s="25">
        <f>bdrate(C163:C166,H163:H166,J163:J166,O163:O166)</f>
        <v>-0.38270761997341773</v>
      </c>
      <c r="U163" s="28">
        <f t="shared" si="8"/>
        <v>1.6554507042253521</v>
      </c>
    </row>
    <row r="164" spans="1:21" x14ac:dyDescent="0.25">
      <c r="B164" s="9"/>
      <c r="C164" s="17">
        <v>839.40625</v>
      </c>
      <c r="D164" s="18">
        <v>33.024000000000001</v>
      </c>
      <c r="E164" s="18">
        <v>39.006999999999998</v>
      </c>
      <c r="F164" s="18">
        <v>39.634</v>
      </c>
      <c r="G164" s="18">
        <v>49.88</v>
      </c>
      <c r="H164" s="18">
        <f t="shared" si="6"/>
        <v>34.598125000000003</v>
      </c>
      <c r="I164" s="5"/>
      <c r="J164" s="17">
        <v>808.50080000000003</v>
      </c>
      <c r="K164" s="18">
        <v>34.500399999999999</v>
      </c>
      <c r="L164" s="18">
        <v>40.7639</v>
      </c>
      <c r="M164" s="18">
        <v>41.611400000000003</v>
      </c>
      <c r="N164" s="18">
        <v>139.86009999999999</v>
      </c>
      <c r="O164" s="18">
        <f t="shared" si="7"/>
        <v>36.172212500000001</v>
      </c>
      <c r="P164" s="7"/>
      <c r="Q164" s="10"/>
      <c r="R164" s="11"/>
      <c r="S164" s="11"/>
      <c r="T164" s="26"/>
      <c r="U164" s="28">
        <f t="shared" si="8"/>
        <v>1.803931435445068</v>
      </c>
    </row>
    <row r="165" spans="1:21" x14ac:dyDescent="0.25">
      <c r="B165" s="9"/>
      <c r="C165" s="17">
        <v>524.21875</v>
      </c>
      <c r="D165" s="18">
        <v>31.268999999999998</v>
      </c>
      <c r="E165" s="18">
        <v>37.707999999999998</v>
      </c>
      <c r="F165" s="18">
        <v>38.213000000000001</v>
      </c>
      <c r="G165" s="18">
        <v>56.23</v>
      </c>
      <c r="H165" s="18">
        <f t="shared" si="6"/>
        <v>32.941874999999996</v>
      </c>
      <c r="I165" s="5"/>
      <c r="J165" s="17">
        <v>505.2568</v>
      </c>
      <c r="K165" s="18">
        <v>32.680100000000003</v>
      </c>
      <c r="L165" s="18">
        <v>39.672600000000003</v>
      </c>
      <c r="M165" s="18">
        <v>40.398899999999998</v>
      </c>
      <c r="N165" s="18">
        <v>165.06190000000001</v>
      </c>
      <c r="O165" s="18">
        <f t="shared" si="7"/>
        <v>34.519012500000002</v>
      </c>
      <c r="P165" s="7"/>
      <c r="Q165" s="10"/>
      <c r="R165" s="11"/>
      <c r="S165" s="11"/>
      <c r="T165" s="26"/>
      <c r="U165" s="28">
        <f t="shared" si="8"/>
        <v>1.9354775031122182</v>
      </c>
    </row>
    <row r="166" spans="1:21" ht="16.5" thickBot="1" x14ac:dyDescent="0.3">
      <c r="B166" s="12"/>
      <c r="C166" s="19">
        <v>323.515625</v>
      </c>
      <c r="D166" s="20">
        <v>29.439</v>
      </c>
      <c r="E166" s="20">
        <v>36.418999999999997</v>
      </c>
      <c r="F166" s="20">
        <v>36.704000000000001</v>
      </c>
      <c r="G166" s="20">
        <v>61.62</v>
      </c>
      <c r="H166" s="20">
        <f t="shared" si="6"/>
        <v>31.219625000000001</v>
      </c>
      <c r="I166" s="5"/>
      <c r="J166" s="19">
        <v>305.0752</v>
      </c>
      <c r="K166" s="20">
        <v>30.6431</v>
      </c>
      <c r="L166" s="20">
        <v>38.567799999999998</v>
      </c>
      <c r="M166" s="20">
        <v>39.190399999999997</v>
      </c>
      <c r="N166" s="20">
        <v>202.42910000000001</v>
      </c>
      <c r="O166" s="20">
        <f t="shared" si="7"/>
        <v>32.702100000000002</v>
      </c>
      <c r="P166" s="7"/>
      <c r="Q166" s="13"/>
      <c r="R166" s="14"/>
      <c r="S166" s="14"/>
      <c r="T166" s="27"/>
      <c r="U166" s="28">
        <f t="shared" si="8"/>
        <v>2.2851200908795848</v>
      </c>
    </row>
    <row r="167" spans="1:21" x14ac:dyDescent="0.25">
      <c r="B167" s="6" t="s">
        <v>55</v>
      </c>
      <c r="C167" s="15">
        <v>1307.6689449999999</v>
      </c>
      <c r="D167" s="16">
        <v>29.879000000000001</v>
      </c>
      <c r="E167" s="16">
        <v>36.362000000000002</v>
      </c>
      <c r="F167" s="16">
        <v>37.213000000000001</v>
      </c>
      <c r="G167" s="16">
        <v>26.97</v>
      </c>
      <c r="H167" s="16">
        <f t="shared" si="6"/>
        <v>31.606124999999999</v>
      </c>
      <c r="I167" s="5"/>
      <c r="J167" s="15">
        <v>1191.9264000000001</v>
      </c>
      <c r="K167" s="16">
        <v>30.882300000000001</v>
      </c>
      <c r="L167" s="16">
        <v>37.658799999999999</v>
      </c>
      <c r="M167" s="16">
        <v>38.508899999999997</v>
      </c>
      <c r="N167" s="16">
        <v>104.4059</v>
      </c>
      <c r="O167" s="16">
        <f t="shared" si="7"/>
        <v>32.6826875</v>
      </c>
      <c r="P167" s="7"/>
      <c r="Q167" s="8">
        <f>bdrate(C167:C170,D167:D170,J167:J170,K167:K170)</f>
        <v>-0.33603009656663529</v>
      </c>
      <c r="R167" s="8">
        <f>bdrate(C167:C170,E167:E170,J167:J170,L167:L170)</f>
        <v>-0.56438818749293906</v>
      </c>
      <c r="S167" s="8">
        <f>bdrate(C167:C170,F167:F170,J167:J170,M167:M170)</f>
        <v>-0.55041384567197071</v>
      </c>
      <c r="T167" s="25">
        <f>bdrate(C167:C170,H167:H170,J167:J170,O167:O170)</f>
        <v>-0.38324595695222552</v>
      </c>
      <c r="U167" s="28">
        <f t="shared" si="8"/>
        <v>2.8711865035224324</v>
      </c>
    </row>
    <row r="168" spans="1:21" x14ac:dyDescent="0.25">
      <c r="B168" s="9"/>
      <c r="C168" s="17">
        <v>893.24804689999996</v>
      </c>
      <c r="D168" s="18">
        <v>28.6</v>
      </c>
      <c r="E168" s="18">
        <v>35.493000000000002</v>
      </c>
      <c r="F168" s="18">
        <v>36.353999999999999</v>
      </c>
      <c r="G168" s="18">
        <v>29.87</v>
      </c>
      <c r="H168" s="18">
        <f t="shared" si="6"/>
        <v>30.430875</v>
      </c>
      <c r="I168" s="5"/>
      <c r="J168" s="17">
        <v>802.39520000000005</v>
      </c>
      <c r="K168" s="18">
        <v>29.564</v>
      </c>
      <c r="L168" s="18">
        <v>36.803899999999999</v>
      </c>
      <c r="M168" s="18">
        <v>37.596200000000003</v>
      </c>
      <c r="N168" s="18">
        <v>123.27419999999999</v>
      </c>
      <c r="O168" s="18">
        <f t="shared" si="7"/>
        <v>31.473012500000003</v>
      </c>
      <c r="P168" s="7"/>
      <c r="Q168" s="10"/>
      <c r="R168" s="11"/>
      <c r="S168" s="11"/>
      <c r="T168" s="26"/>
      <c r="U168" s="28">
        <f t="shared" si="8"/>
        <v>3.1270237696685634</v>
      </c>
    </row>
    <row r="169" spans="1:21" x14ac:dyDescent="0.25">
      <c r="B169" s="9"/>
      <c r="C169" s="17">
        <v>562.4921875</v>
      </c>
      <c r="D169" s="18">
        <v>27.228000000000002</v>
      </c>
      <c r="E169" s="18">
        <v>34.469000000000001</v>
      </c>
      <c r="F169" s="18">
        <v>35.304000000000002</v>
      </c>
      <c r="G169" s="18">
        <v>34.21</v>
      </c>
      <c r="H169" s="18">
        <f t="shared" si="6"/>
        <v>29.142624999999999</v>
      </c>
      <c r="I169" s="5"/>
      <c r="J169" s="17">
        <v>503.07279999999997</v>
      </c>
      <c r="K169" s="18">
        <v>28.126100000000001</v>
      </c>
      <c r="L169" s="18">
        <v>36.006900000000002</v>
      </c>
      <c r="M169" s="18">
        <v>36.818899999999999</v>
      </c>
      <c r="N169" s="18">
        <v>150.46639999999999</v>
      </c>
      <c r="O169" s="18">
        <f t="shared" si="7"/>
        <v>30.197800000000001</v>
      </c>
      <c r="P169" s="7"/>
      <c r="Q169" s="10"/>
      <c r="R169" s="11"/>
      <c r="S169" s="11"/>
      <c r="T169" s="26"/>
      <c r="U169" s="28">
        <f t="shared" si="8"/>
        <v>3.3983162817889503</v>
      </c>
    </row>
    <row r="170" spans="1:21" ht="16.5" thickBot="1" x14ac:dyDescent="0.3">
      <c r="B170" s="12"/>
      <c r="C170" s="19">
        <v>351.3505859</v>
      </c>
      <c r="D170" s="20">
        <v>25.960999999999999</v>
      </c>
      <c r="E170" s="20">
        <v>33.404000000000003</v>
      </c>
      <c r="F170" s="20">
        <v>34.188000000000002</v>
      </c>
      <c r="G170" s="20">
        <v>38.25</v>
      </c>
      <c r="H170" s="20">
        <f t="shared" si="6"/>
        <v>27.919750000000001</v>
      </c>
      <c r="I170" s="5"/>
      <c r="J170" s="19">
        <v>304.5752</v>
      </c>
      <c r="K170" s="20">
        <v>26.613199999999999</v>
      </c>
      <c r="L170" s="20">
        <v>35.098999999999997</v>
      </c>
      <c r="M170" s="20">
        <v>35.825600000000001</v>
      </c>
      <c r="N170" s="20">
        <v>180.0504</v>
      </c>
      <c r="O170" s="20">
        <f t="shared" si="7"/>
        <v>28.825474999999997</v>
      </c>
      <c r="P170" s="7"/>
      <c r="Q170" s="13"/>
      <c r="R170" s="14"/>
      <c r="S170" s="14"/>
      <c r="T170" s="27"/>
      <c r="U170" s="28">
        <f t="shared" si="8"/>
        <v>3.7071999999999998</v>
      </c>
    </row>
    <row r="171" spans="1:21" x14ac:dyDescent="0.25">
      <c r="B171" s="6" t="s">
        <v>56</v>
      </c>
      <c r="C171" s="15">
        <v>1225.0458980000001</v>
      </c>
      <c r="D171" s="16">
        <v>32.26</v>
      </c>
      <c r="E171" s="16">
        <v>36.613999999999997</v>
      </c>
      <c r="F171" s="16">
        <v>38.244</v>
      </c>
      <c r="G171" s="16">
        <v>28.37</v>
      </c>
      <c r="H171" s="16">
        <f t="shared" si="6"/>
        <v>33.552250000000001</v>
      </c>
      <c r="I171" s="5"/>
      <c r="J171" s="15">
        <v>1187.8992000000001</v>
      </c>
      <c r="K171" s="16">
        <v>32.927399999999999</v>
      </c>
      <c r="L171" s="16">
        <v>37.801200000000001</v>
      </c>
      <c r="M171" s="16">
        <v>39.4026</v>
      </c>
      <c r="N171" s="16">
        <v>71.496700000000004</v>
      </c>
      <c r="O171" s="16">
        <f t="shared" si="7"/>
        <v>34.346024999999997</v>
      </c>
      <c r="P171" s="7"/>
      <c r="Q171" s="8">
        <f>bdrate(C171:C174,D171:D174,J171:J174,K171:K174)</f>
        <v>-0.17530294164847737</v>
      </c>
      <c r="R171" s="8">
        <f>bdrate(C171:C174,E171:E174,J171:J174,L171:L174)</f>
        <v>-0.50532175548217184</v>
      </c>
      <c r="S171" s="8">
        <f>bdrate(C171:C174,F171:F174,J171:J174,M171:M174)</f>
        <v>-0.51875200852614634</v>
      </c>
      <c r="T171" s="25">
        <f>bdrate(C171:C174,H171:H174,J171:J174,O171:O174)</f>
        <v>-0.25431104064074783</v>
      </c>
      <c r="U171" s="28">
        <f t="shared" si="8"/>
        <v>1.5201515685583362</v>
      </c>
    </row>
    <row r="172" spans="1:21" x14ac:dyDescent="0.25">
      <c r="B172" s="9"/>
      <c r="C172" s="17">
        <v>857.51171880000004</v>
      </c>
      <c r="D172" s="18">
        <v>30.943999999999999</v>
      </c>
      <c r="E172" s="18">
        <v>35.665999999999997</v>
      </c>
      <c r="F172" s="18">
        <v>37.241</v>
      </c>
      <c r="G172" s="18">
        <v>32.630000000000003</v>
      </c>
      <c r="H172" s="18">
        <f t="shared" si="6"/>
        <v>32.321374999999996</v>
      </c>
      <c r="I172" s="5"/>
      <c r="J172" s="17">
        <v>794.63279999999997</v>
      </c>
      <c r="K172" s="18">
        <v>31.414400000000001</v>
      </c>
      <c r="L172" s="18">
        <v>36.890700000000002</v>
      </c>
      <c r="M172" s="18">
        <v>38.536499999999997</v>
      </c>
      <c r="N172" s="18">
        <v>87.007000000000005</v>
      </c>
      <c r="O172" s="18">
        <f t="shared" si="7"/>
        <v>32.989200000000004</v>
      </c>
      <c r="P172" s="7"/>
      <c r="Q172" s="10"/>
      <c r="R172" s="11"/>
      <c r="S172" s="11"/>
      <c r="T172" s="26"/>
      <c r="U172" s="28">
        <f t="shared" si="8"/>
        <v>1.6664725712534476</v>
      </c>
    </row>
    <row r="173" spans="1:21" x14ac:dyDescent="0.25">
      <c r="B173" s="9"/>
      <c r="C173" s="17">
        <v>550.6484375</v>
      </c>
      <c r="D173" s="18">
        <v>29.491</v>
      </c>
      <c r="E173" s="18">
        <v>34.561</v>
      </c>
      <c r="F173" s="18">
        <v>36.064</v>
      </c>
      <c r="G173" s="18">
        <v>35.25</v>
      </c>
      <c r="H173" s="18">
        <f t="shared" si="6"/>
        <v>30.946375</v>
      </c>
      <c r="I173" s="5"/>
      <c r="J173" s="17">
        <v>495.73599999999999</v>
      </c>
      <c r="K173" s="18">
        <v>29.771000000000001</v>
      </c>
      <c r="L173" s="18">
        <v>36.0105</v>
      </c>
      <c r="M173" s="18">
        <v>37.664099999999998</v>
      </c>
      <c r="N173" s="18">
        <v>103.377</v>
      </c>
      <c r="O173" s="18">
        <f t="shared" si="7"/>
        <v>31.537575</v>
      </c>
      <c r="P173" s="7"/>
      <c r="Q173" s="10"/>
      <c r="R173" s="11"/>
      <c r="S173" s="11"/>
      <c r="T173" s="26"/>
      <c r="U173" s="28">
        <f t="shared" si="8"/>
        <v>1.9326808510638296</v>
      </c>
    </row>
    <row r="174" spans="1:21" ht="16.5" thickBot="1" x14ac:dyDescent="0.3">
      <c r="B174" s="12"/>
      <c r="C174" s="19">
        <v>333.2421875</v>
      </c>
      <c r="D174" s="20">
        <v>28.071000000000002</v>
      </c>
      <c r="E174" s="20">
        <v>33.4</v>
      </c>
      <c r="F174" s="20">
        <v>34.804000000000002</v>
      </c>
      <c r="G174" s="20">
        <v>39.82</v>
      </c>
      <c r="H174" s="20">
        <f t="shared" si="6"/>
        <v>29.578750000000003</v>
      </c>
      <c r="I174" s="5"/>
      <c r="J174" s="19">
        <v>297.43920000000003</v>
      </c>
      <c r="K174" s="20">
        <v>28.1524</v>
      </c>
      <c r="L174" s="20">
        <v>35.066200000000002</v>
      </c>
      <c r="M174" s="20">
        <v>36.726199999999999</v>
      </c>
      <c r="N174" s="20">
        <v>126.52889999999999</v>
      </c>
      <c r="O174" s="20">
        <f t="shared" si="7"/>
        <v>30.088350000000002</v>
      </c>
      <c r="P174" s="7"/>
      <c r="Q174" s="13"/>
      <c r="R174" s="14"/>
      <c r="S174" s="14"/>
      <c r="T174" s="27"/>
      <c r="U174" s="28">
        <f t="shared" si="8"/>
        <v>2.1775213460572576</v>
      </c>
    </row>
    <row r="175" spans="1:21" x14ac:dyDescent="0.25">
      <c r="A175" s="6" t="s">
        <v>41</v>
      </c>
      <c r="B175" s="6" t="s">
        <v>57</v>
      </c>
      <c r="C175" s="15">
        <v>521.33496090000006</v>
      </c>
      <c r="D175" s="16">
        <v>33.307000000000002</v>
      </c>
      <c r="E175" s="16">
        <v>39.015000000000001</v>
      </c>
      <c r="F175" s="16">
        <v>37.222000000000001</v>
      </c>
      <c r="G175" s="16">
        <v>71.459999999999994</v>
      </c>
      <c r="H175" s="16">
        <f t="shared" si="6"/>
        <v>34.509875000000001</v>
      </c>
      <c r="I175" s="5"/>
      <c r="J175" s="15">
        <v>601.98400000000004</v>
      </c>
      <c r="K175" s="16">
        <v>35.151699999999998</v>
      </c>
      <c r="L175" s="16">
        <v>40.9664</v>
      </c>
      <c r="M175" s="16">
        <v>39.363</v>
      </c>
      <c r="N175" s="16">
        <v>262.74299999999999</v>
      </c>
      <c r="O175" s="16">
        <f t="shared" si="7"/>
        <v>36.404949999999999</v>
      </c>
      <c r="P175" s="7"/>
      <c r="Q175" s="8">
        <f>bdrate(C175:C178,D175:D178,J175:J178,K175:K178)</f>
        <v>-0.22107979295193969</v>
      </c>
      <c r="R175" s="8">
        <f>bdrate(C175:C178,E175:E178,J175:J178,L175:L178)</f>
        <v>-0.48503284073099895</v>
      </c>
      <c r="S175" s="8">
        <f>bdrate(C175:C178,F175:F178,J175:J178,M175:M178)</f>
        <v>-0.48911500326603186</v>
      </c>
      <c r="T175" s="25">
        <f>bdrate(C175:C178,H175:H178,J175:J178,O175:O178)</f>
        <v>-0.28364482786040723</v>
      </c>
      <c r="U175" s="28">
        <f t="shared" si="8"/>
        <v>2.6767842149454246</v>
      </c>
    </row>
    <row r="176" spans="1:21" x14ac:dyDescent="0.25">
      <c r="A176" s="9" t="s">
        <v>42</v>
      </c>
      <c r="B176" s="9"/>
      <c r="C176" s="17">
        <v>374.5478516</v>
      </c>
      <c r="D176" s="18">
        <v>31.826000000000001</v>
      </c>
      <c r="E176" s="18">
        <v>37.963000000000001</v>
      </c>
      <c r="F176" s="18">
        <v>35.999000000000002</v>
      </c>
      <c r="G176" s="18">
        <v>80.89</v>
      </c>
      <c r="H176" s="18">
        <f t="shared" si="6"/>
        <v>33.114750000000001</v>
      </c>
      <c r="I176" s="5"/>
      <c r="J176" s="17">
        <v>401.38799999999998</v>
      </c>
      <c r="K176" s="18">
        <v>33.286700000000003</v>
      </c>
      <c r="L176" s="18">
        <v>39.7714</v>
      </c>
      <c r="M176" s="18">
        <v>38.037300000000002</v>
      </c>
      <c r="N176" s="18">
        <v>308.26139999999998</v>
      </c>
      <c r="O176" s="18">
        <f t="shared" si="7"/>
        <v>34.691112500000003</v>
      </c>
      <c r="P176" s="7"/>
      <c r="Q176" s="10"/>
      <c r="R176" s="11"/>
      <c r="S176" s="11"/>
      <c r="T176" s="26"/>
      <c r="U176" s="28">
        <f t="shared" si="8"/>
        <v>2.8108715539621709</v>
      </c>
    </row>
    <row r="177" spans="1:21" x14ac:dyDescent="0.25">
      <c r="B177" s="9"/>
      <c r="C177" s="17">
        <v>252.83300779999999</v>
      </c>
      <c r="D177" s="18">
        <v>30.256</v>
      </c>
      <c r="E177" s="18">
        <v>36.890999999999998</v>
      </c>
      <c r="F177" s="18">
        <v>34.627000000000002</v>
      </c>
      <c r="G177" s="18">
        <v>86.75</v>
      </c>
      <c r="H177" s="18">
        <f t="shared" si="6"/>
        <v>31.63175</v>
      </c>
      <c r="I177" s="5"/>
      <c r="J177" s="17">
        <v>250.49760000000001</v>
      </c>
      <c r="K177" s="18">
        <v>31.2563</v>
      </c>
      <c r="L177" s="18">
        <v>38.584200000000003</v>
      </c>
      <c r="M177" s="18">
        <v>36.733199999999997</v>
      </c>
      <c r="N177" s="18">
        <v>364.16609999999997</v>
      </c>
      <c r="O177" s="18">
        <f t="shared" si="7"/>
        <v>32.856900000000003</v>
      </c>
      <c r="P177" s="7"/>
      <c r="Q177" s="10"/>
      <c r="R177" s="11"/>
      <c r="S177" s="11"/>
      <c r="T177" s="26"/>
      <c r="U177" s="28">
        <f t="shared" si="8"/>
        <v>3.197880115273775</v>
      </c>
    </row>
    <row r="178" spans="1:21" ht="16.5" thickBot="1" x14ac:dyDescent="0.3">
      <c r="B178" s="12"/>
      <c r="C178" s="19">
        <v>128.95703130000001</v>
      </c>
      <c r="D178" s="20">
        <v>27.966000000000001</v>
      </c>
      <c r="E178" s="20">
        <v>35.036000000000001</v>
      </c>
      <c r="F178" s="20">
        <v>32.47</v>
      </c>
      <c r="G178" s="20">
        <v>101.57</v>
      </c>
      <c r="H178" s="20">
        <f t="shared" si="6"/>
        <v>29.412749999999999</v>
      </c>
      <c r="I178" s="5"/>
      <c r="J178" s="19">
        <v>120.3944</v>
      </c>
      <c r="K178" s="20">
        <v>28.362300000000001</v>
      </c>
      <c r="L178" s="20">
        <v>36.9482</v>
      </c>
      <c r="M178" s="20">
        <v>34.764200000000002</v>
      </c>
      <c r="N178" s="20">
        <v>478.01150000000001</v>
      </c>
      <c r="O178" s="20">
        <f t="shared" si="7"/>
        <v>30.235775000000004</v>
      </c>
      <c r="P178" s="7"/>
      <c r="Q178" s="13"/>
      <c r="R178" s="14"/>
      <c r="S178" s="14"/>
      <c r="T178" s="27"/>
      <c r="U178" s="28">
        <f t="shared" si="8"/>
        <v>3.706227232450527</v>
      </c>
    </row>
    <row r="179" spans="1:21" x14ac:dyDescent="0.25">
      <c r="B179" s="6" t="s">
        <v>58</v>
      </c>
      <c r="C179" s="15">
        <v>650.29980469999998</v>
      </c>
      <c r="D179" s="16">
        <v>32.637999999999998</v>
      </c>
      <c r="E179" s="16">
        <v>40.869</v>
      </c>
      <c r="F179" s="16">
        <v>41.81</v>
      </c>
      <c r="G179" s="16">
        <v>50.53</v>
      </c>
      <c r="H179" s="16">
        <f t="shared" si="6"/>
        <v>34.813374999999994</v>
      </c>
      <c r="I179" s="5"/>
      <c r="J179" s="15">
        <v>596.90880000000004</v>
      </c>
      <c r="K179" s="16">
        <v>33.929499999999997</v>
      </c>
      <c r="L179" s="16">
        <v>42.053400000000003</v>
      </c>
      <c r="M179" s="16">
        <v>42.9831</v>
      </c>
      <c r="N179" s="16">
        <v>388.601</v>
      </c>
      <c r="O179" s="16">
        <f t="shared" si="7"/>
        <v>36.076687499999998</v>
      </c>
      <c r="P179" s="7"/>
      <c r="Q179" s="8">
        <f>bdrate(C179:C182,D179:D182,J179:J182,K179:K182)</f>
        <v>-0.40436877847150787</v>
      </c>
      <c r="R179" s="8">
        <f>bdrate(C179:C182,E179:E182,J179:J182,L179:L182)</f>
        <v>-0.46621346195782143</v>
      </c>
      <c r="S179" s="8">
        <f>bdrate(C179:C182,F179:F182,J179:J182,M179:M182)</f>
        <v>-0.47594451958259776</v>
      </c>
      <c r="T179" s="25">
        <f>bdrate(C179:C182,H179:H182,J179:J182,O179:O182)</f>
        <v>-0.41600690496731629</v>
      </c>
      <c r="U179" s="28">
        <f t="shared" si="8"/>
        <v>6.6905006926578272</v>
      </c>
    </row>
    <row r="180" spans="1:21" x14ac:dyDescent="0.25">
      <c r="B180" s="9"/>
      <c r="C180" s="17">
        <v>439.03515629999998</v>
      </c>
      <c r="D180" s="18">
        <v>31.363</v>
      </c>
      <c r="E180" s="18">
        <v>40.107999999999997</v>
      </c>
      <c r="F180" s="18">
        <v>40.935000000000002</v>
      </c>
      <c r="G180" s="18">
        <v>59.34</v>
      </c>
      <c r="H180" s="18">
        <f t="shared" si="6"/>
        <v>33.652625</v>
      </c>
      <c r="I180" s="5"/>
      <c r="J180" s="17">
        <v>397.62639999999999</v>
      </c>
      <c r="K180" s="18">
        <v>32.663200000000003</v>
      </c>
      <c r="L180" s="18">
        <v>41.133299999999998</v>
      </c>
      <c r="M180" s="18">
        <v>42.082000000000001</v>
      </c>
      <c r="N180" s="18">
        <v>458.01530000000002</v>
      </c>
      <c r="O180" s="18">
        <f t="shared" si="7"/>
        <v>34.899312500000001</v>
      </c>
      <c r="P180" s="7"/>
      <c r="Q180" s="10"/>
      <c r="R180" s="11"/>
      <c r="S180" s="11"/>
      <c r="T180" s="26"/>
      <c r="U180" s="28">
        <f t="shared" si="8"/>
        <v>6.7184917425008424</v>
      </c>
    </row>
    <row r="181" spans="1:21" x14ac:dyDescent="0.25">
      <c r="B181" s="9"/>
      <c r="C181" s="17">
        <v>274.8359375</v>
      </c>
      <c r="D181" s="18">
        <v>29.762</v>
      </c>
      <c r="E181" s="18">
        <v>39.229999999999997</v>
      </c>
      <c r="F181" s="18">
        <v>39.968000000000004</v>
      </c>
      <c r="G181" s="18">
        <v>68.8</v>
      </c>
      <c r="H181" s="18">
        <f t="shared" si="6"/>
        <v>32.221249999999998</v>
      </c>
      <c r="I181" s="5"/>
      <c r="J181" s="17">
        <v>248.05279999999999</v>
      </c>
      <c r="K181" s="18">
        <v>31.179200000000002</v>
      </c>
      <c r="L181" s="18">
        <v>40.177999999999997</v>
      </c>
      <c r="M181" s="18">
        <v>41.016800000000003</v>
      </c>
      <c r="N181" s="18">
        <v>557.62080000000003</v>
      </c>
      <c r="O181" s="18">
        <f t="shared" si="7"/>
        <v>33.533749999999998</v>
      </c>
      <c r="P181" s="7"/>
      <c r="Q181" s="10"/>
      <c r="R181" s="11"/>
      <c r="S181" s="11"/>
      <c r="T181" s="26"/>
      <c r="U181" s="28">
        <f t="shared" si="8"/>
        <v>7.104953488372094</v>
      </c>
    </row>
    <row r="182" spans="1:21" ht="16.5" thickBot="1" x14ac:dyDescent="0.3">
      <c r="B182" s="12"/>
      <c r="C182" s="19">
        <v>132.5244141</v>
      </c>
      <c r="D182" s="20">
        <v>27.388000000000002</v>
      </c>
      <c r="E182" s="20">
        <v>38.018000000000001</v>
      </c>
      <c r="F182" s="20">
        <v>38.551000000000002</v>
      </c>
      <c r="G182" s="20">
        <v>90.85</v>
      </c>
      <c r="H182" s="20">
        <f t="shared" si="6"/>
        <v>30.112124999999999</v>
      </c>
      <c r="I182" s="5"/>
      <c r="J182" s="19">
        <v>119.20399999999999</v>
      </c>
      <c r="K182" s="20">
        <v>28.7029</v>
      </c>
      <c r="L182" s="20">
        <v>38.959899999999998</v>
      </c>
      <c r="M182" s="20">
        <v>39.838900000000002</v>
      </c>
      <c r="N182" s="20">
        <v>725.51390000000004</v>
      </c>
      <c r="O182" s="20">
        <f t="shared" si="7"/>
        <v>31.377025</v>
      </c>
      <c r="P182" s="7"/>
      <c r="Q182" s="13"/>
      <c r="R182" s="14"/>
      <c r="S182" s="14"/>
      <c r="T182" s="27"/>
      <c r="U182" s="28">
        <f t="shared" si="8"/>
        <v>6.9858436984039631</v>
      </c>
    </row>
    <row r="183" spans="1:21" x14ac:dyDescent="0.25">
      <c r="B183" s="6" t="s">
        <v>59</v>
      </c>
      <c r="C183" s="29">
        <v>633.40429689999996</v>
      </c>
      <c r="D183" s="30">
        <v>32.002000000000002</v>
      </c>
      <c r="E183" s="30">
        <v>37.53</v>
      </c>
      <c r="F183" s="30">
        <v>38.408999999999999</v>
      </c>
      <c r="G183" s="16">
        <v>55.07</v>
      </c>
      <c r="H183" s="16">
        <f t="shared" si="6"/>
        <v>33.493875000000003</v>
      </c>
      <c r="I183" s="5"/>
      <c r="J183" s="29">
        <v>595.83199999999999</v>
      </c>
      <c r="K183" s="30">
        <v>33.302999999999997</v>
      </c>
      <c r="L183" s="30">
        <v>38.913699999999999</v>
      </c>
      <c r="M183" s="30">
        <v>39.775700000000001</v>
      </c>
      <c r="N183" s="16">
        <v>320.51280000000003</v>
      </c>
      <c r="O183" s="16">
        <f t="shared" si="7"/>
        <v>34.813424999999995</v>
      </c>
      <c r="P183" s="7"/>
      <c r="Q183" s="8">
        <f>bdrate(C183:C186,D183:D186,J183:J186,K183:K186)</f>
        <v>-0.3246132484944938</v>
      </c>
      <c r="R183" s="8">
        <f>bdrate(C183:C186,E183:E186,J183:J186,L183:L186)</f>
        <v>-0.54160405955993263</v>
      </c>
      <c r="S183" s="8">
        <f>bdrate(C183:C186,F183:F186,J183:J186,M183:M186)</f>
        <v>-0.51314284785044273</v>
      </c>
      <c r="T183" s="25">
        <f>bdrate(C183:C186,H183:H186,J183:J186,O183:O186)</f>
        <v>-0.3724984045353974</v>
      </c>
      <c r="U183" s="28">
        <f t="shared" si="8"/>
        <v>4.8200980570183409</v>
      </c>
    </row>
    <row r="184" spans="1:21" x14ac:dyDescent="0.25">
      <c r="B184" s="9"/>
      <c r="C184" s="31">
        <v>435.19921879999998</v>
      </c>
      <c r="D184" s="32">
        <v>30.678999999999998</v>
      </c>
      <c r="E184" s="32">
        <v>36.401000000000003</v>
      </c>
      <c r="F184" s="32">
        <v>37.234999999999999</v>
      </c>
      <c r="G184" s="18">
        <v>63.15</v>
      </c>
      <c r="H184" s="18">
        <f t="shared" si="6"/>
        <v>32.213749999999997</v>
      </c>
      <c r="I184" s="5"/>
      <c r="J184" s="31">
        <v>397.18639999999999</v>
      </c>
      <c r="K184" s="32">
        <v>31.7605</v>
      </c>
      <c r="L184" s="32">
        <v>37.864699999999999</v>
      </c>
      <c r="M184" s="32">
        <v>38.634500000000003</v>
      </c>
      <c r="N184" s="18">
        <v>400.64100000000002</v>
      </c>
      <c r="O184" s="18">
        <f t="shared" si="7"/>
        <v>33.382774999999995</v>
      </c>
      <c r="P184" s="7"/>
      <c r="Q184" s="10"/>
      <c r="R184" s="11"/>
      <c r="S184" s="11"/>
      <c r="T184" s="26"/>
      <c r="U184" s="28">
        <f t="shared" si="8"/>
        <v>5.344275534441806</v>
      </c>
    </row>
    <row r="185" spans="1:21" x14ac:dyDescent="0.25">
      <c r="B185" s="9"/>
      <c r="C185" s="31">
        <v>275.8896484</v>
      </c>
      <c r="D185" s="32">
        <v>29.178000000000001</v>
      </c>
      <c r="E185" s="32">
        <v>35.186</v>
      </c>
      <c r="F185" s="32">
        <v>36.029000000000003</v>
      </c>
      <c r="G185" s="18">
        <v>68.19</v>
      </c>
      <c r="H185" s="18">
        <f t="shared" si="6"/>
        <v>30.785375000000002</v>
      </c>
      <c r="I185" s="5"/>
      <c r="J185" s="31">
        <v>249.0224</v>
      </c>
      <c r="K185" s="32">
        <v>30.154199999999999</v>
      </c>
      <c r="L185" s="32">
        <v>36.8795</v>
      </c>
      <c r="M185" s="32">
        <v>37.599699999999999</v>
      </c>
      <c r="N185" s="18">
        <v>471.25349999999997</v>
      </c>
      <c r="O185" s="18">
        <f t="shared" si="7"/>
        <v>31.925550000000001</v>
      </c>
      <c r="P185" s="7"/>
      <c r="Q185" s="10"/>
      <c r="R185" s="11"/>
      <c r="S185" s="11"/>
      <c r="T185" s="26"/>
      <c r="U185" s="28">
        <f t="shared" si="8"/>
        <v>5.9108886933567968</v>
      </c>
    </row>
    <row r="186" spans="1:21" ht="16.5" thickBot="1" x14ac:dyDescent="0.3">
      <c r="B186" s="12"/>
      <c r="C186" s="33">
        <v>135.21289060000001</v>
      </c>
      <c r="D186" s="34">
        <v>27.047000000000001</v>
      </c>
      <c r="E186" s="34">
        <v>33.463999999999999</v>
      </c>
      <c r="F186" s="34">
        <v>34.286999999999999</v>
      </c>
      <c r="G186" s="20">
        <v>79.33</v>
      </c>
      <c r="H186" s="20">
        <f t="shared" si="6"/>
        <v>28.754125000000002</v>
      </c>
      <c r="I186" s="5"/>
      <c r="J186" s="33">
        <v>120.504</v>
      </c>
      <c r="K186" s="34">
        <v>27.741800000000001</v>
      </c>
      <c r="L186" s="34">
        <v>35.462200000000003</v>
      </c>
      <c r="M186" s="34">
        <v>36.098100000000002</v>
      </c>
      <c r="N186" s="20">
        <v>604.59490000000005</v>
      </c>
      <c r="O186" s="20">
        <f t="shared" si="7"/>
        <v>29.7513875</v>
      </c>
      <c r="P186" s="7"/>
      <c r="Q186" s="13"/>
      <c r="R186" s="14"/>
      <c r="S186" s="14"/>
      <c r="T186" s="27"/>
      <c r="U186" s="28">
        <f t="shared" si="8"/>
        <v>6.6212643388377668</v>
      </c>
    </row>
    <row r="187" spans="1:21" x14ac:dyDescent="0.25">
      <c r="B187" s="6" t="s">
        <v>60</v>
      </c>
      <c r="C187" s="15">
        <v>570.25488280000002</v>
      </c>
      <c r="D187" s="16">
        <v>33.500999999999998</v>
      </c>
      <c r="E187" s="16">
        <v>37.344000000000001</v>
      </c>
      <c r="F187" s="16">
        <v>38.499000000000002</v>
      </c>
      <c r="G187" s="16">
        <v>48.78</v>
      </c>
      <c r="H187" s="16">
        <f t="shared" si="6"/>
        <v>34.606124999999999</v>
      </c>
      <c r="I187" s="5"/>
      <c r="J187" s="15">
        <v>591.88879999999995</v>
      </c>
      <c r="K187" s="16">
        <v>34.411099999999998</v>
      </c>
      <c r="L187" s="16">
        <v>38.664200000000001</v>
      </c>
      <c r="M187" s="16">
        <v>39.860300000000002</v>
      </c>
      <c r="N187" s="16">
        <v>179.7484</v>
      </c>
      <c r="O187" s="16">
        <f t="shared" si="7"/>
        <v>35.623887499999995</v>
      </c>
      <c r="P187" s="7"/>
      <c r="Q187" s="8">
        <f>bdrate(C187:C190,D187:D190,J187:J190,K187:K190)</f>
        <v>-0.16243694110925611</v>
      </c>
      <c r="R187" s="8">
        <f>bdrate(C187:C190,E187:E190,J187:J190,L187:L190)</f>
        <v>-0.44446416058976324</v>
      </c>
      <c r="S187" s="8">
        <f>bdrate(C187:C190,F187:F190,J187:J190,M187:M190)</f>
        <v>-0.44797443549390126</v>
      </c>
      <c r="T187" s="25">
        <f>bdrate(C187:C190,H187:H190,J187:J190,O187:O190)</f>
        <v>-0.22930897527828076</v>
      </c>
      <c r="U187" s="28">
        <f t="shared" si="8"/>
        <v>2.6848790487904881</v>
      </c>
    </row>
    <row r="188" spans="1:21" x14ac:dyDescent="0.25">
      <c r="B188" s="9"/>
      <c r="C188" s="17">
        <v>404.69140629999998</v>
      </c>
      <c r="D188" s="18">
        <v>31.971</v>
      </c>
      <c r="E188" s="18">
        <v>36.238</v>
      </c>
      <c r="F188" s="18">
        <v>37.372</v>
      </c>
      <c r="G188" s="18">
        <v>56.77</v>
      </c>
      <c r="H188" s="18">
        <f t="shared" si="6"/>
        <v>33.179499999999997</v>
      </c>
      <c r="I188" s="5"/>
      <c r="J188" s="17">
        <v>391.25279999999998</v>
      </c>
      <c r="K188" s="18">
        <v>32.479900000000001</v>
      </c>
      <c r="L188" s="18">
        <v>37.498800000000003</v>
      </c>
      <c r="M188" s="18">
        <v>38.690100000000001</v>
      </c>
      <c r="N188" s="18">
        <v>216.13829999999999</v>
      </c>
      <c r="O188" s="18">
        <f t="shared" si="7"/>
        <v>33.883537500000003</v>
      </c>
      <c r="P188" s="7"/>
      <c r="Q188" s="10"/>
      <c r="R188" s="11"/>
      <c r="S188" s="11"/>
      <c r="T188" s="26"/>
      <c r="U188" s="28">
        <f t="shared" si="8"/>
        <v>2.8072626387176318</v>
      </c>
    </row>
    <row r="189" spans="1:21" x14ac:dyDescent="0.25">
      <c r="B189" s="9"/>
      <c r="C189" s="17">
        <v>275.6328125</v>
      </c>
      <c r="D189" s="18">
        <v>30.346</v>
      </c>
      <c r="E189" s="18">
        <v>34.951999999999998</v>
      </c>
      <c r="F189" s="18">
        <v>36.106999999999999</v>
      </c>
      <c r="G189" s="18">
        <v>65.349999999999994</v>
      </c>
      <c r="H189" s="18">
        <f t="shared" si="6"/>
        <v>31.641874999999999</v>
      </c>
      <c r="I189" s="5"/>
      <c r="J189" s="17">
        <v>246.38720000000001</v>
      </c>
      <c r="K189" s="18">
        <v>30.647500000000001</v>
      </c>
      <c r="L189" s="18">
        <v>36.351599999999998</v>
      </c>
      <c r="M189" s="18">
        <v>37.516100000000002</v>
      </c>
      <c r="N189" s="18">
        <v>256.41030000000001</v>
      </c>
      <c r="O189" s="18">
        <f t="shared" si="7"/>
        <v>32.219087500000001</v>
      </c>
      <c r="P189" s="7"/>
      <c r="Q189" s="10"/>
      <c r="R189" s="11"/>
      <c r="S189" s="11"/>
      <c r="T189" s="26"/>
      <c r="U189" s="28">
        <f t="shared" si="8"/>
        <v>2.9236465187452185</v>
      </c>
    </row>
    <row r="190" spans="1:21" ht="16.5" thickBot="1" x14ac:dyDescent="0.3">
      <c r="B190" s="12"/>
      <c r="C190" s="19">
        <v>139.15039060000001</v>
      </c>
      <c r="D190" s="20">
        <v>27.905999999999999</v>
      </c>
      <c r="E190" s="20">
        <v>32.902999999999999</v>
      </c>
      <c r="F190" s="20">
        <v>34.014000000000003</v>
      </c>
      <c r="G190" s="20">
        <v>74.77</v>
      </c>
      <c r="H190" s="20">
        <f t="shared" si="6"/>
        <v>29.294124999999998</v>
      </c>
      <c r="I190" s="5"/>
      <c r="J190" s="19">
        <v>117.74</v>
      </c>
      <c r="K190" s="20">
        <v>27.988800000000001</v>
      </c>
      <c r="L190" s="20">
        <v>34.804600000000001</v>
      </c>
      <c r="M190" s="20">
        <v>35.933599999999998</v>
      </c>
      <c r="N190" s="20">
        <v>356.29450000000003</v>
      </c>
      <c r="O190" s="20">
        <f t="shared" si="7"/>
        <v>29.833874999999999</v>
      </c>
      <c r="P190" s="7"/>
      <c r="Q190" s="13"/>
      <c r="R190" s="14"/>
      <c r="S190" s="14"/>
      <c r="T190" s="27"/>
      <c r="U190" s="28">
        <f t="shared" si="8"/>
        <v>3.765206633676609</v>
      </c>
    </row>
    <row r="191" spans="1:21" x14ac:dyDescent="0.25">
      <c r="A191" s="6" t="s">
        <v>43</v>
      </c>
      <c r="B191" s="6" t="s">
        <v>61</v>
      </c>
      <c r="C191" s="15">
        <v>1484.5205080000001</v>
      </c>
      <c r="D191" s="16">
        <v>40.625</v>
      </c>
      <c r="E191" s="16">
        <v>45.497</v>
      </c>
      <c r="F191" s="16">
        <v>46.77</v>
      </c>
      <c r="G191" s="16">
        <v>37.99</v>
      </c>
      <c r="H191" s="16">
        <f t="shared" si="6"/>
        <v>42.002124999999999</v>
      </c>
      <c r="I191" s="5"/>
      <c r="J191" s="15">
        <v>1502.7439999999999</v>
      </c>
      <c r="K191" s="16">
        <v>41.901000000000003</v>
      </c>
      <c r="L191" s="16">
        <v>46.703200000000002</v>
      </c>
      <c r="M191" s="16">
        <v>47.991599999999998</v>
      </c>
      <c r="N191" s="16">
        <v>90.063000000000002</v>
      </c>
      <c r="O191" s="16">
        <f t="shared" si="7"/>
        <v>43.262599999999999</v>
      </c>
      <c r="P191" s="7"/>
      <c r="Q191" s="8">
        <f>bdrate(C191:C194,D191:D194,J191:J194,K191:K194)</f>
        <v>-0.36516121688425729</v>
      </c>
      <c r="R191" s="8">
        <f>bdrate(C191:C194,E191:E194,J191:J194,L191:L194)</f>
        <v>-0.3929822056188067</v>
      </c>
      <c r="S191" s="8">
        <f>bdrate(C191:C194,F191:F194,J191:J194,M191:M194)</f>
        <v>-0.38086205468250123</v>
      </c>
      <c r="T191" s="25">
        <f>bdrate(C191:C194,H191:H194,J191:J194,O191:O194)</f>
        <v>-0.36956604590940145</v>
      </c>
      <c r="U191" s="28">
        <f t="shared" si="8"/>
        <v>1.3707028165306658</v>
      </c>
    </row>
    <row r="192" spans="1:21" x14ac:dyDescent="0.25">
      <c r="A192" s="9" t="s">
        <v>44</v>
      </c>
      <c r="B192" s="9"/>
      <c r="C192" s="17">
        <v>988.40234380000004</v>
      </c>
      <c r="D192" s="18">
        <v>39.369999999999997</v>
      </c>
      <c r="E192" s="18">
        <v>44.543999999999997</v>
      </c>
      <c r="F192" s="18">
        <v>45.78</v>
      </c>
      <c r="G192" s="18">
        <v>46.57</v>
      </c>
      <c r="H192" s="18">
        <f t="shared" si="6"/>
        <v>40.817999999999998</v>
      </c>
      <c r="I192" s="5"/>
      <c r="J192" s="17">
        <v>996.62</v>
      </c>
      <c r="K192" s="18">
        <v>40.900599999999997</v>
      </c>
      <c r="L192" s="18">
        <v>45.871400000000001</v>
      </c>
      <c r="M192" s="18">
        <v>47.086500000000001</v>
      </c>
      <c r="N192" s="18">
        <v>115.85250000000001</v>
      </c>
      <c r="O192" s="18">
        <f t="shared" si="7"/>
        <v>42.295187499999997</v>
      </c>
      <c r="P192" s="7"/>
      <c r="Q192" s="10"/>
      <c r="R192" s="11"/>
      <c r="S192" s="11"/>
      <c r="T192" s="26"/>
      <c r="U192" s="28">
        <f t="shared" si="8"/>
        <v>1.4877066781189607</v>
      </c>
    </row>
    <row r="193" spans="1:21" x14ac:dyDescent="0.25">
      <c r="B193" s="9"/>
      <c r="C193" s="17">
        <v>597.51171880000004</v>
      </c>
      <c r="D193" s="18">
        <v>37.380000000000003</v>
      </c>
      <c r="E193" s="18">
        <v>43.042000000000002</v>
      </c>
      <c r="F193" s="18">
        <v>44.22</v>
      </c>
      <c r="G193" s="18">
        <v>58.13</v>
      </c>
      <c r="H193" s="18">
        <f t="shared" si="6"/>
        <v>38.942750000000004</v>
      </c>
      <c r="I193" s="5"/>
      <c r="J193" s="17">
        <v>592.89279999999997</v>
      </c>
      <c r="K193" s="18">
        <v>39.153300000000002</v>
      </c>
      <c r="L193" s="18">
        <v>44.422800000000002</v>
      </c>
      <c r="M193" s="18">
        <v>45.609900000000003</v>
      </c>
      <c r="N193" s="18">
        <v>140.3509</v>
      </c>
      <c r="O193" s="18">
        <f t="shared" si="7"/>
        <v>40.619062499999998</v>
      </c>
      <c r="P193" s="7"/>
      <c r="Q193" s="10"/>
      <c r="R193" s="11"/>
      <c r="S193" s="11"/>
      <c r="T193" s="26"/>
      <c r="U193" s="28">
        <f t="shared" si="8"/>
        <v>1.4144314467572681</v>
      </c>
    </row>
    <row r="194" spans="1:21" ht="16.5" thickBot="1" x14ac:dyDescent="0.3">
      <c r="B194" s="12"/>
      <c r="C194" s="19">
        <v>300.47460940000002</v>
      </c>
      <c r="D194" s="20">
        <v>34.222999999999999</v>
      </c>
      <c r="E194" s="20">
        <v>40.759</v>
      </c>
      <c r="F194" s="20">
        <v>41.963000000000001</v>
      </c>
      <c r="G194" s="20">
        <v>74.260000000000005</v>
      </c>
      <c r="H194" s="20">
        <f t="shared" si="6"/>
        <v>36.0075</v>
      </c>
      <c r="I194" s="5"/>
      <c r="J194" s="19">
        <v>289.14240000000001</v>
      </c>
      <c r="K194" s="20">
        <v>36.099899999999998</v>
      </c>
      <c r="L194" s="20">
        <v>42.500999999999998</v>
      </c>
      <c r="M194" s="20">
        <v>43.558700000000002</v>
      </c>
      <c r="N194" s="20">
        <v>185.816</v>
      </c>
      <c r="O194" s="20">
        <f t="shared" si="7"/>
        <v>37.832387499999996</v>
      </c>
      <c r="P194" s="7"/>
      <c r="Q194" s="13"/>
      <c r="R194" s="14"/>
      <c r="S194" s="14"/>
      <c r="T194" s="27"/>
      <c r="U194" s="28">
        <f t="shared" si="8"/>
        <v>1.5022353891731752</v>
      </c>
    </row>
    <row r="195" spans="1:21" x14ac:dyDescent="0.25">
      <c r="B195" s="6" t="s">
        <v>62</v>
      </c>
      <c r="C195" s="15">
        <v>1538.7158199999999</v>
      </c>
      <c r="D195" s="16">
        <v>41.98</v>
      </c>
      <c r="E195" s="16">
        <v>47.615000000000002</v>
      </c>
      <c r="F195" s="16">
        <v>48.243000000000002</v>
      </c>
      <c r="G195" s="16">
        <v>25.1</v>
      </c>
      <c r="H195" s="16">
        <f t="shared" si="6"/>
        <v>43.46725</v>
      </c>
      <c r="I195" s="5"/>
      <c r="J195" s="15">
        <v>1505.9096</v>
      </c>
      <c r="K195" s="16">
        <v>42.884</v>
      </c>
      <c r="L195" s="16">
        <v>48.469099999999997</v>
      </c>
      <c r="M195" s="16">
        <v>49.152299999999997</v>
      </c>
      <c r="N195" s="16">
        <v>100.43519999999999</v>
      </c>
      <c r="O195" s="16">
        <f t="shared" si="7"/>
        <v>44.365674999999996</v>
      </c>
      <c r="P195" s="7"/>
      <c r="Q195" s="8">
        <f>bdrate(C195:C198,D195:D198,J195:J198,K195:K198)</f>
        <v>-0.45973820714000391</v>
      </c>
      <c r="R195" s="8">
        <f>bdrate(C195:C198,E195:E198,J195:J198,L195:L198)</f>
        <v>-0.46451881089333169</v>
      </c>
      <c r="S195" s="8">
        <f>bdrate(C195:C198,F195:F198,J195:J198,M195:M198)</f>
        <v>-0.46030162782446848</v>
      </c>
      <c r="T195" s="25">
        <f>bdrate(C195:C198,H195:H198,J195:J198,O195:O198)</f>
        <v>-0.46051008503695234</v>
      </c>
      <c r="U195" s="28">
        <f t="shared" ref="U195:U246" si="9">(N195-G195)/G195</f>
        <v>3.0014023904382463</v>
      </c>
    </row>
    <row r="196" spans="1:21" x14ac:dyDescent="0.25">
      <c r="B196" s="9"/>
      <c r="C196" s="17">
        <v>1012.654297</v>
      </c>
      <c r="D196" s="18">
        <v>41.463999999999999</v>
      </c>
      <c r="E196" s="18">
        <v>47.085000000000001</v>
      </c>
      <c r="F196" s="18">
        <v>47.703000000000003</v>
      </c>
      <c r="G196" s="18">
        <v>30.36</v>
      </c>
      <c r="H196" s="18">
        <f t="shared" si="6"/>
        <v>42.9465</v>
      </c>
      <c r="I196" s="5"/>
      <c r="J196" s="17">
        <v>995.15840000000003</v>
      </c>
      <c r="K196" s="18">
        <v>42.4422</v>
      </c>
      <c r="L196" s="18">
        <v>48.075200000000002</v>
      </c>
      <c r="M196" s="18">
        <v>48.726100000000002</v>
      </c>
      <c r="N196" s="18">
        <v>141.94460000000001</v>
      </c>
      <c r="O196" s="18">
        <f t="shared" si="7"/>
        <v>43.931812500000007</v>
      </c>
      <c r="P196" s="7"/>
      <c r="Q196" s="10"/>
      <c r="R196" s="11"/>
      <c r="S196" s="11"/>
      <c r="T196" s="26"/>
      <c r="U196" s="28">
        <f t="shared" si="9"/>
        <v>3.67538208168643</v>
      </c>
    </row>
    <row r="197" spans="1:21" x14ac:dyDescent="0.25">
      <c r="B197" s="9"/>
      <c r="C197" s="17">
        <v>609.76660159999994</v>
      </c>
      <c r="D197" s="18">
        <v>40.567999999999998</v>
      </c>
      <c r="E197" s="18">
        <v>46.177999999999997</v>
      </c>
      <c r="F197" s="18">
        <v>46.841999999999999</v>
      </c>
      <c r="G197" s="18">
        <v>39.130000000000003</v>
      </c>
      <c r="H197" s="18">
        <f t="shared" si="6"/>
        <v>42.0535</v>
      </c>
      <c r="I197" s="5"/>
      <c r="J197" s="17">
        <v>572.35599999999999</v>
      </c>
      <c r="K197" s="18">
        <v>41.642299999999999</v>
      </c>
      <c r="L197" s="18">
        <v>47.2866</v>
      </c>
      <c r="M197" s="18">
        <v>47.957999999999998</v>
      </c>
      <c r="N197" s="18">
        <v>174.01390000000001</v>
      </c>
      <c r="O197" s="18">
        <f t="shared" si="7"/>
        <v>43.137299999999996</v>
      </c>
      <c r="P197" s="7"/>
      <c r="Q197" s="10"/>
      <c r="R197" s="11"/>
      <c r="S197" s="11"/>
      <c r="T197" s="26"/>
      <c r="U197" s="28">
        <f t="shared" si="9"/>
        <v>3.4470713007922309</v>
      </c>
    </row>
    <row r="198" spans="1:21" ht="16.5" thickBot="1" x14ac:dyDescent="0.3">
      <c r="B198" s="12"/>
      <c r="C198" s="19">
        <v>296.546875</v>
      </c>
      <c r="D198" s="20">
        <v>38.61</v>
      </c>
      <c r="E198" s="20">
        <v>44.338999999999999</v>
      </c>
      <c r="F198" s="20">
        <v>45.023000000000003</v>
      </c>
      <c r="G198" s="20">
        <v>53.9</v>
      </c>
      <c r="H198" s="20">
        <f t="shared" si="6"/>
        <v>40.127750000000006</v>
      </c>
      <c r="I198" s="5"/>
      <c r="J198" s="19">
        <v>275.08</v>
      </c>
      <c r="K198" s="20">
        <v>39.866599999999998</v>
      </c>
      <c r="L198" s="20">
        <v>45.4709</v>
      </c>
      <c r="M198" s="20">
        <v>45.996899999999997</v>
      </c>
      <c r="N198" s="20">
        <v>223.63030000000001</v>
      </c>
      <c r="O198" s="20">
        <f t="shared" si="7"/>
        <v>41.333424999999991</v>
      </c>
      <c r="P198" s="7"/>
      <c r="Q198" s="13"/>
      <c r="R198" s="14"/>
      <c r="S198" s="14"/>
      <c r="T198" s="27"/>
      <c r="U198" s="28">
        <f t="shared" si="9"/>
        <v>3.1489851576994434</v>
      </c>
    </row>
    <row r="199" spans="1:21" x14ac:dyDescent="0.25">
      <c r="B199" s="6" t="s">
        <v>63</v>
      </c>
      <c r="C199" s="15">
        <v>1494.631836</v>
      </c>
      <c r="D199" s="16">
        <v>41.658999999999999</v>
      </c>
      <c r="E199" s="16">
        <v>46.502000000000002</v>
      </c>
      <c r="F199" s="16">
        <v>47.412999999999997</v>
      </c>
      <c r="G199" s="16">
        <v>34.590000000000003</v>
      </c>
      <c r="H199" s="16">
        <f t="shared" si="6"/>
        <v>42.983625000000004</v>
      </c>
      <c r="I199" s="5"/>
      <c r="J199" s="15">
        <v>1540.4872</v>
      </c>
      <c r="K199" s="16">
        <v>42.838799999999999</v>
      </c>
      <c r="L199" s="16">
        <v>47.657800000000002</v>
      </c>
      <c r="M199" s="16">
        <v>48.542499999999997</v>
      </c>
      <c r="N199" s="16">
        <v>82.000799999999998</v>
      </c>
      <c r="O199" s="16">
        <f t="shared" si="7"/>
        <v>44.154137500000004</v>
      </c>
      <c r="P199" s="7"/>
      <c r="Q199" s="8">
        <f>bdrate(C199:C202,D199:D202,J199:J202,K199:K202)</f>
        <v>-0.40292894130581469</v>
      </c>
      <c r="R199" s="8">
        <f>bdrate(C199:C202,E199:E202,J199:J202,L199:L202)</f>
        <v>-0.43092877390479523</v>
      </c>
      <c r="S199" s="8">
        <f>bdrate(C199:C202,F199:F202,J199:J202,M199:M202)</f>
        <v>-0.4204145610048885</v>
      </c>
      <c r="T199" s="25">
        <f>bdrate(C199:C202,H199:H202,J199:J202,O199:O202)</f>
        <v>-0.40794446748388036</v>
      </c>
      <c r="U199" s="28">
        <f t="shared" si="9"/>
        <v>1.3706504770164785</v>
      </c>
    </row>
    <row r="200" spans="1:21" x14ac:dyDescent="0.25">
      <c r="B200" s="9"/>
      <c r="C200" s="17">
        <v>999.42773439999996</v>
      </c>
      <c r="D200" s="18">
        <v>40.761000000000003</v>
      </c>
      <c r="E200" s="18">
        <v>45.728999999999999</v>
      </c>
      <c r="F200" s="18">
        <v>46.622999999999998</v>
      </c>
      <c r="G200" s="18">
        <v>41.98</v>
      </c>
      <c r="H200" s="18">
        <f t="shared" si="6"/>
        <v>42.114750000000001</v>
      </c>
      <c r="I200" s="5"/>
      <c r="J200" s="17">
        <v>1025.7360000000001</v>
      </c>
      <c r="K200" s="18">
        <v>42.1145</v>
      </c>
      <c r="L200" s="18">
        <v>47.005699999999997</v>
      </c>
      <c r="M200" s="18">
        <v>47.9268</v>
      </c>
      <c r="N200" s="18">
        <v>121.7285</v>
      </c>
      <c r="O200" s="18">
        <f t="shared" si="7"/>
        <v>43.452437500000002</v>
      </c>
      <c r="P200" s="7"/>
      <c r="Q200" s="10"/>
      <c r="R200" s="11"/>
      <c r="S200" s="11"/>
      <c r="T200" s="26"/>
      <c r="U200" s="28">
        <f t="shared" si="9"/>
        <v>1.8996784182944262</v>
      </c>
    </row>
    <row r="201" spans="1:21" x14ac:dyDescent="0.25">
      <c r="B201" s="9"/>
      <c r="C201" s="17">
        <v>600.80859380000004</v>
      </c>
      <c r="D201" s="18">
        <v>39.267000000000003</v>
      </c>
      <c r="E201" s="18">
        <v>44.390999999999998</v>
      </c>
      <c r="F201" s="18">
        <v>45.360999999999997</v>
      </c>
      <c r="G201" s="18">
        <v>52.53</v>
      </c>
      <c r="H201" s="18">
        <f t="shared" si="6"/>
        <v>40.669250000000005</v>
      </c>
      <c r="I201" s="5"/>
      <c r="J201" s="17">
        <v>600.37040000000002</v>
      </c>
      <c r="K201" s="18">
        <v>40.8142</v>
      </c>
      <c r="L201" s="18">
        <v>45.814599999999999</v>
      </c>
      <c r="M201" s="18">
        <v>46.699100000000001</v>
      </c>
      <c r="N201" s="18">
        <v>155.0788</v>
      </c>
      <c r="O201" s="18">
        <f t="shared" si="7"/>
        <v>42.174862499999996</v>
      </c>
      <c r="P201" s="7"/>
      <c r="Q201" s="10"/>
      <c r="R201" s="11"/>
      <c r="S201" s="11"/>
      <c r="T201" s="26"/>
      <c r="U201" s="28">
        <f t="shared" si="9"/>
        <v>1.952194936226918</v>
      </c>
    </row>
    <row r="202" spans="1:21" ht="16.5" thickBot="1" x14ac:dyDescent="0.3">
      <c r="B202" s="12"/>
      <c r="C202" s="19">
        <v>300.53125</v>
      </c>
      <c r="D202" s="20">
        <v>36.642000000000003</v>
      </c>
      <c r="E202" s="20">
        <v>42.313000000000002</v>
      </c>
      <c r="F202" s="20">
        <v>43.345999999999997</v>
      </c>
      <c r="G202" s="20">
        <v>70.319999999999993</v>
      </c>
      <c r="H202" s="20">
        <f t="shared" si="6"/>
        <v>38.188875000000003</v>
      </c>
      <c r="I202" s="5"/>
      <c r="J202" s="19">
        <v>292.97120000000001</v>
      </c>
      <c r="K202" s="20">
        <v>38.400599999999997</v>
      </c>
      <c r="L202" s="20">
        <v>43.991900000000001</v>
      </c>
      <c r="M202" s="20">
        <v>44.859000000000002</v>
      </c>
      <c r="N202" s="20">
        <v>209.0592</v>
      </c>
      <c r="O202" s="20">
        <f t="shared" si="7"/>
        <v>39.906812499999994</v>
      </c>
      <c r="P202" s="7"/>
      <c r="Q202" s="13"/>
      <c r="R202" s="14"/>
      <c r="S202" s="14"/>
      <c r="T202" s="27"/>
      <c r="U202" s="28">
        <f t="shared" si="9"/>
        <v>1.9729692832764509</v>
      </c>
    </row>
    <row r="203" spans="1:21" x14ac:dyDescent="0.25">
      <c r="A203" s="6" t="s">
        <v>94</v>
      </c>
      <c r="B203" s="6" t="s">
        <v>95</v>
      </c>
      <c r="C203" s="15">
        <v>1302.0214840000001</v>
      </c>
      <c r="D203" s="16">
        <v>46.395000000000003</v>
      </c>
      <c r="E203" s="16">
        <v>51.869</v>
      </c>
      <c r="F203" s="16">
        <v>52.601999999999997</v>
      </c>
      <c r="G203" s="16">
        <v>39.049999999999997</v>
      </c>
      <c r="H203" s="16">
        <f t="shared" ref="H203:H246" si="10">(6*D203+E203+F203)/8</f>
        <v>47.855125000000001</v>
      </c>
      <c r="I203" s="5"/>
      <c r="J203" s="15">
        <v>1235.6256000000001</v>
      </c>
      <c r="K203" s="16">
        <v>45.052799999999998</v>
      </c>
      <c r="L203" s="16">
        <v>51.514200000000002</v>
      </c>
      <c r="M203" s="16">
        <v>52.158799999999999</v>
      </c>
      <c r="N203" s="16">
        <v>56.092199999999998</v>
      </c>
      <c r="O203" s="16">
        <f t="shared" ref="O203:O246" si="11">(6*K203+L203+M203)/8</f>
        <v>46.748725</v>
      </c>
      <c r="P203" s="7"/>
      <c r="Q203" s="8">
        <f>bdrate(C203:C206,D203:D206,J203:J206,K203:K206)</f>
        <v>-3.3435118062761005E-2</v>
      </c>
      <c r="R203" s="8">
        <f>bdrate(C203:C206,E203:E206,J203:J206,L203:L206)</f>
        <v>-0.27730051730556859</v>
      </c>
      <c r="S203" s="8">
        <f>bdrate(C203:C206,F203:F206,J203:J206,M203:M206)</f>
        <v>-0.29266356763085333</v>
      </c>
      <c r="T203" s="25">
        <f>bdrate(C203:C206,H203:H206,J203:J206,O203:O206)</f>
        <v>-9.6320847509700491E-2</v>
      </c>
      <c r="U203" s="28">
        <f t="shared" si="9"/>
        <v>0.43641997439180547</v>
      </c>
    </row>
    <row r="204" spans="1:21" x14ac:dyDescent="0.25">
      <c r="A204" s="9" t="s">
        <v>77</v>
      </c>
      <c r="B204" s="9"/>
      <c r="C204" s="17">
        <v>932.22070310000004</v>
      </c>
      <c r="D204" s="18">
        <v>44.146000000000001</v>
      </c>
      <c r="E204" s="18">
        <v>49.942999999999998</v>
      </c>
      <c r="F204" s="18">
        <v>50.656999999999996</v>
      </c>
      <c r="G204" s="18">
        <v>46.87</v>
      </c>
      <c r="H204" s="18">
        <f t="shared" si="10"/>
        <v>45.684499999999993</v>
      </c>
      <c r="I204" s="5"/>
      <c r="J204" s="17">
        <v>832.43169999999998</v>
      </c>
      <c r="K204" s="18">
        <v>43.222999999999999</v>
      </c>
      <c r="L204" s="18">
        <v>50.219000000000001</v>
      </c>
      <c r="M204" s="18">
        <v>50.8371</v>
      </c>
      <c r="N204" s="18">
        <v>69.010499999999993</v>
      </c>
      <c r="O204" s="18">
        <f t="shared" si="11"/>
        <v>45.049262499999998</v>
      </c>
      <c r="P204" s="7"/>
      <c r="Q204" s="10"/>
      <c r="R204" s="11"/>
      <c r="S204" s="11"/>
      <c r="T204" s="26"/>
      <c r="U204" s="28">
        <f t="shared" si="9"/>
        <v>0.47238105397909103</v>
      </c>
    </row>
    <row r="205" spans="1:21" x14ac:dyDescent="0.25">
      <c r="B205" s="9"/>
      <c r="C205" s="17">
        <v>591.80371090000006</v>
      </c>
      <c r="D205" s="18">
        <v>41.408999999999999</v>
      </c>
      <c r="E205" s="18">
        <v>47.445999999999998</v>
      </c>
      <c r="F205" s="18">
        <v>48.167999999999999</v>
      </c>
      <c r="G205" s="18">
        <v>54.64</v>
      </c>
      <c r="H205" s="18">
        <f t="shared" si="10"/>
        <v>43.008499999999998</v>
      </c>
      <c r="I205" s="5"/>
      <c r="J205" s="17">
        <v>507.86239999999998</v>
      </c>
      <c r="K205" s="18">
        <v>40.609000000000002</v>
      </c>
      <c r="L205" s="18">
        <v>48.613199999999999</v>
      </c>
      <c r="M205" s="18">
        <v>49.515099999999997</v>
      </c>
      <c r="N205" s="18">
        <v>84.100399999999993</v>
      </c>
      <c r="O205" s="18">
        <f t="shared" si="11"/>
        <v>42.722787500000003</v>
      </c>
      <c r="P205" s="7"/>
      <c r="Q205" s="10"/>
      <c r="R205" s="11"/>
      <c r="S205" s="11"/>
      <c r="T205" s="26"/>
      <c r="U205" s="28">
        <f t="shared" si="9"/>
        <v>0.53917276720351381</v>
      </c>
    </row>
    <row r="206" spans="1:21" ht="16.5" thickBot="1" x14ac:dyDescent="0.3">
      <c r="B206" s="12"/>
      <c r="C206" s="19">
        <v>348.88476559999998</v>
      </c>
      <c r="D206" s="20">
        <v>37.511000000000003</v>
      </c>
      <c r="E206" s="20">
        <v>44.08</v>
      </c>
      <c r="F206" s="20">
        <v>45.156999999999996</v>
      </c>
      <c r="G206" s="20">
        <v>63.87</v>
      </c>
      <c r="H206" s="20">
        <f t="shared" si="10"/>
        <v>39.287875</v>
      </c>
      <c r="I206" s="5"/>
      <c r="J206" s="19">
        <v>258.1979</v>
      </c>
      <c r="K206" s="20">
        <v>37.366900000000001</v>
      </c>
      <c r="L206" s="20">
        <v>45.971299999999999</v>
      </c>
      <c r="M206" s="20">
        <v>46.815899999999999</v>
      </c>
      <c r="N206" s="20">
        <v>110.6263</v>
      </c>
      <c r="O206" s="20">
        <f t="shared" si="11"/>
        <v>39.623575000000002</v>
      </c>
      <c r="P206" s="7"/>
      <c r="Q206" s="13"/>
      <c r="R206" s="14"/>
      <c r="S206" s="14"/>
      <c r="T206" s="27"/>
      <c r="U206" s="28">
        <f t="shared" si="9"/>
        <v>0.73205417253796778</v>
      </c>
    </row>
    <row r="207" spans="1:21" x14ac:dyDescent="0.25">
      <c r="B207" s="6" t="s">
        <v>96</v>
      </c>
      <c r="C207" s="15">
        <v>1456.3115230000001</v>
      </c>
      <c r="D207" s="16">
        <v>52.552</v>
      </c>
      <c r="E207" s="16">
        <v>53.933999999999997</v>
      </c>
      <c r="F207" s="16">
        <v>54.271999999999998</v>
      </c>
      <c r="G207" s="16">
        <v>37.15</v>
      </c>
      <c r="H207" s="16">
        <f t="shared" si="10"/>
        <v>52.939749999999997</v>
      </c>
      <c r="I207" s="5"/>
      <c r="J207" s="15">
        <v>1431.2652</v>
      </c>
      <c r="K207" s="16">
        <v>53.060499999999998</v>
      </c>
      <c r="L207" s="16">
        <v>53.978000000000002</v>
      </c>
      <c r="M207" s="16">
        <v>54.582500000000003</v>
      </c>
      <c r="N207" s="16">
        <v>104.5175</v>
      </c>
      <c r="O207" s="16">
        <f t="shared" si="11"/>
        <v>53.365437499999999</v>
      </c>
      <c r="P207" s="7"/>
      <c r="Q207" s="8">
        <f>bdrate(C207:C210,D207:D210,J207:J210,K207:K210)</f>
        <v>-0.23789479040247319</v>
      </c>
      <c r="R207" s="8">
        <f>bdrate(C207:C210,E207:E210,J207:J210,L207:L210)</f>
        <v>-0.2607390357470637</v>
      </c>
      <c r="S207" s="8">
        <f>bdrate(C207:C210,F207:F210,J207:J210,M207:M210)</f>
        <v>-0.28665860160371293</v>
      </c>
      <c r="T207" s="25">
        <f>bdrate(C207:C210,H207:H210,J207:J210,O207:O210)</f>
        <v>-0.2469159955803939</v>
      </c>
      <c r="U207" s="28">
        <f t="shared" si="9"/>
        <v>1.8133916554508751</v>
      </c>
    </row>
    <row r="208" spans="1:21" x14ac:dyDescent="0.25">
      <c r="B208" s="9"/>
      <c r="C208" s="17">
        <v>1026.7158199999999</v>
      </c>
      <c r="D208" s="18">
        <v>49.987000000000002</v>
      </c>
      <c r="E208" s="18">
        <v>51.445</v>
      </c>
      <c r="F208" s="18">
        <v>51.826000000000001</v>
      </c>
      <c r="G208" s="18">
        <v>44.22</v>
      </c>
      <c r="H208" s="18">
        <f t="shared" si="10"/>
        <v>50.399125000000005</v>
      </c>
      <c r="I208" s="5"/>
      <c r="J208" s="17">
        <v>977.01610000000005</v>
      </c>
      <c r="K208" s="18">
        <v>51.066299999999998</v>
      </c>
      <c r="L208" s="18">
        <v>52.448399999999999</v>
      </c>
      <c r="M208" s="18">
        <v>53.017099999999999</v>
      </c>
      <c r="N208" s="18">
        <v>141.5651</v>
      </c>
      <c r="O208" s="18">
        <f t="shared" si="11"/>
        <v>51.482912499999998</v>
      </c>
      <c r="P208" s="7"/>
      <c r="Q208" s="10"/>
      <c r="R208" s="11"/>
      <c r="S208" s="11"/>
      <c r="T208" s="26"/>
      <c r="U208" s="28">
        <f t="shared" si="9"/>
        <v>2.2013817277250114</v>
      </c>
    </row>
    <row r="209" spans="2:21" x14ac:dyDescent="0.25">
      <c r="B209" s="9"/>
      <c r="C209" s="17">
        <v>653.37304689999996</v>
      </c>
      <c r="D209" s="18">
        <v>46.863</v>
      </c>
      <c r="E209" s="18">
        <v>48.534999999999997</v>
      </c>
      <c r="F209" s="18">
        <v>48.96</v>
      </c>
      <c r="G209" s="18">
        <v>51.97</v>
      </c>
      <c r="H209" s="18">
        <f t="shared" si="10"/>
        <v>47.334124999999993</v>
      </c>
      <c r="I209" s="5"/>
      <c r="J209" s="17">
        <v>600.53150000000005</v>
      </c>
      <c r="K209" s="18">
        <v>48.318100000000001</v>
      </c>
      <c r="L209" s="18">
        <v>50.141399999999997</v>
      </c>
      <c r="M209" s="18">
        <v>50.718200000000003</v>
      </c>
      <c r="N209" s="18">
        <v>172.97710000000001</v>
      </c>
      <c r="O209" s="18">
        <f t="shared" si="11"/>
        <v>48.846024999999997</v>
      </c>
      <c r="P209" s="7"/>
      <c r="Q209" s="10"/>
      <c r="R209" s="11"/>
      <c r="S209" s="11"/>
      <c r="T209" s="26"/>
      <c r="U209" s="28">
        <f t="shared" si="9"/>
        <v>2.3284029247642875</v>
      </c>
    </row>
    <row r="210" spans="2:21" ht="16.5" thickBot="1" x14ac:dyDescent="0.3">
      <c r="B210" s="12"/>
      <c r="C210" s="19">
        <v>357.546875</v>
      </c>
      <c r="D210" s="20">
        <v>42.826000000000001</v>
      </c>
      <c r="E210" s="20">
        <v>44.768999999999998</v>
      </c>
      <c r="F210" s="20">
        <v>45.253999999999998</v>
      </c>
      <c r="G210" s="20">
        <v>63.43</v>
      </c>
      <c r="H210" s="20">
        <f t="shared" si="10"/>
        <v>43.372375000000005</v>
      </c>
      <c r="I210" s="5"/>
      <c r="J210" s="19">
        <v>309.15429999999998</v>
      </c>
      <c r="K210" s="20">
        <v>43.9953</v>
      </c>
      <c r="L210" s="20">
        <v>46.583399999999997</v>
      </c>
      <c r="M210" s="20">
        <v>47.178600000000003</v>
      </c>
      <c r="N210" s="20">
        <v>207.51669999999999</v>
      </c>
      <c r="O210" s="20">
        <f t="shared" si="11"/>
        <v>44.716725000000004</v>
      </c>
      <c r="P210" s="7"/>
      <c r="Q210" s="13"/>
      <c r="R210" s="14"/>
      <c r="S210" s="14"/>
      <c r="T210" s="27"/>
      <c r="U210" s="28">
        <f t="shared" si="9"/>
        <v>2.2715860003153079</v>
      </c>
    </row>
    <row r="211" spans="2:21" x14ac:dyDescent="0.25">
      <c r="B211" s="6" t="s">
        <v>97</v>
      </c>
      <c r="C211" s="15">
        <v>1635.734375</v>
      </c>
      <c r="D211" s="16">
        <v>42.2</v>
      </c>
      <c r="E211" s="16">
        <v>44.951000000000001</v>
      </c>
      <c r="F211" s="16">
        <v>45.381999999999998</v>
      </c>
      <c r="G211" s="16">
        <v>36.43</v>
      </c>
      <c r="H211" s="16">
        <f t="shared" si="10"/>
        <v>42.941625000000002</v>
      </c>
      <c r="I211" s="5"/>
      <c r="J211" s="15">
        <v>1478.3163999999999</v>
      </c>
      <c r="K211" s="16">
        <v>43.900199999999998</v>
      </c>
      <c r="L211" s="16">
        <v>46.655099999999997</v>
      </c>
      <c r="M211" s="16">
        <v>47.072800000000001</v>
      </c>
      <c r="N211" s="16">
        <v>67.161699999999996</v>
      </c>
      <c r="O211" s="16">
        <f t="shared" si="11"/>
        <v>44.641137499999999</v>
      </c>
      <c r="P211" s="7"/>
      <c r="Q211" s="8">
        <f>bdrate(C211:C214,D211:D214,J211:J214,K211:K214)</f>
        <v>-0.36752027649608232</v>
      </c>
      <c r="R211" s="8">
        <f>bdrate(C211:C214,E211:E214,J211:J214,L211:L214)</f>
        <v>-0.47880851517031009</v>
      </c>
      <c r="S211" s="8">
        <f>bdrate(C211:C214,F211:F214,J211:J214,M211:M214)</f>
        <v>-0.47109276527311672</v>
      </c>
      <c r="T211" s="25">
        <f>bdrate(C211:C214,H211:H214,J211:J214,O211:O214)</f>
        <v>-0.39201916811853377</v>
      </c>
      <c r="U211" s="28">
        <f t="shared" si="9"/>
        <v>0.84358221246225629</v>
      </c>
    </row>
    <row r="212" spans="2:21" x14ac:dyDescent="0.25">
      <c r="B212" s="9"/>
      <c r="C212" s="17">
        <v>1161.234375</v>
      </c>
      <c r="D212" s="18">
        <v>40.344999999999999</v>
      </c>
      <c r="E212" s="18">
        <v>43.433999999999997</v>
      </c>
      <c r="F212" s="18">
        <v>43.860999999999997</v>
      </c>
      <c r="G212" s="18">
        <v>42.7</v>
      </c>
      <c r="H212" s="18">
        <f t="shared" si="10"/>
        <v>41.170625000000001</v>
      </c>
      <c r="I212" s="5"/>
      <c r="J212" s="17">
        <v>987.11879999999996</v>
      </c>
      <c r="K212" s="18">
        <v>41.951599999999999</v>
      </c>
      <c r="L212" s="18">
        <v>45.203299999999999</v>
      </c>
      <c r="M212" s="18">
        <v>45.598100000000002</v>
      </c>
      <c r="N212" s="18">
        <v>82.656000000000006</v>
      </c>
      <c r="O212" s="18">
        <f t="shared" si="11"/>
        <v>42.813874999999996</v>
      </c>
      <c r="P212" s="7"/>
      <c r="Q212" s="10"/>
      <c r="R212" s="11"/>
      <c r="S212" s="11"/>
      <c r="T212" s="26"/>
      <c r="U212" s="28">
        <f t="shared" si="9"/>
        <v>0.93573770491803276</v>
      </c>
    </row>
    <row r="213" spans="2:21" x14ac:dyDescent="0.25">
      <c r="B213" s="9"/>
      <c r="C213" s="17">
        <v>757.39746090000006</v>
      </c>
      <c r="D213" s="18">
        <v>38.137</v>
      </c>
      <c r="E213" s="18">
        <v>41.604999999999997</v>
      </c>
      <c r="F213" s="18">
        <v>42.045999999999999</v>
      </c>
      <c r="G213" s="18">
        <v>50.07</v>
      </c>
      <c r="H213" s="18">
        <f t="shared" si="10"/>
        <v>39.059125000000002</v>
      </c>
      <c r="I213" s="5"/>
      <c r="J213" s="17">
        <v>590.24239999999998</v>
      </c>
      <c r="K213" s="18">
        <v>39.296599999999998</v>
      </c>
      <c r="L213" s="18">
        <v>43.287199999999999</v>
      </c>
      <c r="M213" s="18">
        <v>43.653500000000001</v>
      </c>
      <c r="N213" s="18">
        <v>99.900099999999995</v>
      </c>
      <c r="O213" s="18">
        <f t="shared" si="11"/>
        <v>40.340037500000001</v>
      </c>
      <c r="P213" s="7"/>
      <c r="Q213" s="10"/>
      <c r="R213" s="11"/>
      <c r="S213" s="11"/>
      <c r="T213" s="26"/>
      <c r="U213" s="28">
        <f t="shared" si="9"/>
        <v>0.99520870780906723</v>
      </c>
    </row>
    <row r="214" spans="2:21" ht="16.5" thickBot="1" x14ac:dyDescent="0.3">
      <c r="B214" s="12"/>
      <c r="C214" s="19">
        <v>440.9765625</v>
      </c>
      <c r="D214" s="20">
        <v>35.488999999999997</v>
      </c>
      <c r="E214" s="20">
        <v>39.404000000000003</v>
      </c>
      <c r="F214" s="20">
        <v>39.840000000000003</v>
      </c>
      <c r="G214" s="20">
        <v>59.83</v>
      </c>
      <c r="H214" s="20">
        <f t="shared" si="10"/>
        <v>36.52225</v>
      </c>
      <c r="I214" s="5"/>
      <c r="J214" s="19">
        <v>297.88690000000003</v>
      </c>
      <c r="K214" s="20">
        <v>35.519399999999997</v>
      </c>
      <c r="L214" s="20">
        <v>40.642299999999999</v>
      </c>
      <c r="M214" s="20">
        <v>41.040399999999998</v>
      </c>
      <c r="N214" s="20">
        <v>126.7963</v>
      </c>
      <c r="O214" s="20">
        <f t="shared" si="11"/>
        <v>36.849887500000001</v>
      </c>
      <c r="P214" s="7"/>
      <c r="Q214" s="13"/>
      <c r="R214" s="14"/>
      <c r="S214" s="14"/>
      <c r="T214" s="27"/>
      <c r="U214" s="28">
        <f t="shared" si="9"/>
        <v>1.1192762828012703</v>
      </c>
    </row>
    <row r="215" spans="2:21" x14ac:dyDescent="0.25">
      <c r="B215" s="6" t="s">
        <v>98</v>
      </c>
      <c r="C215" s="29">
        <v>1706.185547</v>
      </c>
      <c r="D215" s="30">
        <v>38.552</v>
      </c>
      <c r="E215" s="30">
        <v>43.558999999999997</v>
      </c>
      <c r="F215" s="30">
        <v>43.552999999999997</v>
      </c>
      <c r="G215" s="16">
        <v>35.159999999999997</v>
      </c>
      <c r="H215" s="16">
        <f t="shared" si="10"/>
        <v>39.802999999999997</v>
      </c>
      <c r="I215" s="5"/>
      <c r="J215" s="29">
        <v>1496.9648999999999</v>
      </c>
      <c r="K215" s="30">
        <v>39.894100000000002</v>
      </c>
      <c r="L215" s="30">
        <v>44.834800000000001</v>
      </c>
      <c r="M215" s="30">
        <v>44.828200000000002</v>
      </c>
      <c r="N215" s="16">
        <v>62.367899999999999</v>
      </c>
      <c r="O215" s="16">
        <f t="shared" si="11"/>
        <v>41.128449999999994</v>
      </c>
      <c r="P215" s="7"/>
      <c r="Q215" s="8">
        <f>bdrate(C215:C218,D215:D218,J215:J218,K215:K218)</f>
        <v>-0.31999259127057433</v>
      </c>
      <c r="R215" s="8">
        <f>bdrate(C215:C218,E215:E218,J215:J218,L215:L218)</f>
        <v>-0.4607023447182873</v>
      </c>
      <c r="S215" s="8">
        <f>bdrate(C215:C218,F215:F218,J215:J218,M215:M218)</f>
        <v>-0.45505324860234897</v>
      </c>
      <c r="T215" s="25">
        <f>bdrate(C215:C218,H215:H218,J215:J218,O215:O218)</f>
        <v>-0.3525222869252832</v>
      </c>
      <c r="U215" s="28">
        <f t="shared" si="9"/>
        <v>0.77383105802047791</v>
      </c>
    </row>
    <row r="216" spans="2:21" x14ac:dyDescent="0.25">
      <c r="B216" s="9"/>
      <c r="C216" s="31">
        <v>1127.1083980000001</v>
      </c>
      <c r="D216" s="32">
        <v>36.792999999999999</v>
      </c>
      <c r="E216" s="32">
        <v>42.131</v>
      </c>
      <c r="F216" s="32">
        <v>42.095999999999997</v>
      </c>
      <c r="G216" s="18">
        <v>42.33</v>
      </c>
      <c r="H216" s="18">
        <f t="shared" si="10"/>
        <v>38.123125000000002</v>
      </c>
      <c r="I216" s="5"/>
      <c r="J216" s="31">
        <v>997.86890000000005</v>
      </c>
      <c r="K216" s="32">
        <v>38.017699999999998</v>
      </c>
      <c r="L216" s="32">
        <v>43.523400000000002</v>
      </c>
      <c r="M216" s="32">
        <v>43.487200000000001</v>
      </c>
      <c r="N216" s="18">
        <v>73.821899999999999</v>
      </c>
      <c r="O216" s="18">
        <f t="shared" si="11"/>
        <v>39.389600000000002</v>
      </c>
      <c r="P216" s="7"/>
      <c r="Q216" s="10"/>
      <c r="R216" s="11"/>
      <c r="S216" s="11"/>
      <c r="T216" s="26"/>
      <c r="U216" s="28">
        <f t="shared" si="9"/>
        <v>0.74396172927002135</v>
      </c>
    </row>
    <row r="217" spans="2:21" x14ac:dyDescent="0.25">
      <c r="B217" s="9"/>
      <c r="C217" s="31">
        <v>741.81445310000004</v>
      </c>
      <c r="D217" s="32">
        <v>34.838999999999999</v>
      </c>
      <c r="E217" s="32">
        <v>40.527000000000001</v>
      </c>
      <c r="F217" s="32">
        <v>40.503999999999998</v>
      </c>
      <c r="G217" s="18">
        <v>49.45</v>
      </c>
      <c r="H217" s="18">
        <f t="shared" si="10"/>
        <v>36.258125</v>
      </c>
      <c r="I217" s="5"/>
      <c r="J217" s="31">
        <v>600.3048</v>
      </c>
      <c r="K217" s="32">
        <v>35.673699999999997</v>
      </c>
      <c r="L217" s="32">
        <v>41.9651</v>
      </c>
      <c r="M217" s="32">
        <v>41.908700000000003</v>
      </c>
      <c r="N217" s="18">
        <v>89.512200000000007</v>
      </c>
      <c r="O217" s="18">
        <f t="shared" si="11"/>
        <v>37.2395</v>
      </c>
      <c r="P217" s="7"/>
      <c r="Q217" s="10"/>
      <c r="R217" s="11"/>
      <c r="S217" s="11"/>
      <c r="T217" s="26"/>
      <c r="U217" s="28">
        <f t="shared" si="9"/>
        <v>0.81015571284125387</v>
      </c>
    </row>
    <row r="218" spans="2:21" ht="16.5" thickBot="1" x14ac:dyDescent="0.3">
      <c r="B218" s="12"/>
      <c r="C218" s="33">
        <v>379.1337891</v>
      </c>
      <c r="D218" s="34">
        <v>32.305</v>
      </c>
      <c r="E218" s="34">
        <v>38.389000000000003</v>
      </c>
      <c r="F218" s="34">
        <v>38.372999999999998</v>
      </c>
      <c r="G218" s="20">
        <v>58.89</v>
      </c>
      <c r="H218" s="20">
        <f t="shared" si="10"/>
        <v>33.823999999999998</v>
      </c>
      <c r="I218" s="5"/>
      <c r="J218" s="33">
        <v>300.20650000000001</v>
      </c>
      <c r="K218" s="34">
        <v>32.615000000000002</v>
      </c>
      <c r="L218" s="34">
        <v>40.0411</v>
      </c>
      <c r="M218" s="34">
        <v>39.942300000000003</v>
      </c>
      <c r="N218" s="20">
        <v>116.78449999999999</v>
      </c>
      <c r="O218" s="20">
        <f t="shared" si="11"/>
        <v>34.459175000000002</v>
      </c>
      <c r="P218" s="7"/>
      <c r="Q218" s="13"/>
      <c r="R218" s="14"/>
      <c r="S218" s="14"/>
      <c r="T218" s="27"/>
      <c r="U218" s="28">
        <f t="shared" si="9"/>
        <v>0.98309560196977408</v>
      </c>
    </row>
    <row r="219" spans="2:21" x14ac:dyDescent="0.25">
      <c r="B219" s="6" t="s">
        <v>99</v>
      </c>
      <c r="C219" s="15">
        <v>1442.7558590000001</v>
      </c>
      <c r="D219" s="16">
        <v>35.987000000000002</v>
      </c>
      <c r="E219" s="16">
        <v>41.021000000000001</v>
      </c>
      <c r="F219" s="16">
        <v>41.665999999999997</v>
      </c>
      <c r="G219" s="16">
        <v>36.4</v>
      </c>
      <c r="H219" s="16">
        <f t="shared" si="10"/>
        <v>37.326125000000005</v>
      </c>
      <c r="I219" s="5"/>
      <c r="J219" s="15">
        <v>1510.2076</v>
      </c>
      <c r="K219" s="16">
        <v>37.9621</v>
      </c>
      <c r="L219" s="16">
        <v>43.145400000000002</v>
      </c>
      <c r="M219" s="16">
        <v>43.675800000000002</v>
      </c>
      <c r="N219" s="16">
        <v>69.802599999999998</v>
      </c>
      <c r="O219" s="16">
        <f t="shared" si="11"/>
        <v>39.324224999999998</v>
      </c>
      <c r="P219" s="7"/>
      <c r="Q219" s="8">
        <f>bdrate(C219:C222,D219:D222,J219:J222,K219:K222)</f>
        <v>-0.32474876899770633</v>
      </c>
      <c r="R219" s="8">
        <f>bdrate(C219:C222,E219:E222,J219:J222,L219:L222)</f>
        <v>-0.48737796700382974</v>
      </c>
      <c r="S219" s="8">
        <f>bdrate(C219:C222,F219:F222,J219:J222,M219:M222)</f>
        <v>-0.47195775879712698</v>
      </c>
      <c r="T219" s="25">
        <f>bdrate(C219:C222,H219:H222,J219:J222,O219:O222)</f>
        <v>-0.36267245986668495</v>
      </c>
      <c r="U219" s="28">
        <f t="shared" si="9"/>
        <v>0.91765384615384615</v>
      </c>
    </row>
    <row r="220" spans="2:21" x14ac:dyDescent="0.25">
      <c r="B220" s="9"/>
      <c r="C220" s="17">
        <v>1012.089844</v>
      </c>
      <c r="D220" s="18">
        <v>34.28</v>
      </c>
      <c r="E220" s="18">
        <v>39.549999999999997</v>
      </c>
      <c r="F220" s="18">
        <v>40.298999999999999</v>
      </c>
      <c r="G220" s="18">
        <v>42.47</v>
      </c>
      <c r="H220" s="18">
        <f t="shared" si="10"/>
        <v>35.691125</v>
      </c>
      <c r="I220" s="5"/>
      <c r="J220" s="17">
        <v>1007.524</v>
      </c>
      <c r="K220" s="18">
        <v>36.1098</v>
      </c>
      <c r="L220" s="18">
        <v>41.811599999999999</v>
      </c>
      <c r="M220" s="18">
        <v>42.405999999999999</v>
      </c>
      <c r="N220" s="18">
        <v>82.296999999999997</v>
      </c>
      <c r="O220" s="18">
        <f t="shared" si="11"/>
        <v>37.609549999999999</v>
      </c>
      <c r="P220" s="7"/>
      <c r="Q220" s="10"/>
      <c r="R220" s="11"/>
      <c r="S220" s="11"/>
      <c r="T220" s="26"/>
      <c r="U220" s="28">
        <f t="shared" si="9"/>
        <v>0.93776783611961378</v>
      </c>
    </row>
    <row r="221" spans="2:21" x14ac:dyDescent="0.25">
      <c r="B221" s="9"/>
      <c r="C221" s="17">
        <v>632.23144530000002</v>
      </c>
      <c r="D221" s="18">
        <v>32.212000000000003</v>
      </c>
      <c r="E221" s="18">
        <v>37.655999999999999</v>
      </c>
      <c r="F221" s="18">
        <v>38.527999999999999</v>
      </c>
      <c r="G221" s="18">
        <v>47.69</v>
      </c>
      <c r="H221" s="18">
        <f t="shared" si="10"/>
        <v>33.682000000000002</v>
      </c>
      <c r="I221" s="5"/>
      <c r="J221" s="17">
        <v>605.24450000000002</v>
      </c>
      <c r="K221" s="18">
        <v>33.775399999999998</v>
      </c>
      <c r="L221" s="18">
        <v>40.017400000000002</v>
      </c>
      <c r="M221" s="18">
        <v>40.636600000000001</v>
      </c>
      <c r="N221" s="18">
        <v>95.278400000000005</v>
      </c>
      <c r="O221" s="18">
        <f t="shared" si="11"/>
        <v>35.4133</v>
      </c>
      <c r="P221" s="7"/>
      <c r="Q221" s="10"/>
      <c r="R221" s="11"/>
      <c r="S221" s="11"/>
      <c r="T221" s="26"/>
      <c r="U221" s="28">
        <f t="shared" si="9"/>
        <v>0.99786957433424217</v>
      </c>
    </row>
    <row r="222" spans="2:21" ht="16.5" thickBot="1" x14ac:dyDescent="0.3">
      <c r="B222" s="12"/>
      <c r="C222" s="19">
        <v>359.2978516</v>
      </c>
      <c r="D222" s="20">
        <v>29.87</v>
      </c>
      <c r="E222" s="20">
        <v>35.423999999999999</v>
      </c>
      <c r="F222" s="20">
        <v>36.323999999999998</v>
      </c>
      <c r="G222" s="20">
        <v>54.07</v>
      </c>
      <c r="H222" s="20">
        <f t="shared" si="10"/>
        <v>31.371000000000002</v>
      </c>
      <c r="I222" s="5"/>
      <c r="J222" s="19">
        <v>301.85210000000001</v>
      </c>
      <c r="K222" s="20">
        <v>30.653099999999998</v>
      </c>
      <c r="L222" s="20">
        <v>37.798099999999998</v>
      </c>
      <c r="M222" s="20">
        <v>38.541400000000003</v>
      </c>
      <c r="N222" s="20">
        <v>120.44159999999999</v>
      </c>
      <c r="O222" s="20">
        <f t="shared" si="11"/>
        <v>32.532262500000002</v>
      </c>
      <c r="P222" s="7"/>
      <c r="Q222" s="13"/>
      <c r="R222" s="14"/>
      <c r="S222" s="14"/>
      <c r="T222" s="27"/>
      <c r="U222" s="28">
        <f t="shared" si="9"/>
        <v>1.227512483817274</v>
      </c>
    </row>
    <row r="223" spans="2:21" x14ac:dyDescent="0.25">
      <c r="B223" s="6" t="s">
        <v>100</v>
      </c>
      <c r="C223" s="15">
        <v>1564.0664059999999</v>
      </c>
      <c r="D223" s="16">
        <v>36.713999999999999</v>
      </c>
      <c r="E223" s="16">
        <v>42.9</v>
      </c>
      <c r="F223" s="16">
        <v>44.683999999999997</v>
      </c>
      <c r="G223" s="16">
        <v>30.27</v>
      </c>
      <c r="H223" s="16">
        <f t="shared" si="10"/>
        <v>38.483499999999992</v>
      </c>
      <c r="I223" s="5"/>
      <c r="J223" s="15">
        <v>1512.0591999999999</v>
      </c>
      <c r="K223" s="16">
        <v>37.917299999999997</v>
      </c>
      <c r="L223" s="16">
        <v>44.186</v>
      </c>
      <c r="M223" s="16">
        <v>45.7136</v>
      </c>
      <c r="N223" s="16">
        <v>60.253100000000003</v>
      </c>
      <c r="O223" s="16">
        <f t="shared" si="11"/>
        <v>39.675424999999997</v>
      </c>
      <c r="P223" s="7"/>
      <c r="Q223" s="8">
        <f>bdrate(C223:C226,D223:D226,J223:J226,K223:K226)</f>
        <v>-0.32521356662526291</v>
      </c>
      <c r="R223" s="8">
        <f>bdrate(C223:C226,E223:E226,J223:J226,L223:L226)</f>
        <v>-0.51550095772992743</v>
      </c>
      <c r="S223" s="8">
        <f>bdrate(C223:C226,F223:F226,J223:J226,M223:M226)</f>
        <v>-0.44684842843235173</v>
      </c>
      <c r="T223" s="25">
        <f>bdrate(C223:C226,H223:H226,J223:J226,O223:O226)</f>
        <v>-0.36369266737671557</v>
      </c>
      <c r="U223" s="28">
        <f t="shared" si="9"/>
        <v>0.99052196894615141</v>
      </c>
    </row>
    <row r="224" spans="2:21" x14ac:dyDescent="0.25">
      <c r="B224" s="9"/>
      <c r="C224" s="17">
        <v>1054.0742190000001</v>
      </c>
      <c r="D224" s="18">
        <v>35.347000000000001</v>
      </c>
      <c r="E224" s="18">
        <v>41.832000000000001</v>
      </c>
      <c r="F224" s="18">
        <v>43.491</v>
      </c>
      <c r="G224" s="18">
        <v>37.57</v>
      </c>
      <c r="H224" s="18">
        <f t="shared" si="10"/>
        <v>37.175624999999997</v>
      </c>
      <c r="I224" s="5"/>
      <c r="J224" s="17">
        <v>1005.7665</v>
      </c>
      <c r="K224" s="18">
        <v>36.513800000000003</v>
      </c>
      <c r="L224" s="18">
        <v>43.274299999999997</v>
      </c>
      <c r="M224" s="18">
        <v>44.722999999999999</v>
      </c>
      <c r="N224" s="18">
        <v>72.025899999999993</v>
      </c>
      <c r="O224" s="18">
        <f t="shared" si="11"/>
        <v>38.385012500000002</v>
      </c>
      <c r="P224" s="7"/>
      <c r="Q224" s="10"/>
      <c r="R224" s="11"/>
      <c r="S224" s="11"/>
      <c r="T224" s="26"/>
      <c r="U224" s="28">
        <f t="shared" si="9"/>
        <v>0.9171120574926801</v>
      </c>
    </row>
    <row r="225" spans="2:21" x14ac:dyDescent="0.25">
      <c r="B225" s="9"/>
      <c r="C225" s="17">
        <v>638.78320310000004</v>
      </c>
      <c r="D225" s="18">
        <v>33.722999999999999</v>
      </c>
      <c r="E225" s="18">
        <v>40.444000000000003</v>
      </c>
      <c r="F225" s="18">
        <v>41.847999999999999</v>
      </c>
      <c r="G225" s="18">
        <v>47.2</v>
      </c>
      <c r="H225" s="18">
        <f t="shared" si="10"/>
        <v>35.578749999999999</v>
      </c>
      <c r="I225" s="5"/>
      <c r="J225" s="17">
        <v>602.45929999999998</v>
      </c>
      <c r="K225" s="18">
        <v>34.799399999999999</v>
      </c>
      <c r="L225" s="18">
        <v>42.164700000000003</v>
      </c>
      <c r="M225" s="18">
        <v>43.492100000000001</v>
      </c>
      <c r="N225" s="18">
        <v>89.516599999999997</v>
      </c>
      <c r="O225" s="18">
        <f t="shared" si="11"/>
        <v>36.806650000000005</v>
      </c>
      <c r="P225" s="7"/>
      <c r="Q225" s="10"/>
      <c r="R225" s="11"/>
      <c r="S225" s="11"/>
      <c r="T225" s="26"/>
      <c r="U225" s="28">
        <f t="shared" si="9"/>
        <v>0.89653813559322015</v>
      </c>
    </row>
    <row r="226" spans="2:21" ht="16.5" thickBot="1" x14ac:dyDescent="0.3">
      <c r="B226" s="12"/>
      <c r="C226" s="19">
        <v>325.00390629999998</v>
      </c>
      <c r="D226" s="20">
        <v>31.847999999999999</v>
      </c>
      <c r="E226" s="20">
        <v>38.720999999999997</v>
      </c>
      <c r="F226" s="20">
        <v>39.76</v>
      </c>
      <c r="G226" s="20">
        <v>60.39</v>
      </c>
      <c r="H226" s="20">
        <f t="shared" si="10"/>
        <v>33.696125000000002</v>
      </c>
      <c r="I226" s="5"/>
      <c r="J226" s="19">
        <v>300.15969999999999</v>
      </c>
      <c r="K226" s="20">
        <v>32.651000000000003</v>
      </c>
      <c r="L226" s="20">
        <v>40.712800000000001</v>
      </c>
      <c r="M226" s="20">
        <v>41.832299999999996</v>
      </c>
      <c r="N226" s="20">
        <v>120.1923</v>
      </c>
      <c r="O226" s="20">
        <f t="shared" si="11"/>
        <v>34.8063875</v>
      </c>
      <c r="P226" s="7"/>
      <c r="Q226" s="13"/>
      <c r="R226" s="14"/>
      <c r="S226" s="14"/>
      <c r="T226" s="27"/>
      <c r="U226" s="28">
        <f t="shared" si="9"/>
        <v>0.99026825633383009</v>
      </c>
    </row>
    <row r="227" spans="2:21" x14ac:dyDescent="0.25">
      <c r="B227" s="6" t="s">
        <v>101</v>
      </c>
      <c r="C227" s="15">
        <v>1319.7353519999999</v>
      </c>
      <c r="D227" s="16">
        <v>47.177999999999997</v>
      </c>
      <c r="E227" s="16">
        <v>52.436999999999998</v>
      </c>
      <c r="F227" s="16">
        <v>53.694000000000003</v>
      </c>
      <c r="G227" s="16">
        <v>36.19</v>
      </c>
      <c r="H227" s="16">
        <f t="shared" si="10"/>
        <v>48.649875000000002</v>
      </c>
      <c r="I227" s="5"/>
      <c r="J227" s="15">
        <v>1498.9123</v>
      </c>
      <c r="K227" s="16">
        <v>49.101100000000002</v>
      </c>
      <c r="L227" s="16">
        <v>54.456400000000002</v>
      </c>
      <c r="M227" s="16">
        <v>55.909100000000002</v>
      </c>
      <c r="N227" s="16">
        <v>86.3202</v>
      </c>
      <c r="O227" s="16">
        <f t="shared" si="11"/>
        <v>50.621512500000001</v>
      </c>
      <c r="P227" s="7"/>
      <c r="Q227" s="8">
        <f>bdrate(C227:C230,D227:D230,J227:J230,K227:K230)</f>
        <v>-0.32011231295767184</v>
      </c>
      <c r="R227" s="8">
        <f>bdrate(C227:C230,E227:E230,J227:J230,L227:L230)</f>
        <v>-0.43004155680860112</v>
      </c>
      <c r="S227" s="8">
        <f>bdrate(C227:C230,F227:F230,J227:J230,M227:M230)</f>
        <v>-0.45596031741976495</v>
      </c>
      <c r="T227" s="25">
        <f>bdrate(C227:C230,H227:H230,J227:J230,O227:O230)</f>
        <v>-0.35020896021055181</v>
      </c>
      <c r="U227" s="28">
        <f t="shared" si="9"/>
        <v>1.3851948051948053</v>
      </c>
    </row>
    <row r="228" spans="2:21" x14ac:dyDescent="0.25">
      <c r="B228" s="9"/>
      <c r="C228" s="17">
        <v>939.03710939999996</v>
      </c>
      <c r="D228" s="18">
        <v>45.750999999999998</v>
      </c>
      <c r="E228" s="18">
        <v>51.145000000000003</v>
      </c>
      <c r="F228" s="18">
        <v>52.433999999999997</v>
      </c>
      <c r="G228" s="18">
        <v>43.64</v>
      </c>
      <c r="H228" s="18">
        <f t="shared" si="10"/>
        <v>47.26062499999999</v>
      </c>
      <c r="I228" s="5"/>
      <c r="J228" s="17">
        <v>999.38879999999995</v>
      </c>
      <c r="K228" s="18">
        <v>47.473999999999997</v>
      </c>
      <c r="L228" s="18">
        <v>53.131799999999998</v>
      </c>
      <c r="M228" s="18">
        <v>54.649900000000002</v>
      </c>
      <c r="N228" s="18">
        <v>100.8974</v>
      </c>
      <c r="O228" s="18">
        <f t="shared" si="11"/>
        <v>49.078212499999999</v>
      </c>
      <c r="P228" s="7"/>
      <c r="Q228" s="10"/>
      <c r="R228" s="11"/>
      <c r="S228" s="11"/>
      <c r="T228" s="26"/>
      <c r="U228" s="28">
        <f t="shared" si="9"/>
        <v>1.3120394133822182</v>
      </c>
    </row>
    <row r="229" spans="2:21" x14ac:dyDescent="0.25">
      <c r="B229" s="9"/>
      <c r="C229" s="17">
        <v>604.83398439999996</v>
      </c>
      <c r="D229" s="18">
        <v>43.780999999999999</v>
      </c>
      <c r="E229" s="18">
        <v>49.308999999999997</v>
      </c>
      <c r="F229" s="18">
        <v>50.704000000000001</v>
      </c>
      <c r="G229" s="18">
        <v>52.66</v>
      </c>
      <c r="H229" s="18">
        <f t="shared" si="10"/>
        <v>45.337375000000002</v>
      </c>
      <c r="I229" s="5"/>
      <c r="J229" s="17">
        <v>601.54740000000004</v>
      </c>
      <c r="K229" s="18">
        <v>45.430999999999997</v>
      </c>
      <c r="L229" s="18">
        <v>51.494900000000001</v>
      </c>
      <c r="M229" s="18">
        <v>52.997300000000003</v>
      </c>
      <c r="N229" s="18">
        <v>122.94970000000001</v>
      </c>
      <c r="O229" s="18">
        <f t="shared" si="11"/>
        <v>47.134775000000005</v>
      </c>
      <c r="P229" s="7"/>
      <c r="Q229" s="10"/>
      <c r="R229" s="11"/>
      <c r="S229" s="11"/>
      <c r="T229" s="26"/>
      <c r="U229" s="28">
        <f t="shared" si="9"/>
        <v>1.3347835169008737</v>
      </c>
    </row>
    <row r="230" spans="2:21" ht="16.5" thickBot="1" x14ac:dyDescent="0.3">
      <c r="B230" s="12"/>
      <c r="C230" s="19">
        <v>313.8212891</v>
      </c>
      <c r="D230" s="20">
        <v>40.899000000000001</v>
      </c>
      <c r="E230" s="20">
        <v>46.441000000000003</v>
      </c>
      <c r="F230" s="20">
        <v>47.933</v>
      </c>
      <c r="G230" s="20">
        <v>68.52</v>
      </c>
      <c r="H230" s="20">
        <f t="shared" si="10"/>
        <v>42.471000000000004</v>
      </c>
      <c r="I230" s="5"/>
      <c r="J230" s="19">
        <v>301.98829999999998</v>
      </c>
      <c r="K230" s="20">
        <v>42.592500000000001</v>
      </c>
      <c r="L230" s="20">
        <v>48.980699999999999</v>
      </c>
      <c r="M230" s="20">
        <v>50.424300000000002</v>
      </c>
      <c r="N230" s="20">
        <v>157.97329999999999</v>
      </c>
      <c r="O230" s="20">
        <f t="shared" si="11"/>
        <v>44.370000000000005</v>
      </c>
      <c r="P230" s="7"/>
      <c r="Q230" s="13"/>
      <c r="R230" s="14"/>
      <c r="S230" s="14"/>
      <c r="T230" s="27"/>
      <c r="U230" s="28">
        <f t="shared" si="9"/>
        <v>1.3055064214827787</v>
      </c>
    </row>
    <row r="231" spans="2:21" x14ac:dyDescent="0.25">
      <c r="B231" s="6" t="s">
        <v>102</v>
      </c>
      <c r="C231" s="15">
        <v>1426.046875</v>
      </c>
      <c r="D231" s="16">
        <v>31.242999999999999</v>
      </c>
      <c r="E231" s="16">
        <v>39.752000000000002</v>
      </c>
      <c r="F231" s="16">
        <v>39.145000000000003</v>
      </c>
      <c r="G231" s="16">
        <v>32.54</v>
      </c>
      <c r="H231" s="16">
        <f t="shared" si="10"/>
        <v>33.294375000000002</v>
      </c>
      <c r="I231" s="5"/>
      <c r="J231" s="15">
        <v>1491.7879</v>
      </c>
      <c r="K231" s="16">
        <v>32.852699999999999</v>
      </c>
      <c r="L231" s="16">
        <v>41.524099999999997</v>
      </c>
      <c r="M231" s="16">
        <v>40.8904</v>
      </c>
      <c r="N231" s="16">
        <v>43.151000000000003</v>
      </c>
      <c r="O231" s="16">
        <f t="shared" si="11"/>
        <v>34.941337500000003</v>
      </c>
      <c r="P231" s="7"/>
      <c r="Q231" s="8">
        <f>bdrate(C231:C234,D231:D234,J231:J234,K231:K234)</f>
        <v>-0.26340961125351914</v>
      </c>
      <c r="R231" s="8">
        <f>bdrate(C231:C234,E231:E234,J231:J234,L231:L234)</f>
        <v>-0.54039133392359961</v>
      </c>
      <c r="S231" s="8">
        <f>bdrate(C231:C234,F231:F234,J231:J234,M231:M234)</f>
        <v>-0.52777012354061059</v>
      </c>
      <c r="T231" s="25">
        <f>bdrate(C231:C234,H231:H234,J231:J234,O231:O234)</f>
        <v>-0.32650647101456987</v>
      </c>
      <c r="U231" s="28">
        <f t="shared" si="9"/>
        <v>0.32609096496619561</v>
      </c>
    </row>
    <row r="232" spans="2:21" x14ac:dyDescent="0.25">
      <c r="B232" s="9"/>
      <c r="C232" s="17">
        <v>987.40234380000004</v>
      </c>
      <c r="D232" s="18">
        <v>29.747</v>
      </c>
      <c r="E232" s="18">
        <v>38.482999999999997</v>
      </c>
      <c r="F232" s="18">
        <v>37.865000000000002</v>
      </c>
      <c r="G232" s="18">
        <v>37.49</v>
      </c>
      <c r="H232" s="18">
        <f t="shared" si="10"/>
        <v>31.853750000000002</v>
      </c>
      <c r="I232" s="5"/>
      <c r="J232" s="17">
        <v>994.55290000000002</v>
      </c>
      <c r="K232" s="18">
        <v>31.154499999999999</v>
      </c>
      <c r="L232" s="18">
        <v>40.593899999999998</v>
      </c>
      <c r="M232" s="18">
        <v>39.941299999999998</v>
      </c>
      <c r="N232" s="18">
        <v>53.418799999999997</v>
      </c>
      <c r="O232" s="18">
        <f t="shared" si="11"/>
        <v>33.432774999999999</v>
      </c>
      <c r="P232" s="7"/>
      <c r="Q232" s="10"/>
      <c r="R232" s="11"/>
      <c r="S232" s="11"/>
      <c r="T232" s="26"/>
      <c r="U232" s="28">
        <f t="shared" si="9"/>
        <v>0.42488130168044796</v>
      </c>
    </row>
    <row r="233" spans="2:21" x14ac:dyDescent="0.25">
      <c r="B233" s="9"/>
      <c r="C233" s="17">
        <v>686.40917969999998</v>
      </c>
      <c r="D233" s="18">
        <v>28.437999999999999</v>
      </c>
      <c r="E233" s="18">
        <v>37.305999999999997</v>
      </c>
      <c r="F233" s="18">
        <v>36.703000000000003</v>
      </c>
      <c r="G233" s="18">
        <v>41.89</v>
      </c>
      <c r="H233" s="18">
        <f t="shared" si="10"/>
        <v>30.579624999999997</v>
      </c>
      <c r="I233" s="5"/>
      <c r="J233" s="17">
        <v>595.36</v>
      </c>
      <c r="K233" s="18">
        <v>29.005400000000002</v>
      </c>
      <c r="L233" s="18">
        <v>39.280799999999999</v>
      </c>
      <c r="M233" s="18">
        <v>38.591700000000003</v>
      </c>
      <c r="N233" s="18">
        <v>64.641199999999998</v>
      </c>
      <c r="O233" s="18">
        <f t="shared" si="11"/>
        <v>31.4881125</v>
      </c>
      <c r="P233" s="7"/>
      <c r="Q233" s="10"/>
      <c r="R233" s="11"/>
      <c r="S233" s="11"/>
      <c r="T233" s="26"/>
      <c r="U233" s="28">
        <f t="shared" si="9"/>
        <v>0.54311768918596315</v>
      </c>
    </row>
    <row r="234" spans="2:21" ht="16.5" thickBot="1" x14ac:dyDescent="0.3">
      <c r="B234" s="12"/>
      <c r="C234" s="19">
        <v>508.9287109</v>
      </c>
      <c r="D234" s="20">
        <v>27.437000000000001</v>
      </c>
      <c r="E234" s="20">
        <v>36.094999999999999</v>
      </c>
      <c r="F234" s="20">
        <v>35.497</v>
      </c>
      <c r="G234" s="20">
        <v>42.82</v>
      </c>
      <c r="H234" s="20">
        <f t="shared" si="10"/>
        <v>29.52675</v>
      </c>
      <c r="I234" s="5"/>
      <c r="J234" s="19">
        <v>298.60070000000002</v>
      </c>
      <c r="K234" s="20">
        <v>26.247599999999998</v>
      </c>
      <c r="L234" s="20">
        <v>37.26</v>
      </c>
      <c r="M234" s="20">
        <v>36.564500000000002</v>
      </c>
      <c r="N234" s="20">
        <v>82.656000000000006</v>
      </c>
      <c r="O234" s="20">
        <f t="shared" si="11"/>
        <v>28.913762499999997</v>
      </c>
      <c r="P234" s="7"/>
      <c r="Q234" s="13"/>
      <c r="R234" s="14"/>
      <c r="S234" s="14"/>
      <c r="T234" s="27"/>
      <c r="U234" s="28">
        <f t="shared" si="9"/>
        <v>0.93031293787949565</v>
      </c>
    </row>
    <row r="235" spans="2:21" x14ac:dyDescent="0.25">
      <c r="B235" s="6" t="s">
        <v>103</v>
      </c>
      <c r="C235" s="15">
        <v>1861.841797</v>
      </c>
      <c r="D235" s="16">
        <v>47.228999999999999</v>
      </c>
      <c r="E235" s="16">
        <v>48.645000000000003</v>
      </c>
      <c r="F235" s="16">
        <v>48.555</v>
      </c>
      <c r="G235" s="16">
        <v>37.17</v>
      </c>
      <c r="H235" s="16">
        <f t="shared" si="10"/>
        <v>47.571750000000002</v>
      </c>
      <c r="I235" s="5"/>
      <c r="J235" s="15">
        <v>1397.8400999999999</v>
      </c>
      <c r="K235" s="16">
        <v>46.475200000000001</v>
      </c>
      <c r="L235" s="16">
        <v>48.061599999999999</v>
      </c>
      <c r="M235" s="16">
        <v>47.964300000000001</v>
      </c>
      <c r="N235" s="16">
        <v>56.9801</v>
      </c>
      <c r="O235" s="16">
        <f t="shared" si="11"/>
        <v>46.859637499999998</v>
      </c>
      <c r="P235" s="7"/>
      <c r="Q235" s="8">
        <f>bdrate(C235:C238,D235:D238,J235:J238,K235:K238)</f>
        <v>-0.33056590544389008</v>
      </c>
      <c r="R235" s="8">
        <f>bdrate(C235:C238,E235:E238,J235:J238,L235:L238)</f>
        <v>-0.39934508255009504</v>
      </c>
      <c r="S235" s="8">
        <f>bdrate(C235:C238,F235:F238,J235:J238,M235:M238)</f>
        <v>-0.39843521015546246</v>
      </c>
      <c r="T235" s="25">
        <f>bdrate(C235:C238,H235:H238,J235:J238,O235:O238)</f>
        <v>-0.34741766055092016</v>
      </c>
      <c r="U235" s="28">
        <f t="shared" si="9"/>
        <v>0.53295937584073172</v>
      </c>
    </row>
    <row r="236" spans="2:21" x14ac:dyDescent="0.25">
      <c r="B236" s="9"/>
      <c r="C236" s="17">
        <v>1261.359375</v>
      </c>
      <c r="D236" s="18">
        <v>44.11</v>
      </c>
      <c r="E236" s="18">
        <v>45.719000000000001</v>
      </c>
      <c r="F236" s="18">
        <v>45.585999999999999</v>
      </c>
      <c r="G236" s="18">
        <v>45.36</v>
      </c>
      <c r="H236" s="18">
        <f t="shared" si="10"/>
        <v>44.495624999999997</v>
      </c>
      <c r="I236" s="5"/>
      <c r="J236" s="17">
        <v>950.88430000000005</v>
      </c>
      <c r="K236" s="18">
        <v>44.839300000000001</v>
      </c>
      <c r="L236" s="18">
        <v>46.651499999999999</v>
      </c>
      <c r="M236" s="18">
        <v>46.547800000000002</v>
      </c>
      <c r="N236" s="18">
        <v>80.407399999999996</v>
      </c>
      <c r="O236" s="18">
        <f t="shared" si="11"/>
        <v>45.279387499999999</v>
      </c>
      <c r="P236" s="7"/>
      <c r="Q236" s="10"/>
      <c r="R236" s="11"/>
      <c r="S236" s="11"/>
      <c r="T236" s="26"/>
      <c r="U236" s="28">
        <f t="shared" si="9"/>
        <v>0.77264991181657838</v>
      </c>
    </row>
    <row r="237" spans="2:21" x14ac:dyDescent="0.25">
      <c r="B237" s="9"/>
      <c r="C237" s="17">
        <v>793.03515630000004</v>
      </c>
      <c r="D237" s="18">
        <v>41.180999999999997</v>
      </c>
      <c r="E237" s="18">
        <v>43.061999999999998</v>
      </c>
      <c r="F237" s="18">
        <v>42.887999999999998</v>
      </c>
      <c r="G237" s="18">
        <v>54.46</v>
      </c>
      <c r="H237" s="18">
        <f t="shared" si="10"/>
        <v>41.629499999999993</v>
      </c>
      <c r="I237" s="5"/>
      <c r="J237" s="17">
        <v>592.77520000000004</v>
      </c>
      <c r="K237" s="18">
        <v>42.045099999999998</v>
      </c>
      <c r="L237" s="18">
        <v>44.518099999999997</v>
      </c>
      <c r="M237" s="18">
        <v>44.347900000000003</v>
      </c>
      <c r="N237" s="18">
        <v>103.6687</v>
      </c>
      <c r="O237" s="18">
        <f t="shared" si="11"/>
        <v>42.642074999999998</v>
      </c>
      <c r="P237" s="7"/>
      <c r="Q237" s="10"/>
      <c r="R237" s="11"/>
      <c r="S237" s="11"/>
      <c r="T237" s="26"/>
      <c r="U237" s="28">
        <f t="shared" si="9"/>
        <v>0.90357510099155347</v>
      </c>
    </row>
    <row r="238" spans="2:21" ht="16.5" thickBot="1" x14ac:dyDescent="0.3">
      <c r="B238" s="12"/>
      <c r="C238" s="19">
        <v>452.0712891</v>
      </c>
      <c r="D238" s="20">
        <v>37.625999999999998</v>
      </c>
      <c r="E238" s="20">
        <v>39.814999999999998</v>
      </c>
      <c r="F238" s="20">
        <v>39.593000000000004</v>
      </c>
      <c r="G238" s="20">
        <v>65.06</v>
      </c>
      <c r="H238" s="20">
        <f t="shared" si="10"/>
        <v>38.145499999999998</v>
      </c>
      <c r="I238" s="5"/>
      <c r="J238" s="19">
        <v>301.42430000000002</v>
      </c>
      <c r="K238" s="20">
        <v>37.624499999999998</v>
      </c>
      <c r="L238" s="20">
        <v>41.009399999999999</v>
      </c>
      <c r="M238" s="20">
        <v>40.786299999999997</v>
      </c>
      <c r="N238" s="20">
        <v>131.5693</v>
      </c>
      <c r="O238" s="20">
        <f t="shared" si="11"/>
        <v>38.442837499999996</v>
      </c>
      <c r="P238" s="7"/>
      <c r="Q238" s="13"/>
      <c r="R238" s="14"/>
      <c r="S238" s="14"/>
      <c r="T238" s="27"/>
      <c r="U238" s="28">
        <f t="shared" si="9"/>
        <v>1.0222763602828158</v>
      </c>
    </row>
    <row r="239" spans="2:21" x14ac:dyDescent="0.25">
      <c r="B239" s="6" t="s">
        <v>104</v>
      </c>
      <c r="C239" s="15">
        <v>1391.0273440000001</v>
      </c>
      <c r="D239" s="16">
        <v>54.097999999999999</v>
      </c>
      <c r="E239" s="16">
        <v>56.747</v>
      </c>
      <c r="F239" s="16">
        <v>56.701999999999998</v>
      </c>
      <c r="G239" s="16">
        <v>39.03</v>
      </c>
      <c r="H239" s="16">
        <f t="shared" si="10"/>
        <v>54.754624999999997</v>
      </c>
      <c r="I239" s="5"/>
      <c r="J239" s="15">
        <v>1373.2437</v>
      </c>
      <c r="K239" s="16">
        <v>46.9739</v>
      </c>
      <c r="L239" s="16">
        <v>49.913200000000003</v>
      </c>
      <c r="M239" s="16">
        <v>50.0306</v>
      </c>
      <c r="N239" s="16">
        <v>53.271799999999999</v>
      </c>
      <c r="O239" s="16">
        <f t="shared" si="11"/>
        <v>47.723399999999998</v>
      </c>
      <c r="P239" s="7"/>
      <c r="Q239" s="8">
        <f>bdrate(C239:C242,D239:D242,J239:J242,K239:K242)</f>
        <v>5.0113329642655247E-2</v>
      </c>
      <c r="R239" s="8">
        <f>bdrate(C239:C242,E239:E242,J239:J242,L239:L242)</f>
        <v>-1.3442831937612754E-2</v>
      </c>
      <c r="S239" s="8">
        <f>bdrate(C239:C242,F239:F242,J239:J242,M239:M242)</f>
        <v>-1.6906697510414626E-2</v>
      </c>
      <c r="T239" s="25">
        <f>bdrate(C239:C242,H239:H242,J239:J242,O239:O242)</f>
        <v>3.489206855086735E-2</v>
      </c>
      <c r="U239" s="28">
        <f t="shared" si="9"/>
        <v>0.3648936715347168</v>
      </c>
    </row>
    <row r="240" spans="2:21" x14ac:dyDescent="0.25">
      <c r="B240" s="9"/>
      <c r="C240" s="17">
        <v>1063.3720699999999</v>
      </c>
      <c r="D240" s="18">
        <v>52.433999999999997</v>
      </c>
      <c r="E240" s="18">
        <v>55.151000000000003</v>
      </c>
      <c r="F240" s="18">
        <v>55.109000000000002</v>
      </c>
      <c r="G240" s="18">
        <v>47.67</v>
      </c>
      <c r="H240" s="18">
        <f t="shared" si="10"/>
        <v>53.107999999999997</v>
      </c>
      <c r="I240" s="5"/>
      <c r="J240" s="17">
        <v>951.77440000000001</v>
      </c>
      <c r="K240" s="18">
        <v>45.767499999999998</v>
      </c>
      <c r="L240" s="18">
        <v>48.985500000000002</v>
      </c>
      <c r="M240" s="18">
        <v>49.106299999999997</v>
      </c>
      <c r="N240" s="18">
        <v>71.621799999999993</v>
      </c>
      <c r="O240" s="18">
        <f t="shared" si="11"/>
        <v>46.5871</v>
      </c>
      <c r="P240" s="7"/>
      <c r="Q240" s="10"/>
      <c r="R240" s="11"/>
      <c r="S240" s="11"/>
      <c r="T240" s="26"/>
      <c r="U240" s="28">
        <f t="shared" si="9"/>
        <v>0.50245017830920891</v>
      </c>
    </row>
    <row r="241" spans="2:21" x14ac:dyDescent="0.25">
      <c r="B241" s="9"/>
      <c r="C241" s="17">
        <v>765.39160159999994</v>
      </c>
      <c r="D241" s="18">
        <v>43.902000000000001</v>
      </c>
      <c r="E241" s="18">
        <v>46.856999999999999</v>
      </c>
      <c r="F241" s="18">
        <v>47.1</v>
      </c>
      <c r="G241" s="18">
        <v>47.86</v>
      </c>
      <c r="H241" s="18">
        <f t="shared" si="10"/>
        <v>44.671125000000004</v>
      </c>
      <c r="I241" s="5"/>
      <c r="J241" s="17">
        <v>624.22370000000001</v>
      </c>
      <c r="K241" s="18">
        <v>42.444000000000003</v>
      </c>
      <c r="L241" s="18">
        <v>45.881599999999999</v>
      </c>
      <c r="M241" s="18">
        <v>46.162500000000001</v>
      </c>
      <c r="N241" s="18">
        <v>79.519300000000001</v>
      </c>
      <c r="O241" s="18">
        <f t="shared" si="11"/>
        <v>43.338512500000007</v>
      </c>
      <c r="P241" s="7"/>
      <c r="Q241" s="10"/>
      <c r="R241" s="11"/>
      <c r="S241" s="11"/>
      <c r="T241" s="26"/>
      <c r="U241" s="28">
        <f t="shared" si="9"/>
        <v>0.66149811951525284</v>
      </c>
    </row>
    <row r="242" spans="2:21" ht="16.5" thickBot="1" x14ac:dyDescent="0.3">
      <c r="B242" s="12"/>
      <c r="C242" s="19">
        <v>452.0693359</v>
      </c>
      <c r="D242" s="20">
        <v>40.475000000000001</v>
      </c>
      <c r="E242" s="20">
        <v>43.468000000000004</v>
      </c>
      <c r="F242" s="20">
        <v>43.695999999999998</v>
      </c>
      <c r="G242" s="20">
        <v>56.87</v>
      </c>
      <c r="H242" s="20">
        <f t="shared" si="10"/>
        <v>41.251750000000001</v>
      </c>
      <c r="I242" s="5"/>
      <c r="J242" s="19">
        <v>352.69409999999999</v>
      </c>
      <c r="K242" s="20">
        <v>38.529699999999998</v>
      </c>
      <c r="L242" s="20">
        <v>42.426900000000003</v>
      </c>
      <c r="M242" s="20">
        <v>42.725299999999997</v>
      </c>
      <c r="N242" s="20">
        <v>122.7496</v>
      </c>
      <c r="O242" s="20">
        <f t="shared" si="11"/>
        <v>39.5413</v>
      </c>
      <c r="P242" s="7"/>
      <c r="Q242" s="13"/>
      <c r="R242" s="14"/>
      <c r="S242" s="14"/>
      <c r="T242" s="27"/>
      <c r="U242" s="28">
        <f t="shared" si="9"/>
        <v>1.1584244768770884</v>
      </c>
    </row>
    <row r="243" spans="2:21" x14ac:dyDescent="0.25">
      <c r="B243" s="6" t="s">
        <v>105</v>
      </c>
      <c r="C243" s="29">
        <v>1535.3623050000001</v>
      </c>
      <c r="D243" s="30">
        <v>31.756</v>
      </c>
      <c r="E243" s="30">
        <v>35.909999999999997</v>
      </c>
      <c r="F243" s="30">
        <v>34.625999999999998</v>
      </c>
      <c r="G243" s="16">
        <v>32.61</v>
      </c>
      <c r="H243" s="16">
        <f t="shared" si="10"/>
        <v>32.634</v>
      </c>
      <c r="I243" s="5"/>
      <c r="J243" s="29">
        <v>1514.6388999999999</v>
      </c>
      <c r="K243" s="30">
        <v>33.210099999999997</v>
      </c>
      <c r="L243" s="30">
        <v>37.8675</v>
      </c>
      <c r="M243" s="30">
        <v>36.709200000000003</v>
      </c>
      <c r="N243" s="16">
        <v>52.494999999999997</v>
      </c>
      <c r="O243" s="16">
        <f t="shared" si="11"/>
        <v>34.229662499999996</v>
      </c>
      <c r="P243" s="7"/>
      <c r="Q243" s="8">
        <f>bdrate(C243:C246,D243:D246,J243:J246,K243:K246)</f>
        <v>-0.23795569832535202</v>
      </c>
      <c r="R243" s="8">
        <f>bdrate(C243:C246,E243:E246,J243:J246,L243:L246)</f>
        <v>-0.5721044082239839</v>
      </c>
      <c r="S243" s="8">
        <f>bdrate(C243:C246,F243:F246,J243:J246,M243:M246)</f>
        <v>-0.57215042004236105</v>
      </c>
      <c r="T243" s="25">
        <f>bdrate(C243:C246,H243:H246,J243:J246,O243:O246)</f>
        <v>-0.31882099221774529</v>
      </c>
      <c r="U243" s="28">
        <f t="shared" si="9"/>
        <v>0.60978227537565155</v>
      </c>
    </row>
    <row r="244" spans="2:21" x14ac:dyDescent="0.25">
      <c r="B244" s="9"/>
      <c r="C244" s="31">
        <v>1062.5878909999999</v>
      </c>
      <c r="D244" s="32">
        <v>30.257000000000001</v>
      </c>
      <c r="E244" s="32">
        <v>34.743000000000002</v>
      </c>
      <c r="F244" s="32">
        <v>33.402000000000001</v>
      </c>
      <c r="G244" s="18">
        <v>37.380000000000003</v>
      </c>
      <c r="H244" s="18">
        <f t="shared" si="10"/>
        <v>31.210875000000001</v>
      </c>
      <c r="I244" s="5"/>
      <c r="J244" s="31">
        <v>1008.6545</v>
      </c>
      <c r="K244" s="32">
        <v>31.2879</v>
      </c>
      <c r="L244" s="32">
        <v>36.729100000000003</v>
      </c>
      <c r="M244" s="32">
        <v>35.5242</v>
      </c>
      <c r="N244" s="18">
        <v>60.728700000000003</v>
      </c>
      <c r="O244" s="18">
        <f t="shared" si="11"/>
        <v>32.497587500000002</v>
      </c>
      <c r="P244" s="7"/>
      <c r="Q244" s="10"/>
      <c r="R244" s="11"/>
      <c r="S244" s="11"/>
      <c r="T244" s="26"/>
      <c r="U244" s="28">
        <f t="shared" si="9"/>
        <v>0.6246308186195827</v>
      </c>
    </row>
    <row r="245" spans="2:21" x14ac:dyDescent="0.25">
      <c r="B245" s="9"/>
      <c r="C245" s="31">
        <v>712.00585939999996</v>
      </c>
      <c r="D245" s="32">
        <v>28.82</v>
      </c>
      <c r="E245" s="32">
        <v>33.536000000000001</v>
      </c>
      <c r="F245" s="32">
        <v>32.173000000000002</v>
      </c>
      <c r="G245" s="18">
        <v>41.12</v>
      </c>
      <c r="H245" s="18">
        <f t="shared" si="10"/>
        <v>29.828625000000002</v>
      </c>
      <c r="I245" s="5"/>
      <c r="J245" s="31">
        <v>606.28240000000005</v>
      </c>
      <c r="K245" s="32">
        <v>29.159300000000002</v>
      </c>
      <c r="L245" s="32">
        <v>35.476100000000002</v>
      </c>
      <c r="M245" s="32">
        <v>34.185699999999997</v>
      </c>
      <c r="N245" s="18">
        <v>72.662700000000001</v>
      </c>
      <c r="O245" s="18">
        <f t="shared" si="11"/>
        <v>30.577200000000001</v>
      </c>
      <c r="P245" s="7"/>
      <c r="Q245" s="10"/>
      <c r="R245" s="11"/>
      <c r="S245" s="11"/>
      <c r="T245" s="26"/>
      <c r="U245" s="28">
        <f t="shared" si="9"/>
        <v>0.76708900778210132</v>
      </c>
    </row>
    <row r="246" spans="2:21" ht="16.5" thickBot="1" x14ac:dyDescent="0.3">
      <c r="B246" s="12"/>
      <c r="C246" s="33">
        <v>479.421875</v>
      </c>
      <c r="D246" s="34">
        <v>27.45</v>
      </c>
      <c r="E246" s="34">
        <v>32.201000000000001</v>
      </c>
      <c r="F246" s="34">
        <v>30.885999999999999</v>
      </c>
      <c r="G246" s="20">
        <v>43.66</v>
      </c>
      <c r="H246" s="20">
        <f t="shared" si="10"/>
        <v>28.473374999999997</v>
      </c>
      <c r="I246" s="5"/>
      <c r="J246" s="33">
        <v>305.07670000000002</v>
      </c>
      <c r="K246" s="34">
        <v>26.697199999999999</v>
      </c>
      <c r="L246" s="34">
        <v>33.8157</v>
      </c>
      <c r="M246" s="34">
        <v>32.403799999999997</v>
      </c>
      <c r="N246" s="20">
        <v>92.826599999999999</v>
      </c>
      <c r="O246" s="20">
        <f t="shared" si="11"/>
        <v>28.300337499999998</v>
      </c>
      <c r="P246" s="7"/>
      <c r="Q246" s="13"/>
      <c r="R246" s="14"/>
      <c r="S246" s="14"/>
      <c r="T246" s="27"/>
      <c r="U246" s="28">
        <f t="shared" si="9"/>
        <v>1.1261245991754467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-0.28585288314410245</v>
      </c>
      <c r="R247" s="21">
        <f>AVERAGE(R131:R246)</f>
        <v>-0.46647587474810814</v>
      </c>
      <c r="S247" s="21">
        <f>AVERAGE(S131:S246)</f>
        <v>-0.46504761665181077</v>
      </c>
      <c r="T247" s="21">
        <f>AVERAGE(T131:T246)</f>
        <v>-0.32614960435458695</v>
      </c>
      <c r="U247" s="21">
        <f>AVERAGE(U131:U246)</f>
        <v>1.7898784110745283</v>
      </c>
    </row>
  </sheetData>
  <mergeCells count="12">
    <mergeCell ref="B127:B128"/>
    <mergeCell ref="C127:U128"/>
    <mergeCell ref="C129:H129"/>
    <mergeCell ref="J129:O129"/>
    <mergeCell ref="Q129:S129"/>
    <mergeCell ref="U129:U130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255" priority="85" operator="greaterThan">
      <formula>0.03</formula>
    </cfRule>
    <cfRule type="cellIs" dxfId="254" priority="86" stopIfTrue="1" operator="lessThan">
      <formula>-0.03</formula>
    </cfRule>
  </conditionalFormatting>
  <conditionalFormatting sqref="Q33:T36">
    <cfRule type="cellIs" dxfId="253" priority="83" operator="greaterThan">
      <formula>0.03</formula>
    </cfRule>
    <cfRule type="cellIs" dxfId="252" priority="84" stopIfTrue="1" operator="lessThan">
      <formula>-0.03</formula>
    </cfRule>
  </conditionalFormatting>
  <conditionalFormatting sqref="Q46:T48 Q62:T64">
    <cfRule type="cellIs" dxfId="251" priority="81" operator="greaterThan">
      <formula>0.03</formula>
    </cfRule>
    <cfRule type="cellIs" dxfId="250" priority="82" stopIfTrue="1" operator="lessThan">
      <formula>-0.03</formula>
    </cfRule>
  </conditionalFormatting>
  <conditionalFormatting sqref="Q50:T52 Q54:T56 Q58:T60">
    <cfRule type="cellIs" dxfId="249" priority="79" operator="greaterThan">
      <formula>0.03</formula>
    </cfRule>
    <cfRule type="cellIs" dxfId="248" priority="80" stopIfTrue="1" operator="lessThan">
      <formula>-0.03</formula>
    </cfRule>
  </conditionalFormatting>
  <conditionalFormatting sqref="Q70:T72 Q74:T76">
    <cfRule type="cellIs" dxfId="247" priority="77" operator="greaterThan">
      <formula>0.03</formula>
    </cfRule>
    <cfRule type="cellIs" dxfId="246" priority="78" stopIfTrue="1" operator="lessThan">
      <formula>-0.03</formula>
    </cfRule>
  </conditionalFormatting>
  <conditionalFormatting sqref="Q66:T68">
    <cfRule type="cellIs" dxfId="245" priority="75" operator="greaterThan">
      <formula>0.03</formula>
    </cfRule>
    <cfRule type="cellIs" dxfId="244" priority="76" stopIfTrue="1" operator="lessThan">
      <formula>-0.03</formula>
    </cfRule>
  </conditionalFormatting>
  <conditionalFormatting sqref="Q78:T80">
    <cfRule type="cellIs" dxfId="243" priority="73" operator="greaterThan">
      <formula>0.03</formula>
    </cfRule>
    <cfRule type="cellIs" dxfId="242" priority="74" stopIfTrue="1" operator="lessThan">
      <formula>-0.03</formula>
    </cfRule>
  </conditionalFormatting>
  <conditionalFormatting sqref="Q21:T28">
    <cfRule type="cellIs" dxfId="241" priority="71" operator="greaterThan">
      <formula>0.03</formula>
    </cfRule>
    <cfRule type="cellIs" dxfId="240" priority="72" stopIfTrue="1" operator="lessThan">
      <formula>-0.03</formula>
    </cfRule>
  </conditionalFormatting>
  <conditionalFormatting sqref="Q151:T154 Q159:T166 Q131:T142">
    <cfRule type="cellIs" dxfId="239" priority="69" operator="greaterThan">
      <formula>0.03</formula>
    </cfRule>
    <cfRule type="cellIs" dxfId="238" priority="70" stopIfTrue="1" operator="lessThan">
      <formula>-0.03</formula>
    </cfRule>
  </conditionalFormatting>
  <conditionalFormatting sqref="Q155:T158">
    <cfRule type="cellIs" dxfId="237" priority="67" operator="greaterThan">
      <formula>0.03</formula>
    </cfRule>
    <cfRule type="cellIs" dxfId="236" priority="68" stopIfTrue="1" operator="lessThan">
      <formula>-0.03</formula>
    </cfRule>
  </conditionalFormatting>
  <conditionalFormatting sqref="Q167:T170 Q183:T186">
    <cfRule type="cellIs" dxfId="235" priority="65" operator="greaterThan">
      <formula>0.03</formula>
    </cfRule>
    <cfRule type="cellIs" dxfId="234" priority="66" stopIfTrue="1" operator="lessThan">
      <formula>-0.03</formula>
    </cfRule>
  </conditionalFormatting>
  <conditionalFormatting sqref="Q171:T182">
    <cfRule type="cellIs" dxfId="233" priority="63" operator="greaterThan">
      <formula>0.03</formula>
    </cfRule>
    <cfRule type="cellIs" dxfId="232" priority="64" stopIfTrue="1" operator="lessThan">
      <formula>-0.03</formula>
    </cfRule>
  </conditionalFormatting>
  <conditionalFormatting sqref="Q191:T198">
    <cfRule type="cellIs" dxfId="231" priority="61" operator="greaterThan">
      <formula>0.03</formula>
    </cfRule>
    <cfRule type="cellIs" dxfId="230" priority="62" stopIfTrue="1" operator="lessThan">
      <formula>-0.03</formula>
    </cfRule>
  </conditionalFormatting>
  <conditionalFormatting sqref="Q187:T190">
    <cfRule type="cellIs" dxfId="229" priority="59" operator="greaterThan">
      <formula>0.03</formula>
    </cfRule>
    <cfRule type="cellIs" dxfId="228" priority="60" stopIfTrue="1" operator="lessThan">
      <formula>-0.03</formula>
    </cfRule>
  </conditionalFormatting>
  <conditionalFormatting sqref="Q199:T202">
    <cfRule type="cellIs" dxfId="227" priority="57" operator="greaterThan">
      <formula>0.03</formula>
    </cfRule>
    <cfRule type="cellIs" dxfId="226" priority="58" stopIfTrue="1" operator="lessThan">
      <formula>-0.03</formula>
    </cfRule>
  </conditionalFormatting>
  <conditionalFormatting sqref="Q143:T150">
    <cfRule type="cellIs" dxfId="225" priority="55" operator="greaterThan">
      <formula>0.03</formula>
    </cfRule>
    <cfRule type="cellIs" dxfId="224" priority="56" stopIfTrue="1" operator="lessThan">
      <formula>-0.03</formula>
    </cfRule>
  </conditionalFormatting>
  <conditionalFormatting sqref="Q45:T45">
    <cfRule type="cellIs" dxfId="223" priority="53" operator="greaterThan">
      <formula>0.03</formula>
    </cfRule>
    <cfRule type="cellIs" dxfId="222" priority="54" stopIfTrue="1" operator="lessThan">
      <formula>-0.03</formula>
    </cfRule>
  </conditionalFormatting>
  <conditionalFormatting sqref="Q49:T49">
    <cfRule type="cellIs" dxfId="221" priority="51" operator="greaterThan">
      <formula>0.03</formula>
    </cfRule>
    <cfRule type="cellIs" dxfId="220" priority="52" stopIfTrue="1" operator="lessThan">
      <formula>-0.03</formula>
    </cfRule>
  </conditionalFormatting>
  <conditionalFormatting sqref="Q53:T53">
    <cfRule type="cellIs" dxfId="219" priority="49" operator="greaterThan">
      <formula>0.03</formula>
    </cfRule>
    <cfRule type="cellIs" dxfId="218" priority="50" stopIfTrue="1" operator="lessThan">
      <formula>-0.03</formula>
    </cfRule>
  </conditionalFormatting>
  <conditionalFormatting sqref="Q57:T57">
    <cfRule type="cellIs" dxfId="217" priority="47" operator="greaterThan">
      <formula>0.03</formula>
    </cfRule>
    <cfRule type="cellIs" dxfId="216" priority="48" stopIfTrue="1" operator="lessThan">
      <formula>-0.03</formula>
    </cfRule>
  </conditionalFormatting>
  <conditionalFormatting sqref="Q61:T61">
    <cfRule type="cellIs" dxfId="215" priority="45" operator="greaterThan">
      <formula>0.03</formula>
    </cfRule>
    <cfRule type="cellIs" dxfId="214" priority="46" stopIfTrue="1" operator="lessThan">
      <formula>-0.03</formula>
    </cfRule>
  </conditionalFormatting>
  <conditionalFormatting sqref="Q65:T65">
    <cfRule type="cellIs" dxfId="213" priority="43" operator="greaterThan">
      <formula>0.03</formula>
    </cfRule>
    <cfRule type="cellIs" dxfId="212" priority="44" stopIfTrue="1" operator="lessThan">
      <formula>-0.03</formula>
    </cfRule>
  </conditionalFormatting>
  <conditionalFormatting sqref="Q69:T69">
    <cfRule type="cellIs" dxfId="211" priority="41" operator="greaterThan">
      <formula>0.03</formula>
    </cfRule>
    <cfRule type="cellIs" dxfId="210" priority="42" stopIfTrue="1" operator="lessThan">
      <formula>-0.03</formula>
    </cfRule>
  </conditionalFormatting>
  <conditionalFormatting sqref="Q73:T73">
    <cfRule type="cellIs" dxfId="209" priority="39" operator="greaterThan">
      <formula>0.03</formula>
    </cfRule>
    <cfRule type="cellIs" dxfId="208" priority="40" stopIfTrue="1" operator="lessThan">
      <formula>-0.03</formula>
    </cfRule>
  </conditionalFormatting>
  <conditionalFormatting sqref="Q77:T77">
    <cfRule type="cellIs" dxfId="207" priority="37" operator="greaterThan">
      <formula>0.03</formula>
    </cfRule>
    <cfRule type="cellIs" dxfId="206" priority="38" stopIfTrue="1" operator="lessThan">
      <formula>-0.03</formula>
    </cfRule>
  </conditionalFormatting>
  <conditionalFormatting sqref="Q117:T117">
    <cfRule type="cellIs" dxfId="205" priority="21" operator="greaterThan">
      <formula>0.03</formula>
    </cfRule>
    <cfRule type="cellIs" dxfId="204" priority="22" stopIfTrue="1" operator="lessThan">
      <formula>-0.03</formula>
    </cfRule>
  </conditionalFormatting>
  <conditionalFormatting sqref="Q93:T96 Q101:T108 Q81:T84">
    <cfRule type="cellIs" dxfId="203" priority="35" operator="greaterThan">
      <formula>0.03</formula>
    </cfRule>
    <cfRule type="cellIs" dxfId="202" priority="36" stopIfTrue="1" operator="lessThan">
      <formula>-0.03</formula>
    </cfRule>
  </conditionalFormatting>
  <conditionalFormatting sqref="Q97:T100">
    <cfRule type="cellIs" dxfId="201" priority="33" operator="greaterThan">
      <formula>0.03</formula>
    </cfRule>
    <cfRule type="cellIs" dxfId="200" priority="34" stopIfTrue="1" operator="lessThan">
      <formula>-0.03</formula>
    </cfRule>
  </conditionalFormatting>
  <conditionalFormatting sqref="Q110:T112 Q122:T124">
    <cfRule type="cellIs" dxfId="199" priority="31" operator="greaterThan">
      <formula>0.03</formula>
    </cfRule>
    <cfRule type="cellIs" dxfId="198" priority="32" stopIfTrue="1" operator="lessThan">
      <formula>-0.03</formula>
    </cfRule>
  </conditionalFormatting>
  <conditionalFormatting sqref="Q114:T116 Q118:T120">
    <cfRule type="cellIs" dxfId="197" priority="29" operator="greaterThan">
      <formula>0.03</formula>
    </cfRule>
    <cfRule type="cellIs" dxfId="196" priority="30" stopIfTrue="1" operator="lessThan">
      <formula>-0.03</formula>
    </cfRule>
  </conditionalFormatting>
  <conditionalFormatting sqref="Q85:T92">
    <cfRule type="cellIs" dxfId="195" priority="27" operator="greaterThan">
      <formula>0.03</formula>
    </cfRule>
    <cfRule type="cellIs" dxfId="194" priority="28" stopIfTrue="1" operator="lessThan">
      <formula>-0.03</formula>
    </cfRule>
  </conditionalFormatting>
  <conditionalFormatting sqref="Q109:T109">
    <cfRule type="cellIs" dxfId="193" priority="25" operator="greaterThan">
      <formula>0.03</formula>
    </cfRule>
    <cfRule type="cellIs" dxfId="192" priority="26" stopIfTrue="1" operator="lessThan">
      <formula>-0.03</formula>
    </cfRule>
  </conditionalFormatting>
  <conditionalFormatting sqref="Q113:T113">
    <cfRule type="cellIs" dxfId="191" priority="23" operator="greaterThan">
      <formula>0.03</formula>
    </cfRule>
    <cfRule type="cellIs" dxfId="190" priority="24" stopIfTrue="1" operator="lessThan">
      <formula>-0.03</formula>
    </cfRule>
  </conditionalFormatting>
  <conditionalFormatting sqref="Q121:T121">
    <cfRule type="cellIs" dxfId="189" priority="19" operator="greaterThan">
      <formula>0.03</formula>
    </cfRule>
    <cfRule type="cellIs" dxfId="188" priority="20" stopIfTrue="1" operator="lessThan">
      <formula>-0.03</formula>
    </cfRule>
  </conditionalFormatting>
  <conditionalFormatting sqref="Q239:T239">
    <cfRule type="cellIs" dxfId="187" priority="3" operator="greaterThan">
      <formula>0.03</formula>
    </cfRule>
    <cfRule type="cellIs" dxfId="186" priority="4" stopIfTrue="1" operator="lessThan">
      <formula>-0.03</formula>
    </cfRule>
  </conditionalFormatting>
  <conditionalFormatting sqref="Q215:T218 Q223:T230 Q203:T206">
    <cfRule type="cellIs" dxfId="185" priority="17" operator="greaterThan">
      <formula>0.03</formula>
    </cfRule>
    <cfRule type="cellIs" dxfId="184" priority="18" stopIfTrue="1" operator="lessThan">
      <formula>-0.03</formula>
    </cfRule>
  </conditionalFormatting>
  <conditionalFormatting sqref="Q219:T222">
    <cfRule type="cellIs" dxfId="183" priority="15" operator="greaterThan">
      <formula>0.03</formula>
    </cfRule>
    <cfRule type="cellIs" dxfId="182" priority="16" stopIfTrue="1" operator="lessThan">
      <formula>-0.03</formula>
    </cfRule>
  </conditionalFormatting>
  <conditionalFormatting sqref="Q232:T234 Q244:T246">
    <cfRule type="cellIs" dxfId="181" priority="13" operator="greaterThan">
      <formula>0.03</formula>
    </cfRule>
    <cfRule type="cellIs" dxfId="180" priority="14" stopIfTrue="1" operator="lessThan">
      <formula>-0.03</formula>
    </cfRule>
  </conditionalFormatting>
  <conditionalFormatting sqref="Q236:T238 Q240:T242">
    <cfRule type="cellIs" dxfId="179" priority="11" operator="greaterThan">
      <formula>0.03</formula>
    </cfRule>
    <cfRule type="cellIs" dxfId="178" priority="12" stopIfTrue="1" operator="lessThan">
      <formula>-0.03</formula>
    </cfRule>
  </conditionalFormatting>
  <conditionalFormatting sqref="Q207:T214">
    <cfRule type="cellIs" dxfId="177" priority="9" operator="greaterThan">
      <formula>0.03</formula>
    </cfRule>
    <cfRule type="cellIs" dxfId="176" priority="10" stopIfTrue="1" operator="lessThan">
      <formula>-0.03</formula>
    </cfRule>
  </conditionalFormatting>
  <conditionalFormatting sqref="Q231:T231">
    <cfRule type="cellIs" dxfId="175" priority="7" operator="greaterThan">
      <formula>0.03</formula>
    </cfRule>
    <cfRule type="cellIs" dxfId="174" priority="8" stopIfTrue="1" operator="lessThan">
      <formula>-0.03</formula>
    </cfRule>
  </conditionalFormatting>
  <conditionalFormatting sqref="Q235:T235">
    <cfRule type="cellIs" dxfId="173" priority="5" operator="greaterThan">
      <formula>0.03</formula>
    </cfRule>
    <cfRule type="cellIs" dxfId="172" priority="6" stopIfTrue="1" operator="lessThan">
      <formula>-0.03</formula>
    </cfRule>
  </conditionalFormatting>
  <conditionalFormatting sqref="Q243:T243">
    <cfRule type="cellIs" dxfId="171" priority="1" operator="greaterThan">
      <formula>0.03</formula>
    </cfRule>
    <cfRule type="cellIs" dxfId="170" priority="2" stopIfTrue="1" operator="lessThan">
      <formula>-0.03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5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0" width="6.625" customWidth="1"/>
    <col min="21" max="21" width="9.25" customWidth="1"/>
  </cols>
  <sheetData>
    <row r="1" spans="1:21" x14ac:dyDescent="0.25">
      <c r="A1" t="s">
        <v>120</v>
      </c>
    </row>
    <row r="2" spans="1:21" x14ac:dyDescent="0.25">
      <c r="A2" t="s">
        <v>81</v>
      </c>
    </row>
    <row r="3" spans="1:21" x14ac:dyDescent="0.25">
      <c r="A3" t="s">
        <v>87</v>
      </c>
    </row>
    <row r="4" spans="1:21" x14ac:dyDescent="0.25">
      <c r="A4" t="s">
        <v>81</v>
      </c>
    </row>
    <row r="5" spans="1:21" s="35" customFormat="1" ht="15.75" customHeight="1" x14ac:dyDescent="0.25">
      <c r="B5" s="61" t="s">
        <v>29</v>
      </c>
      <c r="C5" s="63" t="s">
        <v>208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111</v>
      </c>
      <c r="D7" s="70"/>
      <c r="E7" s="70"/>
      <c r="F7" s="70"/>
      <c r="G7" s="70"/>
      <c r="H7" s="70"/>
      <c r="I7" s="5"/>
      <c r="J7" s="69" t="s">
        <v>183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4085.185546875</v>
      </c>
      <c r="D9" s="16">
        <v>37.929000000000002</v>
      </c>
      <c r="E9" s="16">
        <v>39.320999999999998</v>
      </c>
      <c r="F9" s="16">
        <v>41.798999999999999</v>
      </c>
      <c r="G9" s="16">
        <v>0.35</v>
      </c>
      <c r="H9" s="16">
        <f t="shared" ref="H9:H80" si="0">(6*D9+E9+F9)/8</f>
        <v>38.586749999999995</v>
      </c>
      <c r="I9" s="5"/>
      <c r="J9" s="15">
        <v>4139.0159999999996</v>
      </c>
      <c r="K9" s="16">
        <v>38.801900000000003</v>
      </c>
      <c r="L9" s="16">
        <v>40.335599999999999</v>
      </c>
      <c r="M9" s="16">
        <v>43.108499999999999</v>
      </c>
      <c r="N9" s="16">
        <v>1.8703000000000001</v>
      </c>
      <c r="O9" s="16">
        <f t="shared" ref="O9:O80" si="1">(6*K9+L9+M9)/8</f>
        <v>39.531937500000005</v>
      </c>
      <c r="P9" s="7"/>
      <c r="Q9" s="8">
        <f>bdrate(C9:C12,D9:D12,J9:J12,K9:K12)</f>
        <v>-0.25508762180730971</v>
      </c>
      <c r="R9" s="8">
        <f>bdrate(C9:C12,E9:E12,J9:J12,L9:L12)</f>
        <v>-0.48532738085442784</v>
      </c>
      <c r="S9" s="8">
        <f>bdrate(C9:C12,F9:F12,J9:J12,M9:M12)</f>
        <v>-0.48407493425450665</v>
      </c>
      <c r="T9" s="25">
        <f>bdrate(C9:C12,H9:H12,J9:J12,O9:O12)</f>
        <v>-0.29656391182877762</v>
      </c>
      <c r="U9" s="28">
        <f t="shared" ref="U9:U72" si="2">(N9-G9)/G9</f>
        <v>4.3437142857142863</v>
      </c>
    </row>
    <row r="10" spans="1:21" x14ac:dyDescent="0.25">
      <c r="A10" s="9" t="s">
        <v>36</v>
      </c>
      <c r="B10" s="9"/>
      <c r="C10" s="17">
        <v>3041.2587890625</v>
      </c>
      <c r="D10" s="18">
        <v>36.960999999999999</v>
      </c>
      <c r="E10" s="18">
        <v>38.773000000000003</v>
      </c>
      <c r="F10" s="18">
        <v>41.151000000000003</v>
      </c>
      <c r="G10" s="18">
        <v>0.38</v>
      </c>
      <c r="H10" s="18">
        <f t="shared" si="0"/>
        <v>37.71125</v>
      </c>
      <c r="I10" s="5"/>
      <c r="J10" s="17">
        <v>3019.3631999999998</v>
      </c>
      <c r="K10" s="18">
        <v>37.843299999999999</v>
      </c>
      <c r="L10" s="18">
        <v>39.838299999999997</v>
      </c>
      <c r="M10" s="18">
        <v>42.4392</v>
      </c>
      <c r="N10" s="18">
        <v>2.2860999999999998</v>
      </c>
      <c r="O10" s="18">
        <f t="shared" si="1"/>
        <v>38.667162500000003</v>
      </c>
      <c r="P10" s="7"/>
      <c r="Q10" s="10"/>
      <c r="R10" s="11"/>
      <c r="S10" s="11"/>
      <c r="T10" s="26"/>
      <c r="U10" s="28">
        <f t="shared" si="2"/>
        <v>5.0160526315789467</v>
      </c>
    </row>
    <row r="11" spans="1:21" x14ac:dyDescent="0.25">
      <c r="B11" s="9"/>
      <c r="C11" s="17">
        <v>2030.6123046875</v>
      </c>
      <c r="D11" s="18">
        <v>35.515000000000001</v>
      </c>
      <c r="E11" s="18">
        <v>37.988</v>
      </c>
      <c r="F11" s="18">
        <v>40.32</v>
      </c>
      <c r="G11" s="18">
        <v>0.44</v>
      </c>
      <c r="H11" s="18">
        <f t="shared" si="0"/>
        <v>36.424750000000003</v>
      </c>
      <c r="I11" s="5"/>
      <c r="J11" s="17">
        <v>1975.5536</v>
      </c>
      <c r="K11" s="18">
        <v>36.461100000000002</v>
      </c>
      <c r="L11" s="18">
        <v>39.161299999999997</v>
      </c>
      <c r="M11" s="18">
        <v>41.62</v>
      </c>
      <c r="N11" s="18">
        <v>2.8866999999999998</v>
      </c>
      <c r="O11" s="18">
        <f t="shared" si="1"/>
        <v>37.443487500000003</v>
      </c>
      <c r="P11" s="7"/>
      <c r="Q11" s="10"/>
      <c r="R11" s="11"/>
      <c r="S11" s="11"/>
      <c r="T11" s="26"/>
      <c r="U11" s="28">
        <f t="shared" si="2"/>
        <v>5.5606818181818181</v>
      </c>
    </row>
    <row r="12" spans="1:21" ht="16.5" thickBot="1" x14ac:dyDescent="0.3">
      <c r="B12" s="12"/>
      <c r="C12" s="19">
        <v>1013.693359375</v>
      </c>
      <c r="D12" s="20">
        <v>32.848999999999997</v>
      </c>
      <c r="E12" s="20">
        <v>36.44</v>
      </c>
      <c r="F12" s="20">
        <v>38.823</v>
      </c>
      <c r="G12" s="20">
        <v>0.42</v>
      </c>
      <c r="H12" s="20">
        <f t="shared" si="0"/>
        <v>34.044624999999996</v>
      </c>
      <c r="I12" s="5"/>
      <c r="J12" s="19">
        <v>908.72159999999997</v>
      </c>
      <c r="K12" s="20">
        <v>33.636400000000002</v>
      </c>
      <c r="L12" s="20">
        <v>37.7515</v>
      </c>
      <c r="M12" s="20">
        <v>40.026299999999999</v>
      </c>
      <c r="N12" s="20">
        <v>4.5290999999999997</v>
      </c>
      <c r="O12" s="20">
        <f t="shared" si="1"/>
        <v>34.949525000000001</v>
      </c>
      <c r="P12" s="7"/>
      <c r="Q12" s="13"/>
      <c r="R12" s="14"/>
      <c r="S12" s="14"/>
      <c r="T12" s="27"/>
      <c r="U12" s="28">
        <f t="shared" si="2"/>
        <v>9.7835714285714275</v>
      </c>
    </row>
    <row r="13" spans="1:21" x14ac:dyDescent="0.25">
      <c r="B13" s="6" t="s">
        <v>47</v>
      </c>
      <c r="C13" s="15">
        <v>3994.3388671875</v>
      </c>
      <c r="D13" s="16">
        <v>29.763999999999999</v>
      </c>
      <c r="E13" s="16">
        <v>39.795999999999999</v>
      </c>
      <c r="F13" s="16">
        <v>40.668999999999997</v>
      </c>
      <c r="G13" s="16">
        <v>0.22</v>
      </c>
      <c r="H13" s="16">
        <f t="shared" si="0"/>
        <v>32.381124999999997</v>
      </c>
      <c r="I13" s="5"/>
      <c r="J13" s="15">
        <v>4140.1311999999998</v>
      </c>
      <c r="K13" s="16">
        <v>30.227599999999999</v>
      </c>
      <c r="L13" s="16">
        <v>41.1023</v>
      </c>
      <c r="M13" s="16">
        <v>41.899700000000003</v>
      </c>
      <c r="N13" s="16">
        <v>1.3711</v>
      </c>
      <c r="O13" s="16">
        <f t="shared" si="1"/>
        <v>33.045949999999998</v>
      </c>
      <c r="P13" s="7"/>
      <c r="Q13" s="8">
        <f>bdrate(C13:C16,D13:D16,J13:J16,K13:K16)</f>
        <v>-3.721573941394718E-2</v>
      </c>
      <c r="R13" s="8">
        <f>bdrate(C13:C16,E13:E16,J13:J16,L13:L16)</f>
        <v>-0.48628457624713295</v>
      </c>
      <c r="S13" s="8">
        <f>bdrate(C13:C16,F13:F16,J13:J16,M13:M16)</f>
        <v>-0.51301523951204286</v>
      </c>
      <c r="T13" s="25">
        <f>bdrate(C13:C16,H13:H16,J13:J16,O13:O16)</f>
        <v>-0.12090506803367562</v>
      </c>
      <c r="U13" s="28">
        <f t="shared" si="2"/>
        <v>5.2322727272727274</v>
      </c>
    </row>
    <row r="14" spans="1:21" x14ac:dyDescent="0.25">
      <c r="B14" s="9"/>
      <c r="C14" s="17">
        <v>3408.625</v>
      </c>
      <c r="D14" s="18">
        <v>29.023</v>
      </c>
      <c r="E14" s="18">
        <v>39.421999999999997</v>
      </c>
      <c r="F14" s="18">
        <v>40.332000000000001</v>
      </c>
      <c r="G14" s="18">
        <v>0.22</v>
      </c>
      <c r="H14" s="18">
        <f t="shared" si="0"/>
        <v>31.736499999999999</v>
      </c>
      <c r="I14" s="5"/>
      <c r="J14" s="17">
        <v>3075.7248</v>
      </c>
      <c r="K14" s="18">
        <v>28.854600000000001</v>
      </c>
      <c r="L14" s="18">
        <v>40.561199999999999</v>
      </c>
      <c r="M14" s="18">
        <v>41.464799999999997</v>
      </c>
      <c r="N14" s="18">
        <v>1.6458999999999999</v>
      </c>
      <c r="O14" s="18">
        <f t="shared" si="1"/>
        <v>31.894200000000001</v>
      </c>
      <c r="P14" s="7"/>
      <c r="Q14" s="10"/>
      <c r="R14" s="11"/>
      <c r="S14" s="11"/>
      <c r="T14" s="26"/>
      <c r="U14" s="28">
        <f t="shared" si="2"/>
        <v>6.4813636363636364</v>
      </c>
    </row>
    <row r="15" spans="1:21" x14ac:dyDescent="0.25">
      <c r="B15" s="9"/>
      <c r="C15" s="17">
        <v>2926.240234375</v>
      </c>
      <c r="D15" s="18">
        <v>28.629000000000001</v>
      </c>
      <c r="E15" s="18">
        <v>38.704000000000001</v>
      </c>
      <c r="F15" s="18">
        <v>39.725000000000001</v>
      </c>
      <c r="G15" s="18">
        <v>0.21</v>
      </c>
      <c r="H15" s="18">
        <f t="shared" si="0"/>
        <v>31.275375</v>
      </c>
      <c r="I15" s="5"/>
      <c r="J15" s="17">
        <v>2059.1999999999998</v>
      </c>
      <c r="K15" s="18">
        <v>27.0945</v>
      </c>
      <c r="L15" s="18">
        <v>39.754199999999997</v>
      </c>
      <c r="M15" s="18">
        <v>40.7791</v>
      </c>
      <c r="N15" s="18">
        <v>2.0762999999999998</v>
      </c>
      <c r="O15" s="18">
        <f t="shared" si="1"/>
        <v>30.387537500000001</v>
      </c>
      <c r="P15" s="7"/>
      <c r="Q15" s="10"/>
      <c r="R15" s="11"/>
      <c r="S15" s="11"/>
      <c r="T15" s="26"/>
      <c r="U15" s="28">
        <f t="shared" si="2"/>
        <v>8.887142857142857</v>
      </c>
    </row>
    <row r="16" spans="1:21" ht="16.5" thickBot="1" x14ac:dyDescent="0.3">
      <c r="B16" s="12"/>
      <c r="C16" s="19">
        <v>2561.44921875</v>
      </c>
      <c r="D16" s="20">
        <v>28.201000000000001</v>
      </c>
      <c r="E16" s="20">
        <v>37.631999999999998</v>
      </c>
      <c r="F16" s="20">
        <v>38.756</v>
      </c>
      <c r="G16" s="20">
        <v>0.21</v>
      </c>
      <c r="H16" s="20">
        <f t="shared" si="0"/>
        <v>30.699250000000003</v>
      </c>
      <c r="I16" s="5"/>
      <c r="J16" s="19">
        <v>1388.3568</v>
      </c>
      <c r="K16" s="20">
        <v>25.848400000000002</v>
      </c>
      <c r="L16" s="20">
        <v>38.585500000000003</v>
      </c>
      <c r="M16" s="20">
        <v>39.775100000000002</v>
      </c>
      <c r="N16" s="20">
        <v>2.4361000000000002</v>
      </c>
      <c r="O16" s="20">
        <f t="shared" si="1"/>
        <v>29.181375000000003</v>
      </c>
      <c r="P16" s="7"/>
      <c r="Q16" s="13"/>
      <c r="R16" s="14"/>
      <c r="S16" s="14"/>
      <c r="T16" s="27"/>
      <c r="U16" s="28">
        <f t="shared" si="2"/>
        <v>10.600476190476192</v>
      </c>
    </row>
    <row r="17" spans="1:21" x14ac:dyDescent="0.25">
      <c r="A17" s="6" t="s">
        <v>37</v>
      </c>
      <c r="B17" s="6" t="s">
        <v>48</v>
      </c>
      <c r="C17" s="15">
        <v>2177.6796875</v>
      </c>
      <c r="D17" s="16">
        <v>38.906999999999996</v>
      </c>
      <c r="E17" s="16">
        <v>41.643999999999998</v>
      </c>
      <c r="F17" s="16">
        <v>42.938000000000002</v>
      </c>
      <c r="G17" s="16">
        <v>0.52</v>
      </c>
      <c r="H17" s="16">
        <f t="shared" si="0"/>
        <v>39.752999999999993</v>
      </c>
      <c r="I17" s="5"/>
      <c r="J17" s="15">
        <v>2369.8919999999998</v>
      </c>
      <c r="K17" s="16">
        <v>39.607700000000001</v>
      </c>
      <c r="L17" s="16">
        <v>42.542000000000002</v>
      </c>
      <c r="M17" s="16">
        <v>44.262900000000002</v>
      </c>
      <c r="N17" s="16">
        <v>2.4053</v>
      </c>
      <c r="O17" s="16">
        <f t="shared" si="1"/>
        <v>40.556387500000007</v>
      </c>
      <c r="P17" s="7"/>
      <c r="Q17" s="8">
        <f>bdrate(C17:C20,D17:D20,J17:J20,K17:K20)</f>
        <v>-0.18146516677000002</v>
      </c>
      <c r="R17" s="8">
        <f>bdrate(C17:C20,E17:E20,J17:J20,L17:L20)</f>
        <v>-0.44380642794569858</v>
      </c>
      <c r="S17" s="8">
        <f>bdrate(C17:C20,F17:F20,J17:J20,M17:M20)</f>
        <v>-0.46251734163954172</v>
      </c>
      <c r="T17" s="25">
        <f>bdrate(C17:C20,H17:H20,J17:J20,O17:O20)</f>
        <v>-0.229185117733404</v>
      </c>
      <c r="U17" s="28">
        <f t="shared" si="2"/>
        <v>3.625576923076923</v>
      </c>
    </row>
    <row r="18" spans="1:21" x14ac:dyDescent="0.25">
      <c r="A18" s="9" t="s">
        <v>38</v>
      </c>
      <c r="B18" s="9"/>
      <c r="C18" s="17">
        <v>1477.2041015625</v>
      </c>
      <c r="D18" s="18">
        <v>37.667000000000002</v>
      </c>
      <c r="E18" s="18">
        <v>40.984000000000002</v>
      </c>
      <c r="F18" s="18">
        <v>42.216000000000001</v>
      </c>
      <c r="G18" s="18">
        <v>0.59</v>
      </c>
      <c r="H18" s="18">
        <f t="shared" si="0"/>
        <v>38.65025</v>
      </c>
      <c r="I18" s="5"/>
      <c r="J18" s="17">
        <v>1556.1024</v>
      </c>
      <c r="K18" s="18">
        <v>38.445</v>
      </c>
      <c r="L18" s="18">
        <v>41.949399999999997</v>
      </c>
      <c r="M18" s="18">
        <v>43.4512</v>
      </c>
      <c r="N18" s="18">
        <v>3.1061000000000001</v>
      </c>
      <c r="O18" s="18">
        <f t="shared" si="1"/>
        <v>39.508825000000002</v>
      </c>
      <c r="P18" s="7"/>
      <c r="Q18" s="10"/>
      <c r="R18" s="11"/>
      <c r="S18" s="11"/>
      <c r="T18" s="26"/>
      <c r="U18" s="28">
        <f t="shared" si="2"/>
        <v>4.2645762711864412</v>
      </c>
    </row>
    <row r="19" spans="1:21" x14ac:dyDescent="0.25">
      <c r="B19" s="9"/>
      <c r="C19" s="17">
        <v>934.25</v>
      </c>
      <c r="D19" s="18">
        <v>36.093000000000004</v>
      </c>
      <c r="E19" s="18">
        <v>40.164999999999999</v>
      </c>
      <c r="F19" s="18">
        <v>41.405000000000001</v>
      </c>
      <c r="G19" s="18">
        <v>0.66</v>
      </c>
      <c r="H19" s="18">
        <f t="shared" si="0"/>
        <v>37.266000000000005</v>
      </c>
      <c r="I19" s="5"/>
      <c r="J19" s="17">
        <v>968.44320000000005</v>
      </c>
      <c r="K19" s="18">
        <v>36.914499999999997</v>
      </c>
      <c r="L19" s="18">
        <v>41.222799999999999</v>
      </c>
      <c r="M19" s="18">
        <v>42.536799999999999</v>
      </c>
      <c r="N19" s="18">
        <v>4.1201999999999996</v>
      </c>
      <c r="O19" s="18">
        <f t="shared" si="1"/>
        <v>38.155824999999993</v>
      </c>
      <c r="P19" s="7"/>
      <c r="Q19" s="10"/>
      <c r="R19" s="11"/>
      <c r="S19" s="11"/>
      <c r="T19" s="26"/>
      <c r="U19" s="28">
        <f t="shared" si="2"/>
        <v>5.2427272727272713</v>
      </c>
    </row>
    <row r="20" spans="1:21" ht="16.5" thickBot="1" x14ac:dyDescent="0.3">
      <c r="B20" s="12"/>
      <c r="C20" s="19">
        <v>563.2900390625</v>
      </c>
      <c r="D20" s="20">
        <v>34.362000000000002</v>
      </c>
      <c r="E20" s="20">
        <v>39.237000000000002</v>
      </c>
      <c r="F20" s="20">
        <v>40.555</v>
      </c>
      <c r="G20" s="20">
        <v>0.66</v>
      </c>
      <c r="H20" s="20">
        <f t="shared" si="0"/>
        <v>35.7455</v>
      </c>
      <c r="I20" s="5"/>
      <c r="J20" s="19">
        <v>567.01760000000002</v>
      </c>
      <c r="K20" s="20">
        <v>35.104700000000001</v>
      </c>
      <c r="L20" s="20">
        <v>40.473100000000002</v>
      </c>
      <c r="M20" s="20">
        <v>41.735599999999998</v>
      </c>
      <c r="N20" s="20">
        <v>5.6045999999999996</v>
      </c>
      <c r="O20" s="20">
        <f t="shared" si="1"/>
        <v>36.604612499999995</v>
      </c>
      <c r="P20" s="7"/>
      <c r="Q20" s="13"/>
      <c r="R20" s="14"/>
      <c r="S20" s="14"/>
      <c r="T20" s="27"/>
      <c r="U20" s="28">
        <f t="shared" si="2"/>
        <v>7.4918181818181804</v>
      </c>
    </row>
    <row r="21" spans="1:21" x14ac:dyDescent="0.25">
      <c r="B21" s="6" t="s">
        <v>49</v>
      </c>
      <c r="C21" s="15">
        <v>2443.0830078125</v>
      </c>
      <c r="D21" s="16">
        <v>35.902000000000001</v>
      </c>
      <c r="E21" s="16">
        <v>39.637</v>
      </c>
      <c r="F21" s="16">
        <v>40.805</v>
      </c>
      <c r="G21" s="16">
        <v>0.49</v>
      </c>
      <c r="H21" s="16">
        <f t="shared" si="0"/>
        <v>36.981749999999998</v>
      </c>
      <c r="I21" s="5"/>
      <c r="J21" s="15">
        <v>2553.0504000000001</v>
      </c>
      <c r="K21" s="16">
        <v>36.893300000000004</v>
      </c>
      <c r="L21" s="16">
        <v>40.983199999999997</v>
      </c>
      <c r="M21" s="16">
        <v>42.3354</v>
      </c>
      <c r="N21" s="16">
        <v>2.6787999999999998</v>
      </c>
      <c r="O21" s="16">
        <f t="shared" si="1"/>
        <v>38.084800000000001</v>
      </c>
      <c r="P21" s="7"/>
      <c r="Q21" s="8">
        <f>bdrate(C21:C24,D21:D24,J21:J24,K21:K24)</f>
        <v>-0.23711699770000816</v>
      </c>
      <c r="R21" s="8">
        <f>bdrate(C21:C24,E21:E24,J21:J24,L21:L24)</f>
        <v>-0.49210064915983698</v>
      </c>
      <c r="S21" s="8">
        <f>bdrate(C21:C24,F21:F24,J21:J24,M21:M24)</f>
        <v>-0.50205406868165059</v>
      </c>
      <c r="T21" s="25">
        <f>bdrate(C21:C24,H21:H24,J21:J24,O21:O24)</f>
        <v>-0.29096107932434245</v>
      </c>
      <c r="U21" s="28">
        <f t="shared" si="2"/>
        <v>4.4669387755102035</v>
      </c>
    </row>
    <row r="22" spans="1:21" x14ac:dyDescent="0.25">
      <c r="B22" s="9"/>
      <c r="C22" s="17">
        <v>1641.7021484375</v>
      </c>
      <c r="D22" s="18">
        <v>34.667000000000002</v>
      </c>
      <c r="E22" s="18">
        <v>38.781999999999996</v>
      </c>
      <c r="F22" s="18">
        <v>40.000999999999998</v>
      </c>
      <c r="G22" s="18">
        <v>0.55000000000000004</v>
      </c>
      <c r="H22" s="18">
        <f t="shared" si="0"/>
        <v>35.848124999999996</v>
      </c>
      <c r="I22" s="5"/>
      <c r="J22" s="17">
        <v>1666.1952000000001</v>
      </c>
      <c r="K22" s="18">
        <v>35.5961</v>
      </c>
      <c r="L22" s="18">
        <v>40.143999999999998</v>
      </c>
      <c r="M22" s="18">
        <v>41.390099999999997</v>
      </c>
      <c r="N22" s="18">
        <v>3.4464000000000001</v>
      </c>
      <c r="O22" s="18">
        <f t="shared" si="1"/>
        <v>36.888837500000001</v>
      </c>
      <c r="P22" s="7"/>
      <c r="Q22" s="10"/>
      <c r="R22" s="11"/>
      <c r="S22" s="11"/>
      <c r="T22" s="26"/>
      <c r="U22" s="28">
        <f t="shared" si="2"/>
        <v>5.2661818181818179</v>
      </c>
    </row>
    <row r="23" spans="1:21" x14ac:dyDescent="0.25">
      <c r="B23" s="9"/>
      <c r="C23" s="17">
        <v>1022.6025390625</v>
      </c>
      <c r="D23" s="18">
        <v>33.231000000000002</v>
      </c>
      <c r="E23" s="18">
        <v>37.750999999999998</v>
      </c>
      <c r="F23" s="18">
        <v>39.154000000000003</v>
      </c>
      <c r="G23" s="18">
        <v>0.62</v>
      </c>
      <c r="H23" s="18">
        <f t="shared" si="0"/>
        <v>34.536375000000007</v>
      </c>
      <c r="I23" s="5"/>
      <c r="J23" s="17">
        <v>1032.3248000000001</v>
      </c>
      <c r="K23" s="18">
        <v>34.079099999999997</v>
      </c>
      <c r="L23" s="18">
        <v>39.207900000000002</v>
      </c>
      <c r="M23" s="18">
        <v>40.427</v>
      </c>
      <c r="N23" s="18">
        <v>4.5063000000000004</v>
      </c>
      <c r="O23" s="18">
        <f t="shared" si="1"/>
        <v>35.513687499999996</v>
      </c>
      <c r="P23" s="7"/>
      <c r="Q23" s="10"/>
      <c r="R23" s="11"/>
      <c r="S23" s="11"/>
      <c r="T23" s="26"/>
      <c r="U23" s="28">
        <f t="shared" si="2"/>
        <v>6.2682258064516132</v>
      </c>
    </row>
    <row r="24" spans="1:21" ht="16.5" thickBot="1" x14ac:dyDescent="0.3">
      <c r="B24" s="12"/>
      <c r="C24" s="19">
        <v>608.1923828125</v>
      </c>
      <c r="D24" s="20">
        <v>31.719000000000001</v>
      </c>
      <c r="E24" s="20">
        <v>36.759</v>
      </c>
      <c r="F24" s="20">
        <v>38.451000000000001</v>
      </c>
      <c r="G24" s="20">
        <v>0.59</v>
      </c>
      <c r="H24" s="20">
        <f t="shared" si="0"/>
        <v>33.190500000000007</v>
      </c>
      <c r="I24" s="5"/>
      <c r="J24" s="19">
        <v>614.18880000000001</v>
      </c>
      <c r="K24" s="20">
        <v>32.445500000000003</v>
      </c>
      <c r="L24" s="20">
        <v>38.1997</v>
      </c>
      <c r="M24" s="20">
        <v>39.546300000000002</v>
      </c>
      <c r="N24" s="20">
        <v>6.0880999999999998</v>
      </c>
      <c r="O24" s="20">
        <f t="shared" si="1"/>
        <v>34.052374999999998</v>
      </c>
      <c r="P24" s="7"/>
      <c r="Q24" s="13"/>
      <c r="R24" s="14"/>
      <c r="S24" s="14"/>
      <c r="T24" s="27"/>
      <c r="U24" s="28">
        <f t="shared" si="2"/>
        <v>9.3188135593220345</v>
      </c>
    </row>
    <row r="25" spans="1:21" x14ac:dyDescent="0.25">
      <c r="B25" s="6" t="s">
        <v>50</v>
      </c>
      <c r="C25" s="15">
        <v>2398.5126953125</v>
      </c>
      <c r="D25" s="16">
        <v>34.161000000000001</v>
      </c>
      <c r="E25" s="16">
        <v>38.103000000000002</v>
      </c>
      <c r="F25" s="16">
        <v>40.014000000000003</v>
      </c>
      <c r="G25" s="16">
        <v>0.55000000000000004</v>
      </c>
      <c r="H25" s="16">
        <f t="shared" si="0"/>
        <v>35.385375000000003</v>
      </c>
      <c r="I25" s="5"/>
      <c r="J25" s="15">
        <v>2406.6255999999998</v>
      </c>
      <c r="K25" s="16">
        <v>35.142099999999999</v>
      </c>
      <c r="L25" s="16">
        <v>38.844700000000003</v>
      </c>
      <c r="M25" s="16">
        <v>41.396099999999997</v>
      </c>
      <c r="N25" s="16">
        <v>3.8052000000000001</v>
      </c>
      <c r="O25" s="16">
        <f t="shared" si="1"/>
        <v>36.386674999999997</v>
      </c>
      <c r="P25" s="7"/>
      <c r="Q25" s="8">
        <f>bdrate(C25:C28,D25:D28,J25:J28,K25:K28)</f>
        <v>-0.2913077826159286</v>
      </c>
      <c r="R25" s="8">
        <f>bdrate(C25:C28,E25:E28,J25:J28,L25:L28)</f>
        <v>-0.52922685044080453</v>
      </c>
      <c r="S25" s="8">
        <f>bdrate(C25:C28,F25:F28,J25:J28,M25:M28)</f>
        <v>-0.52354023852866327</v>
      </c>
      <c r="T25" s="25">
        <f>bdrate(C25:C28,H25:H28,J25:J28,O25:O28)</f>
        <v>-0.33696439873970185</v>
      </c>
      <c r="U25" s="28">
        <f t="shared" si="2"/>
        <v>5.9185454545454546</v>
      </c>
    </row>
    <row r="26" spans="1:21" x14ac:dyDescent="0.25">
      <c r="B26" s="9"/>
      <c r="C26" s="17">
        <v>1607.8271484375</v>
      </c>
      <c r="D26" s="18">
        <v>32.933999999999997</v>
      </c>
      <c r="E26" s="18">
        <v>37.506999999999998</v>
      </c>
      <c r="F26" s="18">
        <v>38.994</v>
      </c>
      <c r="G26" s="18">
        <v>0.55000000000000004</v>
      </c>
      <c r="H26" s="18">
        <f t="shared" si="0"/>
        <v>34.263125000000002</v>
      </c>
      <c r="I26" s="5"/>
      <c r="J26" s="17">
        <v>1603.6768</v>
      </c>
      <c r="K26" s="18">
        <v>34.027700000000003</v>
      </c>
      <c r="L26" s="18">
        <v>38.419400000000003</v>
      </c>
      <c r="M26" s="18">
        <v>40.575000000000003</v>
      </c>
      <c r="N26" s="18">
        <v>4.8400999999999996</v>
      </c>
      <c r="O26" s="18">
        <f t="shared" si="1"/>
        <v>35.395074999999999</v>
      </c>
      <c r="P26" s="7"/>
      <c r="Q26" s="10"/>
      <c r="R26" s="11"/>
      <c r="S26" s="11"/>
      <c r="T26" s="26"/>
      <c r="U26" s="28">
        <f t="shared" si="2"/>
        <v>7.8001818181818168</v>
      </c>
    </row>
    <row r="27" spans="1:21" x14ac:dyDescent="0.25">
      <c r="B27" s="9"/>
      <c r="C27" s="17">
        <v>1005.638671875</v>
      </c>
      <c r="D27" s="18">
        <v>31.388999999999999</v>
      </c>
      <c r="E27" s="18">
        <v>36.689</v>
      </c>
      <c r="F27" s="18">
        <v>37.723999999999997</v>
      </c>
      <c r="G27" s="18">
        <v>0.47</v>
      </c>
      <c r="H27" s="18">
        <f t="shared" si="0"/>
        <v>32.843375000000002</v>
      </c>
      <c r="I27" s="5"/>
      <c r="J27" s="17">
        <v>1000.62</v>
      </c>
      <c r="K27" s="18">
        <v>32.502699999999997</v>
      </c>
      <c r="L27" s="18">
        <v>37.882800000000003</v>
      </c>
      <c r="M27" s="18">
        <v>39.607599999999998</v>
      </c>
      <c r="N27" s="18">
        <v>6.3342000000000001</v>
      </c>
      <c r="O27" s="18">
        <f t="shared" si="1"/>
        <v>34.063324999999999</v>
      </c>
      <c r="P27" s="7"/>
      <c r="Q27" s="10"/>
      <c r="R27" s="11"/>
      <c r="S27" s="11"/>
      <c r="T27" s="26"/>
      <c r="U27" s="28">
        <f t="shared" si="2"/>
        <v>12.477021276595746</v>
      </c>
    </row>
    <row r="28" spans="1:21" ht="16.5" thickBot="1" x14ac:dyDescent="0.3">
      <c r="B28" s="12"/>
      <c r="C28" s="19">
        <v>665.4951171875</v>
      </c>
      <c r="D28" s="20">
        <v>29.989000000000001</v>
      </c>
      <c r="E28" s="20">
        <v>35.774999999999999</v>
      </c>
      <c r="F28" s="20">
        <v>36.408999999999999</v>
      </c>
      <c r="G28" s="20">
        <v>0.43</v>
      </c>
      <c r="H28" s="20">
        <f t="shared" si="0"/>
        <v>31.514749999999999</v>
      </c>
      <c r="I28" s="5"/>
      <c r="J28" s="19">
        <v>592.44640000000004</v>
      </c>
      <c r="K28" s="20">
        <v>30.738700000000001</v>
      </c>
      <c r="L28" s="20">
        <v>37.210099999999997</v>
      </c>
      <c r="M28" s="20">
        <v>38.477800000000002</v>
      </c>
      <c r="N28" s="20">
        <v>8.8222000000000005</v>
      </c>
      <c r="O28" s="20">
        <f t="shared" si="1"/>
        <v>32.515012500000005</v>
      </c>
      <c r="P28" s="7"/>
      <c r="Q28" s="13"/>
      <c r="R28" s="14"/>
      <c r="S28" s="14"/>
      <c r="T28" s="27"/>
      <c r="U28" s="28">
        <f t="shared" si="2"/>
        <v>19.516744186046513</v>
      </c>
    </row>
    <row r="29" spans="1:21" x14ac:dyDescent="0.25">
      <c r="B29" s="6" t="s">
        <v>51</v>
      </c>
      <c r="C29" s="29">
        <v>2356.4482421875</v>
      </c>
      <c r="D29" s="30">
        <v>34.191000000000003</v>
      </c>
      <c r="E29" s="30">
        <v>40.225000000000001</v>
      </c>
      <c r="F29" s="30">
        <v>39.677</v>
      </c>
      <c r="G29" s="16">
        <v>0.56000000000000005</v>
      </c>
      <c r="H29" s="16">
        <f t="shared" si="0"/>
        <v>35.631</v>
      </c>
      <c r="I29" s="5"/>
      <c r="J29" s="29">
        <v>2447.9135999999999</v>
      </c>
      <c r="K29" s="30">
        <v>34.929699999999997</v>
      </c>
      <c r="L29" s="30">
        <v>41.390099999999997</v>
      </c>
      <c r="M29" s="30">
        <v>41.182000000000002</v>
      </c>
      <c r="N29" s="16">
        <v>3.2157</v>
      </c>
      <c r="O29" s="16">
        <f t="shared" si="1"/>
        <v>36.518787499999995</v>
      </c>
      <c r="P29" s="7"/>
      <c r="Q29" s="8">
        <f>bdrate(C29:C32,D29:D32,J29:J32,K29:K32)</f>
        <v>-0.14276688785865266</v>
      </c>
      <c r="R29" s="8">
        <f>bdrate(C29:C32,E29:E32,J29:J32,L29:L32)</f>
        <v>-0.53197622164795444</v>
      </c>
      <c r="S29" s="8">
        <f>bdrate(C29:C32,F29:F32,J29:J32,M29:M32)</f>
        <v>-0.49602363702601937</v>
      </c>
      <c r="T29" s="25">
        <f>bdrate(C29:C32,H29:H32,J29:J32,O29:O32)</f>
        <v>-0.2273246366743974</v>
      </c>
      <c r="U29" s="28">
        <f t="shared" si="2"/>
        <v>4.7423214285714277</v>
      </c>
    </row>
    <row r="30" spans="1:21" x14ac:dyDescent="0.25">
      <c r="B30" s="9"/>
      <c r="C30" s="31">
        <v>1595.9765625</v>
      </c>
      <c r="D30" s="32">
        <v>32.975999999999999</v>
      </c>
      <c r="E30" s="32">
        <v>39.387</v>
      </c>
      <c r="F30" s="32">
        <v>38.534999999999997</v>
      </c>
      <c r="G30" s="18">
        <v>0.55000000000000004</v>
      </c>
      <c r="H30" s="18">
        <f t="shared" si="0"/>
        <v>34.472250000000003</v>
      </c>
      <c r="I30" s="5"/>
      <c r="J30" s="31">
        <v>1633.9608000000001</v>
      </c>
      <c r="K30" s="32">
        <v>33.631799999999998</v>
      </c>
      <c r="L30" s="32">
        <v>40.713200000000001</v>
      </c>
      <c r="M30" s="32">
        <v>40.244</v>
      </c>
      <c r="N30" s="18">
        <v>4.0705</v>
      </c>
      <c r="O30" s="18">
        <f t="shared" si="1"/>
        <v>35.343499999999999</v>
      </c>
      <c r="P30" s="7"/>
      <c r="Q30" s="10"/>
      <c r="R30" s="11"/>
      <c r="S30" s="11"/>
      <c r="T30" s="26"/>
      <c r="U30" s="28">
        <f t="shared" si="2"/>
        <v>6.4009090909090904</v>
      </c>
    </row>
    <row r="31" spans="1:21" x14ac:dyDescent="0.25">
      <c r="B31" s="9"/>
      <c r="C31" s="31">
        <v>1011.970703125</v>
      </c>
      <c r="D31" s="32">
        <v>31.506</v>
      </c>
      <c r="E31" s="32">
        <v>38.316000000000003</v>
      </c>
      <c r="F31" s="32">
        <v>37.151000000000003</v>
      </c>
      <c r="G31" s="18">
        <v>0.52</v>
      </c>
      <c r="H31" s="18">
        <f t="shared" si="0"/>
        <v>33.062874999999998</v>
      </c>
      <c r="I31" s="5"/>
      <c r="J31" s="31">
        <v>1013.8848</v>
      </c>
      <c r="K31" s="32">
        <v>31.973299999999998</v>
      </c>
      <c r="L31" s="32">
        <v>39.986899999999999</v>
      </c>
      <c r="M31" s="32">
        <v>39.188099999999999</v>
      </c>
      <c r="N31" s="18">
        <v>5.3445</v>
      </c>
      <c r="O31" s="18">
        <f t="shared" si="1"/>
        <v>33.876849999999997</v>
      </c>
      <c r="P31" s="7"/>
      <c r="Q31" s="10"/>
      <c r="R31" s="11"/>
      <c r="S31" s="11"/>
      <c r="T31" s="26"/>
      <c r="U31" s="28">
        <f t="shared" si="2"/>
        <v>9.2778846153846164</v>
      </c>
    </row>
    <row r="32" spans="1:21" ht="16.5" thickBot="1" x14ac:dyDescent="0.3">
      <c r="B32" s="12"/>
      <c r="C32" s="33">
        <v>782.998046875</v>
      </c>
      <c r="D32" s="34">
        <v>30.634</v>
      </c>
      <c r="E32" s="34">
        <v>37.642000000000003</v>
      </c>
      <c r="F32" s="34">
        <v>36.341999999999999</v>
      </c>
      <c r="G32" s="20">
        <v>0.5</v>
      </c>
      <c r="H32" s="20">
        <f t="shared" si="0"/>
        <v>32.223500000000001</v>
      </c>
      <c r="I32" s="5"/>
      <c r="J32" s="33">
        <v>605.79600000000005</v>
      </c>
      <c r="K32" s="34">
        <v>30.127600000000001</v>
      </c>
      <c r="L32" s="34">
        <v>38.987499999999997</v>
      </c>
      <c r="M32" s="34">
        <v>37.699100000000001</v>
      </c>
      <c r="N32" s="20">
        <v>7.4728000000000003</v>
      </c>
      <c r="O32" s="20">
        <f t="shared" si="1"/>
        <v>32.181525000000001</v>
      </c>
      <c r="P32" s="7"/>
      <c r="Q32" s="13"/>
      <c r="R32" s="14"/>
      <c r="S32" s="14"/>
      <c r="T32" s="27"/>
      <c r="U32" s="28">
        <f t="shared" si="2"/>
        <v>13.945600000000001</v>
      </c>
    </row>
    <row r="33" spans="1:21" x14ac:dyDescent="0.25">
      <c r="B33" s="6" t="s">
        <v>52</v>
      </c>
      <c r="C33" s="15">
        <v>2534.06640625</v>
      </c>
      <c r="D33" s="16">
        <v>33.377000000000002</v>
      </c>
      <c r="E33" s="16">
        <v>39.353000000000002</v>
      </c>
      <c r="F33" s="16">
        <v>41.933</v>
      </c>
      <c r="G33" s="16">
        <v>0.47</v>
      </c>
      <c r="H33" s="16">
        <f t="shared" si="0"/>
        <v>35.1935</v>
      </c>
      <c r="I33" s="5"/>
      <c r="J33" s="15">
        <v>2395.6016</v>
      </c>
      <c r="K33" s="16">
        <v>34.164900000000003</v>
      </c>
      <c r="L33" s="16">
        <v>40.4816</v>
      </c>
      <c r="M33" s="16">
        <v>42.920400000000001</v>
      </c>
      <c r="N33" s="16">
        <v>4.5265000000000004</v>
      </c>
      <c r="O33" s="16">
        <f t="shared" si="1"/>
        <v>36.048924999999997</v>
      </c>
      <c r="P33" s="7"/>
      <c r="Q33" s="8">
        <f>bdrate(C33:C36,D33:D36,J33:J36,K33:K36)</f>
        <v>-0.3944043433361496</v>
      </c>
      <c r="R33" s="8">
        <f>bdrate(C33:C36,E33:E36,J33:J36,L33:L36)</f>
        <v>-0.59951236126268392</v>
      </c>
      <c r="S33" s="8">
        <f>bdrate(C33:C36,F33:F36,J33:J36,M33:M36)</f>
        <v>-0.59149908252378469</v>
      </c>
      <c r="T33" s="25">
        <f>bdrate(C33:C36,H33:H36,J33:J36,O33:O36)</f>
        <v>-0.43243666840050821</v>
      </c>
      <c r="U33" s="28">
        <f t="shared" si="2"/>
        <v>8.6308510638297893</v>
      </c>
    </row>
    <row r="34" spans="1:21" x14ac:dyDescent="0.25">
      <c r="B34" s="9"/>
      <c r="C34" s="17">
        <v>1695.62890625</v>
      </c>
      <c r="D34" s="18">
        <v>32.610999999999997</v>
      </c>
      <c r="E34" s="18">
        <v>38.822000000000003</v>
      </c>
      <c r="F34" s="18">
        <v>41.482999999999997</v>
      </c>
      <c r="G34" s="18">
        <v>0.52</v>
      </c>
      <c r="H34" s="18">
        <f t="shared" si="0"/>
        <v>34.496375</v>
      </c>
      <c r="I34" s="5"/>
      <c r="J34" s="17">
        <v>1582.8119999999999</v>
      </c>
      <c r="K34" s="18">
        <v>33.524799999999999</v>
      </c>
      <c r="L34" s="18">
        <v>40.012099999999997</v>
      </c>
      <c r="M34" s="18">
        <v>42.485900000000001</v>
      </c>
      <c r="N34" s="18">
        <v>6.0021000000000004</v>
      </c>
      <c r="O34" s="18">
        <f t="shared" si="1"/>
        <v>35.455849999999998</v>
      </c>
      <c r="P34" s="7"/>
      <c r="Q34" s="10"/>
      <c r="R34" s="11"/>
      <c r="S34" s="11"/>
      <c r="T34" s="26"/>
      <c r="U34" s="28">
        <f t="shared" si="2"/>
        <v>10.5425</v>
      </c>
    </row>
    <row r="35" spans="1:21" x14ac:dyDescent="0.25">
      <c r="B35" s="9"/>
      <c r="C35" s="17">
        <v>1051.9443359375</v>
      </c>
      <c r="D35" s="18">
        <v>31.545000000000002</v>
      </c>
      <c r="E35" s="18">
        <v>38.119999999999997</v>
      </c>
      <c r="F35" s="18">
        <v>40.895000000000003</v>
      </c>
      <c r="G35" s="18">
        <v>0.56000000000000005</v>
      </c>
      <c r="H35" s="18">
        <f t="shared" si="0"/>
        <v>33.535625000000003</v>
      </c>
      <c r="I35" s="5"/>
      <c r="J35" s="17">
        <v>983.96640000000002</v>
      </c>
      <c r="K35" s="18">
        <v>32.553100000000001</v>
      </c>
      <c r="L35" s="18">
        <v>39.2821</v>
      </c>
      <c r="M35" s="18">
        <v>41.859499999999997</v>
      </c>
      <c r="N35" s="18">
        <v>8.2253000000000007</v>
      </c>
      <c r="O35" s="18">
        <f t="shared" si="1"/>
        <v>34.557524999999998</v>
      </c>
      <c r="P35" s="7"/>
      <c r="Q35" s="10"/>
      <c r="R35" s="11"/>
      <c r="S35" s="11"/>
      <c r="T35" s="26"/>
      <c r="U35" s="28">
        <f t="shared" si="2"/>
        <v>13.688035714285713</v>
      </c>
    </row>
    <row r="36" spans="1:21" ht="16.5" thickBot="1" x14ac:dyDescent="0.3">
      <c r="B36" s="12"/>
      <c r="C36" s="19">
        <v>651.904296875</v>
      </c>
      <c r="D36" s="20">
        <v>30.277000000000001</v>
      </c>
      <c r="E36" s="20">
        <v>37.411000000000001</v>
      </c>
      <c r="F36" s="20">
        <v>40.264000000000003</v>
      </c>
      <c r="G36" s="20">
        <v>0.52</v>
      </c>
      <c r="H36" s="20">
        <f t="shared" si="0"/>
        <v>32.417124999999999</v>
      </c>
      <c r="I36" s="5"/>
      <c r="J36" s="19">
        <v>581.96559999999999</v>
      </c>
      <c r="K36" s="20">
        <v>31.166799999999999</v>
      </c>
      <c r="L36" s="20">
        <v>38.692100000000003</v>
      </c>
      <c r="M36" s="20">
        <v>41.336100000000002</v>
      </c>
      <c r="N36" s="20">
        <v>11.519</v>
      </c>
      <c r="O36" s="20">
        <f t="shared" si="1"/>
        <v>33.378625</v>
      </c>
      <c r="P36" s="7"/>
      <c r="Q36" s="13"/>
      <c r="R36" s="14"/>
      <c r="S36" s="14"/>
      <c r="T36" s="27"/>
      <c r="U36" s="28">
        <f t="shared" si="2"/>
        <v>21.151923076923076</v>
      </c>
    </row>
    <row r="37" spans="1:21" x14ac:dyDescent="0.25">
      <c r="A37" s="6" t="s">
        <v>39</v>
      </c>
      <c r="B37" s="6" t="s">
        <v>53</v>
      </c>
      <c r="C37" s="15">
        <v>933.859375</v>
      </c>
      <c r="D37" s="16">
        <v>35.877000000000002</v>
      </c>
      <c r="E37" s="16">
        <v>39.927</v>
      </c>
      <c r="F37" s="16">
        <v>39.716000000000001</v>
      </c>
      <c r="G37" s="16">
        <v>1.87</v>
      </c>
      <c r="H37" s="16">
        <f t="shared" si="0"/>
        <v>36.863124999999997</v>
      </c>
      <c r="I37" s="5"/>
      <c r="J37" s="15">
        <v>1199.5952</v>
      </c>
      <c r="K37" s="16">
        <v>37.061500000000002</v>
      </c>
      <c r="L37" s="16">
        <v>41.311199999999999</v>
      </c>
      <c r="M37" s="16">
        <v>41.381599999999999</v>
      </c>
      <c r="N37" s="16">
        <v>9.4573</v>
      </c>
      <c r="O37" s="16">
        <f t="shared" si="1"/>
        <v>38.132725000000001</v>
      </c>
      <c r="P37" s="7"/>
      <c r="Q37" s="8">
        <f>bdrate(C37:C40,D37:D40,J37:J40,K37:K40)</f>
        <v>8.9323622871395614E-4</v>
      </c>
      <c r="R37" s="8">
        <f>bdrate(C37:C40,E37:E40,J37:J40,L37:L40)</f>
        <v>-0.1716617902555243</v>
      </c>
      <c r="S37" s="8">
        <f>bdrate(C37:C40,F37:F40,J37:J40,M37:M40)</f>
        <v>-0.21540220277076716</v>
      </c>
      <c r="T37" s="25">
        <f>bdrate(C37:C40,H37:H40,J37:J40,O37:O40)</f>
        <v>-4.4264567493187301E-2</v>
      </c>
      <c r="U37" s="28">
        <f t="shared" si="2"/>
        <v>4.0573796791443844</v>
      </c>
    </row>
    <row r="38" spans="1:21" x14ac:dyDescent="0.25">
      <c r="A38" s="9" t="s">
        <v>40</v>
      </c>
      <c r="B38" s="9"/>
      <c r="C38" s="17">
        <v>656.3046875</v>
      </c>
      <c r="D38" s="18">
        <v>34.450000000000003</v>
      </c>
      <c r="E38" s="18">
        <v>38.950000000000003</v>
      </c>
      <c r="F38" s="18">
        <v>38.558999999999997</v>
      </c>
      <c r="G38" s="18">
        <v>2.04</v>
      </c>
      <c r="H38" s="18">
        <f t="shared" si="0"/>
        <v>35.526125000000008</v>
      </c>
      <c r="I38" s="5"/>
      <c r="J38" s="17">
        <v>796.95119999999997</v>
      </c>
      <c r="K38" s="18">
        <v>35.223199999999999</v>
      </c>
      <c r="L38" s="18">
        <v>39.971699999999998</v>
      </c>
      <c r="M38" s="18">
        <v>39.881799999999998</v>
      </c>
      <c r="N38" s="18">
        <v>11.6509</v>
      </c>
      <c r="O38" s="18">
        <f t="shared" si="1"/>
        <v>36.3990875</v>
      </c>
      <c r="P38" s="7"/>
      <c r="Q38" s="10"/>
      <c r="R38" s="11"/>
      <c r="S38" s="11"/>
      <c r="T38" s="26"/>
      <c r="U38" s="28">
        <f t="shared" si="2"/>
        <v>4.7112254901960791</v>
      </c>
    </row>
    <row r="39" spans="1:21" x14ac:dyDescent="0.25">
      <c r="B39" s="9"/>
      <c r="C39" s="17">
        <v>438.7783203125</v>
      </c>
      <c r="D39" s="18">
        <v>32.718000000000004</v>
      </c>
      <c r="E39" s="18">
        <v>37.545000000000002</v>
      </c>
      <c r="F39" s="18">
        <v>36.997999999999998</v>
      </c>
      <c r="G39" s="18">
        <v>1.82</v>
      </c>
      <c r="H39" s="18">
        <f t="shared" si="0"/>
        <v>33.856375</v>
      </c>
      <c r="I39" s="5"/>
      <c r="J39" s="17">
        <v>503.00959999999998</v>
      </c>
      <c r="K39" s="18">
        <v>33.277700000000003</v>
      </c>
      <c r="L39" s="18">
        <v>38.618000000000002</v>
      </c>
      <c r="M39" s="18">
        <v>38.401000000000003</v>
      </c>
      <c r="N39" s="18">
        <v>14.845599999999999</v>
      </c>
      <c r="O39" s="18">
        <f t="shared" si="1"/>
        <v>34.585650000000001</v>
      </c>
      <c r="P39" s="7"/>
      <c r="Q39" s="10"/>
      <c r="R39" s="11"/>
      <c r="S39" s="11"/>
      <c r="T39" s="26"/>
      <c r="U39" s="28">
        <f t="shared" si="2"/>
        <v>7.1569230769230758</v>
      </c>
    </row>
    <row r="40" spans="1:21" ht="16.5" thickBot="1" x14ac:dyDescent="0.3">
      <c r="B40" s="12"/>
      <c r="C40" s="19">
        <v>284.515625</v>
      </c>
      <c r="D40" s="20">
        <v>30.942</v>
      </c>
      <c r="E40" s="20">
        <v>35.976999999999997</v>
      </c>
      <c r="F40" s="20">
        <v>35.335999999999999</v>
      </c>
      <c r="G40" s="20">
        <v>1.56</v>
      </c>
      <c r="H40" s="20">
        <f t="shared" si="0"/>
        <v>32.120624999999997</v>
      </c>
      <c r="I40" s="5"/>
      <c r="J40" s="19">
        <v>299.3784</v>
      </c>
      <c r="K40" s="20">
        <v>31.244800000000001</v>
      </c>
      <c r="L40" s="20">
        <v>37.190899999999999</v>
      </c>
      <c r="M40" s="20">
        <v>36.772799999999997</v>
      </c>
      <c r="N40" s="20">
        <v>20.068999999999999</v>
      </c>
      <c r="O40" s="20">
        <f t="shared" si="1"/>
        <v>32.679062500000001</v>
      </c>
      <c r="P40" s="7"/>
      <c r="Q40" s="13"/>
      <c r="R40" s="14"/>
      <c r="S40" s="14"/>
      <c r="T40" s="27"/>
      <c r="U40" s="28">
        <f t="shared" si="2"/>
        <v>11.86474358974359</v>
      </c>
    </row>
    <row r="41" spans="1:21" x14ac:dyDescent="0.25">
      <c r="B41" s="6" t="s">
        <v>54</v>
      </c>
      <c r="C41" s="15">
        <v>1231.3330078125</v>
      </c>
      <c r="D41" s="16">
        <v>35.415999999999997</v>
      </c>
      <c r="E41" s="16">
        <v>40.558</v>
      </c>
      <c r="F41" s="16">
        <v>41.375999999999998</v>
      </c>
      <c r="G41" s="16">
        <v>1.45</v>
      </c>
      <c r="H41" s="16">
        <f t="shared" si="0"/>
        <v>36.803749999999994</v>
      </c>
      <c r="I41" s="5"/>
      <c r="J41" s="15">
        <v>1209.6448</v>
      </c>
      <c r="K41" s="16">
        <v>36.405799999999999</v>
      </c>
      <c r="L41" s="16">
        <v>41.893700000000003</v>
      </c>
      <c r="M41" s="16">
        <v>42.959299999999999</v>
      </c>
      <c r="N41" s="16">
        <v>11.6516</v>
      </c>
      <c r="O41" s="16">
        <f t="shared" si="1"/>
        <v>37.910975000000001</v>
      </c>
      <c r="P41" s="7"/>
      <c r="Q41" s="8">
        <f>bdrate(C41:C44,D41:D44,J41:J44,K41:K44)</f>
        <v>-0.2366397121632271</v>
      </c>
      <c r="R41" s="8">
        <f>bdrate(C41:C44,E41:E44,J41:J44,L41:L44)</f>
        <v>-0.46429411957802813</v>
      </c>
      <c r="S41" s="8">
        <f>bdrate(C41:C44,F41:F44,J41:J44,M41:M44)</f>
        <v>-0.47478758532150844</v>
      </c>
      <c r="T41" s="25">
        <f>bdrate(C41:C44,H41:H44,J41:J44,O41:O44)</f>
        <v>-0.28713746206487323</v>
      </c>
      <c r="U41" s="28">
        <f t="shared" si="2"/>
        <v>7.0355862068965527</v>
      </c>
    </row>
    <row r="42" spans="1:21" x14ac:dyDescent="0.25">
      <c r="B42" s="9"/>
      <c r="C42" s="17">
        <v>829.3505859375</v>
      </c>
      <c r="D42" s="18">
        <v>33.898000000000003</v>
      </c>
      <c r="E42" s="18">
        <v>39.494</v>
      </c>
      <c r="F42" s="18">
        <v>40.201999999999998</v>
      </c>
      <c r="G42" s="18">
        <v>1.59</v>
      </c>
      <c r="H42" s="18">
        <f t="shared" si="0"/>
        <v>35.385500000000008</v>
      </c>
      <c r="I42" s="5"/>
      <c r="J42" s="17">
        <v>805.6712</v>
      </c>
      <c r="K42" s="18">
        <v>34.875999999999998</v>
      </c>
      <c r="L42" s="18">
        <v>40.941400000000002</v>
      </c>
      <c r="M42" s="18">
        <v>41.831400000000002</v>
      </c>
      <c r="N42" s="18">
        <v>14.546900000000001</v>
      </c>
      <c r="O42" s="18">
        <f t="shared" si="1"/>
        <v>36.503599999999992</v>
      </c>
      <c r="P42" s="7"/>
      <c r="Q42" s="10"/>
      <c r="R42" s="11"/>
      <c r="S42" s="11"/>
      <c r="T42" s="26"/>
      <c r="U42" s="28">
        <f t="shared" si="2"/>
        <v>8.1489937106918244</v>
      </c>
    </row>
    <row r="43" spans="1:21" x14ac:dyDescent="0.25">
      <c r="B43" s="9"/>
      <c r="C43" s="17">
        <v>521.3486328125</v>
      </c>
      <c r="D43" s="18">
        <v>32.073</v>
      </c>
      <c r="E43" s="18">
        <v>38.243000000000002</v>
      </c>
      <c r="F43" s="18">
        <v>38.777999999999999</v>
      </c>
      <c r="G43" s="18">
        <v>1.6</v>
      </c>
      <c r="H43" s="18">
        <f t="shared" si="0"/>
        <v>33.682375</v>
      </c>
      <c r="I43" s="5"/>
      <c r="J43" s="17">
        <v>505.11360000000002</v>
      </c>
      <c r="K43" s="18">
        <v>33.013199999999998</v>
      </c>
      <c r="L43" s="18">
        <v>39.803100000000001</v>
      </c>
      <c r="M43" s="18">
        <v>40.594700000000003</v>
      </c>
      <c r="N43" s="18">
        <v>18.770499999999998</v>
      </c>
      <c r="O43" s="18">
        <f t="shared" si="1"/>
        <v>34.809624999999997</v>
      </c>
      <c r="P43" s="7"/>
      <c r="Q43" s="10"/>
      <c r="R43" s="11"/>
      <c r="S43" s="11"/>
      <c r="T43" s="26"/>
      <c r="U43" s="28">
        <f t="shared" si="2"/>
        <v>10.731562499999997</v>
      </c>
    </row>
    <row r="44" spans="1:21" ht="16.5" thickBot="1" x14ac:dyDescent="0.3">
      <c r="B44" s="12"/>
      <c r="C44" s="19">
        <v>322.1953125</v>
      </c>
      <c r="D44" s="20">
        <v>30.157</v>
      </c>
      <c r="E44" s="20">
        <v>36.887</v>
      </c>
      <c r="F44" s="20">
        <v>37.273000000000003</v>
      </c>
      <c r="G44" s="20">
        <v>1.48</v>
      </c>
      <c r="H44" s="20">
        <f t="shared" si="0"/>
        <v>31.88775</v>
      </c>
      <c r="I44" s="5"/>
      <c r="J44" s="19">
        <v>303.53919999999999</v>
      </c>
      <c r="K44" s="20">
        <v>30.917200000000001</v>
      </c>
      <c r="L44" s="20">
        <v>38.615400000000001</v>
      </c>
      <c r="M44" s="20">
        <v>39.296599999999998</v>
      </c>
      <c r="N44" s="20">
        <v>25.105699999999999</v>
      </c>
      <c r="O44" s="20">
        <f t="shared" si="1"/>
        <v>32.926899999999996</v>
      </c>
      <c r="P44" s="7"/>
      <c r="Q44" s="13"/>
      <c r="R44" s="14"/>
      <c r="S44" s="14"/>
      <c r="T44" s="27"/>
      <c r="U44" s="28">
        <f t="shared" si="2"/>
        <v>15.96331081081081</v>
      </c>
    </row>
    <row r="45" spans="1:21" x14ac:dyDescent="0.25">
      <c r="B45" s="6" t="s">
        <v>55</v>
      </c>
      <c r="C45" s="15">
        <v>1300.0537109375</v>
      </c>
      <c r="D45" s="16">
        <v>30.516999999999999</v>
      </c>
      <c r="E45" s="16">
        <v>36.622999999999998</v>
      </c>
      <c r="F45" s="16">
        <v>37.517000000000003</v>
      </c>
      <c r="G45" s="16">
        <v>1.0900000000000001</v>
      </c>
      <c r="H45" s="16">
        <f t="shared" si="0"/>
        <v>32.155250000000002</v>
      </c>
      <c r="I45" s="5"/>
      <c r="J45" s="15">
        <v>1184.9272000000001</v>
      </c>
      <c r="K45" s="16">
        <v>31.245699999999999</v>
      </c>
      <c r="L45" s="16">
        <v>37.745600000000003</v>
      </c>
      <c r="M45" s="16">
        <v>38.5991</v>
      </c>
      <c r="N45" s="16">
        <v>12.394299999999999</v>
      </c>
      <c r="O45" s="16">
        <f t="shared" si="1"/>
        <v>32.977362499999998</v>
      </c>
      <c r="P45" s="7"/>
      <c r="Q45" s="8">
        <f>bdrate(C45:C48,D45:D48,J45:J48,K45:K48)</f>
        <v>-0.27502685972935348</v>
      </c>
      <c r="R45" s="8">
        <f>bdrate(C45:C48,E45:E48,J45:J48,L45:L48)</f>
        <v>-0.52378543045622794</v>
      </c>
      <c r="S45" s="8">
        <f>bdrate(C45:C48,F45:F48,J45:J48,M45:M48)</f>
        <v>-0.48909587888068939</v>
      </c>
      <c r="T45" s="25">
        <f>bdrate(C45:C48,H45:H48,J45:J48,O45:O48)</f>
        <v>-0.3240440625592047</v>
      </c>
      <c r="U45" s="28">
        <f t="shared" si="2"/>
        <v>10.370917431192659</v>
      </c>
    </row>
    <row r="46" spans="1:21" x14ac:dyDescent="0.25">
      <c r="B46" s="9"/>
      <c r="C46" s="17">
        <v>887.2646484375</v>
      </c>
      <c r="D46" s="18">
        <v>29.164000000000001</v>
      </c>
      <c r="E46" s="18">
        <v>35.728000000000002</v>
      </c>
      <c r="F46" s="18">
        <v>36.613</v>
      </c>
      <c r="G46" s="18">
        <v>1.08</v>
      </c>
      <c r="H46" s="18">
        <f t="shared" si="0"/>
        <v>30.915625000000002</v>
      </c>
      <c r="I46" s="5"/>
      <c r="J46" s="17">
        <v>795.78719999999998</v>
      </c>
      <c r="K46" s="18">
        <v>29.905899999999999</v>
      </c>
      <c r="L46" s="18">
        <v>36.953499999999998</v>
      </c>
      <c r="M46" s="18">
        <v>37.747199999999999</v>
      </c>
      <c r="N46" s="18">
        <v>15.313499999999999</v>
      </c>
      <c r="O46" s="18">
        <f t="shared" si="1"/>
        <v>31.767012499999996</v>
      </c>
      <c r="P46" s="7"/>
      <c r="Q46" s="10"/>
      <c r="R46" s="11"/>
      <c r="S46" s="11"/>
      <c r="T46" s="26"/>
      <c r="U46" s="28">
        <f t="shared" si="2"/>
        <v>13.179166666666665</v>
      </c>
    </row>
    <row r="47" spans="1:21" x14ac:dyDescent="0.25">
      <c r="B47" s="9"/>
      <c r="C47" s="17">
        <v>560.2373046875</v>
      </c>
      <c r="D47" s="18">
        <v>27.72</v>
      </c>
      <c r="E47" s="18">
        <v>34.701000000000001</v>
      </c>
      <c r="F47" s="18">
        <v>35.591000000000001</v>
      </c>
      <c r="G47" s="18">
        <v>1.02</v>
      </c>
      <c r="H47" s="18">
        <f t="shared" si="0"/>
        <v>29.576499999999999</v>
      </c>
      <c r="I47" s="5"/>
      <c r="J47" s="17">
        <v>501.59359999999998</v>
      </c>
      <c r="K47" s="18">
        <v>28.384</v>
      </c>
      <c r="L47" s="18">
        <v>36.074599999999997</v>
      </c>
      <c r="M47" s="18">
        <v>36.823099999999997</v>
      </c>
      <c r="N47" s="18">
        <v>19.8704</v>
      </c>
      <c r="O47" s="18">
        <f t="shared" si="1"/>
        <v>30.400212500000002</v>
      </c>
      <c r="P47" s="7"/>
      <c r="Q47" s="10"/>
      <c r="R47" s="11"/>
      <c r="S47" s="11"/>
      <c r="T47" s="26"/>
      <c r="U47" s="28">
        <f t="shared" si="2"/>
        <v>18.48078431372549</v>
      </c>
    </row>
    <row r="48" spans="1:21" ht="16.5" thickBot="1" x14ac:dyDescent="0.3">
      <c r="B48" s="12"/>
      <c r="C48" s="19">
        <v>354.921875</v>
      </c>
      <c r="D48" s="20">
        <v>26.393999999999998</v>
      </c>
      <c r="E48" s="20">
        <v>33.695999999999998</v>
      </c>
      <c r="F48" s="20">
        <v>34.527000000000001</v>
      </c>
      <c r="G48" s="20">
        <v>0.93</v>
      </c>
      <c r="H48" s="20">
        <f t="shared" si="0"/>
        <v>28.323374999999999</v>
      </c>
      <c r="I48" s="5"/>
      <c r="J48" s="19">
        <v>304.51679999999999</v>
      </c>
      <c r="K48" s="20">
        <v>26.809699999999999</v>
      </c>
      <c r="L48" s="20">
        <v>35.188000000000002</v>
      </c>
      <c r="M48" s="20">
        <v>35.884900000000002</v>
      </c>
      <c r="N48" s="20">
        <v>26.014600000000002</v>
      </c>
      <c r="O48" s="20">
        <f t="shared" si="1"/>
        <v>28.991387500000002</v>
      </c>
      <c r="P48" s="7"/>
      <c r="Q48" s="13"/>
      <c r="R48" s="14"/>
      <c r="S48" s="14"/>
      <c r="T48" s="27"/>
      <c r="U48" s="28">
        <f t="shared" si="2"/>
        <v>26.972688172043011</v>
      </c>
    </row>
    <row r="49" spans="1:21" x14ac:dyDescent="0.25">
      <c r="B49" s="6" t="s">
        <v>56</v>
      </c>
      <c r="C49" s="15">
        <v>1202.8857421875</v>
      </c>
      <c r="D49" s="16">
        <v>33.148000000000003</v>
      </c>
      <c r="E49" s="16">
        <v>37.031999999999996</v>
      </c>
      <c r="F49" s="16">
        <v>38.725999999999999</v>
      </c>
      <c r="G49" s="16">
        <v>1.1299999999999999</v>
      </c>
      <c r="H49" s="16">
        <f t="shared" si="0"/>
        <v>34.330750000000002</v>
      </c>
      <c r="I49" s="5"/>
      <c r="J49" s="15">
        <v>1190.5264</v>
      </c>
      <c r="K49" s="16">
        <v>33.5824</v>
      </c>
      <c r="L49" s="16">
        <v>38.196199999999997</v>
      </c>
      <c r="M49" s="16">
        <v>39.822499999999998</v>
      </c>
      <c r="N49" s="16">
        <v>7.0519999999999996</v>
      </c>
      <c r="O49" s="16">
        <f t="shared" si="1"/>
        <v>34.939137500000001</v>
      </c>
      <c r="P49" s="7"/>
      <c r="Q49" s="8">
        <f>bdrate(C49:C52,D49:D52,J49:J52,K49:K52)</f>
        <v>-8.9202105698960921E-2</v>
      </c>
      <c r="R49" s="8">
        <f>bdrate(C49:C52,E49:E52,J49:J52,L49:L52)</f>
        <v>-0.46444483926885971</v>
      </c>
      <c r="S49" s="8">
        <f>bdrate(C49:C52,F49:F52,J49:J52,M49:M52)</f>
        <v>-0.47104085885567715</v>
      </c>
      <c r="T49" s="25">
        <f>bdrate(C49:C52,H49:H52,J49:J52,O49:O52)</f>
        <v>-0.17278120818235831</v>
      </c>
      <c r="U49" s="28">
        <f t="shared" si="2"/>
        <v>5.2407079646017705</v>
      </c>
    </row>
    <row r="50" spans="1:21" x14ac:dyDescent="0.25">
      <c r="B50" s="9"/>
      <c r="C50" s="17">
        <v>846.478515625</v>
      </c>
      <c r="D50" s="18">
        <v>31.811</v>
      </c>
      <c r="E50" s="18">
        <v>36.084000000000003</v>
      </c>
      <c r="F50" s="18">
        <v>37.75</v>
      </c>
      <c r="G50" s="18">
        <v>1.23</v>
      </c>
      <c r="H50" s="18">
        <f t="shared" si="0"/>
        <v>33.087499999999999</v>
      </c>
      <c r="I50" s="5"/>
      <c r="J50" s="17">
        <v>794.10080000000005</v>
      </c>
      <c r="K50" s="18">
        <v>31.9938</v>
      </c>
      <c r="L50" s="18">
        <v>37.226599999999998</v>
      </c>
      <c r="M50" s="18">
        <v>38.902200000000001</v>
      </c>
      <c r="N50" s="18">
        <v>8.7451000000000008</v>
      </c>
      <c r="O50" s="18">
        <f t="shared" si="1"/>
        <v>33.511450000000004</v>
      </c>
      <c r="P50" s="7"/>
      <c r="Q50" s="10"/>
      <c r="R50" s="11"/>
      <c r="S50" s="11"/>
      <c r="T50" s="26"/>
      <c r="U50" s="28">
        <f t="shared" si="2"/>
        <v>6.1098373983739842</v>
      </c>
    </row>
    <row r="51" spans="1:21" x14ac:dyDescent="0.25">
      <c r="B51" s="9"/>
      <c r="C51" s="17">
        <v>547.5595703125</v>
      </c>
      <c r="D51" s="18">
        <v>30.298999999999999</v>
      </c>
      <c r="E51" s="18">
        <v>35.057000000000002</v>
      </c>
      <c r="F51" s="18">
        <v>36.625</v>
      </c>
      <c r="G51" s="18">
        <v>1.22</v>
      </c>
      <c r="H51" s="18">
        <f t="shared" si="0"/>
        <v>31.6845</v>
      </c>
      <c r="I51" s="5"/>
      <c r="J51" s="17">
        <v>495.00319999999999</v>
      </c>
      <c r="K51" s="18">
        <v>30.245200000000001</v>
      </c>
      <c r="L51" s="18">
        <v>36.2851</v>
      </c>
      <c r="M51" s="18">
        <v>37.981900000000003</v>
      </c>
      <c r="N51" s="18">
        <v>10.9955</v>
      </c>
      <c r="O51" s="18">
        <f t="shared" si="1"/>
        <v>31.967275000000001</v>
      </c>
      <c r="P51" s="7"/>
      <c r="Q51" s="10"/>
      <c r="R51" s="11"/>
      <c r="S51" s="11"/>
      <c r="T51" s="26"/>
      <c r="U51" s="28">
        <f t="shared" si="2"/>
        <v>8.0127049180327869</v>
      </c>
    </row>
    <row r="52" spans="1:21" ht="16.5" thickBot="1" x14ac:dyDescent="0.3">
      <c r="B52" s="12"/>
      <c r="C52" s="19">
        <v>330.0625</v>
      </c>
      <c r="D52" s="20">
        <v>28.718</v>
      </c>
      <c r="E52" s="20">
        <v>33.92</v>
      </c>
      <c r="F52" s="20">
        <v>35.353999999999999</v>
      </c>
      <c r="G52" s="20">
        <v>1.0900000000000001</v>
      </c>
      <c r="H52" s="20">
        <f t="shared" si="0"/>
        <v>30.197749999999999</v>
      </c>
      <c r="I52" s="5"/>
      <c r="J52" s="19">
        <v>296.55840000000001</v>
      </c>
      <c r="K52" s="20">
        <v>28.527100000000001</v>
      </c>
      <c r="L52" s="20">
        <v>35.317799999999998</v>
      </c>
      <c r="M52" s="20">
        <v>37.011600000000001</v>
      </c>
      <c r="N52" s="20">
        <v>14.5907</v>
      </c>
      <c r="O52" s="20">
        <f t="shared" si="1"/>
        <v>30.436500000000002</v>
      </c>
      <c r="P52" s="7"/>
      <c r="Q52" s="13"/>
      <c r="R52" s="14"/>
      <c r="S52" s="14"/>
      <c r="T52" s="27"/>
      <c r="U52" s="28">
        <f t="shared" si="2"/>
        <v>12.385963302752293</v>
      </c>
    </row>
    <row r="53" spans="1:21" x14ac:dyDescent="0.25">
      <c r="A53" s="6" t="s">
        <v>41</v>
      </c>
      <c r="B53" s="6" t="s">
        <v>57</v>
      </c>
      <c r="C53" s="15">
        <v>510.95703125</v>
      </c>
      <c r="D53" s="16">
        <v>34.209000000000003</v>
      </c>
      <c r="E53" s="16">
        <v>39.448</v>
      </c>
      <c r="F53" s="16">
        <v>37.688000000000002</v>
      </c>
      <c r="G53" s="16">
        <v>2.81</v>
      </c>
      <c r="H53" s="16">
        <f t="shared" si="0"/>
        <v>35.298750000000005</v>
      </c>
      <c r="I53" s="5"/>
      <c r="J53" s="15">
        <v>608.48559999999998</v>
      </c>
      <c r="K53" s="16">
        <v>35.866300000000003</v>
      </c>
      <c r="L53" s="16">
        <v>41.404899999999998</v>
      </c>
      <c r="M53" s="16">
        <v>39.807299999999998</v>
      </c>
      <c r="N53" s="16">
        <v>24.4284</v>
      </c>
      <c r="O53" s="16">
        <f t="shared" si="1"/>
        <v>37.051250000000003</v>
      </c>
      <c r="P53" s="7"/>
      <c r="Q53" s="8">
        <f>bdrate(C53:C56,D53:D56,J53:J56,K53:K56)</f>
        <v>-0.14059305376612619</v>
      </c>
      <c r="R53" s="8">
        <f>bdrate(C53:C56,E53:E56,J53:J56,L53:L56)</f>
        <v>-0.43810102523566108</v>
      </c>
      <c r="S53" s="8">
        <f>bdrate(C53:C56,F53:F56,J53:J56,M53:M56)</f>
        <v>-0.43822862214630076</v>
      </c>
      <c r="T53" s="25">
        <f>bdrate(C53:C56,H53:H56,J53:J56,O53:O56)</f>
        <v>-0.20783277048469306</v>
      </c>
      <c r="U53" s="28">
        <f t="shared" si="2"/>
        <v>7.6933807829181493</v>
      </c>
    </row>
    <row r="54" spans="1:21" x14ac:dyDescent="0.25">
      <c r="A54" s="9" t="s">
        <v>42</v>
      </c>
      <c r="B54" s="9"/>
      <c r="C54" s="17">
        <v>366.48828125</v>
      </c>
      <c r="D54" s="18">
        <v>32.652999999999999</v>
      </c>
      <c r="E54" s="18">
        <v>38.433999999999997</v>
      </c>
      <c r="F54" s="18">
        <v>36.488999999999997</v>
      </c>
      <c r="G54" s="18">
        <v>3.03</v>
      </c>
      <c r="H54" s="18">
        <f t="shared" si="0"/>
        <v>33.855125000000001</v>
      </c>
      <c r="I54" s="5"/>
      <c r="J54" s="17">
        <v>402.61599999999999</v>
      </c>
      <c r="K54" s="18">
        <v>33.859400000000001</v>
      </c>
      <c r="L54" s="18">
        <v>40.154400000000003</v>
      </c>
      <c r="M54" s="18">
        <v>38.432699999999997</v>
      </c>
      <c r="N54" s="18">
        <v>29.7867</v>
      </c>
      <c r="O54" s="18">
        <f t="shared" si="1"/>
        <v>35.217937500000005</v>
      </c>
      <c r="P54" s="7"/>
      <c r="Q54" s="10"/>
      <c r="R54" s="11"/>
      <c r="S54" s="11"/>
      <c r="T54" s="26"/>
      <c r="U54" s="28">
        <f t="shared" si="2"/>
        <v>8.8305940594059411</v>
      </c>
    </row>
    <row r="55" spans="1:21" x14ac:dyDescent="0.25">
      <c r="B55" s="9"/>
      <c r="C55" s="17">
        <v>248.6650390625</v>
      </c>
      <c r="D55" s="18">
        <v>30.984999999999999</v>
      </c>
      <c r="E55" s="18">
        <v>37.353999999999999</v>
      </c>
      <c r="F55" s="18">
        <v>35.195</v>
      </c>
      <c r="G55" s="18">
        <v>3</v>
      </c>
      <c r="H55" s="18">
        <f t="shared" si="0"/>
        <v>32.307375</v>
      </c>
      <c r="I55" s="5"/>
      <c r="J55" s="17">
        <v>250.47280000000001</v>
      </c>
      <c r="K55" s="18">
        <v>31.6998</v>
      </c>
      <c r="L55" s="18">
        <v>38.890099999999997</v>
      </c>
      <c r="M55" s="18">
        <v>37.027099999999997</v>
      </c>
      <c r="N55" s="18">
        <v>36.544400000000003</v>
      </c>
      <c r="O55" s="18">
        <f t="shared" si="1"/>
        <v>33.264499999999998</v>
      </c>
      <c r="P55" s="7"/>
      <c r="Q55" s="10"/>
      <c r="R55" s="11"/>
      <c r="S55" s="11"/>
      <c r="T55" s="26"/>
      <c r="U55" s="28">
        <f t="shared" si="2"/>
        <v>11.181466666666667</v>
      </c>
    </row>
    <row r="56" spans="1:21" ht="16.5" thickBot="1" x14ac:dyDescent="0.3">
      <c r="B56" s="12"/>
      <c r="C56" s="19">
        <v>129.3603515625</v>
      </c>
      <c r="D56" s="20">
        <v>28.581</v>
      </c>
      <c r="E56" s="20">
        <v>35.518000000000001</v>
      </c>
      <c r="F56" s="20">
        <v>33.106000000000002</v>
      </c>
      <c r="G56" s="20">
        <v>2.5299999999999998</v>
      </c>
      <c r="H56" s="20">
        <f t="shared" si="0"/>
        <v>30.013749999999998</v>
      </c>
      <c r="I56" s="5"/>
      <c r="J56" s="19">
        <v>120.4568</v>
      </c>
      <c r="K56" s="20">
        <v>28.665700000000001</v>
      </c>
      <c r="L56" s="20">
        <v>37.196199999999997</v>
      </c>
      <c r="M56" s="20">
        <v>34.990400000000001</v>
      </c>
      <c r="N56" s="20">
        <v>53.2425</v>
      </c>
      <c r="O56" s="20">
        <f t="shared" si="1"/>
        <v>30.522600000000001</v>
      </c>
      <c r="P56" s="7"/>
      <c r="Q56" s="13"/>
      <c r="R56" s="14"/>
      <c r="S56" s="14"/>
      <c r="T56" s="27"/>
      <c r="U56" s="28">
        <f t="shared" si="2"/>
        <v>20.044466403162055</v>
      </c>
    </row>
    <row r="57" spans="1:21" x14ac:dyDescent="0.25">
      <c r="B57" s="6" t="s">
        <v>58</v>
      </c>
      <c r="C57" s="15">
        <v>642.8486328125</v>
      </c>
      <c r="D57" s="16">
        <v>33.411000000000001</v>
      </c>
      <c r="E57" s="16">
        <v>41.383000000000003</v>
      </c>
      <c r="F57" s="16">
        <v>42.331000000000003</v>
      </c>
      <c r="G57" s="16">
        <v>1.96</v>
      </c>
      <c r="H57" s="16">
        <f t="shared" si="0"/>
        <v>35.522500000000001</v>
      </c>
      <c r="I57" s="5"/>
      <c r="J57" s="15">
        <v>596.99199999999996</v>
      </c>
      <c r="K57" s="16">
        <v>34.636099999999999</v>
      </c>
      <c r="L57" s="16">
        <v>42.326799999999999</v>
      </c>
      <c r="M57" s="16">
        <v>43.297600000000003</v>
      </c>
      <c r="N57" s="16">
        <v>34.9</v>
      </c>
      <c r="O57" s="16">
        <f t="shared" si="1"/>
        <v>36.680124999999997</v>
      </c>
      <c r="P57" s="7"/>
      <c r="Q57" s="8">
        <f>bdrate(C57:C60,D57:D60,J57:J60,K57:K60)</f>
        <v>-0.3390007111603538</v>
      </c>
      <c r="R57" s="8">
        <f>bdrate(C57:C60,E57:E60,J57:J60,L57:L60)</f>
        <v>-0.3502777616316527</v>
      </c>
      <c r="S57" s="8">
        <f>bdrate(C57:C60,F57:F60,J57:J60,M57:M60)</f>
        <v>-0.35739088483605652</v>
      </c>
      <c r="T57" s="25">
        <f>bdrate(C57:C60,H57:H60,J57:J60,O57:O60)</f>
        <v>-0.34163218293877506</v>
      </c>
      <c r="U57" s="28">
        <f t="shared" si="2"/>
        <v>16.80612244897959</v>
      </c>
    </row>
    <row r="58" spans="1:21" x14ac:dyDescent="0.25">
      <c r="B58" s="9"/>
      <c r="C58" s="17">
        <v>436.0830078125</v>
      </c>
      <c r="D58" s="18">
        <v>32.125999999999998</v>
      </c>
      <c r="E58" s="18">
        <v>40.594000000000001</v>
      </c>
      <c r="F58" s="18">
        <v>41.488</v>
      </c>
      <c r="G58" s="18">
        <v>2.14</v>
      </c>
      <c r="H58" s="18">
        <f t="shared" si="0"/>
        <v>34.354749999999996</v>
      </c>
      <c r="I58" s="5"/>
      <c r="J58" s="17">
        <v>397.28320000000002</v>
      </c>
      <c r="K58" s="18">
        <v>33.233800000000002</v>
      </c>
      <c r="L58" s="18">
        <v>41.345100000000002</v>
      </c>
      <c r="M58" s="18">
        <v>42.284199999999998</v>
      </c>
      <c r="N58" s="18">
        <v>45.248899999999999</v>
      </c>
      <c r="O58" s="18">
        <f t="shared" si="1"/>
        <v>35.379012500000002</v>
      </c>
      <c r="P58" s="7"/>
      <c r="Q58" s="10"/>
      <c r="R58" s="11"/>
      <c r="S58" s="11"/>
      <c r="T58" s="26"/>
      <c r="U58" s="28">
        <f t="shared" si="2"/>
        <v>20.144345794392521</v>
      </c>
    </row>
    <row r="59" spans="1:21" x14ac:dyDescent="0.25">
      <c r="B59" s="9"/>
      <c r="C59" s="17">
        <v>273.5859375</v>
      </c>
      <c r="D59" s="18">
        <v>30.483000000000001</v>
      </c>
      <c r="E59" s="18">
        <v>39.658000000000001</v>
      </c>
      <c r="F59" s="18">
        <v>40.46</v>
      </c>
      <c r="G59" s="18">
        <v>2.37</v>
      </c>
      <c r="H59" s="18">
        <f t="shared" si="0"/>
        <v>32.876999999999995</v>
      </c>
      <c r="I59" s="5"/>
      <c r="J59" s="17">
        <v>248.036</v>
      </c>
      <c r="K59" s="18">
        <v>31.6205</v>
      </c>
      <c r="L59" s="18">
        <v>40.285899999999998</v>
      </c>
      <c r="M59" s="18">
        <v>41.184100000000001</v>
      </c>
      <c r="N59" s="18">
        <v>61.343400000000003</v>
      </c>
      <c r="O59" s="18">
        <f t="shared" si="1"/>
        <v>33.899124999999998</v>
      </c>
      <c r="P59" s="7"/>
      <c r="Q59" s="10"/>
      <c r="R59" s="11"/>
      <c r="S59" s="11"/>
      <c r="T59" s="26"/>
      <c r="U59" s="28">
        <f t="shared" si="2"/>
        <v>24.883291139240509</v>
      </c>
    </row>
    <row r="60" spans="1:21" ht="16.5" thickBot="1" x14ac:dyDescent="0.3">
      <c r="B60" s="12"/>
      <c r="C60" s="19">
        <v>133.8330078125</v>
      </c>
      <c r="D60" s="20">
        <v>28.17</v>
      </c>
      <c r="E60" s="20">
        <v>38.307000000000002</v>
      </c>
      <c r="F60" s="20">
        <v>38.908000000000001</v>
      </c>
      <c r="G60" s="20">
        <v>2.4300000000000002</v>
      </c>
      <c r="H60" s="20">
        <f t="shared" si="0"/>
        <v>30.779375000000002</v>
      </c>
      <c r="I60" s="5"/>
      <c r="J60" s="19">
        <v>118.0664</v>
      </c>
      <c r="K60" s="20">
        <v>28.949300000000001</v>
      </c>
      <c r="L60" s="20">
        <v>38.9358</v>
      </c>
      <c r="M60" s="20">
        <v>39.670900000000003</v>
      </c>
      <c r="N60" s="20">
        <v>100.41840000000001</v>
      </c>
      <c r="O60" s="20">
        <f t="shared" si="1"/>
        <v>31.537812500000001</v>
      </c>
      <c r="P60" s="7"/>
      <c r="Q60" s="13"/>
      <c r="R60" s="14"/>
      <c r="S60" s="14"/>
      <c r="T60" s="27"/>
      <c r="U60" s="28">
        <f t="shared" si="2"/>
        <v>40.324444444444438</v>
      </c>
    </row>
    <row r="61" spans="1:21" x14ac:dyDescent="0.25">
      <c r="B61" s="6" t="s">
        <v>59</v>
      </c>
      <c r="C61" s="29">
        <v>628.67578125</v>
      </c>
      <c r="D61" s="30">
        <v>32.774000000000001</v>
      </c>
      <c r="E61" s="30">
        <v>37.847000000000001</v>
      </c>
      <c r="F61" s="30">
        <v>38.774999999999999</v>
      </c>
      <c r="G61" s="16">
        <v>2.2999999999999998</v>
      </c>
      <c r="H61" s="16">
        <f t="shared" si="0"/>
        <v>34.158250000000002</v>
      </c>
      <c r="I61" s="5"/>
      <c r="J61" s="29">
        <v>592.52</v>
      </c>
      <c r="K61" s="30">
        <v>34.002099999999999</v>
      </c>
      <c r="L61" s="30">
        <v>39.223100000000002</v>
      </c>
      <c r="M61" s="30">
        <v>40.107399999999998</v>
      </c>
      <c r="N61" s="16">
        <v>28.239000000000001</v>
      </c>
      <c r="O61" s="16">
        <f t="shared" si="1"/>
        <v>35.417887499999999</v>
      </c>
      <c r="P61" s="7"/>
      <c r="Q61" s="8">
        <f>bdrate(C61:C64,D61:D64,J61:J64,K61:K64)</f>
        <v>-0.30774719721279453</v>
      </c>
      <c r="R61" s="8">
        <f>bdrate(C61:C64,E61:E64,J61:J64,L61:L64)</f>
        <v>-0.49555165821928393</v>
      </c>
      <c r="S61" s="8">
        <f>bdrate(C61:C64,F61:F64,J61:J64,M61:M64)</f>
        <v>-0.4671648102379945</v>
      </c>
      <c r="T61" s="25">
        <f>bdrate(C61:C64,H61:H64,J61:J64,O61:O64)</f>
        <v>-0.3472320531521208</v>
      </c>
      <c r="U61" s="28">
        <f t="shared" si="2"/>
        <v>11.277826086956523</v>
      </c>
    </row>
    <row r="62" spans="1:21" x14ac:dyDescent="0.25">
      <c r="B62" s="9"/>
      <c r="C62" s="31">
        <v>432.5146484375</v>
      </c>
      <c r="D62" s="32">
        <v>31.35</v>
      </c>
      <c r="E62" s="32">
        <v>36.664999999999999</v>
      </c>
      <c r="F62" s="32">
        <v>37.548999999999999</v>
      </c>
      <c r="G62" s="18">
        <v>2.48</v>
      </c>
      <c r="H62" s="18">
        <f t="shared" si="0"/>
        <v>32.789250000000003</v>
      </c>
      <c r="I62" s="5"/>
      <c r="J62" s="31">
        <v>395.46480000000003</v>
      </c>
      <c r="K62" s="32">
        <v>32.403100000000002</v>
      </c>
      <c r="L62" s="32">
        <v>38.090400000000002</v>
      </c>
      <c r="M62" s="32">
        <v>38.93</v>
      </c>
      <c r="N62" s="18">
        <v>34.8384</v>
      </c>
      <c r="O62" s="18">
        <f t="shared" si="1"/>
        <v>33.929875000000003</v>
      </c>
      <c r="P62" s="7"/>
      <c r="Q62" s="10"/>
      <c r="R62" s="11"/>
      <c r="S62" s="11"/>
      <c r="T62" s="26"/>
      <c r="U62" s="28">
        <f t="shared" si="2"/>
        <v>13.047741935483872</v>
      </c>
    </row>
    <row r="63" spans="1:21" x14ac:dyDescent="0.25">
      <c r="B63" s="9"/>
      <c r="C63" s="31">
        <v>275.61328125</v>
      </c>
      <c r="D63" s="32">
        <v>29.696000000000002</v>
      </c>
      <c r="E63" s="32">
        <v>35.427</v>
      </c>
      <c r="F63" s="32">
        <v>36.265999999999998</v>
      </c>
      <c r="G63" s="18">
        <v>2.62</v>
      </c>
      <c r="H63" s="18">
        <f t="shared" si="0"/>
        <v>31.233625</v>
      </c>
      <c r="I63" s="5"/>
      <c r="J63" s="31">
        <v>247.24879999999999</v>
      </c>
      <c r="K63" s="32">
        <v>30.656500000000001</v>
      </c>
      <c r="L63" s="32">
        <v>36.933599999999998</v>
      </c>
      <c r="M63" s="32">
        <v>37.6815</v>
      </c>
      <c r="N63" s="18">
        <v>43.607199999999999</v>
      </c>
      <c r="O63" s="18">
        <f t="shared" si="1"/>
        <v>32.319262500000008</v>
      </c>
      <c r="P63" s="7"/>
      <c r="Q63" s="10"/>
      <c r="R63" s="11"/>
      <c r="S63" s="11"/>
      <c r="T63" s="26"/>
      <c r="U63" s="28">
        <f t="shared" si="2"/>
        <v>15.643969465648855</v>
      </c>
    </row>
    <row r="64" spans="1:21" ht="16.5" thickBot="1" x14ac:dyDescent="0.3">
      <c r="B64" s="12"/>
      <c r="C64" s="33">
        <v>134.8232421875</v>
      </c>
      <c r="D64" s="34">
        <v>27.433</v>
      </c>
      <c r="E64" s="34">
        <v>33.704000000000001</v>
      </c>
      <c r="F64" s="34">
        <v>34.497999999999998</v>
      </c>
      <c r="G64" s="20">
        <v>2.39</v>
      </c>
      <c r="H64" s="20">
        <f t="shared" si="0"/>
        <v>29.1</v>
      </c>
      <c r="I64" s="5"/>
      <c r="J64" s="33">
        <v>119.72799999999999</v>
      </c>
      <c r="K64" s="34">
        <v>28.0929</v>
      </c>
      <c r="L64" s="34">
        <v>35.390700000000002</v>
      </c>
      <c r="M64" s="34">
        <v>36.060400000000001</v>
      </c>
      <c r="N64" s="20">
        <v>64.876099999999994</v>
      </c>
      <c r="O64" s="20">
        <f t="shared" si="1"/>
        <v>30.001062500000003</v>
      </c>
      <c r="P64" s="7"/>
      <c r="Q64" s="13"/>
      <c r="R64" s="14"/>
      <c r="S64" s="14"/>
      <c r="T64" s="27"/>
      <c r="U64" s="28">
        <f t="shared" si="2"/>
        <v>26.144811715481168</v>
      </c>
    </row>
    <row r="65" spans="1:21" x14ac:dyDescent="0.25">
      <c r="B65" s="6" t="s">
        <v>60</v>
      </c>
      <c r="C65" s="15">
        <v>564.109375</v>
      </c>
      <c r="D65" s="16">
        <v>34.448</v>
      </c>
      <c r="E65" s="16">
        <v>37.786000000000001</v>
      </c>
      <c r="F65" s="16">
        <v>38.963000000000001</v>
      </c>
      <c r="G65" s="16">
        <v>2.0099999999999998</v>
      </c>
      <c r="H65" s="16">
        <f t="shared" si="0"/>
        <v>35.429625000000001</v>
      </c>
      <c r="I65" s="5"/>
      <c r="J65" s="15">
        <v>587.92399999999998</v>
      </c>
      <c r="K65" s="16">
        <v>35.321300000000001</v>
      </c>
      <c r="L65" s="16">
        <v>39.196899999999999</v>
      </c>
      <c r="M65" s="16">
        <v>40.400799999999997</v>
      </c>
      <c r="N65" s="16">
        <v>15.360200000000001</v>
      </c>
      <c r="O65" s="16">
        <f t="shared" si="1"/>
        <v>36.440687499999996</v>
      </c>
      <c r="P65" s="7"/>
      <c r="Q65" s="8">
        <f>bdrate(C65:C68,D65:D68,J65:J68,K65:K68)</f>
        <v>-0.12249468828175103</v>
      </c>
      <c r="R65" s="8">
        <f>bdrate(C65:C68,E65:E68,J65:J68,L65:L68)</f>
        <v>-0.4236204347352136</v>
      </c>
      <c r="S65" s="8">
        <f>bdrate(C65:C68,F65:F68,J65:J68,M65:M68)</f>
        <v>-0.42543242136005632</v>
      </c>
      <c r="T65" s="25">
        <f>bdrate(C65:C68,H65:H68,J65:J68,O65:O68)</f>
        <v>-0.18950945014876752</v>
      </c>
      <c r="U65" s="28">
        <f t="shared" si="2"/>
        <v>6.6418905472636824</v>
      </c>
    </row>
    <row r="66" spans="1:21" x14ac:dyDescent="0.25">
      <c r="B66" s="9"/>
      <c r="C66" s="17">
        <v>397.474609375</v>
      </c>
      <c r="D66" s="18">
        <v>32.808999999999997</v>
      </c>
      <c r="E66" s="18">
        <v>36.597999999999999</v>
      </c>
      <c r="F66" s="18">
        <v>37.795999999999999</v>
      </c>
      <c r="G66" s="18">
        <v>2.2599999999999998</v>
      </c>
      <c r="H66" s="18">
        <f t="shared" si="0"/>
        <v>33.905999999999999</v>
      </c>
      <c r="I66" s="5"/>
      <c r="J66" s="17">
        <v>393.8288</v>
      </c>
      <c r="K66" s="18">
        <v>33.317700000000002</v>
      </c>
      <c r="L66" s="18">
        <v>37.980499999999999</v>
      </c>
      <c r="M66" s="18">
        <v>39.186799999999998</v>
      </c>
      <c r="N66" s="18">
        <v>18.707899999999999</v>
      </c>
      <c r="O66" s="18">
        <f t="shared" si="1"/>
        <v>34.634187500000003</v>
      </c>
      <c r="P66" s="7"/>
      <c r="Q66" s="10"/>
      <c r="R66" s="11"/>
      <c r="S66" s="11"/>
      <c r="T66" s="26"/>
      <c r="U66" s="28">
        <f t="shared" si="2"/>
        <v>7.2778318584070787</v>
      </c>
    </row>
    <row r="67" spans="1:21" x14ac:dyDescent="0.25">
      <c r="B67" s="9"/>
      <c r="C67" s="17">
        <v>271.5341796875</v>
      </c>
      <c r="D67" s="18">
        <v>31.103999999999999</v>
      </c>
      <c r="E67" s="18">
        <v>35.42</v>
      </c>
      <c r="F67" s="18">
        <v>36.625999999999998</v>
      </c>
      <c r="G67" s="18">
        <v>2.52</v>
      </c>
      <c r="H67" s="18">
        <f t="shared" si="0"/>
        <v>32.333749999999995</v>
      </c>
      <c r="I67" s="5"/>
      <c r="J67" s="17">
        <v>243.87039999999999</v>
      </c>
      <c r="K67" s="18">
        <v>31.233899999999998</v>
      </c>
      <c r="L67" s="18">
        <v>36.674500000000002</v>
      </c>
      <c r="M67" s="18">
        <v>37.890500000000003</v>
      </c>
      <c r="N67" s="18">
        <v>23.596</v>
      </c>
      <c r="O67" s="18">
        <f t="shared" si="1"/>
        <v>32.746049999999997</v>
      </c>
      <c r="P67" s="7"/>
      <c r="Q67" s="10"/>
      <c r="R67" s="11"/>
      <c r="S67" s="11"/>
      <c r="T67" s="26"/>
      <c r="U67" s="28">
        <f t="shared" si="2"/>
        <v>8.363492063492064</v>
      </c>
    </row>
    <row r="68" spans="1:21" ht="16.5" thickBot="1" x14ac:dyDescent="0.3">
      <c r="B68" s="12"/>
      <c r="C68" s="19">
        <v>137.923828125</v>
      </c>
      <c r="D68" s="20">
        <v>28.57</v>
      </c>
      <c r="E68" s="20">
        <v>33.570999999999998</v>
      </c>
      <c r="F68" s="20">
        <v>34.649000000000001</v>
      </c>
      <c r="G68" s="20">
        <v>2.27</v>
      </c>
      <c r="H68" s="20">
        <f t="shared" si="0"/>
        <v>29.955000000000002</v>
      </c>
      <c r="I68" s="5"/>
      <c r="J68" s="19">
        <v>117.9376</v>
      </c>
      <c r="K68" s="20">
        <v>28.468</v>
      </c>
      <c r="L68" s="20">
        <v>35.1113</v>
      </c>
      <c r="M68" s="20">
        <v>36.253100000000003</v>
      </c>
      <c r="N68" s="20">
        <v>34.835099999999997</v>
      </c>
      <c r="O68" s="20">
        <f t="shared" si="1"/>
        <v>30.271549999999998</v>
      </c>
      <c r="P68" s="7"/>
      <c r="Q68" s="13"/>
      <c r="R68" s="14"/>
      <c r="S68" s="14"/>
      <c r="T68" s="27"/>
      <c r="U68" s="28">
        <f t="shared" si="2"/>
        <v>14.345859030837001</v>
      </c>
    </row>
    <row r="69" spans="1:21" x14ac:dyDescent="0.25">
      <c r="A69" s="6" t="s">
        <v>43</v>
      </c>
      <c r="B69" s="6" t="s">
        <v>61</v>
      </c>
      <c r="C69" s="15">
        <v>1479.0234375</v>
      </c>
      <c r="D69" s="16">
        <v>41.204999999999998</v>
      </c>
      <c r="E69" s="16">
        <v>45.795000000000002</v>
      </c>
      <c r="F69" s="16">
        <v>47.097999999999999</v>
      </c>
      <c r="G69" s="16">
        <v>2.04</v>
      </c>
      <c r="H69" s="16">
        <f t="shared" si="0"/>
        <v>42.515374999999999</v>
      </c>
      <c r="I69" s="5"/>
      <c r="J69" s="15">
        <v>1505.6088</v>
      </c>
      <c r="K69" s="16">
        <v>42.125</v>
      </c>
      <c r="L69" s="16">
        <v>46.767299999999999</v>
      </c>
      <c r="M69" s="16">
        <v>48.035400000000003</v>
      </c>
      <c r="N69" s="16">
        <v>8.1973000000000003</v>
      </c>
      <c r="O69" s="16">
        <f t="shared" si="1"/>
        <v>43.444087499999995</v>
      </c>
      <c r="P69" s="7"/>
      <c r="Q69" s="8">
        <f>bdrate(C69:C72,D69:D72,J69:J72,K69:K72)</f>
        <v>-0.26989144996944792</v>
      </c>
      <c r="R69" s="8">
        <f>bdrate(C69:C72,E69:E72,J69:J72,L69:L72)</f>
        <v>-0.30764558636762185</v>
      </c>
      <c r="S69" s="8">
        <f>bdrate(C69:C72,F69:F72,J69:J72,M69:M72)</f>
        <v>-0.28967534563188468</v>
      </c>
      <c r="T69" s="25">
        <f>bdrate(C69:C72,H69:H72,J69:J72,O69:O72)</f>
        <v>-0.27570360974627905</v>
      </c>
      <c r="U69" s="28">
        <f t="shared" si="2"/>
        <v>3.0182843137254904</v>
      </c>
    </row>
    <row r="70" spans="1:21" x14ac:dyDescent="0.25">
      <c r="A70" s="9" t="s">
        <v>44</v>
      </c>
      <c r="B70" s="9"/>
      <c r="C70" s="17">
        <v>985.0966796875</v>
      </c>
      <c r="D70" s="18">
        <v>40.094999999999999</v>
      </c>
      <c r="E70" s="18">
        <v>44.917999999999999</v>
      </c>
      <c r="F70" s="18">
        <v>46.188000000000002</v>
      </c>
      <c r="G70" s="18">
        <v>2.5</v>
      </c>
      <c r="H70" s="18">
        <f t="shared" si="0"/>
        <v>41.459499999999998</v>
      </c>
      <c r="I70" s="5"/>
      <c r="J70" s="17">
        <v>998.00400000000002</v>
      </c>
      <c r="K70" s="18">
        <v>41.179900000000004</v>
      </c>
      <c r="L70" s="18">
        <v>45.973799999999997</v>
      </c>
      <c r="M70" s="18">
        <v>47.200800000000001</v>
      </c>
      <c r="N70" s="18">
        <v>10.6629</v>
      </c>
      <c r="O70" s="18">
        <f t="shared" si="1"/>
        <v>42.531750000000002</v>
      </c>
      <c r="P70" s="7"/>
      <c r="Q70" s="10"/>
      <c r="R70" s="11"/>
      <c r="S70" s="11"/>
      <c r="T70" s="26"/>
      <c r="U70" s="28">
        <f t="shared" si="2"/>
        <v>3.2651600000000003</v>
      </c>
    </row>
    <row r="71" spans="1:21" x14ac:dyDescent="0.25">
      <c r="B71" s="9"/>
      <c r="C71" s="17">
        <v>592.8701171875</v>
      </c>
      <c r="D71" s="18">
        <v>38.220999999999997</v>
      </c>
      <c r="E71" s="18">
        <v>43.463000000000001</v>
      </c>
      <c r="F71" s="18">
        <v>44.715000000000003</v>
      </c>
      <c r="G71" s="18">
        <v>2.97</v>
      </c>
      <c r="H71" s="18">
        <f t="shared" si="0"/>
        <v>39.688000000000002</v>
      </c>
      <c r="I71" s="5"/>
      <c r="J71" s="17">
        <v>592.94880000000001</v>
      </c>
      <c r="K71" s="18">
        <v>39.4206</v>
      </c>
      <c r="L71" s="18">
        <v>44.479300000000002</v>
      </c>
      <c r="M71" s="18">
        <v>45.686399999999999</v>
      </c>
      <c r="N71" s="18">
        <v>14.3195</v>
      </c>
      <c r="O71" s="18">
        <f t="shared" si="1"/>
        <v>40.8361625</v>
      </c>
      <c r="P71" s="7"/>
      <c r="Q71" s="10"/>
      <c r="R71" s="11"/>
      <c r="S71" s="11"/>
      <c r="T71" s="26"/>
      <c r="U71" s="28">
        <f t="shared" si="2"/>
        <v>3.8213804713804707</v>
      </c>
    </row>
    <row r="72" spans="1:21" ht="16.5" thickBot="1" x14ac:dyDescent="0.3">
      <c r="B72" s="12"/>
      <c r="C72" s="19">
        <v>299</v>
      </c>
      <c r="D72" s="20">
        <v>34.997999999999998</v>
      </c>
      <c r="E72" s="20">
        <v>41.255000000000003</v>
      </c>
      <c r="F72" s="20">
        <v>42.448999999999998</v>
      </c>
      <c r="G72" s="20">
        <v>2.92</v>
      </c>
      <c r="H72" s="20">
        <f t="shared" si="0"/>
        <v>36.711500000000001</v>
      </c>
      <c r="I72" s="5"/>
      <c r="J72" s="19">
        <v>289.48559999999998</v>
      </c>
      <c r="K72" s="20">
        <v>36.311999999999998</v>
      </c>
      <c r="L72" s="20">
        <v>42.398299999999999</v>
      </c>
      <c r="M72" s="20">
        <v>43.5017</v>
      </c>
      <c r="N72" s="20">
        <v>22.104299999999999</v>
      </c>
      <c r="O72" s="20">
        <f t="shared" si="1"/>
        <v>37.971499999999992</v>
      </c>
      <c r="P72" s="7"/>
      <c r="Q72" s="13"/>
      <c r="R72" s="14"/>
      <c r="S72" s="14"/>
      <c r="T72" s="27"/>
      <c r="U72" s="28">
        <f t="shared" si="2"/>
        <v>6.5699657534246576</v>
      </c>
    </row>
    <row r="73" spans="1:21" x14ac:dyDescent="0.25">
      <c r="B73" s="6" t="s">
        <v>62</v>
      </c>
      <c r="C73" s="15">
        <v>1473.16015625</v>
      </c>
      <c r="D73" s="16">
        <v>42.329000000000001</v>
      </c>
      <c r="E73" s="16">
        <v>47.892000000000003</v>
      </c>
      <c r="F73" s="16">
        <v>48.465000000000003</v>
      </c>
      <c r="G73" s="16">
        <v>1.38</v>
      </c>
      <c r="H73" s="16">
        <f t="shared" si="0"/>
        <v>43.791375000000002</v>
      </c>
      <c r="I73" s="5"/>
      <c r="J73" s="15">
        <v>1506.2639999999999</v>
      </c>
      <c r="K73" s="16">
        <v>43.069400000000002</v>
      </c>
      <c r="L73" s="16">
        <v>48.592500000000001</v>
      </c>
      <c r="M73" s="16">
        <v>49.308700000000002</v>
      </c>
      <c r="N73" s="16">
        <v>9.3831000000000007</v>
      </c>
      <c r="O73" s="16">
        <f t="shared" si="1"/>
        <v>44.539700000000003</v>
      </c>
      <c r="P73" s="7"/>
      <c r="Q73" s="8">
        <f>bdrate(C73:C76,D73:D76,J73:J76,K73:K76)</f>
        <v>-0.3952351979024209</v>
      </c>
      <c r="R73" s="8">
        <f>bdrate(C73:C76,E73:E76,J73:J76,L73:L76)</f>
        <v>-0.40895142718310218</v>
      </c>
      <c r="S73" s="8">
        <f>bdrate(C73:C76,F73:F76,J73:J76,M73:M76)</f>
        <v>-0.41583329627503374</v>
      </c>
      <c r="T73" s="25">
        <f>bdrate(C73:C76,H73:H76,J73:J76,O73:O76)</f>
        <v>-0.39996981230112794</v>
      </c>
      <c r="U73" s="28">
        <f t="shared" ref="U73:U124" si="3">(N73-G73)/G73</f>
        <v>5.7993478260869571</v>
      </c>
    </row>
    <row r="74" spans="1:21" x14ac:dyDescent="0.25">
      <c r="B74" s="9"/>
      <c r="C74" s="17">
        <v>983.86328125</v>
      </c>
      <c r="D74" s="18">
        <v>41.835999999999999</v>
      </c>
      <c r="E74" s="18">
        <v>47.353000000000002</v>
      </c>
      <c r="F74" s="18">
        <v>47.932000000000002</v>
      </c>
      <c r="G74" s="18">
        <v>1.54</v>
      </c>
      <c r="H74" s="18">
        <f t="shared" si="0"/>
        <v>43.287624999999998</v>
      </c>
      <c r="I74" s="5"/>
      <c r="J74" s="17">
        <v>996.61279999999999</v>
      </c>
      <c r="K74" s="18">
        <v>42.655200000000001</v>
      </c>
      <c r="L74" s="18">
        <v>48.210500000000003</v>
      </c>
      <c r="M74" s="18">
        <v>48.8977</v>
      </c>
      <c r="N74" s="18">
        <v>11.8161</v>
      </c>
      <c r="O74" s="18">
        <f t="shared" si="1"/>
        <v>44.129925</v>
      </c>
      <c r="P74" s="7"/>
      <c r="Q74" s="10"/>
      <c r="R74" s="11"/>
      <c r="S74" s="11"/>
      <c r="T74" s="26"/>
      <c r="U74" s="28">
        <f t="shared" si="3"/>
        <v>6.6727922077922077</v>
      </c>
    </row>
    <row r="75" spans="1:21" x14ac:dyDescent="0.25">
      <c r="B75" s="9"/>
      <c r="C75" s="17">
        <v>590.00390625</v>
      </c>
      <c r="D75" s="18">
        <v>40.993000000000002</v>
      </c>
      <c r="E75" s="18">
        <v>46.487000000000002</v>
      </c>
      <c r="F75" s="18">
        <v>47.082999999999998</v>
      </c>
      <c r="G75" s="18">
        <v>1.88</v>
      </c>
      <c r="H75" s="18">
        <f t="shared" si="0"/>
        <v>42.441000000000003</v>
      </c>
      <c r="I75" s="5"/>
      <c r="J75" s="17">
        <v>575.16160000000002</v>
      </c>
      <c r="K75" s="18">
        <v>41.887999999999998</v>
      </c>
      <c r="L75" s="18">
        <v>47.454000000000001</v>
      </c>
      <c r="M75" s="18">
        <v>48.141100000000002</v>
      </c>
      <c r="N75" s="18">
        <v>16.4573</v>
      </c>
      <c r="O75" s="18">
        <f t="shared" si="1"/>
        <v>43.365387499999997</v>
      </c>
      <c r="P75" s="7"/>
      <c r="Q75" s="10"/>
      <c r="R75" s="11"/>
      <c r="S75" s="11"/>
      <c r="T75" s="26"/>
      <c r="U75" s="28">
        <f t="shared" si="3"/>
        <v>7.7538829787234054</v>
      </c>
    </row>
    <row r="76" spans="1:21" ht="16.5" thickBot="1" x14ac:dyDescent="0.3">
      <c r="B76" s="12"/>
      <c r="C76" s="19">
        <v>295.56640625</v>
      </c>
      <c r="D76" s="20">
        <v>39.302999999999997</v>
      </c>
      <c r="E76" s="20">
        <v>44.908999999999999</v>
      </c>
      <c r="F76" s="20">
        <v>45.615000000000002</v>
      </c>
      <c r="G76" s="20">
        <v>2.4</v>
      </c>
      <c r="H76" s="20">
        <f t="shared" si="0"/>
        <v>40.792749999999998</v>
      </c>
      <c r="I76" s="5"/>
      <c r="J76" s="19">
        <v>274.46719999999999</v>
      </c>
      <c r="K76" s="20">
        <v>40.132100000000001</v>
      </c>
      <c r="L76" s="20">
        <v>45.638599999999997</v>
      </c>
      <c r="M76" s="20">
        <v>46.111800000000002</v>
      </c>
      <c r="N76" s="20">
        <v>25.692599999999999</v>
      </c>
      <c r="O76" s="20">
        <f t="shared" si="1"/>
        <v>41.567875000000001</v>
      </c>
      <c r="P76" s="7"/>
      <c r="Q76" s="13"/>
      <c r="R76" s="14"/>
      <c r="S76" s="14"/>
      <c r="T76" s="27"/>
      <c r="U76" s="28">
        <f t="shared" si="3"/>
        <v>9.7052500000000013</v>
      </c>
    </row>
    <row r="77" spans="1:21" x14ac:dyDescent="0.25">
      <c r="B77" s="6" t="s">
        <v>63</v>
      </c>
      <c r="C77" s="15">
        <v>1480.42578125</v>
      </c>
      <c r="D77" s="16">
        <v>42.206000000000003</v>
      </c>
      <c r="E77" s="16">
        <v>46.901000000000003</v>
      </c>
      <c r="F77" s="16">
        <v>47.805</v>
      </c>
      <c r="G77" s="16">
        <v>1.78</v>
      </c>
      <c r="H77" s="16">
        <f t="shared" si="0"/>
        <v>43.492750000000001</v>
      </c>
      <c r="I77" s="5"/>
      <c r="J77" s="15">
        <v>1541.36</v>
      </c>
      <c r="K77" s="16">
        <v>43.042200000000001</v>
      </c>
      <c r="L77" s="16">
        <v>47.800199999999997</v>
      </c>
      <c r="M77" s="16">
        <v>48.728900000000003</v>
      </c>
      <c r="N77" s="16">
        <v>8.3739000000000008</v>
      </c>
      <c r="O77" s="16">
        <f t="shared" si="1"/>
        <v>44.347787500000003</v>
      </c>
      <c r="P77" s="7"/>
      <c r="Q77" s="8">
        <f>bdrate(C77:C80,D77:D80,J77:J80,K77:K80)</f>
        <v>-0.30620042519775026</v>
      </c>
      <c r="R77" s="8">
        <f>bdrate(C77:C80,E77:E80,J77:J80,L77:L80)</f>
        <v>-0.35804112309316005</v>
      </c>
      <c r="S77" s="8">
        <f>bdrate(C77:C80,F77:F80,J77:J80,M77:M80)</f>
        <v>-0.34177712021675744</v>
      </c>
      <c r="T77" s="25">
        <f>bdrate(C77:C80,H77:H80,J77:J80,O77:O80)</f>
        <v>-0.31596749370999699</v>
      </c>
      <c r="U77" s="28">
        <f t="shared" si="3"/>
        <v>3.7044382022471911</v>
      </c>
    </row>
    <row r="78" spans="1:21" x14ac:dyDescent="0.25">
      <c r="B78" s="9"/>
      <c r="C78" s="17">
        <v>986.2822265625</v>
      </c>
      <c r="D78" s="18">
        <v>41.378</v>
      </c>
      <c r="E78" s="18">
        <v>46.131999999999998</v>
      </c>
      <c r="F78" s="18">
        <v>47.046999999999997</v>
      </c>
      <c r="G78" s="18">
        <v>2.11</v>
      </c>
      <c r="H78" s="18">
        <f t="shared" si="0"/>
        <v>42.680875</v>
      </c>
      <c r="I78" s="5"/>
      <c r="J78" s="17">
        <v>1022.6064</v>
      </c>
      <c r="K78" s="18">
        <v>42.3628</v>
      </c>
      <c r="L78" s="18">
        <v>47.233899999999998</v>
      </c>
      <c r="M78" s="18">
        <v>48.146999999999998</v>
      </c>
      <c r="N78" s="18">
        <v>10.6927</v>
      </c>
      <c r="O78" s="18">
        <f t="shared" si="1"/>
        <v>43.694712500000001</v>
      </c>
      <c r="P78" s="7"/>
      <c r="Q78" s="10"/>
      <c r="R78" s="11"/>
      <c r="S78" s="11"/>
      <c r="T78" s="26"/>
      <c r="U78" s="28">
        <f t="shared" si="3"/>
        <v>4.0676303317535556</v>
      </c>
    </row>
    <row r="79" spans="1:21" x14ac:dyDescent="0.25">
      <c r="B79" s="9"/>
      <c r="C79" s="17">
        <v>593.59765625</v>
      </c>
      <c r="D79" s="18">
        <v>39.984999999999999</v>
      </c>
      <c r="E79" s="18">
        <v>44.902000000000001</v>
      </c>
      <c r="F79" s="18">
        <v>45.893000000000001</v>
      </c>
      <c r="G79" s="18">
        <v>2.5299999999999998</v>
      </c>
      <c r="H79" s="18">
        <f t="shared" si="0"/>
        <v>41.338125000000005</v>
      </c>
      <c r="I79" s="5"/>
      <c r="J79" s="17">
        <v>602.87519999999995</v>
      </c>
      <c r="K79" s="18">
        <v>41.089199999999998</v>
      </c>
      <c r="L79" s="18">
        <v>46.014600000000002</v>
      </c>
      <c r="M79" s="18">
        <v>46.906799999999997</v>
      </c>
      <c r="N79" s="18">
        <v>14.459199999999999</v>
      </c>
      <c r="O79" s="18">
        <f t="shared" si="1"/>
        <v>42.432074999999998</v>
      </c>
      <c r="P79" s="7"/>
      <c r="Q79" s="10"/>
      <c r="R79" s="11"/>
      <c r="S79" s="11"/>
      <c r="T79" s="26"/>
      <c r="U79" s="28">
        <f t="shared" si="3"/>
        <v>4.7150988142292496</v>
      </c>
    </row>
    <row r="80" spans="1:21" ht="16.5" thickBot="1" x14ac:dyDescent="0.3">
      <c r="B80" s="12"/>
      <c r="C80" s="19">
        <v>296.7353515625</v>
      </c>
      <c r="D80" s="20">
        <v>37.405000000000001</v>
      </c>
      <c r="E80" s="20">
        <v>42.866</v>
      </c>
      <c r="F80" s="20">
        <v>43.942</v>
      </c>
      <c r="G80" s="20">
        <v>2.96</v>
      </c>
      <c r="H80" s="20">
        <f t="shared" si="0"/>
        <v>38.90475</v>
      </c>
      <c r="I80" s="5"/>
      <c r="J80" s="19">
        <v>293.77839999999998</v>
      </c>
      <c r="K80" s="20">
        <v>38.656700000000001</v>
      </c>
      <c r="L80" s="20">
        <v>44.132800000000003</v>
      </c>
      <c r="M80" s="20">
        <v>45.029800000000002</v>
      </c>
      <c r="N80" s="20">
        <v>22.597999999999999</v>
      </c>
      <c r="O80" s="20">
        <f t="shared" si="1"/>
        <v>40.13785</v>
      </c>
      <c r="P80" s="7"/>
      <c r="Q80" s="13"/>
      <c r="R80" s="14"/>
      <c r="S80" s="14"/>
      <c r="T80" s="27"/>
      <c r="U80" s="28">
        <f t="shared" si="3"/>
        <v>6.6344594594594586</v>
      </c>
    </row>
    <row r="81" spans="1:21" x14ac:dyDescent="0.25">
      <c r="A81" s="6" t="s">
        <v>94</v>
      </c>
      <c r="B81" s="6" t="s">
        <v>95</v>
      </c>
      <c r="C81" s="15">
        <v>1233.3837890625</v>
      </c>
      <c r="D81" s="16">
        <v>47.81</v>
      </c>
      <c r="E81" s="16">
        <v>52.939</v>
      </c>
      <c r="F81" s="16">
        <v>53.731999999999999</v>
      </c>
      <c r="G81" s="16">
        <v>1.75</v>
      </c>
      <c r="H81" s="16">
        <f t="shared" ref="H81:H124" si="4">(6*D81+E81+F81)/8</f>
        <v>49.191375000000008</v>
      </c>
      <c r="I81" s="5"/>
      <c r="J81" s="15">
        <v>1228.9447</v>
      </c>
      <c r="K81" s="16">
        <v>45.814999999999998</v>
      </c>
      <c r="L81" s="16">
        <v>52.031599999999997</v>
      </c>
      <c r="M81" s="16">
        <v>52.555300000000003</v>
      </c>
      <c r="N81" s="16">
        <v>4.8243999999999998</v>
      </c>
      <c r="O81" s="16">
        <f t="shared" ref="O81:O124" si="5">(6*K81+L81+M81)/8</f>
        <v>47.4346125</v>
      </c>
      <c r="P81" s="7"/>
      <c r="Q81" s="8">
        <f>bdrate(C81:C84,D81:D84,J81:J84,K81:K84)</f>
        <v>1.4407810978831481E-2</v>
      </c>
      <c r="R81" s="8">
        <f>bdrate(C81:C84,E81:E84,J81:J84,L81:L84)</f>
        <v>-0.21781514526053714</v>
      </c>
      <c r="S81" s="8">
        <f>bdrate(C81:C84,F81:F84,J81:J84,M81:M84)</f>
        <v>-0.22040597465561962</v>
      </c>
      <c r="T81" s="25">
        <f>bdrate(C81:C84,H81:H84,J81:J84,O81:O84)</f>
        <v>-4.5853512163333998E-2</v>
      </c>
      <c r="U81" s="28">
        <f t="shared" si="3"/>
        <v>1.7567999999999999</v>
      </c>
    </row>
    <row r="82" spans="1:21" x14ac:dyDescent="0.25">
      <c r="A82" s="9" t="s">
        <v>77</v>
      </c>
      <c r="B82" s="9"/>
      <c r="C82" s="17">
        <v>872.6142578125</v>
      </c>
      <c r="D82" s="18">
        <v>45.628</v>
      </c>
      <c r="E82" s="18">
        <v>51.003</v>
      </c>
      <c r="F82" s="18">
        <v>51.811999999999998</v>
      </c>
      <c r="G82" s="18">
        <v>1.82</v>
      </c>
      <c r="H82" s="18">
        <f t="shared" si="4"/>
        <v>47.072875000000003</v>
      </c>
      <c r="I82" s="5"/>
      <c r="J82" s="17">
        <v>828.06799999999998</v>
      </c>
      <c r="K82" s="18">
        <v>44.032200000000003</v>
      </c>
      <c r="L82" s="18">
        <v>50.754800000000003</v>
      </c>
      <c r="M82" s="18">
        <v>51.3245</v>
      </c>
      <c r="N82" s="18">
        <v>5.8773999999999997</v>
      </c>
      <c r="O82" s="18">
        <f t="shared" si="5"/>
        <v>45.784062500000005</v>
      </c>
      <c r="P82" s="7"/>
      <c r="Q82" s="10"/>
      <c r="R82" s="11"/>
      <c r="S82" s="11"/>
      <c r="T82" s="26"/>
      <c r="U82" s="28">
        <f t="shared" si="3"/>
        <v>2.2293406593406591</v>
      </c>
    </row>
    <row r="83" spans="1:21" x14ac:dyDescent="0.25">
      <c r="B83" s="9"/>
      <c r="C83" s="17">
        <v>553.6630859375</v>
      </c>
      <c r="D83" s="18">
        <v>41.582999999999998</v>
      </c>
      <c r="E83" s="18">
        <v>47.845999999999997</v>
      </c>
      <c r="F83" s="18">
        <v>48.631999999999998</v>
      </c>
      <c r="G83" s="18">
        <v>1.72</v>
      </c>
      <c r="H83" s="18">
        <f t="shared" si="4"/>
        <v>43.247</v>
      </c>
      <c r="I83" s="5"/>
      <c r="J83" s="17">
        <v>504.6583</v>
      </c>
      <c r="K83" s="18">
        <v>41.546799999999998</v>
      </c>
      <c r="L83" s="18">
        <v>49.248199999999997</v>
      </c>
      <c r="M83" s="18">
        <v>50.067100000000003</v>
      </c>
      <c r="N83" s="18">
        <v>7.6409000000000002</v>
      </c>
      <c r="O83" s="18">
        <f t="shared" si="5"/>
        <v>43.574512499999997</v>
      </c>
      <c r="P83" s="7"/>
      <c r="Q83" s="10"/>
      <c r="R83" s="11"/>
      <c r="S83" s="11"/>
      <c r="T83" s="26"/>
      <c r="U83" s="28">
        <f t="shared" si="3"/>
        <v>3.4423837209302328</v>
      </c>
    </row>
    <row r="84" spans="1:21" ht="16.5" thickBot="1" x14ac:dyDescent="0.3">
      <c r="B84" s="12"/>
      <c r="C84" s="19">
        <v>332.0224609375</v>
      </c>
      <c r="D84" s="20">
        <v>38.814</v>
      </c>
      <c r="E84" s="20">
        <v>45.290999999999997</v>
      </c>
      <c r="F84" s="20">
        <v>46.23</v>
      </c>
      <c r="G84" s="20">
        <v>1.52</v>
      </c>
      <c r="H84" s="20">
        <f t="shared" si="4"/>
        <v>40.550625000000004</v>
      </c>
      <c r="I84" s="5"/>
      <c r="J84" s="19">
        <v>257.61169999999998</v>
      </c>
      <c r="K84" s="20">
        <v>38.099699999999999</v>
      </c>
      <c r="L84" s="20">
        <v>46.518300000000004</v>
      </c>
      <c r="M84" s="20">
        <v>47.300400000000003</v>
      </c>
      <c r="N84" s="20">
        <v>11.4696</v>
      </c>
      <c r="O84" s="20">
        <f t="shared" si="5"/>
        <v>40.3021125</v>
      </c>
      <c r="P84" s="7"/>
      <c r="Q84" s="13"/>
      <c r="R84" s="14"/>
      <c r="S84" s="14"/>
      <c r="T84" s="27"/>
      <c r="U84" s="28">
        <f t="shared" si="3"/>
        <v>6.5457894736842102</v>
      </c>
    </row>
    <row r="85" spans="1:21" x14ac:dyDescent="0.25">
      <c r="B85" s="6" t="s">
        <v>96</v>
      </c>
      <c r="C85" s="15">
        <v>1454.8798828125</v>
      </c>
      <c r="D85" s="16">
        <v>54.161999999999999</v>
      </c>
      <c r="E85" s="16">
        <v>54.981000000000002</v>
      </c>
      <c r="F85" s="16">
        <v>55.322000000000003</v>
      </c>
      <c r="G85" s="16">
        <v>3.39</v>
      </c>
      <c r="H85" s="16">
        <f t="shared" si="4"/>
        <v>54.409374999999997</v>
      </c>
      <c r="I85" s="5"/>
      <c r="J85" s="15">
        <v>1403.0893000000001</v>
      </c>
      <c r="K85" s="16">
        <v>53.824199999999998</v>
      </c>
      <c r="L85" s="16">
        <v>54.649299999999997</v>
      </c>
      <c r="M85" s="16">
        <v>55.275300000000001</v>
      </c>
      <c r="N85" s="16">
        <v>12.853400000000001</v>
      </c>
      <c r="O85" s="16">
        <f t="shared" si="5"/>
        <v>54.108725</v>
      </c>
      <c r="P85" s="7"/>
      <c r="Q85" s="8">
        <f>bdrate(C85:C88,D85:D88,J85:J88,K85:K88)</f>
        <v>-0.15513559612501393</v>
      </c>
      <c r="R85" s="8">
        <f>bdrate(C85:C88,E85:E88,J85:J88,L85:L88)</f>
        <v>-0.21023941471498797</v>
      </c>
      <c r="S85" s="8">
        <f>bdrate(C85:C88,F85:F88,J85:J88,M85:M88)</f>
        <v>-0.23089597838033082</v>
      </c>
      <c r="T85" s="25">
        <f>bdrate(C85:C88,H85:H88,J85:J88,O85:O88)</f>
        <v>-0.17116611518688418</v>
      </c>
      <c r="U85" s="28">
        <f t="shared" si="3"/>
        <v>2.7915634218289083</v>
      </c>
    </row>
    <row r="86" spans="1:21" x14ac:dyDescent="0.25">
      <c r="B86" s="9"/>
      <c r="C86" s="17">
        <v>997.416015625</v>
      </c>
      <c r="D86" s="18">
        <v>51.375</v>
      </c>
      <c r="E86" s="18">
        <v>52.289000000000001</v>
      </c>
      <c r="F86" s="18">
        <v>52.682000000000002</v>
      </c>
      <c r="G86" s="18">
        <v>3.53</v>
      </c>
      <c r="H86" s="18">
        <f t="shared" si="4"/>
        <v>51.652625</v>
      </c>
      <c r="I86" s="5"/>
      <c r="J86" s="17">
        <v>963.452</v>
      </c>
      <c r="K86" s="18">
        <v>52.009599999999999</v>
      </c>
      <c r="L86" s="18">
        <v>53.075499999999998</v>
      </c>
      <c r="M86" s="18">
        <v>53.659500000000001</v>
      </c>
      <c r="N86" s="18">
        <v>14.5411</v>
      </c>
      <c r="O86" s="18">
        <f t="shared" si="5"/>
        <v>52.349074999999992</v>
      </c>
      <c r="P86" s="7"/>
      <c r="Q86" s="10"/>
      <c r="R86" s="11"/>
      <c r="S86" s="11"/>
      <c r="T86" s="26"/>
      <c r="U86" s="28">
        <f t="shared" si="3"/>
        <v>3.1192917847025501</v>
      </c>
    </row>
    <row r="87" spans="1:21" x14ac:dyDescent="0.25">
      <c r="B87" s="9"/>
      <c r="C87" s="17">
        <v>641.12890625</v>
      </c>
      <c r="D87" s="18">
        <v>48.43</v>
      </c>
      <c r="E87" s="18">
        <v>49.545999999999999</v>
      </c>
      <c r="F87" s="18">
        <v>49.972999999999999</v>
      </c>
      <c r="G87" s="18">
        <v>3.79</v>
      </c>
      <c r="H87" s="18">
        <f t="shared" si="4"/>
        <v>48.762374999999999</v>
      </c>
      <c r="I87" s="5"/>
      <c r="J87" s="17">
        <v>601.96289999999999</v>
      </c>
      <c r="K87" s="18">
        <v>49.3904</v>
      </c>
      <c r="L87" s="18">
        <v>50.859499999999997</v>
      </c>
      <c r="M87" s="18">
        <v>51.442700000000002</v>
      </c>
      <c r="N87" s="18">
        <v>17.490500000000001</v>
      </c>
      <c r="O87" s="18">
        <f t="shared" si="5"/>
        <v>49.830575000000003</v>
      </c>
      <c r="P87" s="7"/>
      <c r="Q87" s="10"/>
      <c r="R87" s="11"/>
      <c r="S87" s="11"/>
      <c r="T87" s="26"/>
      <c r="U87" s="28">
        <f t="shared" si="3"/>
        <v>3.6149076517150398</v>
      </c>
    </row>
    <row r="88" spans="1:21" ht="16.5" thickBot="1" x14ac:dyDescent="0.3">
      <c r="B88" s="12"/>
      <c r="C88" s="19">
        <v>336.9248046875</v>
      </c>
      <c r="D88" s="20">
        <v>44.222000000000001</v>
      </c>
      <c r="E88" s="20">
        <v>45.646000000000001</v>
      </c>
      <c r="F88" s="20">
        <v>46.124000000000002</v>
      </c>
      <c r="G88" s="20">
        <v>3.76</v>
      </c>
      <c r="H88" s="20">
        <f t="shared" si="4"/>
        <v>44.637750000000004</v>
      </c>
      <c r="I88" s="5"/>
      <c r="J88" s="19">
        <v>308.07709999999997</v>
      </c>
      <c r="K88" s="20">
        <v>44.722700000000003</v>
      </c>
      <c r="L88" s="20">
        <v>46.913600000000002</v>
      </c>
      <c r="M88" s="20">
        <v>47.495899999999999</v>
      </c>
      <c r="N88" s="20">
        <v>24.3889</v>
      </c>
      <c r="O88" s="20">
        <f t="shared" si="5"/>
        <v>45.343212500000007</v>
      </c>
      <c r="P88" s="7"/>
      <c r="Q88" s="13"/>
      <c r="R88" s="14"/>
      <c r="S88" s="14"/>
      <c r="T88" s="27"/>
      <c r="U88" s="28">
        <f t="shared" si="3"/>
        <v>5.4864095744680856</v>
      </c>
    </row>
    <row r="89" spans="1:21" x14ac:dyDescent="0.25">
      <c r="B89" s="6" t="s">
        <v>97</v>
      </c>
      <c r="C89" s="15">
        <v>1586.9267578125</v>
      </c>
      <c r="D89" s="16">
        <v>43.822000000000003</v>
      </c>
      <c r="E89" s="16">
        <v>46.011000000000003</v>
      </c>
      <c r="F89" s="16">
        <v>46.436999999999998</v>
      </c>
      <c r="G89" s="16">
        <v>1.78</v>
      </c>
      <c r="H89" s="16">
        <f t="shared" si="4"/>
        <v>44.422500000000007</v>
      </c>
      <c r="I89" s="5"/>
      <c r="J89" s="15">
        <v>1467.5872999999999</v>
      </c>
      <c r="K89" s="16">
        <v>44.8538</v>
      </c>
      <c r="L89" s="16">
        <v>47.224200000000003</v>
      </c>
      <c r="M89" s="16">
        <v>47.653399999999998</v>
      </c>
      <c r="N89" s="16">
        <v>5.8171999999999997</v>
      </c>
      <c r="O89" s="16">
        <f t="shared" si="5"/>
        <v>45.500049999999995</v>
      </c>
      <c r="P89" s="7"/>
      <c r="Q89" s="8">
        <f>bdrate(C89:C92,D89:D92,J89:J92,K89:K92)</f>
        <v>-0.26321438620650628</v>
      </c>
      <c r="R89" s="8">
        <f>bdrate(C89:C92,E89:E92,J89:J92,L89:L92)</f>
        <v>-0.37490750240722193</v>
      </c>
      <c r="S89" s="8">
        <f>bdrate(C89:C92,F89:F92,J89:J92,M89:M92)</f>
        <v>-0.37080198730437863</v>
      </c>
      <c r="T89" s="25">
        <f>bdrate(C89:C92,H89:H92,J89:J92,O89:O92)</f>
        <v>-0.28673658071017782</v>
      </c>
      <c r="U89" s="28">
        <f t="shared" si="3"/>
        <v>2.2680898876404489</v>
      </c>
    </row>
    <row r="90" spans="1:21" x14ac:dyDescent="0.25">
      <c r="B90" s="9"/>
      <c r="C90" s="17">
        <v>1119.935546875</v>
      </c>
      <c r="D90" s="18">
        <v>41.945</v>
      </c>
      <c r="E90" s="18">
        <v>44.494</v>
      </c>
      <c r="F90" s="18">
        <v>44.938000000000002</v>
      </c>
      <c r="G90" s="18">
        <v>1.89</v>
      </c>
      <c r="H90" s="18">
        <f t="shared" si="4"/>
        <v>42.637749999999997</v>
      </c>
      <c r="I90" s="5"/>
      <c r="J90" s="17">
        <v>987.44929999999999</v>
      </c>
      <c r="K90" s="18">
        <v>42.8795</v>
      </c>
      <c r="L90" s="18">
        <v>45.717599999999997</v>
      </c>
      <c r="M90" s="18">
        <v>46.127200000000002</v>
      </c>
      <c r="N90" s="18">
        <v>7.0185000000000004</v>
      </c>
      <c r="O90" s="18">
        <f t="shared" si="5"/>
        <v>43.640225000000001</v>
      </c>
      <c r="P90" s="7"/>
      <c r="Q90" s="10"/>
      <c r="R90" s="11"/>
      <c r="S90" s="11"/>
      <c r="T90" s="26"/>
      <c r="U90" s="28">
        <f t="shared" si="3"/>
        <v>2.7134920634920641</v>
      </c>
    </row>
    <row r="91" spans="1:21" x14ac:dyDescent="0.25">
      <c r="B91" s="9"/>
      <c r="C91" s="17">
        <v>733.4541015625</v>
      </c>
      <c r="D91" s="18">
        <v>39.665999999999997</v>
      </c>
      <c r="E91" s="18">
        <v>42.686999999999998</v>
      </c>
      <c r="F91" s="18">
        <v>43.093000000000004</v>
      </c>
      <c r="G91" s="18">
        <v>1.95</v>
      </c>
      <c r="H91" s="18">
        <f t="shared" si="4"/>
        <v>40.472000000000001</v>
      </c>
      <c r="I91" s="5"/>
      <c r="J91" s="17">
        <v>591.37249999999995</v>
      </c>
      <c r="K91" s="18">
        <v>40.225299999999997</v>
      </c>
      <c r="L91" s="18">
        <v>43.737000000000002</v>
      </c>
      <c r="M91" s="18">
        <v>44.1355</v>
      </c>
      <c r="N91" s="18">
        <v>9.0327000000000002</v>
      </c>
      <c r="O91" s="18">
        <f t="shared" si="5"/>
        <v>41.153037499999996</v>
      </c>
      <c r="P91" s="7"/>
      <c r="Q91" s="10"/>
      <c r="R91" s="11"/>
      <c r="S91" s="11"/>
      <c r="T91" s="26"/>
      <c r="U91" s="28">
        <f t="shared" si="3"/>
        <v>3.6321538461538463</v>
      </c>
    </row>
    <row r="92" spans="1:21" ht="16.5" thickBot="1" x14ac:dyDescent="0.3">
      <c r="B92" s="12"/>
      <c r="C92" s="19">
        <v>417.7822265625</v>
      </c>
      <c r="D92" s="20">
        <v>36.902999999999999</v>
      </c>
      <c r="E92" s="20">
        <v>40.423000000000002</v>
      </c>
      <c r="F92" s="20">
        <v>40.874000000000002</v>
      </c>
      <c r="G92" s="20">
        <v>1.91</v>
      </c>
      <c r="H92" s="20">
        <f t="shared" si="4"/>
        <v>37.839375000000004</v>
      </c>
      <c r="I92" s="5"/>
      <c r="J92" s="19">
        <v>296.25189999999998</v>
      </c>
      <c r="K92" s="20">
        <v>36.474800000000002</v>
      </c>
      <c r="L92" s="20">
        <v>41.221800000000002</v>
      </c>
      <c r="M92" s="20">
        <v>41.610799999999998</v>
      </c>
      <c r="N92" s="20">
        <v>12.9573</v>
      </c>
      <c r="O92" s="20">
        <f t="shared" si="5"/>
        <v>37.710175</v>
      </c>
      <c r="P92" s="7"/>
      <c r="Q92" s="13"/>
      <c r="R92" s="14"/>
      <c r="S92" s="14"/>
      <c r="T92" s="27"/>
      <c r="U92" s="28">
        <f t="shared" si="3"/>
        <v>5.7839267015706808</v>
      </c>
    </row>
    <row r="93" spans="1:21" x14ac:dyDescent="0.25">
      <c r="B93" s="6" t="s">
        <v>98</v>
      </c>
      <c r="C93" s="29">
        <v>1660.603515625</v>
      </c>
      <c r="D93" s="30">
        <v>39.707000000000001</v>
      </c>
      <c r="E93" s="30">
        <v>44.149000000000001</v>
      </c>
      <c r="F93" s="30">
        <v>44.128</v>
      </c>
      <c r="G93" s="16">
        <v>1.44</v>
      </c>
      <c r="H93" s="16">
        <f t="shared" si="4"/>
        <v>40.814875000000001</v>
      </c>
      <c r="I93" s="5"/>
      <c r="J93" s="29">
        <v>1495.7125000000001</v>
      </c>
      <c r="K93" s="30">
        <v>40.640999999999998</v>
      </c>
      <c r="L93" s="30">
        <v>45.261099999999999</v>
      </c>
      <c r="M93" s="30">
        <v>45.229900000000001</v>
      </c>
      <c r="N93" s="16">
        <v>5.0980999999999996</v>
      </c>
      <c r="O93" s="16">
        <f t="shared" si="5"/>
        <v>41.792124999999999</v>
      </c>
      <c r="P93" s="7"/>
      <c r="Q93" s="8">
        <f>bdrate(C93:C96,D93:D96,J93:J96,K93:K96)</f>
        <v>-0.24040069460317903</v>
      </c>
      <c r="R93" s="8">
        <f>bdrate(C93:C96,E93:E96,J93:J96,L93:L96)</f>
        <v>-0.41497565673111103</v>
      </c>
      <c r="S93" s="8">
        <f>bdrate(C93:C96,F93:F96,J93:J96,M93:M96)</f>
        <v>-0.40405037595520177</v>
      </c>
      <c r="T93" s="25">
        <f>bdrate(C93:C96,H93:H96,J93:J96,O93:O96)</f>
        <v>-0.27831667881874755</v>
      </c>
      <c r="U93" s="28">
        <f t="shared" si="3"/>
        <v>2.5403472222222221</v>
      </c>
    </row>
    <row r="94" spans="1:21" x14ac:dyDescent="0.25">
      <c r="B94" s="9"/>
      <c r="C94" s="31">
        <v>1162.427734375</v>
      </c>
      <c r="D94" s="32">
        <v>38.01</v>
      </c>
      <c r="E94" s="32">
        <v>42.826999999999998</v>
      </c>
      <c r="F94" s="32">
        <v>42.795999999999999</v>
      </c>
      <c r="G94" s="18">
        <v>1.52</v>
      </c>
      <c r="H94" s="18">
        <f t="shared" si="4"/>
        <v>39.210374999999999</v>
      </c>
      <c r="I94" s="5"/>
      <c r="J94" s="31">
        <v>997.71810000000005</v>
      </c>
      <c r="K94" s="32">
        <v>38.703699999999998</v>
      </c>
      <c r="L94" s="32">
        <v>43.905700000000003</v>
      </c>
      <c r="M94" s="32">
        <v>43.881700000000002</v>
      </c>
      <c r="N94" s="18">
        <v>6.2289000000000003</v>
      </c>
      <c r="O94" s="18">
        <f t="shared" si="5"/>
        <v>40.001200000000004</v>
      </c>
      <c r="P94" s="7"/>
      <c r="Q94" s="10"/>
      <c r="R94" s="11"/>
      <c r="S94" s="11"/>
      <c r="T94" s="26"/>
      <c r="U94" s="28">
        <f t="shared" si="3"/>
        <v>3.0979605263157892</v>
      </c>
    </row>
    <row r="95" spans="1:21" x14ac:dyDescent="0.25">
      <c r="B95" s="9"/>
      <c r="C95" s="31">
        <v>715.5478515625</v>
      </c>
      <c r="D95" s="32">
        <v>35.878</v>
      </c>
      <c r="E95" s="32">
        <v>41.154000000000003</v>
      </c>
      <c r="F95" s="32">
        <v>41.125999999999998</v>
      </c>
      <c r="G95" s="18">
        <v>1.59</v>
      </c>
      <c r="H95" s="18">
        <f t="shared" si="4"/>
        <v>37.1935</v>
      </c>
      <c r="I95" s="5"/>
      <c r="J95" s="31">
        <v>598.32090000000005</v>
      </c>
      <c r="K95" s="32">
        <v>36.319000000000003</v>
      </c>
      <c r="L95" s="32">
        <v>42.3538</v>
      </c>
      <c r="M95" s="32">
        <v>42.253500000000003</v>
      </c>
      <c r="N95" s="18">
        <v>8.0993999999999993</v>
      </c>
      <c r="O95" s="18">
        <f t="shared" si="5"/>
        <v>37.8151625</v>
      </c>
      <c r="P95" s="7"/>
      <c r="Q95" s="10"/>
      <c r="R95" s="11"/>
      <c r="S95" s="11"/>
      <c r="T95" s="26"/>
      <c r="U95" s="28">
        <f t="shared" si="3"/>
        <v>4.0939622641509432</v>
      </c>
    </row>
    <row r="96" spans="1:21" ht="16.5" thickBot="1" x14ac:dyDescent="0.3">
      <c r="B96" s="12"/>
      <c r="C96" s="33">
        <v>375.9306640625</v>
      </c>
      <c r="D96" s="34">
        <v>33.277000000000001</v>
      </c>
      <c r="E96" s="34">
        <v>39.058999999999997</v>
      </c>
      <c r="F96" s="34">
        <v>39.027000000000001</v>
      </c>
      <c r="G96" s="20">
        <v>1.5</v>
      </c>
      <c r="H96" s="20">
        <f t="shared" si="4"/>
        <v>34.718499999999999</v>
      </c>
      <c r="I96" s="5"/>
      <c r="J96" s="33">
        <v>299.61290000000002</v>
      </c>
      <c r="K96" s="34">
        <v>33.202199999999998</v>
      </c>
      <c r="L96" s="34">
        <v>40.418599999999998</v>
      </c>
      <c r="M96" s="34">
        <v>40.286900000000003</v>
      </c>
      <c r="N96" s="20">
        <v>11.8161</v>
      </c>
      <c r="O96" s="20">
        <f t="shared" si="5"/>
        <v>34.989837499999993</v>
      </c>
      <c r="P96" s="7"/>
      <c r="Q96" s="13"/>
      <c r="R96" s="14"/>
      <c r="S96" s="14"/>
      <c r="T96" s="27"/>
      <c r="U96" s="28">
        <f t="shared" si="3"/>
        <v>6.8774000000000006</v>
      </c>
    </row>
    <row r="97" spans="2:21" x14ac:dyDescent="0.25">
      <c r="B97" s="6" t="s">
        <v>99</v>
      </c>
      <c r="C97" s="15">
        <v>1362.2392578125</v>
      </c>
      <c r="D97" s="16">
        <v>37.466999999999999</v>
      </c>
      <c r="E97" s="16">
        <v>41.768999999999998</v>
      </c>
      <c r="F97" s="16">
        <v>42.366</v>
      </c>
      <c r="G97" s="16">
        <v>1.58</v>
      </c>
      <c r="H97" s="16">
        <f t="shared" si="4"/>
        <v>38.617124999999994</v>
      </c>
      <c r="I97" s="5"/>
      <c r="J97" s="15">
        <v>1506.6315999999999</v>
      </c>
      <c r="K97" s="16">
        <v>38.923299999999998</v>
      </c>
      <c r="L97" s="16">
        <v>43.769599999999997</v>
      </c>
      <c r="M97" s="16">
        <v>44.272500000000001</v>
      </c>
      <c r="N97" s="16">
        <v>6.4263000000000003</v>
      </c>
      <c r="O97" s="16">
        <f t="shared" si="5"/>
        <v>40.197737499999995</v>
      </c>
      <c r="P97" s="7"/>
      <c r="Q97" s="8">
        <f>bdrate(C97:C100,D97:D100,J97:J100,K97:K100)</f>
        <v>-0.16777366945500771</v>
      </c>
      <c r="R97" s="8">
        <f>bdrate(C97:C100,E97:E100,J97:J100,L97:L100)</f>
        <v>-0.39552406048463429</v>
      </c>
      <c r="S97" s="8">
        <f>bdrate(C97:C100,F97:F100,J97:J100,M97:M100)</f>
        <v>-0.38234663378256584</v>
      </c>
      <c r="T97" s="25">
        <f>bdrate(C97:C100,H97:H100,J97:J100,O97:O100)</f>
        <v>-0.22169175210215697</v>
      </c>
      <c r="U97" s="28">
        <f t="shared" si="3"/>
        <v>3.0672784810126581</v>
      </c>
    </row>
    <row r="98" spans="2:21" x14ac:dyDescent="0.25">
      <c r="B98" s="9"/>
      <c r="C98" s="17">
        <v>963.0595703125</v>
      </c>
      <c r="D98" s="18">
        <v>35.799999999999997</v>
      </c>
      <c r="E98" s="18">
        <v>40.401000000000003</v>
      </c>
      <c r="F98" s="18">
        <v>41.097999999999999</v>
      </c>
      <c r="G98" s="18">
        <v>1.67</v>
      </c>
      <c r="H98" s="18">
        <f t="shared" si="4"/>
        <v>37.037374999999997</v>
      </c>
      <c r="I98" s="5"/>
      <c r="J98" s="17">
        <v>1012.8235</v>
      </c>
      <c r="K98" s="18">
        <v>36.989800000000002</v>
      </c>
      <c r="L98" s="18">
        <v>42.351300000000002</v>
      </c>
      <c r="M98" s="18">
        <v>42.905999999999999</v>
      </c>
      <c r="N98" s="18">
        <v>7.9036</v>
      </c>
      <c r="O98" s="18">
        <f t="shared" si="5"/>
        <v>38.3995125</v>
      </c>
      <c r="P98" s="7"/>
      <c r="Q98" s="10"/>
      <c r="R98" s="11"/>
      <c r="S98" s="11"/>
      <c r="T98" s="26"/>
      <c r="U98" s="28">
        <f t="shared" si="3"/>
        <v>3.7326946107784433</v>
      </c>
    </row>
    <row r="99" spans="2:21" x14ac:dyDescent="0.25">
      <c r="B99" s="9"/>
      <c r="C99" s="17">
        <v>606.681640625</v>
      </c>
      <c r="D99" s="18">
        <v>33.587000000000003</v>
      </c>
      <c r="E99" s="18">
        <v>38.481999999999999</v>
      </c>
      <c r="F99" s="18">
        <v>39.265000000000001</v>
      </c>
      <c r="G99" s="18">
        <v>1.61</v>
      </c>
      <c r="H99" s="18">
        <f t="shared" si="4"/>
        <v>34.908625000000001</v>
      </c>
      <c r="I99" s="5"/>
      <c r="J99" s="17">
        <v>604.28089999999997</v>
      </c>
      <c r="K99" s="18">
        <v>34.477800000000002</v>
      </c>
      <c r="L99" s="18">
        <v>40.4255</v>
      </c>
      <c r="M99" s="18">
        <v>41.030500000000004</v>
      </c>
      <c r="N99" s="18">
        <v>10.0702</v>
      </c>
      <c r="O99" s="18">
        <f t="shared" si="5"/>
        <v>36.040350000000004</v>
      </c>
      <c r="P99" s="7"/>
      <c r="Q99" s="10"/>
      <c r="R99" s="11"/>
      <c r="S99" s="11"/>
      <c r="T99" s="26"/>
      <c r="U99" s="28">
        <f t="shared" si="3"/>
        <v>5.2547826086956517</v>
      </c>
    </row>
    <row r="100" spans="2:21" ht="16.5" thickBot="1" x14ac:dyDescent="0.3">
      <c r="B100" s="12"/>
      <c r="C100" s="19">
        <v>349.3447265625</v>
      </c>
      <c r="D100" s="20">
        <v>31.15</v>
      </c>
      <c r="E100" s="20">
        <v>36.259</v>
      </c>
      <c r="F100" s="20">
        <v>37.122</v>
      </c>
      <c r="G100" s="20">
        <v>1.45</v>
      </c>
      <c r="H100" s="20">
        <f t="shared" si="4"/>
        <v>32.535125000000001</v>
      </c>
      <c r="I100" s="5"/>
      <c r="J100" s="19">
        <v>304.4085</v>
      </c>
      <c r="K100" s="20">
        <v>31.1572</v>
      </c>
      <c r="L100" s="20">
        <v>38.101500000000001</v>
      </c>
      <c r="M100" s="20">
        <v>38.826500000000003</v>
      </c>
      <c r="N100" s="20">
        <v>14.2082</v>
      </c>
      <c r="O100" s="20">
        <f t="shared" si="5"/>
        <v>32.983899999999998</v>
      </c>
      <c r="P100" s="7"/>
      <c r="Q100" s="13"/>
      <c r="R100" s="14"/>
      <c r="S100" s="14"/>
      <c r="T100" s="27"/>
      <c r="U100" s="28">
        <f t="shared" si="3"/>
        <v>8.7987586206896555</v>
      </c>
    </row>
    <row r="101" spans="2:21" x14ac:dyDescent="0.25">
      <c r="B101" s="6" t="s">
        <v>100</v>
      </c>
      <c r="C101" s="15">
        <v>1528.7451171875</v>
      </c>
      <c r="D101" s="16">
        <v>37.978000000000002</v>
      </c>
      <c r="E101" s="16">
        <v>43.49</v>
      </c>
      <c r="F101" s="16">
        <v>45.46</v>
      </c>
      <c r="G101" s="16">
        <v>1.43</v>
      </c>
      <c r="H101" s="16">
        <f t="shared" si="4"/>
        <v>39.602249999999998</v>
      </c>
      <c r="I101" s="5"/>
      <c r="J101" s="15">
        <v>1510.4783</v>
      </c>
      <c r="K101" s="16">
        <v>38.637</v>
      </c>
      <c r="L101" s="16">
        <v>44.662999999999997</v>
      </c>
      <c r="M101" s="16">
        <v>46.240299999999998</v>
      </c>
      <c r="N101" s="16">
        <v>4.6669</v>
      </c>
      <c r="O101" s="16">
        <f t="shared" si="5"/>
        <v>40.340662500000001</v>
      </c>
      <c r="P101" s="7"/>
      <c r="Q101" s="8">
        <f>bdrate(C101:C104,D101:D104,J101:J104,K101:K104)</f>
        <v>-0.1535545182975302</v>
      </c>
      <c r="R101" s="8">
        <f>bdrate(C101:C104,E101:E104,J101:J104,L101:L104)</f>
        <v>-0.45195197823120203</v>
      </c>
      <c r="S101" s="8">
        <f>bdrate(C101:C104,F101:F104,J101:J104,M101:M104)</f>
        <v>-0.3433584125379654</v>
      </c>
      <c r="T101" s="25">
        <f>bdrate(C101:C104,H101:H104,J101:J104,O101:O104)</f>
        <v>-0.21149357259627433</v>
      </c>
      <c r="U101" s="28">
        <f t="shared" si="3"/>
        <v>2.2635664335664338</v>
      </c>
    </row>
    <row r="102" spans="2:21" x14ac:dyDescent="0.25">
      <c r="B102" s="9"/>
      <c r="C102" s="17">
        <v>1030.01171875</v>
      </c>
      <c r="D102" s="18">
        <v>36.600999999999999</v>
      </c>
      <c r="E102" s="18">
        <v>42.472999999999999</v>
      </c>
      <c r="F102" s="18">
        <v>44.372</v>
      </c>
      <c r="G102" s="18">
        <v>1.57</v>
      </c>
      <c r="H102" s="18">
        <f t="shared" si="4"/>
        <v>38.306375000000003</v>
      </c>
      <c r="I102" s="5"/>
      <c r="J102" s="17">
        <v>1007.9017</v>
      </c>
      <c r="K102" s="18">
        <v>37.117400000000004</v>
      </c>
      <c r="L102" s="18">
        <v>43.696899999999999</v>
      </c>
      <c r="M102" s="18">
        <v>45.208399999999997</v>
      </c>
      <c r="N102" s="18">
        <v>5.7557</v>
      </c>
      <c r="O102" s="18">
        <f t="shared" si="5"/>
        <v>38.951212499999997</v>
      </c>
      <c r="P102" s="7"/>
      <c r="Q102" s="10"/>
      <c r="R102" s="11"/>
      <c r="S102" s="11"/>
      <c r="T102" s="26"/>
      <c r="U102" s="28">
        <f t="shared" si="3"/>
        <v>2.6660509554140126</v>
      </c>
    </row>
    <row r="103" spans="2:21" x14ac:dyDescent="0.25">
      <c r="B103" s="9"/>
      <c r="C103" s="17">
        <v>627.4990234375</v>
      </c>
      <c r="D103" s="18">
        <v>34.936</v>
      </c>
      <c r="E103" s="18">
        <v>41.201000000000001</v>
      </c>
      <c r="F103" s="18">
        <v>42.835999999999999</v>
      </c>
      <c r="G103" s="18">
        <v>1.68</v>
      </c>
      <c r="H103" s="18">
        <f t="shared" si="4"/>
        <v>36.706624999999995</v>
      </c>
      <c r="I103" s="5"/>
      <c r="J103" s="17">
        <v>603.81650000000002</v>
      </c>
      <c r="K103" s="18">
        <v>35.368299999999998</v>
      </c>
      <c r="L103" s="18">
        <v>42.587299999999999</v>
      </c>
      <c r="M103" s="18">
        <v>43.974200000000003</v>
      </c>
      <c r="N103" s="18">
        <v>7.6414</v>
      </c>
      <c r="O103" s="18">
        <f t="shared" si="5"/>
        <v>37.3464125</v>
      </c>
      <c r="P103" s="7"/>
      <c r="Q103" s="10"/>
      <c r="R103" s="11"/>
      <c r="S103" s="11"/>
      <c r="T103" s="26"/>
      <c r="U103" s="28">
        <f t="shared" si="3"/>
        <v>3.5484523809523814</v>
      </c>
    </row>
    <row r="104" spans="2:21" ht="16.5" thickBot="1" x14ac:dyDescent="0.3">
      <c r="B104" s="12"/>
      <c r="C104" s="19">
        <v>320.734375</v>
      </c>
      <c r="D104" s="20">
        <v>32.884</v>
      </c>
      <c r="E104" s="20">
        <v>39.543999999999997</v>
      </c>
      <c r="F104" s="20">
        <v>40.776000000000003</v>
      </c>
      <c r="G104" s="20">
        <v>1.62</v>
      </c>
      <c r="H104" s="20">
        <f t="shared" si="4"/>
        <v>34.703000000000003</v>
      </c>
      <c r="I104" s="5"/>
      <c r="J104" s="19">
        <v>300.36399999999998</v>
      </c>
      <c r="K104" s="20">
        <v>33.113</v>
      </c>
      <c r="L104" s="20">
        <v>41.094499999999996</v>
      </c>
      <c r="M104" s="20">
        <v>42.318100000000001</v>
      </c>
      <c r="N104" s="20">
        <v>11.379200000000001</v>
      </c>
      <c r="O104" s="20">
        <f t="shared" si="5"/>
        <v>35.261324999999999</v>
      </c>
      <c r="P104" s="7"/>
      <c r="Q104" s="13"/>
      <c r="R104" s="14"/>
      <c r="S104" s="14"/>
      <c r="T104" s="27"/>
      <c r="U104" s="28">
        <f t="shared" si="3"/>
        <v>6.0241975308641971</v>
      </c>
    </row>
    <row r="105" spans="2:21" x14ac:dyDescent="0.25">
      <c r="B105" s="6" t="s">
        <v>101</v>
      </c>
      <c r="C105" s="15">
        <v>1254.80078125</v>
      </c>
      <c r="D105" s="16">
        <v>49.121000000000002</v>
      </c>
      <c r="E105" s="16">
        <v>53.481999999999999</v>
      </c>
      <c r="F105" s="16">
        <v>54.847000000000001</v>
      </c>
      <c r="G105" s="16">
        <v>3.06</v>
      </c>
      <c r="H105" s="16">
        <f t="shared" si="4"/>
        <v>50.381874999999994</v>
      </c>
      <c r="I105" s="5"/>
      <c r="J105" s="15">
        <v>1496.4543000000001</v>
      </c>
      <c r="K105" s="16">
        <v>50.625700000000002</v>
      </c>
      <c r="L105" s="16">
        <v>55.553600000000003</v>
      </c>
      <c r="M105" s="16">
        <v>56.8964</v>
      </c>
      <c r="N105" s="16">
        <v>5.8193000000000001</v>
      </c>
      <c r="O105" s="16">
        <f t="shared" si="5"/>
        <v>52.025525000000002</v>
      </c>
      <c r="P105" s="7"/>
      <c r="Q105" s="8">
        <f>bdrate(C105:C108,D105:D108,J105:J108,K105:K108)</f>
        <v>-0.18531139146543485</v>
      </c>
      <c r="R105" s="8">
        <f>bdrate(C105:C108,E105:E108,J105:J108,L105:L108)</f>
        <v>-0.37017917019024837</v>
      </c>
      <c r="S105" s="8">
        <f>bdrate(C105:C108,F105:F108,J105:J108,M105:M108)</f>
        <v>-0.37828438665526831</v>
      </c>
      <c r="T105" s="25">
        <f>bdrate(C105:C108,H105:H108,J105:J108,O105:O108)</f>
        <v>-0.23199492955123857</v>
      </c>
      <c r="U105" s="28">
        <f t="shared" si="3"/>
        <v>0.90173202614379089</v>
      </c>
    </row>
    <row r="106" spans="2:21" x14ac:dyDescent="0.25">
      <c r="B106" s="9"/>
      <c r="C106" s="17">
        <v>862.06640625</v>
      </c>
      <c r="D106" s="18">
        <v>47.545999999999999</v>
      </c>
      <c r="E106" s="18">
        <v>52.048000000000002</v>
      </c>
      <c r="F106" s="18">
        <v>53.499000000000002</v>
      </c>
      <c r="G106" s="18">
        <v>3.37</v>
      </c>
      <c r="H106" s="18">
        <f t="shared" si="4"/>
        <v>48.852875000000004</v>
      </c>
      <c r="I106" s="5"/>
      <c r="J106" s="17">
        <v>999.47730000000001</v>
      </c>
      <c r="K106" s="18">
        <v>49.035400000000003</v>
      </c>
      <c r="L106" s="18">
        <v>54.215200000000003</v>
      </c>
      <c r="M106" s="18">
        <v>55.654899999999998</v>
      </c>
      <c r="N106" s="18">
        <v>7.1631999999999998</v>
      </c>
      <c r="O106" s="18">
        <f t="shared" si="5"/>
        <v>50.510312499999998</v>
      </c>
      <c r="P106" s="7"/>
      <c r="Q106" s="10"/>
      <c r="R106" s="11"/>
      <c r="S106" s="11"/>
      <c r="T106" s="26"/>
      <c r="U106" s="28">
        <f t="shared" si="3"/>
        <v>1.1255786350148367</v>
      </c>
    </row>
    <row r="107" spans="2:21" x14ac:dyDescent="0.25">
      <c r="B107" s="9"/>
      <c r="C107" s="17">
        <v>547.724609375</v>
      </c>
      <c r="D107" s="18">
        <v>45.588000000000001</v>
      </c>
      <c r="E107" s="18">
        <v>50.322000000000003</v>
      </c>
      <c r="F107" s="18">
        <v>51.783000000000001</v>
      </c>
      <c r="G107" s="18">
        <v>3.75</v>
      </c>
      <c r="H107" s="18">
        <f t="shared" si="4"/>
        <v>46.954125000000005</v>
      </c>
      <c r="I107" s="5"/>
      <c r="J107" s="17">
        <v>600.58370000000002</v>
      </c>
      <c r="K107" s="18">
        <v>46.8932</v>
      </c>
      <c r="L107" s="18">
        <v>52.443300000000001</v>
      </c>
      <c r="M107" s="18">
        <v>53.9375</v>
      </c>
      <c r="N107" s="18">
        <v>9.7373999999999992</v>
      </c>
      <c r="O107" s="18">
        <f t="shared" si="5"/>
        <v>48.467500000000001</v>
      </c>
      <c r="P107" s="7"/>
      <c r="Q107" s="10"/>
      <c r="R107" s="11"/>
      <c r="S107" s="11"/>
      <c r="T107" s="26"/>
      <c r="U107" s="28">
        <f t="shared" si="3"/>
        <v>1.5966399999999998</v>
      </c>
    </row>
    <row r="108" spans="2:21" ht="16.5" thickBot="1" x14ac:dyDescent="0.3">
      <c r="B108" s="12"/>
      <c r="C108" s="19">
        <v>295.439453125</v>
      </c>
      <c r="D108" s="20">
        <v>42.866</v>
      </c>
      <c r="E108" s="20">
        <v>47.844000000000001</v>
      </c>
      <c r="F108" s="20">
        <v>49.302999999999997</v>
      </c>
      <c r="G108" s="20">
        <v>4.09</v>
      </c>
      <c r="H108" s="20">
        <f t="shared" si="4"/>
        <v>44.292875000000002</v>
      </c>
      <c r="I108" s="5"/>
      <c r="J108" s="19">
        <v>300.80500000000001</v>
      </c>
      <c r="K108" s="20">
        <v>43.789499999999997</v>
      </c>
      <c r="L108" s="20">
        <v>49.752299999999998</v>
      </c>
      <c r="M108" s="20">
        <v>51.219299999999997</v>
      </c>
      <c r="N108" s="20">
        <v>15.0982</v>
      </c>
      <c r="O108" s="20">
        <f t="shared" si="5"/>
        <v>45.463574999999992</v>
      </c>
      <c r="P108" s="7"/>
      <c r="Q108" s="13"/>
      <c r="R108" s="14"/>
      <c r="S108" s="14"/>
      <c r="T108" s="27"/>
      <c r="U108" s="28">
        <f t="shared" si="3"/>
        <v>2.6914914425427874</v>
      </c>
    </row>
    <row r="109" spans="2:21" x14ac:dyDescent="0.25">
      <c r="B109" s="6" t="s">
        <v>102</v>
      </c>
      <c r="C109" s="15">
        <v>1364.3896484375</v>
      </c>
      <c r="D109" s="16">
        <v>32.384</v>
      </c>
      <c r="E109" s="16">
        <v>40.415999999999997</v>
      </c>
      <c r="F109" s="16">
        <v>39.901000000000003</v>
      </c>
      <c r="G109" s="16">
        <v>1.0900000000000001</v>
      </c>
      <c r="H109" s="16">
        <f t="shared" si="4"/>
        <v>34.327624999999998</v>
      </c>
      <c r="I109" s="5"/>
      <c r="J109" s="15">
        <v>1495.5568000000001</v>
      </c>
      <c r="K109" s="16">
        <v>33.629600000000003</v>
      </c>
      <c r="L109" s="16">
        <v>41.9848</v>
      </c>
      <c r="M109" s="16">
        <v>41.430999999999997</v>
      </c>
      <c r="N109" s="16">
        <v>4.0782999999999996</v>
      </c>
      <c r="O109" s="16">
        <f t="shared" si="5"/>
        <v>35.649175</v>
      </c>
      <c r="P109" s="7"/>
      <c r="Q109" s="8">
        <f>bdrate(C109:C112,D109:D112,J109:J112,K109:K112)</f>
        <v>-0.17642537690513327</v>
      </c>
      <c r="R109" s="8">
        <f>bdrate(C109:C112,E109:E112,J109:J112,L109:L112)</f>
        <v>-0.47690696576648617</v>
      </c>
      <c r="S109" s="8">
        <f>bdrate(C109:C112,F109:F112,J109:J112,M109:M112)</f>
        <v>-0.46536916787803906</v>
      </c>
      <c r="T109" s="25">
        <f>bdrate(C109:C112,H109:H112,J109:J112,O109:O112)</f>
        <v>-0.24200444100764806</v>
      </c>
      <c r="U109" s="28">
        <f t="shared" si="3"/>
        <v>2.7415596330275225</v>
      </c>
    </row>
    <row r="110" spans="2:21" x14ac:dyDescent="0.25">
      <c r="B110" s="9"/>
      <c r="C110" s="17">
        <v>939.197265625</v>
      </c>
      <c r="D110" s="18">
        <v>30.821000000000002</v>
      </c>
      <c r="E110" s="18">
        <v>39.234999999999999</v>
      </c>
      <c r="F110" s="18">
        <v>38.688000000000002</v>
      </c>
      <c r="G110" s="18">
        <v>1.01</v>
      </c>
      <c r="H110" s="18">
        <f t="shared" si="4"/>
        <v>32.856124999999999</v>
      </c>
      <c r="I110" s="5"/>
      <c r="J110" s="17">
        <v>996.09429999999998</v>
      </c>
      <c r="K110" s="18">
        <v>31.956800000000001</v>
      </c>
      <c r="L110" s="18">
        <v>41.0334</v>
      </c>
      <c r="M110" s="18">
        <v>40.4846</v>
      </c>
      <c r="N110" s="18">
        <v>4.9783999999999997</v>
      </c>
      <c r="O110" s="18">
        <f t="shared" si="5"/>
        <v>34.157350000000001</v>
      </c>
      <c r="P110" s="7"/>
      <c r="Q110" s="10"/>
      <c r="R110" s="11"/>
      <c r="S110" s="11"/>
      <c r="T110" s="26"/>
      <c r="U110" s="28">
        <f t="shared" si="3"/>
        <v>3.929108910891089</v>
      </c>
    </row>
    <row r="111" spans="2:21" x14ac:dyDescent="0.25">
      <c r="B111" s="9"/>
      <c r="C111" s="17">
        <v>679.75390625</v>
      </c>
      <c r="D111" s="18">
        <v>29.53</v>
      </c>
      <c r="E111" s="18">
        <v>38.197000000000003</v>
      </c>
      <c r="F111" s="18">
        <v>37.618000000000002</v>
      </c>
      <c r="G111" s="18">
        <v>0.96</v>
      </c>
      <c r="H111" s="18">
        <f t="shared" si="4"/>
        <v>31.624375000000001</v>
      </c>
      <c r="I111" s="5"/>
      <c r="J111" s="17">
        <v>597.01850000000002</v>
      </c>
      <c r="K111" s="18">
        <v>29.758600000000001</v>
      </c>
      <c r="L111" s="18">
        <v>39.777000000000001</v>
      </c>
      <c r="M111" s="18">
        <v>39.167700000000004</v>
      </c>
      <c r="N111" s="18">
        <v>6.6043000000000003</v>
      </c>
      <c r="O111" s="18">
        <f t="shared" si="5"/>
        <v>32.187037500000002</v>
      </c>
      <c r="P111" s="7"/>
      <c r="Q111" s="10"/>
      <c r="R111" s="11"/>
      <c r="S111" s="11"/>
      <c r="T111" s="26"/>
      <c r="U111" s="28">
        <f t="shared" si="3"/>
        <v>5.879479166666667</v>
      </c>
    </row>
    <row r="112" spans="2:21" ht="16.5" thickBot="1" x14ac:dyDescent="0.3">
      <c r="B112" s="12"/>
      <c r="C112" s="19">
        <v>505.634765625</v>
      </c>
      <c r="D112" s="20">
        <v>28.46</v>
      </c>
      <c r="E112" s="20">
        <v>36.771999999999998</v>
      </c>
      <c r="F112" s="20">
        <v>36.206000000000003</v>
      </c>
      <c r="G112" s="20">
        <v>0.91</v>
      </c>
      <c r="H112" s="20">
        <f t="shared" si="4"/>
        <v>30.46725</v>
      </c>
      <c r="I112" s="5"/>
      <c r="J112" s="19">
        <v>298.74279999999999</v>
      </c>
      <c r="K112" s="20">
        <v>26.863700000000001</v>
      </c>
      <c r="L112" s="20">
        <v>37.7226</v>
      </c>
      <c r="M112" s="20">
        <v>37.102800000000002</v>
      </c>
      <c r="N112" s="20">
        <v>9.9943000000000008</v>
      </c>
      <c r="O112" s="20">
        <f t="shared" si="5"/>
        <v>29.500950000000003</v>
      </c>
      <c r="P112" s="7"/>
      <c r="Q112" s="13"/>
      <c r="R112" s="14"/>
      <c r="S112" s="14"/>
      <c r="T112" s="27"/>
      <c r="U112" s="28">
        <f t="shared" si="3"/>
        <v>9.9827472527472541</v>
      </c>
    </row>
    <row r="113" spans="2:21" x14ac:dyDescent="0.25">
      <c r="B113" s="6" t="s">
        <v>103</v>
      </c>
      <c r="C113" s="15">
        <v>1793.0068359375</v>
      </c>
      <c r="D113" s="16">
        <v>50.054000000000002</v>
      </c>
      <c r="E113" s="16">
        <v>50.89</v>
      </c>
      <c r="F113" s="16">
        <v>50.819000000000003</v>
      </c>
      <c r="G113" s="16">
        <v>2.27</v>
      </c>
      <c r="H113" s="16">
        <f t="shared" si="4"/>
        <v>50.254125000000002</v>
      </c>
      <c r="I113" s="5"/>
      <c r="J113" s="15">
        <v>1372.9852000000001</v>
      </c>
      <c r="K113" s="16">
        <v>47.369100000000003</v>
      </c>
      <c r="L113" s="16">
        <v>48.682600000000001</v>
      </c>
      <c r="M113" s="16">
        <v>48.574800000000003</v>
      </c>
      <c r="N113" s="16">
        <v>6.1871999999999998</v>
      </c>
      <c r="O113" s="16">
        <f t="shared" si="5"/>
        <v>47.683999999999997</v>
      </c>
      <c r="P113" s="7"/>
      <c r="Q113" s="8">
        <f>bdrate(C113:C116,D113:D116,J113:J116,K113:K116)</f>
        <v>-0.158096840502713</v>
      </c>
      <c r="R113" s="8">
        <f>bdrate(C113:C116,E113:E116,J113:J116,L113:L116)</f>
        <v>-0.24200238872752811</v>
      </c>
      <c r="S113" s="8">
        <f>bdrate(C113:C116,F113:F116,J113:J116,M113:M116)</f>
        <v>-0.24678815639179408</v>
      </c>
      <c r="T113" s="25">
        <f>bdrate(C113:C116,H113:H116,J113:J116,O113:O116)</f>
        <v>-0.17808474398030494</v>
      </c>
      <c r="U113" s="28">
        <f t="shared" si="3"/>
        <v>1.7256387665198236</v>
      </c>
    </row>
    <row r="114" spans="2:21" x14ac:dyDescent="0.25">
      <c r="B114" s="9"/>
      <c r="C114" s="17">
        <v>1207.9853515625</v>
      </c>
      <c r="D114" s="18">
        <v>46.558999999999997</v>
      </c>
      <c r="E114" s="18">
        <v>47.597999999999999</v>
      </c>
      <c r="F114" s="18">
        <v>47.447000000000003</v>
      </c>
      <c r="G114" s="18">
        <v>2.5099999999999998</v>
      </c>
      <c r="H114" s="18">
        <f t="shared" si="4"/>
        <v>46.799875</v>
      </c>
      <c r="I114" s="5"/>
      <c r="J114" s="17">
        <v>933.43690000000004</v>
      </c>
      <c r="K114" s="18">
        <v>45.869399999999999</v>
      </c>
      <c r="L114" s="18">
        <v>47.346800000000002</v>
      </c>
      <c r="M114" s="18">
        <v>47.227699999999999</v>
      </c>
      <c r="N114" s="18">
        <v>7.4561999999999999</v>
      </c>
      <c r="O114" s="18">
        <f t="shared" si="5"/>
        <v>46.22386250000001</v>
      </c>
      <c r="P114" s="7"/>
      <c r="Q114" s="10"/>
      <c r="R114" s="11"/>
      <c r="S114" s="11"/>
      <c r="T114" s="26"/>
      <c r="U114" s="28">
        <f t="shared" si="3"/>
        <v>1.9705976095617532</v>
      </c>
    </row>
    <row r="115" spans="2:21" x14ac:dyDescent="0.25">
      <c r="B115" s="9"/>
      <c r="C115" s="17">
        <v>743.1416015625</v>
      </c>
      <c r="D115" s="18">
        <v>43.518000000000001</v>
      </c>
      <c r="E115" s="18">
        <v>44.88</v>
      </c>
      <c r="F115" s="18">
        <v>44.688000000000002</v>
      </c>
      <c r="G115" s="18">
        <v>2.69</v>
      </c>
      <c r="H115" s="18">
        <f t="shared" si="4"/>
        <v>43.834499999999998</v>
      </c>
      <c r="I115" s="5"/>
      <c r="J115" s="17">
        <v>583.77599999999995</v>
      </c>
      <c r="K115" s="18">
        <v>43.235599999999998</v>
      </c>
      <c r="L115" s="18">
        <v>45.235500000000002</v>
      </c>
      <c r="M115" s="18">
        <v>45.080399999999997</v>
      </c>
      <c r="N115" s="18">
        <v>9.5945999999999998</v>
      </c>
      <c r="O115" s="18">
        <f t="shared" si="5"/>
        <v>43.716187499999997</v>
      </c>
      <c r="P115" s="7"/>
      <c r="Q115" s="10"/>
      <c r="R115" s="11"/>
      <c r="S115" s="11"/>
      <c r="T115" s="26"/>
      <c r="U115" s="28">
        <f t="shared" si="3"/>
        <v>2.5667657992565056</v>
      </c>
    </row>
    <row r="116" spans="2:21" ht="16.5" thickBot="1" x14ac:dyDescent="0.3">
      <c r="B116" s="12"/>
      <c r="C116" s="19">
        <v>409.8916015625</v>
      </c>
      <c r="D116" s="20">
        <v>39.628</v>
      </c>
      <c r="E116" s="20">
        <v>41.512</v>
      </c>
      <c r="F116" s="20">
        <v>41.231999999999999</v>
      </c>
      <c r="G116" s="20">
        <v>2.38</v>
      </c>
      <c r="H116" s="20">
        <f t="shared" si="4"/>
        <v>40.063999999999993</v>
      </c>
      <c r="I116" s="5"/>
      <c r="J116" s="19">
        <v>298.95530000000002</v>
      </c>
      <c r="K116" s="20">
        <v>38.643700000000003</v>
      </c>
      <c r="L116" s="20">
        <v>41.618600000000001</v>
      </c>
      <c r="M116" s="20">
        <v>41.395400000000002</v>
      </c>
      <c r="N116" s="20">
        <v>13.861599999999999</v>
      </c>
      <c r="O116" s="20">
        <f t="shared" si="5"/>
        <v>39.359525000000005</v>
      </c>
      <c r="P116" s="7"/>
      <c r="Q116" s="13"/>
      <c r="R116" s="14"/>
      <c r="S116" s="14"/>
      <c r="T116" s="27"/>
      <c r="U116" s="28">
        <f t="shared" si="3"/>
        <v>4.8242016806722692</v>
      </c>
    </row>
    <row r="117" spans="2:21" x14ac:dyDescent="0.25">
      <c r="B117" s="6" t="s">
        <v>104</v>
      </c>
      <c r="C117" s="15">
        <v>1356.0302734375</v>
      </c>
      <c r="D117" s="16">
        <v>55.692999999999998</v>
      </c>
      <c r="E117" s="16">
        <v>57.887</v>
      </c>
      <c r="F117" s="16">
        <v>57.816000000000003</v>
      </c>
      <c r="G117" s="16">
        <v>2.29</v>
      </c>
      <c r="H117" s="16">
        <f t="shared" si="4"/>
        <v>56.232624999999999</v>
      </c>
      <c r="I117" s="5"/>
      <c r="J117" s="15">
        <v>1371.5779</v>
      </c>
      <c r="K117" s="16">
        <v>47.609400000000001</v>
      </c>
      <c r="L117" s="16">
        <v>50.289900000000003</v>
      </c>
      <c r="M117" s="16">
        <v>50.365200000000002</v>
      </c>
      <c r="N117" s="16">
        <v>8.0983000000000001</v>
      </c>
      <c r="O117" s="16">
        <f t="shared" si="5"/>
        <v>48.288937500000003</v>
      </c>
      <c r="P117" s="7"/>
      <c r="Q117" s="8">
        <f>bdrate(C117:C120,D117:D120,J117:J120,K117:K120)</f>
        <v>0.24183469754124887</v>
      </c>
      <c r="R117" s="8">
        <f>bdrate(C117:C120,E117:E120,J117:J120,L117:L120)</f>
        <v>0.1444249090210683</v>
      </c>
      <c r="S117" s="8">
        <f>bdrate(C117:C120,F117:F120,J117:J120,M117:M120)</f>
        <v>0.14499265505780223</v>
      </c>
      <c r="T117" s="25">
        <f>bdrate(C117:C120,H117:H120,J117:J120,O117:O120)</f>
        <v>0.21854540077348639</v>
      </c>
      <c r="U117" s="28">
        <f t="shared" si="3"/>
        <v>2.5363755458515285</v>
      </c>
    </row>
    <row r="118" spans="2:21" x14ac:dyDescent="0.25">
      <c r="B118" s="9"/>
      <c r="C118" s="17">
        <v>992.552734375</v>
      </c>
      <c r="D118" s="18">
        <v>53.765999999999998</v>
      </c>
      <c r="E118" s="18">
        <v>55.942</v>
      </c>
      <c r="F118" s="18">
        <v>55.930999999999997</v>
      </c>
      <c r="G118" s="18">
        <v>2.4700000000000002</v>
      </c>
      <c r="H118" s="18">
        <f t="shared" si="4"/>
        <v>54.308624999999999</v>
      </c>
      <c r="I118" s="5"/>
      <c r="J118" s="17">
        <v>952.62670000000003</v>
      </c>
      <c r="K118" s="18">
        <v>46.317799999999998</v>
      </c>
      <c r="L118" s="18">
        <v>49.261299999999999</v>
      </c>
      <c r="M118" s="18">
        <v>49.348599999999998</v>
      </c>
      <c r="N118" s="18">
        <v>9.8728999999999996</v>
      </c>
      <c r="O118" s="18">
        <f t="shared" si="5"/>
        <v>47.064587499999995</v>
      </c>
      <c r="P118" s="7"/>
      <c r="Q118" s="10"/>
      <c r="R118" s="11"/>
      <c r="S118" s="11"/>
      <c r="T118" s="26"/>
      <c r="U118" s="28">
        <f t="shared" si="3"/>
        <v>2.9971255060728739</v>
      </c>
    </row>
    <row r="119" spans="2:21" x14ac:dyDescent="0.25">
      <c r="B119" s="9"/>
      <c r="C119" s="17">
        <v>678.1279296875</v>
      </c>
      <c r="D119" s="18">
        <v>45.28</v>
      </c>
      <c r="E119" s="18">
        <v>47.654000000000003</v>
      </c>
      <c r="F119" s="18">
        <v>47.923999999999999</v>
      </c>
      <c r="G119" s="18">
        <v>2.61</v>
      </c>
      <c r="H119" s="18">
        <f t="shared" si="4"/>
        <v>45.907249999999998</v>
      </c>
      <c r="I119" s="5"/>
      <c r="J119" s="17">
        <v>623.98490000000004</v>
      </c>
      <c r="K119" s="18">
        <v>43.230600000000003</v>
      </c>
      <c r="L119" s="18">
        <v>46.342700000000001</v>
      </c>
      <c r="M119" s="18">
        <v>46.622599999999998</v>
      </c>
      <c r="N119" s="18">
        <v>12.0092</v>
      </c>
      <c r="O119" s="18">
        <f t="shared" si="5"/>
        <v>44.043612499999995</v>
      </c>
      <c r="P119" s="7"/>
      <c r="Q119" s="10"/>
      <c r="R119" s="11"/>
      <c r="S119" s="11"/>
      <c r="T119" s="26"/>
      <c r="U119" s="28">
        <f t="shared" si="3"/>
        <v>3.6012260536398473</v>
      </c>
    </row>
    <row r="120" spans="2:21" ht="16.5" thickBot="1" x14ac:dyDescent="0.3">
      <c r="B120" s="12"/>
      <c r="C120" s="19">
        <v>407.0341796875</v>
      </c>
      <c r="D120" s="20">
        <v>41.375</v>
      </c>
      <c r="E120" s="20">
        <v>43.954000000000001</v>
      </c>
      <c r="F120" s="20">
        <v>44.204000000000001</v>
      </c>
      <c r="G120" s="20">
        <v>2.36</v>
      </c>
      <c r="H120" s="20">
        <f t="shared" si="4"/>
        <v>42.051000000000002</v>
      </c>
      <c r="I120" s="5"/>
      <c r="J120" s="19">
        <v>352.17469999999997</v>
      </c>
      <c r="K120" s="20">
        <v>38.938099999999999</v>
      </c>
      <c r="L120" s="20">
        <v>42.594299999999997</v>
      </c>
      <c r="M120" s="20">
        <v>42.8857</v>
      </c>
      <c r="N120" s="20">
        <v>18.262799999999999</v>
      </c>
      <c r="O120" s="20">
        <f t="shared" si="5"/>
        <v>39.888574999999996</v>
      </c>
      <c r="P120" s="7"/>
      <c r="Q120" s="13"/>
      <c r="R120" s="14"/>
      <c r="S120" s="14"/>
      <c r="T120" s="27"/>
      <c r="U120" s="28">
        <f t="shared" si="3"/>
        <v>6.7384745762711864</v>
      </c>
    </row>
    <row r="121" spans="2:21" x14ac:dyDescent="0.25">
      <c r="B121" s="6" t="s">
        <v>105</v>
      </c>
      <c r="C121" s="29">
        <v>1484.5126953125</v>
      </c>
      <c r="D121" s="30">
        <v>33.043999999999997</v>
      </c>
      <c r="E121" s="30">
        <v>36.591999999999999</v>
      </c>
      <c r="F121" s="30">
        <v>35.340000000000003</v>
      </c>
      <c r="G121" s="16">
        <v>1.1100000000000001</v>
      </c>
      <c r="H121" s="16">
        <f t="shared" si="4"/>
        <v>33.774500000000003</v>
      </c>
      <c r="I121" s="5"/>
      <c r="J121" s="29">
        <v>1511.2566999999999</v>
      </c>
      <c r="K121" s="30">
        <v>33.836399999999998</v>
      </c>
      <c r="L121" s="30">
        <v>38.158900000000003</v>
      </c>
      <c r="M121" s="30">
        <v>36.990499999999997</v>
      </c>
      <c r="N121" s="16">
        <v>5.0712000000000002</v>
      </c>
      <c r="O121" s="16">
        <f t="shared" si="5"/>
        <v>34.770975</v>
      </c>
      <c r="P121" s="7"/>
      <c r="Q121" s="8">
        <f>bdrate(C121:C124,D121:D124,J121:J124,K121:K124)</f>
        <v>-0.12167584513039176</v>
      </c>
      <c r="R121" s="8">
        <f>bdrate(C121:C124,E121:E124,J121:J124,L121:L124)</f>
        <v>-0.49142810646698343</v>
      </c>
      <c r="S121" s="8">
        <f>bdrate(C121:C124,F121:F124,J121:J124,M121:M124)</f>
        <v>-0.49063145496038496</v>
      </c>
      <c r="T121" s="25">
        <f>bdrate(C121:C124,H121:H124,J121:J124,O121:O124)</f>
        <v>-0.20513425650501804</v>
      </c>
      <c r="U121" s="28">
        <f t="shared" si="3"/>
        <v>3.5686486486486482</v>
      </c>
    </row>
    <row r="122" spans="2:21" x14ac:dyDescent="0.25">
      <c r="B122" s="9"/>
      <c r="C122" s="31">
        <v>1031.3271484375</v>
      </c>
      <c r="D122" s="32">
        <v>31.367999999999999</v>
      </c>
      <c r="E122" s="32">
        <v>35.386000000000003</v>
      </c>
      <c r="F122" s="32">
        <v>34.064</v>
      </c>
      <c r="G122" s="18">
        <v>1.06</v>
      </c>
      <c r="H122" s="18">
        <f t="shared" si="4"/>
        <v>32.207250000000002</v>
      </c>
      <c r="I122" s="5"/>
      <c r="J122" s="31">
        <v>1010.1383</v>
      </c>
      <c r="K122" s="32">
        <v>31.947099999999999</v>
      </c>
      <c r="L122" s="32">
        <v>37.043700000000001</v>
      </c>
      <c r="M122" s="32">
        <v>35.8324</v>
      </c>
      <c r="N122" s="18">
        <v>6.0801999999999996</v>
      </c>
      <c r="O122" s="18">
        <f t="shared" si="5"/>
        <v>33.069837499999998</v>
      </c>
      <c r="P122" s="7"/>
      <c r="Q122" s="10"/>
      <c r="R122" s="11"/>
      <c r="S122" s="11"/>
      <c r="T122" s="26"/>
      <c r="U122" s="28">
        <f t="shared" si="3"/>
        <v>4.736037735849056</v>
      </c>
    </row>
    <row r="123" spans="2:21" x14ac:dyDescent="0.25">
      <c r="B123" s="9"/>
      <c r="C123" s="31">
        <v>720.4677734375</v>
      </c>
      <c r="D123" s="32">
        <v>29.914000000000001</v>
      </c>
      <c r="E123" s="32">
        <v>34.234999999999999</v>
      </c>
      <c r="F123" s="32">
        <v>32.887999999999998</v>
      </c>
      <c r="G123" s="18">
        <v>1</v>
      </c>
      <c r="H123" s="18">
        <f t="shared" si="4"/>
        <v>30.825875</v>
      </c>
      <c r="I123" s="5"/>
      <c r="J123" s="31">
        <v>605.46410000000003</v>
      </c>
      <c r="K123" s="32">
        <v>29.645299999999999</v>
      </c>
      <c r="L123" s="32">
        <v>35.7256</v>
      </c>
      <c r="M123" s="32">
        <v>34.430799999999998</v>
      </c>
      <c r="N123" s="18">
        <v>7.8993000000000002</v>
      </c>
      <c r="O123" s="18">
        <f t="shared" si="5"/>
        <v>31.003525</v>
      </c>
      <c r="P123" s="7"/>
      <c r="Q123" s="10"/>
      <c r="R123" s="11"/>
      <c r="S123" s="11"/>
      <c r="T123" s="26"/>
      <c r="U123" s="28">
        <f t="shared" si="3"/>
        <v>6.8993000000000002</v>
      </c>
    </row>
    <row r="124" spans="2:21" ht="16.5" thickBot="1" x14ac:dyDescent="0.3">
      <c r="B124" s="12"/>
      <c r="C124" s="33">
        <v>493.12890625</v>
      </c>
      <c r="D124" s="34">
        <v>28.384</v>
      </c>
      <c r="E124" s="34">
        <v>32.832999999999998</v>
      </c>
      <c r="F124" s="34">
        <v>31.507000000000001</v>
      </c>
      <c r="G124" s="20">
        <v>0.92</v>
      </c>
      <c r="H124" s="20">
        <f t="shared" si="4"/>
        <v>29.330500000000001</v>
      </c>
      <c r="I124" s="5"/>
      <c r="J124" s="33">
        <v>304.346</v>
      </c>
      <c r="K124" s="34">
        <v>27.040400000000002</v>
      </c>
      <c r="L124" s="34">
        <v>34.0593</v>
      </c>
      <c r="M124" s="34">
        <v>32.642099999999999</v>
      </c>
      <c r="N124" s="20">
        <v>11.399800000000001</v>
      </c>
      <c r="O124" s="20">
        <f t="shared" si="5"/>
        <v>28.617975000000001</v>
      </c>
      <c r="P124" s="7"/>
      <c r="Q124" s="13"/>
      <c r="R124" s="14"/>
      <c r="S124" s="14"/>
      <c r="T124" s="27"/>
      <c r="U124" s="28">
        <f t="shared" si="3"/>
        <v>11.39108695652174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-0.18571891429401027</v>
      </c>
      <c r="R125" s="21">
        <f>AVERAGE(R9:R124)</f>
        <v>-0.39572810839802569</v>
      </c>
      <c r="S125" s="21">
        <f>AVERAGE(S9:S124)</f>
        <v>-0.39125839455664424</v>
      </c>
      <c r="T125" s="21">
        <f>AVERAGE(T9:T124)</f>
        <v>-0.23083954259877557</v>
      </c>
      <c r="U125" s="21">
        <f>AVERAGE(U9:U124)</f>
        <v>7.7801533474856521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169" priority="33" operator="greaterThan">
      <formula>0.03</formula>
    </cfRule>
    <cfRule type="cellIs" dxfId="168" priority="34" stopIfTrue="1" operator="lessThan">
      <formula>-0.03</formula>
    </cfRule>
  </conditionalFormatting>
  <conditionalFormatting sqref="Q33:T36">
    <cfRule type="cellIs" dxfId="167" priority="31" operator="greaterThan">
      <formula>0.03</formula>
    </cfRule>
    <cfRule type="cellIs" dxfId="166" priority="32" stopIfTrue="1" operator="lessThan">
      <formula>-0.03</formula>
    </cfRule>
  </conditionalFormatting>
  <conditionalFormatting sqref="Q45:T48 Q61:T64">
    <cfRule type="cellIs" dxfId="165" priority="29" operator="greaterThan">
      <formula>0.03</formula>
    </cfRule>
    <cfRule type="cellIs" dxfId="164" priority="30" stopIfTrue="1" operator="lessThan">
      <formula>-0.03</formula>
    </cfRule>
  </conditionalFormatting>
  <conditionalFormatting sqref="Q49:T60">
    <cfRule type="cellIs" dxfId="163" priority="27" operator="greaterThan">
      <formula>0.03</formula>
    </cfRule>
    <cfRule type="cellIs" dxfId="162" priority="28" stopIfTrue="1" operator="lessThan">
      <formula>-0.03</formula>
    </cfRule>
  </conditionalFormatting>
  <conditionalFormatting sqref="Q69:T76">
    <cfRule type="cellIs" dxfId="161" priority="25" operator="greaterThan">
      <formula>0.03</formula>
    </cfRule>
    <cfRule type="cellIs" dxfId="160" priority="26" stopIfTrue="1" operator="lessThan">
      <formula>-0.03</formula>
    </cfRule>
  </conditionalFormatting>
  <conditionalFormatting sqref="Q65:T68">
    <cfRule type="cellIs" dxfId="159" priority="23" operator="greaterThan">
      <formula>0.03</formula>
    </cfRule>
    <cfRule type="cellIs" dxfId="158" priority="24" stopIfTrue="1" operator="lessThan">
      <formula>-0.03</formula>
    </cfRule>
  </conditionalFormatting>
  <conditionalFormatting sqref="Q77:T80">
    <cfRule type="cellIs" dxfId="157" priority="21" operator="greaterThan">
      <formula>0.03</formula>
    </cfRule>
    <cfRule type="cellIs" dxfId="156" priority="22" stopIfTrue="1" operator="lessThan">
      <formula>-0.03</formula>
    </cfRule>
  </conditionalFormatting>
  <conditionalFormatting sqref="Q21:T28">
    <cfRule type="cellIs" dxfId="155" priority="19" operator="greaterThan">
      <formula>0.03</formula>
    </cfRule>
    <cfRule type="cellIs" dxfId="154" priority="20" stopIfTrue="1" operator="lessThan">
      <formula>-0.03</formula>
    </cfRule>
  </conditionalFormatting>
  <conditionalFormatting sqref="Q117:T117">
    <cfRule type="cellIs" dxfId="153" priority="3" operator="greaterThan">
      <formula>0.03</formula>
    </cfRule>
    <cfRule type="cellIs" dxfId="152" priority="4" stopIfTrue="1" operator="lessThan">
      <formula>-0.03</formula>
    </cfRule>
  </conditionalFormatting>
  <conditionalFormatting sqref="Q93:T96 Q101:T108 Q81:T84">
    <cfRule type="cellIs" dxfId="151" priority="17" operator="greaterThan">
      <formula>0.03</formula>
    </cfRule>
    <cfRule type="cellIs" dxfId="150" priority="18" stopIfTrue="1" operator="lessThan">
      <formula>-0.03</formula>
    </cfRule>
  </conditionalFormatting>
  <conditionalFormatting sqref="Q97:T100">
    <cfRule type="cellIs" dxfId="149" priority="15" operator="greaterThan">
      <formula>0.03</formula>
    </cfRule>
    <cfRule type="cellIs" dxfId="148" priority="16" stopIfTrue="1" operator="lessThan">
      <formula>-0.03</formula>
    </cfRule>
  </conditionalFormatting>
  <conditionalFormatting sqref="Q110:T112 Q122:T124">
    <cfRule type="cellIs" dxfId="147" priority="13" operator="greaterThan">
      <formula>0.03</formula>
    </cfRule>
    <cfRule type="cellIs" dxfId="146" priority="14" stopIfTrue="1" operator="lessThan">
      <formula>-0.03</formula>
    </cfRule>
  </conditionalFormatting>
  <conditionalFormatting sqref="Q114:T116 Q118:T120">
    <cfRule type="cellIs" dxfId="145" priority="11" operator="greaterThan">
      <formula>0.03</formula>
    </cfRule>
    <cfRule type="cellIs" dxfId="144" priority="12" stopIfTrue="1" operator="lessThan">
      <formula>-0.03</formula>
    </cfRule>
  </conditionalFormatting>
  <conditionalFormatting sqref="Q85:T92">
    <cfRule type="cellIs" dxfId="143" priority="9" operator="greaterThan">
      <formula>0.03</formula>
    </cfRule>
    <cfRule type="cellIs" dxfId="142" priority="10" stopIfTrue="1" operator="lessThan">
      <formula>-0.03</formula>
    </cfRule>
  </conditionalFormatting>
  <conditionalFormatting sqref="Q109:T109">
    <cfRule type="cellIs" dxfId="141" priority="7" operator="greaterThan">
      <formula>0.03</formula>
    </cfRule>
    <cfRule type="cellIs" dxfId="140" priority="8" stopIfTrue="1" operator="lessThan">
      <formula>-0.03</formula>
    </cfRule>
  </conditionalFormatting>
  <conditionalFormatting sqref="Q113:T113">
    <cfRule type="cellIs" dxfId="139" priority="5" operator="greaterThan">
      <formula>0.03</formula>
    </cfRule>
    <cfRule type="cellIs" dxfId="138" priority="6" stopIfTrue="1" operator="lessThan">
      <formula>-0.03</formula>
    </cfRule>
  </conditionalFormatting>
  <conditionalFormatting sqref="Q121:T121">
    <cfRule type="cellIs" dxfId="137" priority="1" operator="greaterThan">
      <formula>0.03</formula>
    </cfRule>
    <cfRule type="cellIs" dxfId="136" priority="2" stopIfTrue="1" operator="lessThan">
      <formula>-0.03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25"/>
  <sheetViews>
    <sheetView topLeftCell="A7"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2" x14ac:dyDescent="0.25">
      <c r="A1" t="s">
        <v>125</v>
      </c>
      <c r="V1" t="s">
        <v>126</v>
      </c>
    </row>
    <row r="2" spans="1:22" x14ac:dyDescent="0.25">
      <c r="A2" t="s">
        <v>127</v>
      </c>
    </row>
    <row r="3" spans="1:22" x14ac:dyDescent="0.25">
      <c r="A3" t="s">
        <v>81</v>
      </c>
    </row>
    <row r="5" spans="1:22" s="35" customFormat="1" ht="15.75" customHeight="1" x14ac:dyDescent="0.25">
      <c r="B5" s="61" t="s">
        <v>29</v>
      </c>
      <c r="C5" s="63" t="s">
        <v>136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2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2" ht="16.5" customHeight="1" thickBot="1" x14ac:dyDescent="0.3">
      <c r="C7" s="69" t="s">
        <v>140</v>
      </c>
      <c r="D7" s="70"/>
      <c r="E7" s="70"/>
      <c r="F7" s="70"/>
      <c r="G7" s="70"/>
      <c r="H7" s="70"/>
      <c r="I7" s="5"/>
      <c r="J7" s="69" t="s">
        <v>184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2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2" x14ac:dyDescent="0.25">
      <c r="A9" s="6" t="s">
        <v>35</v>
      </c>
      <c r="B9" s="6" t="s">
        <v>46</v>
      </c>
      <c r="C9" s="15">
        <v>3734.1650390625</v>
      </c>
      <c r="D9" s="16">
        <v>37.544400000000003</v>
      </c>
      <c r="E9" s="16">
        <v>39.116999999999997</v>
      </c>
      <c r="F9" s="16">
        <v>41.506700000000002</v>
      </c>
      <c r="G9" s="16">
        <v>41.174855888004394</v>
      </c>
      <c r="H9" s="16">
        <f t="shared" ref="H9:H80" si="0">(6*D9+E9+F9)/8</f>
        <v>38.236262500000009</v>
      </c>
      <c r="I9" s="5"/>
      <c r="J9" s="15">
        <v>4005.7696000000001</v>
      </c>
      <c r="K9" s="16">
        <v>37.481999999999999</v>
      </c>
      <c r="L9" s="16">
        <v>39.3979</v>
      </c>
      <c r="M9" s="16">
        <v>41.852699999999999</v>
      </c>
      <c r="N9" s="16">
        <v>75.834199999999996</v>
      </c>
      <c r="O9" s="16">
        <f t="shared" ref="O9:O80" si="1">(6*K9+L9+M9)/8</f>
        <v>38.267825000000002</v>
      </c>
      <c r="P9" s="7"/>
      <c r="Q9" s="8">
        <f>bdrate(C9:C12,D9:D12,J9:J12,K9:K12)</f>
        <v>1.4232893115882161E-2</v>
      </c>
      <c r="R9" s="8">
        <f>bdrate(C9:C12,E9:E12,J9:J12,L9:L12)</f>
        <v>-9.5405568870758128E-2</v>
      </c>
      <c r="S9" s="8">
        <f>bdrate(C9:C12,F9:F12,J9:J12,M9:M12)</f>
        <v>-7.8705073242309798E-2</v>
      </c>
      <c r="T9" s="25">
        <f>bdrate(C9:C12,H9:H12,J9:J12,O9:O12)</f>
        <v>3.1726952693689192E-4</v>
      </c>
      <c r="U9" s="28">
        <f t="shared" ref="U9:U72" si="2">(N9-G9)/G9</f>
        <v>0.8417599373333331</v>
      </c>
    </row>
    <row r="10" spans="1:22" x14ac:dyDescent="0.25">
      <c r="A10" s="9" t="s">
        <v>36</v>
      </c>
      <c r="B10" s="9"/>
      <c r="C10" s="17">
        <v>2769.625</v>
      </c>
      <c r="D10" s="18">
        <v>36.486499999999999</v>
      </c>
      <c r="E10" s="18">
        <v>38.604700000000001</v>
      </c>
      <c r="F10" s="18">
        <v>40.958100000000002</v>
      </c>
      <c r="G10" s="18">
        <v>62.396006655574048</v>
      </c>
      <c r="H10" s="18">
        <f t="shared" si="0"/>
        <v>37.310224999999996</v>
      </c>
      <c r="I10" s="5"/>
      <c r="J10" s="17">
        <v>2877.9488000000001</v>
      </c>
      <c r="K10" s="18">
        <v>36.439100000000003</v>
      </c>
      <c r="L10" s="18">
        <v>38.789700000000003</v>
      </c>
      <c r="M10" s="18">
        <v>41.1372</v>
      </c>
      <c r="N10" s="18">
        <v>89.928100000000001</v>
      </c>
      <c r="O10" s="18">
        <f t="shared" si="1"/>
        <v>37.320187500000003</v>
      </c>
      <c r="P10" s="7"/>
      <c r="Q10" s="10"/>
      <c r="R10" s="11"/>
      <c r="S10" s="11"/>
      <c r="T10" s="26"/>
      <c r="U10" s="28">
        <f t="shared" si="2"/>
        <v>0.44124768266666659</v>
      </c>
    </row>
    <row r="11" spans="1:22" x14ac:dyDescent="0.25">
      <c r="B11" s="9"/>
      <c r="C11" s="17">
        <v>1872.43359375</v>
      </c>
      <c r="D11" s="18">
        <v>34.852200000000003</v>
      </c>
      <c r="E11" s="18">
        <v>37.8748</v>
      </c>
      <c r="F11" s="18">
        <v>40.170699999999997</v>
      </c>
      <c r="G11" s="18">
        <v>69.99533364442371</v>
      </c>
      <c r="H11" s="18">
        <f t="shared" si="0"/>
        <v>35.894837500000001</v>
      </c>
      <c r="I11" s="5"/>
      <c r="J11" s="17">
        <v>1898.576</v>
      </c>
      <c r="K11" s="18">
        <v>34.8825</v>
      </c>
      <c r="L11" s="18">
        <v>38.127000000000002</v>
      </c>
      <c r="M11" s="18">
        <v>40.412999999999997</v>
      </c>
      <c r="N11" s="18">
        <v>103.8062</v>
      </c>
      <c r="O11" s="18">
        <f t="shared" si="1"/>
        <v>35.979375000000005</v>
      </c>
      <c r="P11" s="7"/>
      <c r="Q11" s="10"/>
      <c r="R11" s="11"/>
      <c r="S11" s="11"/>
      <c r="T11" s="26"/>
      <c r="U11" s="28">
        <f t="shared" si="2"/>
        <v>0.48304457733333328</v>
      </c>
    </row>
    <row r="12" spans="1:22" ht="16.5" thickBot="1" x14ac:dyDescent="0.3">
      <c r="B12" s="12"/>
      <c r="C12" s="19">
        <v>922.94140625</v>
      </c>
      <c r="D12" s="20">
        <v>31.920999999999999</v>
      </c>
      <c r="E12" s="20">
        <v>36.762999999999998</v>
      </c>
      <c r="F12" s="20">
        <v>39.026699999999998</v>
      </c>
      <c r="G12" s="20">
        <v>79.281183932346721</v>
      </c>
      <c r="H12" s="20">
        <f t="shared" si="0"/>
        <v>33.414462499999999</v>
      </c>
      <c r="I12" s="5"/>
      <c r="J12" s="19">
        <v>921.78560000000004</v>
      </c>
      <c r="K12" s="20">
        <v>32.006999999999998</v>
      </c>
      <c r="L12" s="20">
        <v>36.833199999999998</v>
      </c>
      <c r="M12" s="20">
        <v>39.039900000000003</v>
      </c>
      <c r="N12" s="20">
        <v>122.9508</v>
      </c>
      <c r="O12" s="20">
        <f t="shared" si="1"/>
        <v>33.489387499999999</v>
      </c>
      <c r="P12" s="7"/>
      <c r="Q12" s="13"/>
      <c r="R12" s="14"/>
      <c r="S12" s="14"/>
      <c r="T12" s="27"/>
      <c r="U12" s="28">
        <f t="shared" si="2"/>
        <v>0.55081942400000006</v>
      </c>
    </row>
    <row r="13" spans="1:22" x14ac:dyDescent="0.25">
      <c r="B13" s="6" t="s">
        <v>47</v>
      </c>
      <c r="C13" s="15">
        <v>3753.380859375</v>
      </c>
      <c r="D13" s="16">
        <v>28.6983</v>
      </c>
      <c r="E13" s="16">
        <v>39.041699999999999</v>
      </c>
      <c r="F13" s="16">
        <v>40.024099999999997</v>
      </c>
      <c r="G13" s="16">
        <v>40.225261464199519</v>
      </c>
      <c r="H13" s="16">
        <f t="shared" si="0"/>
        <v>31.406949999999998</v>
      </c>
      <c r="I13" s="5"/>
      <c r="J13" s="15">
        <v>4057.4335999999998</v>
      </c>
      <c r="K13" s="16">
        <v>28.985099999999999</v>
      </c>
      <c r="L13" s="16">
        <v>39.198999999999998</v>
      </c>
      <c r="M13" s="16">
        <v>40.142499999999998</v>
      </c>
      <c r="N13" s="16">
        <v>63.802599999999998</v>
      </c>
      <c r="O13" s="16">
        <f t="shared" si="1"/>
        <v>31.656512499999998</v>
      </c>
      <c r="P13" s="7"/>
      <c r="Q13" s="8">
        <f>bdrate(C13:C16,D13:D16,J13:J16,K13:K16)</f>
        <v>7.0946340880488901E-2</v>
      </c>
      <c r="R13" s="8">
        <f>bdrate(C13:C16,E13:E16,J13:J16,L13:L16)</f>
        <v>2.5072973249081087E-2</v>
      </c>
      <c r="S13" s="8">
        <f>bdrate(C13:C16,F13:F16,J13:J16,M13:M16)</f>
        <v>6.1614718676774594E-3</v>
      </c>
      <c r="T13" s="25">
        <f>bdrate(C13:C16,H13:H16,J13:J16,O13:O16)</f>
        <v>6.3664183141915798E-2</v>
      </c>
      <c r="U13" s="28">
        <f t="shared" si="2"/>
        <v>0.58613263599999987</v>
      </c>
    </row>
    <row r="14" spans="1:22" x14ac:dyDescent="0.25">
      <c r="B14" s="9"/>
      <c r="C14" s="17">
        <v>2795.591796875</v>
      </c>
      <c r="D14" s="18">
        <v>27.468900000000001</v>
      </c>
      <c r="E14" s="18">
        <v>38.607399999999998</v>
      </c>
      <c r="F14" s="18">
        <v>39.610799999999998</v>
      </c>
      <c r="G14" s="18">
        <v>55.289347585698486</v>
      </c>
      <c r="H14" s="18">
        <f t="shared" si="0"/>
        <v>30.378949999999996</v>
      </c>
      <c r="I14" s="5"/>
      <c r="J14" s="17">
        <v>3034.6064000000001</v>
      </c>
      <c r="K14" s="18">
        <v>27.664000000000001</v>
      </c>
      <c r="L14" s="18">
        <v>38.709200000000003</v>
      </c>
      <c r="M14" s="18">
        <v>39.716799999999999</v>
      </c>
      <c r="N14" s="18">
        <v>70.888499999999993</v>
      </c>
      <c r="O14" s="18">
        <f t="shared" si="1"/>
        <v>30.551250000000003</v>
      </c>
      <c r="P14" s="7"/>
      <c r="Q14" s="10"/>
      <c r="R14" s="11"/>
      <c r="S14" s="11"/>
      <c r="T14" s="26"/>
      <c r="U14" s="28">
        <f t="shared" si="2"/>
        <v>0.28213666999999992</v>
      </c>
    </row>
    <row r="15" spans="1:22" x14ac:dyDescent="0.25">
      <c r="B15" s="9"/>
      <c r="C15" s="17">
        <v>1848.671875</v>
      </c>
      <c r="D15" s="18">
        <v>25.880199999999999</v>
      </c>
      <c r="E15" s="18">
        <v>37.8202</v>
      </c>
      <c r="F15" s="18">
        <v>38.917299999999997</v>
      </c>
      <c r="G15" s="18">
        <v>58.229813664596271</v>
      </c>
      <c r="H15" s="18">
        <f t="shared" si="0"/>
        <v>29.002337499999996</v>
      </c>
      <c r="I15" s="5"/>
      <c r="J15" s="17">
        <v>2009.7840000000001</v>
      </c>
      <c r="K15" s="18">
        <v>25.884899999999998</v>
      </c>
      <c r="L15" s="18">
        <v>37.957099999999997</v>
      </c>
      <c r="M15" s="18">
        <v>39.102600000000002</v>
      </c>
      <c r="N15" s="18">
        <v>84.697900000000004</v>
      </c>
      <c r="O15" s="18">
        <f t="shared" si="1"/>
        <v>29.046137499999997</v>
      </c>
      <c r="P15" s="7"/>
      <c r="Q15" s="10"/>
      <c r="R15" s="11"/>
      <c r="S15" s="11"/>
      <c r="T15" s="26"/>
      <c r="U15" s="28">
        <f t="shared" si="2"/>
        <v>0.45454526933333345</v>
      </c>
    </row>
    <row r="16" spans="1:22" ht="16.5" thickBot="1" x14ac:dyDescent="0.3">
      <c r="B16" s="12"/>
      <c r="C16" s="19">
        <v>1051.65625</v>
      </c>
      <c r="D16" s="20">
        <v>23.982099999999999</v>
      </c>
      <c r="E16" s="20">
        <v>36.368400000000001</v>
      </c>
      <c r="F16" s="20">
        <v>37.640799999999999</v>
      </c>
      <c r="G16" s="20">
        <v>56.947608200455583</v>
      </c>
      <c r="H16" s="20">
        <f t="shared" si="0"/>
        <v>27.237724999999998</v>
      </c>
      <c r="I16" s="5"/>
      <c r="J16" s="19">
        <v>1156.3887999999999</v>
      </c>
      <c r="K16" s="20">
        <v>23.895700000000001</v>
      </c>
      <c r="L16" s="20">
        <v>36.501100000000001</v>
      </c>
      <c r="M16" s="20">
        <v>37.718200000000003</v>
      </c>
      <c r="N16" s="20">
        <v>102.5992</v>
      </c>
      <c r="O16" s="20">
        <f t="shared" si="1"/>
        <v>27.199187500000001</v>
      </c>
      <c r="P16" s="7"/>
      <c r="Q16" s="13"/>
      <c r="R16" s="14"/>
      <c r="S16" s="14"/>
      <c r="T16" s="27"/>
      <c r="U16" s="28">
        <f t="shared" si="2"/>
        <v>0.80164195199999988</v>
      </c>
    </row>
    <row r="17" spans="1:21" x14ac:dyDescent="0.25">
      <c r="A17" s="6" t="s">
        <v>37</v>
      </c>
      <c r="B17" s="6" t="s">
        <v>48</v>
      </c>
      <c r="C17" s="15">
        <v>2226.564453125</v>
      </c>
      <c r="D17" s="16">
        <v>39.180199999999999</v>
      </c>
      <c r="E17" s="16">
        <v>41.775199999999998</v>
      </c>
      <c r="F17" s="16">
        <v>43.1252</v>
      </c>
      <c r="G17" s="16">
        <v>70.880094506792673</v>
      </c>
      <c r="H17" s="16">
        <f t="shared" si="0"/>
        <v>39.997700000000002</v>
      </c>
      <c r="I17" s="5"/>
      <c r="J17" s="15">
        <v>2367.8696</v>
      </c>
      <c r="K17" s="16">
        <v>38.867100000000001</v>
      </c>
      <c r="L17" s="16">
        <v>41.8596</v>
      </c>
      <c r="M17" s="16">
        <v>43.186900000000001</v>
      </c>
      <c r="N17" s="16">
        <v>150.2818</v>
      </c>
      <c r="O17" s="16">
        <f t="shared" si="1"/>
        <v>39.7811375</v>
      </c>
      <c r="P17" s="7"/>
      <c r="Q17" s="8">
        <f>bdrate(C17:C20,D17:D20,J17:J20,K17:K20)</f>
        <v>6.5587135578417888E-2</v>
      </c>
      <c r="R17" s="8">
        <f>bdrate(C17:C20,E17:E20,J17:J20,L17:L20)</f>
        <v>-2.2751734608632557E-3</v>
      </c>
      <c r="S17" s="8">
        <f>bdrate(C17:C20,F17:F20,J17:J20,M17:M20)</f>
        <v>2.148877565192242E-2</v>
      </c>
      <c r="T17" s="25">
        <f>bdrate(C17:C20,H17:H20,J17:J20,O17:O20)</f>
        <v>5.843542450955086E-2</v>
      </c>
      <c r="U17" s="28">
        <f t="shared" si="2"/>
        <v>1.1202257283333334</v>
      </c>
    </row>
    <row r="18" spans="1:21" x14ac:dyDescent="0.25">
      <c r="A18" s="9" t="s">
        <v>38</v>
      </c>
      <c r="B18" s="9"/>
      <c r="C18" s="17">
        <v>1484.376953125</v>
      </c>
      <c r="D18" s="18">
        <v>37.775399999999998</v>
      </c>
      <c r="E18" s="18">
        <v>41.140700000000002</v>
      </c>
      <c r="F18" s="18">
        <v>42.39</v>
      </c>
      <c r="G18" s="18">
        <v>97.442143727161991</v>
      </c>
      <c r="H18" s="18">
        <f t="shared" si="0"/>
        <v>38.772887499999996</v>
      </c>
      <c r="I18" s="5"/>
      <c r="J18" s="17">
        <v>1548.5840000000001</v>
      </c>
      <c r="K18" s="18">
        <v>37.589100000000002</v>
      </c>
      <c r="L18" s="18">
        <v>41.150500000000001</v>
      </c>
      <c r="M18" s="18">
        <v>42.368200000000002</v>
      </c>
      <c r="N18" s="18">
        <v>162.60159999999999</v>
      </c>
      <c r="O18" s="18">
        <f t="shared" si="1"/>
        <v>38.631662500000004</v>
      </c>
      <c r="P18" s="7"/>
      <c r="Q18" s="10"/>
      <c r="R18" s="11"/>
      <c r="S18" s="11"/>
      <c r="T18" s="26"/>
      <c r="U18" s="28">
        <f t="shared" si="2"/>
        <v>0.66869891999999997</v>
      </c>
    </row>
    <row r="19" spans="1:21" x14ac:dyDescent="0.25">
      <c r="B19" s="9"/>
      <c r="C19" s="17">
        <v>927.3447265625</v>
      </c>
      <c r="D19" s="18">
        <v>36.075899999999997</v>
      </c>
      <c r="E19" s="18">
        <v>40.323099999999997</v>
      </c>
      <c r="F19" s="18">
        <v>41.5351</v>
      </c>
      <c r="G19" s="18">
        <v>115.21843494959192</v>
      </c>
      <c r="H19" s="18">
        <f t="shared" si="0"/>
        <v>37.289200000000001</v>
      </c>
      <c r="I19" s="5"/>
      <c r="J19" s="17">
        <v>949.56880000000001</v>
      </c>
      <c r="K19" s="18">
        <v>36.011800000000001</v>
      </c>
      <c r="L19" s="18">
        <v>40.395200000000003</v>
      </c>
      <c r="M19" s="18">
        <v>41.578699999999998</v>
      </c>
      <c r="N19" s="18">
        <v>184.75749999999999</v>
      </c>
      <c r="O19" s="18">
        <f t="shared" si="1"/>
        <v>37.255587500000004</v>
      </c>
      <c r="P19" s="7"/>
      <c r="Q19" s="10"/>
      <c r="R19" s="11"/>
      <c r="S19" s="11"/>
      <c r="T19" s="26"/>
      <c r="U19" s="28">
        <f t="shared" si="2"/>
        <v>0.60354113541666676</v>
      </c>
    </row>
    <row r="20" spans="1:21" ht="16.5" thickBot="1" x14ac:dyDescent="0.3">
      <c r="B20" s="12"/>
      <c r="C20" s="19">
        <v>556.25</v>
      </c>
      <c r="D20" s="20">
        <v>34.1935</v>
      </c>
      <c r="E20" s="20">
        <v>39.565899999999999</v>
      </c>
      <c r="F20" s="20">
        <v>40.850700000000003</v>
      </c>
      <c r="G20" s="20">
        <v>138.72832369942196</v>
      </c>
      <c r="H20" s="20">
        <f t="shared" si="0"/>
        <v>35.697200000000002</v>
      </c>
      <c r="I20" s="5"/>
      <c r="J20" s="19">
        <v>557.82000000000005</v>
      </c>
      <c r="K20" s="20">
        <v>34.203400000000002</v>
      </c>
      <c r="L20" s="20">
        <v>39.661799999999999</v>
      </c>
      <c r="M20" s="20">
        <v>40.881900000000002</v>
      </c>
      <c r="N20" s="20">
        <v>215.43989999999999</v>
      </c>
      <c r="O20" s="20">
        <f t="shared" si="1"/>
        <v>35.720512499999998</v>
      </c>
      <c r="P20" s="7"/>
      <c r="Q20" s="13"/>
      <c r="R20" s="14"/>
      <c r="S20" s="14"/>
      <c r="T20" s="27"/>
      <c r="U20" s="28">
        <f t="shared" si="2"/>
        <v>0.55296261250000001</v>
      </c>
    </row>
    <row r="21" spans="1:21" x14ac:dyDescent="0.25">
      <c r="B21" s="6" t="s">
        <v>49</v>
      </c>
      <c r="C21" s="15">
        <v>2263.255859375</v>
      </c>
      <c r="D21" s="16">
        <v>35.997399999999999</v>
      </c>
      <c r="E21" s="16">
        <v>39.601500000000001</v>
      </c>
      <c r="F21" s="16">
        <v>40.733199999999997</v>
      </c>
      <c r="G21" s="16">
        <v>76.579451180599875</v>
      </c>
      <c r="H21" s="16">
        <f t="shared" si="0"/>
        <v>37.039887499999999</v>
      </c>
      <c r="I21" s="5"/>
      <c r="J21" s="15">
        <v>2418.9072000000001</v>
      </c>
      <c r="K21" s="16">
        <v>35.684699999999999</v>
      </c>
      <c r="L21" s="16">
        <v>39.796500000000002</v>
      </c>
      <c r="M21" s="16">
        <v>41.029499999999999</v>
      </c>
      <c r="N21" s="16">
        <v>136.59649999999999</v>
      </c>
      <c r="O21" s="16">
        <f t="shared" si="1"/>
        <v>36.866775000000004</v>
      </c>
      <c r="P21" s="7"/>
      <c r="Q21" s="8">
        <f>bdrate(C21:C24,D21:D24,J21:J24,K21:K24)</f>
        <v>0.12069741414839452</v>
      </c>
      <c r="R21" s="8">
        <f>bdrate(C21:C24,E21:E24,J21:J24,L21:L24)</f>
        <v>-5.8382073633471143E-2</v>
      </c>
      <c r="S21" s="8">
        <f>bdrate(C21:C24,F21:F24,J21:J24,M21:M24)</f>
        <v>-7.8470978854355722E-2</v>
      </c>
      <c r="T21" s="25">
        <f>bdrate(C21:C24,H21:H24,J21:J24,O21:O24)</f>
        <v>9.0552576998435219E-2</v>
      </c>
      <c r="U21" s="28">
        <f t="shared" si="2"/>
        <v>0.78372262916666646</v>
      </c>
    </row>
    <row r="22" spans="1:21" x14ac:dyDescent="0.25">
      <c r="B22" s="9"/>
      <c r="C22" s="17">
        <v>1514.9853515625</v>
      </c>
      <c r="D22" s="18">
        <v>34.646500000000003</v>
      </c>
      <c r="E22" s="18">
        <v>38.808300000000003</v>
      </c>
      <c r="F22" s="18">
        <v>40.0077</v>
      </c>
      <c r="G22" s="18">
        <v>105.77346848832084</v>
      </c>
      <c r="H22" s="18">
        <f t="shared" si="0"/>
        <v>35.836875000000006</v>
      </c>
      <c r="I22" s="5"/>
      <c r="J22" s="17">
        <v>1630.3304000000001</v>
      </c>
      <c r="K22" s="18">
        <v>34.430799999999998</v>
      </c>
      <c r="L22" s="18">
        <v>39.050800000000002</v>
      </c>
      <c r="M22" s="18">
        <v>40.291499999999999</v>
      </c>
      <c r="N22" s="18">
        <v>157.17089999999999</v>
      </c>
      <c r="O22" s="18">
        <f t="shared" si="1"/>
        <v>35.740887499999999</v>
      </c>
      <c r="P22" s="7"/>
      <c r="Q22" s="10"/>
      <c r="R22" s="11"/>
      <c r="S22" s="11"/>
      <c r="T22" s="26"/>
      <c r="U22" s="28">
        <f t="shared" si="2"/>
        <v>0.48591988374999989</v>
      </c>
    </row>
    <row r="23" spans="1:21" x14ac:dyDescent="0.25">
      <c r="B23" s="9"/>
      <c r="C23" s="17">
        <v>944.41015625</v>
      </c>
      <c r="D23" s="18">
        <v>33.099699999999999</v>
      </c>
      <c r="E23" s="18">
        <v>37.911499999999997</v>
      </c>
      <c r="F23" s="18">
        <v>39.2821</v>
      </c>
      <c r="G23" s="18">
        <v>121.39605462822458</v>
      </c>
      <c r="H23" s="18">
        <f t="shared" si="0"/>
        <v>34.473974999999996</v>
      </c>
      <c r="I23" s="5"/>
      <c r="J23" s="17">
        <v>985.42079999999999</v>
      </c>
      <c r="K23" s="18">
        <v>32.931699999999999</v>
      </c>
      <c r="L23" s="18">
        <v>38.138599999999997</v>
      </c>
      <c r="M23" s="18">
        <v>39.485599999999998</v>
      </c>
      <c r="N23" s="18">
        <v>185.47139999999999</v>
      </c>
      <c r="O23" s="18">
        <f t="shared" si="1"/>
        <v>34.401799999999994</v>
      </c>
      <c r="P23" s="7"/>
      <c r="Q23" s="10"/>
      <c r="R23" s="11"/>
      <c r="S23" s="11"/>
      <c r="T23" s="26"/>
      <c r="U23" s="28">
        <f t="shared" si="2"/>
        <v>0.52782065749999996</v>
      </c>
    </row>
    <row r="24" spans="1:21" ht="16.5" thickBot="1" x14ac:dyDescent="0.3">
      <c r="B24" s="12"/>
      <c r="C24" s="19">
        <v>568.34375</v>
      </c>
      <c r="D24" s="20">
        <v>31.4621</v>
      </c>
      <c r="E24" s="20">
        <v>37.134799999999998</v>
      </c>
      <c r="F24" s="20">
        <v>38.713500000000003</v>
      </c>
      <c r="G24" s="20">
        <v>138.32853025936598</v>
      </c>
      <c r="H24" s="20">
        <f t="shared" si="0"/>
        <v>33.077612500000001</v>
      </c>
      <c r="I24" s="5"/>
      <c r="J24" s="19">
        <v>577.31119999999999</v>
      </c>
      <c r="K24" s="20">
        <v>31.291499999999999</v>
      </c>
      <c r="L24" s="20">
        <v>37.174700000000001</v>
      </c>
      <c r="M24" s="20">
        <v>38.708500000000001</v>
      </c>
      <c r="N24" s="20">
        <v>217.19460000000001</v>
      </c>
      <c r="O24" s="20">
        <f t="shared" si="1"/>
        <v>32.954025000000001</v>
      </c>
      <c r="P24" s="7"/>
      <c r="Q24" s="13"/>
      <c r="R24" s="14"/>
      <c r="S24" s="14"/>
      <c r="T24" s="27"/>
      <c r="U24" s="28">
        <f t="shared" si="2"/>
        <v>0.57013596250000032</v>
      </c>
    </row>
    <row r="25" spans="1:21" x14ac:dyDescent="0.25">
      <c r="B25" s="6" t="s">
        <v>50</v>
      </c>
      <c r="C25" s="15">
        <v>2302.2958984375</v>
      </c>
      <c r="D25" s="16">
        <v>33.702300000000001</v>
      </c>
      <c r="E25" s="16">
        <v>37.834600000000002</v>
      </c>
      <c r="F25" s="16">
        <v>39.494599999999998</v>
      </c>
      <c r="G25" s="16">
        <v>91.726288754357</v>
      </c>
      <c r="H25" s="16">
        <f t="shared" si="0"/>
        <v>34.942875000000001</v>
      </c>
      <c r="I25" s="5"/>
      <c r="J25" s="15">
        <v>2407.6927999999998</v>
      </c>
      <c r="K25" s="16">
        <v>33.769399999999997</v>
      </c>
      <c r="L25" s="16">
        <v>38.107700000000001</v>
      </c>
      <c r="M25" s="16">
        <v>40.028100000000002</v>
      </c>
      <c r="N25" s="16">
        <v>189.10740000000001</v>
      </c>
      <c r="O25" s="16">
        <f t="shared" si="1"/>
        <v>35.094025000000002</v>
      </c>
      <c r="P25" s="7"/>
      <c r="Q25" s="8">
        <f>bdrate(C25:C28,D25:D28,J25:J28,K25:K28)</f>
        <v>-2.6138143606639241E-2</v>
      </c>
      <c r="R25" s="8">
        <f>bdrate(C25:C28,E25:E28,J25:J28,L25:L28)</f>
        <v>-0.12783836675423632</v>
      </c>
      <c r="S25" s="8">
        <f>bdrate(C25:C28,F25:F28,J25:J28,M25:M28)</f>
        <v>-0.13880294030863272</v>
      </c>
      <c r="T25" s="25">
        <f>bdrate(C25:C28,H25:H28,J25:J28,O25:O28)</f>
        <v>-4.2938933926004785E-2</v>
      </c>
      <c r="U25" s="28">
        <f t="shared" si="2"/>
        <v>1.0616488748000001</v>
      </c>
    </row>
    <row r="26" spans="1:21" x14ac:dyDescent="0.25">
      <c r="B26" s="9"/>
      <c r="C26" s="17">
        <v>1536.7490234375</v>
      </c>
      <c r="D26" s="18">
        <v>32.306600000000003</v>
      </c>
      <c r="E26" s="18">
        <v>37.325200000000002</v>
      </c>
      <c r="F26" s="18">
        <v>38.601599999999998</v>
      </c>
      <c r="G26" s="18">
        <v>141.68319637291017</v>
      </c>
      <c r="H26" s="18">
        <f t="shared" si="0"/>
        <v>33.720800000000004</v>
      </c>
      <c r="I26" s="5"/>
      <c r="J26" s="17">
        <v>1603.8248000000001</v>
      </c>
      <c r="K26" s="18">
        <v>32.524799999999999</v>
      </c>
      <c r="L26" s="18">
        <v>37.638800000000003</v>
      </c>
      <c r="M26" s="18">
        <v>39.182200000000002</v>
      </c>
      <c r="N26" s="18">
        <v>212.85650000000001</v>
      </c>
      <c r="O26" s="18">
        <f t="shared" si="1"/>
        <v>33.996225000000003</v>
      </c>
      <c r="P26" s="7"/>
      <c r="Q26" s="10"/>
      <c r="R26" s="11"/>
      <c r="S26" s="11"/>
      <c r="T26" s="26"/>
      <c r="U26" s="28">
        <f t="shared" si="2"/>
        <v>0.50234117700000003</v>
      </c>
    </row>
    <row r="27" spans="1:21" x14ac:dyDescent="0.25">
      <c r="B27" s="9"/>
      <c r="C27" s="17">
        <v>959.7177734375</v>
      </c>
      <c r="D27" s="18">
        <v>30.6526</v>
      </c>
      <c r="E27" s="18">
        <v>36.825000000000003</v>
      </c>
      <c r="F27" s="18">
        <v>37.863300000000002</v>
      </c>
      <c r="G27" s="18">
        <v>164.4736842105263</v>
      </c>
      <c r="H27" s="18">
        <f t="shared" si="0"/>
        <v>32.325487499999994</v>
      </c>
      <c r="I27" s="5"/>
      <c r="J27" s="17">
        <v>995.85040000000004</v>
      </c>
      <c r="K27" s="18">
        <v>30.916499999999999</v>
      </c>
      <c r="L27" s="18">
        <v>37.010300000000001</v>
      </c>
      <c r="M27" s="18">
        <v>38.1584</v>
      </c>
      <c r="N27" s="18">
        <v>244.61840000000001</v>
      </c>
      <c r="O27" s="18">
        <f t="shared" si="1"/>
        <v>32.583462499999996</v>
      </c>
      <c r="P27" s="7"/>
      <c r="Q27" s="10"/>
      <c r="R27" s="11"/>
      <c r="S27" s="11"/>
      <c r="T27" s="26"/>
      <c r="U27" s="28">
        <f t="shared" si="2"/>
        <v>0.48727987200000017</v>
      </c>
    </row>
    <row r="28" spans="1:21" ht="16.5" thickBot="1" x14ac:dyDescent="0.3">
      <c r="B28" s="12"/>
      <c r="C28" s="19">
        <v>577.669921875</v>
      </c>
      <c r="D28" s="20">
        <v>28.8247</v>
      </c>
      <c r="E28" s="20">
        <v>36.219499999999996</v>
      </c>
      <c r="F28" s="20">
        <v>36.830800000000004</v>
      </c>
      <c r="G28" s="20">
        <v>175.25411847178407</v>
      </c>
      <c r="H28" s="20">
        <f t="shared" si="0"/>
        <v>30.749812499999997</v>
      </c>
      <c r="I28" s="5"/>
      <c r="J28" s="19">
        <v>596.6472</v>
      </c>
      <c r="K28" s="20">
        <v>29.072500000000002</v>
      </c>
      <c r="L28" s="20">
        <v>36.2806</v>
      </c>
      <c r="M28" s="20">
        <v>36.96</v>
      </c>
      <c r="N28" s="20">
        <v>287.68700000000001</v>
      </c>
      <c r="O28" s="20">
        <f t="shared" si="1"/>
        <v>30.95945</v>
      </c>
      <c r="P28" s="7"/>
      <c r="Q28" s="13"/>
      <c r="R28" s="14"/>
      <c r="S28" s="14"/>
      <c r="T28" s="27"/>
      <c r="U28" s="28">
        <f t="shared" si="2"/>
        <v>0.64154202200000021</v>
      </c>
    </row>
    <row r="29" spans="1:21" x14ac:dyDescent="0.25">
      <c r="B29" s="6" t="s">
        <v>51</v>
      </c>
      <c r="C29" s="29">
        <v>2296.3505859375</v>
      </c>
      <c r="D29" s="30">
        <v>34.024099999999997</v>
      </c>
      <c r="E29" s="30">
        <v>40.217199999999998</v>
      </c>
      <c r="F29" s="30">
        <v>39.823700000000002</v>
      </c>
      <c r="G29" s="16">
        <v>92.43852837862822</v>
      </c>
      <c r="H29" s="16">
        <f t="shared" si="0"/>
        <v>35.523187499999992</v>
      </c>
      <c r="I29" s="5"/>
      <c r="J29" s="29">
        <v>2416.7343999999998</v>
      </c>
      <c r="K29" s="30">
        <v>33.724699999999999</v>
      </c>
      <c r="L29" s="30">
        <v>40.180700000000002</v>
      </c>
      <c r="M29" s="30">
        <v>39.735999999999997</v>
      </c>
      <c r="N29" s="16">
        <v>158.02780000000001</v>
      </c>
      <c r="O29" s="16">
        <f t="shared" si="1"/>
        <v>35.283112500000001</v>
      </c>
      <c r="P29" s="7"/>
      <c r="Q29" s="8">
        <f>bdrate(C29:C32,D29:D32,J29:J32,K29:K32)</f>
        <v>0.1086942439892602</v>
      </c>
      <c r="R29" s="8">
        <f>bdrate(C29:C32,E29:E32,J29:J32,L29:L32)</f>
        <v>0.10105427859333882</v>
      </c>
      <c r="S29" s="8">
        <f>bdrate(C29:C32,F29:F32,J29:J32,M29:M32)</f>
        <v>5.7969532191969764E-2</v>
      </c>
      <c r="T29" s="25">
        <f>bdrate(C29:C32,H29:H32,J29:J32,O29:O32)</f>
        <v>0.10262885942789013</v>
      </c>
      <c r="U29" s="28">
        <f t="shared" si="2"/>
        <v>0.70954474040000004</v>
      </c>
    </row>
    <row r="30" spans="1:21" x14ac:dyDescent="0.25">
      <c r="B30" s="9"/>
      <c r="C30" s="31">
        <v>1529.2265625</v>
      </c>
      <c r="D30" s="32">
        <v>32.523299999999999</v>
      </c>
      <c r="E30" s="32">
        <v>39.479700000000001</v>
      </c>
      <c r="F30" s="32">
        <v>38.791499999999999</v>
      </c>
      <c r="G30" s="18">
        <v>133.29778725673154</v>
      </c>
      <c r="H30" s="18">
        <f t="shared" si="0"/>
        <v>34.176375</v>
      </c>
      <c r="I30" s="5"/>
      <c r="J30" s="31">
        <v>1607.3576</v>
      </c>
      <c r="K30" s="32">
        <v>32.303800000000003</v>
      </c>
      <c r="L30" s="32">
        <v>39.395200000000003</v>
      </c>
      <c r="M30" s="32">
        <v>38.733499999999999</v>
      </c>
      <c r="N30" s="18">
        <v>179.79140000000001</v>
      </c>
      <c r="O30" s="18">
        <f t="shared" si="1"/>
        <v>33.993937500000001</v>
      </c>
      <c r="P30" s="7"/>
      <c r="Q30" s="10"/>
      <c r="R30" s="11"/>
      <c r="S30" s="11"/>
      <c r="T30" s="26"/>
      <c r="U30" s="28">
        <f t="shared" si="2"/>
        <v>0.34879508280000004</v>
      </c>
    </row>
    <row r="31" spans="1:21" x14ac:dyDescent="0.25">
      <c r="B31" s="9"/>
      <c r="C31" s="31">
        <v>955.12109375</v>
      </c>
      <c r="D31" s="32">
        <v>30.737300000000001</v>
      </c>
      <c r="E31" s="32">
        <v>38.533999999999999</v>
      </c>
      <c r="F31" s="32">
        <v>37.4955</v>
      </c>
      <c r="G31" s="18">
        <v>149.83518130056936</v>
      </c>
      <c r="H31" s="18">
        <f t="shared" si="0"/>
        <v>32.556662500000002</v>
      </c>
      <c r="I31" s="5"/>
      <c r="J31" s="31">
        <v>1001.1688</v>
      </c>
      <c r="K31" s="32">
        <v>30.517399999999999</v>
      </c>
      <c r="L31" s="32">
        <v>38.381500000000003</v>
      </c>
      <c r="M31" s="32">
        <v>37.483199999999997</v>
      </c>
      <c r="N31" s="18">
        <v>211.685</v>
      </c>
      <c r="O31" s="18">
        <f t="shared" si="1"/>
        <v>32.371137500000003</v>
      </c>
      <c r="P31" s="7"/>
      <c r="Q31" s="10"/>
      <c r="R31" s="11"/>
      <c r="S31" s="11"/>
      <c r="T31" s="26"/>
      <c r="U31" s="28">
        <f t="shared" si="2"/>
        <v>0.41278569000000015</v>
      </c>
    </row>
    <row r="32" spans="1:21" ht="16.5" thickBot="1" x14ac:dyDescent="0.3">
      <c r="B32" s="12"/>
      <c r="C32" s="33">
        <v>573.96875</v>
      </c>
      <c r="D32" s="34">
        <v>28.715299999999999</v>
      </c>
      <c r="E32" s="34">
        <v>37.025199999999998</v>
      </c>
      <c r="F32" s="34">
        <v>35.732100000000003</v>
      </c>
      <c r="G32" s="20">
        <v>156.20118712902217</v>
      </c>
      <c r="H32" s="20">
        <f t="shared" si="0"/>
        <v>30.631137500000001</v>
      </c>
      <c r="I32" s="5"/>
      <c r="J32" s="33">
        <v>597.73599999999999</v>
      </c>
      <c r="K32" s="34">
        <v>28.6248</v>
      </c>
      <c r="L32" s="34">
        <v>36.923200000000001</v>
      </c>
      <c r="M32" s="34">
        <v>35.784199999999998</v>
      </c>
      <c r="N32" s="20">
        <v>252.52529999999999</v>
      </c>
      <c r="O32" s="20">
        <f t="shared" si="1"/>
        <v>30.557025000000003</v>
      </c>
      <c r="P32" s="7"/>
      <c r="Q32" s="13"/>
      <c r="R32" s="14"/>
      <c r="S32" s="14"/>
      <c r="T32" s="27"/>
      <c r="U32" s="28">
        <f t="shared" si="2"/>
        <v>0.61666697059999998</v>
      </c>
    </row>
    <row r="33" spans="1:21" x14ac:dyDescent="0.25">
      <c r="B33" s="6" t="s">
        <v>52</v>
      </c>
      <c r="C33" s="15">
        <v>2319.078125</v>
      </c>
      <c r="D33" s="16">
        <v>33.500900000000001</v>
      </c>
      <c r="E33" s="16">
        <v>39.625300000000003</v>
      </c>
      <c r="F33" s="16">
        <v>42.035699999999999</v>
      </c>
      <c r="G33" s="16">
        <v>95.102234902520209</v>
      </c>
      <c r="H33" s="16">
        <f t="shared" si="0"/>
        <v>35.333300000000001</v>
      </c>
      <c r="I33" s="5"/>
      <c r="J33" s="15">
        <v>2406.6368000000002</v>
      </c>
      <c r="K33" s="16">
        <v>33.322299999999998</v>
      </c>
      <c r="L33" s="16">
        <v>39.742800000000003</v>
      </c>
      <c r="M33" s="16">
        <v>42.27</v>
      </c>
      <c r="N33" s="16">
        <v>200.0667</v>
      </c>
      <c r="O33" s="16">
        <f t="shared" si="1"/>
        <v>35.243324999999999</v>
      </c>
      <c r="P33" s="7"/>
      <c r="Q33" s="8">
        <f>bdrate(C33:C36,D33:D36,J33:J36,K33:K36)</f>
        <v>6.7865191842393813E-2</v>
      </c>
      <c r="R33" s="8">
        <f>bdrate(C33:C36,E33:E36,J33:J36,L33:L36)</f>
        <v>1.3300693642222194E-2</v>
      </c>
      <c r="S33" s="8">
        <f>bdrate(C33:C36,F33:F36,J33:J36,M33:M36)</f>
        <v>-1.8709055192558499E-2</v>
      </c>
      <c r="T33" s="25">
        <f>bdrate(C33:C36,H33:H36,J33:J36,O33:O36)</f>
        <v>5.8422130524401483E-2</v>
      </c>
      <c r="U33" s="28">
        <f t="shared" si="2"/>
        <v>1.1037013505</v>
      </c>
    </row>
    <row r="34" spans="1:21" x14ac:dyDescent="0.25">
      <c r="B34" s="9"/>
      <c r="C34" s="17">
        <v>1536.4267578125</v>
      </c>
      <c r="D34" s="18">
        <v>32.718000000000004</v>
      </c>
      <c r="E34" s="18">
        <v>39.182000000000002</v>
      </c>
      <c r="F34" s="18">
        <v>41.625</v>
      </c>
      <c r="G34" s="18">
        <v>147.60147601476012</v>
      </c>
      <c r="H34" s="18">
        <f t="shared" si="0"/>
        <v>34.639375000000001</v>
      </c>
      <c r="I34" s="5"/>
      <c r="J34" s="17">
        <v>1599.8656000000001</v>
      </c>
      <c r="K34" s="18">
        <v>32.589700000000001</v>
      </c>
      <c r="L34" s="18">
        <v>39.258899999999997</v>
      </c>
      <c r="M34" s="18">
        <v>41.802300000000002</v>
      </c>
      <c r="N34" s="18">
        <v>221.1574</v>
      </c>
      <c r="O34" s="18">
        <f t="shared" si="1"/>
        <v>34.574925</v>
      </c>
      <c r="P34" s="7"/>
      <c r="Q34" s="10"/>
      <c r="R34" s="11"/>
      <c r="S34" s="11"/>
      <c r="T34" s="26"/>
      <c r="U34" s="28">
        <f t="shared" si="2"/>
        <v>0.49834138500000019</v>
      </c>
    </row>
    <row r="35" spans="1:21" x14ac:dyDescent="0.25">
      <c r="B35" s="9"/>
      <c r="C35" s="17">
        <v>955.3603515625</v>
      </c>
      <c r="D35" s="18">
        <v>31.467300000000002</v>
      </c>
      <c r="E35" s="18">
        <v>38.5411</v>
      </c>
      <c r="F35" s="18">
        <v>41.084699999999998</v>
      </c>
      <c r="G35" s="18">
        <v>165.47159404302261</v>
      </c>
      <c r="H35" s="18">
        <f t="shared" si="0"/>
        <v>33.553700000000006</v>
      </c>
      <c r="I35" s="5"/>
      <c r="J35" s="17">
        <v>1019.54</v>
      </c>
      <c r="K35" s="18">
        <v>31.477599999999999</v>
      </c>
      <c r="L35" s="18">
        <v>38.575800000000001</v>
      </c>
      <c r="M35" s="18">
        <v>41.116199999999999</v>
      </c>
      <c r="N35" s="18">
        <v>247.11699999999999</v>
      </c>
      <c r="O35" s="18">
        <f t="shared" si="1"/>
        <v>33.569699999999997</v>
      </c>
      <c r="P35" s="7"/>
      <c r="Q35" s="10"/>
      <c r="R35" s="11"/>
      <c r="S35" s="11"/>
      <c r="T35" s="26"/>
      <c r="U35" s="28">
        <f t="shared" si="2"/>
        <v>0.49341040333333336</v>
      </c>
    </row>
    <row r="36" spans="1:21" ht="16.5" thickBot="1" x14ac:dyDescent="0.3">
      <c r="B36" s="12"/>
      <c r="C36" s="19">
        <v>573.6943359375</v>
      </c>
      <c r="D36" s="20">
        <v>29.7821</v>
      </c>
      <c r="E36" s="20">
        <v>38.049500000000002</v>
      </c>
      <c r="F36" s="20">
        <v>40.638500000000001</v>
      </c>
      <c r="G36" s="20">
        <v>178.41213202497769</v>
      </c>
      <c r="H36" s="20">
        <f t="shared" si="0"/>
        <v>32.172575000000002</v>
      </c>
      <c r="I36" s="5"/>
      <c r="J36" s="19">
        <v>597.02080000000001</v>
      </c>
      <c r="K36" s="20">
        <v>29.935300000000002</v>
      </c>
      <c r="L36" s="20">
        <v>38.005699999999997</v>
      </c>
      <c r="M36" s="20">
        <v>40.555999999999997</v>
      </c>
      <c r="N36" s="20">
        <v>278.42230000000001</v>
      </c>
      <c r="O36" s="20">
        <f t="shared" si="1"/>
        <v>32.271687499999999</v>
      </c>
      <c r="P36" s="7"/>
      <c r="Q36" s="13"/>
      <c r="R36" s="14"/>
      <c r="S36" s="14"/>
      <c r="T36" s="27"/>
      <c r="U36" s="28">
        <f t="shared" si="2"/>
        <v>0.56055699150000005</v>
      </c>
    </row>
    <row r="37" spans="1:21" x14ac:dyDescent="0.25">
      <c r="A37" s="6" t="s">
        <v>39</v>
      </c>
      <c r="B37" s="6" t="s">
        <v>53</v>
      </c>
      <c r="C37" s="15">
        <v>1154.859375</v>
      </c>
      <c r="D37" s="16">
        <v>34.786900000000003</v>
      </c>
      <c r="E37" s="16">
        <v>38.6633</v>
      </c>
      <c r="F37" s="16">
        <v>38.4512</v>
      </c>
      <c r="G37" s="16">
        <v>259.87525987525987</v>
      </c>
      <c r="H37" s="16">
        <f t="shared" si="0"/>
        <v>35.729487500000005</v>
      </c>
      <c r="I37" s="5"/>
      <c r="J37" s="15">
        <v>1206.4112</v>
      </c>
      <c r="K37" s="16">
        <v>34.5002</v>
      </c>
      <c r="L37" s="16">
        <v>38.674900000000001</v>
      </c>
      <c r="M37" s="16">
        <v>38.462600000000002</v>
      </c>
      <c r="N37" s="16">
        <v>609.75609999999995</v>
      </c>
      <c r="O37" s="16">
        <f t="shared" si="1"/>
        <v>35.517337499999996</v>
      </c>
      <c r="P37" s="7"/>
      <c r="Q37" s="8">
        <f>bdrate(C37:C40,D37:D40,J37:J40,K37:K40)</f>
        <v>6.1673069901017286E-2</v>
      </c>
      <c r="R37" s="8">
        <f>bdrate(C37:C40,E37:E40,J37:J40,L37:L40)</f>
        <v>6.8416355741944379E-2</v>
      </c>
      <c r="S37" s="8">
        <f>bdrate(C37:C40,F37:F40,J37:J40,M37:M40)</f>
        <v>4.3069845836059661E-2</v>
      </c>
      <c r="T37" s="25">
        <f>bdrate(C37:C40,H37:H40,J37:J40,O37:O40)</f>
        <v>6.0713881958206706E-2</v>
      </c>
      <c r="U37" s="28">
        <f t="shared" si="2"/>
        <v>1.3463414727999998</v>
      </c>
    </row>
    <row r="38" spans="1:21" x14ac:dyDescent="0.25">
      <c r="A38" s="9" t="s">
        <v>40</v>
      </c>
      <c r="B38" s="9"/>
      <c r="C38" s="17">
        <v>769.4033203125</v>
      </c>
      <c r="D38" s="18">
        <v>33.098199999999999</v>
      </c>
      <c r="E38" s="18">
        <v>37.614899999999999</v>
      </c>
      <c r="F38" s="18">
        <v>37.263300000000001</v>
      </c>
      <c r="G38" s="18">
        <v>362.31884057971018</v>
      </c>
      <c r="H38" s="18">
        <f t="shared" si="0"/>
        <v>34.183425</v>
      </c>
      <c r="I38" s="5"/>
      <c r="J38" s="17">
        <v>805.44</v>
      </c>
      <c r="K38" s="18">
        <v>32.950800000000001</v>
      </c>
      <c r="L38" s="18">
        <v>37.5411</v>
      </c>
      <c r="M38" s="18">
        <v>37.227200000000003</v>
      </c>
      <c r="N38" s="18">
        <v>678.42610000000002</v>
      </c>
      <c r="O38" s="18">
        <f t="shared" si="1"/>
        <v>34.059137499999999</v>
      </c>
      <c r="P38" s="7"/>
      <c r="Q38" s="10"/>
      <c r="R38" s="11"/>
      <c r="S38" s="11"/>
      <c r="T38" s="26"/>
      <c r="U38" s="28">
        <f t="shared" si="2"/>
        <v>0.87245603599999988</v>
      </c>
    </row>
    <row r="39" spans="1:21" x14ac:dyDescent="0.25">
      <c r="B39" s="9"/>
      <c r="C39" s="17">
        <v>480.7216796875</v>
      </c>
      <c r="D39" s="18">
        <v>31.103100000000001</v>
      </c>
      <c r="E39" s="18">
        <v>36.302100000000003</v>
      </c>
      <c r="F39" s="18">
        <v>35.783700000000003</v>
      </c>
      <c r="G39" s="18">
        <v>445.63279857397498</v>
      </c>
      <c r="H39" s="18">
        <f t="shared" si="0"/>
        <v>32.338050000000003</v>
      </c>
      <c r="I39" s="5"/>
      <c r="J39" s="17">
        <v>501.68639999999999</v>
      </c>
      <c r="K39" s="18">
        <v>31.148099999999999</v>
      </c>
      <c r="L39" s="18">
        <v>36.248699999999999</v>
      </c>
      <c r="M39" s="18">
        <v>35.835000000000001</v>
      </c>
      <c r="N39" s="18">
        <v>791.13919999999996</v>
      </c>
      <c r="O39" s="18">
        <f t="shared" si="1"/>
        <v>32.371537499999995</v>
      </c>
      <c r="P39" s="7"/>
      <c r="Q39" s="10"/>
      <c r="R39" s="11"/>
      <c r="S39" s="11"/>
      <c r="T39" s="26"/>
      <c r="U39" s="28">
        <f t="shared" si="2"/>
        <v>0.77531636480000021</v>
      </c>
    </row>
    <row r="40" spans="1:21" ht="16.5" thickBot="1" x14ac:dyDescent="0.3">
      <c r="B40" s="12"/>
      <c r="C40" s="19">
        <v>288.7939453125</v>
      </c>
      <c r="D40" s="20">
        <v>29.160799999999998</v>
      </c>
      <c r="E40" s="20">
        <v>35.025399999999998</v>
      </c>
      <c r="F40" s="20">
        <v>34.383299999999998</v>
      </c>
      <c r="G40" s="20">
        <v>534.18803418803418</v>
      </c>
      <c r="H40" s="20">
        <f t="shared" si="0"/>
        <v>30.546687499999997</v>
      </c>
      <c r="I40" s="5"/>
      <c r="J40" s="19">
        <v>301.15199999999999</v>
      </c>
      <c r="K40" s="20">
        <v>29.1142</v>
      </c>
      <c r="L40" s="20">
        <v>34.926400000000001</v>
      </c>
      <c r="M40" s="20">
        <v>34.3489</v>
      </c>
      <c r="N40" s="20">
        <v>976.5625</v>
      </c>
      <c r="O40" s="20">
        <f t="shared" si="1"/>
        <v>30.495062500000003</v>
      </c>
      <c r="P40" s="7"/>
      <c r="Q40" s="13"/>
      <c r="R40" s="14"/>
      <c r="S40" s="14"/>
      <c r="T40" s="27"/>
      <c r="U40" s="28">
        <f t="shared" si="2"/>
        <v>0.828125</v>
      </c>
    </row>
    <row r="41" spans="1:21" x14ac:dyDescent="0.25">
      <c r="B41" s="6" t="s">
        <v>54</v>
      </c>
      <c r="C41" s="15">
        <v>1203.3740234375</v>
      </c>
      <c r="D41" s="16">
        <v>35.0901</v>
      </c>
      <c r="E41" s="16">
        <v>40.210299999999997</v>
      </c>
      <c r="F41" s="16">
        <v>41.058599999999998</v>
      </c>
      <c r="G41" s="16">
        <v>306.43513789581203</v>
      </c>
      <c r="H41" s="16">
        <f t="shared" si="0"/>
        <v>36.476187499999995</v>
      </c>
      <c r="I41" s="5"/>
      <c r="J41" s="15">
        <v>1236.2367999999999</v>
      </c>
      <c r="K41" s="16">
        <v>34.779400000000003</v>
      </c>
      <c r="L41" s="16">
        <v>40.319400000000002</v>
      </c>
      <c r="M41" s="16">
        <v>41.167400000000001</v>
      </c>
      <c r="N41" s="16">
        <v>564.44029999999998</v>
      </c>
      <c r="O41" s="16">
        <f t="shared" si="1"/>
        <v>36.270400000000002</v>
      </c>
      <c r="P41" s="7"/>
      <c r="Q41" s="8">
        <f>bdrate(C41:C44,D41:D44,J41:J44,K41:K44)</f>
        <v>1.8950463550944985E-2</v>
      </c>
      <c r="R41" s="8">
        <f>bdrate(C41:C44,E41:E44,J41:J44,L41:L44)</f>
        <v>-6.7734224509502949E-2</v>
      </c>
      <c r="S41" s="8">
        <f>bdrate(C41:C44,F41:F44,J41:J44,M41:M44)</f>
        <v>-3.9912411201493359E-2</v>
      </c>
      <c r="T41" s="25">
        <f>bdrate(C41:C44,H41:H44,J41:J44,O41:O44)</f>
        <v>7.620700392463986E-3</v>
      </c>
      <c r="U41" s="28">
        <f t="shared" si="2"/>
        <v>0.84195684566666673</v>
      </c>
    </row>
    <row r="42" spans="1:21" x14ac:dyDescent="0.25">
      <c r="B42" s="9"/>
      <c r="C42" s="17">
        <v>803.1669921875</v>
      </c>
      <c r="D42" s="18">
        <v>33.314599999999999</v>
      </c>
      <c r="E42" s="18">
        <v>39.159500000000001</v>
      </c>
      <c r="F42" s="18">
        <v>39.919400000000003</v>
      </c>
      <c r="G42" s="18">
        <v>403.7685060565276</v>
      </c>
      <c r="H42" s="18">
        <f t="shared" si="0"/>
        <v>34.8708125</v>
      </c>
      <c r="I42" s="5"/>
      <c r="J42" s="17">
        <v>823.66160000000002</v>
      </c>
      <c r="K42" s="18">
        <v>33.237200000000001</v>
      </c>
      <c r="L42" s="18">
        <v>39.383099999999999</v>
      </c>
      <c r="M42" s="18">
        <v>40.108699999999999</v>
      </c>
      <c r="N42" s="18">
        <v>650.75919999999996</v>
      </c>
      <c r="O42" s="18">
        <f t="shared" si="1"/>
        <v>34.864375000000003</v>
      </c>
      <c r="P42" s="7"/>
      <c r="Q42" s="10"/>
      <c r="R42" s="11"/>
      <c r="S42" s="11"/>
      <c r="T42" s="26"/>
      <c r="U42" s="28">
        <f t="shared" si="2"/>
        <v>0.61171361866666651</v>
      </c>
    </row>
    <row r="43" spans="1:21" x14ac:dyDescent="0.25">
      <c r="B43" s="9"/>
      <c r="C43" s="17">
        <v>502.2822265625</v>
      </c>
      <c r="D43" s="18">
        <v>31.2483</v>
      </c>
      <c r="E43" s="18">
        <v>38.1083</v>
      </c>
      <c r="F43" s="18">
        <v>38.745199999999997</v>
      </c>
      <c r="G43" s="18">
        <v>490.99836333878886</v>
      </c>
      <c r="H43" s="18">
        <f t="shared" si="0"/>
        <v>33.0429125</v>
      </c>
      <c r="I43" s="5"/>
      <c r="J43" s="17">
        <v>514.12400000000002</v>
      </c>
      <c r="K43" s="18">
        <v>31.381699999999999</v>
      </c>
      <c r="L43" s="18">
        <v>38.341999999999999</v>
      </c>
      <c r="M43" s="18">
        <v>38.932400000000001</v>
      </c>
      <c r="N43" s="18">
        <v>772.20079999999996</v>
      </c>
      <c r="O43" s="18">
        <f t="shared" si="1"/>
        <v>33.195575000000005</v>
      </c>
      <c r="P43" s="7"/>
      <c r="Q43" s="10"/>
      <c r="R43" s="11"/>
      <c r="S43" s="11"/>
      <c r="T43" s="26"/>
      <c r="U43" s="28">
        <f t="shared" si="2"/>
        <v>0.57271562933333331</v>
      </c>
    </row>
    <row r="44" spans="1:21" ht="16.5" thickBot="1" x14ac:dyDescent="0.3">
      <c r="B44" s="12"/>
      <c r="C44" s="19">
        <v>301.619140625</v>
      </c>
      <c r="D44" s="20">
        <v>29.146100000000001</v>
      </c>
      <c r="E44" s="20">
        <v>37.1342</v>
      </c>
      <c r="F44" s="20">
        <v>37.638500000000001</v>
      </c>
      <c r="G44" s="20">
        <v>555.55555555555554</v>
      </c>
      <c r="H44" s="20">
        <f t="shared" si="0"/>
        <v>31.206162499999998</v>
      </c>
      <c r="I44" s="5"/>
      <c r="J44" s="19">
        <v>308.44639999999998</v>
      </c>
      <c r="K44" s="20">
        <v>29.288399999999999</v>
      </c>
      <c r="L44" s="20">
        <v>37.288499999999999</v>
      </c>
      <c r="M44" s="20">
        <v>37.688600000000001</v>
      </c>
      <c r="N44" s="20">
        <v>960</v>
      </c>
      <c r="O44" s="20">
        <f t="shared" si="1"/>
        <v>31.338437500000001</v>
      </c>
      <c r="P44" s="7"/>
      <c r="Q44" s="13"/>
      <c r="R44" s="14"/>
      <c r="S44" s="14"/>
      <c r="T44" s="27"/>
      <c r="U44" s="28">
        <f t="shared" si="2"/>
        <v>0.72800000000000009</v>
      </c>
    </row>
    <row r="45" spans="1:21" x14ac:dyDescent="0.25">
      <c r="B45" s="6" t="s">
        <v>55</v>
      </c>
      <c r="C45" s="15">
        <v>1183.5654296875</v>
      </c>
      <c r="D45" s="16">
        <v>30.094200000000001</v>
      </c>
      <c r="E45" s="16">
        <v>36.2821</v>
      </c>
      <c r="F45" s="16">
        <v>37.010599999999997</v>
      </c>
      <c r="G45" s="16">
        <v>256.80534155110428</v>
      </c>
      <c r="H45" s="16">
        <f t="shared" si="0"/>
        <v>31.732237500000004</v>
      </c>
      <c r="I45" s="5"/>
      <c r="J45" s="15">
        <v>1219.104</v>
      </c>
      <c r="K45" s="16">
        <v>29.928799999999999</v>
      </c>
      <c r="L45" s="16">
        <v>36.503700000000002</v>
      </c>
      <c r="M45" s="16">
        <v>37.298200000000001</v>
      </c>
      <c r="N45" s="16">
        <v>530.78560000000004</v>
      </c>
      <c r="O45" s="16">
        <f t="shared" si="1"/>
        <v>31.671837500000002</v>
      </c>
      <c r="P45" s="7"/>
      <c r="Q45" s="8">
        <f>bdrate(C45:C48,D45:D48,J45:J48,K45:K48)</f>
        <v>-1.9988644891166585E-2</v>
      </c>
      <c r="R45" s="8">
        <f>bdrate(C45:C48,E45:E48,J45:J48,L45:L48)</f>
        <v>-0.11119086886565099</v>
      </c>
      <c r="S45" s="8">
        <f>bdrate(C45:C48,F45:F48,J45:J48,M45:M48)</f>
        <v>-0.11093182846070881</v>
      </c>
      <c r="T45" s="25">
        <f>bdrate(C45:C48,H45:H48,J45:J48,O45:O48)</f>
        <v>-3.3298844203112576E-2</v>
      </c>
      <c r="U45" s="28">
        <f t="shared" si="2"/>
        <v>1.0668791264000002</v>
      </c>
    </row>
    <row r="46" spans="1:21" x14ac:dyDescent="0.25">
      <c r="B46" s="9"/>
      <c r="C46" s="17">
        <v>782.6728515625</v>
      </c>
      <c r="D46" s="18">
        <v>28.5319</v>
      </c>
      <c r="E46" s="18">
        <v>35.499200000000002</v>
      </c>
      <c r="F46" s="18">
        <v>36.215200000000003</v>
      </c>
      <c r="G46" s="18">
        <v>344.82758620689657</v>
      </c>
      <c r="H46" s="18">
        <f t="shared" si="0"/>
        <v>30.363225</v>
      </c>
      <c r="I46" s="5"/>
      <c r="J46" s="17">
        <v>809.03520000000003</v>
      </c>
      <c r="K46" s="18">
        <v>28.5749</v>
      </c>
      <c r="L46" s="18">
        <v>35.735999999999997</v>
      </c>
      <c r="M46" s="18">
        <v>36.471600000000002</v>
      </c>
      <c r="N46" s="18">
        <v>611.24689999999998</v>
      </c>
      <c r="O46" s="18">
        <f t="shared" si="1"/>
        <v>30.457124999999998</v>
      </c>
      <c r="P46" s="7"/>
      <c r="Q46" s="10"/>
      <c r="R46" s="11"/>
      <c r="S46" s="11"/>
      <c r="T46" s="26"/>
      <c r="U46" s="28">
        <f t="shared" si="2"/>
        <v>0.77261600999999991</v>
      </c>
    </row>
    <row r="47" spans="1:21" x14ac:dyDescent="0.25">
      <c r="B47" s="9"/>
      <c r="C47" s="17">
        <v>497.37890625</v>
      </c>
      <c r="D47" s="18">
        <v>26.8782</v>
      </c>
      <c r="E47" s="18">
        <v>34.656599999999997</v>
      </c>
      <c r="F47" s="18">
        <v>35.377099999999999</v>
      </c>
      <c r="G47" s="18">
        <v>416.66666666666669</v>
      </c>
      <c r="H47" s="18">
        <f t="shared" si="0"/>
        <v>28.912862500000003</v>
      </c>
      <c r="I47" s="5"/>
      <c r="J47" s="17">
        <v>508.73680000000002</v>
      </c>
      <c r="K47" s="18">
        <v>27.158999999999999</v>
      </c>
      <c r="L47" s="18">
        <v>34.949100000000001</v>
      </c>
      <c r="M47" s="18">
        <v>35.6691</v>
      </c>
      <c r="N47" s="18">
        <v>738.55240000000003</v>
      </c>
      <c r="O47" s="18">
        <f t="shared" si="1"/>
        <v>29.196525000000001</v>
      </c>
      <c r="P47" s="7"/>
      <c r="Q47" s="10"/>
      <c r="R47" s="11"/>
      <c r="S47" s="11"/>
      <c r="T47" s="26"/>
      <c r="U47" s="28">
        <f t="shared" si="2"/>
        <v>0.77252575999999995</v>
      </c>
    </row>
    <row r="48" spans="1:21" ht="16.5" thickBot="1" x14ac:dyDescent="0.3">
      <c r="B48" s="12"/>
      <c r="C48" s="19">
        <v>297.640625</v>
      </c>
      <c r="D48" s="20">
        <v>25.255299999999998</v>
      </c>
      <c r="E48" s="20">
        <v>33.981699999999996</v>
      </c>
      <c r="F48" s="20">
        <v>34.665199999999999</v>
      </c>
      <c r="G48" s="20">
        <v>487.32943469785573</v>
      </c>
      <c r="H48" s="20">
        <f t="shared" si="0"/>
        <v>27.522337499999995</v>
      </c>
      <c r="I48" s="5"/>
      <c r="J48" s="19">
        <v>306.43040000000002</v>
      </c>
      <c r="K48" s="20">
        <v>25.644300000000001</v>
      </c>
      <c r="L48" s="20">
        <v>34.128900000000002</v>
      </c>
      <c r="M48" s="20">
        <v>34.781100000000002</v>
      </c>
      <c r="N48" s="20">
        <v>891.26559999999995</v>
      </c>
      <c r="O48" s="20">
        <f t="shared" si="1"/>
        <v>27.846975000000004</v>
      </c>
      <c r="P48" s="7"/>
      <c r="Q48" s="13"/>
      <c r="R48" s="14"/>
      <c r="S48" s="14"/>
      <c r="T48" s="27"/>
      <c r="U48" s="28">
        <f t="shared" si="2"/>
        <v>0.82887701120000001</v>
      </c>
    </row>
    <row r="49" spans="1:21" x14ac:dyDescent="0.25">
      <c r="B49" s="6" t="s">
        <v>56</v>
      </c>
      <c r="C49" s="15">
        <v>1144.103515625</v>
      </c>
      <c r="D49" s="16">
        <v>32.784700000000001</v>
      </c>
      <c r="E49" s="16">
        <v>36.922499999999999</v>
      </c>
      <c r="F49" s="16">
        <v>38.481699999999996</v>
      </c>
      <c r="G49" s="16">
        <v>203.52781546811397</v>
      </c>
      <c r="H49" s="16">
        <f t="shared" si="0"/>
        <v>34.014049999999997</v>
      </c>
      <c r="I49" s="5"/>
      <c r="J49" s="15">
        <v>1206.0896</v>
      </c>
      <c r="K49" s="16">
        <v>31.846399999999999</v>
      </c>
      <c r="L49" s="16">
        <v>36.6233</v>
      </c>
      <c r="M49" s="16">
        <v>38.159599999999998</v>
      </c>
      <c r="N49" s="16">
        <v>420.16809999999998</v>
      </c>
      <c r="O49" s="16">
        <f t="shared" si="1"/>
        <v>33.232662499999996</v>
      </c>
      <c r="P49" s="7"/>
      <c r="Q49" s="8">
        <f>bdrate(C49:C52,D49:D52,J49:J52,K49:K52)</f>
        <v>0.26178612524613198</v>
      </c>
      <c r="R49" s="8">
        <f>bdrate(C49:C52,E49:E52,J49:J52,L49:L52)</f>
        <v>0.17521094752382238</v>
      </c>
      <c r="S49" s="8">
        <f>bdrate(C49:C52,F49:F52,J49:J52,M49:M52)</f>
        <v>0.16302016203052649</v>
      </c>
      <c r="T49" s="25">
        <f>bdrate(C49:C52,H49:H52,J49:J52,O49:O52)</f>
        <v>0.24623089747073146</v>
      </c>
      <c r="U49" s="28">
        <f t="shared" si="2"/>
        <v>1.0644259313333333</v>
      </c>
    </row>
    <row r="50" spans="1:21" x14ac:dyDescent="0.25">
      <c r="B50" s="9"/>
      <c r="C50" s="17">
        <v>764.11328125</v>
      </c>
      <c r="D50" s="18">
        <v>31.145499999999998</v>
      </c>
      <c r="E50" s="18">
        <v>36.048999999999999</v>
      </c>
      <c r="F50" s="18">
        <v>37.6175</v>
      </c>
      <c r="G50" s="18">
        <v>271.73913043478257</v>
      </c>
      <c r="H50" s="18">
        <f t="shared" si="0"/>
        <v>32.567437499999997</v>
      </c>
      <c r="I50" s="5"/>
      <c r="J50" s="17">
        <v>802.37919999999997</v>
      </c>
      <c r="K50" s="18">
        <v>30.387</v>
      </c>
      <c r="L50" s="18">
        <v>35.750500000000002</v>
      </c>
      <c r="M50" s="18">
        <v>37.314900000000002</v>
      </c>
      <c r="N50" s="18">
        <v>487.01299999999998</v>
      </c>
      <c r="O50" s="18">
        <f t="shared" si="1"/>
        <v>31.923424999999998</v>
      </c>
      <c r="P50" s="7"/>
      <c r="Q50" s="10"/>
      <c r="R50" s="11"/>
      <c r="S50" s="11"/>
      <c r="T50" s="26"/>
      <c r="U50" s="28">
        <f t="shared" si="2"/>
        <v>0.79220784000000022</v>
      </c>
    </row>
    <row r="51" spans="1:21" x14ac:dyDescent="0.25">
      <c r="B51" s="9"/>
      <c r="C51" s="17">
        <v>487.0693359375</v>
      </c>
      <c r="D51" s="18">
        <v>29.4223</v>
      </c>
      <c r="E51" s="18">
        <v>35.076599999999999</v>
      </c>
      <c r="F51" s="18">
        <v>36.597999999999999</v>
      </c>
      <c r="G51" s="18">
        <v>345.62211981566821</v>
      </c>
      <c r="H51" s="18">
        <f t="shared" si="0"/>
        <v>31.026049999999998</v>
      </c>
      <c r="I51" s="5"/>
      <c r="J51" s="17">
        <v>501.09679999999997</v>
      </c>
      <c r="K51" s="18">
        <v>28.766300000000001</v>
      </c>
      <c r="L51" s="18">
        <v>34.858600000000003</v>
      </c>
      <c r="M51" s="18">
        <v>36.395000000000003</v>
      </c>
      <c r="N51" s="18">
        <v>563.90980000000002</v>
      </c>
      <c r="O51" s="18">
        <f t="shared" si="1"/>
        <v>30.481425000000002</v>
      </c>
      <c r="P51" s="7"/>
      <c r="Q51" s="10"/>
      <c r="R51" s="11"/>
      <c r="S51" s="11"/>
      <c r="T51" s="26"/>
      <c r="U51" s="28">
        <f t="shared" si="2"/>
        <v>0.63157902133333332</v>
      </c>
    </row>
    <row r="52" spans="1:21" ht="16.5" thickBot="1" x14ac:dyDescent="0.3">
      <c r="B52" s="12"/>
      <c r="C52" s="19">
        <v>300.0771484375</v>
      </c>
      <c r="D52" s="20">
        <v>27.738299999999999</v>
      </c>
      <c r="E52" s="20">
        <v>34.113199999999999</v>
      </c>
      <c r="F52" s="20">
        <v>35.523400000000002</v>
      </c>
      <c r="G52" s="20">
        <v>396.3011889035667</v>
      </c>
      <c r="H52" s="20">
        <f t="shared" si="0"/>
        <v>29.508300000000002</v>
      </c>
      <c r="I52" s="5"/>
      <c r="J52" s="19">
        <v>299.8528</v>
      </c>
      <c r="K52" s="20">
        <v>27.165099999999999</v>
      </c>
      <c r="L52" s="20">
        <v>33.872900000000001</v>
      </c>
      <c r="M52" s="20">
        <v>35.31</v>
      </c>
      <c r="N52" s="20">
        <v>697.67439999999999</v>
      </c>
      <c r="O52" s="20">
        <f t="shared" si="1"/>
        <v>29.021687499999999</v>
      </c>
      <c r="P52" s="7"/>
      <c r="Q52" s="13"/>
      <c r="R52" s="14"/>
      <c r="S52" s="14"/>
      <c r="T52" s="27"/>
      <c r="U52" s="28">
        <f t="shared" si="2"/>
        <v>0.76046506933333335</v>
      </c>
    </row>
    <row r="53" spans="1:21" x14ac:dyDescent="0.25">
      <c r="A53" s="6" t="s">
        <v>41</v>
      </c>
      <c r="B53" s="6" t="s">
        <v>57</v>
      </c>
      <c r="C53" s="15">
        <v>576.86328125</v>
      </c>
      <c r="D53" s="16">
        <v>34.4801</v>
      </c>
      <c r="E53" s="16">
        <v>39.499899999999997</v>
      </c>
      <c r="F53" s="16">
        <v>38.0627</v>
      </c>
      <c r="G53" s="16">
        <v>584.79532163742692</v>
      </c>
      <c r="H53" s="16">
        <f t="shared" si="0"/>
        <v>35.555399999999999</v>
      </c>
      <c r="I53" s="5"/>
      <c r="J53" s="15">
        <v>604.1232</v>
      </c>
      <c r="K53" s="16">
        <v>34.017499999999998</v>
      </c>
      <c r="L53" s="16">
        <v>39.432400000000001</v>
      </c>
      <c r="M53" s="16">
        <v>37.876199999999997</v>
      </c>
      <c r="N53" s="16">
        <v>1086.9565</v>
      </c>
      <c r="O53" s="16">
        <f t="shared" si="1"/>
        <v>35.176699999999997</v>
      </c>
      <c r="P53" s="7"/>
      <c r="Q53" s="8">
        <f>bdrate(C53:C56,D53:D56,J53:J56,K53:K56)</f>
        <v>9.1807901140718018E-2</v>
      </c>
      <c r="R53" s="8">
        <f>bdrate(C53:C56,E53:E56,J53:J56,L53:L56)</f>
        <v>2.7293712962870975E-2</v>
      </c>
      <c r="S53" s="8">
        <f>bdrate(C53:C56,F53:F56,J53:J56,M53:M56)</f>
        <v>5.7635577027935314E-2</v>
      </c>
      <c r="T53" s="25">
        <f>bdrate(C53:C56,H53:H56,J53:J56,O53:O56)</f>
        <v>8.3150388811311204E-2</v>
      </c>
      <c r="U53" s="28">
        <f t="shared" si="2"/>
        <v>0.85869561499999991</v>
      </c>
    </row>
    <row r="54" spans="1:21" x14ac:dyDescent="0.25">
      <c r="A54" s="9" t="s">
        <v>42</v>
      </c>
      <c r="B54" s="9"/>
      <c r="C54" s="17">
        <v>394.443359375</v>
      </c>
      <c r="D54" s="18">
        <v>32.641500000000001</v>
      </c>
      <c r="E54" s="18">
        <v>38.3703</v>
      </c>
      <c r="F54" s="18">
        <v>36.839500000000001</v>
      </c>
      <c r="G54" s="18">
        <v>690.60773480662988</v>
      </c>
      <c r="H54" s="18">
        <f t="shared" si="0"/>
        <v>33.882349999999995</v>
      </c>
      <c r="I54" s="5"/>
      <c r="J54" s="17">
        <v>402.86720000000003</v>
      </c>
      <c r="K54" s="18">
        <v>32.2044</v>
      </c>
      <c r="L54" s="18">
        <v>38.304400000000001</v>
      </c>
      <c r="M54" s="18">
        <v>36.6389</v>
      </c>
      <c r="N54" s="18">
        <v>1312.336</v>
      </c>
      <c r="O54" s="18">
        <f t="shared" si="1"/>
        <v>33.521212499999997</v>
      </c>
      <c r="P54" s="7"/>
      <c r="Q54" s="10"/>
      <c r="R54" s="11"/>
      <c r="S54" s="11"/>
      <c r="T54" s="26"/>
      <c r="U54" s="28">
        <f t="shared" si="2"/>
        <v>0.90026252799999995</v>
      </c>
    </row>
    <row r="55" spans="1:21" x14ac:dyDescent="0.25">
      <c r="B55" s="9"/>
      <c r="C55" s="17">
        <v>248.203125</v>
      </c>
      <c r="D55" s="18">
        <v>30.513000000000002</v>
      </c>
      <c r="E55" s="18">
        <v>37.202100000000002</v>
      </c>
      <c r="F55" s="18">
        <v>35.494399999999999</v>
      </c>
      <c r="G55" s="18">
        <v>772.79752704791338</v>
      </c>
      <c r="H55" s="18">
        <f t="shared" si="0"/>
        <v>31.971812499999999</v>
      </c>
      <c r="I55" s="5"/>
      <c r="J55" s="17">
        <v>252.34399999999999</v>
      </c>
      <c r="K55" s="18">
        <v>30.237400000000001</v>
      </c>
      <c r="L55" s="18">
        <v>37.1965</v>
      </c>
      <c r="M55" s="18">
        <v>35.380899999999997</v>
      </c>
      <c r="N55" s="18">
        <v>1547.9875999999999</v>
      </c>
      <c r="O55" s="18">
        <f t="shared" si="1"/>
        <v>31.750225</v>
      </c>
      <c r="P55" s="7"/>
      <c r="Q55" s="10"/>
      <c r="R55" s="11"/>
      <c r="S55" s="11"/>
      <c r="T55" s="26"/>
      <c r="U55" s="28">
        <f t="shared" si="2"/>
        <v>1.0030959544</v>
      </c>
    </row>
    <row r="56" spans="1:21" ht="16.5" thickBot="1" x14ac:dyDescent="0.3">
      <c r="B56" s="12"/>
      <c r="C56" s="19">
        <v>120.03515625</v>
      </c>
      <c r="D56" s="20">
        <v>27.503900000000002</v>
      </c>
      <c r="E56" s="20">
        <v>35.559899999999999</v>
      </c>
      <c r="F56" s="20">
        <v>33.322699999999998</v>
      </c>
      <c r="G56" s="20">
        <v>1000</v>
      </c>
      <c r="H56" s="20">
        <f t="shared" si="0"/>
        <v>29.238250000000001</v>
      </c>
      <c r="I56" s="5"/>
      <c r="J56" s="19">
        <v>121.64239999999999</v>
      </c>
      <c r="K56" s="20">
        <v>27.443999999999999</v>
      </c>
      <c r="L56" s="20">
        <v>35.618099999999998</v>
      </c>
      <c r="M56" s="20">
        <v>33.423299999999998</v>
      </c>
      <c r="N56" s="20">
        <v>2032.5202999999999</v>
      </c>
      <c r="O56" s="20">
        <f t="shared" si="1"/>
        <v>29.213175</v>
      </c>
      <c r="P56" s="7"/>
      <c r="Q56" s="13"/>
      <c r="R56" s="14"/>
      <c r="S56" s="14"/>
      <c r="T56" s="27"/>
      <c r="U56" s="28">
        <f t="shared" si="2"/>
        <v>1.0325202999999998</v>
      </c>
    </row>
    <row r="57" spans="1:21" x14ac:dyDescent="0.25">
      <c r="B57" s="6" t="s">
        <v>58</v>
      </c>
      <c r="C57" s="15">
        <v>575.205078125</v>
      </c>
      <c r="D57" s="16">
        <v>33.565899999999999</v>
      </c>
      <c r="E57" s="16">
        <v>40.760599999999997</v>
      </c>
      <c r="F57" s="16">
        <v>41.595199999999998</v>
      </c>
      <c r="G57" s="16">
        <v>561.79775280898878</v>
      </c>
      <c r="H57" s="16">
        <f t="shared" si="0"/>
        <v>35.468899999999998</v>
      </c>
      <c r="I57" s="5"/>
      <c r="J57" s="15">
        <v>600.18079999999998</v>
      </c>
      <c r="K57" s="16">
        <v>33.225999999999999</v>
      </c>
      <c r="L57" s="16">
        <v>41.231400000000001</v>
      </c>
      <c r="M57" s="16">
        <v>42.0351</v>
      </c>
      <c r="N57" s="16">
        <v>1339.2856999999999</v>
      </c>
      <c r="O57" s="16">
        <f t="shared" si="1"/>
        <v>35.3278125</v>
      </c>
      <c r="P57" s="7"/>
      <c r="Q57" s="8">
        <f>bdrate(C57:C60,D57:D60,J57:J60,K57:K60)</f>
        <v>4.3833263191269012E-2</v>
      </c>
      <c r="R57" s="8">
        <f>bdrate(C57:C60,E57:E60,J57:J60,L57:L60)</f>
        <v>-0.11523399220639419</v>
      </c>
      <c r="S57" s="8">
        <f>bdrate(C57:C60,F57:F60,J57:J60,M57:M60)</f>
        <v>-0.10523038141068086</v>
      </c>
      <c r="T57" s="25">
        <f>bdrate(C57:C60,H57:H60,J57:J60,O57:O60)</f>
        <v>1.9588027157652732E-2</v>
      </c>
      <c r="U57" s="28">
        <f t="shared" si="2"/>
        <v>1.3839285459999997</v>
      </c>
    </row>
    <row r="58" spans="1:21" x14ac:dyDescent="0.25">
      <c r="B58" s="9"/>
      <c r="C58" s="17">
        <v>383.29296875</v>
      </c>
      <c r="D58" s="18">
        <v>32.137999999999998</v>
      </c>
      <c r="E58" s="18">
        <v>39.9544</v>
      </c>
      <c r="F58" s="18">
        <v>40.748100000000001</v>
      </c>
      <c r="G58" s="18">
        <v>669.64285714285711</v>
      </c>
      <c r="H58" s="18">
        <f t="shared" si="0"/>
        <v>34.191312499999995</v>
      </c>
      <c r="I58" s="5"/>
      <c r="J58" s="17">
        <v>398.72640000000001</v>
      </c>
      <c r="K58" s="18">
        <v>31.901299999999999</v>
      </c>
      <c r="L58" s="18">
        <v>40.366599999999998</v>
      </c>
      <c r="M58" s="18">
        <v>41.134399999999999</v>
      </c>
      <c r="N58" s="18">
        <v>1578.9474</v>
      </c>
      <c r="O58" s="18">
        <f t="shared" si="1"/>
        <v>34.113600000000005</v>
      </c>
      <c r="P58" s="7"/>
      <c r="Q58" s="10"/>
      <c r="R58" s="11"/>
      <c r="S58" s="11"/>
      <c r="T58" s="26"/>
      <c r="U58" s="28">
        <f t="shared" si="2"/>
        <v>1.3578947840000002</v>
      </c>
    </row>
    <row r="59" spans="1:21" x14ac:dyDescent="0.25">
      <c r="B59" s="9"/>
      <c r="C59" s="17">
        <v>239.17578125</v>
      </c>
      <c r="D59" s="18">
        <v>30.3567</v>
      </c>
      <c r="E59" s="18">
        <v>39.040999999999997</v>
      </c>
      <c r="F59" s="18">
        <v>39.828699999999998</v>
      </c>
      <c r="G59" s="18">
        <v>845.07042253521126</v>
      </c>
      <c r="H59" s="18">
        <f t="shared" si="0"/>
        <v>32.626237500000002</v>
      </c>
      <c r="I59" s="5"/>
      <c r="J59" s="17">
        <v>249.04</v>
      </c>
      <c r="K59" s="18">
        <v>30.363700000000001</v>
      </c>
      <c r="L59" s="18">
        <v>39.364100000000001</v>
      </c>
      <c r="M59" s="18">
        <v>40.166899999999998</v>
      </c>
      <c r="N59" s="18">
        <v>1892.7445</v>
      </c>
      <c r="O59" s="18">
        <f t="shared" si="1"/>
        <v>32.714150000000004</v>
      </c>
      <c r="P59" s="7"/>
      <c r="Q59" s="10"/>
      <c r="R59" s="11"/>
      <c r="S59" s="11"/>
      <c r="T59" s="26"/>
      <c r="U59" s="28">
        <f t="shared" si="2"/>
        <v>1.2397476583333333</v>
      </c>
    </row>
    <row r="60" spans="1:21" ht="16.5" thickBot="1" x14ac:dyDescent="0.3">
      <c r="B60" s="12"/>
      <c r="C60" s="19">
        <v>114.9755859375</v>
      </c>
      <c r="D60" s="20">
        <v>27.282399999999999</v>
      </c>
      <c r="E60" s="20">
        <v>38.140900000000002</v>
      </c>
      <c r="F60" s="20">
        <v>38.807200000000002</v>
      </c>
      <c r="G60" s="20">
        <v>1088.9292196007259</v>
      </c>
      <c r="H60" s="20">
        <f t="shared" si="0"/>
        <v>30.080312500000002</v>
      </c>
      <c r="I60" s="5"/>
      <c r="J60" s="19">
        <v>119.64400000000001</v>
      </c>
      <c r="K60" s="20">
        <v>27.773800000000001</v>
      </c>
      <c r="L60" s="20">
        <v>38.134300000000003</v>
      </c>
      <c r="M60" s="20">
        <v>38.763300000000001</v>
      </c>
      <c r="N60" s="20">
        <v>2575.1073000000001</v>
      </c>
      <c r="O60" s="20">
        <f t="shared" si="1"/>
        <v>30.442550000000004</v>
      </c>
      <c r="P60" s="7"/>
      <c r="Q60" s="13"/>
      <c r="R60" s="14"/>
      <c r="S60" s="14"/>
      <c r="T60" s="27"/>
      <c r="U60" s="28">
        <f t="shared" si="2"/>
        <v>1.3648068705000003</v>
      </c>
    </row>
    <row r="61" spans="1:21" x14ac:dyDescent="0.25">
      <c r="B61" s="6" t="s">
        <v>59</v>
      </c>
      <c r="C61" s="29">
        <v>594.4072265625</v>
      </c>
      <c r="D61" s="30">
        <v>33.198900000000002</v>
      </c>
      <c r="E61" s="30">
        <v>37.646299999999997</v>
      </c>
      <c r="F61" s="30">
        <v>38.326900000000002</v>
      </c>
      <c r="G61" s="16">
        <v>462.96296296296293</v>
      </c>
      <c r="H61" s="16">
        <f t="shared" si="0"/>
        <v>34.395825000000002</v>
      </c>
      <c r="I61" s="5"/>
      <c r="J61" s="29">
        <v>635.51919999999996</v>
      </c>
      <c r="K61" s="30">
        <v>32.815800000000003</v>
      </c>
      <c r="L61" s="30">
        <v>37.946899999999999</v>
      </c>
      <c r="M61" s="30">
        <v>38.711599999999997</v>
      </c>
      <c r="N61" s="16">
        <v>1168.2243000000001</v>
      </c>
      <c r="O61" s="16">
        <f t="shared" si="1"/>
        <v>34.194162500000004</v>
      </c>
      <c r="P61" s="7"/>
      <c r="Q61" s="8">
        <f>bdrate(C61:C64,D61:D64,J61:J64,K61:K64)</f>
        <v>7.5681176481648516E-2</v>
      </c>
      <c r="R61" s="8">
        <f>bdrate(C61:C64,E61:E64,J61:J64,L61:L64)</f>
        <v>-7.2532009667649278E-2</v>
      </c>
      <c r="S61" s="8">
        <f>bdrate(C61:C64,F61:F64,J61:J64,M61:M64)</f>
        <v>-0.11115312364129815</v>
      </c>
      <c r="T61" s="25">
        <f>bdrate(C61:C64,H61:H64,J61:J64,O61:O64)</f>
        <v>4.653989259860114E-2</v>
      </c>
      <c r="U61" s="28">
        <f t="shared" si="2"/>
        <v>1.5233644880000003</v>
      </c>
    </row>
    <row r="62" spans="1:21" x14ac:dyDescent="0.25">
      <c r="B62" s="9"/>
      <c r="C62" s="31">
        <v>399.44140625</v>
      </c>
      <c r="D62" s="32">
        <v>31.483599999999999</v>
      </c>
      <c r="E62" s="32">
        <v>36.6357</v>
      </c>
      <c r="F62" s="32">
        <v>37.283299999999997</v>
      </c>
      <c r="G62" s="18">
        <v>511.77072671443193</v>
      </c>
      <c r="H62" s="18">
        <f t="shared" si="0"/>
        <v>32.852575000000002</v>
      </c>
      <c r="I62" s="5"/>
      <c r="J62" s="31">
        <v>426.24400000000003</v>
      </c>
      <c r="K62" s="32">
        <v>31.300899999999999</v>
      </c>
      <c r="L62" s="32">
        <v>37.011200000000002</v>
      </c>
      <c r="M62" s="32">
        <v>37.714100000000002</v>
      </c>
      <c r="N62" s="18">
        <v>1344.086</v>
      </c>
      <c r="O62" s="18">
        <f t="shared" si="1"/>
        <v>32.816337500000003</v>
      </c>
      <c r="P62" s="7"/>
      <c r="Q62" s="10"/>
      <c r="R62" s="11"/>
      <c r="S62" s="11"/>
      <c r="T62" s="26"/>
      <c r="U62" s="28">
        <f t="shared" si="2"/>
        <v>1.6263440440000001</v>
      </c>
    </row>
    <row r="63" spans="1:21" x14ac:dyDescent="0.25">
      <c r="B63" s="9"/>
      <c r="C63" s="31">
        <v>250.3994140625</v>
      </c>
      <c r="D63" s="32">
        <v>29.625499999999999</v>
      </c>
      <c r="E63" s="32">
        <v>35.511699999999998</v>
      </c>
      <c r="F63" s="32">
        <v>36.165700000000001</v>
      </c>
      <c r="G63" s="18">
        <v>681.19891008174386</v>
      </c>
      <c r="H63" s="18">
        <f t="shared" si="0"/>
        <v>31.178799999999995</v>
      </c>
      <c r="I63" s="5"/>
      <c r="J63" s="31">
        <v>265.21359999999999</v>
      </c>
      <c r="K63" s="32">
        <v>29.582000000000001</v>
      </c>
      <c r="L63" s="32">
        <v>35.788699999999999</v>
      </c>
      <c r="M63" s="32">
        <v>36.5578</v>
      </c>
      <c r="N63" s="18">
        <v>1700.6803</v>
      </c>
      <c r="O63" s="18">
        <f t="shared" si="1"/>
        <v>31.229812500000001</v>
      </c>
      <c r="P63" s="7"/>
      <c r="Q63" s="10"/>
      <c r="R63" s="11"/>
      <c r="S63" s="11"/>
      <c r="T63" s="26"/>
      <c r="U63" s="28">
        <f t="shared" si="2"/>
        <v>1.4965986804</v>
      </c>
    </row>
    <row r="64" spans="1:21" ht="16.5" thickBot="1" x14ac:dyDescent="0.3">
      <c r="B64" s="12"/>
      <c r="C64" s="33">
        <v>120.2216796875</v>
      </c>
      <c r="D64" s="34">
        <v>26.921900000000001</v>
      </c>
      <c r="E64" s="34">
        <v>34.068100000000001</v>
      </c>
      <c r="F64" s="34">
        <v>34.6813</v>
      </c>
      <c r="G64" s="20">
        <v>938.08630393996248</v>
      </c>
      <c r="H64" s="20">
        <f t="shared" si="0"/>
        <v>28.785100000000003</v>
      </c>
      <c r="I64" s="5"/>
      <c r="J64" s="33">
        <v>126.5048</v>
      </c>
      <c r="K64" s="34">
        <v>27.202000000000002</v>
      </c>
      <c r="L64" s="34">
        <v>34.327300000000001</v>
      </c>
      <c r="M64" s="34">
        <v>35.081299999999999</v>
      </c>
      <c r="N64" s="20">
        <v>2463.0542</v>
      </c>
      <c r="O64" s="20">
        <f t="shared" si="1"/>
        <v>29.077575000000003</v>
      </c>
      <c r="P64" s="7"/>
      <c r="Q64" s="13"/>
      <c r="R64" s="14"/>
      <c r="S64" s="14"/>
      <c r="T64" s="27"/>
      <c r="U64" s="28">
        <f t="shared" si="2"/>
        <v>1.6256157772000002</v>
      </c>
    </row>
    <row r="65" spans="1:21" x14ac:dyDescent="0.25">
      <c r="B65" s="6" t="s">
        <v>60</v>
      </c>
      <c r="C65" s="15">
        <v>574.19921875</v>
      </c>
      <c r="D65" s="16">
        <v>34.341500000000003</v>
      </c>
      <c r="E65" s="16">
        <v>37.766100000000002</v>
      </c>
      <c r="F65" s="16">
        <v>38.832099999999997</v>
      </c>
      <c r="G65" s="16">
        <v>331.85840707964599</v>
      </c>
      <c r="H65" s="16">
        <f t="shared" si="0"/>
        <v>35.3309</v>
      </c>
      <c r="I65" s="5"/>
      <c r="J65" s="15">
        <v>603.43439999999998</v>
      </c>
      <c r="K65" s="16">
        <v>33.461399999999998</v>
      </c>
      <c r="L65" s="16">
        <v>37.363900000000001</v>
      </c>
      <c r="M65" s="16">
        <v>38.480699999999999</v>
      </c>
      <c r="N65" s="16">
        <v>833.33330000000001</v>
      </c>
      <c r="O65" s="16">
        <f t="shared" si="1"/>
        <v>34.576625</v>
      </c>
      <c r="P65" s="7"/>
      <c r="Q65" s="8">
        <f>bdrate(C65:C68,D65:D68,J65:J68,K65:K68)</f>
        <v>0.20289991224169301</v>
      </c>
      <c r="R65" s="8">
        <f>bdrate(C65:C68,E65:E68,J65:J68,L65:L68)</f>
        <v>0.15007618842865256</v>
      </c>
      <c r="S65" s="8">
        <f>bdrate(C65:C68,F65:F68,J65:J68,M65:M68)</f>
        <v>0.13863100128180128</v>
      </c>
      <c r="T65" s="25">
        <f>bdrate(C65:C68,H65:H68,J65:J68,O65:O68)</f>
        <v>0.19275305835063206</v>
      </c>
      <c r="U65" s="28">
        <f t="shared" si="2"/>
        <v>1.511111010666667</v>
      </c>
    </row>
    <row r="66" spans="1:21" x14ac:dyDescent="0.25">
      <c r="B66" s="9"/>
      <c r="C66" s="17">
        <v>385.6953125</v>
      </c>
      <c r="D66" s="18">
        <v>32.3596</v>
      </c>
      <c r="E66" s="18">
        <v>36.571199999999997</v>
      </c>
      <c r="F66" s="18">
        <v>37.637799999999999</v>
      </c>
      <c r="G66" s="18">
        <v>376.88442211055275</v>
      </c>
      <c r="H66" s="18">
        <f t="shared" si="0"/>
        <v>33.545825000000001</v>
      </c>
      <c r="I66" s="5"/>
      <c r="J66" s="17">
        <v>401.52480000000003</v>
      </c>
      <c r="K66" s="18">
        <v>31.5504</v>
      </c>
      <c r="L66" s="18">
        <v>36.298000000000002</v>
      </c>
      <c r="M66" s="18">
        <v>37.379300000000001</v>
      </c>
      <c r="N66" s="18">
        <v>993.37750000000005</v>
      </c>
      <c r="O66" s="18">
        <f t="shared" si="1"/>
        <v>32.872462499999997</v>
      </c>
      <c r="P66" s="7"/>
      <c r="Q66" s="10"/>
      <c r="R66" s="11"/>
      <c r="S66" s="11"/>
      <c r="T66" s="26"/>
      <c r="U66" s="28">
        <f t="shared" si="2"/>
        <v>1.6357616333333334</v>
      </c>
    </row>
    <row r="67" spans="1:21" x14ac:dyDescent="0.25">
      <c r="B67" s="9"/>
      <c r="C67" s="17">
        <v>243.861328125</v>
      </c>
      <c r="D67" s="18">
        <v>30.2883</v>
      </c>
      <c r="E67" s="18">
        <v>35.394500000000001</v>
      </c>
      <c r="F67" s="18">
        <v>36.410899999999998</v>
      </c>
      <c r="G67" s="18">
        <v>530.97345132743362</v>
      </c>
      <c r="H67" s="18">
        <f t="shared" si="0"/>
        <v>31.6919</v>
      </c>
      <c r="I67" s="5"/>
      <c r="J67" s="17">
        <v>250.89519999999999</v>
      </c>
      <c r="K67" s="18">
        <v>29.7027</v>
      </c>
      <c r="L67" s="18">
        <v>35.1233</v>
      </c>
      <c r="M67" s="18">
        <v>36.147500000000001</v>
      </c>
      <c r="N67" s="18">
        <v>1234.5679</v>
      </c>
      <c r="O67" s="18">
        <f t="shared" si="1"/>
        <v>31.185875000000003</v>
      </c>
      <c r="P67" s="7"/>
      <c r="Q67" s="10"/>
      <c r="R67" s="11"/>
      <c r="S67" s="11"/>
      <c r="T67" s="26"/>
      <c r="U67" s="28">
        <f t="shared" si="2"/>
        <v>1.3251028783333334</v>
      </c>
    </row>
    <row r="68" spans="1:21" ht="16.5" thickBot="1" x14ac:dyDescent="0.3">
      <c r="B68" s="12"/>
      <c r="C68" s="19">
        <v>120.19921875</v>
      </c>
      <c r="D68" s="20">
        <v>27.599499999999999</v>
      </c>
      <c r="E68" s="20">
        <v>33.801400000000001</v>
      </c>
      <c r="F68" s="20">
        <v>34.719000000000001</v>
      </c>
      <c r="G68" s="20">
        <v>724.63768115942037</v>
      </c>
      <c r="H68" s="20">
        <f t="shared" si="0"/>
        <v>29.264674999999997</v>
      </c>
      <c r="I68" s="5"/>
      <c r="J68" s="19">
        <v>121.1088</v>
      </c>
      <c r="K68" s="20">
        <v>27.262899999999998</v>
      </c>
      <c r="L68" s="20">
        <v>33.620600000000003</v>
      </c>
      <c r="M68" s="20">
        <v>34.550600000000003</v>
      </c>
      <c r="N68" s="20">
        <v>1764.7058999999999</v>
      </c>
      <c r="O68" s="20">
        <f t="shared" si="1"/>
        <v>28.968574999999998</v>
      </c>
      <c r="P68" s="7"/>
      <c r="Q68" s="13"/>
      <c r="R68" s="14"/>
      <c r="S68" s="14"/>
      <c r="T68" s="27"/>
      <c r="U68" s="28">
        <f t="shared" si="2"/>
        <v>1.4352941419999994</v>
      </c>
    </row>
    <row r="69" spans="1:21" x14ac:dyDescent="0.25">
      <c r="A69" s="6" t="s">
        <v>43</v>
      </c>
      <c r="B69" s="6" t="s">
        <v>61</v>
      </c>
      <c r="C69" s="15">
        <v>1419.8583984375</v>
      </c>
      <c r="D69" s="16">
        <v>41.099200000000003</v>
      </c>
      <c r="E69" s="16">
        <v>45.161799999999999</v>
      </c>
      <c r="F69" s="16">
        <v>46.3384</v>
      </c>
      <c r="G69" s="16">
        <v>191.93857965451056</v>
      </c>
      <c r="H69" s="16">
        <f t="shared" si="0"/>
        <v>42.261925000000005</v>
      </c>
      <c r="I69" s="5"/>
      <c r="J69" s="15">
        <v>1501.1728000000001</v>
      </c>
      <c r="K69" s="16">
        <v>41.133000000000003</v>
      </c>
      <c r="L69" s="16">
        <v>45.690100000000001</v>
      </c>
      <c r="M69" s="16">
        <v>46.883600000000001</v>
      </c>
      <c r="N69" s="16">
        <v>426.43920000000003</v>
      </c>
      <c r="O69" s="16">
        <f t="shared" si="1"/>
        <v>42.421462500000004</v>
      </c>
      <c r="P69" s="7"/>
      <c r="Q69" s="8">
        <f>bdrate(C69:C72,D69:D72,J69:J72,K69:K72)</f>
        <v>-6.7650643306651714E-2</v>
      </c>
      <c r="R69" s="8">
        <f>bdrate(C69:C72,E69:E72,J69:J72,L69:L72)</f>
        <v>-0.17428155506854925</v>
      </c>
      <c r="S69" s="8">
        <f>bdrate(C69:C72,F69:F72,J69:J72,M69:M72)</f>
        <v>-0.16747097321034166</v>
      </c>
      <c r="T69" s="25">
        <f>bdrate(C69:C72,H69:H72,J69:J72,O69:O72)</f>
        <v>-8.7886235162802362E-2</v>
      </c>
      <c r="U69" s="28">
        <f t="shared" si="2"/>
        <v>1.2217482320000002</v>
      </c>
    </row>
    <row r="70" spans="1:21" x14ac:dyDescent="0.25">
      <c r="A70" s="9" t="s">
        <v>44</v>
      </c>
      <c r="B70" s="9"/>
      <c r="C70" s="17">
        <v>936.0751953125</v>
      </c>
      <c r="D70" s="18">
        <v>39.740600000000001</v>
      </c>
      <c r="E70" s="18">
        <v>44.003500000000003</v>
      </c>
      <c r="F70" s="18">
        <v>45.191200000000002</v>
      </c>
      <c r="G70" s="18">
        <v>289.01734104046244</v>
      </c>
      <c r="H70" s="18">
        <f t="shared" si="0"/>
        <v>40.954787499999995</v>
      </c>
      <c r="I70" s="5"/>
      <c r="J70" s="17">
        <v>990.58640000000003</v>
      </c>
      <c r="K70" s="18">
        <v>39.947000000000003</v>
      </c>
      <c r="L70" s="18">
        <v>44.693399999999997</v>
      </c>
      <c r="M70" s="18">
        <v>45.8369</v>
      </c>
      <c r="N70" s="18">
        <v>496.68869999999998</v>
      </c>
      <c r="O70" s="18">
        <f t="shared" si="1"/>
        <v>41.276537500000003</v>
      </c>
      <c r="P70" s="7"/>
      <c r="Q70" s="10"/>
      <c r="R70" s="11"/>
      <c r="S70" s="11"/>
      <c r="T70" s="26"/>
      <c r="U70" s="28">
        <f t="shared" si="2"/>
        <v>0.71854290199999982</v>
      </c>
    </row>
    <row r="71" spans="1:21" x14ac:dyDescent="0.25">
      <c r="B71" s="9"/>
      <c r="C71" s="17">
        <v>561.4296875</v>
      </c>
      <c r="D71" s="18">
        <v>37.498800000000003</v>
      </c>
      <c r="E71" s="18">
        <v>42.691299999999998</v>
      </c>
      <c r="F71" s="18">
        <v>43.767000000000003</v>
      </c>
      <c r="G71" s="18">
        <v>352.52643948296122</v>
      </c>
      <c r="H71" s="18">
        <f t="shared" si="0"/>
        <v>38.9313875</v>
      </c>
      <c r="I71" s="5"/>
      <c r="J71" s="17">
        <v>575.95759999999996</v>
      </c>
      <c r="K71" s="18">
        <v>37.976999999999997</v>
      </c>
      <c r="L71" s="18">
        <v>43.299599999999998</v>
      </c>
      <c r="M71" s="18">
        <v>44.392499999999998</v>
      </c>
      <c r="N71" s="18">
        <v>536.67259999999999</v>
      </c>
      <c r="O71" s="18">
        <f t="shared" si="1"/>
        <v>39.444262499999994</v>
      </c>
      <c r="P71" s="7"/>
      <c r="Q71" s="10"/>
      <c r="R71" s="11"/>
      <c r="S71" s="11"/>
      <c r="T71" s="26"/>
      <c r="U71" s="28">
        <f t="shared" si="2"/>
        <v>0.52236127533333332</v>
      </c>
    </row>
    <row r="72" spans="1:21" ht="16.5" thickBot="1" x14ac:dyDescent="0.3">
      <c r="B72" s="12"/>
      <c r="C72" s="19">
        <v>282.4560546875</v>
      </c>
      <c r="D72" s="20">
        <v>33.774700000000003</v>
      </c>
      <c r="E72" s="20">
        <v>41.007199999999997</v>
      </c>
      <c r="F72" s="20">
        <v>41.8902</v>
      </c>
      <c r="G72" s="20">
        <v>407.33197556008145</v>
      </c>
      <c r="H72" s="20">
        <f t="shared" si="0"/>
        <v>35.693200000000004</v>
      </c>
      <c r="I72" s="5"/>
      <c r="J72" s="19">
        <v>281.952</v>
      </c>
      <c r="K72" s="20">
        <v>34.708199999999998</v>
      </c>
      <c r="L72" s="20">
        <v>41.297600000000003</v>
      </c>
      <c r="M72" s="20">
        <v>42.275799999999997</v>
      </c>
      <c r="N72" s="20">
        <v>671.14089999999999</v>
      </c>
      <c r="O72" s="20">
        <f t="shared" si="1"/>
        <v>36.477824999999996</v>
      </c>
      <c r="P72" s="7"/>
      <c r="Q72" s="13"/>
      <c r="R72" s="14"/>
      <c r="S72" s="14"/>
      <c r="T72" s="27"/>
      <c r="U72" s="28">
        <f t="shared" si="2"/>
        <v>0.64765090950000004</v>
      </c>
    </row>
    <row r="73" spans="1:21" x14ac:dyDescent="0.25">
      <c r="B73" s="6" t="s">
        <v>62</v>
      </c>
      <c r="C73" s="15">
        <v>1423.1220703125</v>
      </c>
      <c r="D73" s="16">
        <v>42.507800000000003</v>
      </c>
      <c r="E73" s="16">
        <v>47.160499999999999</v>
      </c>
      <c r="F73" s="16">
        <v>47.769199999999998</v>
      </c>
      <c r="G73" s="16">
        <v>193.42359767891685</v>
      </c>
      <c r="H73" s="16">
        <f t="shared" si="0"/>
        <v>43.747062500000006</v>
      </c>
      <c r="I73" s="5"/>
      <c r="J73" s="15">
        <v>1489.5632000000001</v>
      </c>
      <c r="K73" s="16">
        <v>42.444299999999998</v>
      </c>
      <c r="L73" s="16">
        <v>47.668300000000002</v>
      </c>
      <c r="M73" s="16">
        <v>48.371000000000002</v>
      </c>
      <c r="N73" s="16">
        <v>489.79590000000002</v>
      </c>
      <c r="O73" s="16">
        <f t="shared" si="1"/>
        <v>43.838137499999995</v>
      </c>
      <c r="P73" s="7"/>
      <c r="Q73" s="8">
        <f>bdrate(C73:C76,D73:D76,J73:J76,K73:K76)</f>
        <v>4.6580259184745731E-2</v>
      </c>
      <c r="R73" s="8">
        <f>bdrate(C73:C76,E73:E76,J73:J76,L73:L76)</f>
        <v>-0.25509367735082444</v>
      </c>
      <c r="S73" s="8">
        <f>bdrate(C73:C76,F73:F76,J73:J76,M73:M76)</f>
        <v>-0.28262537971406354</v>
      </c>
      <c r="T73" s="25">
        <f>bdrate(C73:C76,H73:H76,J73:J76,O73:O76)</f>
        <v>-3.8398064131095033E-2</v>
      </c>
      <c r="U73" s="28">
        <f t="shared" ref="U73:U124" si="3">(N73-G73)/G73</f>
        <v>1.5322448029999998</v>
      </c>
    </row>
    <row r="74" spans="1:21" x14ac:dyDescent="0.25">
      <c r="B74" s="9"/>
      <c r="C74" s="17">
        <v>950.8447265625</v>
      </c>
      <c r="D74" s="18">
        <v>41.957000000000001</v>
      </c>
      <c r="E74" s="18">
        <v>46.612499999999997</v>
      </c>
      <c r="F74" s="18">
        <v>47.146999999999998</v>
      </c>
      <c r="G74" s="18">
        <v>263.73626373626377</v>
      </c>
      <c r="H74" s="18">
        <f t="shared" si="0"/>
        <v>43.187687500000003</v>
      </c>
      <c r="I74" s="5"/>
      <c r="J74" s="17">
        <v>974.61279999999999</v>
      </c>
      <c r="K74" s="18">
        <v>41.868200000000002</v>
      </c>
      <c r="L74" s="18">
        <v>47.195300000000003</v>
      </c>
      <c r="M74" s="18">
        <v>47.871200000000002</v>
      </c>
      <c r="N74" s="18">
        <v>558.1395</v>
      </c>
      <c r="O74" s="18">
        <f t="shared" si="1"/>
        <v>43.284462499999997</v>
      </c>
      <c r="P74" s="7"/>
      <c r="Q74" s="10"/>
      <c r="R74" s="11"/>
      <c r="S74" s="11"/>
      <c r="T74" s="26"/>
      <c r="U74" s="28">
        <f t="shared" si="3"/>
        <v>1.1162789374999997</v>
      </c>
    </row>
    <row r="75" spans="1:21" x14ac:dyDescent="0.25">
      <c r="B75" s="9"/>
      <c r="C75" s="17">
        <v>573.9287109375</v>
      </c>
      <c r="D75" s="18">
        <v>41.058500000000002</v>
      </c>
      <c r="E75" s="18">
        <v>45.721899999999998</v>
      </c>
      <c r="F75" s="18">
        <v>46.278799999999997</v>
      </c>
      <c r="G75" s="18">
        <v>299.10269192422737</v>
      </c>
      <c r="H75" s="18">
        <f t="shared" si="0"/>
        <v>42.293962499999999</v>
      </c>
      <c r="I75" s="5"/>
      <c r="J75" s="17">
        <v>577.95920000000001</v>
      </c>
      <c r="K75" s="18">
        <v>40.943800000000003</v>
      </c>
      <c r="L75" s="18">
        <v>46.3459</v>
      </c>
      <c r="M75" s="18">
        <v>46.9724</v>
      </c>
      <c r="N75" s="18">
        <v>630.25210000000004</v>
      </c>
      <c r="O75" s="18">
        <f t="shared" si="1"/>
        <v>42.372637499999996</v>
      </c>
      <c r="P75" s="7"/>
      <c r="Q75" s="10"/>
      <c r="R75" s="11"/>
      <c r="S75" s="11"/>
      <c r="T75" s="26"/>
      <c r="U75" s="28">
        <f t="shared" si="3"/>
        <v>1.107142854333333</v>
      </c>
    </row>
    <row r="76" spans="1:21" ht="16.5" thickBot="1" x14ac:dyDescent="0.3">
      <c r="B76" s="12"/>
      <c r="C76" s="19">
        <v>287.96875</v>
      </c>
      <c r="D76" s="20">
        <v>38.976900000000001</v>
      </c>
      <c r="E76" s="20">
        <v>44.133000000000003</v>
      </c>
      <c r="F76" s="20">
        <v>44.405900000000003</v>
      </c>
      <c r="G76" s="20">
        <v>380.46924540266332</v>
      </c>
      <c r="H76" s="20">
        <f t="shared" si="0"/>
        <v>40.300037500000002</v>
      </c>
      <c r="I76" s="5"/>
      <c r="J76" s="19">
        <v>279.21199999999999</v>
      </c>
      <c r="K76" s="20">
        <v>38.9621</v>
      </c>
      <c r="L76" s="20">
        <v>44.503</v>
      </c>
      <c r="M76" s="20">
        <v>45.053699999999999</v>
      </c>
      <c r="N76" s="20">
        <v>753.76880000000006</v>
      </c>
      <c r="O76" s="20">
        <f t="shared" si="1"/>
        <v>40.416162499999999</v>
      </c>
      <c r="P76" s="7"/>
      <c r="Q76" s="13"/>
      <c r="R76" s="14"/>
      <c r="S76" s="14"/>
      <c r="T76" s="27"/>
      <c r="U76" s="28">
        <f t="shared" si="3"/>
        <v>0.98115566266666665</v>
      </c>
    </row>
    <row r="77" spans="1:21" x14ac:dyDescent="0.25">
      <c r="B77" s="6" t="s">
        <v>63</v>
      </c>
      <c r="C77" s="15">
        <v>1440.6064453125</v>
      </c>
      <c r="D77" s="16">
        <v>42.221699999999998</v>
      </c>
      <c r="E77" s="16">
        <v>46.094499999999996</v>
      </c>
      <c r="F77" s="16">
        <v>46.9343</v>
      </c>
      <c r="G77" s="16">
        <v>188.67924528301887</v>
      </c>
      <c r="H77" s="16">
        <f t="shared" si="0"/>
        <v>43.294874999999998</v>
      </c>
      <c r="I77" s="5"/>
      <c r="J77" s="15">
        <v>1545.1207999999999</v>
      </c>
      <c r="K77" s="16">
        <v>42.292299999999997</v>
      </c>
      <c r="L77" s="16">
        <v>46.782299999999999</v>
      </c>
      <c r="M77" s="16">
        <v>47.647300000000001</v>
      </c>
      <c r="N77" s="16">
        <v>418.11849999999998</v>
      </c>
      <c r="O77" s="16">
        <f t="shared" si="1"/>
        <v>43.522925000000001</v>
      </c>
      <c r="P77" s="7"/>
      <c r="Q77" s="8">
        <f>bdrate(C77:C80,D77:D80,J77:J80,K77:K80)</f>
        <v>-3.4634242070909371E-2</v>
      </c>
      <c r="R77" s="8">
        <f>bdrate(C77:C80,E77:E80,J77:J80,L77:L80)</f>
        <v>-0.23389699592483448</v>
      </c>
      <c r="S77" s="8">
        <f>bdrate(C77:C80,F77:F80,J77:J80,M77:M80)</f>
        <v>-0.25031192365278498</v>
      </c>
      <c r="T77" s="25">
        <f>bdrate(C77:C80,H77:H80,J77:J80,O77:O80)</f>
        <v>-8.2711137941652746E-2</v>
      </c>
      <c r="U77" s="28">
        <f t="shared" si="3"/>
        <v>1.2160280499999998</v>
      </c>
    </row>
    <row r="78" spans="1:21" x14ac:dyDescent="0.25">
      <c r="B78" s="9"/>
      <c r="C78" s="17">
        <v>964.6123046875</v>
      </c>
      <c r="D78" s="18">
        <v>41.340499999999999</v>
      </c>
      <c r="E78" s="18">
        <v>45.2697</v>
      </c>
      <c r="F78" s="18">
        <v>46.075099999999999</v>
      </c>
      <c r="G78" s="18">
        <v>269.17900403768505</v>
      </c>
      <c r="H78" s="18">
        <f t="shared" si="0"/>
        <v>42.423475000000003</v>
      </c>
      <c r="I78" s="5"/>
      <c r="J78" s="17">
        <v>1012.1079999999999</v>
      </c>
      <c r="K78" s="18">
        <v>41.412599999999998</v>
      </c>
      <c r="L78" s="18">
        <v>45.975499999999997</v>
      </c>
      <c r="M78" s="18">
        <v>46.821399999999997</v>
      </c>
      <c r="N78" s="18">
        <v>465.47710000000001</v>
      </c>
      <c r="O78" s="18">
        <f t="shared" si="1"/>
        <v>42.659062499999997</v>
      </c>
      <c r="P78" s="7"/>
      <c r="Q78" s="10"/>
      <c r="R78" s="11"/>
      <c r="S78" s="11"/>
      <c r="T78" s="26"/>
      <c r="U78" s="28">
        <f t="shared" si="3"/>
        <v>0.72924742650000007</v>
      </c>
    </row>
    <row r="79" spans="1:21" x14ac:dyDescent="0.25">
      <c r="B79" s="9"/>
      <c r="C79" s="17">
        <v>583.0009765625</v>
      </c>
      <c r="D79" s="18">
        <v>39.774500000000003</v>
      </c>
      <c r="E79" s="18">
        <v>43.991</v>
      </c>
      <c r="F79" s="18">
        <v>44.681899999999999</v>
      </c>
      <c r="G79" s="18">
        <v>320.85561497326199</v>
      </c>
      <c r="H79" s="18">
        <f t="shared" si="0"/>
        <v>40.914987500000002</v>
      </c>
      <c r="I79" s="5"/>
      <c r="J79" s="17">
        <v>601.97839999999997</v>
      </c>
      <c r="K79" s="18">
        <v>39.995899999999999</v>
      </c>
      <c r="L79" s="18">
        <v>44.782200000000003</v>
      </c>
      <c r="M79" s="18">
        <v>45.603099999999998</v>
      </c>
      <c r="N79" s="18">
        <v>519.03110000000004</v>
      </c>
      <c r="O79" s="18">
        <f t="shared" si="1"/>
        <v>41.295087499999994</v>
      </c>
      <c r="P79" s="7"/>
      <c r="Q79" s="10"/>
      <c r="R79" s="11"/>
      <c r="S79" s="11"/>
      <c r="T79" s="26"/>
      <c r="U79" s="28">
        <f t="shared" si="3"/>
        <v>0.61764692833333368</v>
      </c>
    </row>
    <row r="80" spans="1:21" ht="16.5" thickBot="1" x14ac:dyDescent="0.3">
      <c r="B80" s="12"/>
      <c r="C80" s="19">
        <v>294.5234375</v>
      </c>
      <c r="D80" s="20">
        <v>36.710799999999999</v>
      </c>
      <c r="E80" s="20">
        <v>42.1098</v>
      </c>
      <c r="F80" s="20">
        <v>43.0047</v>
      </c>
      <c r="G80" s="20">
        <v>386.8471953578337</v>
      </c>
      <c r="H80" s="20">
        <f t="shared" si="0"/>
        <v>38.1724125</v>
      </c>
      <c r="I80" s="5"/>
      <c r="J80" s="19">
        <v>296.47680000000003</v>
      </c>
      <c r="K80" s="20">
        <v>37.316499999999998</v>
      </c>
      <c r="L80" s="20">
        <v>42.774299999999997</v>
      </c>
      <c r="M80" s="20">
        <v>43.5473</v>
      </c>
      <c r="N80" s="20">
        <v>657.89469999999994</v>
      </c>
      <c r="O80" s="20">
        <f t="shared" si="1"/>
        <v>38.777574999999999</v>
      </c>
      <c r="P80" s="7"/>
      <c r="Q80" s="13"/>
      <c r="R80" s="14"/>
      <c r="S80" s="14"/>
      <c r="T80" s="27"/>
      <c r="U80" s="28">
        <f t="shared" si="3"/>
        <v>0.70065779949999962</v>
      </c>
    </row>
    <row r="81" spans="1:21" x14ac:dyDescent="0.25">
      <c r="A81" s="6" t="s">
        <v>94</v>
      </c>
      <c r="B81" s="6" t="s">
        <v>95</v>
      </c>
      <c r="C81" s="15">
        <v>1476.3330078125</v>
      </c>
      <c r="D81" s="16">
        <v>36.355800000000002</v>
      </c>
      <c r="E81" s="16">
        <v>42.019399999999997</v>
      </c>
      <c r="F81" s="16">
        <v>42.573099999999997</v>
      </c>
      <c r="G81" s="16">
        <v>143.03877940241577</v>
      </c>
      <c r="H81" s="16">
        <f t="shared" ref="H81:H124" si="4">(6*D81+E81+F81)/8</f>
        <v>37.840912500000002</v>
      </c>
      <c r="I81" s="5"/>
      <c r="J81" s="15">
        <v>1505.1821</v>
      </c>
      <c r="K81" s="16">
        <v>35.312100000000001</v>
      </c>
      <c r="L81" s="16">
        <v>41.402099999999997</v>
      </c>
      <c r="M81" s="16">
        <v>42.0501</v>
      </c>
      <c r="N81" s="16">
        <v>253.52109999999999</v>
      </c>
      <c r="O81" s="16">
        <f t="shared" ref="O81:O124" si="5">(6*K81+L81+M81)/8</f>
        <v>36.915599999999998</v>
      </c>
      <c r="P81" s="7"/>
      <c r="Q81" s="8">
        <f>bdrate(C81:C84,D81:D84,J81:J84,K81:K84)</f>
        <v>0.1764491710058147</v>
      </c>
      <c r="R81" s="8">
        <f>bdrate(C81:C84,E81:E84,J81:J84,L81:L84)</f>
        <v>0.15340211980625229</v>
      </c>
      <c r="S81" s="8">
        <f>bdrate(C81:C84,F81:F84,J81:J84,M81:M84)</f>
        <v>0.10676562380419474</v>
      </c>
      <c r="T81" s="25">
        <f>bdrate(C81:C84,H81:H84,J81:J84,O81:O84)</f>
        <v>0.16854782606080088</v>
      </c>
      <c r="U81" s="28">
        <f t="shared" si="3"/>
        <v>0.77239417911111097</v>
      </c>
    </row>
    <row r="82" spans="1:21" x14ac:dyDescent="0.25">
      <c r="A82" s="9" t="s">
        <v>77</v>
      </c>
      <c r="B82" s="9"/>
      <c r="C82" s="17">
        <v>985.09765625</v>
      </c>
      <c r="D82" s="18">
        <v>34.304200000000002</v>
      </c>
      <c r="E82" s="18">
        <v>40.718400000000003</v>
      </c>
      <c r="F82" s="18">
        <v>41.259599999999999</v>
      </c>
      <c r="G82" s="18">
        <v>189.15510718789406</v>
      </c>
      <c r="H82" s="18">
        <f t="shared" si="4"/>
        <v>35.9754</v>
      </c>
      <c r="I82" s="5"/>
      <c r="J82" s="17">
        <v>1003.6683</v>
      </c>
      <c r="K82" s="18">
        <v>33.444099999999999</v>
      </c>
      <c r="L82" s="18">
        <v>40.237000000000002</v>
      </c>
      <c r="M82" s="18">
        <v>40.889400000000002</v>
      </c>
      <c r="N82" s="18">
        <v>284.00130000000001</v>
      </c>
      <c r="O82" s="18">
        <f t="shared" si="5"/>
        <v>35.223875</v>
      </c>
      <c r="P82" s="7"/>
      <c r="Q82" s="10"/>
      <c r="R82" s="11"/>
      <c r="S82" s="11"/>
      <c r="T82" s="26"/>
      <c r="U82" s="28">
        <f t="shared" si="3"/>
        <v>0.50142020600000015</v>
      </c>
    </row>
    <row r="83" spans="1:21" x14ac:dyDescent="0.25">
      <c r="B83" s="9"/>
      <c r="C83" s="17">
        <v>591.2626953125</v>
      </c>
      <c r="D83" s="18">
        <v>31.789100000000001</v>
      </c>
      <c r="E83" s="18">
        <v>39.226399999999998</v>
      </c>
      <c r="F83" s="18">
        <v>39.767499999999998</v>
      </c>
      <c r="G83" s="18">
        <v>233.94853132310891</v>
      </c>
      <c r="H83" s="18">
        <f t="shared" si="4"/>
        <v>33.7160625</v>
      </c>
      <c r="I83" s="5"/>
      <c r="J83" s="17">
        <v>603.22289999999998</v>
      </c>
      <c r="K83" s="18">
        <v>31.215399999999999</v>
      </c>
      <c r="L83" s="18">
        <v>38.980200000000004</v>
      </c>
      <c r="M83" s="18">
        <v>39.6252</v>
      </c>
      <c r="N83" s="18">
        <v>335.82089999999999</v>
      </c>
      <c r="O83" s="18">
        <f t="shared" si="5"/>
        <v>33.237224999999995</v>
      </c>
      <c r="P83" s="7"/>
      <c r="Q83" s="10"/>
      <c r="R83" s="11"/>
      <c r="S83" s="11"/>
      <c r="T83" s="26"/>
      <c r="U83" s="28">
        <f t="shared" si="3"/>
        <v>0.43544778033333337</v>
      </c>
    </row>
    <row r="84" spans="1:21" ht="16.5" thickBot="1" x14ac:dyDescent="0.3">
      <c r="B84" s="12"/>
      <c r="C84" s="19">
        <v>295.70703125</v>
      </c>
      <c r="D84" s="20">
        <v>28.612300000000001</v>
      </c>
      <c r="E84" s="20">
        <v>37.363100000000003</v>
      </c>
      <c r="F84" s="20">
        <v>37.874899999999997</v>
      </c>
      <c r="G84" s="20">
        <v>276.83789603199017</v>
      </c>
      <c r="H84" s="20">
        <f t="shared" si="4"/>
        <v>30.863975</v>
      </c>
      <c r="I84" s="5"/>
      <c r="J84" s="19">
        <v>300.7389</v>
      </c>
      <c r="K84" s="20">
        <v>28.156099999999999</v>
      </c>
      <c r="L84" s="20">
        <v>37.056199999999997</v>
      </c>
      <c r="M84" s="20">
        <v>37.729399999999998</v>
      </c>
      <c r="N84" s="20">
        <v>428.16370000000001</v>
      </c>
      <c r="O84" s="20">
        <f t="shared" si="5"/>
        <v>30.465274999999998</v>
      </c>
      <c r="P84" s="7"/>
      <c r="Q84" s="13"/>
      <c r="R84" s="14"/>
      <c r="S84" s="14"/>
      <c r="T84" s="27"/>
      <c r="U84" s="28">
        <f t="shared" si="3"/>
        <v>0.54662243188888882</v>
      </c>
    </row>
    <row r="85" spans="1:21" x14ac:dyDescent="0.25">
      <c r="B85" s="6" t="s">
        <v>96</v>
      </c>
      <c r="C85" s="15">
        <v>1441.2705078125</v>
      </c>
      <c r="D85" s="16">
        <v>52.4696</v>
      </c>
      <c r="E85" s="16">
        <v>51.265099999999997</v>
      </c>
      <c r="F85" s="16">
        <v>51.523499999999999</v>
      </c>
      <c r="G85" s="16">
        <v>184.3506759524785</v>
      </c>
      <c r="H85" s="16">
        <f t="shared" si="4"/>
        <v>52.200775</v>
      </c>
      <c r="I85" s="5"/>
      <c r="J85" s="15">
        <v>1470.4124999999999</v>
      </c>
      <c r="K85" s="16">
        <v>51.092700000000001</v>
      </c>
      <c r="L85" s="16">
        <v>51.598100000000002</v>
      </c>
      <c r="M85" s="16">
        <v>52.07</v>
      </c>
      <c r="N85" s="16">
        <v>479.48849999999999</v>
      </c>
      <c r="O85" s="16">
        <f t="shared" si="5"/>
        <v>51.278037499999996</v>
      </c>
      <c r="P85" s="7"/>
      <c r="Q85" s="8">
        <f>bdrate(C85:C88,D85:D88,J85:J88,K85:K88)</f>
        <v>9.2243861993881016E-2</v>
      </c>
      <c r="R85" s="8">
        <f>bdrate(C85:C88,E85:E88,J85:J88,L85:L88)</f>
        <v>-0.16103653745483748</v>
      </c>
      <c r="S85" s="8">
        <f>bdrate(C85:C88,F85:F88,J85:J88,M85:M88)</f>
        <v>-0.1872191204415613</v>
      </c>
      <c r="T85" s="25">
        <f>bdrate(C85:C88,H85:H88,J85:J88,O85:O88)</f>
        <v>2.9327319454043321E-2</v>
      </c>
      <c r="U85" s="28">
        <f t="shared" si="3"/>
        <v>1.6009587299999997</v>
      </c>
    </row>
    <row r="86" spans="1:21" x14ac:dyDescent="0.25">
      <c r="B86" s="9"/>
      <c r="C86" s="17">
        <v>962.974609375</v>
      </c>
      <c r="D86" s="18">
        <v>49.691600000000001</v>
      </c>
      <c r="E86" s="18">
        <v>48.862299999999998</v>
      </c>
      <c r="F86" s="18">
        <v>49.140999999999998</v>
      </c>
      <c r="G86" s="18">
        <v>265.64344746162931</v>
      </c>
      <c r="H86" s="18">
        <f t="shared" si="4"/>
        <v>49.519112500000006</v>
      </c>
      <c r="I86" s="5"/>
      <c r="J86" s="17">
        <v>984.6816</v>
      </c>
      <c r="K86" s="18">
        <v>49.128500000000003</v>
      </c>
      <c r="L86" s="18">
        <v>49.907200000000003</v>
      </c>
      <c r="M86" s="18">
        <v>50.404600000000002</v>
      </c>
      <c r="N86" s="18">
        <v>576.92309999999998</v>
      </c>
      <c r="O86" s="18">
        <f t="shared" si="5"/>
        <v>49.385350000000003</v>
      </c>
      <c r="P86" s="7"/>
      <c r="Q86" s="10"/>
      <c r="R86" s="11"/>
      <c r="S86" s="11"/>
      <c r="T86" s="26"/>
      <c r="U86" s="28">
        <f t="shared" si="3"/>
        <v>1.1717949586666663</v>
      </c>
    </row>
    <row r="87" spans="1:21" x14ac:dyDescent="0.25">
      <c r="B87" s="9"/>
      <c r="C87" s="17">
        <v>580.1142578125</v>
      </c>
      <c r="D87" s="18">
        <v>46.4649</v>
      </c>
      <c r="E87" s="18">
        <v>46.29</v>
      </c>
      <c r="F87" s="18">
        <v>46.558500000000002</v>
      </c>
      <c r="G87" s="18">
        <v>312.60854463355332</v>
      </c>
      <c r="H87" s="18">
        <f t="shared" si="4"/>
        <v>46.4547375</v>
      </c>
      <c r="I87" s="5"/>
      <c r="J87" s="17">
        <v>598.3365</v>
      </c>
      <c r="K87" s="18">
        <v>46.191400000000002</v>
      </c>
      <c r="L87" s="18">
        <v>47.425899999999999</v>
      </c>
      <c r="M87" s="18">
        <v>47.921599999999998</v>
      </c>
      <c r="N87" s="18">
        <v>653.12049999999999</v>
      </c>
      <c r="O87" s="18">
        <f t="shared" si="5"/>
        <v>46.561987500000008</v>
      </c>
      <c r="P87" s="7"/>
      <c r="Q87" s="10"/>
      <c r="R87" s="11"/>
      <c r="S87" s="11"/>
      <c r="T87" s="26"/>
      <c r="U87" s="28">
        <f t="shared" si="3"/>
        <v>1.0892599105555556</v>
      </c>
    </row>
    <row r="88" spans="1:21" ht="16.5" thickBot="1" x14ac:dyDescent="0.3">
      <c r="B88" s="12"/>
      <c r="C88" s="19">
        <v>290.912109375</v>
      </c>
      <c r="D88" s="20">
        <v>42.029499999999999</v>
      </c>
      <c r="E88" s="20">
        <v>42.747199999999999</v>
      </c>
      <c r="F88" s="20">
        <v>43.011200000000002</v>
      </c>
      <c r="G88" s="20">
        <v>364.37246963562751</v>
      </c>
      <c r="H88" s="20">
        <f t="shared" si="4"/>
        <v>42.241924999999995</v>
      </c>
      <c r="I88" s="5"/>
      <c r="J88" s="19">
        <v>300.6232</v>
      </c>
      <c r="K88" s="20">
        <v>41.936500000000002</v>
      </c>
      <c r="L88" s="20">
        <v>43.819499999999998</v>
      </c>
      <c r="M88" s="20">
        <v>43.956299999999999</v>
      </c>
      <c r="N88" s="20">
        <v>758.21400000000006</v>
      </c>
      <c r="O88" s="20">
        <f t="shared" si="5"/>
        <v>42.424350000000004</v>
      </c>
      <c r="P88" s="7"/>
      <c r="Q88" s="13"/>
      <c r="R88" s="14"/>
      <c r="S88" s="14"/>
      <c r="T88" s="27"/>
      <c r="U88" s="28">
        <f t="shared" si="3"/>
        <v>1.0808762000000003</v>
      </c>
    </row>
    <row r="89" spans="1:21" x14ac:dyDescent="0.25">
      <c r="B89" s="6" t="s">
        <v>97</v>
      </c>
      <c r="C89" s="15">
        <v>1446.8310546875</v>
      </c>
      <c r="D89" s="16">
        <v>43.945099999999996</v>
      </c>
      <c r="E89" s="16">
        <v>46.0246</v>
      </c>
      <c r="F89" s="16">
        <v>46.492699999999999</v>
      </c>
      <c r="G89" s="16">
        <v>162.57225433526014</v>
      </c>
      <c r="H89" s="16">
        <f t="shared" si="4"/>
        <v>44.523487500000002</v>
      </c>
      <c r="I89" s="5"/>
      <c r="J89" s="15">
        <v>1472.7755</v>
      </c>
      <c r="K89" s="16">
        <v>42.905500000000004</v>
      </c>
      <c r="L89" s="16">
        <v>45.582700000000003</v>
      </c>
      <c r="M89" s="16">
        <v>46.052799999999998</v>
      </c>
      <c r="N89" s="16">
        <v>347.0883</v>
      </c>
      <c r="O89" s="16">
        <f t="shared" si="5"/>
        <v>43.633562499999996</v>
      </c>
      <c r="P89" s="7"/>
      <c r="Q89" s="8">
        <f>bdrate(C89:C92,D89:D92,J89:J92,K89:K92)</f>
        <v>0.13949400168106019</v>
      </c>
      <c r="R89" s="8">
        <f>bdrate(C89:C92,E89:E92,J89:J92,L89:L92)</f>
        <v>2.3894377258232069E-2</v>
      </c>
      <c r="S89" s="8">
        <f>bdrate(C89:C92,F89:F92,J89:J92,M89:M92)</f>
        <v>4.2849762620140064E-2</v>
      </c>
      <c r="T89" s="25">
        <f>bdrate(C89:C92,H89:H92,J89:J92,O89:O92)</f>
        <v>0.11847682865724929</v>
      </c>
      <c r="U89" s="28">
        <f t="shared" si="3"/>
        <v>1.1349786986666663</v>
      </c>
    </row>
    <row r="90" spans="1:21" x14ac:dyDescent="0.25">
      <c r="B90" s="9"/>
      <c r="C90" s="17">
        <v>966.6953125</v>
      </c>
      <c r="D90" s="18">
        <v>41.816699999999997</v>
      </c>
      <c r="E90" s="18">
        <v>44.484900000000003</v>
      </c>
      <c r="F90" s="18">
        <v>44.978499999999997</v>
      </c>
      <c r="G90" s="18">
        <v>221.13022113022112</v>
      </c>
      <c r="H90" s="18">
        <f t="shared" si="4"/>
        <v>42.545449999999995</v>
      </c>
      <c r="I90" s="5"/>
      <c r="J90" s="17">
        <v>979.07730000000004</v>
      </c>
      <c r="K90" s="18">
        <v>41.07</v>
      </c>
      <c r="L90" s="18">
        <v>44.344900000000003</v>
      </c>
      <c r="M90" s="18">
        <v>44.778399999999998</v>
      </c>
      <c r="N90" s="18">
        <v>407.97820000000002</v>
      </c>
      <c r="O90" s="18">
        <f t="shared" si="5"/>
        <v>41.942912499999998</v>
      </c>
      <c r="P90" s="7"/>
      <c r="Q90" s="10"/>
      <c r="R90" s="11"/>
      <c r="S90" s="11"/>
      <c r="T90" s="26"/>
      <c r="U90" s="28">
        <f t="shared" si="3"/>
        <v>0.84496808222222242</v>
      </c>
    </row>
    <row r="91" spans="1:21" x14ac:dyDescent="0.25">
      <c r="B91" s="9"/>
      <c r="C91" s="17">
        <v>583.962890625</v>
      </c>
      <c r="D91" s="18">
        <v>39.040199999999999</v>
      </c>
      <c r="E91" s="18">
        <v>42.557000000000002</v>
      </c>
      <c r="F91" s="18">
        <v>43.052300000000002</v>
      </c>
      <c r="G91" s="18">
        <v>267.06231454005933</v>
      </c>
      <c r="H91" s="18">
        <f t="shared" si="4"/>
        <v>39.981312500000001</v>
      </c>
      <c r="I91" s="5"/>
      <c r="J91" s="17">
        <v>588.71389999999997</v>
      </c>
      <c r="K91" s="18">
        <v>38.430199999999999</v>
      </c>
      <c r="L91" s="18">
        <v>42.546300000000002</v>
      </c>
      <c r="M91" s="18">
        <v>42.9208</v>
      </c>
      <c r="N91" s="18">
        <v>471.45100000000002</v>
      </c>
      <c r="O91" s="18">
        <f t="shared" si="5"/>
        <v>39.506037499999998</v>
      </c>
      <c r="P91" s="7"/>
      <c r="Q91" s="10"/>
      <c r="R91" s="11"/>
      <c r="S91" s="11"/>
      <c r="T91" s="26"/>
      <c r="U91" s="28">
        <f t="shared" si="3"/>
        <v>0.76532207777777794</v>
      </c>
    </row>
    <row r="92" spans="1:21" ht="16.5" thickBot="1" x14ac:dyDescent="0.3">
      <c r="B92" s="12"/>
      <c r="C92" s="19">
        <v>294.2578125</v>
      </c>
      <c r="D92" s="20">
        <v>35.276000000000003</v>
      </c>
      <c r="E92" s="20">
        <v>39.944800000000001</v>
      </c>
      <c r="F92" s="20">
        <v>40.4497</v>
      </c>
      <c r="G92" s="20">
        <v>310.34482758620692</v>
      </c>
      <c r="H92" s="20">
        <f t="shared" si="4"/>
        <v>36.5063125</v>
      </c>
      <c r="I92" s="5"/>
      <c r="J92" s="19">
        <v>297.3021</v>
      </c>
      <c r="K92" s="20">
        <v>34.899299999999997</v>
      </c>
      <c r="L92" s="20">
        <v>40.096699999999998</v>
      </c>
      <c r="M92" s="20">
        <v>40.6798</v>
      </c>
      <c r="N92" s="20">
        <v>574.71259999999995</v>
      </c>
      <c r="O92" s="20">
        <f t="shared" si="5"/>
        <v>36.271537499999994</v>
      </c>
      <c r="P92" s="7"/>
      <c r="Q92" s="13"/>
      <c r="R92" s="14"/>
      <c r="S92" s="14"/>
      <c r="T92" s="27"/>
      <c r="U92" s="28">
        <f t="shared" si="3"/>
        <v>0.8518517111111108</v>
      </c>
    </row>
    <row r="93" spans="1:21" x14ac:dyDescent="0.25">
      <c r="B93" s="6" t="s">
        <v>98</v>
      </c>
      <c r="C93" s="29">
        <v>1452.072265625</v>
      </c>
      <c r="D93" s="30">
        <v>38.467500000000001</v>
      </c>
      <c r="E93" s="30">
        <v>42.371099999999998</v>
      </c>
      <c r="F93" s="30">
        <v>42.114800000000002</v>
      </c>
      <c r="G93" s="16">
        <v>149.80026631158455</v>
      </c>
      <c r="H93" s="16">
        <f t="shared" si="4"/>
        <v>39.411362500000003</v>
      </c>
      <c r="I93" s="5"/>
      <c r="J93" s="29">
        <v>1507.9503999999999</v>
      </c>
      <c r="K93" s="30">
        <v>37.727899999999998</v>
      </c>
      <c r="L93" s="30">
        <v>42.143300000000004</v>
      </c>
      <c r="M93" s="30">
        <v>41.904600000000002</v>
      </c>
      <c r="N93" s="16">
        <v>299.89999999999998</v>
      </c>
      <c r="O93" s="16">
        <f t="shared" si="5"/>
        <v>38.8019125</v>
      </c>
      <c r="P93" s="7"/>
      <c r="Q93" s="8">
        <f>bdrate(C93:C96,D93:D96,J93:J96,K93:K96)</f>
        <v>0.14884908040528999</v>
      </c>
      <c r="R93" s="8">
        <f>bdrate(C93:C96,E93:E96,J93:J96,L93:L96)</f>
        <v>0.10035169834427982</v>
      </c>
      <c r="S93" s="8">
        <f>bdrate(C93:C96,F93:F96,J93:J96,M93:M96)</f>
        <v>9.5872003187021493E-2</v>
      </c>
      <c r="T93" s="25">
        <f>bdrate(C93:C96,H93:H96,J93:J96,O93:O96)</f>
        <v>0.14005258931471243</v>
      </c>
      <c r="U93" s="28">
        <f t="shared" si="3"/>
        <v>1.0019991111111111</v>
      </c>
    </row>
    <row r="94" spans="1:21" x14ac:dyDescent="0.25">
      <c r="B94" s="9"/>
      <c r="C94" s="31">
        <v>968.689453125</v>
      </c>
      <c r="D94" s="32">
        <v>36.529000000000003</v>
      </c>
      <c r="E94" s="32">
        <v>41.1599</v>
      </c>
      <c r="F94" s="32">
        <v>40.875700000000002</v>
      </c>
      <c r="G94" s="18">
        <v>191.00169779286929</v>
      </c>
      <c r="H94" s="18">
        <f t="shared" si="4"/>
        <v>37.651200000000003</v>
      </c>
      <c r="I94" s="5"/>
      <c r="J94" s="31">
        <v>1001.9607999999999</v>
      </c>
      <c r="K94" s="32">
        <v>35.9251</v>
      </c>
      <c r="L94" s="32">
        <v>40.958199999999998</v>
      </c>
      <c r="M94" s="32">
        <v>40.691800000000001</v>
      </c>
      <c r="N94" s="18">
        <v>348.43209999999999</v>
      </c>
      <c r="O94" s="18">
        <f t="shared" si="5"/>
        <v>37.150075000000001</v>
      </c>
      <c r="P94" s="7"/>
      <c r="Q94" s="10"/>
      <c r="R94" s="11"/>
      <c r="S94" s="11"/>
      <c r="T94" s="26"/>
      <c r="U94" s="28">
        <f t="shared" si="3"/>
        <v>0.82423561688888858</v>
      </c>
    </row>
    <row r="95" spans="1:21" x14ac:dyDescent="0.25">
      <c r="B95" s="9"/>
      <c r="C95" s="31">
        <v>583.119140625</v>
      </c>
      <c r="D95" s="32">
        <v>34.175400000000003</v>
      </c>
      <c r="E95" s="32">
        <v>39.715200000000003</v>
      </c>
      <c r="F95" s="32">
        <v>39.3857</v>
      </c>
      <c r="G95" s="18">
        <v>237.4043787918755</v>
      </c>
      <c r="H95" s="18">
        <f t="shared" si="4"/>
        <v>35.519162500000007</v>
      </c>
      <c r="I95" s="5"/>
      <c r="J95" s="31">
        <v>601.32349999999997</v>
      </c>
      <c r="K95" s="32">
        <v>33.732399999999998</v>
      </c>
      <c r="L95" s="32">
        <v>39.561399999999999</v>
      </c>
      <c r="M95" s="32">
        <v>39.2303</v>
      </c>
      <c r="N95" s="18">
        <v>400.7124</v>
      </c>
      <c r="O95" s="18">
        <f t="shared" si="5"/>
        <v>35.148262500000001</v>
      </c>
      <c r="P95" s="7"/>
      <c r="Q95" s="10"/>
      <c r="R95" s="11"/>
      <c r="S95" s="11"/>
      <c r="T95" s="26"/>
      <c r="U95" s="28">
        <f t="shared" si="3"/>
        <v>0.68788967599999995</v>
      </c>
    </row>
    <row r="96" spans="1:21" ht="16.5" thickBot="1" x14ac:dyDescent="0.3">
      <c r="B96" s="12"/>
      <c r="C96" s="33">
        <v>294.1953125</v>
      </c>
      <c r="D96" s="34">
        <v>31.112300000000001</v>
      </c>
      <c r="E96" s="34">
        <v>37.935600000000001</v>
      </c>
      <c r="F96" s="34">
        <v>37.536799999999999</v>
      </c>
      <c r="G96" s="20">
        <v>302.01342281879192</v>
      </c>
      <c r="H96" s="20">
        <f t="shared" si="4"/>
        <v>32.768275000000003</v>
      </c>
      <c r="I96" s="5"/>
      <c r="J96" s="33">
        <v>299.7115</v>
      </c>
      <c r="K96" s="34">
        <v>30.833600000000001</v>
      </c>
      <c r="L96" s="34">
        <v>37.7483</v>
      </c>
      <c r="M96" s="34">
        <v>37.345799999999997</v>
      </c>
      <c r="N96" s="20">
        <v>507.90069999999997</v>
      </c>
      <c r="O96" s="20">
        <f t="shared" si="5"/>
        <v>32.511962499999996</v>
      </c>
      <c r="P96" s="7"/>
      <c r="Q96" s="13"/>
      <c r="R96" s="14"/>
      <c r="S96" s="14"/>
      <c r="T96" s="27"/>
      <c r="U96" s="28">
        <f t="shared" si="3"/>
        <v>0.6817156511111111</v>
      </c>
    </row>
    <row r="97" spans="2:21" x14ac:dyDescent="0.25">
      <c r="B97" s="6" t="s">
        <v>99</v>
      </c>
      <c r="C97" s="15">
        <v>1472.2236328125</v>
      </c>
      <c r="D97" s="16">
        <v>37.090699999999998</v>
      </c>
      <c r="E97" s="16">
        <v>40.999200000000002</v>
      </c>
      <c r="F97" s="16">
        <v>41.6905</v>
      </c>
      <c r="G97" s="16">
        <v>158.17223198594024</v>
      </c>
      <c r="H97" s="16">
        <f t="shared" si="4"/>
        <v>38.154237500000001</v>
      </c>
      <c r="I97" s="5"/>
      <c r="J97" s="15">
        <v>1499.0395000000001</v>
      </c>
      <c r="K97" s="16">
        <v>36.272599999999997</v>
      </c>
      <c r="L97" s="16">
        <v>41.0717</v>
      </c>
      <c r="M97" s="16">
        <v>41.579700000000003</v>
      </c>
      <c r="N97" s="16">
        <v>311.4187</v>
      </c>
      <c r="O97" s="16">
        <f t="shared" si="5"/>
        <v>37.535874999999997</v>
      </c>
      <c r="P97" s="7"/>
      <c r="Q97" s="8">
        <f>bdrate(C97:C100,D97:D100,J97:J100,K97:K100)</f>
        <v>0.11369578798501623</v>
      </c>
      <c r="R97" s="8">
        <f>bdrate(C97:C100,E97:E100,J97:J100,L97:L100)</f>
        <v>-5.5167542464222841E-2</v>
      </c>
      <c r="S97" s="8">
        <f>bdrate(C97:C100,F97:F100,J97:J100,M97:M100)</f>
        <v>7.7926871046543056E-3</v>
      </c>
      <c r="T97" s="25">
        <f>bdrate(C97:C100,H97:H100,J97:J100,O97:O100)</f>
        <v>8.7524778894051858E-2</v>
      </c>
      <c r="U97" s="28">
        <f t="shared" si="3"/>
        <v>0.96885822555555556</v>
      </c>
    </row>
    <row r="98" spans="2:21" x14ac:dyDescent="0.25">
      <c r="B98" s="9"/>
      <c r="C98" s="17">
        <v>983.173828125</v>
      </c>
      <c r="D98" s="18">
        <v>35.045200000000001</v>
      </c>
      <c r="E98" s="18">
        <v>39.601399999999998</v>
      </c>
      <c r="F98" s="18">
        <v>40.353099999999998</v>
      </c>
      <c r="G98" s="18">
        <v>200.75842070042384</v>
      </c>
      <c r="H98" s="18">
        <f t="shared" si="4"/>
        <v>36.278212500000002</v>
      </c>
      <c r="I98" s="5"/>
      <c r="J98" s="17">
        <v>1000.9093</v>
      </c>
      <c r="K98" s="18">
        <v>34.353999999999999</v>
      </c>
      <c r="L98" s="18">
        <v>39.6785</v>
      </c>
      <c r="M98" s="18">
        <v>40.238399999999999</v>
      </c>
      <c r="N98" s="18">
        <v>351.5625</v>
      </c>
      <c r="O98" s="18">
        <f t="shared" si="5"/>
        <v>35.755112500000003</v>
      </c>
      <c r="P98" s="7"/>
      <c r="Q98" s="10"/>
      <c r="R98" s="11"/>
      <c r="S98" s="11"/>
      <c r="T98" s="26"/>
      <c r="U98" s="28">
        <f t="shared" si="3"/>
        <v>0.75117187499999982</v>
      </c>
    </row>
    <row r="99" spans="2:21" x14ac:dyDescent="0.25">
      <c r="B99" s="9"/>
      <c r="C99" s="17">
        <v>591.3369140625</v>
      </c>
      <c r="D99" s="18">
        <v>32.427700000000002</v>
      </c>
      <c r="E99" s="18">
        <v>37.819200000000002</v>
      </c>
      <c r="F99" s="18">
        <v>38.620699999999999</v>
      </c>
      <c r="G99" s="18">
        <v>248.6874827300359</v>
      </c>
      <c r="H99" s="18">
        <f t="shared" si="4"/>
        <v>33.8757625</v>
      </c>
      <c r="I99" s="5"/>
      <c r="J99" s="17">
        <v>602.35440000000006</v>
      </c>
      <c r="K99" s="18">
        <v>32.077100000000002</v>
      </c>
      <c r="L99" s="18">
        <v>38.169199999999996</v>
      </c>
      <c r="M99" s="18">
        <v>38.753100000000003</v>
      </c>
      <c r="N99" s="18">
        <v>407.97820000000002</v>
      </c>
      <c r="O99" s="18">
        <f t="shared" si="5"/>
        <v>33.673112500000002</v>
      </c>
      <c r="P99" s="7"/>
      <c r="Q99" s="10"/>
      <c r="R99" s="11"/>
      <c r="S99" s="11"/>
      <c r="T99" s="26"/>
      <c r="U99" s="28">
        <f t="shared" si="3"/>
        <v>0.6405256731111113</v>
      </c>
    </row>
    <row r="100" spans="2:21" ht="16.5" thickBot="1" x14ac:dyDescent="0.3">
      <c r="B100" s="12"/>
      <c r="C100" s="19">
        <v>295.623046875</v>
      </c>
      <c r="D100" s="20">
        <v>29.045999999999999</v>
      </c>
      <c r="E100" s="20">
        <v>35.814500000000002</v>
      </c>
      <c r="F100" s="20">
        <v>36.721299999999999</v>
      </c>
      <c r="G100" s="20">
        <v>304.3625295908015</v>
      </c>
      <c r="H100" s="20">
        <f t="shared" si="4"/>
        <v>30.851475000000001</v>
      </c>
      <c r="I100" s="5"/>
      <c r="J100" s="19">
        <v>301.67469999999997</v>
      </c>
      <c r="K100" s="20">
        <v>28.9712</v>
      </c>
      <c r="L100" s="20">
        <v>36.137999999999998</v>
      </c>
      <c r="M100" s="20">
        <v>36.820599999999999</v>
      </c>
      <c r="N100" s="20">
        <v>507.32810000000001</v>
      </c>
      <c r="O100" s="20">
        <f t="shared" si="5"/>
        <v>30.848224999999999</v>
      </c>
      <c r="P100" s="7"/>
      <c r="Q100" s="13"/>
      <c r="R100" s="14"/>
      <c r="S100" s="14"/>
      <c r="T100" s="27"/>
      <c r="U100" s="28">
        <f t="shared" si="3"/>
        <v>0.66685465744444439</v>
      </c>
    </row>
    <row r="101" spans="2:21" x14ac:dyDescent="0.25">
      <c r="B101" s="6" t="s">
        <v>100</v>
      </c>
      <c r="C101" s="15">
        <v>1477.38671875</v>
      </c>
      <c r="D101" s="16">
        <v>37.803800000000003</v>
      </c>
      <c r="E101" s="16">
        <v>43.225700000000003</v>
      </c>
      <c r="F101" s="16">
        <v>45.104199999999999</v>
      </c>
      <c r="G101" s="16">
        <v>150.80428954423593</v>
      </c>
      <c r="H101" s="16">
        <f t="shared" si="4"/>
        <v>39.394087500000005</v>
      </c>
      <c r="I101" s="5"/>
      <c r="J101" s="15">
        <v>1501.7155</v>
      </c>
      <c r="K101" s="16">
        <v>36.854399999999998</v>
      </c>
      <c r="L101" s="16">
        <v>42.891199999999998</v>
      </c>
      <c r="M101" s="16">
        <v>44.770400000000002</v>
      </c>
      <c r="N101" s="16">
        <v>299.80009999999999</v>
      </c>
      <c r="O101" s="16">
        <f t="shared" si="5"/>
        <v>38.598500000000001</v>
      </c>
      <c r="P101" s="7"/>
      <c r="Q101" s="8">
        <f>bdrate(C101:C104,D101:D104,J101:J104,K101:K104)</f>
        <v>0.25065290070420865</v>
      </c>
      <c r="R101" s="8">
        <f>bdrate(C101:C104,E101:E104,J101:J104,L101:L104)</f>
        <v>0.15631847274748978</v>
      </c>
      <c r="S101" s="8">
        <f>bdrate(C101:C104,F101:F104,J101:J104,M101:M104)</f>
        <v>0.13134247332853954</v>
      </c>
      <c r="T101" s="25">
        <f>bdrate(C101:C104,H101:H104,J101:J104,O101:O104)</f>
        <v>0.22957007960722686</v>
      </c>
      <c r="U101" s="28">
        <f t="shared" si="3"/>
        <v>0.98800777422222208</v>
      </c>
    </row>
    <row r="102" spans="2:21" x14ac:dyDescent="0.25">
      <c r="B102" s="9"/>
      <c r="C102" s="17">
        <v>984.8251953125</v>
      </c>
      <c r="D102" s="18">
        <v>36.333199999999998</v>
      </c>
      <c r="E102" s="18">
        <v>42.295400000000001</v>
      </c>
      <c r="F102" s="18">
        <v>44.089399999999998</v>
      </c>
      <c r="G102" s="18">
        <v>191.08280254777071</v>
      </c>
      <c r="H102" s="18">
        <f t="shared" si="4"/>
        <v>38.047999999999995</v>
      </c>
      <c r="I102" s="5"/>
      <c r="J102" s="17">
        <v>1012.2234999999999</v>
      </c>
      <c r="K102" s="18">
        <v>35.491999999999997</v>
      </c>
      <c r="L102" s="18">
        <v>41.961799999999997</v>
      </c>
      <c r="M102" s="18">
        <v>43.709499999999998</v>
      </c>
      <c r="N102" s="18">
        <v>331.36970000000002</v>
      </c>
      <c r="O102" s="18">
        <f t="shared" si="5"/>
        <v>37.327912499999996</v>
      </c>
      <c r="P102" s="7"/>
      <c r="Q102" s="10"/>
      <c r="R102" s="11"/>
      <c r="S102" s="11"/>
      <c r="T102" s="26"/>
      <c r="U102" s="28">
        <f t="shared" si="3"/>
        <v>0.73416809666666671</v>
      </c>
    </row>
    <row r="103" spans="2:21" x14ac:dyDescent="0.25">
      <c r="B103" s="9"/>
      <c r="C103" s="17">
        <v>592.34375</v>
      </c>
      <c r="D103" s="18">
        <v>34.521999999999998</v>
      </c>
      <c r="E103" s="18">
        <v>41.136600000000001</v>
      </c>
      <c r="F103" s="18">
        <v>42.698900000000002</v>
      </c>
      <c r="G103" s="18">
        <v>234.74178403755869</v>
      </c>
      <c r="H103" s="18">
        <f t="shared" si="4"/>
        <v>36.370937499999997</v>
      </c>
      <c r="I103" s="5"/>
      <c r="J103" s="17">
        <v>601.29489999999998</v>
      </c>
      <c r="K103" s="18">
        <v>33.900599999999997</v>
      </c>
      <c r="L103" s="18">
        <v>40.8962</v>
      </c>
      <c r="M103" s="18">
        <v>42.500599999999999</v>
      </c>
      <c r="N103" s="18">
        <v>383.959</v>
      </c>
      <c r="O103" s="18">
        <f t="shared" si="5"/>
        <v>35.850049999999996</v>
      </c>
      <c r="P103" s="7"/>
      <c r="Q103" s="10"/>
      <c r="R103" s="11"/>
      <c r="S103" s="11"/>
      <c r="T103" s="26"/>
      <c r="U103" s="28">
        <f t="shared" si="3"/>
        <v>0.63566533999999997</v>
      </c>
    </row>
    <row r="104" spans="2:21" ht="16.5" thickBot="1" x14ac:dyDescent="0.3">
      <c r="B104" s="12"/>
      <c r="C104" s="19">
        <v>297.251953125</v>
      </c>
      <c r="D104" s="20">
        <v>32.197499999999998</v>
      </c>
      <c r="E104" s="20">
        <v>39.676200000000001</v>
      </c>
      <c r="F104" s="20">
        <v>41.012300000000003</v>
      </c>
      <c r="G104" s="20">
        <v>313.37047353760448</v>
      </c>
      <c r="H104" s="20">
        <f t="shared" si="4"/>
        <v>34.234187499999997</v>
      </c>
      <c r="I104" s="5"/>
      <c r="J104" s="19">
        <v>304.2176</v>
      </c>
      <c r="K104" s="20">
        <v>31.7059</v>
      </c>
      <c r="L104" s="20">
        <v>39.445700000000002</v>
      </c>
      <c r="M104" s="20">
        <v>40.825200000000002</v>
      </c>
      <c r="N104" s="20">
        <v>487.54059999999998</v>
      </c>
      <c r="O104" s="20">
        <f t="shared" si="5"/>
        <v>33.813287500000001</v>
      </c>
      <c r="P104" s="7"/>
      <c r="Q104" s="13"/>
      <c r="R104" s="14"/>
      <c r="S104" s="14"/>
      <c r="T104" s="27"/>
      <c r="U104" s="28">
        <f t="shared" si="3"/>
        <v>0.55579622577777765</v>
      </c>
    </row>
    <row r="105" spans="2:21" x14ac:dyDescent="0.25">
      <c r="B105" s="6" t="s">
        <v>101</v>
      </c>
      <c r="C105" s="15">
        <v>1455.9482421875</v>
      </c>
      <c r="D105" s="16">
        <v>49.102699999999999</v>
      </c>
      <c r="E105" s="16">
        <v>54.517000000000003</v>
      </c>
      <c r="F105" s="16">
        <v>54.462600000000002</v>
      </c>
      <c r="G105" s="16">
        <v>168.3186833738545</v>
      </c>
      <c r="H105" s="16">
        <f t="shared" si="4"/>
        <v>50.449475</v>
      </c>
      <c r="I105" s="5"/>
      <c r="J105" s="15">
        <v>1513.6419000000001</v>
      </c>
      <c r="K105" s="16">
        <v>47.699599999999997</v>
      </c>
      <c r="L105" s="16">
        <v>53.2682</v>
      </c>
      <c r="M105" s="16">
        <v>53.368200000000002</v>
      </c>
      <c r="N105" s="16">
        <v>358.56569999999999</v>
      </c>
      <c r="O105" s="16">
        <f t="shared" si="5"/>
        <v>49.104249999999993</v>
      </c>
      <c r="P105" s="7"/>
      <c r="Q105" s="8">
        <f>bdrate(C105:C108,D105:D108,J105:J108,K105:K108)</f>
        <v>0.40460818100605467</v>
      </c>
      <c r="R105" s="8">
        <f>bdrate(C105:C108,E105:E108,J105:J108,L105:L108)</f>
        <v>0.27922626538367434</v>
      </c>
      <c r="S105" s="8">
        <f>bdrate(C105:C108,F105:F108,J105:J108,M105:M108)</f>
        <v>0.28077753774452052</v>
      </c>
      <c r="T105" s="25">
        <f>bdrate(C105:C108,H105:H108,J105:J108,O105:O108)</f>
        <v>0.3756425430053707</v>
      </c>
      <c r="U105" s="28">
        <f t="shared" si="3"/>
        <v>1.1302786643333333</v>
      </c>
    </row>
    <row r="106" spans="2:21" x14ac:dyDescent="0.25">
      <c r="B106" s="9"/>
      <c r="C106" s="17">
        <v>970.0771484375</v>
      </c>
      <c r="D106" s="18">
        <v>47.197400000000002</v>
      </c>
      <c r="E106" s="18">
        <v>52.861600000000003</v>
      </c>
      <c r="F106" s="18">
        <v>52.752699999999997</v>
      </c>
      <c r="G106" s="18">
        <v>221.62029056882542</v>
      </c>
      <c r="H106" s="18">
        <f t="shared" si="4"/>
        <v>48.5998375</v>
      </c>
      <c r="I106" s="5"/>
      <c r="J106" s="17">
        <v>1011.6624</v>
      </c>
      <c r="K106" s="18">
        <v>45.953000000000003</v>
      </c>
      <c r="L106" s="18">
        <v>52.060099999999998</v>
      </c>
      <c r="M106" s="18">
        <v>52.008000000000003</v>
      </c>
      <c r="N106" s="18">
        <v>406.8716</v>
      </c>
      <c r="O106" s="18">
        <f t="shared" si="5"/>
        <v>47.473262499999997</v>
      </c>
      <c r="P106" s="7"/>
      <c r="Q106" s="10"/>
      <c r="R106" s="11"/>
      <c r="S106" s="11"/>
      <c r="T106" s="26"/>
      <c r="U106" s="28">
        <f t="shared" si="3"/>
        <v>0.83589507511111105</v>
      </c>
    </row>
    <row r="107" spans="2:21" x14ac:dyDescent="0.25">
      <c r="B107" s="9"/>
      <c r="C107" s="17">
        <v>581.96484375</v>
      </c>
      <c r="D107" s="18">
        <v>45.080100000000002</v>
      </c>
      <c r="E107" s="18">
        <v>50.968600000000002</v>
      </c>
      <c r="F107" s="18">
        <v>50.829900000000002</v>
      </c>
      <c r="G107" s="18">
        <v>273.39003645200489</v>
      </c>
      <c r="H107" s="18">
        <f t="shared" si="4"/>
        <v>46.534887499999996</v>
      </c>
      <c r="I107" s="5"/>
      <c r="J107" s="17">
        <v>606.77650000000006</v>
      </c>
      <c r="K107" s="18">
        <v>43.79</v>
      </c>
      <c r="L107" s="18">
        <v>50.226799999999997</v>
      </c>
      <c r="M107" s="18">
        <v>50.068399999999997</v>
      </c>
      <c r="N107" s="18">
        <v>477.96069999999997</v>
      </c>
      <c r="O107" s="18">
        <f t="shared" si="5"/>
        <v>45.379400000000004</v>
      </c>
      <c r="P107" s="7"/>
      <c r="Q107" s="10"/>
      <c r="R107" s="11"/>
      <c r="S107" s="11"/>
      <c r="T107" s="26"/>
      <c r="U107" s="28">
        <f t="shared" si="3"/>
        <v>0.7482740271111108</v>
      </c>
    </row>
    <row r="108" spans="2:21" ht="16.5" thickBot="1" x14ac:dyDescent="0.3">
      <c r="B108" s="12"/>
      <c r="C108" s="19">
        <v>291.5322265625</v>
      </c>
      <c r="D108" s="20">
        <v>42.0441</v>
      </c>
      <c r="E108" s="20">
        <v>48.212400000000002</v>
      </c>
      <c r="F108" s="20">
        <v>48.078099999999999</v>
      </c>
      <c r="G108" s="20">
        <v>340.00755572346054</v>
      </c>
      <c r="H108" s="20">
        <f t="shared" si="4"/>
        <v>43.569387499999998</v>
      </c>
      <c r="I108" s="5"/>
      <c r="J108" s="19">
        <v>303.2</v>
      </c>
      <c r="K108" s="20">
        <v>40.630800000000001</v>
      </c>
      <c r="L108" s="20">
        <v>47.509500000000003</v>
      </c>
      <c r="M108" s="20">
        <v>46.959000000000003</v>
      </c>
      <c r="N108" s="20">
        <v>604.83870000000002</v>
      </c>
      <c r="O108" s="20">
        <f t="shared" si="5"/>
        <v>42.281662500000003</v>
      </c>
      <c r="P108" s="7"/>
      <c r="Q108" s="13"/>
      <c r="R108" s="14"/>
      <c r="S108" s="14"/>
      <c r="T108" s="27"/>
      <c r="U108" s="28">
        <f t="shared" si="3"/>
        <v>0.77889782099999993</v>
      </c>
    </row>
    <row r="109" spans="2:21" x14ac:dyDescent="0.25">
      <c r="B109" s="6" t="s">
        <v>102</v>
      </c>
      <c r="C109" s="15">
        <v>1472.69921875</v>
      </c>
      <c r="D109" s="16">
        <v>31.409300000000002</v>
      </c>
      <c r="E109" s="16">
        <v>40.091000000000001</v>
      </c>
      <c r="F109" s="16">
        <v>39.360199999999999</v>
      </c>
      <c r="G109" s="16">
        <v>145.58395341313491</v>
      </c>
      <c r="H109" s="16">
        <f t="shared" si="4"/>
        <v>33.488375000000005</v>
      </c>
      <c r="I109" s="5"/>
      <c r="J109" s="15">
        <v>1506.8504</v>
      </c>
      <c r="K109" s="16">
        <v>30.429400000000001</v>
      </c>
      <c r="L109" s="16">
        <v>39.562199999999997</v>
      </c>
      <c r="M109" s="16">
        <v>38.720199999999998</v>
      </c>
      <c r="N109" s="16">
        <v>260.86959999999999</v>
      </c>
      <c r="O109" s="16">
        <f t="shared" si="5"/>
        <v>32.607349999999997</v>
      </c>
      <c r="P109" s="7"/>
      <c r="Q109" s="8">
        <f>bdrate(C109:C112,D109:D112,J109:J112,K109:K112)</f>
        <v>0.17662628669716551</v>
      </c>
      <c r="R109" s="8">
        <f>bdrate(C109:C112,E109:E112,J109:J112,L109:L112)</f>
        <v>0.18532975046862976</v>
      </c>
      <c r="S109" s="8">
        <f>bdrate(C109:C112,F109:F112,J109:J112,M109:M112)</f>
        <v>0.19032632825522011</v>
      </c>
      <c r="T109" s="25">
        <f>bdrate(C109:C112,H109:H112,J109:J112,O109:O112)</f>
        <v>0.17871931533488317</v>
      </c>
      <c r="U109" s="28">
        <f t="shared" si="3"/>
        <v>0.79188429688888884</v>
      </c>
    </row>
    <row r="110" spans="2:21" x14ac:dyDescent="0.25">
      <c r="B110" s="9"/>
      <c r="C110" s="17">
        <v>982.4912109375</v>
      </c>
      <c r="D110" s="18">
        <v>29.501899999999999</v>
      </c>
      <c r="E110" s="18">
        <v>39.070099999999996</v>
      </c>
      <c r="F110" s="18">
        <v>38.253500000000003</v>
      </c>
      <c r="G110" s="18">
        <v>191.57088122605361</v>
      </c>
      <c r="H110" s="18">
        <f t="shared" si="4"/>
        <v>31.791874999999997</v>
      </c>
      <c r="I110" s="5"/>
      <c r="J110" s="17">
        <v>1003.9405</v>
      </c>
      <c r="K110" s="18">
        <v>28.695699999999999</v>
      </c>
      <c r="L110" s="18">
        <v>38.6785</v>
      </c>
      <c r="M110" s="18">
        <v>37.759700000000002</v>
      </c>
      <c r="N110" s="18">
        <v>294.21379999999999</v>
      </c>
      <c r="O110" s="18">
        <f t="shared" si="5"/>
        <v>31.076549999999997</v>
      </c>
      <c r="P110" s="7"/>
      <c r="Q110" s="10"/>
      <c r="R110" s="11"/>
      <c r="S110" s="11"/>
      <c r="T110" s="26"/>
      <c r="U110" s="28">
        <f t="shared" si="3"/>
        <v>0.53579603600000014</v>
      </c>
    </row>
    <row r="111" spans="2:21" x14ac:dyDescent="0.25">
      <c r="B111" s="9"/>
      <c r="C111" s="17">
        <v>589.6591796875</v>
      </c>
      <c r="D111" s="18">
        <v>27.1706</v>
      </c>
      <c r="E111" s="18">
        <v>37.723300000000002</v>
      </c>
      <c r="F111" s="18">
        <v>36.814900000000002</v>
      </c>
      <c r="G111" s="18">
        <v>220.4261572373255</v>
      </c>
      <c r="H111" s="18">
        <f t="shared" si="4"/>
        <v>29.695224999999997</v>
      </c>
      <c r="I111" s="5"/>
      <c r="J111" s="17">
        <v>600.84</v>
      </c>
      <c r="K111" s="18">
        <v>26.602599999999999</v>
      </c>
      <c r="L111" s="18">
        <v>37.268799999999999</v>
      </c>
      <c r="M111" s="18">
        <v>36.388599999999997</v>
      </c>
      <c r="N111" s="18">
        <v>353.4957</v>
      </c>
      <c r="O111" s="18">
        <f t="shared" si="5"/>
        <v>29.159125</v>
      </c>
      <c r="P111" s="7"/>
      <c r="Q111" s="10"/>
      <c r="R111" s="11"/>
      <c r="S111" s="11"/>
      <c r="T111" s="26"/>
      <c r="U111" s="28">
        <f t="shared" si="3"/>
        <v>0.60369215899999995</v>
      </c>
    </row>
    <row r="112" spans="2:21" ht="16.5" thickBot="1" x14ac:dyDescent="0.3">
      <c r="B112" s="12"/>
      <c r="C112" s="19">
        <v>296.564453125</v>
      </c>
      <c r="D112" s="20">
        <v>24.260400000000001</v>
      </c>
      <c r="E112" s="20">
        <v>35.425699999999999</v>
      </c>
      <c r="F112" s="20">
        <v>34.617100000000001</v>
      </c>
      <c r="G112" s="20">
        <v>222.1125370187562</v>
      </c>
      <c r="H112" s="20">
        <f t="shared" si="4"/>
        <v>26.95065</v>
      </c>
      <c r="I112" s="5"/>
      <c r="J112" s="19">
        <v>300.93150000000003</v>
      </c>
      <c r="K112" s="20">
        <v>24.019600000000001</v>
      </c>
      <c r="L112" s="20">
        <v>35.013599999999997</v>
      </c>
      <c r="M112" s="20">
        <v>34.234699999999997</v>
      </c>
      <c r="N112" s="20">
        <v>432.27670000000001</v>
      </c>
      <c r="O112" s="20">
        <f t="shared" si="5"/>
        <v>26.670737500000001</v>
      </c>
      <c r="P112" s="7"/>
      <c r="Q112" s="13"/>
      <c r="R112" s="14"/>
      <c r="S112" s="14"/>
      <c r="T112" s="27"/>
      <c r="U112" s="28">
        <f t="shared" si="3"/>
        <v>0.94620576488888863</v>
      </c>
    </row>
    <row r="113" spans="2:21" x14ac:dyDescent="0.25">
      <c r="B113" s="6" t="s">
        <v>103</v>
      </c>
      <c r="C113" s="15">
        <v>1450.359375</v>
      </c>
      <c r="D113" s="16">
        <v>46.554600000000001</v>
      </c>
      <c r="E113" s="16">
        <v>46.803100000000001</v>
      </c>
      <c r="F113" s="16">
        <v>46.842700000000001</v>
      </c>
      <c r="G113" s="16">
        <v>168.76054753422088</v>
      </c>
      <c r="H113" s="16">
        <f t="shared" si="4"/>
        <v>46.621675000000003</v>
      </c>
      <c r="I113" s="5"/>
      <c r="J113" s="15">
        <v>1303.1837</v>
      </c>
      <c r="K113" s="16">
        <v>44.985700000000001</v>
      </c>
      <c r="L113" s="16">
        <v>45.930700000000002</v>
      </c>
      <c r="M113" s="16">
        <v>45.944499999999998</v>
      </c>
      <c r="N113" s="16">
        <v>339.23860000000002</v>
      </c>
      <c r="O113" s="16">
        <f t="shared" si="5"/>
        <v>45.223675</v>
      </c>
      <c r="P113" s="7"/>
      <c r="Q113" s="8">
        <f>bdrate(C113:C116,D113:D116,J113:J116,K113:K116)</f>
        <v>0.19395007511494233</v>
      </c>
      <c r="R113" s="8">
        <f>bdrate(C113:C116,E113:E116,J113:J116,L113:L116)</f>
        <v>0.10011780060450581</v>
      </c>
      <c r="S113" s="8">
        <f>bdrate(C113:C116,F113:F116,J113:J116,M113:M116)</f>
        <v>9.2001488031856482E-2</v>
      </c>
      <c r="T113" s="25">
        <f>bdrate(C113:C116,H113:H116,J113:J116,O113:O116)</f>
        <v>0.17330706007715957</v>
      </c>
      <c r="U113" s="28">
        <f t="shared" si="3"/>
        <v>1.0101771708888891</v>
      </c>
    </row>
    <row r="114" spans="2:21" x14ac:dyDescent="0.25">
      <c r="B114" s="9"/>
      <c r="C114" s="17">
        <v>984.310546875</v>
      </c>
      <c r="D114" s="18">
        <v>44.634799999999998</v>
      </c>
      <c r="E114" s="18">
        <v>45.098999999999997</v>
      </c>
      <c r="F114" s="18">
        <v>45.123399999999997</v>
      </c>
      <c r="G114" s="18">
        <v>234.13111342351718</v>
      </c>
      <c r="H114" s="18">
        <f t="shared" si="4"/>
        <v>44.753900000000002</v>
      </c>
      <c r="I114" s="5"/>
      <c r="J114" s="17">
        <v>889.14850000000001</v>
      </c>
      <c r="K114" s="18">
        <v>42.860599999999998</v>
      </c>
      <c r="L114" s="18">
        <v>44.140900000000002</v>
      </c>
      <c r="M114" s="18">
        <v>44.175600000000003</v>
      </c>
      <c r="N114" s="18">
        <v>400.35590000000002</v>
      </c>
      <c r="O114" s="18">
        <f t="shared" si="5"/>
        <v>43.185012499999999</v>
      </c>
      <c r="P114" s="7"/>
      <c r="Q114" s="10"/>
      <c r="R114" s="11"/>
      <c r="S114" s="11"/>
      <c r="T114" s="26"/>
      <c r="U114" s="28">
        <f t="shared" si="3"/>
        <v>0.70996453288888894</v>
      </c>
    </row>
    <row r="115" spans="2:21" x14ac:dyDescent="0.25">
      <c r="B115" s="9"/>
      <c r="C115" s="17">
        <v>599.50390625</v>
      </c>
      <c r="D115" s="18">
        <v>41.557699999999997</v>
      </c>
      <c r="E115" s="18">
        <v>42.658700000000003</v>
      </c>
      <c r="F115" s="18">
        <v>42.663800000000002</v>
      </c>
      <c r="G115" s="18">
        <v>281.77833437695682</v>
      </c>
      <c r="H115" s="18">
        <f t="shared" si="4"/>
        <v>41.833587499999993</v>
      </c>
      <c r="I115" s="5"/>
      <c r="J115" s="17">
        <v>547.69389999999999</v>
      </c>
      <c r="K115" s="18">
        <v>39.7913</v>
      </c>
      <c r="L115" s="18">
        <v>41.702199999999998</v>
      </c>
      <c r="M115" s="18">
        <v>41.742400000000004</v>
      </c>
      <c r="N115" s="18">
        <v>471.69810000000001</v>
      </c>
      <c r="O115" s="18">
        <f t="shared" si="5"/>
        <v>40.274050000000003</v>
      </c>
      <c r="P115" s="7"/>
      <c r="Q115" s="10"/>
      <c r="R115" s="11"/>
      <c r="S115" s="11"/>
      <c r="T115" s="26"/>
      <c r="U115" s="28">
        <f t="shared" si="3"/>
        <v>0.67400414599999992</v>
      </c>
    </row>
    <row r="116" spans="2:21" ht="16.5" thickBot="1" x14ac:dyDescent="0.3">
      <c r="B116" s="12"/>
      <c r="C116" s="19">
        <v>301.1416015625</v>
      </c>
      <c r="D116" s="20">
        <v>36.687399999999997</v>
      </c>
      <c r="E116" s="20">
        <v>39.153300000000002</v>
      </c>
      <c r="F116" s="20">
        <v>39.094299999999997</v>
      </c>
      <c r="G116" s="20">
        <v>337.33133433283359</v>
      </c>
      <c r="H116" s="20">
        <f t="shared" si="4"/>
        <v>37.296499999999995</v>
      </c>
      <c r="I116" s="5"/>
      <c r="J116" s="19">
        <v>282.65629999999999</v>
      </c>
      <c r="K116" s="20">
        <v>35.392499999999998</v>
      </c>
      <c r="L116" s="20">
        <v>38.497599999999998</v>
      </c>
      <c r="M116" s="20">
        <v>38.5092</v>
      </c>
      <c r="N116" s="20">
        <v>553.1653</v>
      </c>
      <c r="O116" s="20">
        <f t="shared" si="5"/>
        <v>36.170225000000002</v>
      </c>
      <c r="P116" s="7"/>
      <c r="Q116" s="13"/>
      <c r="R116" s="14"/>
      <c r="S116" s="14"/>
      <c r="T116" s="27"/>
      <c r="U116" s="28">
        <f t="shared" si="3"/>
        <v>0.63982780044444443</v>
      </c>
    </row>
    <row r="117" spans="2:21" x14ac:dyDescent="0.25">
      <c r="B117" s="6" t="s">
        <v>104</v>
      </c>
      <c r="C117" s="15">
        <v>1440.3330078125</v>
      </c>
      <c r="D117" s="16">
        <v>51.007199999999997</v>
      </c>
      <c r="E117" s="16">
        <v>51.074300000000001</v>
      </c>
      <c r="F117" s="16">
        <v>51.265700000000002</v>
      </c>
      <c r="G117" s="16">
        <v>184.27518427518427</v>
      </c>
      <c r="H117" s="16">
        <f t="shared" si="4"/>
        <v>51.047899999999991</v>
      </c>
      <c r="I117" s="5"/>
      <c r="J117" s="15">
        <v>774.80909999999994</v>
      </c>
      <c r="K117" s="16">
        <v>50.433399999999999</v>
      </c>
      <c r="L117" s="16">
        <v>51.375500000000002</v>
      </c>
      <c r="M117" s="16">
        <v>51.674599999999998</v>
      </c>
      <c r="N117" s="16">
        <v>348.97250000000003</v>
      </c>
      <c r="O117" s="16">
        <f t="shared" si="5"/>
        <v>50.706312499999996</v>
      </c>
      <c r="P117" s="7"/>
      <c r="Q117" s="8">
        <f>bdrate(C117:C120,D117:D120,J117:J120,K117:K120)</f>
        <v>-0.32946061802112059</v>
      </c>
      <c r="R117" s="8">
        <f>bdrate(C117:C120,E117:E120,J117:J120,L117:L120)</f>
        <v>-0.38400994598691673</v>
      </c>
      <c r="S117" s="8">
        <f>bdrate(C117:C120,F117:F120,J117:J120,M117:M120)</f>
        <v>-0.38630785597031481</v>
      </c>
      <c r="T117" s="25">
        <f>bdrate(C117:C120,H117:H120,J117:J120,O117:O120)</f>
        <v>-0.34351963936712981</v>
      </c>
      <c r="U117" s="28">
        <f t="shared" si="3"/>
        <v>0.89375743333333346</v>
      </c>
    </row>
    <row r="118" spans="2:21" x14ac:dyDescent="0.25">
      <c r="B118" s="9"/>
      <c r="C118" s="17">
        <v>960.15625</v>
      </c>
      <c r="D118" s="18">
        <v>48.1021</v>
      </c>
      <c r="E118" s="18">
        <v>48.442300000000003</v>
      </c>
      <c r="F118" s="18">
        <v>48.691000000000003</v>
      </c>
      <c r="G118" s="18">
        <v>274.55765710799267</v>
      </c>
      <c r="H118" s="18">
        <f t="shared" si="4"/>
        <v>48.218237500000001</v>
      </c>
      <c r="I118" s="5"/>
      <c r="J118" s="17">
        <v>602.06209999999999</v>
      </c>
      <c r="K118" s="18">
        <v>48.498399999999997</v>
      </c>
      <c r="L118" s="18">
        <v>49.560499999999998</v>
      </c>
      <c r="M118" s="18">
        <v>49.8307</v>
      </c>
      <c r="N118" s="18">
        <v>363.63639999999998</v>
      </c>
      <c r="O118" s="18">
        <f t="shared" si="5"/>
        <v>48.797699999999992</v>
      </c>
      <c r="P118" s="7"/>
      <c r="Q118" s="10"/>
      <c r="R118" s="11"/>
      <c r="S118" s="11"/>
      <c r="T118" s="26"/>
      <c r="U118" s="28">
        <f t="shared" si="3"/>
        <v>0.32444457688888889</v>
      </c>
    </row>
    <row r="119" spans="2:21" x14ac:dyDescent="0.25">
      <c r="B119" s="9"/>
      <c r="C119" s="17">
        <v>578.9990234375</v>
      </c>
      <c r="D119" s="18">
        <v>44.004600000000003</v>
      </c>
      <c r="E119" s="18">
        <v>44.700899999999997</v>
      </c>
      <c r="F119" s="18">
        <v>44.980800000000002</v>
      </c>
      <c r="G119" s="18">
        <v>312.5</v>
      </c>
      <c r="H119" s="18">
        <f t="shared" si="4"/>
        <v>44.213662499999998</v>
      </c>
      <c r="I119" s="5"/>
      <c r="J119" s="17">
        <v>418.86720000000003</v>
      </c>
      <c r="K119" s="18">
        <v>44.449399999999997</v>
      </c>
      <c r="L119" s="18">
        <v>45.697299999999998</v>
      </c>
      <c r="M119" s="18">
        <v>45.996400000000001</v>
      </c>
      <c r="N119" s="18">
        <v>368.70139999999998</v>
      </c>
      <c r="O119" s="18">
        <f t="shared" si="5"/>
        <v>44.798762499999995</v>
      </c>
      <c r="P119" s="7"/>
      <c r="Q119" s="10"/>
      <c r="R119" s="11"/>
      <c r="S119" s="11"/>
      <c r="T119" s="26"/>
      <c r="U119" s="28">
        <f t="shared" si="3"/>
        <v>0.17984447999999992</v>
      </c>
    </row>
    <row r="120" spans="2:21" ht="16.5" thickBot="1" x14ac:dyDescent="0.3">
      <c r="B120" s="12"/>
      <c r="C120" s="19">
        <v>291.5244140625</v>
      </c>
      <c r="D120" s="20">
        <v>38.2256</v>
      </c>
      <c r="E120" s="20">
        <v>39.879899999999999</v>
      </c>
      <c r="F120" s="20">
        <v>40.199399999999997</v>
      </c>
      <c r="G120" s="20">
        <v>363.04961678096004</v>
      </c>
      <c r="H120" s="20">
        <f t="shared" si="4"/>
        <v>38.679112500000002</v>
      </c>
      <c r="I120" s="5"/>
      <c r="J120" s="19">
        <v>286.78800000000001</v>
      </c>
      <c r="K120" s="20">
        <v>39.921500000000002</v>
      </c>
      <c r="L120" s="20">
        <v>41.591999999999999</v>
      </c>
      <c r="M120" s="20">
        <v>41.930199999999999</v>
      </c>
      <c r="N120" s="20">
        <v>609.3433</v>
      </c>
      <c r="O120" s="20">
        <f t="shared" si="5"/>
        <v>40.381399999999999</v>
      </c>
      <c r="P120" s="7"/>
      <c r="Q120" s="13"/>
      <c r="R120" s="14"/>
      <c r="S120" s="14"/>
      <c r="T120" s="27"/>
      <c r="U120" s="28">
        <f t="shared" si="3"/>
        <v>0.67840226744444454</v>
      </c>
    </row>
    <row r="121" spans="2:21" x14ac:dyDescent="0.25">
      <c r="B121" s="6" t="s">
        <v>105</v>
      </c>
      <c r="C121" s="29">
        <v>1476.84765625</v>
      </c>
      <c r="D121" s="30">
        <v>32.707099999999997</v>
      </c>
      <c r="E121" s="30">
        <v>36.402900000000002</v>
      </c>
      <c r="F121" s="30">
        <v>35.685400000000001</v>
      </c>
      <c r="G121" s="16">
        <v>144.39274827530886</v>
      </c>
      <c r="H121" s="16">
        <f t="shared" si="4"/>
        <v>33.541362499999998</v>
      </c>
      <c r="I121" s="5"/>
      <c r="J121" s="29">
        <v>1505.4157</v>
      </c>
      <c r="K121" s="30">
        <v>32.035499999999999</v>
      </c>
      <c r="L121" s="30">
        <v>36.072899999999997</v>
      </c>
      <c r="M121" s="30">
        <v>35.365699999999997</v>
      </c>
      <c r="N121" s="16">
        <v>241.87049999999999</v>
      </c>
      <c r="O121" s="16">
        <f t="shared" si="5"/>
        <v>32.956449999999997</v>
      </c>
      <c r="P121" s="7"/>
      <c r="Q121" s="8">
        <f>bdrate(C121:C124,D121:D124,J121:J124,K121:K124)</f>
        <v>0.10686095261769135</v>
      </c>
      <c r="R121" s="8">
        <f>bdrate(C121:C124,E121:E124,J121:J124,L121:L124)</f>
        <v>0.11362013153004624</v>
      </c>
      <c r="S121" s="8">
        <f>bdrate(C121:C124,F121:F124,J121:J124,M121:M124)</f>
        <v>0.10154217652977149</v>
      </c>
      <c r="T121" s="25">
        <f>bdrate(C121:C124,H121:H124,J121:J124,O121:O124)</f>
        <v>0.10700251637297886</v>
      </c>
      <c r="U121" s="28">
        <f t="shared" si="3"/>
        <v>0.67508758499999966</v>
      </c>
    </row>
    <row r="122" spans="2:21" x14ac:dyDescent="0.25">
      <c r="B122" s="9"/>
      <c r="C122" s="31">
        <v>987.0419921875</v>
      </c>
      <c r="D122" s="32">
        <v>30.686900000000001</v>
      </c>
      <c r="E122" s="32">
        <v>35.232799999999997</v>
      </c>
      <c r="F122" s="32">
        <v>34.450299999999999</v>
      </c>
      <c r="G122" s="18">
        <v>186.14270941054809</v>
      </c>
      <c r="H122" s="18">
        <f t="shared" si="4"/>
        <v>31.725562499999999</v>
      </c>
      <c r="I122" s="5"/>
      <c r="J122" s="31">
        <v>1005.0189</v>
      </c>
      <c r="K122" s="32">
        <v>30.090399999999999</v>
      </c>
      <c r="L122" s="32">
        <v>34.961599999999997</v>
      </c>
      <c r="M122" s="32">
        <v>34.195700000000002</v>
      </c>
      <c r="N122" s="18">
        <v>312.71719999999999</v>
      </c>
      <c r="O122" s="18">
        <f t="shared" si="5"/>
        <v>31.212462500000001</v>
      </c>
      <c r="P122" s="7"/>
      <c r="Q122" s="10"/>
      <c r="R122" s="11"/>
      <c r="S122" s="11"/>
      <c r="T122" s="26"/>
      <c r="U122" s="28">
        <f t="shared" si="3"/>
        <v>0.67998629111111097</v>
      </c>
    </row>
    <row r="123" spans="2:21" x14ac:dyDescent="0.25">
      <c r="B123" s="9"/>
      <c r="C123" s="31">
        <v>592.76953125</v>
      </c>
      <c r="D123" s="32">
        <v>28.279199999999999</v>
      </c>
      <c r="E123" s="32">
        <v>33.8504</v>
      </c>
      <c r="F123" s="32">
        <v>33.0017</v>
      </c>
      <c r="G123" s="18">
        <v>226.58610271903322</v>
      </c>
      <c r="H123" s="18">
        <f t="shared" si="4"/>
        <v>29.5659125</v>
      </c>
      <c r="I123" s="5"/>
      <c r="J123" s="31">
        <v>600.70690000000002</v>
      </c>
      <c r="K123" s="32">
        <v>27.935199999999998</v>
      </c>
      <c r="L123" s="32">
        <v>33.629800000000003</v>
      </c>
      <c r="M123" s="32">
        <v>32.792099999999998</v>
      </c>
      <c r="N123" s="18">
        <v>371.74720000000002</v>
      </c>
      <c r="O123" s="18">
        <f t="shared" si="5"/>
        <v>29.254137499999999</v>
      </c>
      <c r="P123" s="7"/>
      <c r="Q123" s="10"/>
      <c r="R123" s="11"/>
      <c r="S123" s="11"/>
      <c r="T123" s="26"/>
      <c r="U123" s="28">
        <f t="shared" si="3"/>
        <v>0.64064430933333349</v>
      </c>
    </row>
    <row r="124" spans="2:21" ht="16.5" thickBot="1" x14ac:dyDescent="0.3">
      <c r="B124" s="12"/>
      <c r="C124" s="33">
        <v>297.03125</v>
      </c>
      <c r="D124" s="34">
        <v>25.349299999999999</v>
      </c>
      <c r="E124" s="34">
        <v>31.880199999999999</v>
      </c>
      <c r="F124" s="34">
        <v>30.927099999999999</v>
      </c>
      <c r="G124" s="20">
        <v>233.28149300155519</v>
      </c>
      <c r="H124" s="20">
        <f t="shared" si="4"/>
        <v>26.862887499999999</v>
      </c>
      <c r="I124" s="5"/>
      <c r="J124" s="33">
        <v>303.68400000000003</v>
      </c>
      <c r="K124" s="34">
        <v>25.4087</v>
      </c>
      <c r="L124" s="34">
        <v>31.561399999999999</v>
      </c>
      <c r="M124" s="34">
        <v>30.676100000000002</v>
      </c>
      <c r="N124" s="20">
        <v>482.05680000000001</v>
      </c>
      <c r="O124" s="20">
        <f t="shared" si="5"/>
        <v>26.836212499999998</v>
      </c>
      <c r="P124" s="7"/>
      <c r="Q124" s="13"/>
      <c r="R124" s="14"/>
      <c r="S124" s="14"/>
      <c r="T124" s="27"/>
      <c r="U124" s="28">
        <f t="shared" si="3"/>
        <v>1.0664168160000003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8.8854944751987699E-2</v>
      </c>
      <c r="R125" s="21">
        <f>AVERAGE(R9:R124)</f>
        <v>-8.3238884804713448E-3</v>
      </c>
      <c r="S125" s="21">
        <f>AVERAGE(S9:S124)</f>
        <v>-1.443464133818252E-2</v>
      </c>
      <c r="T125" s="21">
        <f>AVERAGE(T9:T124)</f>
        <v>6.9311561824669299E-2</v>
      </c>
      <c r="U125" s="21">
        <f>AVERAGE(U9:U124)</f>
        <v>0.83934729145134124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135" priority="69" operator="greaterThan">
      <formula>0.03</formula>
    </cfRule>
    <cfRule type="cellIs" dxfId="134" priority="70" stopIfTrue="1" operator="lessThan">
      <formula>-0.03</formula>
    </cfRule>
  </conditionalFormatting>
  <conditionalFormatting sqref="Q33:T36">
    <cfRule type="cellIs" dxfId="133" priority="67" operator="greaterThan">
      <formula>0.03</formula>
    </cfRule>
    <cfRule type="cellIs" dxfId="132" priority="68" stopIfTrue="1" operator="lessThan">
      <formula>-0.03</formula>
    </cfRule>
  </conditionalFormatting>
  <conditionalFormatting sqref="Q45:T48 Q61:T64">
    <cfRule type="cellIs" dxfId="131" priority="65" operator="greaterThan">
      <formula>0.03</formula>
    </cfRule>
    <cfRule type="cellIs" dxfId="130" priority="66" stopIfTrue="1" operator="lessThan">
      <formula>-0.03</formula>
    </cfRule>
  </conditionalFormatting>
  <conditionalFormatting sqref="Q49:T60">
    <cfRule type="cellIs" dxfId="129" priority="63" operator="greaterThan">
      <formula>0.03</formula>
    </cfRule>
    <cfRule type="cellIs" dxfId="128" priority="64" stopIfTrue="1" operator="lessThan">
      <formula>-0.03</formula>
    </cfRule>
  </conditionalFormatting>
  <conditionalFormatting sqref="Q69:T76">
    <cfRule type="cellIs" dxfId="127" priority="61" operator="greaterThan">
      <formula>0.03</formula>
    </cfRule>
    <cfRule type="cellIs" dxfId="126" priority="62" stopIfTrue="1" operator="lessThan">
      <formula>-0.03</formula>
    </cfRule>
  </conditionalFormatting>
  <conditionalFormatting sqref="Q65:T68">
    <cfRule type="cellIs" dxfId="125" priority="59" operator="greaterThan">
      <formula>0.03</formula>
    </cfRule>
    <cfRule type="cellIs" dxfId="124" priority="60" stopIfTrue="1" operator="lessThan">
      <formula>-0.03</formula>
    </cfRule>
  </conditionalFormatting>
  <conditionalFormatting sqref="Q77:T80">
    <cfRule type="cellIs" dxfId="123" priority="57" operator="greaterThan">
      <formula>0.03</formula>
    </cfRule>
    <cfRule type="cellIs" dxfId="122" priority="58" stopIfTrue="1" operator="lessThan">
      <formula>-0.03</formula>
    </cfRule>
  </conditionalFormatting>
  <conditionalFormatting sqref="Q21:T28">
    <cfRule type="cellIs" dxfId="121" priority="55" operator="greaterThan">
      <formula>0.03</formula>
    </cfRule>
    <cfRule type="cellIs" dxfId="120" priority="56" stopIfTrue="1" operator="lessThan">
      <formula>-0.03</formula>
    </cfRule>
  </conditionalFormatting>
  <conditionalFormatting sqref="Q117:T117">
    <cfRule type="cellIs" dxfId="119" priority="3" operator="greaterThan">
      <formula>0.03</formula>
    </cfRule>
    <cfRule type="cellIs" dxfId="118" priority="4" stopIfTrue="1" operator="lessThan">
      <formula>-0.03</formula>
    </cfRule>
  </conditionalFormatting>
  <conditionalFormatting sqref="Q93:T96 Q101:T108 Q81:T84">
    <cfRule type="cellIs" dxfId="117" priority="17" operator="greaterThan">
      <formula>0.03</formula>
    </cfRule>
    <cfRule type="cellIs" dxfId="116" priority="18" stopIfTrue="1" operator="lessThan">
      <formula>-0.03</formula>
    </cfRule>
  </conditionalFormatting>
  <conditionalFormatting sqref="Q97:T100">
    <cfRule type="cellIs" dxfId="115" priority="15" operator="greaterThan">
      <formula>0.03</formula>
    </cfRule>
    <cfRule type="cellIs" dxfId="114" priority="16" stopIfTrue="1" operator="lessThan">
      <formula>-0.03</formula>
    </cfRule>
  </conditionalFormatting>
  <conditionalFormatting sqref="Q110:T112 Q122:T124">
    <cfRule type="cellIs" dxfId="113" priority="13" operator="greaterThan">
      <formula>0.03</formula>
    </cfRule>
    <cfRule type="cellIs" dxfId="112" priority="14" stopIfTrue="1" operator="lessThan">
      <formula>-0.03</formula>
    </cfRule>
  </conditionalFormatting>
  <conditionalFormatting sqref="Q114:T116 Q118:T120">
    <cfRule type="cellIs" dxfId="111" priority="11" operator="greaterThan">
      <formula>0.03</formula>
    </cfRule>
    <cfRule type="cellIs" dxfId="110" priority="12" stopIfTrue="1" operator="lessThan">
      <formula>-0.03</formula>
    </cfRule>
  </conditionalFormatting>
  <conditionalFormatting sqref="Q85:T92">
    <cfRule type="cellIs" dxfId="109" priority="9" operator="greaterThan">
      <formula>0.03</formula>
    </cfRule>
    <cfRule type="cellIs" dxfId="108" priority="10" stopIfTrue="1" operator="lessThan">
      <formula>-0.03</formula>
    </cfRule>
  </conditionalFormatting>
  <conditionalFormatting sqref="Q109:T109">
    <cfRule type="cellIs" dxfId="107" priority="7" operator="greaterThan">
      <formula>0.03</formula>
    </cfRule>
    <cfRule type="cellIs" dxfId="106" priority="8" stopIfTrue="1" operator="lessThan">
      <formula>-0.03</formula>
    </cfRule>
  </conditionalFormatting>
  <conditionalFormatting sqref="Q113:T113">
    <cfRule type="cellIs" dxfId="105" priority="5" operator="greaterThan">
      <formula>0.03</formula>
    </cfRule>
    <cfRule type="cellIs" dxfId="104" priority="6" stopIfTrue="1" operator="lessThan">
      <formula>-0.03</formula>
    </cfRule>
  </conditionalFormatting>
  <conditionalFormatting sqref="Q121:T121">
    <cfRule type="cellIs" dxfId="103" priority="1" operator="greaterThan">
      <formula>0.03</formula>
    </cfRule>
    <cfRule type="cellIs" dxfId="102" priority="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25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2" x14ac:dyDescent="0.25">
      <c r="A1" t="s">
        <v>125</v>
      </c>
      <c r="V1" t="s">
        <v>126</v>
      </c>
    </row>
    <row r="2" spans="1:22" x14ac:dyDescent="0.25">
      <c r="A2" t="s">
        <v>128</v>
      </c>
    </row>
    <row r="3" spans="1:22" x14ac:dyDescent="0.25">
      <c r="A3" t="s">
        <v>81</v>
      </c>
    </row>
    <row r="5" spans="1:22" s="35" customFormat="1" ht="15.75" customHeight="1" x14ac:dyDescent="0.25">
      <c r="B5" s="61" t="s">
        <v>29</v>
      </c>
      <c r="C5" s="63" t="s">
        <v>137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2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2" ht="16.5" customHeight="1" thickBot="1" x14ac:dyDescent="0.3">
      <c r="C7" s="69" t="s">
        <v>140</v>
      </c>
      <c r="D7" s="70"/>
      <c r="E7" s="70"/>
      <c r="F7" s="70"/>
      <c r="G7" s="70"/>
      <c r="H7" s="70"/>
      <c r="I7" s="5"/>
      <c r="J7" s="69" t="s">
        <v>185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2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2" x14ac:dyDescent="0.25">
      <c r="A9" s="6" t="s">
        <v>35</v>
      </c>
      <c r="B9" s="6" t="s">
        <v>46</v>
      </c>
      <c r="C9" s="15">
        <v>3734.1650390625</v>
      </c>
      <c r="D9" s="16">
        <v>37.544400000000003</v>
      </c>
      <c r="E9" s="16">
        <v>39.116999999999997</v>
      </c>
      <c r="F9" s="16">
        <v>41.506700000000002</v>
      </c>
      <c r="G9" s="16">
        <v>41.174855888004394</v>
      </c>
      <c r="H9" s="16">
        <f t="shared" ref="H9:H80" si="0">(6*D9+E9+F9)/8</f>
        <v>38.236262500000009</v>
      </c>
      <c r="I9" s="5"/>
      <c r="J9" s="15">
        <v>4028.056</v>
      </c>
      <c r="K9" s="16">
        <v>37.857500000000002</v>
      </c>
      <c r="L9" s="16">
        <v>39.493299999999998</v>
      </c>
      <c r="M9" s="16">
        <v>41.972799999999999</v>
      </c>
      <c r="N9" s="16">
        <v>50.985700000000001</v>
      </c>
      <c r="O9" s="16">
        <f t="shared" ref="O9:O80" si="1">(6*K9+L9+M9)/8</f>
        <v>38.576387500000003</v>
      </c>
      <c r="P9" s="7"/>
      <c r="Q9" s="8">
        <f>bdrate(C9:C12,D9:D12,J9:J12,K9:K12)</f>
        <v>-7.387405990346152E-2</v>
      </c>
      <c r="R9" s="8">
        <f>bdrate(C9:C12,E9:E12,J9:J12,L9:L12)</f>
        <v>-0.1411192080180641</v>
      </c>
      <c r="S9" s="8">
        <f>bdrate(C9:C12,F9:F12,J9:J12,M9:M12)</f>
        <v>-0.12138404711615214</v>
      </c>
      <c r="T9" s="25">
        <f>bdrate(C9:C12,H9:H12,J9:J12,O9:O12)</f>
        <v>-8.1943249483998781E-2</v>
      </c>
      <c r="U9" s="28">
        <f t="shared" ref="U9:U72" si="2">(N9-G9)/G9</f>
        <v>0.23827270066666661</v>
      </c>
    </row>
    <row r="10" spans="1:22" x14ac:dyDescent="0.25">
      <c r="A10" s="9" t="s">
        <v>36</v>
      </c>
      <c r="B10" s="9"/>
      <c r="C10" s="17">
        <v>2769.625</v>
      </c>
      <c r="D10" s="18">
        <v>36.486499999999999</v>
      </c>
      <c r="E10" s="18">
        <v>38.604700000000001</v>
      </c>
      <c r="F10" s="18">
        <v>40.958100000000002</v>
      </c>
      <c r="G10" s="18">
        <v>62.396006655574048</v>
      </c>
      <c r="H10" s="18">
        <f t="shared" si="0"/>
        <v>37.310224999999996</v>
      </c>
      <c r="I10" s="5"/>
      <c r="J10" s="17">
        <v>2944.8352</v>
      </c>
      <c r="K10" s="18">
        <v>36.835900000000002</v>
      </c>
      <c r="L10" s="18">
        <v>38.909100000000002</v>
      </c>
      <c r="M10" s="18">
        <v>41.2624</v>
      </c>
      <c r="N10" s="18">
        <v>62.396000000000001</v>
      </c>
      <c r="O10" s="18">
        <f t="shared" si="1"/>
        <v>37.648362500000005</v>
      </c>
      <c r="P10" s="7"/>
      <c r="Q10" s="10"/>
      <c r="R10" s="11"/>
      <c r="S10" s="11"/>
      <c r="T10" s="26"/>
      <c r="U10" s="28">
        <f t="shared" si="2"/>
        <v>-1.0666666673368278E-7</v>
      </c>
    </row>
    <row r="11" spans="1:22" x14ac:dyDescent="0.25">
      <c r="B11" s="9"/>
      <c r="C11" s="17">
        <v>1872.43359375</v>
      </c>
      <c r="D11" s="18">
        <v>34.852200000000003</v>
      </c>
      <c r="E11" s="18">
        <v>37.8748</v>
      </c>
      <c r="F11" s="18">
        <v>40.170699999999997</v>
      </c>
      <c r="G11" s="18">
        <v>69.99533364442371</v>
      </c>
      <c r="H11" s="18">
        <f t="shared" si="0"/>
        <v>35.894837500000001</v>
      </c>
      <c r="I11" s="5"/>
      <c r="J11" s="17">
        <v>1927.1088</v>
      </c>
      <c r="K11" s="18">
        <v>35.299799999999998</v>
      </c>
      <c r="L11" s="18">
        <v>38.236800000000002</v>
      </c>
      <c r="M11" s="18">
        <v>40.531100000000002</v>
      </c>
      <c r="N11" s="18">
        <v>72.992699999999999</v>
      </c>
      <c r="O11" s="18">
        <f t="shared" si="1"/>
        <v>36.320837499999996</v>
      </c>
      <c r="P11" s="7"/>
      <c r="Q11" s="10"/>
      <c r="R11" s="11"/>
      <c r="S11" s="11"/>
      <c r="T11" s="26"/>
      <c r="U11" s="28">
        <f t="shared" si="2"/>
        <v>4.282237399999992E-2</v>
      </c>
    </row>
    <row r="12" spans="1:22" ht="16.5" thickBot="1" x14ac:dyDescent="0.3">
      <c r="B12" s="12"/>
      <c r="C12" s="19">
        <v>922.94140625</v>
      </c>
      <c r="D12" s="20">
        <v>31.920999999999999</v>
      </c>
      <c r="E12" s="20">
        <v>36.762999999999998</v>
      </c>
      <c r="F12" s="20">
        <v>39.026699999999998</v>
      </c>
      <c r="G12" s="20">
        <v>79.281183932346721</v>
      </c>
      <c r="H12" s="20">
        <f t="shared" si="0"/>
        <v>33.414462499999999</v>
      </c>
      <c r="I12" s="5"/>
      <c r="J12" s="19">
        <v>909.61919999999998</v>
      </c>
      <c r="K12" s="20">
        <v>32.302900000000001</v>
      </c>
      <c r="L12" s="20">
        <v>36.904899999999998</v>
      </c>
      <c r="M12" s="20">
        <v>39.087899999999998</v>
      </c>
      <c r="N12" s="20">
        <v>95.663300000000007</v>
      </c>
      <c r="O12" s="20">
        <f t="shared" si="1"/>
        <v>33.726275000000001</v>
      </c>
      <c r="P12" s="7"/>
      <c r="Q12" s="13"/>
      <c r="R12" s="14"/>
      <c r="S12" s="14"/>
      <c r="T12" s="27"/>
      <c r="U12" s="28">
        <f t="shared" si="2"/>
        <v>0.20663309066666677</v>
      </c>
    </row>
    <row r="13" spans="1:22" x14ac:dyDescent="0.25">
      <c r="B13" s="6" t="s">
        <v>47</v>
      </c>
      <c r="C13" s="15">
        <v>3753.380859375</v>
      </c>
      <c r="D13" s="16">
        <v>28.6983</v>
      </c>
      <c r="E13" s="16">
        <v>39.041699999999999</v>
      </c>
      <c r="F13" s="16">
        <v>40.024099999999997</v>
      </c>
      <c r="G13" s="16">
        <v>40.225261464199519</v>
      </c>
      <c r="H13" s="16">
        <f t="shared" si="0"/>
        <v>31.406949999999998</v>
      </c>
      <c r="I13" s="5"/>
      <c r="J13" s="15">
        <v>4050.3712</v>
      </c>
      <c r="K13" s="16">
        <v>29.409500000000001</v>
      </c>
      <c r="L13" s="16">
        <v>39.320099999999996</v>
      </c>
      <c r="M13" s="16">
        <v>40.262599999999999</v>
      </c>
      <c r="N13" s="16">
        <v>43.7318</v>
      </c>
      <c r="O13" s="16">
        <f t="shared" si="1"/>
        <v>32.004962499999998</v>
      </c>
      <c r="P13" s="7"/>
      <c r="Q13" s="8">
        <f>bdrate(C13:C16,D13:D16,J13:J16,K13:K16)</f>
        <v>-3.1009471218818585E-2</v>
      </c>
      <c r="R13" s="8">
        <f>bdrate(C13:C16,E13:E16,J13:J16,L13:L16)</f>
        <v>-4.2420368887052917E-2</v>
      </c>
      <c r="S13" s="8">
        <f>bdrate(C13:C16,F13:F16,J13:J16,M13:M16)</f>
        <v>-5.8733054530822115E-2</v>
      </c>
      <c r="T13" s="25">
        <f>bdrate(C13:C16,H13:H16,J13:J16,O13:O16)</f>
        <v>-3.2915736737858192E-2</v>
      </c>
      <c r="U13" s="28">
        <f t="shared" si="2"/>
        <v>8.7172547999999933E-2</v>
      </c>
    </row>
    <row r="14" spans="1:22" x14ac:dyDescent="0.25">
      <c r="B14" s="9"/>
      <c r="C14" s="17">
        <v>2795.591796875</v>
      </c>
      <c r="D14" s="18">
        <v>27.468900000000001</v>
      </c>
      <c r="E14" s="18">
        <v>38.607399999999998</v>
      </c>
      <c r="F14" s="18">
        <v>39.610799999999998</v>
      </c>
      <c r="G14" s="18">
        <v>55.289347585698486</v>
      </c>
      <c r="H14" s="18">
        <f t="shared" si="0"/>
        <v>30.378949999999996</v>
      </c>
      <c r="I14" s="5"/>
      <c r="J14" s="17">
        <v>3027.2512000000002</v>
      </c>
      <c r="K14" s="18">
        <v>28.0823</v>
      </c>
      <c r="L14" s="18">
        <v>38.828899999999997</v>
      </c>
      <c r="M14" s="18">
        <v>39.821100000000001</v>
      </c>
      <c r="N14" s="18">
        <v>50.454099999999997</v>
      </c>
      <c r="O14" s="18">
        <f t="shared" si="1"/>
        <v>30.892975</v>
      </c>
      <c r="P14" s="7"/>
      <c r="Q14" s="10"/>
      <c r="R14" s="11"/>
      <c r="S14" s="11"/>
      <c r="T14" s="26"/>
      <c r="U14" s="28">
        <f t="shared" si="2"/>
        <v>-8.7453511333333345E-2</v>
      </c>
    </row>
    <row r="15" spans="1:22" x14ac:dyDescent="0.25">
      <c r="B15" s="9"/>
      <c r="C15" s="17">
        <v>1848.671875</v>
      </c>
      <c r="D15" s="18">
        <v>25.880199999999999</v>
      </c>
      <c r="E15" s="18">
        <v>37.8202</v>
      </c>
      <c r="F15" s="18">
        <v>38.917299999999997</v>
      </c>
      <c r="G15" s="18">
        <v>58.229813664596271</v>
      </c>
      <c r="H15" s="18">
        <f t="shared" si="0"/>
        <v>29.002337499999996</v>
      </c>
      <c r="I15" s="5"/>
      <c r="J15" s="17">
        <v>2026.0208</v>
      </c>
      <c r="K15" s="18">
        <v>26.3202</v>
      </c>
      <c r="L15" s="18">
        <v>38.128599999999999</v>
      </c>
      <c r="M15" s="18">
        <v>39.235999999999997</v>
      </c>
      <c r="N15" s="18">
        <v>61.703000000000003</v>
      </c>
      <c r="O15" s="18">
        <f t="shared" si="1"/>
        <v>29.410724999999999</v>
      </c>
      <c r="P15" s="7"/>
      <c r="Q15" s="10"/>
      <c r="R15" s="11"/>
      <c r="S15" s="11"/>
      <c r="T15" s="26"/>
      <c r="U15" s="28">
        <f t="shared" si="2"/>
        <v>5.9646186666666753E-2</v>
      </c>
    </row>
    <row r="16" spans="1:22" ht="16.5" thickBot="1" x14ac:dyDescent="0.3">
      <c r="B16" s="12"/>
      <c r="C16" s="19">
        <v>1051.65625</v>
      </c>
      <c r="D16" s="20">
        <v>23.982099999999999</v>
      </c>
      <c r="E16" s="20">
        <v>36.368400000000001</v>
      </c>
      <c r="F16" s="20">
        <v>37.640799999999999</v>
      </c>
      <c r="G16" s="20">
        <v>56.947608200455583</v>
      </c>
      <c r="H16" s="20">
        <f t="shared" si="0"/>
        <v>27.237724999999998</v>
      </c>
      <c r="I16" s="5"/>
      <c r="J16" s="19">
        <v>1139.6512</v>
      </c>
      <c r="K16" s="20">
        <v>24.175000000000001</v>
      </c>
      <c r="L16" s="20">
        <v>36.590499999999999</v>
      </c>
      <c r="M16" s="20">
        <v>37.833300000000001</v>
      </c>
      <c r="N16" s="20">
        <v>76.923100000000005</v>
      </c>
      <c r="O16" s="20">
        <f t="shared" si="1"/>
        <v>27.434225000000001</v>
      </c>
      <c r="P16" s="7"/>
      <c r="Q16" s="13"/>
      <c r="R16" s="14"/>
      <c r="S16" s="14"/>
      <c r="T16" s="27"/>
      <c r="U16" s="28">
        <f t="shared" si="2"/>
        <v>0.35076963600000005</v>
      </c>
    </row>
    <row r="17" spans="1:21" x14ac:dyDescent="0.25">
      <c r="A17" s="6" t="s">
        <v>37</v>
      </c>
      <c r="B17" s="6" t="s">
        <v>48</v>
      </c>
      <c r="C17" s="15">
        <v>2226.564453125</v>
      </c>
      <c r="D17" s="16">
        <v>39.180199999999999</v>
      </c>
      <c r="E17" s="16">
        <v>41.775199999999998</v>
      </c>
      <c r="F17" s="16">
        <v>43.1252</v>
      </c>
      <c r="G17" s="16">
        <v>70.880094506792673</v>
      </c>
      <c r="H17" s="16">
        <f t="shared" si="0"/>
        <v>39.997700000000002</v>
      </c>
      <c r="I17" s="5"/>
      <c r="J17" s="15">
        <v>2376.0328</v>
      </c>
      <c r="K17" s="16">
        <v>39.057299999999998</v>
      </c>
      <c r="L17" s="16">
        <v>41.936599999999999</v>
      </c>
      <c r="M17" s="16">
        <v>43.2774</v>
      </c>
      <c r="N17" s="16">
        <v>103.2702</v>
      </c>
      <c r="O17" s="16">
        <f t="shared" si="1"/>
        <v>39.944724999999998</v>
      </c>
      <c r="P17" s="7"/>
      <c r="Q17" s="8">
        <f>bdrate(C17:C20,D17:D20,J17:J20,K17:K20)</f>
        <v>1.6997816397677834E-2</v>
      </c>
      <c r="R17" s="8">
        <f>bdrate(C17:C20,E17:E20,J17:J20,L17:L20)</f>
        <v>-2.8552757168227805E-2</v>
      </c>
      <c r="S17" s="8">
        <f>bdrate(C17:C20,F17:F20,J17:J20,M17:M20)</f>
        <v>-1.1442515955704891E-2</v>
      </c>
      <c r="T17" s="25">
        <f>bdrate(C17:C20,H17:H20,J17:J20,O17:O20)</f>
        <v>1.2437981068368131E-2</v>
      </c>
      <c r="U17" s="28">
        <f t="shared" si="2"/>
        <v>0.45697040500000008</v>
      </c>
    </row>
    <row r="18" spans="1:21" x14ac:dyDescent="0.25">
      <c r="A18" s="9" t="s">
        <v>38</v>
      </c>
      <c r="B18" s="9"/>
      <c r="C18" s="17">
        <v>1484.376953125</v>
      </c>
      <c r="D18" s="18">
        <v>37.775399999999998</v>
      </c>
      <c r="E18" s="18">
        <v>41.140700000000002</v>
      </c>
      <c r="F18" s="18">
        <v>42.39</v>
      </c>
      <c r="G18" s="18">
        <v>97.442143727161991</v>
      </c>
      <c r="H18" s="18">
        <f t="shared" si="0"/>
        <v>38.772887499999996</v>
      </c>
      <c r="I18" s="5"/>
      <c r="J18" s="17">
        <v>1571.6192000000001</v>
      </c>
      <c r="K18" s="18">
        <v>37.81</v>
      </c>
      <c r="L18" s="18">
        <v>41.266300000000001</v>
      </c>
      <c r="M18" s="18">
        <v>42.5197</v>
      </c>
      <c r="N18" s="18">
        <v>118.11020000000001</v>
      </c>
      <c r="O18" s="18">
        <f t="shared" si="1"/>
        <v>38.830750000000002</v>
      </c>
      <c r="P18" s="7"/>
      <c r="Q18" s="10"/>
      <c r="R18" s="11"/>
      <c r="S18" s="11"/>
      <c r="T18" s="26"/>
      <c r="U18" s="28">
        <f t="shared" si="2"/>
        <v>0.21210592750000015</v>
      </c>
    </row>
    <row r="19" spans="1:21" x14ac:dyDescent="0.25">
      <c r="B19" s="9"/>
      <c r="C19" s="17">
        <v>927.3447265625</v>
      </c>
      <c r="D19" s="18">
        <v>36.075899999999997</v>
      </c>
      <c r="E19" s="18">
        <v>40.323099999999997</v>
      </c>
      <c r="F19" s="18">
        <v>41.5351</v>
      </c>
      <c r="G19" s="18">
        <v>115.21843494959192</v>
      </c>
      <c r="H19" s="18">
        <f t="shared" si="0"/>
        <v>37.289200000000001</v>
      </c>
      <c r="I19" s="5"/>
      <c r="J19" s="17">
        <v>959.24159999999995</v>
      </c>
      <c r="K19" s="18">
        <v>36.205599999999997</v>
      </c>
      <c r="L19" s="18">
        <v>40.413200000000003</v>
      </c>
      <c r="M19" s="18">
        <v>41.585700000000003</v>
      </c>
      <c r="N19" s="18">
        <v>137.3784</v>
      </c>
      <c r="O19" s="18">
        <f t="shared" si="1"/>
        <v>37.404062499999995</v>
      </c>
      <c r="P19" s="7"/>
      <c r="Q19" s="10"/>
      <c r="R19" s="11"/>
      <c r="S19" s="11"/>
      <c r="T19" s="26"/>
      <c r="U19" s="28">
        <f t="shared" si="2"/>
        <v>0.1923300300000001</v>
      </c>
    </row>
    <row r="20" spans="1:21" ht="16.5" thickBot="1" x14ac:dyDescent="0.3">
      <c r="B20" s="12"/>
      <c r="C20" s="19">
        <v>556.25</v>
      </c>
      <c r="D20" s="20">
        <v>34.1935</v>
      </c>
      <c r="E20" s="20">
        <v>39.565899999999999</v>
      </c>
      <c r="F20" s="20">
        <v>40.850700000000003</v>
      </c>
      <c r="G20" s="20">
        <v>138.72832369942196</v>
      </c>
      <c r="H20" s="20">
        <f t="shared" si="0"/>
        <v>35.697200000000002</v>
      </c>
      <c r="I20" s="5"/>
      <c r="J20" s="19">
        <v>564.33759999999995</v>
      </c>
      <c r="K20" s="20">
        <v>34.442399999999999</v>
      </c>
      <c r="L20" s="20">
        <v>39.702500000000001</v>
      </c>
      <c r="M20" s="20">
        <v>40.932499999999997</v>
      </c>
      <c r="N20" s="20">
        <v>161.7251</v>
      </c>
      <c r="O20" s="20">
        <f t="shared" si="1"/>
        <v>35.911175</v>
      </c>
      <c r="P20" s="7"/>
      <c r="Q20" s="13"/>
      <c r="R20" s="14"/>
      <c r="S20" s="14"/>
      <c r="T20" s="27"/>
      <c r="U20" s="28">
        <f t="shared" si="2"/>
        <v>0.16576842916666668</v>
      </c>
    </row>
    <row r="21" spans="1:21" x14ac:dyDescent="0.25">
      <c r="B21" s="6" t="s">
        <v>49</v>
      </c>
      <c r="C21" s="15">
        <v>2263.255859375</v>
      </c>
      <c r="D21" s="16">
        <v>35.997399999999999</v>
      </c>
      <c r="E21" s="16">
        <v>39.601500000000001</v>
      </c>
      <c r="F21" s="16">
        <v>40.733199999999997</v>
      </c>
      <c r="G21" s="16">
        <v>76.579451180599875</v>
      </c>
      <c r="H21" s="16">
        <f t="shared" si="0"/>
        <v>37.039887499999999</v>
      </c>
      <c r="I21" s="5"/>
      <c r="J21" s="15">
        <v>2457.9288000000001</v>
      </c>
      <c r="K21" s="16">
        <v>35.984999999999999</v>
      </c>
      <c r="L21" s="16">
        <v>39.9482</v>
      </c>
      <c r="M21" s="16">
        <v>41.163699999999999</v>
      </c>
      <c r="N21" s="16">
        <v>92.592600000000004</v>
      </c>
      <c r="O21" s="16">
        <f t="shared" si="1"/>
        <v>37.127737500000002</v>
      </c>
      <c r="P21" s="7"/>
      <c r="Q21" s="8">
        <f>bdrate(C21:C24,D21:D24,J21:J24,K21:K24)</f>
        <v>5.4926328977762839E-2</v>
      </c>
      <c r="R21" s="8">
        <f>bdrate(C21:C24,E21:E24,J21:J24,L21:L24)</f>
        <v>-8.6390250230080956E-2</v>
      </c>
      <c r="S21" s="8">
        <f>bdrate(C21:C24,F21:F24,J21:J24,M21:M24)</f>
        <v>-0.10408775816440885</v>
      </c>
      <c r="T21" s="25">
        <f>bdrate(C21:C24,H21:H24,J21:J24,O21:O24)</f>
        <v>3.0679406349137794E-2</v>
      </c>
      <c r="U21" s="28">
        <f t="shared" si="2"/>
        <v>0.20910503500000002</v>
      </c>
    </row>
    <row r="22" spans="1:21" x14ac:dyDescent="0.25">
      <c r="B22" s="9"/>
      <c r="C22" s="17">
        <v>1514.9853515625</v>
      </c>
      <c r="D22" s="18">
        <v>34.646500000000003</v>
      </c>
      <c r="E22" s="18">
        <v>38.808300000000003</v>
      </c>
      <c r="F22" s="18">
        <v>40.0077</v>
      </c>
      <c r="G22" s="18">
        <v>105.77346848832084</v>
      </c>
      <c r="H22" s="18">
        <f t="shared" si="0"/>
        <v>35.836875000000006</v>
      </c>
      <c r="I22" s="5"/>
      <c r="J22" s="17">
        <v>1659.9728</v>
      </c>
      <c r="K22" s="18">
        <v>34.704500000000003</v>
      </c>
      <c r="L22" s="18">
        <v>39.168599999999998</v>
      </c>
      <c r="M22" s="18">
        <v>40.402799999999999</v>
      </c>
      <c r="N22" s="18">
        <v>110.54810000000001</v>
      </c>
      <c r="O22" s="18">
        <f t="shared" si="1"/>
        <v>35.974800000000002</v>
      </c>
      <c r="P22" s="7"/>
      <c r="Q22" s="10"/>
      <c r="R22" s="11"/>
      <c r="S22" s="11"/>
      <c r="T22" s="26"/>
      <c r="U22" s="28">
        <f t="shared" si="2"/>
        <v>4.51401620833334E-2</v>
      </c>
    </row>
    <row r="23" spans="1:21" x14ac:dyDescent="0.25">
      <c r="B23" s="9"/>
      <c r="C23" s="17">
        <v>944.41015625</v>
      </c>
      <c r="D23" s="18">
        <v>33.099699999999999</v>
      </c>
      <c r="E23" s="18">
        <v>37.911499999999997</v>
      </c>
      <c r="F23" s="18">
        <v>39.2821</v>
      </c>
      <c r="G23" s="18">
        <v>121.39605462822458</v>
      </c>
      <c r="H23" s="18">
        <f t="shared" si="0"/>
        <v>34.473974999999996</v>
      </c>
      <c r="I23" s="5"/>
      <c r="J23" s="17">
        <v>1010.6208</v>
      </c>
      <c r="K23" s="18">
        <v>33.185000000000002</v>
      </c>
      <c r="L23" s="18">
        <v>38.213999999999999</v>
      </c>
      <c r="M23" s="18">
        <v>39.534700000000001</v>
      </c>
      <c r="N23" s="18">
        <v>132.15860000000001</v>
      </c>
      <c r="O23" s="18">
        <f t="shared" si="1"/>
        <v>34.6073375</v>
      </c>
      <c r="P23" s="7"/>
      <c r="Q23" s="10"/>
      <c r="R23" s="11"/>
      <c r="S23" s="11"/>
      <c r="T23" s="26"/>
      <c r="U23" s="28">
        <f t="shared" si="2"/>
        <v>8.8656467500000113E-2</v>
      </c>
    </row>
    <row r="24" spans="1:21" ht="16.5" thickBot="1" x14ac:dyDescent="0.3">
      <c r="B24" s="12"/>
      <c r="C24" s="19">
        <v>568.34375</v>
      </c>
      <c r="D24" s="20">
        <v>31.4621</v>
      </c>
      <c r="E24" s="20">
        <v>37.134799999999998</v>
      </c>
      <c r="F24" s="20">
        <v>38.713500000000003</v>
      </c>
      <c r="G24" s="20">
        <v>138.32853025936598</v>
      </c>
      <c r="H24" s="20">
        <f t="shared" si="0"/>
        <v>33.077612500000001</v>
      </c>
      <c r="I24" s="5"/>
      <c r="J24" s="19">
        <v>587.34079999999994</v>
      </c>
      <c r="K24" s="20">
        <v>31.5154</v>
      </c>
      <c r="L24" s="20">
        <v>37.252000000000002</v>
      </c>
      <c r="M24" s="20">
        <v>38.777099999999997</v>
      </c>
      <c r="N24" s="20">
        <v>157.06809999999999</v>
      </c>
      <c r="O24" s="20">
        <f t="shared" si="1"/>
        <v>33.140187500000003</v>
      </c>
      <c r="P24" s="7"/>
      <c r="Q24" s="13"/>
      <c r="R24" s="14"/>
      <c r="S24" s="14"/>
      <c r="T24" s="27"/>
      <c r="U24" s="28">
        <f t="shared" si="2"/>
        <v>0.13547147291666672</v>
      </c>
    </row>
    <row r="25" spans="1:21" x14ac:dyDescent="0.25">
      <c r="B25" s="6" t="s">
        <v>50</v>
      </c>
      <c r="C25" s="15">
        <v>2302.2958984375</v>
      </c>
      <c r="D25" s="16">
        <v>33.702300000000001</v>
      </c>
      <c r="E25" s="16">
        <v>37.834600000000002</v>
      </c>
      <c r="F25" s="16">
        <v>39.494599999999998</v>
      </c>
      <c r="G25" s="16">
        <v>91.726288754357</v>
      </c>
      <c r="H25" s="16">
        <f t="shared" si="0"/>
        <v>34.942875000000001</v>
      </c>
      <c r="I25" s="5"/>
      <c r="J25" s="15">
        <v>2409.6815999999999</v>
      </c>
      <c r="K25" s="16">
        <v>34.0428</v>
      </c>
      <c r="L25" s="16">
        <v>38.169899999999998</v>
      </c>
      <c r="M25" s="16">
        <v>40.128399999999999</v>
      </c>
      <c r="N25" s="16">
        <v>101.6673</v>
      </c>
      <c r="O25" s="16">
        <f t="shared" si="1"/>
        <v>35.319387499999998</v>
      </c>
      <c r="P25" s="7"/>
      <c r="Q25" s="8">
        <f>bdrate(C25:C28,D25:D28,J25:J28,K25:K28)</f>
        <v>-0.10842713895718947</v>
      </c>
      <c r="R25" s="8">
        <f>bdrate(C25:C28,E25:E28,J25:J28,L25:L28)</f>
        <v>-0.17481461132563492</v>
      </c>
      <c r="S25" s="8">
        <f>bdrate(C25:C28,F25:F28,J25:J28,M25:M28)</f>
        <v>-0.19280906501167638</v>
      </c>
      <c r="T25" s="25">
        <f>bdrate(C25:C28,H25:H28,J25:J28,O25:O28)</f>
        <v>-0.1205101962316133</v>
      </c>
      <c r="U25" s="28">
        <f t="shared" si="2"/>
        <v>0.10837690459999995</v>
      </c>
    </row>
    <row r="26" spans="1:21" x14ac:dyDescent="0.25">
      <c r="B26" s="9"/>
      <c r="C26" s="17">
        <v>1536.7490234375</v>
      </c>
      <c r="D26" s="18">
        <v>32.306600000000003</v>
      </c>
      <c r="E26" s="18">
        <v>37.325200000000002</v>
      </c>
      <c r="F26" s="18">
        <v>38.601599999999998</v>
      </c>
      <c r="G26" s="18">
        <v>141.68319637291017</v>
      </c>
      <c r="H26" s="18">
        <f t="shared" si="0"/>
        <v>33.720800000000004</v>
      </c>
      <c r="I26" s="5"/>
      <c r="J26" s="17">
        <v>1604.9952000000001</v>
      </c>
      <c r="K26" s="18">
        <v>32.820500000000003</v>
      </c>
      <c r="L26" s="18">
        <v>37.701599999999999</v>
      </c>
      <c r="M26" s="18">
        <v>39.32</v>
      </c>
      <c r="N26" s="18">
        <v>157.97790000000001</v>
      </c>
      <c r="O26" s="18">
        <f t="shared" si="1"/>
        <v>34.243074999999997</v>
      </c>
      <c r="P26" s="7"/>
      <c r="Q26" s="10"/>
      <c r="R26" s="11"/>
      <c r="S26" s="11"/>
      <c r="T26" s="26"/>
      <c r="U26" s="28">
        <f t="shared" si="2"/>
        <v>0.11500801820000002</v>
      </c>
    </row>
    <row r="27" spans="1:21" x14ac:dyDescent="0.25">
      <c r="B27" s="9"/>
      <c r="C27" s="17">
        <v>959.7177734375</v>
      </c>
      <c r="D27" s="18">
        <v>30.6526</v>
      </c>
      <c r="E27" s="18">
        <v>36.825000000000003</v>
      </c>
      <c r="F27" s="18">
        <v>37.863300000000002</v>
      </c>
      <c r="G27" s="18">
        <v>164.4736842105263</v>
      </c>
      <c r="H27" s="18">
        <f t="shared" si="0"/>
        <v>32.325487499999994</v>
      </c>
      <c r="I27" s="5"/>
      <c r="J27" s="17">
        <v>1001.8008</v>
      </c>
      <c r="K27" s="18">
        <v>31.218800000000002</v>
      </c>
      <c r="L27" s="18">
        <v>37.0745</v>
      </c>
      <c r="M27" s="18">
        <v>38.268599999999999</v>
      </c>
      <c r="N27" s="18">
        <v>182.54839999999999</v>
      </c>
      <c r="O27" s="18">
        <f t="shared" si="1"/>
        <v>32.831987500000004</v>
      </c>
      <c r="P27" s="7"/>
      <c r="Q27" s="10"/>
      <c r="R27" s="11"/>
      <c r="S27" s="11"/>
      <c r="T27" s="26"/>
      <c r="U27" s="28">
        <f t="shared" si="2"/>
        <v>0.10989427200000002</v>
      </c>
    </row>
    <row r="28" spans="1:21" ht="16.5" thickBot="1" x14ac:dyDescent="0.3">
      <c r="B28" s="12"/>
      <c r="C28" s="19">
        <v>577.669921875</v>
      </c>
      <c r="D28" s="20">
        <v>28.8247</v>
      </c>
      <c r="E28" s="20">
        <v>36.219499999999996</v>
      </c>
      <c r="F28" s="20">
        <v>36.830800000000004</v>
      </c>
      <c r="G28" s="20">
        <v>175.25411847178407</v>
      </c>
      <c r="H28" s="20">
        <f t="shared" si="0"/>
        <v>30.749812499999997</v>
      </c>
      <c r="I28" s="5"/>
      <c r="J28" s="19">
        <v>595.56880000000001</v>
      </c>
      <c r="K28" s="20">
        <v>29.456</v>
      </c>
      <c r="L28" s="20">
        <v>36.375100000000003</v>
      </c>
      <c r="M28" s="20">
        <v>37.139600000000002</v>
      </c>
      <c r="N28" s="20">
        <v>216.1695</v>
      </c>
      <c r="O28" s="20">
        <f t="shared" si="1"/>
        <v>31.281337499999999</v>
      </c>
      <c r="P28" s="7"/>
      <c r="Q28" s="13"/>
      <c r="R28" s="14"/>
      <c r="S28" s="14"/>
      <c r="T28" s="27"/>
      <c r="U28" s="28">
        <f t="shared" si="2"/>
        <v>0.23346316700000014</v>
      </c>
    </row>
    <row r="29" spans="1:21" x14ac:dyDescent="0.25">
      <c r="B29" s="6" t="s">
        <v>51</v>
      </c>
      <c r="C29" s="29">
        <v>2296.3505859375</v>
      </c>
      <c r="D29" s="30">
        <v>34.024099999999997</v>
      </c>
      <c r="E29" s="30">
        <v>40.217199999999998</v>
      </c>
      <c r="F29" s="30">
        <v>39.823700000000002</v>
      </c>
      <c r="G29" s="16">
        <v>92.43852837862822</v>
      </c>
      <c r="H29" s="16">
        <f t="shared" si="0"/>
        <v>35.523187499999992</v>
      </c>
      <c r="I29" s="5"/>
      <c r="J29" s="29">
        <v>2416.4623999999999</v>
      </c>
      <c r="K29" s="30">
        <v>33.983699999999999</v>
      </c>
      <c r="L29" s="30">
        <v>40.316099999999999</v>
      </c>
      <c r="M29" s="30">
        <v>39.896000000000001</v>
      </c>
      <c r="N29" s="16">
        <v>99.661199999999994</v>
      </c>
      <c r="O29" s="16">
        <f t="shared" si="1"/>
        <v>35.514287500000002</v>
      </c>
      <c r="P29" s="7"/>
      <c r="Q29" s="8">
        <f>bdrate(C29:C32,D29:D32,J29:J32,K29:K32)</f>
        <v>2.771355829171096E-2</v>
      </c>
      <c r="R29" s="8">
        <f>bdrate(C29:C32,E29:E32,J29:J32,L29:L32)</f>
        <v>-3.7103825341901819E-2</v>
      </c>
      <c r="S29" s="8">
        <f>bdrate(C29:C32,F29:F32,J29:J32,M29:M32)</f>
        <v>-3.7728728553825364E-2</v>
      </c>
      <c r="T29" s="25">
        <f>bdrate(C29:C32,H29:H32,J29:J32,O29:O32)</f>
        <v>1.5796949648888559E-2</v>
      </c>
      <c r="U29" s="28">
        <f t="shared" si="2"/>
        <v>7.8134861599999841E-2</v>
      </c>
    </row>
    <row r="30" spans="1:21" x14ac:dyDescent="0.25">
      <c r="B30" s="9"/>
      <c r="C30" s="31">
        <v>1529.2265625</v>
      </c>
      <c r="D30" s="32">
        <v>32.523299999999999</v>
      </c>
      <c r="E30" s="32">
        <v>39.479700000000001</v>
      </c>
      <c r="F30" s="32">
        <v>38.791499999999999</v>
      </c>
      <c r="G30" s="18">
        <v>133.29778725673154</v>
      </c>
      <c r="H30" s="18">
        <f t="shared" si="0"/>
        <v>34.176375</v>
      </c>
      <c r="I30" s="5"/>
      <c r="J30" s="31">
        <v>1606.0648000000001</v>
      </c>
      <c r="K30" s="32">
        <v>32.571800000000003</v>
      </c>
      <c r="L30" s="32">
        <v>39.602600000000002</v>
      </c>
      <c r="M30" s="32">
        <v>38.963799999999999</v>
      </c>
      <c r="N30" s="18">
        <v>133.26230000000001</v>
      </c>
      <c r="O30" s="18">
        <f t="shared" si="1"/>
        <v>34.249650000000003</v>
      </c>
      <c r="P30" s="7"/>
      <c r="Q30" s="10"/>
      <c r="R30" s="11"/>
      <c r="S30" s="11"/>
      <c r="T30" s="26"/>
      <c r="U30" s="28">
        <f t="shared" si="2"/>
        <v>-2.6622539999992536E-4</v>
      </c>
    </row>
    <row r="31" spans="1:21" x14ac:dyDescent="0.25">
      <c r="B31" s="9"/>
      <c r="C31" s="31">
        <v>955.12109375</v>
      </c>
      <c r="D31" s="32">
        <v>30.737300000000001</v>
      </c>
      <c r="E31" s="32">
        <v>38.533999999999999</v>
      </c>
      <c r="F31" s="32">
        <v>37.4955</v>
      </c>
      <c r="G31" s="18">
        <v>149.83518130056936</v>
      </c>
      <c r="H31" s="18">
        <f t="shared" si="0"/>
        <v>32.556662500000002</v>
      </c>
      <c r="I31" s="5"/>
      <c r="J31" s="31">
        <v>1000.088</v>
      </c>
      <c r="K31" s="32">
        <v>30.819800000000001</v>
      </c>
      <c r="L31" s="32">
        <v>38.723500000000001</v>
      </c>
      <c r="M31" s="32">
        <v>37.781999999999996</v>
      </c>
      <c r="N31" s="18">
        <v>159.6934</v>
      </c>
      <c r="O31" s="18">
        <f t="shared" si="1"/>
        <v>32.678037500000002</v>
      </c>
      <c r="P31" s="7"/>
      <c r="Q31" s="10"/>
      <c r="R31" s="11"/>
      <c r="S31" s="11"/>
      <c r="T31" s="26"/>
      <c r="U31" s="28">
        <f t="shared" si="2"/>
        <v>6.5793751600000075E-2</v>
      </c>
    </row>
    <row r="32" spans="1:21" ht="16.5" thickBot="1" x14ac:dyDescent="0.3">
      <c r="B32" s="12"/>
      <c r="C32" s="33">
        <v>573.96875</v>
      </c>
      <c r="D32" s="34">
        <v>28.715299999999999</v>
      </c>
      <c r="E32" s="34">
        <v>37.025199999999998</v>
      </c>
      <c r="F32" s="34">
        <v>35.732100000000003</v>
      </c>
      <c r="G32" s="20">
        <v>156.20118712902217</v>
      </c>
      <c r="H32" s="20">
        <f t="shared" si="0"/>
        <v>30.631137500000001</v>
      </c>
      <c r="I32" s="5"/>
      <c r="J32" s="33">
        <v>599.63120000000004</v>
      </c>
      <c r="K32" s="34">
        <v>28.933</v>
      </c>
      <c r="L32" s="34">
        <v>37.465000000000003</v>
      </c>
      <c r="M32" s="34">
        <v>36.148899999999998</v>
      </c>
      <c r="N32" s="20">
        <v>192.82679999999999</v>
      </c>
      <c r="O32" s="20">
        <f t="shared" si="1"/>
        <v>30.901487500000002</v>
      </c>
      <c r="P32" s="7"/>
      <c r="Q32" s="13"/>
      <c r="R32" s="14"/>
      <c r="S32" s="14"/>
      <c r="T32" s="27"/>
      <c r="U32" s="28">
        <f t="shared" si="2"/>
        <v>0.23447717360000001</v>
      </c>
    </row>
    <row r="33" spans="1:21" x14ac:dyDescent="0.25">
      <c r="B33" s="6" t="s">
        <v>52</v>
      </c>
      <c r="C33" s="15">
        <v>2319.078125</v>
      </c>
      <c r="D33" s="16">
        <v>33.500900000000001</v>
      </c>
      <c r="E33" s="16">
        <v>39.625300000000003</v>
      </c>
      <c r="F33" s="16">
        <v>42.035699999999999</v>
      </c>
      <c r="G33" s="16">
        <v>95.102234902520209</v>
      </c>
      <c r="H33" s="16">
        <f t="shared" si="0"/>
        <v>35.333300000000001</v>
      </c>
      <c r="I33" s="5"/>
      <c r="J33" s="15">
        <v>2410.1815999999999</v>
      </c>
      <c r="K33" s="16">
        <v>33.567700000000002</v>
      </c>
      <c r="L33" s="16">
        <v>39.779800000000002</v>
      </c>
      <c r="M33" s="16">
        <v>42.2761</v>
      </c>
      <c r="N33" s="16">
        <v>100.53619999999999</v>
      </c>
      <c r="O33" s="16">
        <f t="shared" si="1"/>
        <v>35.432762500000003</v>
      </c>
      <c r="P33" s="7"/>
      <c r="Q33" s="8">
        <f>bdrate(C33:C36,D33:D36,J33:J36,K33:K36)</f>
        <v>-3.7039027256066115E-2</v>
      </c>
      <c r="R33" s="8">
        <f>bdrate(C33:C36,E33:E36,J33:J36,L33:L36)</f>
        <v>-3.3651174387406835E-2</v>
      </c>
      <c r="S33" s="8">
        <f>bdrate(C33:C36,F33:F36,J33:J36,M33:M36)</f>
        <v>-6.7969630976594586E-2</v>
      </c>
      <c r="T33" s="25">
        <f>bdrate(C33:C36,H33:H36,J33:J36,O33:O36)</f>
        <v>-4.0251382184327333E-2</v>
      </c>
      <c r="U33" s="28">
        <f t="shared" si="2"/>
        <v>5.713814299999994E-2</v>
      </c>
    </row>
    <row r="34" spans="1:21" x14ac:dyDescent="0.25">
      <c r="B34" s="9"/>
      <c r="C34" s="17">
        <v>1536.4267578125</v>
      </c>
      <c r="D34" s="18">
        <v>32.718000000000004</v>
      </c>
      <c r="E34" s="18">
        <v>39.182000000000002</v>
      </c>
      <c r="F34" s="18">
        <v>41.625</v>
      </c>
      <c r="G34" s="18">
        <v>147.60147601476012</v>
      </c>
      <c r="H34" s="18">
        <f t="shared" si="0"/>
        <v>34.639375000000001</v>
      </c>
      <c r="I34" s="5"/>
      <c r="J34" s="17">
        <v>1602.3768</v>
      </c>
      <c r="K34" s="18">
        <v>32.844000000000001</v>
      </c>
      <c r="L34" s="18">
        <v>39.301499999999997</v>
      </c>
      <c r="M34" s="18">
        <v>41.839700000000001</v>
      </c>
      <c r="N34" s="18">
        <v>159.02459999999999</v>
      </c>
      <c r="O34" s="18">
        <f t="shared" si="1"/>
        <v>34.775650000000006</v>
      </c>
      <c r="P34" s="7"/>
      <c r="Q34" s="10"/>
      <c r="R34" s="11"/>
      <c r="S34" s="11"/>
      <c r="T34" s="26"/>
      <c r="U34" s="28">
        <f t="shared" si="2"/>
        <v>7.7391665000000123E-2</v>
      </c>
    </row>
    <row r="35" spans="1:21" x14ac:dyDescent="0.25">
      <c r="B35" s="9"/>
      <c r="C35" s="17">
        <v>955.3603515625</v>
      </c>
      <c r="D35" s="18">
        <v>31.467300000000002</v>
      </c>
      <c r="E35" s="18">
        <v>38.5411</v>
      </c>
      <c r="F35" s="18">
        <v>41.084699999999998</v>
      </c>
      <c r="G35" s="18">
        <v>165.47159404302261</v>
      </c>
      <c r="H35" s="18">
        <f t="shared" si="0"/>
        <v>33.553700000000006</v>
      </c>
      <c r="I35" s="5"/>
      <c r="J35" s="17">
        <v>1023.196</v>
      </c>
      <c r="K35" s="18">
        <v>31.7516</v>
      </c>
      <c r="L35" s="18">
        <v>38.649299999999997</v>
      </c>
      <c r="M35" s="18">
        <v>41.215499999999999</v>
      </c>
      <c r="N35" s="18">
        <v>184.33179999999999</v>
      </c>
      <c r="O35" s="18">
        <f t="shared" si="1"/>
        <v>33.796800000000005</v>
      </c>
      <c r="P35" s="7"/>
      <c r="Q35" s="10"/>
      <c r="R35" s="11"/>
      <c r="S35" s="11"/>
      <c r="T35" s="26"/>
      <c r="U35" s="28">
        <f t="shared" si="2"/>
        <v>0.11397851133333331</v>
      </c>
    </row>
    <row r="36" spans="1:21" ht="16.5" thickBot="1" x14ac:dyDescent="0.3">
      <c r="B36" s="12"/>
      <c r="C36" s="19">
        <v>573.6943359375</v>
      </c>
      <c r="D36" s="20">
        <v>29.7821</v>
      </c>
      <c r="E36" s="20">
        <v>38.049500000000002</v>
      </c>
      <c r="F36" s="20">
        <v>40.638500000000001</v>
      </c>
      <c r="G36" s="20">
        <v>178.41213202497769</v>
      </c>
      <c r="H36" s="20">
        <f t="shared" si="0"/>
        <v>32.172575000000002</v>
      </c>
      <c r="I36" s="5"/>
      <c r="J36" s="19">
        <v>594.18560000000002</v>
      </c>
      <c r="K36" s="20">
        <v>30.277100000000001</v>
      </c>
      <c r="L36" s="20">
        <v>38.0749</v>
      </c>
      <c r="M36" s="20">
        <v>40.587400000000002</v>
      </c>
      <c r="N36" s="20">
        <v>212.38939999999999</v>
      </c>
      <c r="O36" s="20">
        <f t="shared" si="1"/>
        <v>32.540612500000002</v>
      </c>
      <c r="P36" s="7"/>
      <c r="Q36" s="13"/>
      <c r="R36" s="14"/>
      <c r="S36" s="14"/>
      <c r="T36" s="27"/>
      <c r="U36" s="28">
        <f t="shared" si="2"/>
        <v>0.190442587</v>
      </c>
    </row>
    <row r="37" spans="1:21" x14ac:dyDescent="0.25">
      <c r="A37" s="6" t="s">
        <v>39</v>
      </c>
      <c r="B37" s="6" t="s">
        <v>53</v>
      </c>
      <c r="C37" s="15">
        <v>1154.859375</v>
      </c>
      <c r="D37" s="16">
        <v>34.786900000000003</v>
      </c>
      <c r="E37" s="16">
        <v>38.6633</v>
      </c>
      <c r="F37" s="16">
        <v>38.4512</v>
      </c>
      <c r="G37" s="16">
        <v>259.87525987525987</v>
      </c>
      <c r="H37" s="16">
        <f t="shared" si="0"/>
        <v>35.729487500000005</v>
      </c>
      <c r="I37" s="5"/>
      <c r="J37" s="15">
        <v>1207.5232000000001</v>
      </c>
      <c r="K37" s="16">
        <v>34.937100000000001</v>
      </c>
      <c r="L37" s="16">
        <v>39.183799999999998</v>
      </c>
      <c r="M37" s="16">
        <v>39.072099999999999</v>
      </c>
      <c r="N37" s="16">
        <v>412.54129999999998</v>
      </c>
      <c r="O37" s="16">
        <f t="shared" si="1"/>
        <v>35.984812499999997</v>
      </c>
      <c r="P37" s="7"/>
      <c r="Q37" s="8">
        <f>bdrate(C37:C40,D37:D40,J37:J40,K37:K40)</f>
        <v>-5.7181991398716714E-2</v>
      </c>
      <c r="R37" s="8">
        <f>bdrate(C37:C40,E37:E40,J37:J40,L37:L40)</f>
        <v>-0.10912883753946834</v>
      </c>
      <c r="S37" s="8">
        <f>bdrate(C37:C40,F37:F40,J37:J40,M37:M40)</f>
        <v>-0.12777489720639035</v>
      </c>
      <c r="T37" s="25">
        <f>bdrate(C37:C40,H37:H40,J37:J40,O37:O40)</f>
        <v>-7.0143366567069654E-2</v>
      </c>
      <c r="U37" s="28">
        <f t="shared" si="2"/>
        <v>0.58745892239999997</v>
      </c>
    </row>
    <row r="38" spans="1:21" x14ac:dyDescent="0.25">
      <c r="A38" s="9" t="s">
        <v>40</v>
      </c>
      <c r="B38" s="9"/>
      <c r="C38" s="17">
        <v>769.4033203125</v>
      </c>
      <c r="D38" s="18">
        <v>33.098199999999999</v>
      </c>
      <c r="E38" s="18">
        <v>37.614899999999999</v>
      </c>
      <c r="F38" s="18">
        <v>37.263300000000001</v>
      </c>
      <c r="G38" s="18">
        <v>362.31884057971018</v>
      </c>
      <c r="H38" s="18">
        <f t="shared" si="0"/>
        <v>34.183425</v>
      </c>
      <c r="I38" s="5"/>
      <c r="J38" s="17">
        <v>807.01120000000003</v>
      </c>
      <c r="K38" s="18">
        <v>33.439500000000002</v>
      </c>
      <c r="L38" s="18">
        <v>38.037999999999997</v>
      </c>
      <c r="M38" s="18">
        <v>37.815899999999999</v>
      </c>
      <c r="N38" s="18">
        <v>491.64210000000003</v>
      </c>
      <c r="O38" s="18">
        <f t="shared" si="1"/>
        <v>34.561362500000001</v>
      </c>
      <c r="P38" s="7"/>
      <c r="Q38" s="10"/>
      <c r="R38" s="11"/>
      <c r="S38" s="11"/>
      <c r="T38" s="26"/>
      <c r="U38" s="28">
        <f t="shared" si="2"/>
        <v>0.35693219599999992</v>
      </c>
    </row>
    <row r="39" spans="1:21" x14ac:dyDescent="0.25">
      <c r="B39" s="9"/>
      <c r="C39" s="17">
        <v>480.7216796875</v>
      </c>
      <c r="D39" s="18">
        <v>31.103100000000001</v>
      </c>
      <c r="E39" s="18">
        <v>36.302100000000003</v>
      </c>
      <c r="F39" s="18">
        <v>35.783700000000003</v>
      </c>
      <c r="G39" s="18">
        <v>445.63279857397498</v>
      </c>
      <c r="H39" s="18">
        <f t="shared" si="0"/>
        <v>32.338050000000003</v>
      </c>
      <c r="I39" s="5"/>
      <c r="J39" s="17">
        <v>501.67759999999998</v>
      </c>
      <c r="K39" s="18">
        <v>31.600200000000001</v>
      </c>
      <c r="L39" s="18">
        <v>36.7286</v>
      </c>
      <c r="M39" s="18">
        <v>36.336500000000001</v>
      </c>
      <c r="N39" s="18">
        <v>566.25139999999999</v>
      </c>
      <c r="O39" s="18">
        <f t="shared" si="1"/>
        <v>32.833287499999997</v>
      </c>
      <c r="P39" s="7"/>
      <c r="Q39" s="10"/>
      <c r="R39" s="11"/>
      <c r="S39" s="11"/>
      <c r="T39" s="26"/>
      <c r="U39" s="28">
        <f t="shared" si="2"/>
        <v>0.27066814160000013</v>
      </c>
    </row>
    <row r="40" spans="1:21" ht="16.5" thickBot="1" x14ac:dyDescent="0.3">
      <c r="B40" s="12"/>
      <c r="C40" s="19">
        <v>288.7939453125</v>
      </c>
      <c r="D40" s="20">
        <v>29.160799999999998</v>
      </c>
      <c r="E40" s="20">
        <v>35.025399999999998</v>
      </c>
      <c r="F40" s="20">
        <v>34.383299999999998</v>
      </c>
      <c r="G40" s="20">
        <v>534.18803418803418</v>
      </c>
      <c r="H40" s="20">
        <f t="shared" si="0"/>
        <v>30.546687499999997</v>
      </c>
      <c r="I40" s="5"/>
      <c r="J40" s="19">
        <v>300.27760000000001</v>
      </c>
      <c r="K40" s="20">
        <v>29.669899999999998</v>
      </c>
      <c r="L40" s="20">
        <v>35.421900000000001</v>
      </c>
      <c r="M40" s="20">
        <v>34.827800000000003</v>
      </c>
      <c r="N40" s="20">
        <v>689.65520000000004</v>
      </c>
      <c r="O40" s="20">
        <f t="shared" si="1"/>
        <v>31.033637499999998</v>
      </c>
      <c r="P40" s="7"/>
      <c r="Q40" s="13"/>
      <c r="R40" s="14"/>
      <c r="S40" s="14"/>
      <c r="T40" s="27"/>
      <c r="U40" s="28">
        <f t="shared" si="2"/>
        <v>0.2910345344000001</v>
      </c>
    </row>
    <row r="41" spans="1:21" x14ac:dyDescent="0.25">
      <c r="B41" s="6" t="s">
        <v>54</v>
      </c>
      <c r="C41" s="15">
        <v>1203.3740234375</v>
      </c>
      <c r="D41" s="16">
        <v>35.0901</v>
      </c>
      <c r="E41" s="16">
        <v>40.210299999999997</v>
      </c>
      <c r="F41" s="16">
        <v>41.058599999999998</v>
      </c>
      <c r="G41" s="16">
        <v>306.43513789581203</v>
      </c>
      <c r="H41" s="16">
        <f t="shared" si="0"/>
        <v>36.476187499999995</v>
      </c>
      <c r="I41" s="5"/>
      <c r="J41" s="15">
        <v>1235.8904</v>
      </c>
      <c r="K41" s="16">
        <v>35.161099999999998</v>
      </c>
      <c r="L41" s="16">
        <v>40.520299999999999</v>
      </c>
      <c r="M41" s="16">
        <v>41.4</v>
      </c>
      <c r="N41" s="16">
        <v>388.09829999999999</v>
      </c>
      <c r="O41" s="16">
        <f t="shared" si="1"/>
        <v>36.610862499999996</v>
      </c>
      <c r="P41" s="7"/>
      <c r="Q41" s="8">
        <f>bdrate(C41:C44,D41:D44,J41:J44,K41:K44)</f>
        <v>-5.7219313125969729E-2</v>
      </c>
      <c r="R41" s="8">
        <f>bdrate(C41:C44,E41:E44,J41:J44,L41:L44)</f>
        <v>-0.12645484573966692</v>
      </c>
      <c r="S41" s="8">
        <f>bdrate(C41:C44,F41:F44,J41:J44,M41:M44)</f>
        <v>-0.10401242298402635</v>
      </c>
      <c r="T41" s="25">
        <f>bdrate(C41:C44,H41:H44,J41:J44,O41:O44)</f>
        <v>-6.6891433679128198E-2</v>
      </c>
      <c r="U41" s="28">
        <f t="shared" si="2"/>
        <v>0.26649411900000008</v>
      </c>
    </row>
    <row r="42" spans="1:21" x14ac:dyDescent="0.25">
      <c r="B42" s="9"/>
      <c r="C42" s="17">
        <v>803.1669921875</v>
      </c>
      <c r="D42" s="18">
        <v>33.314599999999999</v>
      </c>
      <c r="E42" s="18">
        <v>39.159500000000001</v>
      </c>
      <c r="F42" s="18">
        <v>39.919400000000003</v>
      </c>
      <c r="G42" s="18">
        <v>403.7685060565276</v>
      </c>
      <c r="H42" s="18">
        <f t="shared" si="0"/>
        <v>34.8708125</v>
      </c>
      <c r="I42" s="5"/>
      <c r="J42" s="17">
        <v>820.67759999999998</v>
      </c>
      <c r="K42" s="18">
        <v>33.578000000000003</v>
      </c>
      <c r="L42" s="18">
        <v>39.536000000000001</v>
      </c>
      <c r="M42" s="18">
        <v>40.290999999999997</v>
      </c>
      <c r="N42" s="18">
        <v>461.5385</v>
      </c>
      <c r="O42" s="18">
        <f t="shared" si="1"/>
        <v>35.161875000000002</v>
      </c>
      <c r="P42" s="7"/>
      <c r="Q42" s="10"/>
      <c r="R42" s="11"/>
      <c r="S42" s="11"/>
      <c r="T42" s="26"/>
      <c r="U42" s="28">
        <f t="shared" si="2"/>
        <v>0.14307701833333331</v>
      </c>
    </row>
    <row r="43" spans="1:21" x14ac:dyDescent="0.25">
      <c r="B43" s="9"/>
      <c r="C43" s="17">
        <v>502.2822265625</v>
      </c>
      <c r="D43" s="18">
        <v>31.2483</v>
      </c>
      <c r="E43" s="18">
        <v>38.1083</v>
      </c>
      <c r="F43" s="18">
        <v>38.745199999999997</v>
      </c>
      <c r="G43" s="18">
        <v>490.99836333878886</v>
      </c>
      <c r="H43" s="18">
        <f t="shared" si="0"/>
        <v>33.0429125</v>
      </c>
      <c r="I43" s="5"/>
      <c r="J43" s="17">
        <v>512.93759999999997</v>
      </c>
      <c r="K43" s="18">
        <v>31.6768</v>
      </c>
      <c r="L43" s="18">
        <v>38.465299999999999</v>
      </c>
      <c r="M43" s="18">
        <v>39.066299999999998</v>
      </c>
      <c r="N43" s="18">
        <v>538.11659999999995</v>
      </c>
      <c r="O43" s="18">
        <f t="shared" si="1"/>
        <v>33.44905</v>
      </c>
      <c r="P43" s="7"/>
      <c r="Q43" s="10"/>
      <c r="R43" s="11"/>
      <c r="S43" s="11"/>
      <c r="T43" s="26"/>
      <c r="U43" s="28">
        <f t="shared" si="2"/>
        <v>9.5964141999999919E-2</v>
      </c>
    </row>
    <row r="44" spans="1:21" ht="16.5" thickBot="1" x14ac:dyDescent="0.3">
      <c r="B44" s="12"/>
      <c r="C44" s="19">
        <v>301.619140625</v>
      </c>
      <c r="D44" s="20">
        <v>29.146100000000001</v>
      </c>
      <c r="E44" s="20">
        <v>37.1342</v>
      </c>
      <c r="F44" s="20">
        <v>37.638500000000001</v>
      </c>
      <c r="G44" s="20">
        <v>555.55555555555554</v>
      </c>
      <c r="H44" s="20">
        <f t="shared" si="0"/>
        <v>31.206162499999998</v>
      </c>
      <c r="I44" s="5"/>
      <c r="J44" s="19">
        <v>307.464</v>
      </c>
      <c r="K44" s="20">
        <v>29.604299999999999</v>
      </c>
      <c r="L44" s="20">
        <v>37.399099999999997</v>
      </c>
      <c r="M44" s="20">
        <v>37.860300000000002</v>
      </c>
      <c r="N44" s="20">
        <v>670.39110000000005</v>
      </c>
      <c r="O44" s="20">
        <f t="shared" si="1"/>
        <v>31.61065</v>
      </c>
      <c r="P44" s="7"/>
      <c r="Q44" s="13"/>
      <c r="R44" s="14"/>
      <c r="S44" s="14"/>
      <c r="T44" s="27"/>
      <c r="U44" s="28">
        <f t="shared" si="2"/>
        <v>0.20670398000000012</v>
      </c>
    </row>
    <row r="45" spans="1:21" x14ac:dyDescent="0.25">
      <c r="B45" s="6" t="s">
        <v>55</v>
      </c>
      <c r="C45" s="15">
        <v>1183.5654296875</v>
      </c>
      <c r="D45" s="16">
        <v>30.094200000000001</v>
      </c>
      <c r="E45" s="16">
        <v>36.2821</v>
      </c>
      <c r="F45" s="16">
        <v>37.010599999999997</v>
      </c>
      <c r="G45" s="16">
        <v>256.80534155110428</v>
      </c>
      <c r="H45" s="16">
        <f t="shared" si="0"/>
        <v>31.732237500000004</v>
      </c>
      <c r="I45" s="5"/>
      <c r="J45" s="15">
        <v>1210.0008</v>
      </c>
      <c r="K45" s="16">
        <v>30.261399999999998</v>
      </c>
      <c r="L45" s="16">
        <v>36.7592</v>
      </c>
      <c r="M45" s="16">
        <v>37.563299999999998</v>
      </c>
      <c r="N45" s="16">
        <v>366.03219999999999</v>
      </c>
      <c r="O45" s="16">
        <f t="shared" si="1"/>
        <v>31.986362499999998</v>
      </c>
      <c r="P45" s="7"/>
      <c r="Q45" s="8">
        <f>bdrate(C45:C48,D45:D48,J45:J48,K45:K48)</f>
        <v>-0.10542393821854301</v>
      </c>
      <c r="R45" s="8">
        <f>bdrate(C45:C48,E45:E48,J45:J48,L45:L48)</f>
        <v>-0.19281993596718405</v>
      </c>
      <c r="S45" s="8">
        <f>bdrate(C45:C48,F45:F48,J45:J48,M45:M48)</f>
        <v>-0.1969487301222157</v>
      </c>
      <c r="T45" s="25">
        <f>bdrate(C45:C48,H45:H48,J45:J48,O45:O48)</f>
        <v>-0.12067270504870897</v>
      </c>
      <c r="U45" s="28">
        <f t="shared" si="2"/>
        <v>0.42532938679999988</v>
      </c>
    </row>
    <row r="46" spans="1:21" x14ac:dyDescent="0.25">
      <c r="B46" s="9"/>
      <c r="C46" s="17">
        <v>782.6728515625</v>
      </c>
      <c r="D46" s="18">
        <v>28.5319</v>
      </c>
      <c r="E46" s="18">
        <v>35.499200000000002</v>
      </c>
      <c r="F46" s="18">
        <v>36.215200000000003</v>
      </c>
      <c r="G46" s="18">
        <v>344.82758620689657</v>
      </c>
      <c r="H46" s="18">
        <f t="shared" si="0"/>
        <v>30.363225</v>
      </c>
      <c r="I46" s="5"/>
      <c r="J46" s="17">
        <v>808.2672</v>
      </c>
      <c r="K46" s="18">
        <v>28.926300000000001</v>
      </c>
      <c r="L46" s="18">
        <v>35.948599999999999</v>
      </c>
      <c r="M46" s="18">
        <v>36.7239</v>
      </c>
      <c r="N46" s="18">
        <v>430.66320000000002</v>
      </c>
      <c r="O46" s="18">
        <f t="shared" si="1"/>
        <v>30.7787875</v>
      </c>
      <c r="P46" s="7"/>
      <c r="Q46" s="10"/>
      <c r="R46" s="11"/>
      <c r="S46" s="11"/>
      <c r="T46" s="26"/>
      <c r="U46" s="28">
        <f t="shared" si="2"/>
        <v>0.24892328</v>
      </c>
    </row>
    <row r="47" spans="1:21" x14ac:dyDescent="0.25">
      <c r="B47" s="9"/>
      <c r="C47" s="17">
        <v>497.37890625</v>
      </c>
      <c r="D47" s="18">
        <v>26.8782</v>
      </c>
      <c r="E47" s="18">
        <v>34.656599999999997</v>
      </c>
      <c r="F47" s="18">
        <v>35.377099999999999</v>
      </c>
      <c r="G47" s="18">
        <v>416.66666666666669</v>
      </c>
      <c r="H47" s="18">
        <f t="shared" si="0"/>
        <v>28.912862500000003</v>
      </c>
      <c r="I47" s="5"/>
      <c r="J47" s="17">
        <v>509.06240000000003</v>
      </c>
      <c r="K47" s="18">
        <v>27.456399999999999</v>
      </c>
      <c r="L47" s="18">
        <v>35.1096</v>
      </c>
      <c r="M47" s="18">
        <v>35.828400000000002</v>
      </c>
      <c r="N47" s="18">
        <v>508.13010000000003</v>
      </c>
      <c r="O47" s="18">
        <f t="shared" si="1"/>
        <v>29.45955</v>
      </c>
      <c r="P47" s="7"/>
      <c r="Q47" s="10"/>
      <c r="R47" s="11"/>
      <c r="S47" s="11"/>
      <c r="T47" s="26"/>
      <c r="U47" s="28">
        <f t="shared" si="2"/>
        <v>0.21951224</v>
      </c>
    </row>
    <row r="48" spans="1:21" ht="16.5" thickBot="1" x14ac:dyDescent="0.3">
      <c r="B48" s="12"/>
      <c r="C48" s="19">
        <v>297.640625</v>
      </c>
      <c r="D48" s="20">
        <v>25.255299999999998</v>
      </c>
      <c r="E48" s="20">
        <v>33.981699999999996</v>
      </c>
      <c r="F48" s="20">
        <v>34.665199999999999</v>
      </c>
      <c r="G48" s="20">
        <v>487.32943469785573</v>
      </c>
      <c r="H48" s="20">
        <f t="shared" si="0"/>
        <v>27.522337499999995</v>
      </c>
      <c r="I48" s="5"/>
      <c r="J48" s="19">
        <v>305.29599999999999</v>
      </c>
      <c r="K48" s="20">
        <v>25.831299999999999</v>
      </c>
      <c r="L48" s="20">
        <v>34.199199999999998</v>
      </c>
      <c r="M48" s="20">
        <v>34.878</v>
      </c>
      <c r="N48" s="20">
        <v>623.44140000000004</v>
      </c>
      <c r="O48" s="20">
        <f t="shared" si="1"/>
        <v>28.008125</v>
      </c>
      <c r="P48" s="7"/>
      <c r="Q48" s="13"/>
      <c r="R48" s="14"/>
      <c r="S48" s="14"/>
      <c r="T48" s="27"/>
      <c r="U48" s="28">
        <f t="shared" si="2"/>
        <v>0.27930175280000014</v>
      </c>
    </row>
    <row r="49" spans="1:21" x14ac:dyDescent="0.25">
      <c r="B49" s="6" t="s">
        <v>56</v>
      </c>
      <c r="C49" s="15">
        <v>1144.103515625</v>
      </c>
      <c r="D49" s="16">
        <v>32.784700000000001</v>
      </c>
      <c r="E49" s="16">
        <v>36.922499999999999</v>
      </c>
      <c r="F49" s="16">
        <v>38.481699999999996</v>
      </c>
      <c r="G49" s="16">
        <v>203.52781546811397</v>
      </c>
      <c r="H49" s="16">
        <f t="shared" si="0"/>
        <v>34.014049999999997</v>
      </c>
      <c r="I49" s="5"/>
      <c r="J49" s="15">
        <v>1202.9280000000001</v>
      </c>
      <c r="K49" s="16">
        <v>32.328400000000002</v>
      </c>
      <c r="L49" s="16">
        <v>36.872599999999998</v>
      </c>
      <c r="M49" s="16">
        <v>38.457700000000003</v>
      </c>
      <c r="N49" s="16">
        <v>285.98669999999998</v>
      </c>
      <c r="O49" s="16">
        <f t="shared" si="1"/>
        <v>33.662587500000001</v>
      </c>
      <c r="P49" s="7"/>
      <c r="Q49" s="8">
        <f>bdrate(C49:C52,D49:D52,J49:J52,K49:K52)</f>
        <v>0.13067112505695699</v>
      </c>
      <c r="R49" s="8">
        <f>bdrate(C49:C52,E49:E52,J49:J52,L49:L52)</f>
        <v>5.2229918597292979E-2</v>
      </c>
      <c r="S49" s="8">
        <f>bdrate(C49:C52,F49:F52,J49:J52,M49:M52)</f>
        <v>3.9040945161114893E-2</v>
      </c>
      <c r="T49" s="25">
        <f>bdrate(C49:C52,H49:H52,J49:J52,O49:O52)</f>
        <v>0.11634302013366837</v>
      </c>
      <c r="U49" s="28">
        <f t="shared" si="2"/>
        <v>0.40514798599999996</v>
      </c>
    </row>
    <row r="50" spans="1:21" x14ac:dyDescent="0.25">
      <c r="B50" s="9"/>
      <c r="C50" s="17">
        <v>764.11328125</v>
      </c>
      <c r="D50" s="18">
        <v>31.145499999999998</v>
      </c>
      <c r="E50" s="18">
        <v>36.048999999999999</v>
      </c>
      <c r="F50" s="18">
        <v>37.6175</v>
      </c>
      <c r="G50" s="18">
        <v>271.73913043478257</v>
      </c>
      <c r="H50" s="18">
        <f t="shared" si="0"/>
        <v>32.567437499999997</v>
      </c>
      <c r="I50" s="5"/>
      <c r="J50" s="17">
        <v>801.40880000000004</v>
      </c>
      <c r="K50" s="18">
        <v>30.777100000000001</v>
      </c>
      <c r="L50" s="18">
        <v>35.972299999999997</v>
      </c>
      <c r="M50" s="18">
        <v>37.560099999999998</v>
      </c>
      <c r="N50" s="18">
        <v>335.19549999999998</v>
      </c>
      <c r="O50" s="18">
        <f t="shared" si="1"/>
        <v>32.274374999999999</v>
      </c>
      <c r="P50" s="7"/>
      <c r="Q50" s="10"/>
      <c r="R50" s="11"/>
      <c r="S50" s="11"/>
      <c r="T50" s="26"/>
      <c r="U50" s="28">
        <f t="shared" si="2"/>
        <v>0.23351944000000013</v>
      </c>
    </row>
    <row r="51" spans="1:21" x14ac:dyDescent="0.25">
      <c r="B51" s="9"/>
      <c r="C51" s="17">
        <v>487.0693359375</v>
      </c>
      <c r="D51" s="18">
        <v>29.4223</v>
      </c>
      <c r="E51" s="18">
        <v>35.076599999999999</v>
      </c>
      <c r="F51" s="18">
        <v>36.597999999999999</v>
      </c>
      <c r="G51" s="18">
        <v>345.62211981566821</v>
      </c>
      <c r="H51" s="18">
        <f t="shared" si="0"/>
        <v>31.026049999999998</v>
      </c>
      <c r="I51" s="5"/>
      <c r="J51" s="17">
        <v>500.66640000000001</v>
      </c>
      <c r="K51" s="18">
        <v>29.1387</v>
      </c>
      <c r="L51" s="18">
        <v>35.061599999999999</v>
      </c>
      <c r="M51" s="18">
        <v>36.604500000000002</v>
      </c>
      <c r="N51" s="18">
        <v>398.40640000000002</v>
      </c>
      <c r="O51" s="18">
        <f t="shared" si="1"/>
        <v>30.8122875</v>
      </c>
      <c r="P51" s="7"/>
      <c r="Q51" s="10"/>
      <c r="R51" s="11"/>
      <c r="S51" s="11"/>
      <c r="T51" s="26"/>
      <c r="U51" s="28">
        <f t="shared" si="2"/>
        <v>0.15272251733333336</v>
      </c>
    </row>
    <row r="52" spans="1:21" ht="16.5" thickBot="1" x14ac:dyDescent="0.3">
      <c r="B52" s="12"/>
      <c r="C52" s="19">
        <v>300.0771484375</v>
      </c>
      <c r="D52" s="20">
        <v>27.738299999999999</v>
      </c>
      <c r="E52" s="20">
        <v>34.113199999999999</v>
      </c>
      <c r="F52" s="20">
        <v>35.523400000000002</v>
      </c>
      <c r="G52" s="20">
        <v>396.3011889035667</v>
      </c>
      <c r="H52" s="20">
        <f t="shared" si="0"/>
        <v>29.508300000000002</v>
      </c>
      <c r="I52" s="5"/>
      <c r="J52" s="19">
        <v>300.50400000000002</v>
      </c>
      <c r="K52" s="20">
        <v>27.529900000000001</v>
      </c>
      <c r="L52" s="20">
        <v>34.15</v>
      </c>
      <c r="M52" s="20">
        <v>35.610900000000001</v>
      </c>
      <c r="N52" s="20">
        <v>489.39640000000003</v>
      </c>
      <c r="O52" s="20">
        <f t="shared" si="1"/>
        <v>29.367537500000005</v>
      </c>
      <c r="P52" s="7"/>
      <c r="Q52" s="13"/>
      <c r="R52" s="14"/>
      <c r="S52" s="14"/>
      <c r="T52" s="27"/>
      <c r="U52" s="28">
        <f t="shared" si="2"/>
        <v>0.23491024933333346</v>
      </c>
    </row>
    <row r="53" spans="1:21" x14ac:dyDescent="0.25">
      <c r="A53" s="6" t="s">
        <v>41</v>
      </c>
      <c r="B53" s="6" t="s">
        <v>57</v>
      </c>
      <c r="C53" s="15">
        <v>576.86328125</v>
      </c>
      <c r="D53" s="16">
        <v>34.4801</v>
      </c>
      <c r="E53" s="16">
        <v>39.499899999999997</v>
      </c>
      <c r="F53" s="16">
        <v>38.0627</v>
      </c>
      <c r="G53" s="16">
        <v>584.79532163742692</v>
      </c>
      <c r="H53" s="16">
        <f t="shared" si="0"/>
        <v>35.555399999999999</v>
      </c>
      <c r="I53" s="5"/>
      <c r="J53" s="15">
        <v>601.65840000000003</v>
      </c>
      <c r="K53" s="16">
        <v>34.2956</v>
      </c>
      <c r="L53" s="16">
        <v>39.678600000000003</v>
      </c>
      <c r="M53" s="16">
        <v>38.1755</v>
      </c>
      <c r="N53" s="16">
        <v>859.10649999999998</v>
      </c>
      <c r="O53" s="16">
        <f t="shared" si="1"/>
        <v>35.453462500000001</v>
      </c>
      <c r="P53" s="7"/>
      <c r="Q53" s="8">
        <f>bdrate(C53:C56,D53:D56,J53:J56,K53:K56)</f>
        <v>2.3278484006526545E-2</v>
      </c>
      <c r="R53" s="8">
        <f>bdrate(C53:C56,E53:E56,J53:J56,L53:L56)</f>
        <v>-3.9419695273594457E-2</v>
      </c>
      <c r="S53" s="8">
        <f>bdrate(C53:C56,F53:F56,J53:J56,M53:M56)</f>
        <v>-1.3038298882118271E-2</v>
      </c>
      <c r="T53" s="25">
        <f>bdrate(C53:C56,H53:H56,J53:J56,O53:O56)</f>
        <v>1.4933229051264485E-2</v>
      </c>
      <c r="U53" s="28">
        <f t="shared" si="2"/>
        <v>0.4690721149999999</v>
      </c>
    </row>
    <row r="54" spans="1:21" x14ac:dyDescent="0.25">
      <c r="A54" s="9" t="s">
        <v>42</v>
      </c>
      <c r="B54" s="9"/>
      <c r="C54" s="17">
        <v>394.443359375</v>
      </c>
      <c r="D54" s="18">
        <v>32.641500000000001</v>
      </c>
      <c r="E54" s="18">
        <v>38.3703</v>
      </c>
      <c r="F54" s="18">
        <v>36.839500000000001</v>
      </c>
      <c r="G54" s="18">
        <v>690.60773480662988</v>
      </c>
      <c r="H54" s="18">
        <f t="shared" si="0"/>
        <v>33.882349999999995</v>
      </c>
      <c r="I54" s="5"/>
      <c r="J54" s="17">
        <v>401.20080000000002</v>
      </c>
      <c r="K54" s="18">
        <v>32.478900000000003</v>
      </c>
      <c r="L54" s="18">
        <v>38.438200000000002</v>
      </c>
      <c r="M54" s="18">
        <v>36.806100000000001</v>
      </c>
      <c r="N54" s="18">
        <v>982.31830000000002</v>
      </c>
      <c r="O54" s="18">
        <f t="shared" si="1"/>
        <v>33.764712500000002</v>
      </c>
      <c r="P54" s="7"/>
      <c r="Q54" s="10"/>
      <c r="R54" s="11"/>
      <c r="S54" s="11"/>
      <c r="T54" s="26"/>
      <c r="U54" s="28">
        <f t="shared" si="2"/>
        <v>0.42239689839999994</v>
      </c>
    </row>
    <row r="55" spans="1:21" x14ac:dyDescent="0.25">
      <c r="B55" s="9"/>
      <c r="C55" s="17">
        <v>248.203125</v>
      </c>
      <c r="D55" s="18">
        <v>30.513000000000002</v>
      </c>
      <c r="E55" s="18">
        <v>37.202100000000002</v>
      </c>
      <c r="F55" s="18">
        <v>35.494399999999999</v>
      </c>
      <c r="G55" s="18">
        <v>772.79752704791338</v>
      </c>
      <c r="H55" s="18">
        <f t="shared" si="0"/>
        <v>31.971812499999999</v>
      </c>
      <c r="I55" s="5"/>
      <c r="J55" s="17">
        <v>252.744</v>
      </c>
      <c r="K55" s="18">
        <v>30.534300000000002</v>
      </c>
      <c r="L55" s="18">
        <v>37.370800000000003</v>
      </c>
      <c r="M55" s="18">
        <v>35.592799999999997</v>
      </c>
      <c r="N55" s="18">
        <v>1182.0331000000001</v>
      </c>
      <c r="O55" s="18">
        <f t="shared" si="1"/>
        <v>32.021174999999999</v>
      </c>
      <c r="P55" s="7"/>
      <c r="Q55" s="10"/>
      <c r="R55" s="11"/>
      <c r="S55" s="11"/>
      <c r="T55" s="26"/>
      <c r="U55" s="28">
        <f t="shared" si="2"/>
        <v>0.52955083140000025</v>
      </c>
    </row>
    <row r="56" spans="1:21" ht="16.5" thickBot="1" x14ac:dyDescent="0.3">
      <c r="B56" s="12"/>
      <c r="C56" s="19">
        <v>120.03515625</v>
      </c>
      <c r="D56" s="20">
        <v>27.503900000000002</v>
      </c>
      <c r="E56" s="20">
        <v>35.559899999999999</v>
      </c>
      <c r="F56" s="20">
        <v>33.322699999999998</v>
      </c>
      <c r="G56" s="20">
        <v>1000</v>
      </c>
      <c r="H56" s="20">
        <f t="shared" si="0"/>
        <v>29.238250000000001</v>
      </c>
      <c r="I56" s="5"/>
      <c r="J56" s="19">
        <v>121.41759999999999</v>
      </c>
      <c r="K56" s="20">
        <v>27.678799999999999</v>
      </c>
      <c r="L56" s="20">
        <v>35.767400000000002</v>
      </c>
      <c r="M56" s="20">
        <v>33.620100000000001</v>
      </c>
      <c r="N56" s="20">
        <v>1639.3443</v>
      </c>
      <c r="O56" s="20">
        <f t="shared" si="1"/>
        <v>29.432537500000002</v>
      </c>
      <c r="P56" s="7"/>
      <c r="Q56" s="13"/>
      <c r="R56" s="14"/>
      <c r="S56" s="14"/>
      <c r="T56" s="27"/>
      <c r="U56" s="28">
        <f t="shared" si="2"/>
        <v>0.63934429999999998</v>
      </c>
    </row>
    <row r="57" spans="1:21" x14ac:dyDescent="0.25">
      <c r="B57" s="6" t="s">
        <v>58</v>
      </c>
      <c r="C57" s="15">
        <v>575.205078125</v>
      </c>
      <c r="D57" s="16">
        <v>33.565899999999999</v>
      </c>
      <c r="E57" s="16">
        <v>40.760599999999997</v>
      </c>
      <c r="F57" s="16">
        <v>41.595199999999998</v>
      </c>
      <c r="G57" s="16">
        <v>561.79775280898878</v>
      </c>
      <c r="H57" s="16">
        <f t="shared" si="0"/>
        <v>35.468899999999998</v>
      </c>
      <c r="I57" s="5"/>
      <c r="J57" s="15">
        <v>599.74559999999997</v>
      </c>
      <c r="K57" s="16">
        <v>33.574300000000001</v>
      </c>
      <c r="L57" s="16">
        <v>41.341900000000003</v>
      </c>
      <c r="M57" s="16">
        <v>42.177100000000003</v>
      </c>
      <c r="N57" s="16">
        <v>963.08190000000002</v>
      </c>
      <c r="O57" s="16">
        <f t="shared" si="1"/>
        <v>35.620600000000003</v>
      </c>
      <c r="P57" s="7"/>
      <c r="Q57" s="8">
        <f>bdrate(C57:C60,D57:D60,J57:J60,K57:K60)</f>
        <v>-5.9072686265594476E-2</v>
      </c>
      <c r="R57" s="8">
        <f>bdrate(C57:C60,E57:E60,J57:J60,L57:L60)</f>
        <v>-0.1664697997834883</v>
      </c>
      <c r="S57" s="8">
        <f>bdrate(C57:C60,F57:F60,J57:J60,M57:M60)</f>
        <v>-0.15482878083662499</v>
      </c>
      <c r="T57" s="25">
        <f>bdrate(C57:C60,H57:H60,J57:J60,O57:O60)</f>
        <v>-7.7187612980358256E-2</v>
      </c>
      <c r="U57" s="28">
        <f t="shared" si="2"/>
        <v>0.71428578200000004</v>
      </c>
    </row>
    <row r="58" spans="1:21" x14ac:dyDescent="0.25">
      <c r="B58" s="9"/>
      <c r="C58" s="17">
        <v>383.29296875</v>
      </c>
      <c r="D58" s="18">
        <v>32.137999999999998</v>
      </c>
      <c r="E58" s="18">
        <v>39.9544</v>
      </c>
      <c r="F58" s="18">
        <v>40.748100000000001</v>
      </c>
      <c r="G58" s="18">
        <v>669.64285714285711</v>
      </c>
      <c r="H58" s="18">
        <f t="shared" si="0"/>
        <v>34.191312499999995</v>
      </c>
      <c r="I58" s="5"/>
      <c r="J58" s="17">
        <v>399.06799999999998</v>
      </c>
      <c r="K58" s="18">
        <v>32.305799999999998</v>
      </c>
      <c r="L58" s="18">
        <v>40.417499999999997</v>
      </c>
      <c r="M58" s="18">
        <v>41.303600000000003</v>
      </c>
      <c r="N58" s="18">
        <v>1151.6315</v>
      </c>
      <c r="O58" s="18">
        <f t="shared" si="1"/>
        <v>34.444487499999994</v>
      </c>
      <c r="P58" s="7"/>
      <c r="Q58" s="10"/>
      <c r="R58" s="11"/>
      <c r="S58" s="11"/>
      <c r="T58" s="26"/>
      <c r="U58" s="28">
        <f t="shared" si="2"/>
        <v>0.71976970666666673</v>
      </c>
    </row>
    <row r="59" spans="1:21" x14ac:dyDescent="0.25">
      <c r="B59" s="9"/>
      <c r="C59" s="17">
        <v>239.17578125</v>
      </c>
      <c r="D59" s="18">
        <v>30.3567</v>
      </c>
      <c r="E59" s="18">
        <v>39.040999999999997</v>
      </c>
      <c r="F59" s="18">
        <v>39.828699999999998</v>
      </c>
      <c r="G59" s="18">
        <v>845.07042253521126</v>
      </c>
      <c r="H59" s="18">
        <f t="shared" si="0"/>
        <v>32.626237500000002</v>
      </c>
      <c r="I59" s="5"/>
      <c r="J59" s="17">
        <v>248.8304</v>
      </c>
      <c r="K59" s="18">
        <v>30.763500000000001</v>
      </c>
      <c r="L59" s="18">
        <v>39.443899999999999</v>
      </c>
      <c r="M59" s="18">
        <v>40.245899999999999</v>
      </c>
      <c r="N59" s="18">
        <v>1408.4507000000001</v>
      </c>
      <c r="O59" s="18">
        <f t="shared" si="1"/>
        <v>33.033850000000001</v>
      </c>
      <c r="P59" s="7"/>
      <c r="Q59" s="10"/>
      <c r="R59" s="11"/>
      <c r="S59" s="11"/>
      <c r="T59" s="26"/>
      <c r="U59" s="28">
        <f t="shared" si="2"/>
        <v>0.66666666166666677</v>
      </c>
    </row>
    <row r="60" spans="1:21" ht="16.5" thickBot="1" x14ac:dyDescent="0.3">
      <c r="B60" s="12"/>
      <c r="C60" s="19">
        <v>114.9755859375</v>
      </c>
      <c r="D60" s="20">
        <v>27.282399999999999</v>
      </c>
      <c r="E60" s="20">
        <v>38.140900000000002</v>
      </c>
      <c r="F60" s="20">
        <v>38.807200000000002</v>
      </c>
      <c r="G60" s="20">
        <v>1088.9292196007259</v>
      </c>
      <c r="H60" s="20">
        <f t="shared" si="0"/>
        <v>30.080312500000002</v>
      </c>
      <c r="I60" s="5"/>
      <c r="J60" s="19">
        <v>119.71599999999999</v>
      </c>
      <c r="K60" s="20">
        <v>28.1752</v>
      </c>
      <c r="L60" s="20">
        <v>38.316200000000002</v>
      </c>
      <c r="M60" s="20">
        <v>38.870699999999999</v>
      </c>
      <c r="N60" s="20">
        <v>2000</v>
      </c>
      <c r="O60" s="20">
        <f t="shared" si="1"/>
        <v>30.7797625</v>
      </c>
      <c r="P60" s="7"/>
      <c r="Q60" s="13"/>
      <c r="R60" s="14"/>
      <c r="S60" s="14"/>
      <c r="T60" s="27"/>
      <c r="U60" s="28">
        <f t="shared" si="2"/>
        <v>0.83666666666666678</v>
      </c>
    </row>
    <row r="61" spans="1:21" x14ac:dyDescent="0.25">
      <c r="B61" s="6" t="s">
        <v>59</v>
      </c>
      <c r="C61" s="29">
        <v>594.4072265625</v>
      </c>
      <c r="D61" s="30">
        <v>33.198900000000002</v>
      </c>
      <c r="E61" s="30">
        <v>37.646299999999997</v>
      </c>
      <c r="F61" s="30">
        <v>38.326900000000002</v>
      </c>
      <c r="G61" s="16">
        <v>462.96296296296293</v>
      </c>
      <c r="H61" s="16">
        <f t="shared" si="0"/>
        <v>34.395825000000002</v>
      </c>
      <c r="I61" s="5"/>
      <c r="J61" s="29">
        <v>636.16560000000004</v>
      </c>
      <c r="K61" s="30">
        <v>33.073</v>
      </c>
      <c r="L61" s="30">
        <v>38.141300000000001</v>
      </c>
      <c r="M61" s="30">
        <v>38.881100000000004</v>
      </c>
      <c r="N61" s="16">
        <v>872.60029999999995</v>
      </c>
      <c r="O61" s="16">
        <f t="shared" si="1"/>
        <v>34.432549999999999</v>
      </c>
      <c r="P61" s="7"/>
      <c r="Q61" s="8">
        <f>bdrate(C61:C64,D61:D64,J61:J64,K61:K64)</f>
        <v>1.532506352615215E-2</v>
      </c>
      <c r="R61" s="8">
        <f>bdrate(C61:C64,E61:E64,J61:J64,L61:L64)</f>
        <v>-0.14005238034671796</v>
      </c>
      <c r="S61" s="8">
        <f>bdrate(C61:C64,F61:F64,J61:J64,M61:M64)</f>
        <v>-0.15235077097856997</v>
      </c>
      <c r="T61" s="25">
        <f>bdrate(C61:C64,H61:H64,J61:J64,O61:O64)</f>
        <v>-1.3187429898677827E-2</v>
      </c>
      <c r="U61" s="28">
        <f t="shared" si="2"/>
        <v>0.88481664800000004</v>
      </c>
    </row>
    <row r="62" spans="1:21" x14ac:dyDescent="0.25">
      <c r="B62" s="9"/>
      <c r="C62" s="31">
        <v>399.44140625</v>
      </c>
      <c r="D62" s="32">
        <v>31.483599999999999</v>
      </c>
      <c r="E62" s="32">
        <v>36.6357</v>
      </c>
      <c r="F62" s="32">
        <v>37.283299999999997</v>
      </c>
      <c r="G62" s="18">
        <v>511.77072671443193</v>
      </c>
      <c r="H62" s="18">
        <f t="shared" si="0"/>
        <v>32.852575000000002</v>
      </c>
      <c r="I62" s="5"/>
      <c r="J62" s="31">
        <v>425.27120000000002</v>
      </c>
      <c r="K62" s="32">
        <v>31.4985</v>
      </c>
      <c r="L62" s="32">
        <v>37.136000000000003</v>
      </c>
      <c r="M62" s="32">
        <v>37.823700000000002</v>
      </c>
      <c r="N62" s="18">
        <v>1030.9277999999999</v>
      </c>
      <c r="O62" s="18">
        <f t="shared" si="1"/>
        <v>32.993837499999998</v>
      </c>
      <c r="P62" s="7"/>
      <c r="Q62" s="10"/>
      <c r="R62" s="11"/>
      <c r="S62" s="11"/>
      <c r="T62" s="26"/>
      <c r="U62" s="28">
        <f t="shared" si="2"/>
        <v>1.0144329211999998</v>
      </c>
    </row>
    <row r="63" spans="1:21" x14ac:dyDescent="0.25">
      <c r="B63" s="9"/>
      <c r="C63" s="31">
        <v>250.3994140625</v>
      </c>
      <c r="D63" s="32">
        <v>29.625499999999999</v>
      </c>
      <c r="E63" s="32">
        <v>35.511699999999998</v>
      </c>
      <c r="F63" s="32">
        <v>36.165700000000001</v>
      </c>
      <c r="G63" s="18">
        <v>681.19891008174386</v>
      </c>
      <c r="H63" s="18">
        <f t="shared" si="0"/>
        <v>31.178799999999995</v>
      </c>
      <c r="I63" s="5"/>
      <c r="J63" s="31">
        <v>264.1848</v>
      </c>
      <c r="K63" s="32">
        <v>29.814399999999999</v>
      </c>
      <c r="L63" s="32">
        <v>35.981400000000001</v>
      </c>
      <c r="M63" s="32">
        <v>36.675600000000003</v>
      </c>
      <c r="N63" s="18">
        <v>1253.1328000000001</v>
      </c>
      <c r="O63" s="18">
        <f t="shared" si="1"/>
        <v>31.442924999999999</v>
      </c>
      <c r="P63" s="7"/>
      <c r="Q63" s="10"/>
      <c r="R63" s="11"/>
      <c r="S63" s="11"/>
      <c r="T63" s="26"/>
      <c r="U63" s="28">
        <f t="shared" si="2"/>
        <v>0.8395989504000001</v>
      </c>
    </row>
    <row r="64" spans="1:21" ht="16.5" thickBot="1" x14ac:dyDescent="0.3">
      <c r="B64" s="12"/>
      <c r="C64" s="33">
        <v>120.2216796875</v>
      </c>
      <c r="D64" s="34">
        <v>26.921900000000001</v>
      </c>
      <c r="E64" s="34">
        <v>34.068100000000001</v>
      </c>
      <c r="F64" s="34">
        <v>34.6813</v>
      </c>
      <c r="G64" s="20">
        <v>938.08630393996248</v>
      </c>
      <c r="H64" s="20">
        <f t="shared" si="0"/>
        <v>28.785100000000003</v>
      </c>
      <c r="I64" s="5"/>
      <c r="J64" s="33">
        <v>126.61839999999999</v>
      </c>
      <c r="K64" s="34">
        <v>27.404599999999999</v>
      </c>
      <c r="L64" s="34">
        <v>34.479900000000001</v>
      </c>
      <c r="M64" s="34">
        <v>35.1327</v>
      </c>
      <c r="N64" s="20">
        <v>1785.7143000000001</v>
      </c>
      <c r="O64" s="20">
        <f t="shared" si="1"/>
        <v>29.255024999999996</v>
      </c>
      <c r="P64" s="7"/>
      <c r="Q64" s="13"/>
      <c r="R64" s="14"/>
      <c r="S64" s="14"/>
      <c r="T64" s="27"/>
      <c r="U64" s="28">
        <f t="shared" si="2"/>
        <v>0.9035714438000001</v>
      </c>
    </row>
    <row r="65" spans="1:21" x14ac:dyDescent="0.25">
      <c r="B65" s="6" t="s">
        <v>60</v>
      </c>
      <c r="C65" s="15">
        <v>574.19921875</v>
      </c>
      <c r="D65" s="16">
        <v>34.341500000000003</v>
      </c>
      <c r="E65" s="16">
        <v>37.766100000000002</v>
      </c>
      <c r="F65" s="16">
        <v>38.832099999999997</v>
      </c>
      <c r="G65" s="16">
        <v>331.85840707964599</v>
      </c>
      <c r="H65" s="16">
        <f t="shared" si="0"/>
        <v>35.3309</v>
      </c>
      <c r="I65" s="5"/>
      <c r="J65" s="15">
        <v>601.99839999999995</v>
      </c>
      <c r="K65" s="16">
        <v>33.840699999999998</v>
      </c>
      <c r="L65" s="16">
        <v>37.704999999999998</v>
      </c>
      <c r="M65" s="16">
        <v>38.805999999999997</v>
      </c>
      <c r="N65" s="16">
        <v>579.15060000000005</v>
      </c>
      <c r="O65" s="16">
        <f t="shared" si="1"/>
        <v>34.944399999999995</v>
      </c>
      <c r="P65" s="7"/>
      <c r="Q65" s="8">
        <f>bdrate(C65:C68,D65:D68,J65:J68,K65:K68)</f>
        <v>8.6961120502326406E-2</v>
      </c>
      <c r="R65" s="8">
        <f>bdrate(C65:C68,E65:E68,J65:J68,L65:L68)</f>
        <v>4.1578919489267951E-2</v>
      </c>
      <c r="S65" s="8">
        <f>bdrate(C65:C68,F65:F68,J65:J68,M65:M68)</f>
        <v>3.0435228595427466E-2</v>
      </c>
      <c r="T65" s="25">
        <f>bdrate(C65:C68,H65:H68,J65:J68,O65:O68)</f>
        <v>7.8310793299321002E-2</v>
      </c>
      <c r="U65" s="28">
        <f t="shared" si="2"/>
        <v>0.74517380800000033</v>
      </c>
    </row>
    <row r="66" spans="1:21" x14ac:dyDescent="0.25">
      <c r="B66" s="9"/>
      <c r="C66" s="17">
        <v>385.6953125</v>
      </c>
      <c r="D66" s="18">
        <v>32.3596</v>
      </c>
      <c r="E66" s="18">
        <v>36.571199999999997</v>
      </c>
      <c r="F66" s="18">
        <v>37.637799999999999</v>
      </c>
      <c r="G66" s="18">
        <v>376.88442211055275</v>
      </c>
      <c r="H66" s="18">
        <f t="shared" si="0"/>
        <v>33.545825000000001</v>
      </c>
      <c r="I66" s="5"/>
      <c r="J66" s="17">
        <v>400.87279999999998</v>
      </c>
      <c r="K66" s="18">
        <v>31.985900000000001</v>
      </c>
      <c r="L66" s="18">
        <v>36.526499999999999</v>
      </c>
      <c r="M66" s="18">
        <v>37.642200000000003</v>
      </c>
      <c r="N66" s="18">
        <v>668.15139999999997</v>
      </c>
      <c r="O66" s="18">
        <f t="shared" si="1"/>
        <v>33.260512500000004</v>
      </c>
      <c r="P66" s="7"/>
      <c r="Q66" s="10"/>
      <c r="R66" s="11"/>
      <c r="S66" s="11"/>
      <c r="T66" s="26"/>
      <c r="U66" s="28">
        <f t="shared" si="2"/>
        <v>0.77282838133333331</v>
      </c>
    </row>
    <row r="67" spans="1:21" x14ac:dyDescent="0.25">
      <c r="B67" s="9"/>
      <c r="C67" s="17">
        <v>243.861328125</v>
      </c>
      <c r="D67" s="18">
        <v>30.2883</v>
      </c>
      <c r="E67" s="18">
        <v>35.394500000000001</v>
      </c>
      <c r="F67" s="18">
        <v>36.410899999999998</v>
      </c>
      <c r="G67" s="18">
        <v>530.97345132743362</v>
      </c>
      <c r="H67" s="18">
        <f t="shared" si="0"/>
        <v>31.6919</v>
      </c>
      <c r="I67" s="5"/>
      <c r="J67" s="17">
        <v>250.9616</v>
      </c>
      <c r="K67" s="18">
        <v>30.1084</v>
      </c>
      <c r="L67" s="18">
        <v>35.354700000000001</v>
      </c>
      <c r="M67" s="18">
        <v>36.383699999999997</v>
      </c>
      <c r="N67" s="18">
        <v>750</v>
      </c>
      <c r="O67" s="18">
        <f t="shared" si="1"/>
        <v>31.5486</v>
      </c>
      <c r="P67" s="7"/>
      <c r="Q67" s="10"/>
      <c r="R67" s="11"/>
      <c r="S67" s="11"/>
      <c r="T67" s="26"/>
      <c r="U67" s="28">
        <f t="shared" si="2"/>
        <v>0.41250000000000003</v>
      </c>
    </row>
    <row r="68" spans="1:21" ht="16.5" thickBot="1" x14ac:dyDescent="0.3">
      <c r="B68" s="12"/>
      <c r="C68" s="19">
        <v>120.19921875</v>
      </c>
      <c r="D68" s="20">
        <v>27.599499999999999</v>
      </c>
      <c r="E68" s="20">
        <v>33.801400000000001</v>
      </c>
      <c r="F68" s="20">
        <v>34.719000000000001</v>
      </c>
      <c r="G68" s="20">
        <v>724.63768115942037</v>
      </c>
      <c r="H68" s="20">
        <f t="shared" si="0"/>
        <v>29.264674999999997</v>
      </c>
      <c r="I68" s="5"/>
      <c r="J68" s="19">
        <v>121.2136</v>
      </c>
      <c r="K68" s="20">
        <v>27.628799999999998</v>
      </c>
      <c r="L68" s="20">
        <v>33.865699999999997</v>
      </c>
      <c r="M68" s="20">
        <v>34.8048</v>
      </c>
      <c r="N68" s="20">
        <v>909.09090000000003</v>
      </c>
      <c r="O68" s="20">
        <f t="shared" si="1"/>
        <v>29.305412499999999</v>
      </c>
      <c r="P68" s="7"/>
      <c r="Q68" s="13"/>
      <c r="R68" s="14"/>
      <c r="S68" s="14"/>
      <c r="T68" s="27"/>
      <c r="U68" s="28">
        <f t="shared" si="2"/>
        <v>0.2545454419999999</v>
      </c>
    </row>
    <row r="69" spans="1:21" x14ac:dyDescent="0.25">
      <c r="A69" s="6" t="s">
        <v>43</v>
      </c>
      <c r="B69" s="6" t="s">
        <v>61</v>
      </c>
      <c r="C69" s="15">
        <v>1419.8583984375</v>
      </c>
      <c r="D69" s="16">
        <v>41.099200000000003</v>
      </c>
      <c r="E69" s="16">
        <v>45.161799999999999</v>
      </c>
      <c r="F69" s="16">
        <v>46.3384</v>
      </c>
      <c r="G69" s="16">
        <v>191.93857965451056</v>
      </c>
      <c r="H69" s="16">
        <f t="shared" si="0"/>
        <v>42.261925000000005</v>
      </c>
      <c r="I69" s="5"/>
      <c r="J69" s="15">
        <v>1495.4176</v>
      </c>
      <c r="K69" s="16">
        <v>41.3093</v>
      </c>
      <c r="L69" s="16">
        <v>45.764200000000002</v>
      </c>
      <c r="M69" s="16">
        <v>46.975900000000003</v>
      </c>
      <c r="N69" s="16">
        <v>230.59190000000001</v>
      </c>
      <c r="O69" s="16">
        <f t="shared" si="1"/>
        <v>42.574487500000004</v>
      </c>
      <c r="P69" s="7"/>
      <c r="Q69" s="8">
        <f>bdrate(C69:C72,D69:D72,J69:J72,K69:K72)</f>
        <v>-0.11611724325470751</v>
      </c>
      <c r="R69" s="8">
        <f>bdrate(C69:C72,E69:E72,J69:J72,L69:L72)</f>
        <v>-0.17131790722938334</v>
      </c>
      <c r="S69" s="8">
        <f>bdrate(C69:C72,F69:F72,J69:J72,M69:M72)</f>
        <v>-0.17686833770872112</v>
      </c>
      <c r="T69" s="25">
        <f>bdrate(C69:C72,H69:H72,J69:J72,O69:O72)</f>
        <v>-0.12773283002753943</v>
      </c>
      <c r="U69" s="28">
        <f t="shared" si="2"/>
        <v>0.20138379900000003</v>
      </c>
    </row>
    <row r="70" spans="1:21" x14ac:dyDescent="0.25">
      <c r="A70" s="9" t="s">
        <v>44</v>
      </c>
      <c r="B70" s="9"/>
      <c r="C70" s="17">
        <v>936.0751953125</v>
      </c>
      <c r="D70" s="18">
        <v>39.740600000000001</v>
      </c>
      <c r="E70" s="18">
        <v>44.003500000000003</v>
      </c>
      <c r="F70" s="18">
        <v>45.191200000000002</v>
      </c>
      <c r="G70" s="18">
        <v>289.01734104046244</v>
      </c>
      <c r="H70" s="18">
        <f t="shared" si="0"/>
        <v>40.954787499999995</v>
      </c>
      <c r="I70" s="5"/>
      <c r="J70" s="17">
        <v>985.93759999999997</v>
      </c>
      <c r="K70" s="18">
        <v>40.133099999999999</v>
      </c>
      <c r="L70" s="18">
        <v>44.708599999999997</v>
      </c>
      <c r="M70" s="18">
        <v>45.925699999999999</v>
      </c>
      <c r="N70" s="18">
        <v>321.7158</v>
      </c>
      <c r="O70" s="18">
        <f t="shared" si="1"/>
        <v>41.429112500000002</v>
      </c>
      <c r="P70" s="7"/>
      <c r="Q70" s="10"/>
      <c r="R70" s="11"/>
      <c r="S70" s="11"/>
      <c r="T70" s="26"/>
      <c r="U70" s="28">
        <f t="shared" si="2"/>
        <v>0.11313666799999995</v>
      </c>
    </row>
    <row r="71" spans="1:21" x14ac:dyDescent="0.25">
      <c r="B71" s="9"/>
      <c r="C71" s="17">
        <v>561.4296875</v>
      </c>
      <c r="D71" s="18">
        <v>37.498800000000003</v>
      </c>
      <c r="E71" s="18">
        <v>42.691299999999998</v>
      </c>
      <c r="F71" s="18">
        <v>43.767000000000003</v>
      </c>
      <c r="G71" s="18">
        <v>352.52643948296122</v>
      </c>
      <c r="H71" s="18">
        <f t="shared" si="0"/>
        <v>38.9313875</v>
      </c>
      <c r="I71" s="5"/>
      <c r="J71" s="17">
        <v>579.89840000000004</v>
      </c>
      <c r="K71" s="18">
        <v>38.245199999999997</v>
      </c>
      <c r="L71" s="18">
        <v>43.295499999999997</v>
      </c>
      <c r="M71" s="18">
        <v>44.433</v>
      </c>
      <c r="N71" s="18">
        <v>380.4692</v>
      </c>
      <c r="O71" s="18">
        <f t="shared" si="1"/>
        <v>39.649962499999994</v>
      </c>
      <c r="P71" s="7"/>
      <c r="Q71" s="10"/>
      <c r="R71" s="11"/>
      <c r="S71" s="11"/>
      <c r="T71" s="26"/>
      <c r="U71" s="28">
        <f t="shared" si="2"/>
        <v>7.9264297333333331E-2</v>
      </c>
    </row>
    <row r="72" spans="1:21" ht="16.5" thickBot="1" x14ac:dyDescent="0.3">
      <c r="B72" s="12"/>
      <c r="C72" s="19">
        <v>282.4560546875</v>
      </c>
      <c r="D72" s="20">
        <v>33.774700000000003</v>
      </c>
      <c r="E72" s="20">
        <v>41.007199999999997</v>
      </c>
      <c r="F72" s="20">
        <v>41.8902</v>
      </c>
      <c r="G72" s="20">
        <v>407.33197556008145</v>
      </c>
      <c r="H72" s="20">
        <f t="shared" si="0"/>
        <v>35.693200000000004</v>
      </c>
      <c r="I72" s="5"/>
      <c r="J72" s="19">
        <v>283.38479999999998</v>
      </c>
      <c r="K72" s="20">
        <v>34.902000000000001</v>
      </c>
      <c r="L72" s="20">
        <v>41.2928</v>
      </c>
      <c r="M72" s="20">
        <v>42.267299999999999</v>
      </c>
      <c r="N72" s="20">
        <v>485.04450000000003</v>
      </c>
      <c r="O72" s="20">
        <f t="shared" si="1"/>
        <v>36.621512500000001</v>
      </c>
      <c r="P72" s="7"/>
      <c r="Q72" s="13"/>
      <c r="R72" s="14"/>
      <c r="S72" s="14"/>
      <c r="T72" s="27"/>
      <c r="U72" s="28">
        <f t="shared" si="2"/>
        <v>0.19078424750000011</v>
      </c>
    </row>
    <row r="73" spans="1:21" x14ac:dyDescent="0.25">
      <c r="B73" s="6" t="s">
        <v>62</v>
      </c>
      <c r="C73" s="15">
        <v>1423.1220703125</v>
      </c>
      <c r="D73" s="16">
        <v>42.507800000000003</v>
      </c>
      <c r="E73" s="16">
        <v>47.160499999999999</v>
      </c>
      <c r="F73" s="16">
        <v>47.769199999999998</v>
      </c>
      <c r="G73" s="16">
        <v>193.42359767891685</v>
      </c>
      <c r="H73" s="16">
        <f t="shared" si="0"/>
        <v>43.747062500000006</v>
      </c>
      <c r="I73" s="5"/>
      <c r="J73" s="15">
        <v>1479.3072</v>
      </c>
      <c r="K73" s="16">
        <v>42.602699999999999</v>
      </c>
      <c r="L73" s="16">
        <v>47.842300000000002</v>
      </c>
      <c r="M73" s="16">
        <v>48.517499999999998</v>
      </c>
      <c r="N73" s="16">
        <v>229.97319999999999</v>
      </c>
      <c r="O73" s="16">
        <f t="shared" si="1"/>
        <v>43.997</v>
      </c>
      <c r="P73" s="7"/>
      <c r="Q73" s="8">
        <f>bdrate(C73:C76,D73:D76,J73:J76,K73:K76)</f>
        <v>-4.2832555814561357E-2</v>
      </c>
      <c r="R73" s="8">
        <f>bdrate(C73:C76,E73:E76,J73:J76,L73:L76)</f>
        <v>-0.29925892033288526</v>
      </c>
      <c r="S73" s="8">
        <f>bdrate(C73:C76,F73:F76,J73:J76,M73:M76)</f>
        <v>-0.334893316155356</v>
      </c>
      <c r="T73" s="25">
        <f>bdrate(C73:C76,H73:H76,J73:J76,O73:O76)</f>
        <v>-0.11741559790475042</v>
      </c>
      <c r="U73" s="28">
        <f t="shared" ref="U73:U124" si="3">(N73-G73)/G73</f>
        <v>0.18896144399999984</v>
      </c>
    </row>
    <row r="74" spans="1:21" x14ac:dyDescent="0.25">
      <c r="B74" s="9"/>
      <c r="C74" s="17">
        <v>950.8447265625</v>
      </c>
      <c r="D74" s="18">
        <v>41.957000000000001</v>
      </c>
      <c r="E74" s="18">
        <v>46.612499999999997</v>
      </c>
      <c r="F74" s="18">
        <v>47.146999999999998</v>
      </c>
      <c r="G74" s="18">
        <v>263.73626373626377</v>
      </c>
      <c r="H74" s="18">
        <f t="shared" si="0"/>
        <v>43.187687500000003</v>
      </c>
      <c r="I74" s="5"/>
      <c r="J74" s="17">
        <v>967.63440000000003</v>
      </c>
      <c r="K74" s="18">
        <v>42.027999999999999</v>
      </c>
      <c r="L74" s="18">
        <v>47.299599999999998</v>
      </c>
      <c r="M74" s="18">
        <v>47.995399999999997</v>
      </c>
      <c r="N74" s="18">
        <v>391.90069999999997</v>
      </c>
      <c r="O74" s="18">
        <f t="shared" si="1"/>
        <v>43.432875000000003</v>
      </c>
      <c r="P74" s="7"/>
      <c r="Q74" s="10"/>
      <c r="R74" s="11"/>
      <c r="S74" s="11"/>
      <c r="T74" s="26"/>
      <c r="U74" s="28">
        <f t="shared" si="3"/>
        <v>0.48595682083333308</v>
      </c>
    </row>
    <row r="75" spans="1:21" x14ac:dyDescent="0.25">
      <c r="B75" s="9"/>
      <c r="C75" s="17">
        <v>573.9287109375</v>
      </c>
      <c r="D75" s="18">
        <v>41.058500000000002</v>
      </c>
      <c r="E75" s="18">
        <v>45.721899999999998</v>
      </c>
      <c r="F75" s="18">
        <v>46.278799999999997</v>
      </c>
      <c r="G75" s="18">
        <v>299.10269192422737</v>
      </c>
      <c r="H75" s="18">
        <f t="shared" si="0"/>
        <v>42.293962499999999</v>
      </c>
      <c r="I75" s="5"/>
      <c r="J75" s="17">
        <v>568.21519999999998</v>
      </c>
      <c r="K75" s="18">
        <v>41.093299999999999</v>
      </c>
      <c r="L75" s="18">
        <v>46.399099999999997</v>
      </c>
      <c r="M75" s="18">
        <v>47.055900000000001</v>
      </c>
      <c r="N75" s="18">
        <v>454.89010000000002</v>
      </c>
      <c r="O75" s="18">
        <f t="shared" si="1"/>
        <v>42.501849999999997</v>
      </c>
      <c r="P75" s="7"/>
      <c r="Q75" s="10"/>
      <c r="R75" s="11"/>
      <c r="S75" s="11"/>
      <c r="T75" s="26"/>
      <c r="U75" s="28">
        <f t="shared" si="3"/>
        <v>0.52084923433333308</v>
      </c>
    </row>
    <row r="76" spans="1:21" ht="16.5" thickBot="1" x14ac:dyDescent="0.3">
      <c r="B76" s="12"/>
      <c r="C76" s="19">
        <v>287.96875</v>
      </c>
      <c r="D76" s="20">
        <v>38.976900000000001</v>
      </c>
      <c r="E76" s="20">
        <v>44.133000000000003</v>
      </c>
      <c r="F76" s="20">
        <v>44.405900000000003</v>
      </c>
      <c r="G76" s="20">
        <v>380.46924540266332</v>
      </c>
      <c r="H76" s="20">
        <f t="shared" si="0"/>
        <v>40.300037500000002</v>
      </c>
      <c r="I76" s="5"/>
      <c r="J76" s="19">
        <v>278.10719999999998</v>
      </c>
      <c r="K76" s="20">
        <v>39.244199999999999</v>
      </c>
      <c r="L76" s="20">
        <v>44.722099999999998</v>
      </c>
      <c r="M76" s="20">
        <v>45.315300000000001</v>
      </c>
      <c r="N76" s="20">
        <v>533.33330000000001</v>
      </c>
      <c r="O76" s="20">
        <f t="shared" si="1"/>
        <v>40.687824999999997</v>
      </c>
      <c r="P76" s="7"/>
      <c r="Q76" s="13"/>
      <c r="R76" s="14"/>
      <c r="S76" s="14"/>
      <c r="T76" s="27"/>
      <c r="U76" s="28">
        <f t="shared" si="3"/>
        <v>0.40177769016666659</v>
      </c>
    </row>
    <row r="77" spans="1:21" x14ac:dyDescent="0.25">
      <c r="B77" s="6" t="s">
        <v>63</v>
      </c>
      <c r="C77" s="15">
        <v>1440.6064453125</v>
      </c>
      <c r="D77" s="16">
        <v>42.221699999999998</v>
      </c>
      <c r="E77" s="16">
        <v>46.094499999999996</v>
      </c>
      <c r="F77" s="16">
        <v>46.9343</v>
      </c>
      <c r="G77" s="16">
        <v>188.67924528301887</v>
      </c>
      <c r="H77" s="16">
        <f t="shared" si="0"/>
        <v>43.294874999999998</v>
      </c>
      <c r="I77" s="5"/>
      <c r="J77" s="15">
        <v>1542.5383999999999</v>
      </c>
      <c r="K77" s="16">
        <v>42.481699999999996</v>
      </c>
      <c r="L77" s="16">
        <v>46.935000000000002</v>
      </c>
      <c r="M77" s="16">
        <v>47.809699999999999</v>
      </c>
      <c r="N77" s="16">
        <v>233.00970000000001</v>
      </c>
      <c r="O77" s="16">
        <f t="shared" si="1"/>
        <v>43.704362500000002</v>
      </c>
      <c r="P77" s="7"/>
      <c r="Q77" s="8">
        <f>bdrate(C77:C80,D77:D80,J77:J80,K77:K80)</f>
        <v>-0.12042102683270584</v>
      </c>
      <c r="R77" s="8">
        <f>bdrate(C77:C80,E77:E80,J77:J80,L77:L80)</f>
        <v>-0.28820097460141048</v>
      </c>
      <c r="S77" s="8">
        <f>bdrate(C77:C80,F77:F80,J77:J80,M77:M80)</f>
        <v>-0.30998713386759602</v>
      </c>
      <c r="T77" s="25">
        <f>bdrate(C77:C80,H77:H80,J77:J80,O77:O80)</f>
        <v>-0.16280686182665893</v>
      </c>
      <c r="U77" s="28">
        <f t="shared" si="3"/>
        <v>0.23495141000000003</v>
      </c>
    </row>
    <row r="78" spans="1:21" x14ac:dyDescent="0.25">
      <c r="B78" s="9"/>
      <c r="C78" s="17">
        <v>964.6123046875</v>
      </c>
      <c r="D78" s="18">
        <v>41.340499999999999</v>
      </c>
      <c r="E78" s="18">
        <v>45.2697</v>
      </c>
      <c r="F78" s="18">
        <v>46.075099999999999</v>
      </c>
      <c r="G78" s="18">
        <v>269.17900403768505</v>
      </c>
      <c r="H78" s="18">
        <f t="shared" si="0"/>
        <v>42.423475000000003</v>
      </c>
      <c r="I78" s="5"/>
      <c r="J78" s="17">
        <v>1005.1496</v>
      </c>
      <c r="K78" s="18">
        <v>41.639099999999999</v>
      </c>
      <c r="L78" s="18">
        <v>46.196599999999997</v>
      </c>
      <c r="M78" s="18">
        <v>47.065800000000003</v>
      </c>
      <c r="N78" s="18">
        <v>333.33330000000001</v>
      </c>
      <c r="O78" s="18">
        <f t="shared" si="1"/>
        <v>42.887125000000005</v>
      </c>
      <c r="P78" s="7"/>
      <c r="Q78" s="10"/>
      <c r="R78" s="11"/>
      <c r="S78" s="11"/>
      <c r="T78" s="26"/>
      <c r="U78" s="28">
        <f t="shared" si="3"/>
        <v>0.23833320950000009</v>
      </c>
    </row>
    <row r="79" spans="1:21" x14ac:dyDescent="0.25">
      <c r="B79" s="9"/>
      <c r="C79" s="17">
        <v>583.0009765625</v>
      </c>
      <c r="D79" s="18">
        <v>39.774500000000003</v>
      </c>
      <c r="E79" s="18">
        <v>43.991</v>
      </c>
      <c r="F79" s="18">
        <v>44.681899999999999</v>
      </c>
      <c r="G79" s="18">
        <v>320.85561497326199</v>
      </c>
      <c r="H79" s="18">
        <f t="shared" si="0"/>
        <v>40.914987500000002</v>
      </c>
      <c r="I79" s="5"/>
      <c r="J79" s="17">
        <v>597.82079999999996</v>
      </c>
      <c r="K79" s="18">
        <v>40.281500000000001</v>
      </c>
      <c r="L79" s="18">
        <v>44.952199999999998</v>
      </c>
      <c r="M79" s="18">
        <v>45.793900000000001</v>
      </c>
      <c r="N79" s="18">
        <v>388.85289999999998</v>
      </c>
      <c r="O79" s="18">
        <f t="shared" si="1"/>
        <v>41.554387500000004</v>
      </c>
      <c r="P79" s="7"/>
      <c r="Q79" s="10"/>
      <c r="R79" s="11"/>
      <c r="S79" s="11"/>
      <c r="T79" s="26"/>
      <c r="U79" s="28">
        <f t="shared" si="3"/>
        <v>0.21192487166666674</v>
      </c>
    </row>
    <row r="80" spans="1:21" ht="16.5" thickBot="1" x14ac:dyDescent="0.3">
      <c r="B80" s="12"/>
      <c r="C80" s="19">
        <v>294.5234375</v>
      </c>
      <c r="D80" s="20">
        <v>36.710799999999999</v>
      </c>
      <c r="E80" s="20">
        <v>42.1098</v>
      </c>
      <c r="F80" s="20">
        <v>43.0047</v>
      </c>
      <c r="G80" s="20">
        <v>386.8471953578337</v>
      </c>
      <c r="H80" s="20">
        <f t="shared" si="0"/>
        <v>38.1724125</v>
      </c>
      <c r="I80" s="5"/>
      <c r="J80" s="19">
        <v>294.61599999999999</v>
      </c>
      <c r="K80" s="20">
        <v>37.644399999999997</v>
      </c>
      <c r="L80" s="20">
        <v>42.907600000000002</v>
      </c>
      <c r="M80" s="20">
        <v>43.720399999999998</v>
      </c>
      <c r="N80" s="20">
        <v>482.31509999999997</v>
      </c>
      <c r="O80" s="20">
        <f t="shared" si="1"/>
        <v>39.061799999999998</v>
      </c>
      <c r="P80" s="7"/>
      <c r="Q80" s="13"/>
      <c r="R80" s="14"/>
      <c r="S80" s="14"/>
      <c r="T80" s="27"/>
      <c r="U80" s="28">
        <f t="shared" si="3"/>
        <v>0.24678453349999979</v>
      </c>
    </row>
    <row r="81" spans="1:21" x14ac:dyDescent="0.25">
      <c r="A81" s="6" t="s">
        <v>94</v>
      </c>
      <c r="B81" s="6" t="s">
        <v>95</v>
      </c>
      <c r="C81" s="15">
        <v>1476.3330078125</v>
      </c>
      <c r="D81" s="16">
        <v>36.355800000000002</v>
      </c>
      <c r="E81" s="16">
        <v>42.019399999999997</v>
      </c>
      <c r="F81" s="16">
        <v>42.573099999999997</v>
      </c>
      <c r="G81" s="16">
        <v>143.03877940241577</v>
      </c>
      <c r="H81" s="16">
        <f t="shared" ref="H81:H124" si="4">(6*D81+E81+F81)/8</f>
        <v>37.840912500000002</v>
      </c>
      <c r="I81" s="5"/>
      <c r="J81" s="15">
        <v>1514.2216000000001</v>
      </c>
      <c r="K81" s="16">
        <v>35.914299999999997</v>
      </c>
      <c r="L81" s="16">
        <v>41.904299999999999</v>
      </c>
      <c r="M81" s="16">
        <v>42.555300000000003</v>
      </c>
      <c r="N81" s="16">
        <v>165.9598</v>
      </c>
      <c r="O81" s="16">
        <f t="shared" ref="O81:O124" si="5">(6*K81+L81+M81)/8</f>
        <v>37.493174999999994</v>
      </c>
      <c r="P81" s="7"/>
      <c r="Q81" s="8">
        <f>bdrate(C81:C84,D81:D84,J81:J84,K81:K84)</f>
        <v>6.6229898061176184E-2</v>
      </c>
      <c r="R81" s="8">
        <f>bdrate(C81:C84,E81:E84,J81:J84,L81:L84)</f>
        <v>1.085070480021666E-2</v>
      </c>
      <c r="S81" s="8">
        <f>bdrate(C81:C84,F81:F84,J81:J84,M81:M84)</f>
        <v>-2.5595393375669517E-2</v>
      </c>
      <c r="T81" s="25">
        <f>bdrate(C81:C84,H81:H84,J81:J84,O81:O84)</f>
        <v>5.3365222387680378E-2</v>
      </c>
      <c r="U81" s="28">
        <f t="shared" si="3"/>
        <v>0.16024340177777777</v>
      </c>
    </row>
    <row r="82" spans="1:21" x14ac:dyDescent="0.25">
      <c r="A82" s="9" t="s">
        <v>77</v>
      </c>
      <c r="B82" s="9"/>
      <c r="C82" s="17">
        <v>985.09765625</v>
      </c>
      <c r="D82" s="18">
        <v>34.304200000000002</v>
      </c>
      <c r="E82" s="18">
        <v>40.718400000000003</v>
      </c>
      <c r="F82" s="18">
        <v>41.259599999999999</v>
      </c>
      <c r="G82" s="18">
        <v>189.15510718789406</v>
      </c>
      <c r="H82" s="18">
        <f t="shared" si="4"/>
        <v>35.9754</v>
      </c>
      <c r="I82" s="5"/>
      <c r="J82" s="17">
        <v>1014.5115</v>
      </c>
      <c r="K82" s="18">
        <v>34.058300000000003</v>
      </c>
      <c r="L82" s="18">
        <v>40.7181</v>
      </c>
      <c r="M82" s="18">
        <v>41.398299999999999</v>
      </c>
      <c r="N82" s="18">
        <v>191.9795</v>
      </c>
      <c r="O82" s="18">
        <f t="shared" si="5"/>
        <v>35.808275000000002</v>
      </c>
      <c r="P82" s="7"/>
      <c r="Q82" s="10"/>
      <c r="R82" s="11"/>
      <c r="S82" s="11"/>
      <c r="T82" s="26"/>
      <c r="U82" s="28">
        <f t="shared" si="3"/>
        <v>1.4931623333333409E-2</v>
      </c>
    </row>
    <row r="83" spans="1:21" x14ac:dyDescent="0.25">
      <c r="B83" s="9"/>
      <c r="C83" s="17">
        <v>591.2626953125</v>
      </c>
      <c r="D83" s="18">
        <v>31.789100000000001</v>
      </c>
      <c r="E83" s="18">
        <v>39.226399999999998</v>
      </c>
      <c r="F83" s="18">
        <v>39.767499999999998</v>
      </c>
      <c r="G83" s="18">
        <v>233.94853132310891</v>
      </c>
      <c r="H83" s="18">
        <f t="shared" si="4"/>
        <v>33.7160625</v>
      </c>
      <c r="I83" s="5"/>
      <c r="J83" s="17">
        <v>605.77229999999997</v>
      </c>
      <c r="K83" s="18">
        <v>31.654499999999999</v>
      </c>
      <c r="L83" s="18">
        <v>39.337299999999999</v>
      </c>
      <c r="M83" s="18">
        <v>39.966299999999997</v>
      </c>
      <c r="N83" s="18">
        <v>232.43799999999999</v>
      </c>
      <c r="O83" s="18">
        <f t="shared" si="5"/>
        <v>33.653824999999998</v>
      </c>
      <c r="P83" s="7"/>
      <c r="Q83" s="10"/>
      <c r="R83" s="11"/>
      <c r="S83" s="11"/>
      <c r="T83" s="26"/>
      <c r="U83" s="28">
        <f t="shared" si="3"/>
        <v>-6.456682222222245E-3</v>
      </c>
    </row>
    <row r="84" spans="1:21" ht="16.5" thickBot="1" x14ac:dyDescent="0.3">
      <c r="B84" s="12"/>
      <c r="C84" s="19">
        <v>295.70703125</v>
      </c>
      <c r="D84" s="20">
        <v>28.612300000000001</v>
      </c>
      <c r="E84" s="20">
        <v>37.363100000000003</v>
      </c>
      <c r="F84" s="20">
        <v>37.874899999999997</v>
      </c>
      <c r="G84" s="20">
        <v>276.83789603199017</v>
      </c>
      <c r="H84" s="20">
        <f t="shared" si="4"/>
        <v>30.863975</v>
      </c>
      <c r="I84" s="5"/>
      <c r="J84" s="19">
        <v>303.15410000000003</v>
      </c>
      <c r="K84" s="20">
        <v>28.5276</v>
      </c>
      <c r="L84" s="20">
        <v>37.369</v>
      </c>
      <c r="M84" s="20">
        <v>37.9923</v>
      </c>
      <c r="N84" s="20">
        <v>310.88080000000002</v>
      </c>
      <c r="O84" s="20">
        <f t="shared" si="5"/>
        <v>30.815862499999998</v>
      </c>
      <c r="P84" s="7"/>
      <c r="Q84" s="13"/>
      <c r="R84" s="14"/>
      <c r="S84" s="14"/>
      <c r="T84" s="27"/>
      <c r="U84" s="28">
        <f t="shared" si="3"/>
        <v>0.12297053422222225</v>
      </c>
    </row>
    <row r="85" spans="1:21" x14ac:dyDescent="0.25">
      <c r="B85" s="6" t="s">
        <v>96</v>
      </c>
      <c r="C85" s="15">
        <v>1441.2705078125</v>
      </c>
      <c r="D85" s="16">
        <v>52.4696</v>
      </c>
      <c r="E85" s="16">
        <v>51.265099999999997</v>
      </c>
      <c r="F85" s="16">
        <v>51.523499999999999</v>
      </c>
      <c r="G85" s="16">
        <v>184.3506759524785</v>
      </c>
      <c r="H85" s="16">
        <f t="shared" si="4"/>
        <v>52.200775</v>
      </c>
      <c r="I85" s="5"/>
      <c r="J85" s="15">
        <v>1473.5944</v>
      </c>
      <c r="K85" s="16">
        <v>51.398400000000002</v>
      </c>
      <c r="L85" s="16">
        <v>52.432499999999997</v>
      </c>
      <c r="M85" s="16">
        <v>52.982100000000003</v>
      </c>
      <c r="N85" s="16">
        <v>229.59180000000001</v>
      </c>
      <c r="O85" s="16">
        <f t="shared" si="5"/>
        <v>51.725625000000001</v>
      </c>
      <c r="P85" s="7"/>
      <c r="Q85" s="8">
        <f>bdrate(C85:C88,D85:D88,J85:J88,K85:K88)</f>
        <v>2.3265273300643319E-2</v>
      </c>
      <c r="R85" s="8">
        <f>bdrate(C85:C88,E85:E88,J85:J88,L85:L88)</f>
        <v>-0.26098432655512882</v>
      </c>
      <c r="S85" s="8">
        <f>bdrate(C85:C88,F85:F88,J85:J88,M85:M88)</f>
        <v>-0.29872650457102934</v>
      </c>
      <c r="T85" s="25">
        <f>bdrate(C85:C88,H85:H88,J85:J88,O85:O88)</f>
        <v>-4.9353286756991466E-2</v>
      </c>
      <c r="U85" s="28">
        <f t="shared" si="3"/>
        <v>0.24540796400000001</v>
      </c>
    </row>
    <row r="86" spans="1:21" x14ac:dyDescent="0.25">
      <c r="B86" s="9"/>
      <c r="C86" s="17">
        <v>962.974609375</v>
      </c>
      <c r="D86" s="18">
        <v>49.691600000000001</v>
      </c>
      <c r="E86" s="18">
        <v>48.862299999999998</v>
      </c>
      <c r="F86" s="18">
        <v>49.140999999999998</v>
      </c>
      <c r="G86" s="18">
        <v>265.64344746162931</v>
      </c>
      <c r="H86" s="18">
        <f t="shared" si="4"/>
        <v>49.519112500000006</v>
      </c>
      <c r="I86" s="5"/>
      <c r="J86" s="17">
        <v>984.28530000000001</v>
      </c>
      <c r="K86" s="18">
        <v>49.466999999999999</v>
      </c>
      <c r="L86" s="18">
        <v>50.6693</v>
      </c>
      <c r="M86" s="18">
        <v>51.2652</v>
      </c>
      <c r="N86" s="18">
        <v>391.1343</v>
      </c>
      <c r="O86" s="18">
        <f t="shared" si="5"/>
        <v>49.842062500000004</v>
      </c>
      <c r="P86" s="7"/>
      <c r="Q86" s="10"/>
      <c r="R86" s="11"/>
      <c r="S86" s="11"/>
      <c r="T86" s="26"/>
      <c r="U86" s="28">
        <f t="shared" si="3"/>
        <v>0.4724033426666665</v>
      </c>
    </row>
    <row r="87" spans="1:21" x14ac:dyDescent="0.25">
      <c r="B87" s="9"/>
      <c r="C87" s="17">
        <v>580.1142578125</v>
      </c>
      <c r="D87" s="18">
        <v>46.4649</v>
      </c>
      <c r="E87" s="18">
        <v>46.29</v>
      </c>
      <c r="F87" s="18">
        <v>46.558500000000002</v>
      </c>
      <c r="G87" s="18">
        <v>312.60854463355332</v>
      </c>
      <c r="H87" s="18">
        <f t="shared" si="4"/>
        <v>46.4547375</v>
      </c>
      <c r="I87" s="5"/>
      <c r="J87" s="17">
        <v>603.65549999999996</v>
      </c>
      <c r="K87" s="18">
        <v>46.7363</v>
      </c>
      <c r="L87" s="18">
        <v>48.1691</v>
      </c>
      <c r="M87" s="18">
        <v>48.7134</v>
      </c>
      <c r="N87" s="18">
        <v>471.20420000000001</v>
      </c>
      <c r="O87" s="18">
        <f t="shared" si="5"/>
        <v>47.162537499999999</v>
      </c>
      <c r="P87" s="7"/>
      <c r="Q87" s="10"/>
      <c r="R87" s="11"/>
      <c r="S87" s="11"/>
      <c r="T87" s="26"/>
      <c r="U87" s="28">
        <f t="shared" si="3"/>
        <v>0.50732987977777777</v>
      </c>
    </row>
    <row r="88" spans="1:21" ht="16.5" thickBot="1" x14ac:dyDescent="0.3">
      <c r="B88" s="12"/>
      <c r="C88" s="19">
        <v>290.912109375</v>
      </c>
      <c r="D88" s="20">
        <v>42.029499999999999</v>
      </c>
      <c r="E88" s="20">
        <v>42.747199999999999</v>
      </c>
      <c r="F88" s="20">
        <v>43.011200000000002</v>
      </c>
      <c r="G88" s="20">
        <v>364.37246963562751</v>
      </c>
      <c r="H88" s="20">
        <f t="shared" si="4"/>
        <v>42.241924999999995</v>
      </c>
      <c r="I88" s="5"/>
      <c r="J88" s="19">
        <v>304.72800000000001</v>
      </c>
      <c r="K88" s="20">
        <v>42.367800000000003</v>
      </c>
      <c r="L88" s="20">
        <v>44.215699999999998</v>
      </c>
      <c r="M88" s="20">
        <v>44.713900000000002</v>
      </c>
      <c r="N88" s="20">
        <v>555.21280000000002</v>
      </c>
      <c r="O88" s="20">
        <f t="shared" si="5"/>
        <v>42.892050000000005</v>
      </c>
      <c r="P88" s="7"/>
      <c r="Q88" s="13"/>
      <c r="R88" s="14"/>
      <c r="S88" s="14"/>
      <c r="T88" s="27"/>
      <c r="U88" s="28">
        <f t="shared" si="3"/>
        <v>0.52375068444444461</v>
      </c>
    </row>
    <row r="89" spans="1:21" x14ac:dyDescent="0.25">
      <c r="B89" s="6" t="s">
        <v>97</v>
      </c>
      <c r="C89" s="15">
        <v>1446.8310546875</v>
      </c>
      <c r="D89" s="16">
        <v>43.945099999999996</v>
      </c>
      <c r="E89" s="16">
        <v>46.0246</v>
      </c>
      <c r="F89" s="16">
        <v>46.492699999999999</v>
      </c>
      <c r="G89" s="16">
        <v>162.57225433526014</v>
      </c>
      <c r="H89" s="16">
        <f t="shared" si="4"/>
        <v>44.523487500000002</v>
      </c>
      <c r="I89" s="5"/>
      <c r="J89" s="15">
        <v>1463.5455999999999</v>
      </c>
      <c r="K89" s="16">
        <v>43.376800000000003</v>
      </c>
      <c r="L89" s="16">
        <v>46.216500000000003</v>
      </c>
      <c r="M89" s="16">
        <v>46.683799999999998</v>
      </c>
      <c r="N89" s="16">
        <v>224.0478</v>
      </c>
      <c r="O89" s="16">
        <f t="shared" si="5"/>
        <v>44.145137500000004</v>
      </c>
      <c r="P89" s="7"/>
      <c r="Q89" s="8">
        <f>bdrate(C89:C92,D89:D92,J89:J92,K89:K92)</f>
        <v>1.3249398583444094E-2</v>
      </c>
      <c r="R89" s="8">
        <f>bdrate(C89:C92,E89:E92,J89:J92,L89:L92)</f>
        <v>-0.10681769114751083</v>
      </c>
      <c r="S89" s="8">
        <f>bdrate(C89:C92,F89:F92,J89:J92,M89:M92)</f>
        <v>-9.6850524044902464E-2</v>
      </c>
      <c r="T89" s="25">
        <f>bdrate(C89:C92,H89:H92,J89:J92,O89:O92)</f>
        <v>-9.1479714859219463E-3</v>
      </c>
      <c r="U89" s="28">
        <f t="shared" si="3"/>
        <v>0.37814291199999978</v>
      </c>
    </row>
    <row r="90" spans="1:21" x14ac:dyDescent="0.25">
      <c r="B90" s="9"/>
      <c r="C90" s="17">
        <v>966.6953125</v>
      </c>
      <c r="D90" s="18">
        <v>41.816699999999997</v>
      </c>
      <c r="E90" s="18">
        <v>44.484900000000003</v>
      </c>
      <c r="F90" s="18">
        <v>44.978499999999997</v>
      </c>
      <c r="G90" s="18">
        <v>221.13022113022112</v>
      </c>
      <c r="H90" s="18">
        <f t="shared" si="4"/>
        <v>42.545449999999995</v>
      </c>
      <c r="I90" s="5"/>
      <c r="J90" s="17">
        <v>978.27229999999997</v>
      </c>
      <c r="K90" s="18">
        <v>41.6205</v>
      </c>
      <c r="L90" s="18">
        <v>44.918599999999998</v>
      </c>
      <c r="M90" s="18">
        <v>45.370699999999999</v>
      </c>
      <c r="N90" s="18">
        <v>285.98669999999998</v>
      </c>
      <c r="O90" s="18">
        <f t="shared" si="5"/>
        <v>42.501537500000005</v>
      </c>
      <c r="P90" s="7"/>
      <c r="Q90" s="10"/>
      <c r="R90" s="11"/>
      <c r="S90" s="11"/>
      <c r="T90" s="26"/>
      <c r="U90" s="28">
        <f t="shared" si="3"/>
        <v>0.29329541000000003</v>
      </c>
    </row>
    <row r="91" spans="1:21" x14ac:dyDescent="0.25">
      <c r="B91" s="9"/>
      <c r="C91" s="17">
        <v>583.962890625</v>
      </c>
      <c r="D91" s="18">
        <v>39.040199999999999</v>
      </c>
      <c r="E91" s="18">
        <v>42.557000000000002</v>
      </c>
      <c r="F91" s="18">
        <v>43.052300000000002</v>
      </c>
      <c r="G91" s="18">
        <v>267.06231454005933</v>
      </c>
      <c r="H91" s="18">
        <f t="shared" si="4"/>
        <v>39.981312500000001</v>
      </c>
      <c r="I91" s="5"/>
      <c r="J91" s="17">
        <v>588.66</v>
      </c>
      <c r="K91" s="18">
        <v>39.125900000000001</v>
      </c>
      <c r="L91" s="18">
        <v>43.079000000000001</v>
      </c>
      <c r="M91" s="18">
        <v>43.513399999999997</v>
      </c>
      <c r="N91" s="18">
        <v>344.16829999999999</v>
      </c>
      <c r="O91" s="18">
        <f t="shared" si="5"/>
        <v>40.168475000000001</v>
      </c>
      <c r="P91" s="7"/>
      <c r="Q91" s="10"/>
      <c r="R91" s="11"/>
      <c r="S91" s="11"/>
      <c r="T91" s="26"/>
      <c r="U91" s="28">
        <f t="shared" si="3"/>
        <v>0.28871907888888892</v>
      </c>
    </row>
    <row r="92" spans="1:21" ht="16.5" thickBot="1" x14ac:dyDescent="0.3">
      <c r="B92" s="12"/>
      <c r="C92" s="19">
        <v>294.2578125</v>
      </c>
      <c r="D92" s="20">
        <v>35.276000000000003</v>
      </c>
      <c r="E92" s="20">
        <v>39.944800000000001</v>
      </c>
      <c r="F92" s="20">
        <v>40.4497</v>
      </c>
      <c r="G92" s="20">
        <v>310.34482758620692</v>
      </c>
      <c r="H92" s="20">
        <f t="shared" si="4"/>
        <v>36.5063125</v>
      </c>
      <c r="I92" s="5"/>
      <c r="J92" s="19">
        <v>295.96910000000003</v>
      </c>
      <c r="K92" s="20">
        <v>35.441099999999999</v>
      </c>
      <c r="L92" s="20">
        <v>40.366</v>
      </c>
      <c r="M92" s="20">
        <v>40.861499999999999</v>
      </c>
      <c r="N92" s="20">
        <v>409.09089999999998</v>
      </c>
      <c r="O92" s="20">
        <f t="shared" si="5"/>
        <v>36.734262499999993</v>
      </c>
      <c r="P92" s="7"/>
      <c r="Q92" s="13"/>
      <c r="R92" s="14"/>
      <c r="S92" s="14"/>
      <c r="T92" s="27"/>
      <c r="U92" s="28">
        <f t="shared" si="3"/>
        <v>0.31818178888888871</v>
      </c>
    </row>
    <row r="93" spans="1:21" x14ac:dyDescent="0.25">
      <c r="B93" s="6" t="s">
        <v>98</v>
      </c>
      <c r="C93" s="29">
        <v>1452.072265625</v>
      </c>
      <c r="D93" s="30">
        <v>38.467500000000001</v>
      </c>
      <c r="E93" s="30">
        <v>42.371099999999998</v>
      </c>
      <c r="F93" s="30">
        <v>42.114800000000002</v>
      </c>
      <c r="G93" s="16">
        <v>149.80026631158455</v>
      </c>
      <c r="H93" s="16">
        <f t="shared" si="4"/>
        <v>39.411362500000003</v>
      </c>
      <c r="I93" s="5"/>
      <c r="J93" s="29">
        <v>1512.5469000000001</v>
      </c>
      <c r="K93" s="30">
        <v>38.2072</v>
      </c>
      <c r="L93" s="30">
        <v>42.632199999999997</v>
      </c>
      <c r="M93" s="30">
        <v>42.412500000000001</v>
      </c>
      <c r="N93" s="16">
        <v>211.9143</v>
      </c>
      <c r="O93" s="16">
        <f t="shared" si="5"/>
        <v>39.285987500000005</v>
      </c>
      <c r="P93" s="7"/>
      <c r="Q93" s="8">
        <f>bdrate(C93:C96,D93:D96,J93:J96,K93:K96)</f>
        <v>4.9392264218166115E-2</v>
      </c>
      <c r="R93" s="8">
        <f>bdrate(C93:C96,E93:E96,J93:J96,L93:L96)</f>
        <v>-2.390446540720792E-2</v>
      </c>
      <c r="S93" s="8">
        <f>bdrate(C93:C96,F93:F96,J93:J96,M93:M96)</f>
        <v>-3.3493655523303079E-2</v>
      </c>
      <c r="T93" s="25">
        <f>bdrate(C93:C96,H93:H96,J93:J96,O93:O96)</f>
        <v>3.5635820242297056E-2</v>
      </c>
      <c r="U93" s="28">
        <f t="shared" si="3"/>
        <v>0.41464568266666668</v>
      </c>
    </row>
    <row r="94" spans="1:21" x14ac:dyDescent="0.25">
      <c r="B94" s="9"/>
      <c r="C94" s="31">
        <v>968.689453125</v>
      </c>
      <c r="D94" s="32">
        <v>36.529000000000003</v>
      </c>
      <c r="E94" s="32">
        <v>41.1599</v>
      </c>
      <c r="F94" s="32">
        <v>40.875700000000002</v>
      </c>
      <c r="G94" s="18">
        <v>191.00169779286929</v>
      </c>
      <c r="H94" s="18">
        <f t="shared" si="4"/>
        <v>37.651200000000003</v>
      </c>
      <c r="I94" s="5"/>
      <c r="J94" s="31">
        <v>1007.5733</v>
      </c>
      <c r="K94" s="32">
        <v>36.375</v>
      </c>
      <c r="L94" s="32">
        <v>41.365600000000001</v>
      </c>
      <c r="M94" s="32">
        <v>41.116700000000002</v>
      </c>
      <c r="N94" s="18">
        <v>252.17150000000001</v>
      </c>
      <c r="O94" s="18">
        <f t="shared" si="5"/>
        <v>37.591537499999994</v>
      </c>
      <c r="P94" s="7"/>
      <c r="Q94" s="10"/>
      <c r="R94" s="11"/>
      <c r="S94" s="11"/>
      <c r="T94" s="26"/>
      <c r="U94" s="28">
        <f t="shared" si="3"/>
        <v>0.32025789777777763</v>
      </c>
    </row>
    <row r="95" spans="1:21" x14ac:dyDescent="0.25">
      <c r="B95" s="9"/>
      <c r="C95" s="31">
        <v>583.119140625</v>
      </c>
      <c r="D95" s="32">
        <v>34.175400000000003</v>
      </c>
      <c r="E95" s="32">
        <v>39.715200000000003</v>
      </c>
      <c r="F95" s="32">
        <v>39.3857</v>
      </c>
      <c r="G95" s="18">
        <v>237.4043787918755</v>
      </c>
      <c r="H95" s="18">
        <f t="shared" si="4"/>
        <v>35.519162500000007</v>
      </c>
      <c r="I95" s="5"/>
      <c r="J95" s="31">
        <v>602.12350000000004</v>
      </c>
      <c r="K95" s="32">
        <v>34.149500000000003</v>
      </c>
      <c r="L95" s="32">
        <v>39.850499999999997</v>
      </c>
      <c r="M95" s="32">
        <v>39.556800000000003</v>
      </c>
      <c r="N95" s="18">
        <v>293.25510000000003</v>
      </c>
      <c r="O95" s="18">
        <f t="shared" si="5"/>
        <v>35.538037500000002</v>
      </c>
      <c r="P95" s="7"/>
      <c r="Q95" s="10"/>
      <c r="R95" s="11"/>
      <c r="S95" s="11"/>
      <c r="T95" s="26"/>
      <c r="U95" s="28">
        <f t="shared" si="3"/>
        <v>0.23525564900000007</v>
      </c>
    </row>
    <row r="96" spans="1:21" ht="16.5" thickBot="1" x14ac:dyDescent="0.3">
      <c r="B96" s="12"/>
      <c r="C96" s="33">
        <v>294.1953125</v>
      </c>
      <c r="D96" s="34">
        <v>31.112300000000001</v>
      </c>
      <c r="E96" s="34">
        <v>37.935600000000001</v>
      </c>
      <c r="F96" s="34">
        <v>37.536799999999999</v>
      </c>
      <c r="G96" s="20">
        <v>302.01342281879192</v>
      </c>
      <c r="H96" s="20">
        <f t="shared" si="4"/>
        <v>32.768275000000003</v>
      </c>
      <c r="I96" s="5"/>
      <c r="J96" s="33">
        <v>300.83569999999997</v>
      </c>
      <c r="K96" s="34">
        <v>31.174099999999999</v>
      </c>
      <c r="L96" s="34">
        <v>38.052</v>
      </c>
      <c r="M96" s="34">
        <v>37.678800000000003</v>
      </c>
      <c r="N96" s="20">
        <v>375.15629999999999</v>
      </c>
      <c r="O96" s="20">
        <f t="shared" si="5"/>
        <v>32.846924999999999</v>
      </c>
      <c r="P96" s="7"/>
      <c r="Q96" s="13"/>
      <c r="R96" s="14"/>
      <c r="S96" s="14"/>
      <c r="T96" s="27"/>
      <c r="U96" s="28">
        <f t="shared" si="3"/>
        <v>0.24218419333333338</v>
      </c>
    </row>
    <row r="97" spans="2:21" x14ac:dyDescent="0.25">
      <c r="B97" s="6" t="s">
        <v>99</v>
      </c>
      <c r="C97" s="15">
        <v>1472.2236328125</v>
      </c>
      <c r="D97" s="16">
        <v>37.090699999999998</v>
      </c>
      <c r="E97" s="16">
        <v>40.999200000000002</v>
      </c>
      <c r="F97" s="16">
        <v>41.6905</v>
      </c>
      <c r="G97" s="16">
        <v>158.17223198594024</v>
      </c>
      <c r="H97" s="16">
        <f t="shared" si="4"/>
        <v>38.154237500000001</v>
      </c>
      <c r="I97" s="5"/>
      <c r="J97" s="15">
        <v>1504.7412999999999</v>
      </c>
      <c r="K97" s="16">
        <v>36.81</v>
      </c>
      <c r="L97" s="16">
        <v>41.557499999999997</v>
      </c>
      <c r="M97" s="16">
        <v>42.052900000000001</v>
      </c>
      <c r="N97" s="16">
        <v>203.98910000000001</v>
      </c>
      <c r="O97" s="16">
        <f t="shared" si="5"/>
        <v>38.058800000000005</v>
      </c>
      <c r="P97" s="7"/>
      <c r="Q97" s="8">
        <f>bdrate(C97:C100,D97:D100,J97:J100,K97:K100)</f>
        <v>7.4009124581912999E-3</v>
      </c>
      <c r="R97" s="8">
        <f>bdrate(C97:C100,E97:E100,J97:J100,L97:L100)</f>
        <v>-0.16076175857558961</v>
      </c>
      <c r="S97" s="8">
        <f>bdrate(C97:C100,F97:F100,J97:J100,M97:M100)</f>
        <v>-0.1053270934035363</v>
      </c>
      <c r="T97" s="25">
        <f>bdrate(C97:C100,H97:H100,J97:J100,O97:O100)</f>
        <v>-1.8661148124004989E-2</v>
      </c>
      <c r="U97" s="28">
        <f t="shared" si="3"/>
        <v>0.28966442111111118</v>
      </c>
    </row>
    <row r="98" spans="2:21" x14ac:dyDescent="0.25">
      <c r="B98" s="9"/>
      <c r="C98" s="17">
        <v>983.173828125</v>
      </c>
      <c r="D98" s="18">
        <v>35.045200000000001</v>
      </c>
      <c r="E98" s="18">
        <v>39.601399999999998</v>
      </c>
      <c r="F98" s="18">
        <v>40.353099999999998</v>
      </c>
      <c r="G98" s="18">
        <v>200.75842070042384</v>
      </c>
      <c r="H98" s="18">
        <f t="shared" si="4"/>
        <v>36.278212500000002</v>
      </c>
      <c r="I98" s="5"/>
      <c r="J98" s="17">
        <v>1001.2328</v>
      </c>
      <c r="K98" s="18">
        <v>34.893900000000002</v>
      </c>
      <c r="L98" s="18">
        <v>40.139400000000002</v>
      </c>
      <c r="M98" s="18">
        <v>40.690100000000001</v>
      </c>
      <c r="N98" s="18">
        <v>242.13079999999999</v>
      </c>
      <c r="O98" s="18">
        <f t="shared" si="5"/>
        <v>36.274112500000001</v>
      </c>
      <c r="P98" s="7"/>
      <c r="Q98" s="10"/>
      <c r="R98" s="11"/>
      <c r="S98" s="11"/>
      <c r="T98" s="26"/>
      <c r="U98" s="28">
        <f t="shared" si="3"/>
        <v>0.20608041822222209</v>
      </c>
    </row>
    <row r="99" spans="2:21" x14ac:dyDescent="0.25">
      <c r="B99" s="9"/>
      <c r="C99" s="17">
        <v>591.3369140625</v>
      </c>
      <c r="D99" s="18">
        <v>32.427700000000002</v>
      </c>
      <c r="E99" s="18">
        <v>37.819200000000002</v>
      </c>
      <c r="F99" s="18">
        <v>38.620699999999999</v>
      </c>
      <c r="G99" s="18">
        <v>248.6874827300359</v>
      </c>
      <c r="H99" s="18">
        <f t="shared" si="4"/>
        <v>33.8757625</v>
      </c>
      <c r="I99" s="5"/>
      <c r="J99" s="17">
        <v>601.9144</v>
      </c>
      <c r="K99" s="18">
        <v>32.568399999999997</v>
      </c>
      <c r="L99" s="18">
        <v>38.526800000000001</v>
      </c>
      <c r="M99" s="18">
        <v>39.103000000000002</v>
      </c>
      <c r="N99" s="18">
        <v>288.3691</v>
      </c>
      <c r="O99" s="18">
        <f t="shared" si="5"/>
        <v>34.130024999999996</v>
      </c>
      <c r="P99" s="7"/>
      <c r="Q99" s="10"/>
      <c r="R99" s="11"/>
      <c r="S99" s="11"/>
      <c r="T99" s="26"/>
      <c r="U99" s="28">
        <f t="shared" si="3"/>
        <v>0.15956419211111125</v>
      </c>
    </row>
    <row r="100" spans="2:21" ht="16.5" thickBot="1" x14ac:dyDescent="0.3">
      <c r="B100" s="12"/>
      <c r="C100" s="19">
        <v>295.623046875</v>
      </c>
      <c r="D100" s="20">
        <v>29.045999999999999</v>
      </c>
      <c r="E100" s="20">
        <v>35.814500000000002</v>
      </c>
      <c r="F100" s="20">
        <v>36.721299999999999</v>
      </c>
      <c r="G100" s="20">
        <v>304.3625295908015</v>
      </c>
      <c r="H100" s="20">
        <f t="shared" si="4"/>
        <v>30.851475000000001</v>
      </c>
      <c r="I100" s="5"/>
      <c r="J100" s="19">
        <v>300.7355</v>
      </c>
      <c r="K100" s="20">
        <v>29.3794</v>
      </c>
      <c r="L100" s="20">
        <v>36.377099999999999</v>
      </c>
      <c r="M100" s="20">
        <v>37.032499999999999</v>
      </c>
      <c r="N100" s="20">
        <v>361.01080000000002</v>
      </c>
      <c r="O100" s="20">
        <f t="shared" si="5"/>
        <v>31.210750000000001</v>
      </c>
      <c r="P100" s="7"/>
      <c r="Q100" s="13"/>
      <c r="R100" s="14"/>
      <c r="S100" s="14"/>
      <c r="T100" s="27"/>
      <c r="U100" s="28">
        <f t="shared" si="3"/>
        <v>0.18612103955555556</v>
      </c>
    </row>
    <row r="101" spans="2:21" x14ac:dyDescent="0.25">
      <c r="B101" s="6" t="s">
        <v>100</v>
      </c>
      <c r="C101" s="15">
        <v>1477.38671875</v>
      </c>
      <c r="D101" s="16">
        <v>37.803800000000003</v>
      </c>
      <c r="E101" s="16">
        <v>43.225700000000003</v>
      </c>
      <c r="F101" s="16">
        <v>45.104199999999999</v>
      </c>
      <c r="G101" s="16">
        <v>150.80428954423593</v>
      </c>
      <c r="H101" s="16">
        <f t="shared" si="4"/>
        <v>39.394087500000005</v>
      </c>
      <c r="I101" s="5"/>
      <c r="J101" s="15">
        <v>1518.0912000000001</v>
      </c>
      <c r="K101" s="16">
        <v>37.183999999999997</v>
      </c>
      <c r="L101" s="16">
        <v>43.214300000000001</v>
      </c>
      <c r="M101" s="16">
        <v>45.100200000000001</v>
      </c>
      <c r="N101" s="16">
        <v>202.20179999999999</v>
      </c>
      <c r="O101" s="16">
        <f t="shared" si="5"/>
        <v>38.927312499999999</v>
      </c>
      <c r="P101" s="7"/>
      <c r="Q101" s="8">
        <f>bdrate(C101:C104,D101:D104,J101:J104,K101:K104)</f>
        <v>0.16058136580949145</v>
      </c>
      <c r="R101" s="8">
        <f>bdrate(C101:C104,E101:E104,J101:J104,L101:L104)</f>
        <v>5.9799583705295811E-2</v>
      </c>
      <c r="S101" s="8">
        <f>bdrate(C101:C104,F101:F104,J101:J104,M101:M104)</f>
        <v>2.6765398836840593E-2</v>
      </c>
      <c r="T101" s="25">
        <f>bdrate(C101:C104,H101:H104,J101:J104,O101:O104)</f>
        <v>0.13728889084977158</v>
      </c>
      <c r="U101" s="28">
        <f t="shared" si="3"/>
        <v>0.34082260266666659</v>
      </c>
    </row>
    <row r="102" spans="2:21" x14ac:dyDescent="0.25">
      <c r="B102" s="9"/>
      <c r="C102" s="17">
        <v>984.8251953125</v>
      </c>
      <c r="D102" s="18">
        <v>36.333199999999998</v>
      </c>
      <c r="E102" s="18">
        <v>42.295400000000001</v>
      </c>
      <c r="F102" s="18">
        <v>44.089399999999998</v>
      </c>
      <c r="G102" s="18">
        <v>191.08280254777071</v>
      </c>
      <c r="H102" s="18">
        <f t="shared" si="4"/>
        <v>38.047999999999995</v>
      </c>
      <c r="I102" s="5"/>
      <c r="J102" s="17">
        <v>1012.6269</v>
      </c>
      <c r="K102" s="18">
        <v>35.747399999999999</v>
      </c>
      <c r="L102" s="18">
        <v>42.1907</v>
      </c>
      <c r="M102" s="18">
        <v>43.997500000000002</v>
      </c>
      <c r="N102" s="18">
        <v>235.1097</v>
      </c>
      <c r="O102" s="18">
        <f t="shared" si="5"/>
        <v>37.584074999999999</v>
      </c>
      <c r="P102" s="7"/>
      <c r="Q102" s="10"/>
      <c r="R102" s="11"/>
      <c r="S102" s="11"/>
      <c r="T102" s="26"/>
      <c r="U102" s="28">
        <f t="shared" si="3"/>
        <v>0.23040742999999994</v>
      </c>
    </row>
    <row r="103" spans="2:21" x14ac:dyDescent="0.25">
      <c r="B103" s="9"/>
      <c r="C103" s="17">
        <v>592.34375</v>
      </c>
      <c r="D103" s="18">
        <v>34.521999999999998</v>
      </c>
      <c r="E103" s="18">
        <v>41.136600000000001</v>
      </c>
      <c r="F103" s="18">
        <v>42.698900000000002</v>
      </c>
      <c r="G103" s="18">
        <v>234.74178403755869</v>
      </c>
      <c r="H103" s="18">
        <f t="shared" si="4"/>
        <v>36.370937499999997</v>
      </c>
      <c r="I103" s="5"/>
      <c r="J103" s="17">
        <v>603.4461</v>
      </c>
      <c r="K103" s="18">
        <v>34.130499999999998</v>
      </c>
      <c r="L103" s="18">
        <v>41.029499999999999</v>
      </c>
      <c r="M103" s="18">
        <v>42.698099999999997</v>
      </c>
      <c r="N103" s="18">
        <v>271.4932</v>
      </c>
      <c r="O103" s="18">
        <f t="shared" si="5"/>
        <v>36.063825000000001</v>
      </c>
      <c r="P103" s="7"/>
      <c r="Q103" s="10"/>
      <c r="R103" s="11"/>
      <c r="S103" s="11"/>
      <c r="T103" s="26"/>
      <c r="U103" s="28">
        <f t="shared" si="3"/>
        <v>0.15656103199999999</v>
      </c>
    </row>
    <row r="104" spans="2:21" ht="16.5" thickBot="1" x14ac:dyDescent="0.3">
      <c r="B104" s="12"/>
      <c r="C104" s="19">
        <v>297.251953125</v>
      </c>
      <c r="D104" s="20">
        <v>32.197499999999998</v>
      </c>
      <c r="E104" s="20">
        <v>39.676200000000001</v>
      </c>
      <c r="F104" s="20">
        <v>41.012300000000003</v>
      </c>
      <c r="G104" s="20">
        <v>313.37047353760448</v>
      </c>
      <c r="H104" s="20">
        <f t="shared" si="4"/>
        <v>34.234187499999997</v>
      </c>
      <c r="I104" s="5"/>
      <c r="J104" s="19">
        <v>301.83519999999999</v>
      </c>
      <c r="K104" s="20">
        <v>32.0291</v>
      </c>
      <c r="L104" s="20">
        <v>39.674999999999997</v>
      </c>
      <c r="M104" s="20">
        <v>41.115000000000002</v>
      </c>
      <c r="N104" s="20">
        <v>349.92219999999998</v>
      </c>
      <c r="O104" s="20">
        <f t="shared" si="5"/>
        <v>34.120575000000002</v>
      </c>
      <c r="P104" s="7"/>
      <c r="Q104" s="13"/>
      <c r="R104" s="14"/>
      <c r="S104" s="14"/>
      <c r="T104" s="27"/>
      <c r="U104" s="28">
        <f t="shared" si="3"/>
        <v>0.11664062044444427</v>
      </c>
    </row>
    <row r="105" spans="2:21" x14ac:dyDescent="0.25">
      <c r="B105" s="6" t="s">
        <v>101</v>
      </c>
      <c r="C105" s="15">
        <v>1455.9482421875</v>
      </c>
      <c r="D105" s="16">
        <v>49.102699999999999</v>
      </c>
      <c r="E105" s="16">
        <v>54.517000000000003</v>
      </c>
      <c r="F105" s="16">
        <v>54.462600000000002</v>
      </c>
      <c r="G105" s="16">
        <v>168.3186833738545</v>
      </c>
      <c r="H105" s="16">
        <f t="shared" si="4"/>
        <v>50.449475</v>
      </c>
      <c r="I105" s="5"/>
      <c r="J105" s="15">
        <v>1512.4843000000001</v>
      </c>
      <c r="K105" s="16">
        <v>48.227400000000003</v>
      </c>
      <c r="L105" s="16">
        <v>54.808399999999999</v>
      </c>
      <c r="M105" s="16">
        <v>54.738100000000003</v>
      </c>
      <c r="N105" s="16">
        <v>223.21430000000001</v>
      </c>
      <c r="O105" s="16">
        <f t="shared" si="5"/>
        <v>49.86386250000001</v>
      </c>
      <c r="P105" s="7"/>
      <c r="Q105" s="8">
        <f>bdrate(C105:C108,D105:D108,J105:J108,K105:K108)</f>
        <v>0.26503352840953864</v>
      </c>
      <c r="R105" s="8">
        <f>bdrate(C105:C108,E105:E108,J105:J108,L105:L108)</f>
        <v>-2.4615828547966845E-2</v>
      </c>
      <c r="S105" s="8">
        <f>bdrate(C105:C108,F105:F108,J105:J108,M105:M108)</f>
        <v>-1.2738670418768638E-2</v>
      </c>
      <c r="T105" s="25">
        <f>bdrate(C105:C108,H105:H108,J105:J108,O105:O108)</f>
        <v>0.19145967131228714</v>
      </c>
      <c r="U105" s="28">
        <f t="shared" si="3"/>
        <v>0.32614095788888892</v>
      </c>
    </row>
    <row r="106" spans="2:21" x14ac:dyDescent="0.25">
      <c r="B106" s="9"/>
      <c r="C106" s="17">
        <v>970.0771484375</v>
      </c>
      <c r="D106" s="18">
        <v>47.197400000000002</v>
      </c>
      <c r="E106" s="18">
        <v>52.861600000000003</v>
      </c>
      <c r="F106" s="18">
        <v>52.752699999999997</v>
      </c>
      <c r="G106" s="18">
        <v>221.62029056882542</v>
      </c>
      <c r="H106" s="18">
        <f t="shared" si="4"/>
        <v>48.5998375</v>
      </c>
      <c r="I106" s="5"/>
      <c r="J106" s="17">
        <v>1008.2845</v>
      </c>
      <c r="K106" s="18">
        <v>46.460999999999999</v>
      </c>
      <c r="L106" s="18">
        <v>53.29</v>
      </c>
      <c r="M106" s="18">
        <v>53.154400000000003</v>
      </c>
      <c r="N106" s="18">
        <v>296.93169999999998</v>
      </c>
      <c r="O106" s="18">
        <f t="shared" si="5"/>
        <v>48.151299999999999</v>
      </c>
      <c r="P106" s="7"/>
      <c r="Q106" s="10"/>
      <c r="R106" s="11"/>
      <c r="S106" s="11"/>
      <c r="T106" s="26"/>
      <c r="U106" s="28">
        <f t="shared" si="3"/>
        <v>0.33982181522222205</v>
      </c>
    </row>
    <row r="107" spans="2:21" x14ac:dyDescent="0.25">
      <c r="B107" s="9"/>
      <c r="C107" s="17">
        <v>581.96484375</v>
      </c>
      <c r="D107" s="18">
        <v>45.080100000000002</v>
      </c>
      <c r="E107" s="18">
        <v>50.968600000000002</v>
      </c>
      <c r="F107" s="18">
        <v>50.829900000000002</v>
      </c>
      <c r="G107" s="18">
        <v>273.39003645200489</v>
      </c>
      <c r="H107" s="18">
        <f t="shared" si="4"/>
        <v>46.534887499999996</v>
      </c>
      <c r="I107" s="5"/>
      <c r="J107" s="17">
        <v>605.81569999999999</v>
      </c>
      <c r="K107" s="18">
        <v>44.197600000000001</v>
      </c>
      <c r="L107" s="18">
        <v>51.248800000000003</v>
      </c>
      <c r="M107" s="18">
        <v>51.034199999999998</v>
      </c>
      <c r="N107" s="18">
        <v>354.33069999999998</v>
      </c>
      <c r="O107" s="18">
        <f t="shared" si="5"/>
        <v>45.933575000000005</v>
      </c>
      <c r="P107" s="7"/>
      <c r="Q107" s="10"/>
      <c r="R107" s="11"/>
      <c r="S107" s="11"/>
      <c r="T107" s="26"/>
      <c r="U107" s="28">
        <f t="shared" si="3"/>
        <v>0.29606296044444419</v>
      </c>
    </row>
    <row r="108" spans="2:21" ht="16.5" thickBot="1" x14ac:dyDescent="0.3">
      <c r="B108" s="12"/>
      <c r="C108" s="19">
        <v>291.5322265625</v>
      </c>
      <c r="D108" s="20">
        <v>42.0441</v>
      </c>
      <c r="E108" s="20">
        <v>48.212400000000002</v>
      </c>
      <c r="F108" s="20">
        <v>48.078099999999999</v>
      </c>
      <c r="G108" s="20">
        <v>340.00755572346054</v>
      </c>
      <c r="H108" s="20">
        <f t="shared" si="4"/>
        <v>43.569387499999998</v>
      </c>
      <c r="I108" s="5"/>
      <c r="J108" s="19">
        <v>303.79199999999997</v>
      </c>
      <c r="K108" s="20">
        <v>40.9026</v>
      </c>
      <c r="L108" s="20">
        <v>48.104700000000001</v>
      </c>
      <c r="M108" s="20">
        <v>47.963200000000001</v>
      </c>
      <c r="N108" s="20">
        <v>443.13150000000002</v>
      </c>
      <c r="O108" s="20">
        <f t="shared" si="5"/>
        <v>42.685437499999992</v>
      </c>
      <c r="P108" s="7"/>
      <c r="Q108" s="13"/>
      <c r="R108" s="14"/>
      <c r="S108" s="14"/>
      <c r="T108" s="27"/>
      <c r="U108" s="28">
        <f t="shared" si="3"/>
        <v>0.3032989783333333</v>
      </c>
    </row>
    <row r="109" spans="2:21" x14ac:dyDescent="0.25">
      <c r="B109" s="6" t="s">
        <v>102</v>
      </c>
      <c r="C109" s="15">
        <v>1472.69921875</v>
      </c>
      <c r="D109" s="16">
        <v>31.409300000000002</v>
      </c>
      <c r="E109" s="16">
        <v>40.091000000000001</v>
      </c>
      <c r="F109" s="16">
        <v>39.360199999999999</v>
      </c>
      <c r="G109" s="16">
        <v>145.58395341313491</v>
      </c>
      <c r="H109" s="16">
        <f t="shared" si="4"/>
        <v>33.488375000000005</v>
      </c>
      <c r="I109" s="5"/>
      <c r="J109" s="15">
        <v>1503.9848</v>
      </c>
      <c r="K109" s="16">
        <v>31.0075</v>
      </c>
      <c r="L109" s="16">
        <v>39.931699999999999</v>
      </c>
      <c r="M109" s="16">
        <v>39.132199999999997</v>
      </c>
      <c r="N109" s="16">
        <v>163.33940000000001</v>
      </c>
      <c r="O109" s="16">
        <f t="shared" si="5"/>
        <v>33.138612500000001</v>
      </c>
      <c r="P109" s="7"/>
      <c r="Q109" s="8">
        <f>bdrate(C109:C112,D109:D112,J109:J112,K109:K112)</f>
        <v>5.8939750841543015E-2</v>
      </c>
      <c r="R109" s="8">
        <f>bdrate(C109:C112,E109:E112,J109:J112,L109:L112)</f>
        <v>5.5202734602860071E-2</v>
      </c>
      <c r="S109" s="8">
        <f>bdrate(C109:C112,F109:F112,J109:J112,M109:M112)</f>
        <v>6.5655176825496264E-2</v>
      </c>
      <c r="T109" s="25">
        <f>bdrate(C109:C112,H109:H112,J109:J112,O109:O112)</f>
        <v>5.9069259907711169E-2</v>
      </c>
      <c r="U109" s="28">
        <f t="shared" si="3"/>
        <v>0.12196018977777787</v>
      </c>
    </row>
    <row r="110" spans="2:21" x14ac:dyDescent="0.25">
      <c r="B110" s="9"/>
      <c r="C110" s="17">
        <v>982.4912109375</v>
      </c>
      <c r="D110" s="18">
        <v>29.501899999999999</v>
      </c>
      <c r="E110" s="18">
        <v>39.070099999999996</v>
      </c>
      <c r="F110" s="18">
        <v>38.253500000000003</v>
      </c>
      <c r="G110" s="18">
        <v>191.57088122605361</v>
      </c>
      <c r="H110" s="18">
        <f t="shared" si="4"/>
        <v>31.791874999999997</v>
      </c>
      <c r="I110" s="5"/>
      <c r="J110" s="17">
        <v>1002.5832</v>
      </c>
      <c r="K110" s="18">
        <v>29.231000000000002</v>
      </c>
      <c r="L110" s="18">
        <v>38.988100000000003</v>
      </c>
      <c r="M110" s="18">
        <v>38.144599999999997</v>
      </c>
      <c r="N110" s="18">
        <v>193.34049999999999</v>
      </c>
      <c r="O110" s="18">
        <f t="shared" si="5"/>
        <v>31.564837500000003</v>
      </c>
      <c r="P110" s="7"/>
      <c r="Q110" s="10"/>
      <c r="R110" s="11"/>
      <c r="S110" s="11"/>
      <c r="T110" s="26"/>
      <c r="U110" s="28">
        <f t="shared" si="3"/>
        <v>9.2374100000000882E-3</v>
      </c>
    </row>
    <row r="111" spans="2:21" x14ac:dyDescent="0.25">
      <c r="B111" s="9"/>
      <c r="C111" s="17">
        <v>589.6591796875</v>
      </c>
      <c r="D111" s="18">
        <v>27.1706</v>
      </c>
      <c r="E111" s="18">
        <v>37.723300000000002</v>
      </c>
      <c r="F111" s="18">
        <v>36.814900000000002</v>
      </c>
      <c r="G111" s="18">
        <v>220.4261572373255</v>
      </c>
      <c r="H111" s="18">
        <f t="shared" si="4"/>
        <v>29.695224999999997</v>
      </c>
      <c r="I111" s="5"/>
      <c r="J111" s="17">
        <v>602.26559999999995</v>
      </c>
      <c r="K111" s="18">
        <v>27.0366</v>
      </c>
      <c r="L111" s="18">
        <v>37.636299999999999</v>
      </c>
      <c r="M111" s="18">
        <v>36.6937</v>
      </c>
      <c r="N111" s="18">
        <v>238.7901</v>
      </c>
      <c r="O111" s="18">
        <f t="shared" si="5"/>
        <v>29.568700000000003</v>
      </c>
      <c r="P111" s="7"/>
      <c r="Q111" s="10"/>
      <c r="R111" s="11"/>
      <c r="S111" s="11"/>
      <c r="T111" s="26"/>
      <c r="U111" s="28">
        <f t="shared" si="3"/>
        <v>8.3311086999999964E-2</v>
      </c>
    </row>
    <row r="112" spans="2:21" ht="16.5" thickBot="1" x14ac:dyDescent="0.3">
      <c r="B112" s="12"/>
      <c r="C112" s="19">
        <v>296.564453125</v>
      </c>
      <c r="D112" s="20">
        <v>24.260400000000001</v>
      </c>
      <c r="E112" s="20">
        <v>35.425699999999999</v>
      </c>
      <c r="F112" s="20">
        <v>34.617100000000001</v>
      </c>
      <c r="G112" s="20">
        <v>222.1125370187562</v>
      </c>
      <c r="H112" s="20">
        <f t="shared" si="4"/>
        <v>26.95065</v>
      </c>
      <c r="I112" s="5"/>
      <c r="J112" s="19">
        <v>301.73360000000002</v>
      </c>
      <c r="K112" s="20">
        <v>24.3215</v>
      </c>
      <c r="L112" s="20">
        <v>35.295200000000001</v>
      </c>
      <c r="M112" s="20">
        <v>34.482799999999997</v>
      </c>
      <c r="N112" s="20">
        <v>308.74790000000002</v>
      </c>
      <c r="O112" s="20">
        <f t="shared" si="5"/>
        <v>26.963374999999999</v>
      </c>
      <c r="P112" s="7"/>
      <c r="Q112" s="13"/>
      <c r="R112" s="14"/>
      <c r="S112" s="14"/>
      <c r="T112" s="27"/>
      <c r="U112" s="28">
        <f t="shared" si="3"/>
        <v>0.39005165644444434</v>
      </c>
    </row>
    <row r="113" spans="2:21" x14ac:dyDescent="0.25">
      <c r="B113" s="6" t="s">
        <v>103</v>
      </c>
      <c r="C113" s="15">
        <v>1450.359375</v>
      </c>
      <c r="D113" s="16">
        <v>46.554600000000001</v>
      </c>
      <c r="E113" s="16">
        <v>46.803100000000001</v>
      </c>
      <c r="F113" s="16">
        <v>46.842700000000001</v>
      </c>
      <c r="G113" s="16">
        <v>168.76054753422088</v>
      </c>
      <c r="H113" s="16">
        <f t="shared" si="4"/>
        <v>46.621675000000003</v>
      </c>
      <c r="I113" s="5"/>
      <c r="J113" s="15">
        <v>1335.7917</v>
      </c>
      <c r="K113" s="16">
        <v>45.4876</v>
      </c>
      <c r="L113" s="16">
        <v>46.507300000000001</v>
      </c>
      <c r="M113" s="16">
        <v>46.499600000000001</v>
      </c>
      <c r="N113" s="16">
        <v>209.4485</v>
      </c>
      <c r="O113" s="16">
        <f t="shared" si="5"/>
        <v>45.741562500000001</v>
      </c>
      <c r="P113" s="7"/>
      <c r="Q113" s="8">
        <f>bdrate(C113:C116,D113:D116,J113:J116,K113:K116)</f>
        <v>7.1629796906262255E-2</v>
      </c>
      <c r="R113" s="8">
        <f>bdrate(C113:C116,E113:E116,J113:J116,L113:L116)</f>
        <v>-2.1511663660496949E-2</v>
      </c>
      <c r="S113" s="8">
        <f>bdrate(C113:C116,F113:F116,J113:J116,M113:M116)</f>
        <v>-2.7534911332871892E-2</v>
      </c>
      <c r="T113" s="25">
        <f>bdrate(C113:C116,H113:H116,J113:J116,O113:O116)</f>
        <v>5.1075340923552703E-2</v>
      </c>
      <c r="U113" s="28">
        <f t="shared" si="3"/>
        <v>0.24109872277777786</v>
      </c>
    </row>
    <row r="114" spans="2:21" x14ac:dyDescent="0.25">
      <c r="B114" s="9"/>
      <c r="C114" s="17">
        <v>984.310546875</v>
      </c>
      <c r="D114" s="18">
        <v>44.634799999999998</v>
      </c>
      <c r="E114" s="18">
        <v>45.098999999999997</v>
      </c>
      <c r="F114" s="18">
        <v>45.123399999999997</v>
      </c>
      <c r="G114" s="18">
        <v>234.13111342351718</v>
      </c>
      <c r="H114" s="18">
        <f t="shared" si="4"/>
        <v>44.753900000000002</v>
      </c>
      <c r="I114" s="5"/>
      <c r="J114" s="17">
        <v>917.19169999999997</v>
      </c>
      <c r="K114" s="18">
        <v>43.588999999999999</v>
      </c>
      <c r="L114" s="18">
        <v>44.832999999999998</v>
      </c>
      <c r="M114" s="18">
        <v>44.864699999999999</v>
      </c>
      <c r="N114" s="18">
        <v>276.0736</v>
      </c>
      <c r="O114" s="18">
        <f t="shared" si="5"/>
        <v>43.903962499999992</v>
      </c>
      <c r="P114" s="7"/>
      <c r="Q114" s="10"/>
      <c r="R114" s="11"/>
      <c r="S114" s="11"/>
      <c r="T114" s="26"/>
      <c r="U114" s="28">
        <f t="shared" si="3"/>
        <v>0.17914102044444441</v>
      </c>
    </row>
    <row r="115" spans="2:21" x14ac:dyDescent="0.25">
      <c r="B115" s="9"/>
      <c r="C115" s="17">
        <v>599.50390625</v>
      </c>
      <c r="D115" s="18">
        <v>41.557699999999997</v>
      </c>
      <c r="E115" s="18">
        <v>42.658700000000003</v>
      </c>
      <c r="F115" s="18">
        <v>42.663800000000002</v>
      </c>
      <c r="G115" s="18">
        <v>281.77833437695682</v>
      </c>
      <c r="H115" s="18">
        <f t="shared" si="4"/>
        <v>41.833587499999993</v>
      </c>
      <c r="I115" s="5"/>
      <c r="J115" s="17">
        <v>564.87170000000003</v>
      </c>
      <c r="K115" s="18">
        <v>40.710299999999997</v>
      </c>
      <c r="L115" s="18">
        <v>42.422899999999998</v>
      </c>
      <c r="M115" s="18">
        <v>42.464100000000002</v>
      </c>
      <c r="N115" s="18">
        <v>331.73610000000002</v>
      </c>
      <c r="O115" s="18">
        <f t="shared" si="5"/>
        <v>41.143600000000006</v>
      </c>
      <c r="P115" s="7"/>
      <c r="Q115" s="10"/>
      <c r="R115" s="11"/>
      <c r="S115" s="11"/>
      <c r="T115" s="26"/>
      <c r="U115" s="28">
        <f t="shared" si="3"/>
        <v>0.1772945593333333</v>
      </c>
    </row>
    <row r="116" spans="2:21" ht="16.5" thickBot="1" x14ac:dyDescent="0.3">
      <c r="B116" s="12"/>
      <c r="C116" s="19">
        <v>301.1416015625</v>
      </c>
      <c r="D116" s="20">
        <v>36.687399999999997</v>
      </c>
      <c r="E116" s="20">
        <v>39.153300000000002</v>
      </c>
      <c r="F116" s="20">
        <v>39.094299999999997</v>
      </c>
      <c r="G116" s="20">
        <v>337.33133433283359</v>
      </c>
      <c r="H116" s="20">
        <f t="shared" si="4"/>
        <v>37.296499999999995</v>
      </c>
      <c r="I116" s="5"/>
      <c r="J116" s="19">
        <v>283.88209999999998</v>
      </c>
      <c r="K116" s="20">
        <v>36.418900000000001</v>
      </c>
      <c r="L116" s="20">
        <v>39.182600000000001</v>
      </c>
      <c r="M116" s="20">
        <v>39.205500000000001</v>
      </c>
      <c r="N116" s="20">
        <v>409.64949999999999</v>
      </c>
      <c r="O116" s="20">
        <f t="shared" si="5"/>
        <v>37.112687499999993</v>
      </c>
      <c r="P116" s="7"/>
      <c r="Q116" s="13"/>
      <c r="R116" s="14"/>
      <c r="S116" s="14"/>
      <c r="T116" s="27"/>
      <c r="U116" s="28">
        <f t="shared" si="3"/>
        <v>0.21438318444444437</v>
      </c>
    </row>
    <row r="117" spans="2:21" x14ac:dyDescent="0.25">
      <c r="B117" s="6" t="s">
        <v>104</v>
      </c>
      <c r="C117" s="15">
        <v>1440.3330078125</v>
      </c>
      <c r="D117" s="16">
        <v>51.007199999999997</v>
      </c>
      <c r="E117" s="16">
        <v>51.074300000000001</v>
      </c>
      <c r="F117" s="16">
        <v>51.265700000000002</v>
      </c>
      <c r="G117" s="16">
        <v>184.27518427518427</v>
      </c>
      <c r="H117" s="16">
        <f t="shared" si="4"/>
        <v>51.047899999999991</v>
      </c>
      <c r="I117" s="5"/>
      <c r="J117" s="15">
        <v>774.95010000000002</v>
      </c>
      <c r="K117" s="16">
        <v>50.150399999999998</v>
      </c>
      <c r="L117" s="16">
        <v>51.152700000000003</v>
      </c>
      <c r="M117" s="16">
        <v>51.467199999999998</v>
      </c>
      <c r="N117" s="16">
        <v>217.07669999999999</v>
      </c>
      <c r="O117" s="16">
        <f t="shared" si="5"/>
        <v>50.440287499999997</v>
      </c>
      <c r="P117" s="7"/>
      <c r="Q117" s="8">
        <f>bdrate(C117:C120,D117:D120,J117:J120,K117:K120)</f>
        <v>-0.31117090686049087</v>
      </c>
      <c r="R117" s="8">
        <f>bdrate(C117:C120,E117:E120,J117:J120,L117:L120)</f>
        <v>-0.35660231218028704</v>
      </c>
      <c r="S117" s="8">
        <f>bdrate(C117:C120,F117:F120,J117:J120,M117:M120)</f>
        <v>-0.36437874500953316</v>
      </c>
      <c r="T117" s="25">
        <f>bdrate(C117:C120,H117:H120,J117:J120,O117:O120)</f>
        <v>-0.32294570826425273</v>
      </c>
      <c r="U117" s="28">
        <f t="shared" si="3"/>
        <v>0.17800289199999994</v>
      </c>
    </row>
    <row r="118" spans="2:21" x14ac:dyDescent="0.25">
      <c r="B118" s="9"/>
      <c r="C118" s="17">
        <v>960.15625</v>
      </c>
      <c r="D118" s="18">
        <v>48.1021</v>
      </c>
      <c r="E118" s="18">
        <v>48.442300000000003</v>
      </c>
      <c r="F118" s="18">
        <v>48.691000000000003</v>
      </c>
      <c r="G118" s="18">
        <v>274.55765710799267</v>
      </c>
      <c r="H118" s="18">
        <f t="shared" si="4"/>
        <v>48.218237500000001</v>
      </c>
      <c r="I118" s="5"/>
      <c r="J118" s="17">
        <v>591.89840000000004</v>
      </c>
      <c r="K118" s="18">
        <v>47.828800000000001</v>
      </c>
      <c r="L118" s="18">
        <v>48.7746</v>
      </c>
      <c r="M118" s="18">
        <v>49.1267</v>
      </c>
      <c r="N118" s="18">
        <v>255.9727</v>
      </c>
      <c r="O118" s="18">
        <f t="shared" si="5"/>
        <v>48.1092625</v>
      </c>
      <c r="P118" s="7"/>
      <c r="Q118" s="10"/>
      <c r="R118" s="11"/>
      <c r="S118" s="11"/>
      <c r="T118" s="26"/>
      <c r="U118" s="28">
        <f t="shared" si="3"/>
        <v>-6.7690543777777737E-2</v>
      </c>
    </row>
    <row r="119" spans="2:21" x14ac:dyDescent="0.25">
      <c r="B119" s="9"/>
      <c r="C119" s="17">
        <v>578.9990234375</v>
      </c>
      <c r="D119" s="18">
        <v>44.004600000000003</v>
      </c>
      <c r="E119" s="18">
        <v>44.700899999999997</v>
      </c>
      <c r="F119" s="18">
        <v>44.980800000000002</v>
      </c>
      <c r="G119" s="18">
        <v>312.5</v>
      </c>
      <c r="H119" s="18">
        <f t="shared" si="4"/>
        <v>44.213662499999998</v>
      </c>
      <c r="I119" s="5"/>
      <c r="J119" s="17">
        <v>413.63279999999997</v>
      </c>
      <c r="K119" s="18">
        <v>44.171799999999998</v>
      </c>
      <c r="L119" s="18">
        <v>45.174300000000002</v>
      </c>
      <c r="M119" s="18">
        <v>45.569499999999998</v>
      </c>
      <c r="N119" s="18">
        <v>269.94600000000003</v>
      </c>
      <c r="O119" s="18">
        <f t="shared" si="5"/>
        <v>44.471825000000003</v>
      </c>
      <c r="P119" s="7"/>
      <c r="Q119" s="10"/>
      <c r="R119" s="11"/>
      <c r="S119" s="11"/>
      <c r="T119" s="26"/>
      <c r="U119" s="28">
        <f t="shared" si="3"/>
        <v>-0.13617279999999993</v>
      </c>
    </row>
    <row r="120" spans="2:21" ht="16.5" thickBot="1" x14ac:dyDescent="0.3">
      <c r="B120" s="12"/>
      <c r="C120" s="19">
        <v>291.5244140625</v>
      </c>
      <c r="D120" s="20">
        <v>38.2256</v>
      </c>
      <c r="E120" s="20">
        <v>39.879899999999999</v>
      </c>
      <c r="F120" s="20">
        <v>40.199399999999997</v>
      </c>
      <c r="G120" s="20">
        <v>363.04961678096004</v>
      </c>
      <c r="H120" s="20">
        <f t="shared" si="4"/>
        <v>38.679112500000002</v>
      </c>
      <c r="I120" s="5"/>
      <c r="J120" s="19">
        <v>282.87389999999999</v>
      </c>
      <c r="K120" s="20">
        <v>39.881599999999999</v>
      </c>
      <c r="L120" s="20">
        <v>41.469299999999997</v>
      </c>
      <c r="M120" s="20">
        <v>41.845199999999998</v>
      </c>
      <c r="N120" s="20">
        <v>477.45359999999999</v>
      </c>
      <c r="O120" s="20">
        <f t="shared" si="5"/>
        <v>40.325512499999995</v>
      </c>
      <c r="P120" s="7"/>
      <c r="Q120" s="13"/>
      <c r="R120" s="14"/>
      <c r="S120" s="14"/>
      <c r="T120" s="27"/>
      <c r="U120" s="28">
        <f t="shared" si="3"/>
        <v>0.3151194160000001</v>
      </c>
    </row>
    <row r="121" spans="2:21" x14ac:dyDescent="0.25">
      <c r="B121" s="6" t="s">
        <v>105</v>
      </c>
      <c r="C121" s="29">
        <v>1476.84765625</v>
      </c>
      <c r="D121" s="30">
        <v>32.707099999999997</v>
      </c>
      <c r="E121" s="30">
        <v>36.402900000000002</v>
      </c>
      <c r="F121" s="30">
        <v>35.685400000000001</v>
      </c>
      <c r="G121" s="16">
        <v>144.39274827530886</v>
      </c>
      <c r="H121" s="16">
        <f t="shared" si="4"/>
        <v>33.541362499999998</v>
      </c>
      <c r="I121" s="5"/>
      <c r="J121" s="29">
        <v>1513.1994999999999</v>
      </c>
      <c r="K121" s="30">
        <v>32.548299999999998</v>
      </c>
      <c r="L121" s="30">
        <v>36.430399999999999</v>
      </c>
      <c r="M121" s="30">
        <v>35.726799999999997</v>
      </c>
      <c r="N121" s="16">
        <v>182.5558</v>
      </c>
      <c r="O121" s="16">
        <f t="shared" si="5"/>
        <v>33.430875</v>
      </c>
      <c r="P121" s="7"/>
      <c r="Q121" s="8">
        <f>bdrate(C121:C124,D121:D124,J121:J124,K121:K124)</f>
        <v>1.3576412380557068E-2</v>
      </c>
      <c r="R121" s="8">
        <f>bdrate(C121:C124,E121:E124,J121:J124,L121:L124)</f>
        <v>6.1312352047937502E-4</v>
      </c>
      <c r="S121" s="8">
        <f>bdrate(C121:C124,F121:F124,J121:J124,M121:M124)</f>
        <v>-1.6424926877229296E-2</v>
      </c>
      <c r="T121" s="25">
        <f>bdrate(C121:C124,H121:H124,J121:J124,O121:O124)</f>
        <v>9.42231363951751E-3</v>
      </c>
      <c r="U121" s="28">
        <f t="shared" si="3"/>
        <v>0.26430033488888877</v>
      </c>
    </row>
    <row r="122" spans="2:21" x14ac:dyDescent="0.25">
      <c r="B122" s="9"/>
      <c r="C122" s="31">
        <v>987.0419921875</v>
      </c>
      <c r="D122" s="32">
        <v>30.686900000000001</v>
      </c>
      <c r="E122" s="32">
        <v>35.232799999999997</v>
      </c>
      <c r="F122" s="32">
        <v>34.450299999999999</v>
      </c>
      <c r="G122" s="18">
        <v>186.14270941054809</v>
      </c>
      <c r="H122" s="18">
        <f t="shared" si="4"/>
        <v>31.725562499999999</v>
      </c>
      <c r="I122" s="5"/>
      <c r="J122" s="31">
        <v>1007.6144</v>
      </c>
      <c r="K122" s="32">
        <v>30.586600000000001</v>
      </c>
      <c r="L122" s="32">
        <v>35.334600000000002</v>
      </c>
      <c r="M122" s="32">
        <v>34.598399999999998</v>
      </c>
      <c r="N122" s="18">
        <v>220.4802</v>
      </c>
      <c r="O122" s="18">
        <f t="shared" si="5"/>
        <v>31.681574999999999</v>
      </c>
      <c r="P122" s="7"/>
      <c r="Q122" s="10"/>
      <c r="R122" s="11"/>
      <c r="S122" s="11"/>
      <c r="T122" s="26"/>
      <c r="U122" s="28">
        <f t="shared" si="3"/>
        <v>0.18446862999999994</v>
      </c>
    </row>
    <row r="123" spans="2:21" x14ac:dyDescent="0.25">
      <c r="B123" s="9"/>
      <c r="C123" s="31">
        <v>592.76953125</v>
      </c>
      <c r="D123" s="32">
        <v>28.279199999999999</v>
      </c>
      <c r="E123" s="32">
        <v>33.8504</v>
      </c>
      <c r="F123" s="32">
        <v>33.0017</v>
      </c>
      <c r="G123" s="18">
        <v>226.58610271903322</v>
      </c>
      <c r="H123" s="18">
        <f t="shared" si="4"/>
        <v>29.5659125</v>
      </c>
      <c r="I123" s="5"/>
      <c r="J123" s="31">
        <v>604.05039999999997</v>
      </c>
      <c r="K123" s="32">
        <v>28.3354</v>
      </c>
      <c r="L123" s="32">
        <v>33.916899999999998</v>
      </c>
      <c r="M123" s="32">
        <v>33.120800000000003</v>
      </c>
      <c r="N123" s="18">
        <v>267.22089999999997</v>
      </c>
      <c r="O123" s="18">
        <f t="shared" si="5"/>
        <v>29.631262500000002</v>
      </c>
      <c r="P123" s="7"/>
      <c r="Q123" s="10"/>
      <c r="R123" s="11"/>
      <c r="S123" s="11"/>
      <c r="T123" s="26"/>
      <c r="U123" s="28">
        <f t="shared" si="3"/>
        <v>0.17933490533333327</v>
      </c>
    </row>
    <row r="124" spans="2:21" ht="16.5" thickBot="1" x14ac:dyDescent="0.3">
      <c r="B124" s="12"/>
      <c r="C124" s="33">
        <v>297.03125</v>
      </c>
      <c r="D124" s="34">
        <v>25.349299999999999</v>
      </c>
      <c r="E124" s="34">
        <v>31.880199999999999</v>
      </c>
      <c r="F124" s="34">
        <v>30.927099999999999</v>
      </c>
      <c r="G124" s="20">
        <v>233.28149300155519</v>
      </c>
      <c r="H124" s="20">
        <f t="shared" si="4"/>
        <v>26.862887499999999</v>
      </c>
      <c r="I124" s="5"/>
      <c r="J124" s="33">
        <v>305.65629999999999</v>
      </c>
      <c r="K124" s="34">
        <v>25.6967</v>
      </c>
      <c r="L124" s="34">
        <v>31.8598</v>
      </c>
      <c r="M124" s="34">
        <v>30.994199999999999</v>
      </c>
      <c r="N124" s="20">
        <v>346.15379999999999</v>
      </c>
      <c r="O124" s="20">
        <f t="shared" si="5"/>
        <v>27.129275000000003</v>
      </c>
      <c r="P124" s="7"/>
      <c r="Q124" s="13"/>
      <c r="R124" s="14"/>
      <c r="S124" s="14"/>
      <c r="T124" s="27"/>
      <c r="U124" s="28">
        <f t="shared" si="3"/>
        <v>0.48384595600000008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-1.1936986682309664E-3</v>
      </c>
      <c r="R125" s="21">
        <f>AVERAGE(R9:R124)</f>
        <v>-9.6968915638998052E-2</v>
      </c>
      <c r="S125" s="21">
        <f>AVERAGE(S9:S124)</f>
        <v>-0.10289762635133683</v>
      </c>
      <c r="T125" s="21">
        <f>AVERAGE(T9:T124)</f>
        <v>-2.1584435116841192E-2</v>
      </c>
      <c r="U125" s="21">
        <f>AVERAGE(U9:U124)</f>
        <v>0.27969317943352501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101" priority="69" operator="greaterThan">
      <formula>0.03</formula>
    </cfRule>
    <cfRule type="cellIs" dxfId="100" priority="70" stopIfTrue="1" operator="lessThan">
      <formula>-0.03</formula>
    </cfRule>
  </conditionalFormatting>
  <conditionalFormatting sqref="Q33:T36">
    <cfRule type="cellIs" dxfId="99" priority="67" operator="greaterThan">
      <formula>0.03</formula>
    </cfRule>
    <cfRule type="cellIs" dxfId="98" priority="68" stopIfTrue="1" operator="lessThan">
      <formula>-0.03</formula>
    </cfRule>
  </conditionalFormatting>
  <conditionalFormatting sqref="Q45:T48 Q61:T64">
    <cfRule type="cellIs" dxfId="97" priority="65" operator="greaterThan">
      <formula>0.03</formula>
    </cfRule>
    <cfRule type="cellIs" dxfId="96" priority="66" stopIfTrue="1" operator="lessThan">
      <formula>-0.03</formula>
    </cfRule>
  </conditionalFormatting>
  <conditionalFormatting sqref="Q49:T60">
    <cfRule type="cellIs" dxfId="95" priority="63" operator="greaterThan">
      <formula>0.03</formula>
    </cfRule>
    <cfRule type="cellIs" dxfId="94" priority="64" stopIfTrue="1" operator="lessThan">
      <formula>-0.03</formula>
    </cfRule>
  </conditionalFormatting>
  <conditionalFormatting sqref="Q69:T76">
    <cfRule type="cellIs" dxfId="93" priority="61" operator="greaterThan">
      <formula>0.03</formula>
    </cfRule>
    <cfRule type="cellIs" dxfId="92" priority="62" stopIfTrue="1" operator="lessThan">
      <formula>-0.03</formula>
    </cfRule>
  </conditionalFormatting>
  <conditionalFormatting sqref="Q65:T68">
    <cfRule type="cellIs" dxfId="91" priority="59" operator="greaterThan">
      <formula>0.03</formula>
    </cfRule>
    <cfRule type="cellIs" dxfId="90" priority="60" stopIfTrue="1" operator="lessThan">
      <formula>-0.03</formula>
    </cfRule>
  </conditionalFormatting>
  <conditionalFormatting sqref="Q77:T80">
    <cfRule type="cellIs" dxfId="89" priority="57" operator="greaterThan">
      <formula>0.03</formula>
    </cfRule>
    <cfRule type="cellIs" dxfId="88" priority="58" stopIfTrue="1" operator="lessThan">
      <formula>-0.03</formula>
    </cfRule>
  </conditionalFormatting>
  <conditionalFormatting sqref="Q21:T28">
    <cfRule type="cellIs" dxfId="87" priority="55" operator="greaterThan">
      <formula>0.03</formula>
    </cfRule>
    <cfRule type="cellIs" dxfId="86" priority="56" stopIfTrue="1" operator="lessThan">
      <formula>-0.03</formula>
    </cfRule>
  </conditionalFormatting>
  <conditionalFormatting sqref="Q117:T117">
    <cfRule type="cellIs" dxfId="85" priority="3" operator="greaterThan">
      <formula>0.03</formula>
    </cfRule>
    <cfRule type="cellIs" dxfId="84" priority="4" stopIfTrue="1" operator="lessThan">
      <formula>-0.03</formula>
    </cfRule>
  </conditionalFormatting>
  <conditionalFormatting sqref="Q93:T96 Q101:T108 Q81:T84">
    <cfRule type="cellIs" dxfId="83" priority="17" operator="greaterThan">
      <formula>0.03</formula>
    </cfRule>
    <cfRule type="cellIs" dxfId="82" priority="18" stopIfTrue="1" operator="lessThan">
      <formula>-0.03</formula>
    </cfRule>
  </conditionalFormatting>
  <conditionalFormatting sqref="Q97:T100">
    <cfRule type="cellIs" dxfId="81" priority="15" operator="greaterThan">
      <formula>0.03</formula>
    </cfRule>
    <cfRule type="cellIs" dxfId="80" priority="16" stopIfTrue="1" operator="lessThan">
      <formula>-0.03</formula>
    </cfRule>
  </conditionalFormatting>
  <conditionalFormatting sqref="Q110:T112 Q122:T124">
    <cfRule type="cellIs" dxfId="79" priority="13" operator="greaterThan">
      <formula>0.03</formula>
    </cfRule>
    <cfRule type="cellIs" dxfId="78" priority="14" stopIfTrue="1" operator="lessThan">
      <formula>-0.03</formula>
    </cfRule>
  </conditionalFormatting>
  <conditionalFormatting sqref="Q114:T116 Q118:T120">
    <cfRule type="cellIs" dxfId="77" priority="11" operator="greaterThan">
      <formula>0.03</formula>
    </cfRule>
    <cfRule type="cellIs" dxfId="76" priority="12" stopIfTrue="1" operator="lessThan">
      <formula>-0.03</formula>
    </cfRule>
  </conditionalFormatting>
  <conditionalFormatting sqref="Q85:T92">
    <cfRule type="cellIs" dxfId="75" priority="9" operator="greaterThan">
      <formula>0.03</formula>
    </cfRule>
    <cfRule type="cellIs" dxfId="74" priority="10" stopIfTrue="1" operator="lessThan">
      <formula>-0.03</formula>
    </cfRule>
  </conditionalFormatting>
  <conditionalFormatting sqref="Q109:T109">
    <cfRule type="cellIs" dxfId="73" priority="7" operator="greaterThan">
      <formula>0.03</formula>
    </cfRule>
    <cfRule type="cellIs" dxfId="72" priority="8" stopIfTrue="1" operator="lessThan">
      <formula>-0.03</formula>
    </cfRule>
  </conditionalFormatting>
  <conditionalFormatting sqref="Q113:T113">
    <cfRule type="cellIs" dxfId="71" priority="5" operator="greaterThan">
      <formula>0.03</formula>
    </cfRule>
    <cfRule type="cellIs" dxfId="70" priority="6" stopIfTrue="1" operator="lessThan">
      <formula>-0.03</formula>
    </cfRule>
  </conditionalFormatting>
  <conditionalFormatting sqref="Q121:T121">
    <cfRule type="cellIs" dxfId="69" priority="1" operator="greaterThan">
      <formula>0.03</formula>
    </cfRule>
    <cfRule type="cellIs" dxfId="68" priority="2" stopIfTrue="1" operator="lessThan">
      <formula>-0.03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5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129</v>
      </c>
      <c r="U1" t="s">
        <v>130</v>
      </c>
    </row>
    <row r="2" spans="1:21" x14ac:dyDescent="0.25">
      <c r="A2" t="s">
        <v>131</v>
      </c>
    </row>
    <row r="3" spans="1:21" x14ac:dyDescent="0.25">
      <c r="A3" t="s">
        <v>81</v>
      </c>
    </row>
    <row r="5" spans="1:21" s="35" customFormat="1" ht="15.75" customHeight="1" x14ac:dyDescent="0.25">
      <c r="B5" s="61" t="s">
        <v>29</v>
      </c>
      <c r="C5" s="63" t="s">
        <v>138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141</v>
      </c>
      <c r="D7" s="70"/>
      <c r="E7" s="70"/>
      <c r="F7" s="70"/>
      <c r="G7" s="70"/>
      <c r="H7" s="70"/>
      <c r="I7" s="5"/>
      <c r="J7" s="69" t="s">
        <v>186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3730.490234375</v>
      </c>
      <c r="D9" s="16">
        <v>37.8626</v>
      </c>
      <c r="E9" s="16">
        <v>39.442900000000002</v>
      </c>
      <c r="F9" s="16">
        <v>41.863999999999997</v>
      </c>
      <c r="G9" s="16">
        <v>22.827575711459446</v>
      </c>
      <c r="H9" s="16">
        <f t="shared" ref="H9:H80" si="0">(6*D9+E9+F9)/8</f>
        <v>38.560312499999995</v>
      </c>
      <c r="I9" s="5"/>
      <c r="J9" s="15">
        <v>4137.9040000000005</v>
      </c>
      <c r="K9" s="16">
        <v>38.489800000000002</v>
      </c>
      <c r="L9" s="16">
        <v>40.2453</v>
      </c>
      <c r="M9" s="16">
        <v>42.993499999999997</v>
      </c>
      <c r="N9" s="16">
        <v>14.8972</v>
      </c>
      <c r="O9" s="16">
        <f t="shared" ref="O9:O80" si="1">(6*K9+L9+M9)/8</f>
        <v>39.272199999999998</v>
      </c>
      <c r="P9" s="7"/>
      <c r="Q9" s="8">
        <f>bdrate(C9:C12,D9:D12,J9:J12,K9:K12)</f>
        <v>-0.16120700002689914</v>
      </c>
      <c r="R9" s="8">
        <f>bdrate(C9:C12,E9:E12,J9:J12,L9:L12)</f>
        <v>-0.38169086139728892</v>
      </c>
      <c r="S9" s="8">
        <f>bdrate(C9:C12,F9:F12,J9:J12,M9:M12)</f>
        <v>-0.38569794153647452</v>
      </c>
      <c r="T9" s="25">
        <f>bdrate(C9:C12,H9:H12,J9:J12,O9:O12)</f>
        <v>-0.19852810035723756</v>
      </c>
      <c r="U9" s="28">
        <f t="shared" ref="U9:U72" si="2">(N9-G9)/G9</f>
        <v>-0.3474033253333334</v>
      </c>
    </row>
    <row r="10" spans="1:21" x14ac:dyDescent="0.25">
      <c r="A10" s="9" t="s">
        <v>36</v>
      </c>
      <c r="B10" s="9"/>
      <c r="C10" s="17">
        <v>2794.39453125</v>
      </c>
      <c r="D10" s="18">
        <v>36.859299999999998</v>
      </c>
      <c r="E10" s="18">
        <v>38.8782</v>
      </c>
      <c r="F10" s="18">
        <v>41.252200000000002</v>
      </c>
      <c r="G10" s="18">
        <v>28.490028490028493</v>
      </c>
      <c r="H10" s="18">
        <f t="shared" si="0"/>
        <v>37.660775000000001</v>
      </c>
      <c r="I10" s="5"/>
      <c r="J10" s="17">
        <v>2994.8335999999999</v>
      </c>
      <c r="K10" s="18">
        <v>37.472700000000003</v>
      </c>
      <c r="L10" s="18">
        <v>39.765500000000003</v>
      </c>
      <c r="M10" s="18">
        <v>42.356900000000003</v>
      </c>
      <c r="N10" s="18">
        <v>19.1889</v>
      </c>
      <c r="O10" s="18">
        <f t="shared" si="1"/>
        <v>38.369825000000006</v>
      </c>
      <c r="P10" s="7"/>
      <c r="Q10" s="10"/>
      <c r="R10" s="11"/>
      <c r="S10" s="11"/>
      <c r="T10" s="26"/>
      <c r="U10" s="28">
        <f t="shared" si="2"/>
        <v>-0.32646961000000008</v>
      </c>
    </row>
    <row r="11" spans="1:21" x14ac:dyDescent="0.25">
      <c r="B11" s="9"/>
      <c r="C11" s="17">
        <v>1866.021484375</v>
      </c>
      <c r="D11" s="18">
        <v>35.301000000000002</v>
      </c>
      <c r="E11" s="18">
        <v>38.113100000000003</v>
      </c>
      <c r="F11" s="18">
        <v>40.427</v>
      </c>
      <c r="G11" s="18">
        <v>33.882990738649198</v>
      </c>
      <c r="H11" s="18">
        <f t="shared" si="0"/>
        <v>36.293262500000004</v>
      </c>
      <c r="I11" s="5"/>
      <c r="J11" s="17">
        <v>1979.0432000000001</v>
      </c>
      <c r="K11" s="18">
        <v>36.154499999999999</v>
      </c>
      <c r="L11" s="18">
        <v>39.099699999999999</v>
      </c>
      <c r="M11" s="18">
        <v>41.538600000000002</v>
      </c>
      <c r="N11" s="18">
        <v>22.258500000000002</v>
      </c>
      <c r="O11" s="18">
        <f t="shared" si="1"/>
        <v>37.195662499999997</v>
      </c>
      <c r="P11" s="7"/>
      <c r="Q11" s="10"/>
      <c r="R11" s="11"/>
      <c r="S11" s="11"/>
      <c r="T11" s="26"/>
      <c r="U11" s="28">
        <f t="shared" si="2"/>
        <v>-0.34307746999999994</v>
      </c>
    </row>
    <row r="12" spans="1:21" ht="16.5" thickBot="1" x14ac:dyDescent="0.3">
      <c r="B12" s="12"/>
      <c r="C12" s="19">
        <v>929.8046875</v>
      </c>
      <c r="D12" s="20">
        <v>32.343200000000003</v>
      </c>
      <c r="E12" s="20">
        <v>36.924599999999998</v>
      </c>
      <c r="F12" s="20">
        <v>39.191400000000002</v>
      </c>
      <c r="G12" s="20">
        <v>42.265426880811496</v>
      </c>
      <c r="H12" s="20">
        <f t="shared" si="0"/>
        <v>33.771900000000002</v>
      </c>
      <c r="I12" s="5"/>
      <c r="J12" s="19">
        <v>921.74879999999996</v>
      </c>
      <c r="K12" s="20">
        <v>33.422699999999999</v>
      </c>
      <c r="L12" s="20">
        <v>37.727499999999999</v>
      </c>
      <c r="M12" s="20">
        <v>39.993499999999997</v>
      </c>
      <c r="N12" s="20">
        <v>28.951899999999998</v>
      </c>
      <c r="O12" s="20">
        <f t="shared" si="1"/>
        <v>34.782150000000001</v>
      </c>
      <c r="P12" s="7"/>
      <c r="Q12" s="13"/>
      <c r="R12" s="14"/>
      <c r="S12" s="14"/>
      <c r="T12" s="27"/>
      <c r="U12" s="28">
        <f t="shared" si="2"/>
        <v>-0.31499804600000003</v>
      </c>
    </row>
    <row r="13" spans="1:21" x14ac:dyDescent="0.25">
      <c r="B13" s="6" t="s">
        <v>47</v>
      </c>
      <c r="C13" s="15">
        <v>3753.2041015625</v>
      </c>
      <c r="D13" s="16">
        <v>29.191199999999998</v>
      </c>
      <c r="E13" s="16">
        <v>39.403199999999998</v>
      </c>
      <c r="F13" s="16">
        <v>40.381300000000003</v>
      </c>
      <c r="G13" s="16">
        <v>22.522522522522522</v>
      </c>
      <c r="H13" s="16">
        <f t="shared" si="0"/>
        <v>31.866462500000001</v>
      </c>
      <c r="I13" s="5"/>
      <c r="J13" s="15">
        <v>4179.0064000000002</v>
      </c>
      <c r="K13" s="16">
        <v>29.9283</v>
      </c>
      <c r="L13" s="16">
        <v>40.857100000000003</v>
      </c>
      <c r="M13" s="16">
        <v>41.655500000000004</v>
      </c>
      <c r="N13" s="16">
        <v>11.0335</v>
      </c>
      <c r="O13" s="16">
        <f t="shared" si="1"/>
        <v>32.760300000000001</v>
      </c>
      <c r="P13" s="7"/>
      <c r="Q13" s="8">
        <f>bdrate(C13:C16,D13:D16,J13:J16,K13:K16)</f>
        <v>-6.4708628463730822E-2</v>
      </c>
      <c r="R13" s="8">
        <f>bdrate(C13:C16,E13:E16,J13:J16,L13:L16)</f>
        <v>-0.42801150575706504</v>
      </c>
      <c r="S13" s="8">
        <f>bdrate(C13:C16,F13:F16,J13:J16,M13:M16)</f>
        <v>-0.45399974239909457</v>
      </c>
      <c r="T13" s="25">
        <f>bdrate(C13:C16,H13:H16,J13:J16,O13:O16)</f>
        <v>-0.13326019297608205</v>
      </c>
      <c r="U13" s="28">
        <f t="shared" si="2"/>
        <v>-0.51011260000000003</v>
      </c>
    </row>
    <row r="14" spans="1:21" x14ac:dyDescent="0.25">
      <c r="B14" s="9"/>
      <c r="C14" s="17">
        <v>2775.62890625</v>
      </c>
      <c r="D14" s="18">
        <v>27.819800000000001</v>
      </c>
      <c r="E14" s="18">
        <v>38.8673</v>
      </c>
      <c r="F14" s="18">
        <v>39.888500000000001</v>
      </c>
      <c r="G14" s="18">
        <v>27.665068240501661</v>
      </c>
      <c r="H14" s="18">
        <f t="shared" si="0"/>
        <v>30.709325</v>
      </c>
      <c r="I14" s="5"/>
      <c r="J14" s="17">
        <v>3104.4767999999999</v>
      </c>
      <c r="K14" s="18">
        <v>28.6066</v>
      </c>
      <c r="L14" s="18">
        <v>40.357999999999997</v>
      </c>
      <c r="M14" s="18">
        <v>41.252000000000002</v>
      </c>
      <c r="N14" s="18">
        <v>13.062799999999999</v>
      </c>
      <c r="O14" s="18">
        <f t="shared" si="1"/>
        <v>31.656200000000002</v>
      </c>
      <c r="P14" s="7"/>
      <c r="Q14" s="10"/>
      <c r="R14" s="11"/>
      <c r="S14" s="11"/>
      <c r="T14" s="26"/>
      <c r="U14" s="28">
        <f t="shared" si="2"/>
        <v>-0.52782332266666676</v>
      </c>
    </row>
    <row r="15" spans="1:21" x14ac:dyDescent="0.25">
      <c r="B15" s="9"/>
      <c r="C15" s="17">
        <v>1853.7060546875</v>
      </c>
      <c r="D15" s="18">
        <v>26.196000000000002</v>
      </c>
      <c r="E15" s="18">
        <v>38.0321</v>
      </c>
      <c r="F15" s="18">
        <v>39.153100000000002</v>
      </c>
      <c r="G15" s="18">
        <v>29.85668789808917</v>
      </c>
      <c r="H15" s="18">
        <f t="shared" si="0"/>
        <v>29.29515</v>
      </c>
      <c r="I15" s="5"/>
      <c r="J15" s="17">
        <v>2069.6383999999998</v>
      </c>
      <c r="K15" s="18">
        <v>26.8369</v>
      </c>
      <c r="L15" s="18">
        <v>39.548200000000001</v>
      </c>
      <c r="M15" s="18">
        <v>40.585999999999999</v>
      </c>
      <c r="N15" s="18">
        <v>14.894299999999999</v>
      </c>
      <c r="O15" s="18">
        <f t="shared" si="1"/>
        <v>30.144449999999999</v>
      </c>
      <c r="P15" s="7"/>
      <c r="Q15" s="10"/>
      <c r="R15" s="11"/>
      <c r="S15" s="11"/>
      <c r="T15" s="26"/>
      <c r="U15" s="28">
        <f t="shared" si="2"/>
        <v>-0.50114024533333335</v>
      </c>
    </row>
    <row r="16" spans="1:21" ht="16.5" thickBot="1" x14ac:dyDescent="0.3">
      <c r="B16" s="12"/>
      <c r="C16" s="19">
        <v>1082.73828125</v>
      </c>
      <c r="D16" s="20">
        <v>24.3537</v>
      </c>
      <c r="E16" s="20">
        <v>36.570599999999999</v>
      </c>
      <c r="F16" s="20">
        <v>37.796999999999997</v>
      </c>
      <c r="G16" s="20">
        <v>29.85668789808917</v>
      </c>
      <c r="H16" s="20">
        <f t="shared" si="0"/>
        <v>27.561224999999997</v>
      </c>
      <c r="I16" s="5"/>
      <c r="J16" s="19">
        <v>1402.8576</v>
      </c>
      <c r="K16" s="20">
        <v>25.595099999999999</v>
      </c>
      <c r="L16" s="20">
        <v>38.424300000000002</v>
      </c>
      <c r="M16" s="20">
        <v>39.576799999999999</v>
      </c>
      <c r="N16" s="20">
        <v>16.0703</v>
      </c>
      <c r="O16" s="20">
        <f t="shared" si="1"/>
        <v>28.946462499999996</v>
      </c>
      <c r="P16" s="7"/>
      <c r="Q16" s="13"/>
      <c r="R16" s="14"/>
      <c r="S16" s="14"/>
      <c r="T16" s="27"/>
      <c r="U16" s="28">
        <f t="shared" si="2"/>
        <v>-0.46175208533333334</v>
      </c>
    </row>
    <row r="17" spans="1:21" x14ac:dyDescent="0.25">
      <c r="A17" s="6" t="s">
        <v>37</v>
      </c>
      <c r="B17" s="6" t="s">
        <v>48</v>
      </c>
      <c r="C17" s="15">
        <v>2226.564453125</v>
      </c>
      <c r="D17" s="16">
        <v>39.387999999999998</v>
      </c>
      <c r="E17" s="16">
        <v>42.0839</v>
      </c>
      <c r="F17" s="16">
        <v>43.482100000000003</v>
      </c>
      <c r="G17" s="16">
        <v>30.472320975114268</v>
      </c>
      <c r="H17" s="16">
        <f t="shared" si="0"/>
        <v>40.236749999999994</v>
      </c>
      <c r="I17" s="5"/>
      <c r="J17" s="15">
        <v>2380.8560000000002</v>
      </c>
      <c r="K17" s="16">
        <v>39.387999999999998</v>
      </c>
      <c r="L17" s="16">
        <v>42.426099999999998</v>
      </c>
      <c r="M17" s="16">
        <v>44.116900000000001</v>
      </c>
      <c r="N17" s="16">
        <v>26.1694</v>
      </c>
      <c r="O17" s="16">
        <f t="shared" si="1"/>
        <v>40.358874999999998</v>
      </c>
      <c r="P17" s="7"/>
      <c r="Q17" s="8">
        <f>bdrate(C17:C20,D17:D20,J17:J20,K17:K20)</f>
        <v>-2.4262467464964188E-2</v>
      </c>
      <c r="R17" s="8">
        <f>bdrate(C17:C20,E17:E20,J17:J20,L17:L20)</f>
        <v>-0.25433637511594387</v>
      </c>
      <c r="S17" s="8">
        <f>bdrate(C17:C20,F17:F20,J17:J20,M17:M20)</f>
        <v>-0.28414721397110421</v>
      </c>
      <c r="T17" s="25">
        <f>bdrate(C17:C20,H17:H20,J17:J20,O17:O20)</f>
        <v>-6.5390218176571757E-2</v>
      </c>
      <c r="U17" s="28">
        <f t="shared" si="2"/>
        <v>-0.14120752333333328</v>
      </c>
    </row>
    <row r="18" spans="1:21" x14ac:dyDescent="0.25">
      <c r="A18" s="9" t="s">
        <v>38</v>
      </c>
      <c r="B18" s="9"/>
      <c r="C18" s="17">
        <v>1484.9169921875</v>
      </c>
      <c r="D18" s="18">
        <v>38.078699999999998</v>
      </c>
      <c r="E18" s="18">
        <v>41.361699999999999</v>
      </c>
      <c r="F18" s="18">
        <v>42.626399999999997</v>
      </c>
      <c r="G18" s="18">
        <v>41.187575081517075</v>
      </c>
      <c r="H18" s="18">
        <f t="shared" si="0"/>
        <v>39.057537499999995</v>
      </c>
      <c r="I18" s="5"/>
      <c r="J18" s="17">
        <v>1563.848</v>
      </c>
      <c r="K18" s="18">
        <v>38.247999999999998</v>
      </c>
      <c r="L18" s="18">
        <v>41.844200000000001</v>
      </c>
      <c r="M18" s="18">
        <v>43.324599999999997</v>
      </c>
      <c r="N18" s="18">
        <v>33.254800000000003</v>
      </c>
      <c r="O18" s="18">
        <f t="shared" si="1"/>
        <v>39.332099999999997</v>
      </c>
      <c r="P18" s="7"/>
      <c r="Q18" s="10"/>
      <c r="R18" s="11"/>
      <c r="S18" s="11"/>
      <c r="T18" s="26"/>
      <c r="U18" s="28">
        <f t="shared" si="2"/>
        <v>-0.19260116833333324</v>
      </c>
    </row>
    <row r="19" spans="1:21" x14ac:dyDescent="0.25">
      <c r="B19" s="9"/>
      <c r="C19" s="17">
        <v>927.345703125</v>
      </c>
      <c r="D19" s="18">
        <v>36.427799999999998</v>
      </c>
      <c r="E19" s="18">
        <v>40.5229</v>
      </c>
      <c r="F19" s="18">
        <v>41.728099999999998</v>
      </c>
      <c r="G19" s="18">
        <v>52.712497254557434</v>
      </c>
      <c r="H19" s="18">
        <f t="shared" si="0"/>
        <v>37.602224999999997</v>
      </c>
      <c r="I19" s="5"/>
      <c r="J19" s="17">
        <v>960.38319999999999</v>
      </c>
      <c r="K19" s="18">
        <v>36.6965</v>
      </c>
      <c r="L19" s="18">
        <v>41.116300000000003</v>
      </c>
      <c r="M19" s="18">
        <v>42.412100000000002</v>
      </c>
      <c r="N19" s="18">
        <v>40.671100000000003</v>
      </c>
      <c r="O19" s="18">
        <f t="shared" si="1"/>
        <v>37.963425000000001</v>
      </c>
      <c r="P19" s="7"/>
      <c r="Q19" s="10"/>
      <c r="R19" s="11"/>
      <c r="S19" s="11"/>
      <c r="T19" s="26"/>
      <c r="U19" s="28">
        <f t="shared" si="2"/>
        <v>-0.2284353404166666</v>
      </c>
    </row>
    <row r="20" spans="1:21" ht="16.5" thickBot="1" x14ac:dyDescent="0.3">
      <c r="B20" s="12"/>
      <c r="C20" s="19">
        <v>556.2509765625</v>
      </c>
      <c r="D20" s="20">
        <v>34.506999999999998</v>
      </c>
      <c r="E20" s="20">
        <v>39.708799999999997</v>
      </c>
      <c r="F20" s="20">
        <v>40.970399999999998</v>
      </c>
      <c r="G20" s="20">
        <v>67.911714770797971</v>
      </c>
      <c r="H20" s="20">
        <f t="shared" si="0"/>
        <v>35.965149999999994</v>
      </c>
      <c r="I20" s="5"/>
      <c r="J20" s="19">
        <v>563.39520000000005</v>
      </c>
      <c r="K20" s="20">
        <v>34.888199999999998</v>
      </c>
      <c r="L20" s="20">
        <v>40.390500000000003</v>
      </c>
      <c r="M20" s="20">
        <v>41.625799999999998</v>
      </c>
      <c r="N20" s="20">
        <v>49.210599999999999</v>
      </c>
      <c r="O20" s="20">
        <f t="shared" si="1"/>
        <v>36.418187500000002</v>
      </c>
      <c r="P20" s="7"/>
      <c r="Q20" s="13"/>
      <c r="R20" s="14"/>
      <c r="S20" s="14"/>
      <c r="T20" s="27"/>
      <c r="U20" s="28">
        <f t="shared" si="2"/>
        <v>-0.27537391500000008</v>
      </c>
    </row>
    <row r="21" spans="1:21" x14ac:dyDescent="0.25">
      <c r="B21" s="6" t="s">
        <v>49</v>
      </c>
      <c r="C21" s="15">
        <v>2265.12890625</v>
      </c>
      <c r="D21" s="16">
        <v>36.337200000000003</v>
      </c>
      <c r="E21" s="16">
        <v>40.003700000000002</v>
      </c>
      <c r="F21" s="16">
        <v>41.100099999999998</v>
      </c>
      <c r="G21" s="16">
        <v>31.545741324921138</v>
      </c>
      <c r="H21" s="16">
        <f t="shared" si="0"/>
        <v>37.390875000000001</v>
      </c>
      <c r="I21" s="5"/>
      <c r="J21" s="15">
        <v>2558.1536000000001</v>
      </c>
      <c r="K21" s="16">
        <v>36.581499999999998</v>
      </c>
      <c r="L21" s="16">
        <v>40.859200000000001</v>
      </c>
      <c r="M21" s="16">
        <v>42.179499999999997</v>
      </c>
      <c r="N21" s="16">
        <v>24.2866</v>
      </c>
      <c r="O21" s="16">
        <f t="shared" si="1"/>
        <v>37.815962499999998</v>
      </c>
      <c r="P21" s="7"/>
      <c r="Q21" s="8">
        <f>bdrate(C21:C24,D21:D24,J21:J24,K21:K24)</f>
        <v>-9.8394189905319784E-3</v>
      </c>
      <c r="R21" s="8">
        <f>bdrate(C21:C24,E21:E24,J21:J24,L21:L24)</f>
        <v>-0.32359105327533588</v>
      </c>
      <c r="S21" s="8">
        <f>bdrate(C21:C24,F21:F24,J21:J24,M21:M24)</f>
        <v>-0.36135543606372134</v>
      </c>
      <c r="T21" s="25">
        <f>bdrate(C21:C24,H21:H24,J21:J24,O21:O24)</f>
        <v>-7.4358566541717797E-2</v>
      </c>
      <c r="U21" s="28">
        <f t="shared" si="2"/>
        <v>-0.23011478000000007</v>
      </c>
    </row>
    <row r="22" spans="1:21" x14ac:dyDescent="0.25">
      <c r="B22" s="9"/>
      <c r="C22" s="17">
        <v>1510.69921875</v>
      </c>
      <c r="D22" s="18">
        <v>35.002800000000001</v>
      </c>
      <c r="E22" s="18">
        <v>39.119500000000002</v>
      </c>
      <c r="F22" s="18">
        <v>40.255699999999997</v>
      </c>
      <c r="G22" s="18">
        <v>41.572839078468739</v>
      </c>
      <c r="H22" s="18">
        <f t="shared" si="0"/>
        <v>36.173999999999999</v>
      </c>
      <c r="I22" s="5"/>
      <c r="J22" s="17">
        <v>1660.7824000000001</v>
      </c>
      <c r="K22" s="18">
        <v>35.286900000000003</v>
      </c>
      <c r="L22" s="18">
        <v>40.0503</v>
      </c>
      <c r="M22" s="18">
        <v>41.294199999999996</v>
      </c>
      <c r="N22" s="18">
        <v>30.109100000000002</v>
      </c>
      <c r="O22" s="18">
        <f t="shared" si="1"/>
        <v>36.6332375</v>
      </c>
      <c r="P22" s="7"/>
      <c r="Q22" s="10"/>
      <c r="R22" s="11"/>
      <c r="S22" s="11"/>
      <c r="T22" s="26"/>
      <c r="U22" s="28">
        <f t="shared" si="2"/>
        <v>-0.27575069041666672</v>
      </c>
    </row>
    <row r="23" spans="1:21" x14ac:dyDescent="0.25">
      <c r="B23" s="9"/>
      <c r="C23" s="17">
        <v>942.9580078125</v>
      </c>
      <c r="D23" s="18">
        <v>33.466099999999997</v>
      </c>
      <c r="E23" s="18">
        <v>38.149900000000002</v>
      </c>
      <c r="F23" s="18">
        <v>39.444400000000002</v>
      </c>
      <c r="G23" s="18">
        <v>53.132610139473094</v>
      </c>
      <c r="H23" s="18">
        <f t="shared" si="0"/>
        <v>34.798862499999998</v>
      </c>
      <c r="I23" s="5"/>
      <c r="J23" s="17">
        <v>1036.7832000000001</v>
      </c>
      <c r="K23" s="18">
        <v>33.836100000000002</v>
      </c>
      <c r="L23" s="18">
        <v>39.150100000000002</v>
      </c>
      <c r="M23" s="18">
        <v>40.401200000000003</v>
      </c>
      <c r="N23" s="18">
        <v>35.740900000000003</v>
      </c>
      <c r="O23" s="18">
        <f t="shared" si="1"/>
        <v>35.320987500000001</v>
      </c>
      <c r="P23" s="7"/>
      <c r="Q23" s="10"/>
      <c r="R23" s="11"/>
      <c r="S23" s="11"/>
      <c r="T23" s="26"/>
      <c r="U23" s="28">
        <f t="shared" si="2"/>
        <v>-0.32732647791666653</v>
      </c>
    </row>
    <row r="24" spans="1:21" ht="16.5" thickBot="1" x14ac:dyDescent="0.3">
      <c r="B24" s="12"/>
      <c r="C24" s="19">
        <v>566.7060546875</v>
      </c>
      <c r="D24" s="20">
        <v>31.7959</v>
      </c>
      <c r="E24" s="20">
        <v>37.300699999999999</v>
      </c>
      <c r="F24" s="20">
        <v>38.817700000000002</v>
      </c>
      <c r="G24" s="20">
        <v>66.079295154185019</v>
      </c>
      <c r="H24" s="20">
        <f t="shared" si="0"/>
        <v>33.361725</v>
      </c>
      <c r="I24" s="5"/>
      <c r="J24" s="19">
        <v>616.54240000000004</v>
      </c>
      <c r="K24" s="20">
        <v>32.247</v>
      </c>
      <c r="L24" s="20">
        <v>38.145600000000002</v>
      </c>
      <c r="M24" s="20">
        <v>39.481699999999996</v>
      </c>
      <c r="N24" s="20">
        <v>42.4328</v>
      </c>
      <c r="O24" s="20">
        <f t="shared" si="1"/>
        <v>33.888662500000002</v>
      </c>
      <c r="P24" s="7"/>
      <c r="Q24" s="13"/>
      <c r="R24" s="14"/>
      <c r="S24" s="14"/>
      <c r="T24" s="27"/>
      <c r="U24" s="28">
        <f t="shared" si="2"/>
        <v>-0.35785029333333329</v>
      </c>
    </row>
    <row r="25" spans="1:21" x14ac:dyDescent="0.25">
      <c r="B25" s="6" t="s">
        <v>50</v>
      </c>
      <c r="C25" s="15">
        <v>2301.6904296875</v>
      </c>
      <c r="D25" s="16">
        <v>34.073599999999999</v>
      </c>
      <c r="E25" s="16">
        <v>38.042400000000001</v>
      </c>
      <c r="F25" s="16">
        <v>39.887599999999999</v>
      </c>
      <c r="G25" s="16">
        <v>45.199783041041407</v>
      </c>
      <c r="H25" s="16">
        <f t="shared" si="0"/>
        <v>35.29645</v>
      </c>
      <c r="I25" s="5"/>
      <c r="J25" s="15">
        <v>2405.4679999999998</v>
      </c>
      <c r="K25" s="16">
        <v>34.845300000000002</v>
      </c>
      <c r="L25" s="16">
        <v>38.747999999999998</v>
      </c>
      <c r="M25" s="16">
        <v>41.2254</v>
      </c>
      <c r="N25" s="16">
        <v>35.627800000000001</v>
      </c>
      <c r="O25" s="16">
        <f t="shared" si="1"/>
        <v>36.130649999999996</v>
      </c>
      <c r="P25" s="7"/>
      <c r="Q25" s="8">
        <f>bdrate(C25:C28,D25:D28,J25:J28,K25:K28)</f>
        <v>-0.25362403332958261</v>
      </c>
      <c r="R25" s="8">
        <f>bdrate(C25:C28,E25:E28,J25:J28,L25:L28)</f>
        <v>-0.50677829312127765</v>
      </c>
      <c r="S25" s="8">
        <f>bdrate(C25:C28,F25:F28,J25:J28,M25:M28)</f>
        <v>-0.49941856752668756</v>
      </c>
      <c r="T25" s="25">
        <f>bdrate(C25:C28,H25:H28,J25:J28,O25:O28)</f>
        <v>-0.29227734272341133</v>
      </c>
      <c r="U25" s="28">
        <f t="shared" si="2"/>
        <v>-0.21177055280000004</v>
      </c>
    </row>
    <row r="26" spans="1:21" x14ac:dyDescent="0.25">
      <c r="B26" s="9"/>
      <c r="C26" s="17">
        <v>1537.359375</v>
      </c>
      <c r="D26" s="18">
        <v>32.6813</v>
      </c>
      <c r="E26" s="18">
        <v>37.449599999999997</v>
      </c>
      <c r="F26" s="18">
        <v>38.902700000000003</v>
      </c>
      <c r="G26" s="18">
        <v>61.67509559639818</v>
      </c>
      <c r="H26" s="18">
        <f t="shared" si="0"/>
        <v>34.055012500000004</v>
      </c>
      <c r="I26" s="5"/>
      <c r="J26" s="17">
        <v>1603.18</v>
      </c>
      <c r="K26" s="18">
        <v>33.720100000000002</v>
      </c>
      <c r="L26" s="18">
        <v>38.336199999999998</v>
      </c>
      <c r="M26" s="18">
        <v>40.424999999999997</v>
      </c>
      <c r="N26" s="18">
        <v>43.817399999999999</v>
      </c>
      <c r="O26" s="18">
        <f t="shared" si="1"/>
        <v>35.135224999999998</v>
      </c>
      <c r="P26" s="7"/>
      <c r="Q26" s="10"/>
      <c r="R26" s="11"/>
      <c r="S26" s="11"/>
      <c r="T26" s="26"/>
      <c r="U26" s="28">
        <f t="shared" si="2"/>
        <v>-0.28954467640000009</v>
      </c>
    </row>
    <row r="27" spans="1:21" x14ac:dyDescent="0.25">
      <c r="B27" s="9"/>
      <c r="C27" s="17">
        <v>959.1865234375</v>
      </c>
      <c r="D27" s="18">
        <v>31.0152</v>
      </c>
      <c r="E27" s="18">
        <v>36.988799999999998</v>
      </c>
      <c r="F27" s="18">
        <v>38.127200000000002</v>
      </c>
      <c r="G27" s="18">
        <v>78.051826412738066</v>
      </c>
      <c r="H27" s="18">
        <f t="shared" si="0"/>
        <v>32.6509</v>
      </c>
      <c r="I27" s="5"/>
      <c r="J27" s="17">
        <v>997.63840000000005</v>
      </c>
      <c r="K27" s="18">
        <v>32.197400000000002</v>
      </c>
      <c r="L27" s="18">
        <v>37.821399999999997</v>
      </c>
      <c r="M27" s="18">
        <v>39.487000000000002</v>
      </c>
      <c r="N27" s="18">
        <v>51.7652</v>
      </c>
      <c r="O27" s="18">
        <f t="shared" si="1"/>
        <v>33.811600000000006</v>
      </c>
      <c r="P27" s="7"/>
      <c r="Q27" s="10"/>
      <c r="R27" s="11"/>
      <c r="S27" s="11"/>
      <c r="T27" s="26"/>
      <c r="U27" s="28">
        <f t="shared" si="2"/>
        <v>-0.33678425760000008</v>
      </c>
    </row>
    <row r="28" spans="1:21" ht="16.5" thickBot="1" x14ac:dyDescent="0.3">
      <c r="B28" s="12"/>
      <c r="C28" s="19">
        <v>575.51171875</v>
      </c>
      <c r="D28" s="20">
        <v>29.150700000000001</v>
      </c>
      <c r="E28" s="20">
        <v>36.3795</v>
      </c>
      <c r="F28" s="20">
        <v>37.1389</v>
      </c>
      <c r="G28" s="20">
        <v>80.166746833413498</v>
      </c>
      <c r="H28" s="20">
        <f t="shared" si="0"/>
        <v>31.052825000000002</v>
      </c>
      <c r="I28" s="5"/>
      <c r="J28" s="19">
        <v>585.95119999999997</v>
      </c>
      <c r="K28" s="20">
        <v>30.4312</v>
      </c>
      <c r="L28" s="20">
        <v>37.137900000000002</v>
      </c>
      <c r="M28" s="20">
        <v>38.376199999999997</v>
      </c>
      <c r="N28" s="20">
        <v>63.363300000000002</v>
      </c>
      <c r="O28" s="20">
        <f t="shared" si="1"/>
        <v>32.262662499999998</v>
      </c>
      <c r="P28" s="7"/>
      <c r="Q28" s="13"/>
      <c r="R28" s="14"/>
      <c r="S28" s="14"/>
      <c r="T28" s="27"/>
      <c r="U28" s="28">
        <f t="shared" si="2"/>
        <v>-0.20960619579999995</v>
      </c>
    </row>
    <row r="29" spans="1:21" x14ac:dyDescent="0.25">
      <c r="B29" s="6" t="s">
        <v>51</v>
      </c>
      <c r="C29" s="29">
        <v>2291.6455078125</v>
      </c>
      <c r="D29" s="30">
        <v>34.459000000000003</v>
      </c>
      <c r="E29" s="30">
        <v>40.654299999999999</v>
      </c>
      <c r="F29" s="30">
        <v>40.423400000000001</v>
      </c>
      <c r="G29" s="16">
        <v>45.277551390020832</v>
      </c>
      <c r="H29" s="16">
        <f t="shared" si="0"/>
        <v>35.978962500000002</v>
      </c>
      <c r="I29" s="5"/>
      <c r="J29" s="29">
        <v>2456.6408000000001</v>
      </c>
      <c r="K29" s="30">
        <v>34.571899999999999</v>
      </c>
      <c r="L29" s="30">
        <v>41.155900000000003</v>
      </c>
      <c r="M29" s="30">
        <v>40.917200000000001</v>
      </c>
      <c r="N29" s="16">
        <v>29.578800000000001</v>
      </c>
      <c r="O29" s="16">
        <f t="shared" si="1"/>
        <v>36.188062500000001</v>
      </c>
      <c r="P29" s="7"/>
      <c r="Q29" s="8">
        <f>bdrate(C29:C32,D29:D32,J29:J32,K29:K32)</f>
        <v>-3.0242132849288006E-2</v>
      </c>
      <c r="R29" s="8">
        <f>bdrate(C29:C32,E29:E32,J29:J32,L29:L32)</f>
        <v>-0.25112529121481275</v>
      </c>
      <c r="S29" s="8">
        <f>bdrate(C29:C32,F29:F32,J29:J32,M29:M32)</f>
        <v>-0.1945588380710519</v>
      </c>
      <c r="T29" s="25">
        <f>bdrate(C29:C32,H29:H32,J29:J32,O29:O32)</f>
        <v>-6.5248222969937486E-2</v>
      </c>
      <c r="U29" s="28">
        <f t="shared" si="2"/>
        <v>-0.34672262320000002</v>
      </c>
    </row>
    <row r="30" spans="1:21" x14ac:dyDescent="0.25">
      <c r="B30" s="9"/>
      <c r="C30" s="31">
        <v>1531.1728515625</v>
      </c>
      <c r="D30" s="32">
        <v>32.985399999999998</v>
      </c>
      <c r="E30" s="32">
        <v>39.906199999999998</v>
      </c>
      <c r="F30" s="32">
        <v>39.3718</v>
      </c>
      <c r="G30" s="18">
        <v>61.417516275641816</v>
      </c>
      <c r="H30" s="18">
        <f t="shared" si="0"/>
        <v>34.648800000000001</v>
      </c>
      <c r="I30" s="5"/>
      <c r="J30" s="31">
        <v>1629.5744</v>
      </c>
      <c r="K30" s="32">
        <v>33.225999999999999</v>
      </c>
      <c r="L30" s="32">
        <v>40.484299999999998</v>
      </c>
      <c r="M30" s="32">
        <v>39.994</v>
      </c>
      <c r="N30" s="18">
        <v>35.338200000000001</v>
      </c>
      <c r="O30" s="18">
        <f t="shared" si="1"/>
        <v>34.979287499999998</v>
      </c>
      <c r="P30" s="7"/>
      <c r="Q30" s="10"/>
      <c r="R30" s="11"/>
      <c r="S30" s="11"/>
      <c r="T30" s="26"/>
      <c r="U30" s="28">
        <f t="shared" si="2"/>
        <v>-0.42462342760000005</v>
      </c>
    </row>
    <row r="31" spans="1:21" x14ac:dyDescent="0.25">
      <c r="B31" s="9"/>
      <c r="C31" s="31">
        <v>954.90234375</v>
      </c>
      <c r="D31" s="32">
        <v>31.170999999999999</v>
      </c>
      <c r="E31" s="32">
        <v>39.000999999999998</v>
      </c>
      <c r="F31" s="32">
        <v>38.055399999999999</v>
      </c>
      <c r="G31" s="18">
        <v>69.118053635609627</v>
      </c>
      <c r="H31" s="18">
        <f t="shared" si="0"/>
        <v>33.010300000000001</v>
      </c>
      <c r="I31" s="5"/>
      <c r="J31" s="31">
        <v>1012.7376</v>
      </c>
      <c r="K31" s="32">
        <v>31.573799999999999</v>
      </c>
      <c r="L31" s="32">
        <v>39.705800000000004</v>
      </c>
      <c r="M31" s="32">
        <v>38.873699999999999</v>
      </c>
      <c r="N31" s="18">
        <v>41.431899999999999</v>
      </c>
      <c r="O31" s="18">
        <f t="shared" si="1"/>
        <v>33.502787499999997</v>
      </c>
      <c r="P31" s="7"/>
      <c r="Q31" s="10"/>
      <c r="R31" s="11"/>
      <c r="S31" s="11"/>
      <c r="T31" s="26"/>
      <c r="U31" s="28">
        <f t="shared" si="2"/>
        <v>-0.40056327080000009</v>
      </c>
    </row>
    <row r="32" spans="1:21" ht="16.5" thickBot="1" x14ac:dyDescent="0.3">
      <c r="B32" s="12"/>
      <c r="C32" s="33">
        <v>573.79296875</v>
      </c>
      <c r="D32" s="34">
        <v>29.178599999999999</v>
      </c>
      <c r="E32" s="34">
        <v>37.805100000000003</v>
      </c>
      <c r="F32" s="34">
        <v>36.500900000000001</v>
      </c>
      <c r="G32" s="20">
        <v>72.108451110470142</v>
      </c>
      <c r="H32" s="20">
        <f t="shared" si="0"/>
        <v>31.1722</v>
      </c>
      <c r="I32" s="5"/>
      <c r="J32" s="33">
        <v>606.99279999999999</v>
      </c>
      <c r="K32" s="34">
        <v>29.7621</v>
      </c>
      <c r="L32" s="34">
        <v>38.662199999999999</v>
      </c>
      <c r="M32" s="34">
        <v>37.435899999999997</v>
      </c>
      <c r="N32" s="20">
        <v>49.6524</v>
      </c>
      <c r="O32" s="20">
        <f t="shared" si="1"/>
        <v>31.833837500000001</v>
      </c>
      <c r="P32" s="7"/>
      <c r="Q32" s="13"/>
      <c r="R32" s="14"/>
      <c r="S32" s="14"/>
      <c r="T32" s="27"/>
      <c r="U32" s="28">
        <f t="shared" si="2"/>
        <v>-0.31142051679999994</v>
      </c>
    </row>
    <row r="33" spans="1:21" x14ac:dyDescent="0.25">
      <c r="B33" s="6" t="s">
        <v>52</v>
      </c>
      <c r="C33" s="15">
        <v>2327.220703125</v>
      </c>
      <c r="D33" s="16">
        <v>33.741500000000002</v>
      </c>
      <c r="E33" s="16">
        <v>39.884999999999998</v>
      </c>
      <c r="F33" s="16">
        <v>42.281999999999996</v>
      </c>
      <c r="G33" s="16">
        <v>51.76876617773943</v>
      </c>
      <c r="H33" s="16">
        <f t="shared" si="0"/>
        <v>35.576999999999998</v>
      </c>
      <c r="I33" s="5"/>
      <c r="J33" s="15">
        <v>2410.2248</v>
      </c>
      <c r="K33" s="16">
        <v>33.968000000000004</v>
      </c>
      <c r="L33" s="16">
        <v>40.395099999999999</v>
      </c>
      <c r="M33" s="16">
        <v>42.836300000000001</v>
      </c>
      <c r="N33" s="16">
        <v>34.3249</v>
      </c>
      <c r="O33" s="16">
        <f t="shared" si="1"/>
        <v>35.879925</v>
      </c>
      <c r="P33" s="7"/>
      <c r="Q33" s="8">
        <f>bdrate(C33:C36,D33:D36,J33:J36,K33:K36)</f>
        <v>-0.16105806708438564</v>
      </c>
      <c r="R33" s="8">
        <f>bdrate(C33:C36,E33:E36,J33:J36,L33:L36)</f>
        <v>-0.29420334983197649</v>
      </c>
      <c r="S33" s="8">
        <f>bdrate(C33:C36,F33:F36,J33:J36,M33:M36)</f>
        <v>-0.34796224399952391</v>
      </c>
      <c r="T33" s="25">
        <f>bdrate(C33:C36,H33:H36,J33:J36,O33:O36)</f>
        <v>-0.18860210160592317</v>
      </c>
      <c r="U33" s="28">
        <f t="shared" si="2"/>
        <v>-0.33695734833333335</v>
      </c>
    </row>
    <row r="34" spans="1:21" x14ac:dyDescent="0.25">
      <c r="B34" s="9"/>
      <c r="C34" s="17">
        <v>1542.5654296875</v>
      </c>
      <c r="D34" s="18">
        <v>32.9925</v>
      </c>
      <c r="E34" s="18">
        <v>39.433</v>
      </c>
      <c r="F34" s="18">
        <v>41.862699999999997</v>
      </c>
      <c r="G34" s="18">
        <v>66.74082313681869</v>
      </c>
      <c r="H34" s="18">
        <f t="shared" si="0"/>
        <v>34.906337499999999</v>
      </c>
      <c r="I34" s="5"/>
      <c r="J34" s="17">
        <v>1590.7239999999999</v>
      </c>
      <c r="K34" s="18">
        <v>33.331899999999997</v>
      </c>
      <c r="L34" s="18">
        <v>39.947499999999998</v>
      </c>
      <c r="M34" s="18">
        <v>42.401000000000003</v>
      </c>
      <c r="N34" s="18">
        <v>42.881599999999999</v>
      </c>
      <c r="O34" s="18">
        <f t="shared" si="1"/>
        <v>35.2924875</v>
      </c>
      <c r="P34" s="7"/>
      <c r="Q34" s="10"/>
      <c r="R34" s="11"/>
      <c r="S34" s="11"/>
      <c r="T34" s="26"/>
      <c r="U34" s="28">
        <f t="shared" si="2"/>
        <v>-0.35749069333333339</v>
      </c>
    </row>
    <row r="35" spans="1:21" x14ac:dyDescent="0.25">
      <c r="B35" s="9"/>
      <c r="C35" s="17">
        <v>956.6728515625</v>
      </c>
      <c r="D35" s="18">
        <v>31.809699999999999</v>
      </c>
      <c r="E35" s="18">
        <v>38.745899999999999</v>
      </c>
      <c r="F35" s="18">
        <v>41.224699999999999</v>
      </c>
      <c r="G35" s="18">
        <v>72.648020341445687</v>
      </c>
      <c r="H35" s="18">
        <f t="shared" si="0"/>
        <v>33.8536</v>
      </c>
      <c r="I35" s="5"/>
      <c r="J35" s="17">
        <v>984.96559999999999</v>
      </c>
      <c r="K35" s="18">
        <v>32.354799999999997</v>
      </c>
      <c r="L35" s="18">
        <v>39.223399999999998</v>
      </c>
      <c r="M35" s="18">
        <v>41.774900000000002</v>
      </c>
      <c r="N35" s="18">
        <v>51.273299999999999</v>
      </c>
      <c r="O35" s="18">
        <f t="shared" si="1"/>
        <v>34.390887499999998</v>
      </c>
      <c r="P35" s="7"/>
      <c r="Q35" s="10"/>
      <c r="R35" s="11"/>
      <c r="S35" s="11"/>
      <c r="T35" s="26"/>
      <c r="U35" s="28">
        <f t="shared" si="2"/>
        <v>-0.2942230254999999</v>
      </c>
    </row>
    <row r="36" spans="1:21" ht="16.5" thickBot="1" x14ac:dyDescent="0.3">
      <c r="B36" s="12"/>
      <c r="C36" s="19">
        <v>575.08984375</v>
      </c>
      <c r="D36" s="20">
        <v>30.165199999999999</v>
      </c>
      <c r="E36" s="20">
        <v>38.1616</v>
      </c>
      <c r="F36" s="20">
        <v>40.741900000000001</v>
      </c>
      <c r="G36" s="20">
        <v>81.333875559170394</v>
      </c>
      <c r="H36" s="20">
        <f t="shared" si="0"/>
        <v>32.4868375</v>
      </c>
      <c r="I36" s="5"/>
      <c r="J36" s="19">
        <v>580.70479999999998</v>
      </c>
      <c r="K36" s="20">
        <v>30.969799999999999</v>
      </c>
      <c r="L36" s="20">
        <v>38.660699999999999</v>
      </c>
      <c r="M36" s="20">
        <v>41.261800000000001</v>
      </c>
      <c r="N36" s="20">
        <v>61.081099999999999</v>
      </c>
      <c r="O36" s="20">
        <f t="shared" si="1"/>
        <v>33.217662500000003</v>
      </c>
      <c r="P36" s="7"/>
      <c r="Q36" s="13"/>
      <c r="R36" s="14"/>
      <c r="S36" s="14"/>
      <c r="T36" s="27"/>
      <c r="U36" s="28">
        <f t="shared" si="2"/>
        <v>-0.2490078755</v>
      </c>
    </row>
    <row r="37" spans="1:21" x14ac:dyDescent="0.25">
      <c r="A37" s="6" t="s">
        <v>39</v>
      </c>
      <c r="B37" s="6" t="s">
        <v>53</v>
      </c>
      <c r="C37" s="15">
        <v>1154.4580078125</v>
      </c>
      <c r="D37" s="16">
        <v>35.302700000000002</v>
      </c>
      <c r="E37" s="16">
        <v>39.477499999999999</v>
      </c>
      <c r="F37" s="16">
        <v>39.485999999999997</v>
      </c>
      <c r="G37" s="16">
        <v>84.473728670383522</v>
      </c>
      <c r="H37" s="16">
        <f t="shared" si="0"/>
        <v>36.347462499999999</v>
      </c>
      <c r="I37" s="5"/>
      <c r="J37" s="15">
        <v>1206.6864</v>
      </c>
      <c r="K37" s="16">
        <v>36.549900000000001</v>
      </c>
      <c r="L37" s="16">
        <v>41.008000000000003</v>
      </c>
      <c r="M37" s="16">
        <v>41.0426</v>
      </c>
      <c r="N37" s="16">
        <v>94.339600000000004</v>
      </c>
      <c r="O37" s="16">
        <f t="shared" si="1"/>
        <v>37.668749999999996</v>
      </c>
      <c r="P37" s="7"/>
      <c r="Q37" s="8">
        <f>bdrate(C37:C40,D37:D40,J37:J40,K37:K40)</f>
        <v>-0.22729002068966064</v>
      </c>
      <c r="R37" s="8">
        <f>bdrate(C37:C40,E37:E40,J37:J40,L37:L40)</f>
        <v>-0.3845588096446928</v>
      </c>
      <c r="S37" s="8">
        <f>bdrate(C37:C40,F37:F40,J37:J40,M37:M40)</f>
        <v>-0.35801803677446697</v>
      </c>
      <c r="T37" s="25">
        <f>bdrate(C37:C40,H37:H40,J37:J40,O37:O40)</f>
        <v>-0.2588977049796789</v>
      </c>
      <c r="U37" s="28">
        <f t="shared" si="2"/>
        <v>0.11679218479999989</v>
      </c>
    </row>
    <row r="38" spans="1:21" x14ac:dyDescent="0.25">
      <c r="A38" s="9" t="s">
        <v>40</v>
      </c>
      <c r="B38" s="9"/>
      <c r="C38" s="17">
        <v>769.57421875</v>
      </c>
      <c r="D38" s="18">
        <v>33.599299999999999</v>
      </c>
      <c r="E38" s="18">
        <v>38.301000000000002</v>
      </c>
      <c r="F38" s="18">
        <v>38.162199999999999</v>
      </c>
      <c r="G38" s="18">
        <v>112.61261261261261</v>
      </c>
      <c r="H38" s="18">
        <f t="shared" si="0"/>
        <v>34.757374999999996</v>
      </c>
      <c r="I38" s="5"/>
      <c r="J38" s="17">
        <v>797.54399999999998</v>
      </c>
      <c r="K38" s="18">
        <v>34.7667</v>
      </c>
      <c r="L38" s="18">
        <v>39.730800000000002</v>
      </c>
      <c r="M38" s="18">
        <v>39.607300000000002</v>
      </c>
      <c r="N38" s="18">
        <v>108.4128</v>
      </c>
      <c r="O38" s="18">
        <f t="shared" si="1"/>
        <v>35.992287500000003</v>
      </c>
      <c r="P38" s="7"/>
      <c r="Q38" s="10"/>
      <c r="R38" s="11"/>
      <c r="S38" s="11"/>
      <c r="T38" s="26"/>
      <c r="U38" s="28">
        <f t="shared" si="2"/>
        <v>-3.7294335999999921E-2</v>
      </c>
    </row>
    <row r="39" spans="1:21" x14ac:dyDescent="0.25">
      <c r="B39" s="9"/>
      <c r="C39" s="17">
        <v>480.328125</v>
      </c>
      <c r="D39" s="18">
        <v>31.639199999999999</v>
      </c>
      <c r="E39" s="18">
        <v>36.784799999999997</v>
      </c>
      <c r="F39" s="18">
        <v>36.459000000000003</v>
      </c>
      <c r="G39" s="18">
        <v>170.06802721088437</v>
      </c>
      <c r="H39" s="18">
        <f t="shared" si="0"/>
        <v>32.884874999999994</v>
      </c>
      <c r="I39" s="5"/>
      <c r="J39" s="17">
        <v>500.56799999999998</v>
      </c>
      <c r="K39" s="18">
        <v>32.8643</v>
      </c>
      <c r="L39" s="18">
        <v>38.421999999999997</v>
      </c>
      <c r="M39" s="18">
        <v>38.176900000000003</v>
      </c>
      <c r="N39" s="18">
        <v>124.4091</v>
      </c>
      <c r="O39" s="18">
        <f t="shared" si="1"/>
        <v>34.223087499999998</v>
      </c>
      <c r="P39" s="7"/>
      <c r="Q39" s="10"/>
      <c r="R39" s="11"/>
      <c r="S39" s="11"/>
      <c r="T39" s="26"/>
      <c r="U39" s="28">
        <f t="shared" si="2"/>
        <v>-0.26847449200000006</v>
      </c>
    </row>
    <row r="40" spans="1:21" ht="16.5" thickBot="1" x14ac:dyDescent="0.3">
      <c r="B40" s="12"/>
      <c r="C40" s="19">
        <v>288.98046875</v>
      </c>
      <c r="D40" s="20">
        <v>29.596699999999998</v>
      </c>
      <c r="E40" s="20">
        <v>35.389499999999998</v>
      </c>
      <c r="F40" s="20">
        <v>34.810499999999998</v>
      </c>
      <c r="G40" s="20">
        <v>244.61839530332679</v>
      </c>
      <c r="H40" s="20">
        <f t="shared" si="0"/>
        <v>30.972524999999997</v>
      </c>
      <c r="I40" s="5"/>
      <c r="J40" s="19">
        <v>298.27359999999999</v>
      </c>
      <c r="K40" s="20">
        <v>30.9041</v>
      </c>
      <c r="L40" s="20">
        <v>36.987400000000001</v>
      </c>
      <c r="M40" s="20">
        <v>36.497500000000002</v>
      </c>
      <c r="N40" s="20">
        <v>145.18</v>
      </c>
      <c r="O40" s="20">
        <f t="shared" si="1"/>
        <v>32.363687499999997</v>
      </c>
      <c r="P40" s="7"/>
      <c r="Q40" s="13"/>
      <c r="R40" s="14"/>
      <c r="S40" s="14"/>
      <c r="T40" s="27"/>
      <c r="U40" s="28">
        <f t="shared" si="2"/>
        <v>-0.40650415999999995</v>
      </c>
    </row>
    <row r="41" spans="1:21" x14ac:dyDescent="0.25">
      <c r="B41" s="6" t="s">
        <v>54</v>
      </c>
      <c r="C41" s="15">
        <v>1204.4208984375</v>
      </c>
      <c r="D41" s="16">
        <v>35.580300000000001</v>
      </c>
      <c r="E41" s="16">
        <v>40.716900000000003</v>
      </c>
      <c r="F41" s="16">
        <v>41.697499999999998</v>
      </c>
      <c r="G41" s="16">
        <v>101.59160176092111</v>
      </c>
      <c r="H41" s="16">
        <f t="shared" si="0"/>
        <v>36.987025000000003</v>
      </c>
      <c r="I41" s="5"/>
      <c r="J41" s="15">
        <v>1211.54</v>
      </c>
      <c r="K41" s="16">
        <v>35.978900000000003</v>
      </c>
      <c r="L41" s="16">
        <v>41.727499999999999</v>
      </c>
      <c r="M41" s="16">
        <v>42.740099999999998</v>
      </c>
      <c r="N41" s="16">
        <v>98.846800000000002</v>
      </c>
      <c r="O41" s="16">
        <f t="shared" si="1"/>
        <v>37.542625000000001</v>
      </c>
      <c r="P41" s="7"/>
      <c r="Q41" s="8">
        <f>bdrate(C41:C44,D41:D44,J41:J44,K41:K44)</f>
        <v>-0.17504606406714385</v>
      </c>
      <c r="R41" s="8">
        <f>bdrate(C41:C44,E41:E44,J41:J44,L41:L44)</f>
        <v>-0.40578305892445832</v>
      </c>
      <c r="S41" s="8">
        <f>bdrate(C41:C44,F41:F44,J41:J44,M41:M44)</f>
        <v>-0.37052767974433976</v>
      </c>
      <c r="T41" s="25">
        <f>bdrate(C41:C44,H41:H44,J41:J44,O41:O44)</f>
        <v>-0.21518952802987912</v>
      </c>
      <c r="U41" s="28">
        <f t="shared" si="2"/>
        <v>-2.7017998666666754E-2</v>
      </c>
    </row>
    <row r="42" spans="1:21" x14ac:dyDescent="0.25">
      <c r="B42" s="9"/>
      <c r="C42" s="17">
        <v>804.0498046875</v>
      </c>
      <c r="D42" s="18">
        <v>33.795499999999997</v>
      </c>
      <c r="E42" s="18">
        <v>39.5989</v>
      </c>
      <c r="F42" s="18">
        <v>40.442599999999999</v>
      </c>
      <c r="G42" s="18">
        <v>142.61944378416925</v>
      </c>
      <c r="H42" s="18">
        <f t="shared" si="0"/>
        <v>35.351812499999994</v>
      </c>
      <c r="I42" s="5"/>
      <c r="J42" s="17">
        <v>811.36080000000004</v>
      </c>
      <c r="K42" s="18">
        <v>34.495699999999999</v>
      </c>
      <c r="L42" s="18">
        <v>40.837400000000002</v>
      </c>
      <c r="M42" s="18">
        <v>41.692100000000003</v>
      </c>
      <c r="N42" s="18">
        <v>115.5179</v>
      </c>
      <c r="O42" s="18">
        <f t="shared" si="1"/>
        <v>36.187962499999998</v>
      </c>
      <c r="P42" s="7"/>
      <c r="Q42" s="10"/>
      <c r="R42" s="11"/>
      <c r="S42" s="11"/>
      <c r="T42" s="26"/>
      <c r="U42" s="28">
        <f t="shared" si="2"/>
        <v>-0.19002699116666671</v>
      </c>
    </row>
    <row r="43" spans="1:21" x14ac:dyDescent="0.25">
      <c r="B43" s="9"/>
      <c r="C43" s="17">
        <v>502.3291015625</v>
      </c>
      <c r="D43" s="18">
        <v>31.695</v>
      </c>
      <c r="E43" s="18">
        <v>38.481900000000003</v>
      </c>
      <c r="F43" s="18">
        <v>39.212299999999999</v>
      </c>
      <c r="G43" s="18">
        <v>197.43336623889437</v>
      </c>
      <c r="H43" s="18">
        <f t="shared" si="0"/>
        <v>33.483024999999998</v>
      </c>
      <c r="I43" s="5"/>
      <c r="J43" s="17">
        <v>507.1472</v>
      </c>
      <c r="K43" s="18">
        <v>32.679900000000004</v>
      </c>
      <c r="L43" s="18">
        <v>39.761000000000003</v>
      </c>
      <c r="M43" s="18">
        <v>40.470100000000002</v>
      </c>
      <c r="N43" s="18">
        <v>136.3946</v>
      </c>
      <c r="O43" s="18">
        <f t="shared" si="1"/>
        <v>34.538812500000006</v>
      </c>
      <c r="P43" s="7"/>
      <c r="Q43" s="10"/>
      <c r="R43" s="11"/>
      <c r="S43" s="11"/>
      <c r="T43" s="26"/>
      <c r="U43" s="28">
        <f t="shared" si="2"/>
        <v>-0.30916135099999997</v>
      </c>
    </row>
    <row r="44" spans="1:21" ht="16.5" thickBot="1" x14ac:dyDescent="0.3">
      <c r="B44" s="12"/>
      <c r="C44" s="19">
        <v>301.990234375</v>
      </c>
      <c r="D44" s="20">
        <v>29.498699999999999</v>
      </c>
      <c r="E44" s="20">
        <v>37.413200000000003</v>
      </c>
      <c r="F44" s="20">
        <v>37.947000000000003</v>
      </c>
      <c r="G44" s="20">
        <v>258.62068965517244</v>
      </c>
      <c r="H44" s="20">
        <f t="shared" si="0"/>
        <v>31.544049999999999</v>
      </c>
      <c r="I44" s="5"/>
      <c r="J44" s="19">
        <v>305.3064</v>
      </c>
      <c r="K44" s="20">
        <v>30.641500000000001</v>
      </c>
      <c r="L44" s="20">
        <v>38.618499999999997</v>
      </c>
      <c r="M44" s="20">
        <v>39.226100000000002</v>
      </c>
      <c r="N44" s="20">
        <v>164.1138</v>
      </c>
      <c r="O44" s="20">
        <f t="shared" si="1"/>
        <v>32.711699999999993</v>
      </c>
      <c r="P44" s="7"/>
      <c r="Q44" s="13"/>
      <c r="R44" s="14"/>
      <c r="S44" s="14"/>
      <c r="T44" s="27"/>
      <c r="U44" s="28">
        <f t="shared" si="2"/>
        <v>-0.36542664000000008</v>
      </c>
    </row>
    <row r="45" spans="1:21" x14ac:dyDescent="0.25">
      <c r="B45" s="6" t="s">
        <v>55</v>
      </c>
      <c r="C45" s="15">
        <v>1182.232421875</v>
      </c>
      <c r="D45" s="16">
        <v>30.3751</v>
      </c>
      <c r="E45" s="16">
        <v>36.7346</v>
      </c>
      <c r="F45" s="16">
        <v>37.469700000000003</v>
      </c>
      <c r="G45" s="16">
        <v>90.6289650172195</v>
      </c>
      <c r="H45" s="16">
        <f t="shared" si="0"/>
        <v>32.056862500000001</v>
      </c>
      <c r="I45" s="5"/>
      <c r="J45" s="15">
        <v>1193.8864000000001</v>
      </c>
      <c r="K45" s="16">
        <v>30.887499999999999</v>
      </c>
      <c r="L45" s="16">
        <v>37.648099999999999</v>
      </c>
      <c r="M45" s="16">
        <v>38.489699999999999</v>
      </c>
      <c r="N45" s="16">
        <v>91.878</v>
      </c>
      <c r="O45" s="16">
        <f t="shared" si="1"/>
        <v>32.682850000000002</v>
      </c>
      <c r="P45" s="7"/>
      <c r="Q45" s="8">
        <f>bdrate(C45:C48,D45:D48,J45:J48,K45:K48)</f>
        <v>-0.21952031008233797</v>
      </c>
      <c r="R45" s="8">
        <f>bdrate(C45:C48,E45:E48,J45:J48,L45:L48)</f>
        <v>-0.40134265999712382</v>
      </c>
      <c r="S45" s="8">
        <f>bdrate(C45:C48,F45:F48,J45:J48,M45:M48)</f>
        <v>-0.41610243533271596</v>
      </c>
      <c r="T45" s="25">
        <f>bdrate(C45:C48,H45:H48,J45:J48,O45:O48)</f>
        <v>-0.25405825433236595</v>
      </c>
      <c r="U45" s="28">
        <f t="shared" si="2"/>
        <v>1.3781852000000044E-2</v>
      </c>
    </row>
    <row r="46" spans="1:21" x14ac:dyDescent="0.25">
      <c r="B46" s="9"/>
      <c r="C46" s="17">
        <v>780.67578125</v>
      </c>
      <c r="D46" s="18">
        <v>28.756599999999999</v>
      </c>
      <c r="E46" s="18">
        <v>35.869599999999998</v>
      </c>
      <c r="F46" s="18">
        <v>36.591200000000001</v>
      </c>
      <c r="G46" s="18">
        <v>120.83131947800871</v>
      </c>
      <c r="H46" s="18">
        <f t="shared" si="0"/>
        <v>30.625050000000002</v>
      </c>
      <c r="I46" s="5"/>
      <c r="J46" s="17">
        <v>796.39840000000004</v>
      </c>
      <c r="K46" s="18">
        <v>29.5791</v>
      </c>
      <c r="L46" s="18">
        <v>36.853499999999997</v>
      </c>
      <c r="M46" s="18">
        <v>37.648299999999999</v>
      </c>
      <c r="N46" s="18">
        <v>104.8438</v>
      </c>
      <c r="O46" s="18">
        <f t="shared" si="1"/>
        <v>31.497050000000002</v>
      </c>
      <c r="P46" s="7"/>
      <c r="Q46" s="10"/>
      <c r="R46" s="11"/>
      <c r="S46" s="11"/>
      <c r="T46" s="26"/>
      <c r="U46" s="28">
        <f t="shared" si="2"/>
        <v>-0.13231271120000004</v>
      </c>
    </row>
    <row r="47" spans="1:21" x14ac:dyDescent="0.25">
      <c r="B47" s="9"/>
      <c r="C47" s="17">
        <v>488.7021484375</v>
      </c>
      <c r="D47" s="18">
        <v>27.080400000000001</v>
      </c>
      <c r="E47" s="18">
        <v>34.936399999999999</v>
      </c>
      <c r="F47" s="18">
        <v>35.6297</v>
      </c>
      <c r="G47" s="18">
        <v>170.12589316093909</v>
      </c>
      <c r="H47" s="18">
        <f t="shared" si="0"/>
        <v>29.131062499999999</v>
      </c>
      <c r="I47" s="5"/>
      <c r="J47" s="17">
        <v>505.1</v>
      </c>
      <c r="K47" s="18">
        <v>28.137</v>
      </c>
      <c r="L47" s="18">
        <v>36.0124</v>
      </c>
      <c r="M47" s="18">
        <v>36.7883</v>
      </c>
      <c r="N47" s="18">
        <v>122.459</v>
      </c>
      <c r="O47" s="18">
        <f t="shared" si="1"/>
        <v>30.202837500000001</v>
      </c>
      <c r="P47" s="7"/>
      <c r="Q47" s="10"/>
      <c r="R47" s="11"/>
      <c r="S47" s="11"/>
      <c r="T47" s="26"/>
      <c r="U47" s="28">
        <f t="shared" si="2"/>
        <v>-0.28018599799999994</v>
      </c>
    </row>
    <row r="48" spans="1:21" ht="16.5" thickBot="1" x14ac:dyDescent="0.3">
      <c r="B48" s="12"/>
      <c r="C48" s="19">
        <v>297.2998046875</v>
      </c>
      <c r="D48" s="20">
        <v>25.551200000000001</v>
      </c>
      <c r="E48" s="20">
        <v>34.1922</v>
      </c>
      <c r="F48" s="20">
        <v>34.884300000000003</v>
      </c>
      <c r="G48" s="20">
        <v>217.29682746631897</v>
      </c>
      <c r="H48" s="20">
        <f t="shared" si="0"/>
        <v>27.797962500000004</v>
      </c>
      <c r="I48" s="5"/>
      <c r="J48" s="19">
        <v>306.79360000000003</v>
      </c>
      <c r="K48" s="20">
        <v>26.648700000000002</v>
      </c>
      <c r="L48" s="20">
        <v>35.131900000000002</v>
      </c>
      <c r="M48" s="20">
        <v>35.864199999999997</v>
      </c>
      <c r="N48" s="20">
        <v>143.9263</v>
      </c>
      <c r="O48" s="20">
        <f t="shared" si="1"/>
        <v>28.861037500000002</v>
      </c>
      <c r="P48" s="7"/>
      <c r="Q48" s="13"/>
      <c r="R48" s="14"/>
      <c r="S48" s="14"/>
      <c r="T48" s="27"/>
      <c r="U48" s="28">
        <f t="shared" si="2"/>
        <v>-0.33765116739999995</v>
      </c>
    </row>
    <row r="49" spans="1:21" x14ac:dyDescent="0.25">
      <c r="B49" s="6" t="s">
        <v>56</v>
      </c>
      <c r="C49" s="15">
        <v>1145.3271484375</v>
      </c>
      <c r="D49" s="16">
        <v>33.327300000000001</v>
      </c>
      <c r="E49" s="16">
        <v>37.531399999999998</v>
      </c>
      <c r="F49" s="16">
        <v>39.128</v>
      </c>
      <c r="G49" s="16">
        <v>62.5130235465722</v>
      </c>
      <c r="H49" s="16">
        <f t="shared" si="0"/>
        <v>34.5779</v>
      </c>
      <c r="I49" s="5"/>
      <c r="J49" s="15">
        <v>1191.9528</v>
      </c>
      <c r="K49" s="16">
        <v>32.929200000000002</v>
      </c>
      <c r="L49" s="16">
        <v>37.824599999999997</v>
      </c>
      <c r="M49" s="16">
        <v>39.409100000000002</v>
      </c>
      <c r="N49" s="16">
        <v>68.902199999999993</v>
      </c>
      <c r="O49" s="16">
        <f t="shared" si="1"/>
        <v>34.351112499999999</v>
      </c>
      <c r="P49" s="7"/>
      <c r="Q49" s="8">
        <f>bdrate(C49:C52,D49:D52,J49:J52,K49:K52)</f>
        <v>7.5798819040067578E-2</v>
      </c>
      <c r="R49" s="8">
        <f>bdrate(C49:C52,E49:E52,J49:J52,L49:L52)</f>
        <v>-0.16746108223822231</v>
      </c>
      <c r="S49" s="8">
        <f>bdrate(C49:C52,F49:F52,J49:J52,M49:M52)</f>
        <v>-0.17482974063166157</v>
      </c>
      <c r="T49" s="25">
        <f>bdrate(C49:C52,H49:H52,J49:J52,O49:O52)</f>
        <v>3.2429594214584023E-2</v>
      </c>
      <c r="U49" s="28">
        <f t="shared" si="2"/>
        <v>0.10220552599999995</v>
      </c>
    </row>
    <row r="50" spans="1:21" x14ac:dyDescent="0.25">
      <c r="B50" s="9"/>
      <c r="C50" s="17">
        <v>763.310546875</v>
      </c>
      <c r="D50" s="18">
        <v>31.674399999999999</v>
      </c>
      <c r="E50" s="18">
        <v>36.515099999999997</v>
      </c>
      <c r="F50" s="18">
        <v>38.1404</v>
      </c>
      <c r="G50" s="18">
        <v>81.743869209809262</v>
      </c>
      <c r="H50" s="18">
        <f t="shared" si="0"/>
        <v>33.087737500000003</v>
      </c>
      <c r="I50" s="5"/>
      <c r="J50" s="17">
        <v>793.61760000000004</v>
      </c>
      <c r="K50" s="18">
        <v>31.400200000000002</v>
      </c>
      <c r="L50" s="18">
        <v>36.914999999999999</v>
      </c>
      <c r="M50" s="18">
        <v>38.5227</v>
      </c>
      <c r="N50" s="18">
        <v>78.698800000000006</v>
      </c>
      <c r="O50" s="18">
        <f t="shared" si="1"/>
        <v>32.979862500000003</v>
      </c>
      <c r="P50" s="7"/>
      <c r="Q50" s="10"/>
      <c r="R50" s="11"/>
      <c r="S50" s="11"/>
      <c r="T50" s="26"/>
      <c r="U50" s="28">
        <f t="shared" si="2"/>
        <v>-3.7251346666666567E-2</v>
      </c>
    </row>
    <row r="51" spans="1:21" x14ac:dyDescent="0.25">
      <c r="B51" s="9"/>
      <c r="C51" s="17">
        <v>482.673828125</v>
      </c>
      <c r="D51" s="18">
        <v>29.842300000000002</v>
      </c>
      <c r="E51" s="18">
        <v>35.4908</v>
      </c>
      <c r="F51" s="18">
        <v>37.075099999999999</v>
      </c>
      <c r="G51" s="18">
        <v>126.58227848101265</v>
      </c>
      <c r="H51" s="18">
        <f t="shared" si="0"/>
        <v>31.452462500000003</v>
      </c>
      <c r="I51" s="5"/>
      <c r="J51" s="17">
        <v>496.29680000000002</v>
      </c>
      <c r="K51" s="18">
        <v>29.758900000000001</v>
      </c>
      <c r="L51" s="18">
        <v>36.017800000000001</v>
      </c>
      <c r="M51" s="18">
        <v>37.648699999999998</v>
      </c>
      <c r="N51" s="18">
        <v>90.198400000000007</v>
      </c>
      <c r="O51" s="18">
        <f t="shared" si="1"/>
        <v>31.527487499999999</v>
      </c>
      <c r="P51" s="7"/>
      <c r="Q51" s="10"/>
      <c r="R51" s="11"/>
      <c r="S51" s="11"/>
      <c r="T51" s="26"/>
      <c r="U51" s="28">
        <f t="shared" si="2"/>
        <v>-0.28743263999999991</v>
      </c>
    </row>
    <row r="52" spans="1:21" ht="16.5" thickBot="1" x14ac:dyDescent="0.3">
      <c r="B52" s="12"/>
      <c r="C52" s="19">
        <v>300.263671875</v>
      </c>
      <c r="D52" s="20">
        <v>28.112300000000001</v>
      </c>
      <c r="E52" s="20">
        <v>34.531100000000002</v>
      </c>
      <c r="F52" s="20">
        <v>36.054900000000004</v>
      </c>
      <c r="G52" s="20">
        <v>167.31734523145568</v>
      </c>
      <c r="H52" s="20">
        <f t="shared" si="0"/>
        <v>29.907475000000002</v>
      </c>
      <c r="I52" s="5"/>
      <c r="J52" s="19">
        <v>297.10399999999998</v>
      </c>
      <c r="K52" s="20">
        <v>28.111799999999999</v>
      </c>
      <c r="L52" s="20">
        <v>35.043100000000003</v>
      </c>
      <c r="M52" s="20">
        <v>36.722200000000001</v>
      </c>
      <c r="N52" s="20">
        <v>107.604</v>
      </c>
      <c r="O52" s="20">
        <f t="shared" si="1"/>
        <v>30.054512500000001</v>
      </c>
      <c r="P52" s="7"/>
      <c r="Q52" s="13"/>
      <c r="R52" s="14"/>
      <c r="S52" s="14"/>
      <c r="T52" s="27"/>
      <c r="U52" s="28">
        <f t="shared" si="2"/>
        <v>-0.35688676000000008</v>
      </c>
    </row>
    <row r="53" spans="1:21" x14ac:dyDescent="0.25">
      <c r="A53" s="6" t="s">
        <v>41</v>
      </c>
      <c r="B53" s="6" t="s">
        <v>57</v>
      </c>
      <c r="C53" s="15">
        <v>578.8828125</v>
      </c>
      <c r="D53" s="16">
        <v>35.110599999999998</v>
      </c>
      <c r="E53" s="16">
        <v>40.219700000000003</v>
      </c>
      <c r="F53" s="16">
        <v>38.870899999999999</v>
      </c>
      <c r="G53" s="16">
        <v>108.48340203948796</v>
      </c>
      <c r="H53" s="16">
        <f t="shared" si="0"/>
        <v>36.219274999999996</v>
      </c>
      <c r="I53" s="5"/>
      <c r="J53" s="15">
        <v>601.12639999999999</v>
      </c>
      <c r="K53" s="16">
        <v>35.153799999999997</v>
      </c>
      <c r="L53" s="16">
        <v>40.953400000000002</v>
      </c>
      <c r="M53" s="16">
        <v>39.357300000000002</v>
      </c>
      <c r="N53" s="16">
        <v>209.20500000000001</v>
      </c>
      <c r="O53" s="16">
        <f t="shared" si="1"/>
        <v>36.404187499999999</v>
      </c>
      <c r="P53" s="7"/>
      <c r="Q53" s="8">
        <f>bdrate(C53:C56,D53:D56,J53:J56,K53:K56)</f>
        <v>-3.986465461791644E-2</v>
      </c>
      <c r="R53" s="8">
        <f>bdrate(C53:C56,E53:E56,J53:J56,L53:L56)</f>
        <v>-0.26899672785334006</v>
      </c>
      <c r="S53" s="8">
        <f>bdrate(C53:C56,F53:F56,J53:J56,M53:M56)</f>
        <v>-0.16839973765014671</v>
      </c>
      <c r="T53" s="25">
        <f>bdrate(C53:C56,H53:H56,J53:J56,O53:O56)</f>
        <v>-7.3859294818683696E-2</v>
      </c>
      <c r="U53" s="28">
        <f t="shared" si="2"/>
        <v>0.92845169000000016</v>
      </c>
    </row>
    <row r="54" spans="1:21" x14ac:dyDescent="0.25">
      <c r="A54" s="9" t="s">
        <v>42</v>
      </c>
      <c r="B54" s="9"/>
      <c r="C54" s="17">
        <v>393.048828125</v>
      </c>
      <c r="D54" s="18">
        <v>33.1721</v>
      </c>
      <c r="E54" s="18">
        <v>39.032499999999999</v>
      </c>
      <c r="F54" s="18">
        <v>37.598300000000002</v>
      </c>
      <c r="G54" s="18">
        <v>116.65888940737285</v>
      </c>
      <c r="H54" s="18">
        <f t="shared" si="0"/>
        <v>34.457925000000003</v>
      </c>
      <c r="I54" s="5"/>
      <c r="J54" s="17">
        <v>400.88639999999998</v>
      </c>
      <c r="K54" s="18">
        <v>33.279400000000003</v>
      </c>
      <c r="L54" s="18">
        <v>39.808500000000002</v>
      </c>
      <c r="M54" s="18">
        <v>38.034999999999997</v>
      </c>
      <c r="N54" s="18">
        <v>215.0538</v>
      </c>
      <c r="O54" s="18">
        <f t="shared" si="1"/>
        <v>34.689987500000001</v>
      </c>
      <c r="P54" s="7"/>
      <c r="Q54" s="10"/>
      <c r="R54" s="11"/>
      <c r="S54" s="11"/>
      <c r="T54" s="26"/>
      <c r="U54" s="28">
        <f t="shared" si="2"/>
        <v>0.84344117359999982</v>
      </c>
    </row>
    <row r="55" spans="1:21" x14ac:dyDescent="0.25">
      <c r="B55" s="9"/>
      <c r="C55" s="17">
        <v>248.181640625</v>
      </c>
      <c r="D55" s="18">
        <v>30.973400000000002</v>
      </c>
      <c r="E55" s="18">
        <v>37.665500000000002</v>
      </c>
      <c r="F55" s="18">
        <v>36.082700000000003</v>
      </c>
      <c r="G55" s="18">
        <v>164.90765171503958</v>
      </c>
      <c r="H55" s="18">
        <f t="shared" si="0"/>
        <v>32.448575000000005</v>
      </c>
      <c r="I55" s="5"/>
      <c r="J55" s="17">
        <v>248.31440000000001</v>
      </c>
      <c r="K55" s="18">
        <v>31.212499999999999</v>
      </c>
      <c r="L55" s="18">
        <v>38.556800000000003</v>
      </c>
      <c r="M55" s="18">
        <v>36.692500000000003</v>
      </c>
      <c r="N55" s="18">
        <v>234.52160000000001</v>
      </c>
      <c r="O55" s="18">
        <f t="shared" si="1"/>
        <v>32.815537499999998</v>
      </c>
      <c r="P55" s="7"/>
      <c r="Q55" s="10"/>
      <c r="R55" s="11"/>
      <c r="S55" s="11"/>
      <c r="T55" s="26"/>
      <c r="U55" s="28">
        <f t="shared" si="2"/>
        <v>0.42213898240000003</v>
      </c>
    </row>
    <row r="56" spans="1:21" ht="16.5" thickBot="1" x14ac:dyDescent="0.3">
      <c r="B56" s="12"/>
      <c r="C56" s="19">
        <v>119.93359375</v>
      </c>
      <c r="D56" s="20">
        <v>27.827500000000001</v>
      </c>
      <c r="E56" s="20">
        <v>35.902999999999999</v>
      </c>
      <c r="F56" s="20">
        <v>33.795999999999999</v>
      </c>
      <c r="G56" s="20">
        <v>308.64197530864197</v>
      </c>
      <c r="H56" s="20">
        <f t="shared" si="0"/>
        <v>29.582999999999998</v>
      </c>
      <c r="I56" s="5"/>
      <c r="J56" s="19">
        <v>119.41840000000001</v>
      </c>
      <c r="K56" s="20">
        <v>28.305299999999999</v>
      </c>
      <c r="L56" s="20">
        <v>36.892299999999999</v>
      </c>
      <c r="M56" s="20">
        <v>34.716900000000003</v>
      </c>
      <c r="N56" s="20">
        <v>311.72070000000002</v>
      </c>
      <c r="O56" s="20">
        <f t="shared" si="1"/>
        <v>30.180125</v>
      </c>
      <c r="P56" s="7"/>
      <c r="Q56" s="13"/>
      <c r="R56" s="14"/>
      <c r="S56" s="14"/>
      <c r="T56" s="27"/>
      <c r="U56" s="28">
        <f t="shared" si="2"/>
        <v>9.9750680000000747E-3</v>
      </c>
    </row>
    <row r="57" spans="1:21" x14ac:dyDescent="0.25">
      <c r="B57" s="6" t="s">
        <v>58</v>
      </c>
      <c r="C57" s="15">
        <v>574.2626953125</v>
      </c>
      <c r="D57" s="16">
        <v>33.892099999999999</v>
      </c>
      <c r="E57" s="16">
        <v>41.0745</v>
      </c>
      <c r="F57" s="16">
        <v>41.980499999999999</v>
      </c>
      <c r="G57" s="16">
        <v>146.16321559074299</v>
      </c>
      <c r="H57" s="16">
        <f t="shared" si="0"/>
        <v>35.80095</v>
      </c>
      <c r="I57" s="5"/>
      <c r="J57" s="15">
        <v>586.64160000000004</v>
      </c>
      <c r="K57" s="16">
        <v>33.837600000000002</v>
      </c>
      <c r="L57" s="16">
        <v>42.045299999999997</v>
      </c>
      <c r="M57" s="16">
        <v>43.046599999999998</v>
      </c>
      <c r="N57" s="16">
        <v>266.3116</v>
      </c>
      <c r="O57" s="16">
        <f t="shared" si="1"/>
        <v>36.014687500000001</v>
      </c>
      <c r="P57" s="7"/>
      <c r="Q57" s="8">
        <f>bdrate(C57:C60,D57:D60,J57:J60,K57:K60)</f>
        <v>-6.9941978257054949E-2</v>
      </c>
      <c r="R57" s="8">
        <f>bdrate(C57:C60,E57:E60,J57:J60,L57:L60)</f>
        <v>-0.33149386701792294</v>
      </c>
      <c r="S57" s="8">
        <f>bdrate(C57:C60,F57:F60,J57:J60,M57:M60)</f>
        <v>-0.34265531637722457</v>
      </c>
      <c r="T57" s="25">
        <f>bdrate(C57:C60,H57:H60,J57:J60,O57:O60)</f>
        <v>-0.12125089999924377</v>
      </c>
      <c r="U57" s="28">
        <f t="shared" si="2"/>
        <v>0.82201519666666667</v>
      </c>
    </row>
    <row r="58" spans="1:21" x14ac:dyDescent="0.25">
      <c r="B58" s="9"/>
      <c r="C58" s="17">
        <v>383.3671875</v>
      </c>
      <c r="D58" s="18">
        <v>32.470500000000001</v>
      </c>
      <c r="E58" s="18">
        <v>40.353999999999999</v>
      </c>
      <c r="F58" s="18">
        <v>41.2117</v>
      </c>
      <c r="G58" s="18">
        <v>189.21475875118261</v>
      </c>
      <c r="H58" s="18">
        <f t="shared" si="0"/>
        <v>34.548587500000004</v>
      </c>
      <c r="I58" s="5"/>
      <c r="J58" s="17">
        <v>394.70960000000002</v>
      </c>
      <c r="K58" s="18">
        <v>32.588700000000003</v>
      </c>
      <c r="L58" s="18">
        <v>41.373100000000001</v>
      </c>
      <c r="M58" s="18">
        <v>42.289000000000001</v>
      </c>
      <c r="N58" s="18">
        <v>357.78179999999998</v>
      </c>
      <c r="O58" s="18">
        <f t="shared" si="1"/>
        <v>34.8992875</v>
      </c>
      <c r="P58" s="7"/>
      <c r="Q58" s="10"/>
      <c r="R58" s="11"/>
      <c r="S58" s="11"/>
      <c r="T58" s="26"/>
      <c r="U58" s="28">
        <f t="shared" si="2"/>
        <v>0.89087681299999966</v>
      </c>
    </row>
    <row r="59" spans="1:21" x14ac:dyDescent="0.25">
      <c r="B59" s="9"/>
      <c r="C59" s="17">
        <v>239.205078125</v>
      </c>
      <c r="D59" s="18">
        <v>30.704599999999999</v>
      </c>
      <c r="E59" s="18">
        <v>39.432000000000002</v>
      </c>
      <c r="F59" s="18">
        <v>40.185499999999998</v>
      </c>
      <c r="G59" s="18">
        <v>234.83365949119371</v>
      </c>
      <c r="H59" s="18">
        <f t="shared" si="0"/>
        <v>32.9806375</v>
      </c>
      <c r="I59" s="5"/>
      <c r="J59" s="17">
        <v>236.548</v>
      </c>
      <c r="K59" s="18">
        <v>30.979900000000001</v>
      </c>
      <c r="L59" s="18">
        <v>40.149099999999997</v>
      </c>
      <c r="M59" s="18">
        <v>40.997100000000003</v>
      </c>
      <c r="N59" s="18">
        <v>430.7251</v>
      </c>
      <c r="O59" s="18">
        <f t="shared" si="1"/>
        <v>33.3782</v>
      </c>
      <c r="P59" s="7"/>
      <c r="Q59" s="10"/>
      <c r="R59" s="11"/>
      <c r="S59" s="11"/>
      <c r="T59" s="26"/>
      <c r="U59" s="28">
        <f t="shared" si="2"/>
        <v>0.83417105083333354</v>
      </c>
    </row>
    <row r="60" spans="1:21" ht="16.5" thickBot="1" x14ac:dyDescent="0.3">
      <c r="B60" s="12"/>
      <c r="C60" s="19">
        <v>114.630859375</v>
      </c>
      <c r="D60" s="20">
        <v>27.567499999999999</v>
      </c>
      <c r="E60" s="20">
        <v>38.201900000000002</v>
      </c>
      <c r="F60" s="20">
        <v>38.9422</v>
      </c>
      <c r="G60" s="20">
        <v>367.87247087676275</v>
      </c>
      <c r="H60" s="20">
        <f t="shared" si="0"/>
        <v>30.318637500000001</v>
      </c>
      <c r="I60" s="5"/>
      <c r="J60" s="19">
        <v>117.7784</v>
      </c>
      <c r="K60" s="20">
        <v>28.589099999999998</v>
      </c>
      <c r="L60" s="20">
        <v>38.874299999999998</v>
      </c>
      <c r="M60" s="20">
        <v>39.6922</v>
      </c>
      <c r="N60" s="20">
        <v>544.46460000000002</v>
      </c>
      <c r="O60" s="20">
        <f t="shared" si="1"/>
        <v>31.262637499999997</v>
      </c>
      <c r="P60" s="7"/>
      <c r="Q60" s="13"/>
      <c r="R60" s="14"/>
      <c r="S60" s="14"/>
      <c r="T60" s="27"/>
      <c r="U60" s="28">
        <f t="shared" si="2"/>
        <v>0.48003627099999996</v>
      </c>
    </row>
    <row r="61" spans="1:21" x14ac:dyDescent="0.25">
      <c r="B61" s="6" t="s">
        <v>59</v>
      </c>
      <c r="C61" s="29">
        <v>594.46484375</v>
      </c>
      <c r="D61" s="30">
        <v>33.536499999999997</v>
      </c>
      <c r="E61" s="30">
        <v>38.188699999999997</v>
      </c>
      <c r="F61" s="30">
        <v>38.872399999999999</v>
      </c>
      <c r="G61" s="16">
        <v>116.84973124561813</v>
      </c>
      <c r="H61" s="16">
        <f t="shared" si="0"/>
        <v>34.785012499999993</v>
      </c>
      <c r="I61" s="5"/>
      <c r="J61" s="29">
        <v>566.29280000000006</v>
      </c>
      <c r="K61" s="30">
        <v>33.088500000000003</v>
      </c>
      <c r="L61" s="30">
        <v>38.701300000000003</v>
      </c>
      <c r="M61" s="30">
        <v>39.482700000000001</v>
      </c>
      <c r="N61" s="16">
        <v>251.1301</v>
      </c>
      <c r="O61" s="16">
        <f t="shared" si="1"/>
        <v>34.589375000000004</v>
      </c>
      <c r="P61" s="7"/>
      <c r="Q61" s="8">
        <f>bdrate(C61:C64,D61:D64,J61:J64,K61:K64)</f>
        <v>-5.4662119813833954E-2</v>
      </c>
      <c r="R61" s="8">
        <f>bdrate(C61:C64,E61:E64,J61:J64,L61:L64)</f>
        <v>-0.25937728912493052</v>
      </c>
      <c r="S61" s="8">
        <f>bdrate(C61:C64,F61:F64,J61:J64,M61:M64)</f>
        <v>-0.29336508403069794</v>
      </c>
      <c r="T61" s="25">
        <f>bdrate(C61:C64,H61:H64,J61:J64,O61:O64)</f>
        <v>-9.4421395571076983E-2</v>
      </c>
      <c r="U61" s="28">
        <f t="shared" si="2"/>
        <v>1.1491713958000001</v>
      </c>
    </row>
    <row r="62" spans="1:21" x14ac:dyDescent="0.25">
      <c r="B62" s="9"/>
      <c r="C62" s="31">
        <v>398.2705078125</v>
      </c>
      <c r="D62" s="32">
        <v>31.786200000000001</v>
      </c>
      <c r="E62" s="32">
        <v>37.187399999999997</v>
      </c>
      <c r="F62" s="32">
        <v>37.8337</v>
      </c>
      <c r="G62" s="18">
        <v>134.15615776764153</v>
      </c>
      <c r="H62" s="18">
        <f t="shared" si="0"/>
        <v>33.217287499999998</v>
      </c>
      <c r="I62" s="5"/>
      <c r="J62" s="31">
        <v>380.00880000000001</v>
      </c>
      <c r="K62" s="32">
        <v>31.577200000000001</v>
      </c>
      <c r="L62" s="32">
        <v>37.633699999999997</v>
      </c>
      <c r="M62" s="32">
        <v>38.359400000000001</v>
      </c>
      <c r="N62" s="18">
        <v>298.50749999999999</v>
      </c>
      <c r="O62" s="18">
        <f t="shared" si="1"/>
        <v>33.1820375</v>
      </c>
      <c r="P62" s="7"/>
      <c r="Q62" s="10"/>
      <c r="R62" s="11"/>
      <c r="S62" s="11"/>
      <c r="T62" s="26"/>
      <c r="U62" s="28">
        <f t="shared" si="2"/>
        <v>1.225074905</v>
      </c>
    </row>
    <row r="63" spans="1:21" x14ac:dyDescent="0.25">
      <c r="B63" s="9"/>
      <c r="C63" s="31">
        <v>250.4248046875</v>
      </c>
      <c r="D63" s="32">
        <v>29.862100000000002</v>
      </c>
      <c r="E63" s="32">
        <v>36.047800000000002</v>
      </c>
      <c r="F63" s="32">
        <v>36.646799999999999</v>
      </c>
      <c r="G63" s="18">
        <v>184.77457501847746</v>
      </c>
      <c r="H63" s="18">
        <f t="shared" si="0"/>
        <v>31.483400000000003</v>
      </c>
      <c r="I63" s="5"/>
      <c r="J63" s="31">
        <v>241.16399999999999</v>
      </c>
      <c r="K63" s="32">
        <v>30.009399999999999</v>
      </c>
      <c r="L63" s="32">
        <v>36.671700000000001</v>
      </c>
      <c r="M63" s="32">
        <v>37.43</v>
      </c>
      <c r="N63" s="18">
        <v>335.34539999999998</v>
      </c>
      <c r="O63" s="18">
        <f t="shared" si="1"/>
        <v>31.769762499999999</v>
      </c>
      <c r="P63" s="7"/>
      <c r="Q63" s="10"/>
      <c r="R63" s="11"/>
      <c r="S63" s="11"/>
      <c r="T63" s="26"/>
      <c r="U63" s="28">
        <f t="shared" si="2"/>
        <v>0.81488930479999988</v>
      </c>
    </row>
    <row r="64" spans="1:21" ht="16.5" thickBot="1" x14ac:dyDescent="0.3">
      <c r="B64" s="12"/>
      <c r="C64" s="33">
        <v>120.4296875</v>
      </c>
      <c r="D64" s="34">
        <v>27.125399999999999</v>
      </c>
      <c r="E64" s="34">
        <v>34.4133</v>
      </c>
      <c r="F64" s="34">
        <v>34.944000000000003</v>
      </c>
      <c r="G64" s="20">
        <v>316.45569620253161</v>
      </c>
      <c r="H64" s="20">
        <f t="shared" si="0"/>
        <v>29.013712499999997</v>
      </c>
      <c r="I64" s="5"/>
      <c r="J64" s="33">
        <v>118.1416</v>
      </c>
      <c r="K64" s="34">
        <v>27.674800000000001</v>
      </c>
      <c r="L64" s="34">
        <v>35.332799999999999</v>
      </c>
      <c r="M64" s="34">
        <v>36.014600000000002</v>
      </c>
      <c r="N64" s="20">
        <v>378.78789999999998</v>
      </c>
      <c r="O64" s="20">
        <f t="shared" si="1"/>
        <v>29.674524999999999</v>
      </c>
      <c r="P64" s="7"/>
      <c r="Q64" s="13"/>
      <c r="R64" s="14"/>
      <c r="S64" s="14"/>
      <c r="T64" s="27"/>
      <c r="U64" s="28">
        <f t="shared" si="2"/>
        <v>0.19696976400000005</v>
      </c>
    </row>
    <row r="65" spans="1:21" x14ac:dyDescent="0.25">
      <c r="B65" s="6" t="s">
        <v>60</v>
      </c>
      <c r="C65" s="15">
        <v>574.9091796875</v>
      </c>
      <c r="D65" s="16">
        <v>34.9998</v>
      </c>
      <c r="E65" s="16">
        <v>38.399099999999997</v>
      </c>
      <c r="F65" s="16">
        <v>39.556800000000003</v>
      </c>
      <c r="G65" s="16">
        <v>78.885090717854325</v>
      </c>
      <c r="H65" s="16">
        <f t="shared" si="0"/>
        <v>35.9943375</v>
      </c>
      <c r="I65" s="5"/>
      <c r="J65" s="15">
        <v>581.32159999999999</v>
      </c>
      <c r="K65" s="16">
        <v>34.382100000000001</v>
      </c>
      <c r="L65" s="16">
        <v>38.628599999999999</v>
      </c>
      <c r="M65" s="16">
        <v>39.826300000000003</v>
      </c>
      <c r="N65" s="16">
        <v>112.57040000000001</v>
      </c>
      <c r="O65" s="16">
        <f t="shared" si="1"/>
        <v>35.5934375</v>
      </c>
      <c r="P65" s="7"/>
      <c r="Q65" s="8">
        <f>bdrate(C65:C68,D65:D68,J65:J68,K65:K68)</f>
        <v>5.761044965129769E-2</v>
      </c>
      <c r="R65" s="8">
        <f>bdrate(C65:C68,E65:E68,J65:J68,L65:L68)</f>
        <v>-0.13522121484919092</v>
      </c>
      <c r="S65" s="8">
        <f>bdrate(C65:C68,F65:F68,J65:J68,M65:M68)</f>
        <v>-0.14858317097061846</v>
      </c>
      <c r="T65" s="25">
        <f>bdrate(C65:C68,H65:H68,J65:J68,O65:O68)</f>
        <v>2.1259405535570153E-2</v>
      </c>
      <c r="U65" s="28">
        <f t="shared" si="2"/>
        <v>0.42701743733333342</v>
      </c>
    </row>
    <row r="66" spans="1:21" x14ac:dyDescent="0.25">
      <c r="B66" s="9"/>
      <c r="C66" s="17">
        <v>386.0908203125</v>
      </c>
      <c r="D66" s="18">
        <v>32.969000000000001</v>
      </c>
      <c r="E66" s="18">
        <v>37.196899999999999</v>
      </c>
      <c r="F66" s="18">
        <v>38.3566</v>
      </c>
      <c r="G66" s="18">
        <v>89.632506722438009</v>
      </c>
      <c r="H66" s="18">
        <f t="shared" si="0"/>
        <v>34.170937500000001</v>
      </c>
      <c r="I66" s="5"/>
      <c r="J66" s="17">
        <v>386.57119999999998</v>
      </c>
      <c r="K66" s="18">
        <v>32.469799999999999</v>
      </c>
      <c r="L66" s="18">
        <v>37.512099999999997</v>
      </c>
      <c r="M66" s="18">
        <v>38.688099999999999</v>
      </c>
      <c r="N66" s="18">
        <v>154.7988</v>
      </c>
      <c r="O66" s="18">
        <f t="shared" si="1"/>
        <v>33.877375000000001</v>
      </c>
      <c r="P66" s="7"/>
      <c r="Q66" s="10"/>
      <c r="R66" s="11"/>
      <c r="S66" s="11"/>
      <c r="T66" s="26"/>
      <c r="U66" s="28">
        <f t="shared" si="2"/>
        <v>0.72703861199999986</v>
      </c>
    </row>
    <row r="67" spans="1:21" x14ac:dyDescent="0.25">
      <c r="B67" s="9"/>
      <c r="C67" s="17">
        <v>243.8857421875</v>
      </c>
      <c r="D67" s="18">
        <v>30.810300000000002</v>
      </c>
      <c r="E67" s="18">
        <v>35.971499999999999</v>
      </c>
      <c r="F67" s="18">
        <v>37.079900000000002</v>
      </c>
      <c r="G67" s="18">
        <v>112.35955056179776</v>
      </c>
      <c r="H67" s="18">
        <f t="shared" si="0"/>
        <v>32.239150000000002</v>
      </c>
      <c r="I67" s="5"/>
      <c r="J67" s="17">
        <v>241.10239999999999</v>
      </c>
      <c r="K67" s="18">
        <v>30.600200000000001</v>
      </c>
      <c r="L67" s="18">
        <v>36.293199999999999</v>
      </c>
      <c r="M67" s="18">
        <v>37.468800000000002</v>
      </c>
      <c r="N67" s="18">
        <v>143.60939999999999</v>
      </c>
      <c r="O67" s="18">
        <f t="shared" si="1"/>
        <v>32.170400000000001</v>
      </c>
      <c r="P67" s="7"/>
      <c r="Q67" s="10"/>
      <c r="R67" s="11"/>
      <c r="S67" s="11"/>
      <c r="T67" s="26"/>
      <c r="U67" s="28">
        <f t="shared" si="2"/>
        <v>0.27812365999999983</v>
      </c>
    </row>
    <row r="68" spans="1:21" ht="16.5" thickBot="1" x14ac:dyDescent="0.3">
      <c r="B68" s="12"/>
      <c r="C68" s="19">
        <v>120.2783203125</v>
      </c>
      <c r="D68" s="20">
        <v>27.958500000000001</v>
      </c>
      <c r="E68" s="20">
        <v>34.186700000000002</v>
      </c>
      <c r="F68" s="20">
        <v>35.200099999999999</v>
      </c>
      <c r="G68" s="20">
        <v>198.67549668874173</v>
      </c>
      <c r="H68" s="20">
        <f t="shared" si="0"/>
        <v>29.642225</v>
      </c>
      <c r="I68" s="5"/>
      <c r="J68" s="19">
        <v>116.51600000000001</v>
      </c>
      <c r="K68" s="20">
        <v>27.971</v>
      </c>
      <c r="L68" s="20">
        <v>34.819000000000003</v>
      </c>
      <c r="M68" s="20">
        <v>35.921599999999998</v>
      </c>
      <c r="N68" s="20">
        <v>164.0241</v>
      </c>
      <c r="O68" s="20">
        <f t="shared" si="1"/>
        <v>29.820824999999999</v>
      </c>
      <c r="P68" s="7"/>
      <c r="Q68" s="13"/>
      <c r="R68" s="14"/>
      <c r="S68" s="14"/>
      <c r="T68" s="27"/>
      <c r="U68" s="28">
        <f t="shared" si="2"/>
        <v>-0.17441203000000002</v>
      </c>
    </row>
    <row r="69" spans="1:21" x14ac:dyDescent="0.25">
      <c r="A69" s="6" t="s">
        <v>43</v>
      </c>
      <c r="B69" s="6" t="s">
        <v>61</v>
      </c>
      <c r="C69" s="15">
        <v>1412.6982421875</v>
      </c>
      <c r="D69" s="16">
        <v>41.425800000000002</v>
      </c>
      <c r="E69" s="16">
        <v>45.745100000000001</v>
      </c>
      <c r="F69" s="16">
        <v>46.961399999999998</v>
      </c>
      <c r="G69" s="16">
        <v>86.306098964326807</v>
      </c>
      <c r="H69" s="16">
        <f t="shared" si="0"/>
        <v>42.657662500000001</v>
      </c>
      <c r="I69" s="5"/>
      <c r="J69" s="15">
        <v>1502.9248</v>
      </c>
      <c r="K69" s="16">
        <v>41.883600000000001</v>
      </c>
      <c r="L69" s="16">
        <v>46.691600000000001</v>
      </c>
      <c r="M69" s="16">
        <v>47.9788</v>
      </c>
      <c r="N69" s="16">
        <v>78.472399999999993</v>
      </c>
      <c r="O69" s="16">
        <f t="shared" si="1"/>
        <v>43.246499999999997</v>
      </c>
      <c r="P69" s="7"/>
      <c r="Q69" s="8">
        <f>bdrate(C69:C72,D69:D72,J69:J72,K69:K72)</f>
        <v>-0.1993706445795107</v>
      </c>
      <c r="R69" s="8">
        <f>bdrate(C69:C72,E69:E72,J69:J72,L69:L72)</f>
        <v>-0.33007992940081377</v>
      </c>
      <c r="S69" s="8">
        <f>bdrate(C69:C72,F69:F72,J69:J72,M69:M72)</f>
        <v>-0.31946368906275935</v>
      </c>
      <c r="T69" s="25">
        <f>bdrate(C69:C72,H69:H72,J69:J72,O69:O72)</f>
        <v>-0.22576715496495781</v>
      </c>
      <c r="U69" s="28">
        <f t="shared" si="2"/>
        <v>-9.0766458666666688E-2</v>
      </c>
    </row>
    <row r="70" spans="1:21" x14ac:dyDescent="0.25">
      <c r="A70" s="9" t="s">
        <v>44</v>
      </c>
      <c r="B70" s="9"/>
      <c r="C70" s="17">
        <v>936.3505859375</v>
      </c>
      <c r="D70" s="18">
        <v>40.137500000000003</v>
      </c>
      <c r="E70" s="18">
        <v>44.665399999999998</v>
      </c>
      <c r="F70" s="18">
        <v>45.8887</v>
      </c>
      <c r="G70" s="18">
        <v>116.68611435239205</v>
      </c>
      <c r="H70" s="18">
        <f t="shared" si="0"/>
        <v>41.422387499999999</v>
      </c>
      <c r="I70" s="5"/>
      <c r="J70" s="17">
        <v>993.56880000000001</v>
      </c>
      <c r="K70" s="18">
        <v>40.895400000000002</v>
      </c>
      <c r="L70" s="18">
        <v>45.884799999999998</v>
      </c>
      <c r="M70" s="18">
        <v>47.088099999999997</v>
      </c>
      <c r="N70" s="18">
        <v>98.846800000000002</v>
      </c>
      <c r="O70" s="18">
        <f t="shared" si="1"/>
        <v>42.293162500000001</v>
      </c>
      <c r="P70" s="7"/>
      <c r="Q70" s="10"/>
      <c r="R70" s="11"/>
      <c r="S70" s="11"/>
      <c r="T70" s="26"/>
      <c r="U70" s="28">
        <f t="shared" si="2"/>
        <v>-0.15288292399999989</v>
      </c>
    </row>
    <row r="71" spans="1:21" x14ac:dyDescent="0.25">
      <c r="B71" s="9"/>
      <c r="C71" s="17">
        <v>561.609375</v>
      </c>
      <c r="D71" s="18">
        <v>37.998899999999999</v>
      </c>
      <c r="E71" s="18">
        <v>43.137</v>
      </c>
      <c r="F71" s="18">
        <v>44.341299999999997</v>
      </c>
      <c r="G71" s="18">
        <v>154.44015444015446</v>
      </c>
      <c r="H71" s="18">
        <f t="shared" si="0"/>
        <v>39.4339625</v>
      </c>
      <c r="I71" s="5"/>
      <c r="J71" s="17">
        <v>591.28319999999997</v>
      </c>
      <c r="K71" s="18">
        <v>39.154600000000002</v>
      </c>
      <c r="L71" s="18">
        <v>44.420900000000003</v>
      </c>
      <c r="M71" s="18">
        <v>45.615000000000002</v>
      </c>
      <c r="N71" s="18">
        <v>120.919</v>
      </c>
      <c r="O71" s="18">
        <f t="shared" si="1"/>
        <v>40.620437500000001</v>
      </c>
      <c r="P71" s="7"/>
      <c r="Q71" s="10"/>
      <c r="R71" s="11"/>
      <c r="S71" s="11"/>
      <c r="T71" s="26"/>
      <c r="U71" s="28">
        <f t="shared" si="2"/>
        <v>-0.2170494750000001</v>
      </c>
    </row>
    <row r="72" spans="1:21" ht="16.5" thickBot="1" x14ac:dyDescent="0.3">
      <c r="B72" s="12"/>
      <c r="C72" s="19">
        <v>282.6416015625</v>
      </c>
      <c r="D72" s="20">
        <v>34.326799999999999</v>
      </c>
      <c r="E72" s="20">
        <v>41.190100000000001</v>
      </c>
      <c r="F72" s="20">
        <v>42.210799999999999</v>
      </c>
      <c r="G72" s="20">
        <v>199.07100199071004</v>
      </c>
      <c r="H72" s="20">
        <f t="shared" si="0"/>
        <v>36.170212499999998</v>
      </c>
      <c r="I72" s="5"/>
      <c r="J72" s="19">
        <v>288.8544</v>
      </c>
      <c r="K72" s="20">
        <v>36.1083</v>
      </c>
      <c r="L72" s="20">
        <v>42.490499999999997</v>
      </c>
      <c r="M72" s="20">
        <v>43.5685</v>
      </c>
      <c r="N72" s="20">
        <v>153.33500000000001</v>
      </c>
      <c r="O72" s="20">
        <f t="shared" si="1"/>
        <v>37.8386</v>
      </c>
      <c r="P72" s="7"/>
      <c r="Q72" s="13"/>
      <c r="R72" s="14"/>
      <c r="S72" s="14"/>
      <c r="T72" s="27"/>
      <c r="U72" s="28">
        <f t="shared" si="2"/>
        <v>-0.22974718333333338</v>
      </c>
    </row>
    <row r="73" spans="1:21" x14ac:dyDescent="0.25">
      <c r="B73" s="6" t="s">
        <v>62</v>
      </c>
      <c r="C73" s="15">
        <v>1432.09375</v>
      </c>
      <c r="D73" s="16">
        <v>42.691200000000002</v>
      </c>
      <c r="E73" s="16">
        <v>47.895499999999998</v>
      </c>
      <c r="F73" s="16">
        <v>48.5443</v>
      </c>
      <c r="G73" s="16">
        <v>100.38480843232391</v>
      </c>
      <c r="H73" s="16">
        <f t="shared" si="0"/>
        <v>44.073374999999999</v>
      </c>
      <c r="I73" s="5"/>
      <c r="J73" s="15">
        <v>1504.4392</v>
      </c>
      <c r="K73" s="16">
        <v>42.877499999999998</v>
      </c>
      <c r="L73" s="16">
        <v>48.450499999999998</v>
      </c>
      <c r="M73" s="16">
        <v>49.144100000000002</v>
      </c>
      <c r="N73" s="16">
        <v>93.501599999999996</v>
      </c>
      <c r="O73" s="16">
        <f t="shared" si="1"/>
        <v>44.357449999999993</v>
      </c>
      <c r="P73" s="7"/>
      <c r="Q73" s="8">
        <f>bdrate(C73:C76,D73:D76,J73:J76,K73:K76)</f>
        <v>-0.16851352001737285</v>
      </c>
      <c r="R73" s="8">
        <f>bdrate(C73:C76,E73:E76,J73:J76,L73:L76)</f>
        <v>-0.33817457871640022</v>
      </c>
      <c r="S73" s="8">
        <f>bdrate(C73:C76,F73:F76,J73:J76,M73:M76)</f>
        <v>-0.32958580666087822</v>
      </c>
      <c r="T73" s="25">
        <f>bdrate(C73:C76,H73:H76,J73:J76,O73:O76)</f>
        <v>-0.21399905487109216</v>
      </c>
      <c r="U73" s="28">
        <f t="shared" ref="U73:U124" si="3">(N73-G73)/G73</f>
        <v>-6.8568228000000037E-2</v>
      </c>
    </row>
    <row r="74" spans="1:21" x14ac:dyDescent="0.25">
      <c r="B74" s="9"/>
      <c r="C74" s="17">
        <v>947.546875</v>
      </c>
      <c r="D74" s="18">
        <v>42.162199999999999</v>
      </c>
      <c r="E74" s="18">
        <v>47.356900000000003</v>
      </c>
      <c r="F74" s="18">
        <v>48.024299999999997</v>
      </c>
      <c r="G74" s="18">
        <v>123.4821979831241</v>
      </c>
      <c r="H74" s="18">
        <f t="shared" si="0"/>
        <v>43.5443</v>
      </c>
      <c r="I74" s="5"/>
      <c r="J74" s="17">
        <v>996.54160000000002</v>
      </c>
      <c r="K74" s="18">
        <v>42.442900000000002</v>
      </c>
      <c r="L74" s="18">
        <v>48.070999999999998</v>
      </c>
      <c r="M74" s="18">
        <v>48.7346</v>
      </c>
      <c r="N74" s="18">
        <v>116.18899999999999</v>
      </c>
      <c r="O74" s="18">
        <f t="shared" si="1"/>
        <v>43.932874999999996</v>
      </c>
      <c r="P74" s="7"/>
      <c r="Q74" s="10"/>
      <c r="R74" s="11"/>
      <c r="S74" s="11"/>
      <c r="T74" s="26"/>
      <c r="U74" s="28">
        <f t="shared" si="3"/>
        <v>-5.9062748333333359E-2</v>
      </c>
    </row>
    <row r="75" spans="1:21" x14ac:dyDescent="0.25">
      <c r="B75" s="9"/>
      <c r="C75" s="17">
        <v>572.65234375</v>
      </c>
      <c r="D75" s="18">
        <v>41.285200000000003</v>
      </c>
      <c r="E75" s="18">
        <v>46.487299999999998</v>
      </c>
      <c r="F75" s="18">
        <v>47.1571</v>
      </c>
      <c r="G75" s="18">
        <v>141.77693761814743</v>
      </c>
      <c r="H75" s="18">
        <f t="shared" si="0"/>
        <v>42.669450000000005</v>
      </c>
      <c r="I75" s="5"/>
      <c r="J75" s="17">
        <v>570.08000000000004</v>
      </c>
      <c r="K75" s="18">
        <v>41.629399999999997</v>
      </c>
      <c r="L75" s="18">
        <v>47.294400000000003</v>
      </c>
      <c r="M75" s="18">
        <v>47.973999999999997</v>
      </c>
      <c r="N75" s="18">
        <v>139.50239999999999</v>
      </c>
      <c r="O75" s="18">
        <f t="shared" si="1"/>
        <v>43.130599999999994</v>
      </c>
      <c r="P75" s="7"/>
      <c r="Q75" s="10"/>
      <c r="R75" s="11"/>
      <c r="S75" s="11"/>
      <c r="T75" s="26"/>
      <c r="U75" s="28">
        <f t="shared" si="3"/>
        <v>-1.6043071999999905E-2</v>
      </c>
    </row>
    <row r="76" spans="1:21" ht="16.5" thickBot="1" x14ac:dyDescent="0.3">
      <c r="B76" s="12"/>
      <c r="C76" s="19">
        <v>287.5810546875</v>
      </c>
      <c r="D76" s="20">
        <v>39.337200000000003</v>
      </c>
      <c r="E76" s="20">
        <v>44.847299999999997</v>
      </c>
      <c r="F76" s="20">
        <v>45.556800000000003</v>
      </c>
      <c r="G76" s="20">
        <v>185.2995676343422</v>
      </c>
      <c r="H76" s="20">
        <f t="shared" si="0"/>
        <v>40.803412500000007</v>
      </c>
      <c r="I76" s="5"/>
      <c r="J76" s="19">
        <v>272.91199999999998</v>
      </c>
      <c r="K76" s="20">
        <v>39.8626</v>
      </c>
      <c r="L76" s="20">
        <v>45.443199999999997</v>
      </c>
      <c r="M76" s="20">
        <v>45.989100000000001</v>
      </c>
      <c r="N76" s="20">
        <v>184.04910000000001</v>
      </c>
      <c r="O76" s="20">
        <f t="shared" si="1"/>
        <v>41.325987500000004</v>
      </c>
      <c r="P76" s="7"/>
      <c r="Q76" s="13"/>
      <c r="R76" s="14"/>
      <c r="S76" s="14"/>
      <c r="T76" s="27"/>
      <c r="U76" s="28">
        <f t="shared" si="3"/>
        <v>-6.7483569999999982E-3</v>
      </c>
    </row>
    <row r="77" spans="1:21" x14ac:dyDescent="0.25">
      <c r="B77" s="6" t="s">
        <v>63</v>
      </c>
      <c r="C77" s="15">
        <v>1441.4599609375</v>
      </c>
      <c r="D77" s="16">
        <v>42.464700000000001</v>
      </c>
      <c r="E77" s="16">
        <v>46.841999999999999</v>
      </c>
      <c r="F77" s="16">
        <v>47.710900000000002</v>
      </c>
      <c r="G77" s="16">
        <v>89.445438282647586</v>
      </c>
      <c r="H77" s="16">
        <f t="shared" si="0"/>
        <v>43.667637499999998</v>
      </c>
      <c r="I77" s="5"/>
      <c r="J77" s="15">
        <v>1539.2968000000001</v>
      </c>
      <c r="K77" s="16">
        <v>42.835700000000003</v>
      </c>
      <c r="L77" s="16">
        <v>47.673099999999998</v>
      </c>
      <c r="M77" s="16">
        <v>48.5642</v>
      </c>
      <c r="N77" s="16">
        <v>82.621899999999997</v>
      </c>
      <c r="O77" s="16">
        <f t="shared" si="1"/>
        <v>44.156437499999996</v>
      </c>
      <c r="P77" s="7"/>
      <c r="Q77" s="8">
        <f>bdrate(C77:C80,D77:D80,J77:J80,K77:K80)</f>
        <v>-0.18515375632605069</v>
      </c>
      <c r="R77" s="8">
        <f>bdrate(C77:C80,E77:E80,J77:J80,L77:L80)</f>
        <v>-0.33167576702352841</v>
      </c>
      <c r="S77" s="8">
        <f>bdrate(C77:C80,F77:F80,J77:J80,M77:M80)</f>
        <v>-0.33481449387378481</v>
      </c>
      <c r="T77" s="25">
        <f>bdrate(C77:C80,H77:H80,J77:J80,O77:O80)</f>
        <v>-0.2203131016624098</v>
      </c>
      <c r="U77" s="28">
        <f t="shared" si="3"/>
        <v>-7.6287158000000049E-2</v>
      </c>
    </row>
    <row r="78" spans="1:21" x14ac:dyDescent="0.25">
      <c r="B78" s="9"/>
      <c r="C78" s="17">
        <v>965.86328125</v>
      </c>
      <c r="D78" s="18">
        <v>41.6175</v>
      </c>
      <c r="E78" s="18">
        <v>46.019199999999998</v>
      </c>
      <c r="F78" s="18">
        <v>46.918399999999998</v>
      </c>
      <c r="G78" s="18">
        <v>113.33585190782019</v>
      </c>
      <c r="H78" s="18">
        <f t="shared" si="0"/>
        <v>42.830325000000002</v>
      </c>
      <c r="I78" s="5"/>
      <c r="J78" s="17">
        <v>1024.5727999999999</v>
      </c>
      <c r="K78" s="18">
        <v>42.120899999999999</v>
      </c>
      <c r="L78" s="18">
        <v>47.041400000000003</v>
      </c>
      <c r="M78" s="18">
        <v>47.915399999999998</v>
      </c>
      <c r="N78" s="18">
        <v>101.3514</v>
      </c>
      <c r="O78" s="18">
        <f t="shared" si="1"/>
        <v>43.460274999999996</v>
      </c>
      <c r="P78" s="7"/>
      <c r="Q78" s="10"/>
      <c r="R78" s="11"/>
      <c r="S78" s="11"/>
      <c r="T78" s="26"/>
      <c r="U78" s="28">
        <f t="shared" si="3"/>
        <v>-0.1057428140000001</v>
      </c>
    </row>
    <row r="79" spans="1:21" x14ac:dyDescent="0.25">
      <c r="B79" s="9"/>
      <c r="C79" s="17">
        <v>583.5849609375</v>
      </c>
      <c r="D79" s="18">
        <v>40.112099999999998</v>
      </c>
      <c r="E79" s="18">
        <v>44.761299999999999</v>
      </c>
      <c r="F79" s="18">
        <v>45.648499999999999</v>
      </c>
      <c r="G79" s="18">
        <v>143.09563558311473</v>
      </c>
      <c r="H79" s="18">
        <f t="shared" si="0"/>
        <v>41.385300000000001</v>
      </c>
      <c r="I79" s="5"/>
      <c r="J79" s="17">
        <v>599.75599999999997</v>
      </c>
      <c r="K79" s="18">
        <v>40.827500000000001</v>
      </c>
      <c r="L79" s="18">
        <v>45.828200000000002</v>
      </c>
      <c r="M79" s="18">
        <v>46.743899999999996</v>
      </c>
      <c r="N79" s="18">
        <v>124.2236</v>
      </c>
      <c r="O79" s="18">
        <f t="shared" si="1"/>
        <v>42.192137500000001</v>
      </c>
      <c r="P79" s="7"/>
      <c r="Q79" s="10"/>
      <c r="R79" s="11"/>
      <c r="S79" s="11"/>
      <c r="T79" s="26"/>
      <c r="U79" s="28">
        <f t="shared" si="3"/>
        <v>-0.13188407533333338</v>
      </c>
    </row>
    <row r="80" spans="1:21" ht="16.5" thickBot="1" x14ac:dyDescent="0.3">
      <c r="B80" s="12"/>
      <c r="C80" s="19">
        <v>293.2900390625</v>
      </c>
      <c r="D80" s="20">
        <v>37.2254</v>
      </c>
      <c r="E80" s="20">
        <v>42.662700000000001</v>
      </c>
      <c r="F80" s="20">
        <v>43.512799999999999</v>
      </c>
      <c r="G80" s="20">
        <v>183.54236769654327</v>
      </c>
      <c r="H80" s="20">
        <f t="shared" si="0"/>
        <v>38.690987499999991</v>
      </c>
      <c r="I80" s="5"/>
      <c r="J80" s="19">
        <v>291.72239999999999</v>
      </c>
      <c r="K80" s="20">
        <v>38.3733</v>
      </c>
      <c r="L80" s="20">
        <v>43.942700000000002</v>
      </c>
      <c r="M80" s="20">
        <v>44.808500000000002</v>
      </c>
      <c r="N80" s="20">
        <v>172.36429999999999</v>
      </c>
      <c r="O80" s="20">
        <f t="shared" si="1"/>
        <v>39.873874999999998</v>
      </c>
      <c r="P80" s="7"/>
      <c r="Q80" s="13"/>
      <c r="R80" s="14"/>
      <c r="S80" s="14"/>
      <c r="T80" s="27"/>
      <c r="U80" s="28">
        <f t="shared" si="3"/>
        <v>-6.0901838833333312E-2</v>
      </c>
    </row>
    <row r="81" spans="1:21" x14ac:dyDescent="0.25">
      <c r="A81" s="6" t="s">
        <v>94</v>
      </c>
      <c r="B81" s="6" t="s">
        <v>95</v>
      </c>
      <c r="C81" s="15">
        <v>1475.3935546875</v>
      </c>
      <c r="D81" s="16">
        <v>37.018099999999997</v>
      </c>
      <c r="E81" s="16">
        <v>42.940199999999997</v>
      </c>
      <c r="F81" s="16">
        <v>43.580800000000004</v>
      </c>
      <c r="G81" s="16">
        <v>54.462934947049931</v>
      </c>
      <c r="H81" s="16">
        <f t="shared" ref="H81:H124" si="4">(6*D81+E81+F81)/8</f>
        <v>38.578699999999998</v>
      </c>
      <c r="I81" s="5"/>
      <c r="J81" s="15">
        <v>1520.3285000000001</v>
      </c>
      <c r="K81" s="16">
        <v>37.113799999999998</v>
      </c>
      <c r="L81" s="16">
        <v>43.411700000000003</v>
      </c>
      <c r="M81" s="16">
        <v>44.098300000000002</v>
      </c>
      <c r="N81" s="16">
        <v>42.138800000000003</v>
      </c>
      <c r="O81" s="16">
        <f t="shared" ref="O81:O124" si="5">(6*K81+L81+M81)/8</f>
        <v>38.774099999999997</v>
      </c>
      <c r="P81" s="7"/>
      <c r="Q81" s="8">
        <f>bdrate(C81:C84,D81:D84,J81:J84,K81:K84)</f>
        <v>-6.4159751530519449E-2</v>
      </c>
      <c r="R81" s="8">
        <f>bdrate(C81:C84,E81:E84,J81:J84,L81:L84)</f>
        <v>-0.19530359619191751</v>
      </c>
      <c r="S81" s="8">
        <f>bdrate(C81:C84,F81:F84,J81:J84,M81:M84)</f>
        <v>-0.22121398277004312</v>
      </c>
      <c r="T81" s="25">
        <f>bdrate(C81:C84,H81:H84,J81:J84,O81:O84)</f>
        <v>-9.0549700398301347E-2</v>
      </c>
      <c r="U81" s="28">
        <f t="shared" si="3"/>
        <v>-0.22628481111111115</v>
      </c>
    </row>
    <row r="82" spans="1:21" x14ac:dyDescent="0.25">
      <c r="A82" s="9" t="s">
        <v>77</v>
      </c>
      <c r="B82" s="9"/>
      <c r="C82" s="17">
        <v>984.763671875</v>
      </c>
      <c r="D82" s="18">
        <v>34.962800000000001</v>
      </c>
      <c r="E82" s="18">
        <v>41.578000000000003</v>
      </c>
      <c r="F82" s="18">
        <v>42.217100000000002</v>
      </c>
      <c r="G82" s="18">
        <v>71.913703555733122</v>
      </c>
      <c r="H82" s="18">
        <f t="shared" si="4"/>
        <v>36.696487500000003</v>
      </c>
      <c r="I82" s="5"/>
      <c r="J82" s="17">
        <v>1014.5563</v>
      </c>
      <c r="K82" s="18">
        <v>35.273800000000001</v>
      </c>
      <c r="L82" s="18">
        <v>42.176699999999997</v>
      </c>
      <c r="M82" s="18">
        <v>42.8889</v>
      </c>
      <c r="N82" s="18">
        <v>49.309699999999999</v>
      </c>
      <c r="O82" s="18">
        <f t="shared" si="5"/>
        <v>37.088549999999998</v>
      </c>
      <c r="P82" s="7"/>
      <c r="Q82" s="10"/>
      <c r="R82" s="11"/>
      <c r="S82" s="11"/>
      <c r="T82" s="26"/>
      <c r="U82" s="28">
        <f t="shared" si="3"/>
        <v>-0.31432122722222222</v>
      </c>
    </row>
    <row r="83" spans="1:21" x14ac:dyDescent="0.25">
      <c r="B83" s="9"/>
      <c r="C83" s="17">
        <v>591.3310546875</v>
      </c>
      <c r="D83" s="18">
        <v>32.384099999999997</v>
      </c>
      <c r="E83" s="18">
        <v>39.980800000000002</v>
      </c>
      <c r="F83" s="18">
        <v>40.603900000000003</v>
      </c>
      <c r="G83" s="18">
        <v>106.30758327427357</v>
      </c>
      <c r="H83" s="18">
        <f t="shared" si="4"/>
        <v>34.361162499999999</v>
      </c>
      <c r="I83" s="5"/>
      <c r="J83" s="17">
        <v>609.30589999999995</v>
      </c>
      <c r="K83" s="18">
        <v>32.904499999999999</v>
      </c>
      <c r="L83" s="18">
        <v>40.781199999999998</v>
      </c>
      <c r="M83" s="18">
        <v>41.526600000000002</v>
      </c>
      <c r="N83" s="18">
        <v>58.815800000000003</v>
      </c>
      <c r="O83" s="18">
        <f t="shared" si="5"/>
        <v>34.966849999999994</v>
      </c>
      <c r="P83" s="7"/>
      <c r="Q83" s="10"/>
      <c r="R83" s="11"/>
      <c r="S83" s="11"/>
      <c r="T83" s="26"/>
      <c r="U83" s="28">
        <f t="shared" si="3"/>
        <v>-0.44673937466666663</v>
      </c>
    </row>
    <row r="84" spans="1:21" ht="16.5" thickBot="1" x14ac:dyDescent="0.3">
      <c r="B84" s="12"/>
      <c r="C84" s="19">
        <v>295.8271484375</v>
      </c>
      <c r="D84" s="20">
        <v>29.0366</v>
      </c>
      <c r="E84" s="20">
        <v>37.979599999999998</v>
      </c>
      <c r="F84" s="20">
        <v>38.565600000000003</v>
      </c>
      <c r="G84" s="20">
        <v>144.11529223378702</v>
      </c>
      <c r="H84" s="20">
        <f t="shared" si="4"/>
        <v>31.345600000000005</v>
      </c>
      <c r="I84" s="5"/>
      <c r="J84" s="19">
        <v>303.46370000000002</v>
      </c>
      <c r="K84" s="20">
        <v>29.834399999999999</v>
      </c>
      <c r="L84" s="20">
        <v>38.916200000000003</v>
      </c>
      <c r="M84" s="20">
        <v>39.604700000000001</v>
      </c>
      <c r="N84" s="20">
        <v>75.547700000000006</v>
      </c>
      <c r="O84" s="20">
        <f t="shared" si="5"/>
        <v>32.190912499999996</v>
      </c>
      <c r="P84" s="7"/>
      <c r="Q84" s="13"/>
      <c r="R84" s="14"/>
      <c r="S84" s="14"/>
      <c r="T84" s="27"/>
      <c r="U84" s="28">
        <f t="shared" si="3"/>
        <v>-0.47578290388888878</v>
      </c>
    </row>
    <row r="85" spans="1:21" x14ac:dyDescent="0.25">
      <c r="B85" s="6" t="s">
        <v>96</v>
      </c>
      <c r="C85" s="15">
        <v>1440.4501953125</v>
      </c>
      <c r="D85" s="16">
        <v>53.115099999999998</v>
      </c>
      <c r="E85" s="16">
        <v>53.6098</v>
      </c>
      <c r="F85" s="16">
        <v>54.142000000000003</v>
      </c>
      <c r="G85" s="16">
        <v>76.975709887102298</v>
      </c>
      <c r="H85" s="16">
        <f t="shared" si="4"/>
        <v>53.305300000000003</v>
      </c>
      <c r="I85" s="5"/>
      <c r="J85" s="15">
        <v>1453.9532999999999</v>
      </c>
      <c r="K85" s="16">
        <v>53.109299999999998</v>
      </c>
      <c r="L85" s="16">
        <v>54.211599999999997</v>
      </c>
      <c r="M85" s="16">
        <v>54.837000000000003</v>
      </c>
      <c r="N85" s="16">
        <v>103.79430000000001</v>
      </c>
      <c r="O85" s="16">
        <f t="shared" si="5"/>
        <v>53.463049999999996</v>
      </c>
      <c r="P85" s="7"/>
      <c r="Q85" s="8">
        <f>bdrate(C85:C88,D85:D88,J85:J88,K85:K88)</f>
        <v>-9.4714986411197466E-2</v>
      </c>
      <c r="R85" s="8">
        <f>bdrate(C85:C88,E85:E88,J85:J88,L85:L88)</f>
        <v>-0.2347335787082323</v>
      </c>
      <c r="S85" s="8">
        <f>bdrate(C85:C88,F85:F88,J85:J88,M85:M88)</f>
        <v>-0.23074929298393176</v>
      </c>
      <c r="T85" s="25">
        <f>bdrate(C85:C88,H85:H88,J85:J88,O85:O88)</f>
        <v>-0.1274929200251087</v>
      </c>
      <c r="U85" s="28">
        <f t="shared" si="3"/>
        <v>0.34840328399999998</v>
      </c>
    </row>
    <row r="86" spans="1:21" x14ac:dyDescent="0.25">
      <c r="B86" s="9"/>
      <c r="C86" s="17">
        <v>961.9765625</v>
      </c>
      <c r="D86" s="18">
        <v>50.411200000000001</v>
      </c>
      <c r="E86" s="18">
        <v>51.224699999999999</v>
      </c>
      <c r="F86" s="18">
        <v>51.820799999999998</v>
      </c>
      <c r="G86" s="18">
        <v>94.428706326723315</v>
      </c>
      <c r="H86" s="18">
        <f t="shared" si="4"/>
        <v>50.689087499999999</v>
      </c>
      <c r="I86" s="5"/>
      <c r="J86" s="17">
        <v>990.51729999999998</v>
      </c>
      <c r="K86" s="18">
        <v>51.001600000000003</v>
      </c>
      <c r="L86" s="18">
        <v>52.510199999999998</v>
      </c>
      <c r="M86" s="18">
        <v>53.104399999999998</v>
      </c>
      <c r="N86" s="18">
        <v>125.33069999999999</v>
      </c>
      <c r="O86" s="18">
        <f t="shared" si="5"/>
        <v>51.453025000000004</v>
      </c>
      <c r="P86" s="7"/>
      <c r="Q86" s="10"/>
      <c r="R86" s="11"/>
      <c r="S86" s="11"/>
      <c r="T86" s="26"/>
      <c r="U86" s="28">
        <f t="shared" si="3"/>
        <v>0.32725211300000007</v>
      </c>
    </row>
    <row r="87" spans="1:21" x14ac:dyDescent="0.25">
      <c r="B87" s="9"/>
      <c r="C87" s="17">
        <v>579.7529296875</v>
      </c>
      <c r="D87" s="18">
        <v>46.992800000000003</v>
      </c>
      <c r="E87" s="18">
        <v>48.181600000000003</v>
      </c>
      <c r="F87" s="18">
        <v>48.7879</v>
      </c>
      <c r="G87" s="18">
        <v>113.37868480725623</v>
      </c>
      <c r="H87" s="18">
        <f t="shared" si="4"/>
        <v>47.365787500000003</v>
      </c>
      <c r="I87" s="5"/>
      <c r="J87" s="17">
        <v>607.17790000000002</v>
      </c>
      <c r="K87" s="18">
        <v>48.208399999999997</v>
      </c>
      <c r="L87" s="18">
        <v>50.205100000000002</v>
      </c>
      <c r="M87" s="18">
        <v>50.746499999999997</v>
      </c>
      <c r="N87" s="18">
        <v>147.541</v>
      </c>
      <c r="O87" s="18">
        <f t="shared" si="5"/>
        <v>48.77525</v>
      </c>
      <c r="P87" s="7"/>
      <c r="Q87" s="10"/>
      <c r="R87" s="11"/>
      <c r="S87" s="11"/>
      <c r="T87" s="26"/>
      <c r="U87" s="28">
        <f t="shared" si="3"/>
        <v>0.30131162</v>
      </c>
    </row>
    <row r="88" spans="1:21" ht="16.5" thickBot="1" x14ac:dyDescent="0.3">
      <c r="B88" s="12"/>
      <c r="C88" s="19">
        <v>290.35546875</v>
      </c>
      <c r="D88" s="20">
        <v>42.581800000000001</v>
      </c>
      <c r="E88" s="20">
        <v>44.369900000000001</v>
      </c>
      <c r="F88" s="20">
        <v>44.941099999999999</v>
      </c>
      <c r="G88" s="20">
        <v>145.32536735023413</v>
      </c>
      <c r="H88" s="20">
        <f t="shared" si="4"/>
        <v>43.100225000000002</v>
      </c>
      <c r="I88" s="5"/>
      <c r="J88" s="19">
        <v>313.55950000000001</v>
      </c>
      <c r="K88" s="20">
        <v>43.6661</v>
      </c>
      <c r="L88" s="20">
        <v>46.369900000000001</v>
      </c>
      <c r="M88" s="20">
        <v>46.9285</v>
      </c>
      <c r="N88" s="20">
        <v>182.48179999999999</v>
      </c>
      <c r="O88" s="20">
        <f t="shared" si="5"/>
        <v>44.411874999999995</v>
      </c>
      <c r="P88" s="7"/>
      <c r="Q88" s="13"/>
      <c r="R88" s="14"/>
      <c r="S88" s="14"/>
      <c r="T88" s="27"/>
      <c r="U88" s="28">
        <f t="shared" si="3"/>
        <v>0.25567754155555555</v>
      </c>
    </row>
    <row r="89" spans="1:21" x14ac:dyDescent="0.25">
      <c r="B89" s="6" t="s">
        <v>97</v>
      </c>
      <c r="C89" s="15">
        <v>1446.9736328125</v>
      </c>
      <c r="D89" s="16">
        <v>44.573599999999999</v>
      </c>
      <c r="E89" s="16">
        <v>46.930599999999998</v>
      </c>
      <c r="F89" s="16">
        <v>47.409799999999997</v>
      </c>
      <c r="G89" s="16">
        <v>62.21484861053505</v>
      </c>
      <c r="H89" s="16">
        <f t="shared" si="4"/>
        <v>45.222750000000005</v>
      </c>
      <c r="I89" s="5"/>
      <c r="J89" s="15">
        <v>1456.7664</v>
      </c>
      <c r="K89" s="16">
        <v>44.793399999999998</v>
      </c>
      <c r="L89" s="16">
        <v>47.780900000000003</v>
      </c>
      <c r="M89" s="16">
        <v>48.256599999999999</v>
      </c>
      <c r="N89" s="16">
        <v>65.449799999999996</v>
      </c>
      <c r="O89" s="16">
        <f t="shared" si="5"/>
        <v>45.599737499999996</v>
      </c>
      <c r="P89" s="7"/>
      <c r="Q89" s="8">
        <f>bdrate(C89:C92,D89:D92,J89:J92,K89:K92)</f>
        <v>-9.639663339506277E-2</v>
      </c>
      <c r="R89" s="8">
        <f>bdrate(C89:C92,E89:E92,J89:J92,L89:L92)</f>
        <v>-0.25439060402521074</v>
      </c>
      <c r="S89" s="8">
        <f>bdrate(C89:C92,F89:F92,J89:J92,M89:M92)</f>
        <v>-0.24628764246371559</v>
      </c>
      <c r="T89" s="25">
        <f>bdrate(C89:C92,H89:H92,J89:J92,O89:O92)</f>
        <v>-0.12869529521189604</v>
      </c>
      <c r="U89" s="28">
        <f t="shared" si="3"/>
        <v>5.1996451999999901E-2</v>
      </c>
    </row>
    <row r="90" spans="1:21" x14ac:dyDescent="0.25">
      <c r="B90" s="9"/>
      <c r="C90" s="17">
        <v>965.9970703125</v>
      </c>
      <c r="D90" s="18">
        <v>42.445300000000003</v>
      </c>
      <c r="E90" s="18">
        <v>45.314500000000002</v>
      </c>
      <c r="F90" s="18">
        <v>45.788499999999999</v>
      </c>
      <c r="G90" s="18">
        <v>78.547739570605685</v>
      </c>
      <c r="H90" s="18">
        <f t="shared" si="4"/>
        <v>43.221850000000003</v>
      </c>
      <c r="I90" s="5"/>
      <c r="J90" s="17">
        <v>990.02800000000002</v>
      </c>
      <c r="K90" s="18">
        <v>43.052399999999999</v>
      </c>
      <c r="L90" s="18">
        <v>46.4651</v>
      </c>
      <c r="M90" s="18">
        <v>46.923200000000001</v>
      </c>
      <c r="N90" s="18">
        <v>78.664500000000004</v>
      </c>
      <c r="O90" s="18">
        <f t="shared" si="5"/>
        <v>43.962837499999999</v>
      </c>
      <c r="P90" s="7"/>
      <c r="Q90" s="10"/>
      <c r="R90" s="11"/>
      <c r="S90" s="11"/>
      <c r="T90" s="26"/>
      <c r="U90" s="28">
        <f t="shared" si="3"/>
        <v>1.486490000000113E-3</v>
      </c>
    </row>
    <row r="91" spans="1:21" x14ac:dyDescent="0.25">
      <c r="B91" s="9"/>
      <c r="C91" s="17">
        <v>583.18359375</v>
      </c>
      <c r="D91" s="18">
        <v>39.705800000000004</v>
      </c>
      <c r="E91" s="18">
        <v>43.288800000000002</v>
      </c>
      <c r="F91" s="18">
        <v>43.793500000000002</v>
      </c>
      <c r="G91" s="18">
        <v>103.18734235267141</v>
      </c>
      <c r="H91" s="18">
        <f t="shared" si="4"/>
        <v>40.664637499999998</v>
      </c>
      <c r="I91" s="5"/>
      <c r="J91" s="17">
        <v>588.26930000000004</v>
      </c>
      <c r="K91" s="18">
        <v>40.3384</v>
      </c>
      <c r="L91" s="18">
        <v>44.475999999999999</v>
      </c>
      <c r="M91" s="18">
        <v>44.950899999999997</v>
      </c>
      <c r="N91" s="18">
        <v>92.936800000000005</v>
      </c>
      <c r="O91" s="18">
        <f t="shared" si="5"/>
        <v>41.432162499999997</v>
      </c>
      <c r="P91" s="7"/>
      <c r="Q91" s="10"/>
      <c r="R91" s="11"/>
      <c r="S91" s="11"/>
      <c r="T91" s="26"/>
      <c r="U91" s="28">
        <f t="shared" si="3"/>
        <v>-9.9339144888888856E-2</v>
      </c>
    </row>
    <row r="92" spans="1:21" ht="16.5" thickBot="1" x14ac:dyDescent="0.3">
      <c r="B92" s="12"/>
      <c r="C92" s="19">
        <v>293.27734375</v>
      </c>
      <c r="D92" s="20">
        <v>35.850200000000001</v>
      </c>
      <c r="E92" s="20">
        <v>40.643099999999997</v>
      </c>
      <c r="F92" s="20">
        <v>41.1554</v>
      </c>
      <c r="G92" s="20">
        <v>139.51325375910713</v>
      </c>
      <c r="H92" s="20">
        <f t="shared" si="4"/>
        <v>37.112462499999999</v>
      </c>
      <c r="I92" s="5"/>
      <c r="J92" s="19">
        <v>297.92610000000002</v>
      </c>
      <c r="K92" s="20">
        <v>36.628999999999998</v>
      </c>
      <c r="L92" s="20">
        <v>42.001899999999999</v>
      </c>
      <c r="M92" s="20">
        <v>42.352400000000003</v>
      </c>
      <c r="N92" s="20">
        <v>114.3729</v>
      </c>
      <c r="O92" s="20">
        <f t="shared" si="5"/>
        <v>38.016037499999996</v>
      </c>
      <c r="P92" s="7"/>
      <c r="Q92" s="13"/>
      <c r="R92" s="14"/>
      <c r="S92" s="14"/>
      <c r="T92" s="27"/>
      <c r="U92" s="28">
        <f t="shared" si="3"/>
        <v>-0.18020046900000009</v>
      </c>
    </row>
    <row r="93" spans="1:21" x14ac:dyDescent="0.25">
      <c r="B93" s="6" t="s">
        <v>98</v>
      </c>
      <c r="C93" s="29">
        <v>1451.9609375</v>
      </c>
      <c r="D93" s="30">
        <v>38.993200000000002</v>
      </c>
      <c r="E93" s="30">
        <v>43.1218</v>
      </c>
      <c r="F93" s="30">
        <v>42.876199999999997</v>
      </c>
      <c r="G93" s="16">
        <v>54.837923470631246</v>
      </c>
      <c r="H93" s="16">
        <f t="shared" si="4"/>
        <v>39.99465</v>
      </c>
      <c r="I93" s="5"/>
      <c r="J93" s="29">
        <v>1509.2775999999999</v>
      </c>
      <c r="K93" s="30">
        <v>39.119100000000003</v>
      </c>
      <c r="L93" s="30">
        <v>43.821300000000001</v>
      </c>
      <c r="M93" s="30">
        <v>43.606900000000003</v>
      </c>
      <c r="N93" s="16">
        <v>58.5366</v>
      </c>
      <c r="O93" s="16">
        <f t="shared" si="5"/>
        <v>40.267850000000003</v>
      </c>
      <c r="P93" s="7"/>
      <c r="Q93" s="8">
        <f>bdrate(C93:C96,D93:D96,J93:J96,K93:K96)</f>
        <v>-4.2993826452010331E-2</v>
      </c>
      <c r="R93" s="8">
        <f>bdrate(C93:C96,E93:E96,J93:J96,L93:L96)</f>
        <v>-0.21606144350848167</v>
      </c>
      <c r="S93" s="8">
        <f>bdrate(C93:C96,F93:F96,J93:J96,M93:M96)</f>
        <v>-0.21124286970159389</v>
      </c>
      <c r="T93" s="25">
        <f>bdrate(C93:C96,H93:H96,J93:J96,O93:O96)</f>
        <v>-7.612692260745757E-2</v>
      </c>
      <c r="U93" s="28">
        <f t="shared" si="3"/>
        <v>6.7447421333333327E-2</v>
      </c>
    </row>
    <row r="94" spans="1:21" x14ac:dyDescent="0.25">
      <c r="B94" s="9"/>
      <c r="C94" s="31">
        <v>968.7119140625</v>
      </c>
      <c r="D94" s="32">
        <v>37.025100000000002</v>
      </c>
      <c r="E94" s="32">
        <v>41.807699999999997</v>
      </c>
      <c r="F94" s="32">
        <v>41.546100000000003</v>
      </c>
      <c r="G94" s="18">
        <v>69.262736647683553</v>
      </c>
      <c r="H94" s="18">
        <f t="shared" si="4"/>
        <v>38.188050000000004</v>
      </c>
      <c r="I94" s="5"/>
      <c r="J94" s="31">
        <v>1006.4795</v>
      </c>
      <c r="K94" s="32">
        <v>37.2789</v>
      </c>
      <c r="L94" s="32">
        <v>42.564999999999998</v>
      </c>
      <c r="M94" s="32">
        <v>42.311999999999998</v>
      </c>
      <c r="N94" s="18">
        <v>67.955299999999994</v>
      </c>
      <c r="O94" s="18">
        <f t="shared" si="5"/>
        <v>38.568800000000003</v>
      </c>
      <c r="P94" s="7"/>
      <c r="Q94" s="10"/>
      <c r="R94" s="11"/>
      <c r="S94" s="11"/>
      <c r="T94" s="26"/>
      <c r="U94" s="28">
        <f t="shared" si="3"/>
        <v>-1.8876479777777965E-2</v>
      </c>
    </row>
    <row r="95" spans="1:21" x14ac:dyDescent="0.25">
      <c r="B95" s="9"/>
      <c r="C95" s="31">
        <v>583.5888671875</v>
      </c>
      <c r="D95" s="32">
        <v>34.642499999999998</v>
      </c>
      <c r="E95" s="32">
        <v>40.220199999999998</v>
      </c>
      <c r="F95" s="32">
        <v>39.917299999999997</v>
      </c>
      <c r="G95" s="18">
        <v>93.652445369406877</v>
      </c>
      <c r="H95" s="18">
        <f t="shared" si="4"/>
        <v>35.999062500000001</v>
      </c>
      <c r="I95" s="5"/>
      <c r="J95" s="31">
        <v>602.98209999999995</v>
      </c>
      <c r="K95" s="32">
        <v>35.029400000000003</v>
      </c>
      <c r="L95" s="32">
        <v>41.070099999999996</v>
      </c>
      <c r="M95" s="32">
        <v>40.768999999999998</v>
      </c>
      <c r="N95" s="18">
        <v>80.342799999999997</v>
      </c>
      <c r="O95" s="18">
        <f t="shared" si="5"/>
        <v>36.501937499999997</v>
      </c>
      <c r="P95" s="7"/>
      <c r="Q95" s="10"/>
      <c r="R95" s="11"/>
      <c r="S95" s="11"/>
      <c r="T95" s="26"/>
      <c r="U95" s="28">
        <f t="shared" si="3"/>
        <v>-0.14211743555555567</v>
      </c>
    </row>
    <row r="96" spans="1:21" ht="16.5" thickBot="1" x14ac:dyDescent="0.3">
      <c r="B96" s="12"/>
      <c r="C96" s="33">
        <v>294.2412109375</v>
      </c>
      <c r="D96" s="34">
        <v>31.5381</v>
      </c>
      <c r="E96" s="34">
        <v>38.420900000000003</v>
      </c>
      <c r="F96" s="34">
        <v>38.032299999999999</v>
      </c>
      <c r="G96" s="20">
        <v>139.96889580093313</v>
      </c>
      <c r="H96" s="20">
        <f t="shared" si="4"/>
        <v>33.210225000000001</v>
      </c>
      <c r="I96" s="5"/>
      <c r="J96" s="33">
        <v>301.11470000000003</v>
      </c>
      <c r="K96" s="34">
        <v>32.1173</v>
      </c>
      <c r="L96" s="34">
        <v>39.248899999999999</v>
      </c>
      <c r="M96" s="34">
        <v>38.8705</v>
      </c>
      <c r="N96" s="20">
        <v>98.328400000000002</v>
      </c>
      <c r="O96" s="20">
        <f t="shared" si="5"/>
        <v>33.852899999999998</v>
      </c>
      <c r="P96" s="7"/>
      <c r="Q96" s="13"/>
      <c r="R96" s="14"/>
      <c r="S96" s="14"/>
      <c r="T96" s="27"/>
      <c r="U96" s="28">
        <f t="shared" si="3"/>
        <v>-0.29749820888888889</v>
      </c>
    </row>
    <row r="97" spans="2:21" x14ac:dyDescent="0.25">
      <c r="B97" s="6" t="s">
        <v>99</v>
      </c>
      <c r="C97" s="15">
        <v>1473.435546875</v>
      </c>
      <c r="D97" s="16">
        <v>37.668300000000002</v>
      </c>
      <c r="E97" s="16">
        <v>42.110500000000002</v>
      </c>
      <c r="F97" s="16">
        <v>42.5321</v>
      </c>
      <c r="G97" s="16">
        <v>61.728395061728392</v>
      </c>
      <c r="H97" s="16">
        <f t="shared" si="4"/>
        <v>38.831550000000007</v>
      </c>
      <c r="I97" s="5"/>
      <c r="J97" s="15">
        <v>1515.7530999999999</v>
      </c>
      <c r="K97" s="16">
        <v>37.856200000000001</v>
      </c>
      <c r="L97" s="16">
        <v>43.1449</v>
      </c>
      <c r="M97" s="16">
        <v>43.608800000000002</v>
      </c>
      <c r="N97" s="16">
        <v>62.508699999999997</v>
      </c>
      <c r="O97" s="16">
        <f t="shared" si="5"/>
        <v>39.236362499999998</v>
      </c>
      <c r="P97" s="7"/>
      <c r="Q97" s="8">
        <f>bdrate(C97:C100,D97:D100,J97:J100,K97:K100)</f>
        <v>-0.12269750956704595</v>
      </c>
      <c r="R97" s="8">
        <f>bdrate(C97:C100,E97:E100,J97:J100,L97:L100)</f>
        <v>-0.32290333993102927</v>
      </c>
      <c r="S97" s="8">
        <f>bdrate(C97:C100,F97:F100,J97:J100,M97:M100)</f>
        <v>-0.3375228697253706</v>
      </c>
      <c r="T97" s="25">
        <f>bdrate(C97:C100,H97:H100,J97:J100,O97:O100)</f>
        <v>-0.16644377542447708</v>
      </c>
      <c r="U97" s="28">
        <f t="shared" si="3"/>
        <v>1.2640940000000008E-2</v>
      </c>
    </row>
    <row r="98" spans="2:21" x14ac:dyDescent="0.25">
      <c r="B98" s="9"/>
      <c r="C98" s="17">
        <v>982.6318359375</v>
      </c>
      <c r="D98" s="18">
        <v>35.589599999999997</v>
      </c>
      <c r="E98" s="18">
        <v>40.632599999999996</v>
      </c>
      <c r="F98" s="18">
        <v>41.103999999999999</v>
      </c>
      <c r="G98" s="18">
        <v>75.96859964547987</v>
      </c>
      <c r="H98" s="18">
        <f t="shared" si="4"/>
        <v>36.909275000000001</v>
      </c>
      <c r="I98" s="5"/>
      <c r="J98" s="17">
        <v>1011.8939</v>
      </c>
      <c r="K98" s="18">
        <v>36.042299999999997</v>
      </c>
      <c r="L98" s="18">
        <v>41.829500000000003</v>
      </c>
      <c r="M98" s="18">
        <v>42.341999999999999</v>
      </c>
      <c r="N98" s="18">
        <v>71.810400000000001</v>
      </c>
      <c r="O98" s="18">
        <f t="shared" si="5"/>
        <v>37.553162499999999</v>
      </c>
      <c r="P98" s="7"/>
      <c r="Q98" s="10"/>
      <c r="R98" s="11"/>
      <c r="S98" s="11"/>
      <c r="T98" s="26"/>
      <c r="U98" s="28">
        <f t="shared" si="3"/>
        <v>-5.4735767999999997E-2</v>
      </c>
    </row>
    <row r="99" spans="2:21" x14ac:dyDescent="0.25">
      <c r="B99" s="9"/>
      <c r="C99" s="17">
        <v>591.474609375</v>
      </c>
      <c r="D99" s="18">
        <v>32.909399999999998</v>
      </c>
      <c r="E99" s="18">
        <v>38.669199999999996</v>
      </c>
      <c r="F99" s="18">
        <v>39.197400000000002</v>
      </c>
      <c r="G99" s="18">
        <v>106.43330179754021</v>
      </c>
      <c r="H99" s="18">
        <f t="shared" si="4"/>
        <v>34.415374999999997</v>
      </c>
      <c r="I99" s="5"/>
      <c r="J99" s="17">
        <v>607.1037</v>
      </c>
      <c r="K99" s="18">
        <v>33.829300000000003</v>
      </c>
      <c r="L99" s="18">
        <v>40.228200000000001</v>
      </c>
      <c r="M99" s="18">
        <v>40.778399999999998</v>
      </c>
      <c r="N99" s="18">
        <v>83.102500000000006</v>
      </c>
      <c r="O99" s="18">
        <f t="shared" si="5"/>
        <v>35.497799999999998</v>
      </c>
      <c r="P99" s="7"/>
      <c r="Q99" s="10"/>
      <c r="R99" s="11"/>
      <c r="S99" s="11"/>
      <c r="T99" s="26"/>
      <c r="U99" s="28">
        <f t="shared" si="3"/>
        <v>-0.21920584444444441</v>
      </c>
    </row>
    <row r="100" spans="2:21" ht="16.5" thickBot="1" x14ac:dyDescent="0.3">
      <c r="B100" s="12"/>
      <c r="C100" s="19">
        <v>295.91796875</v>
      </c>
      <c r="D100" s="20">
        <v>29.428999999999998</v>
      </c>
      <c r="E100" s="20">
        <v>36.422600000000003</v>
      </c>
      <c r="F100" s="20">
        <v>37.0717</v>
      </c>
      <c r="G100" s="20">
        <v>147.92899408284023</v>
      </c>
      <c r="H100" s="20">
        <f t="shared" si="4"/>
        <v>31.258537499999999</v>
      </c>
      <c r="I100" s="5"/>
      <c r="J100" s="19">
        <v>302.52589999999998</v>
      </c>
      <c r="K100" s="20">
        <v>30.776499999999999</v>
      </c>
      <c r="L100" s="20">
        <v>38.063600000000001</v>
      </c>
      <c r="M100" s="20">
        <v>38.685200000000002</v>
      </c>
      <c r="N100" s="20">
        <v>101.2032</v>
      </c>
      <c r="O100" s="20">
        <f t="shared" si="5"/>
        <v>32.675975000000001</v>
      </c>
      <c r="P100" s="7"/>
      <c r="Q100" s="13"/>
      <c r="R100" s="14"/>
      <c r="S100" s="14"/>
      <c r="T100" s="27"/>
      <c r="U100" s="28">
        <f t="shared" si="3"/>
        <v>-0.31586636800000001</v>
      </c>
    </row>
    <row r="101" spans="2:21" x14ac:dyDescent="0.25">
      <c r="B101" s="6" t="s">
        <v>100</v>
      </c>
      <c r="C101" s="15">
        <v>1477.4033203125</v>
      </c>
      <c r="D101" s="16">
        <v>38.211199999999998</v>
      </c>
      <c r="E101" s="16">
        <v>43.844099999999997</v>
      </c>
      <c r="F101" s="16">
        <v>45.8262</v>
      </c>
      <c r="G101" s="16">
        <v>55.12003919647232</v>
      </c>
      <c r="H101" s="16">
        <f t="shared" si="4"/>
        <v>39.8671875</v>
      </c>
      <c r="I101" s="5"/>
      <c r="J101" s="15">
        <v>1525.7832000000001</v>
      </c>
      <c r="K101" s="16">
        <v>38.040500000000002</v>
      </c>
      <c r="L101" s="16">
        <v>44.239199999999997</v>
      </c>
      <c r="M101" s="16">
        <v>46.228299999999997</v>
      </c>
      <c r="N101" s="16">
        <v>55.052599999999998</v>
      </c>
      <c r="O101" s="16">
        <f t="shared" si="5"/>
        <v>39.838812499999996</v>
      </c>
      <c r="P101" s="7"/>
      <c r="Q101" s="8">
        <f>bdrate(C101:C104,D101:D104,J101:J104,K101:K104)</f>
        <v>2.0018955576730946E-2</v>
      </c>
      <c r="R101" s="8">
        <f>bdrate(C101:C104,E101:E104,J101:J104,L101:L104)</f>
        <v>-0.20119105813814242</v>
      </c>
      <c r="S101" s="8">
        <f>bdrate(C101:C104,F101:F104,J101:J104,M101:M104)</f>
        <v>-0.21060453405775958</v>
      </c>
      <c r="T101" s="25">
        <f>bdrate(C101:C104,H101:H104,J101:J104,O101:O104)</f>
        <v>-2.5915201122690079E-2</v>
      </c>
      <c r="U101" s="28">
        <f t="shared" si="3"/>
        <v>-1.2234968888889584E-3</v>
      </c>
    </row>
    <row r="102" spans="2:21" x14ac:dyDescent="0.25">
      <c r="B102" s="9"/>
      <c r="C102" s="17">
        <v>984.7783203125</v>
      </c>
      <c r="D102" s="18">
        <v>36.737400000000001</v>
      </c>
      <c r="E102" s="18">
        <v>42.905000000000001</v>
      </c>
      <c r="F102" s="18">
        <v>44.811799999999998</v>
      </c>
      <c r="G102" s="18">
        <v>70.871722182849041</v>
      </c>
      <c r="H102" s="18">
        <f t="shared" si="4"/>
        <v>38.517649999999996</v>
      </c>
      <c r="I102" s="5"/>
      <c r="J102" s="17">
        <v>1013.9733</v>
      </c>
      <c r="K102" s="18">
        <v>36.6526</v>
      </c>
      <c r="L102" s="18">
        <v>43.330399999999997</v>
      </c>
      <c r="M102" s="18">
        <v>45.298400000000001</v>
      </c>
      <c r="N102" s="18">
        <v>65.005399999999995</v>
      </c>
      <c r="O102" s="18">
        <f t="shared" si="5"/>
        <v>38.568049999999999</v>
      </c>
      <c r="P102" s="7"/>
      <c r="Q102" s="10"/>
      <c r="R102" s="11"/>
      <c r="S102" s="11"/>
      <c r="T102" s="26"/>
      <c r="U102" s="28">
        <f t="shared" si="3"/>
        <v>-8.2773806000000047E-2</v>
      </c>
    </row>
    <row r="103" spans="2:21" x14ac:dyDescent="0.25">
      <c r="B103" s="9"/>
      <c r="C103" s="17">
        <v>593.1298828125</v>
      </c>
      <c r="D103" s="18">
        <v>34.944899999999997</v>
      </c>
      <c r="E103" s="18">
        <v>41.637999999999998</v>
      </c>
      <c r="F103" s="18">
        <v>43.4101</v>
      </c>
      <c r="G103" s="18">
        <v>95.765056394977663</v>
      </c>
      <c r="H103" s="18">
        <f t="shared" si="4"/>
        <v>36.839687499999997</v>
      </c>
      <c r="I103" s="5"/>
      <c r="J103" s="17">
        <v>605.46400000000006</v>
      </c>
      <c r="K103" s="18">
        <v>34.987200000000001</v>
      </c>
      <c r="L103" s="18">
        <v>42.259599999999999</v>
      </c>
      <c r="M103" s="18">
        <v>44.135399999999997</v>
      </c>
      <c r="N103" s="18">
        <v>78.781499999999994</v>
      </c>
      <c r="O103" s="18">
        <f t="shared" si="5"/>
        <v>37.039774999999999</v>
      </c>
      <c r="P103" s="7"/>
      <c r="Q103" s="10"/>
      <c r="R103" s="11"/>
      <c r="S103" s="11"/>
      <c r="T103" s="26"/>
      <c r="U103" s="28">
        <f t="shared" si="3"/>
        <v>-0.17734607000000013</v>
      </c>
    </row>
    <row r="104" spans="2:21" ht="16.5" thickBot="1" x14ac:dyDescent="0.3">
      <c r="B104" s="12"/>
      <c r="C104" s="19">
        <v>297.2607421875</v>
      </c>
      <c r="D104" s="20">
        <v>32.596200000000003</v>
      </c>
      <c r="E104" s="20">
        <v>40.078499999999998</v>
      </c>
      <c r="F104" s="20">
        <v>41.646000000000001</v>
      </c>
      <c r="G104" s="20">
        <v>146.79497634969826</v>
      </c>
      <c r="H104" s="20">
        <f t="shared" si="4"/>
        <v>34.662712499999998</v>
      </c>
      <c r="I104" s="5"/>
      <c r="J104" s="19">
        <v>302.31760000000003</v>
      </c>
      <c r="K104" s="20">
        <v>32.8001</v>
      </c>
      <c r="L104" s="20">
        <v>40.831699999999998</v>
      </c>
      <c r="M104" s="20">
        <v>42.508099999999999</v>
      </c>
      <c r="N104" s="20">
        <v>102.6811</v>
      </c>
      <c r="O104" s="20">
        <f t="shared" si="5"/>
        <v>35.01755</v>
      </c>
      <c r="P104" s="7"/>
      <c r="Q104" s="13"/>
      <c r="R104" s="14"/>
      <c r="S104" s="14"/>
      <c r="T104" s="27"/>
      <c r="U104" s="28">
        <f t="shared" si="3"/>
        <v>-0.30051352877777782</v>
      </c>
    </row>
    <row r="105" spans="2:21" x14ac:dyDescent="0.25">
      <c r="B105" s="6" t="s">
        <v>101</v>
      </c>
      <c r="C105" s="15">
        <v>1456.259765625</v>
      </c>
      <c r="D105" s="16">
        <v>49.7654</v>
      </c>
      <c r="E105" s="16">
        <v>55.873600000000003</v>
      </c>
      <c r="F105" s="16">
        <v>55.929099999999998</v>
      </c>
      <c r="G105" s="16">
        <v>74.159525379037575</v>
      </c>
      <c r="H105" s="16">
        <f t="shared" si="4"/>
        <v>51.299387500000002</v>
      </c>
      <c r="I105" s="5"/>
      <c r="J105" s="15">
        <v>1506.5735999999999</v>
      </c>
      <c r="K105" s="16">
        <v>49.984299999999998</v>
      </c>
      <c r="L105" s="16">
        <v>56.293900000000001</v>
      </c>
      <c r="M105" s="16">
        <v>56.414900000000003</v>
      </c>
      <c r="N105" s="16">
        <v>79.688299999999998</v>
      </c>
      <c r="O105" s="16">
        <f t="shared" si="5"/>
        <v>51.576824999999999</v>
      </c>
      <c r="P105" s="7"/>
      <c r="Q105" s="8">
        <f>bdrate(C105:C108,D105:D108,J105:J108,K105:K108)</f>
        <v>-9.0019286070029292E-2</v>
      </c>
      <c r="R105" s="8">
        <f>bdrate(C105:C108,E105:E108,J105:J108,L105:L108)</f>
        <v>-0.21297399898033609</v>
      </c>
      <c r="S105" s="8">
        <f>bdrate(C105:C108,F105:F108,J105:J108,M105:M108)</f>
        <v>-0.19363773216505142</v>
      </c>
      <c r="T105" s="25">
        <f>bdrate(C105:C108,H105:H108,J105:J108,O105:O108)</f>
        <v>-0.11707749070578077</v>
      </c>
      <c r="U105" s="28">
        <f t="shared" si="3"/>
        <v>7.4552454222222189E-2</v>
      </c>
    </row>
    <row r="106" spans="2:21" x14ac:dyDescent="0.25">
      <c r="B106" s="9"/>
      <c r="C106" s="17">
        <v>970.435546875</v>
      </c>
      <c r="D106" s="18">
        <v>47.886299999999999</v>
      </c>
      <c r="E106" s="18">
        <v>54.249200000000002</v>
      </c>
      <c r="F106" s="18">
        <v>54.264800000000001</v>
      </c>
      <c r="G106" s="18">
        <v>92.241467664241057</v>
      </c>
      <c r="H106" s="18">
        <f t="shared" si="4"/>
        <v>49.478974999999998</v>
      </c>
      <c r="I106" s="5"/>
      <c r="J106" s="17">
        <v>1006.6792</v>
      </c>
      <c r="K106" s="18">
        <v>48.363999999999997</v>
      </c>
      <c r="L106" s="18">
        <v>55.0349</v>
      </c>
      <c r="M106" s="18">
        <v>55.053600000000003</v>
      </c>
      <c r="N106" s="18">
        <v>93.6524</v>
      </c>
      <c r="O106" s="18">
        <f t="shared" si="5"/>
        <v>50.034062499999997</v>
      </c>
      <c r="P106" s="7"/>
      <c r="Q106" s="10"/>
      <c r="R106" s="11"/>
      <c r="S106" s="11"/>
      <c r="T106" s="26"/>
      <c r="U106" s="28">
        <f t="shared" si="3"/>
        <v>1.5296074222222232E-2</v>
      </c>
    </row>
    <row r="107" spans="2:21" x14ac:dyDescent="0.25">
      <c r="B107" s="9"/>
      <c r="C107" s="17">
        <v>582.1650390625</v>
      </c>
      <c r="D107" s="18">
        <v>45.715899999999998</v>
      </c>
      <c r="E107" s="18">
        <v>52.336599999999997</v>
      </c>
      <c r="F107" s="18">
        <v>52.271799999999999</v>
      </c>
      <c r="G107" s="18">
        <v>119.09487892020643</v>
      </c>
      <c r="H107" s="18">
        <f t="shared" si="4"/>
        <v>47.362974999999992</v>
      </c>
      <c r="I107" s="5"/>
      <c r="J107" s="17">
        <v>603.95839999999998</v>
      </c>
      <c r="K107" s="18">
        <v>46.332799999999999</v>
      </c>
      <c r="L107" s="18">
        <v>53.4407</v>
      </c>
      <c r="M107" s="18">
        <v>53.3095</v>
      </c>
      <c r="N107" s="18">
        <v>111.09739999999999</v>
      </c>
      <c r="O107" s="18">
        <f t="shared" si="5"/>
        <v>48.093375000000002</v>
      </c>
      <c r="P107" s="7"/>
      <c r="Q107" s="10"/>
      <c r="R107" s="11"/>
      <c r="S107" s="11"/>
      <c r="T107" s="26"/>
      <c r="U107" s="28">
        <f t="shared" si="3"/>
        <v>-6.715216466666668E-2</v>
      </c>
    </row>
    <row r="108" spans="2:21" ht="16.5" thickBot="1" x14ac:dyDescent="0.3">
      <c r="B108" s="12"/>
      <c r="C108" s="19">
        <v>291.8974609375</v>
      </c>
      <c r="D108" s="20">
        <v>42.791499999999999</v>
      </c>
      <c r="E108" s="20">
        <v>49.573799999999999</v>
      </c>
      <c r="F108" s="20">
        <v>49.478700000000003</v>
      </c>
      <c r="G108" s="20">
        <v>153.9514197742046</v>
      </c>
      <c r="H108" s="20">
        <f t="shared" si="4"/>
        <v>44.475187500000004</v>
      </c>
      <c r="I108" s="5"/>
      <c r="J108" s="19">
        <v>300.91199999999998</v>
      </c>
      <c r="K108" s="20">
        <v>43.427399999999999</v>
      </c>
      <c r="L108" s="20">
        <v>50.989899999999999</v>
      </c>
      <c r="M108" s="20">
        <v>50.714700000000001</v>
      </c>
      <c r="N108" s="20">
        <v>140.9554</v>
      </c>
      <c r="O108" s="20">
        <f t="shared" si="5"/>
        <v>45.283624999999994</v>
      </c>
      <c r="P108" s="7"/>
      <c r="Q108" s="13"/>
      <c r="R108" s="14"/>
      <c r="S108" s="14"/>
      <c r="T108" s="27"/>
      <c r="U108" s="28">
        <f t="shared" si="3"/>
        <v>-8.4416368444444528E-2</v>
      </c>
    </row>
    <row r="109" spans="2:21" x14ac:dyDescent="0.25">
      <c r="B109" s="6" t="s">
        <v>102</v>
      </c>
      <c r="C109" s="15">
        <v>1472.00390625</v>
      </c>
      <c r="D109" s="16">
        <v>31.9223</v>
      </c>
      <c r="E109" s="16">
        <v>40.719499999999996</v>
      </c>
      <c r="F109" s="16">
        <v>40.038899999999998</v>
      </c>
      <c r="G109" s="16">
        <v>55.68273216605828</v>
      </c>
      <c r="H109" s="16">
        <f t="shared" si="4"/>
        <v>34.036524999999997</v>
      </c>
      <c r="I109" s="5"/>
      <c r="J109" s="15">
        <v>1503.1147000000001</v>
      </c>
      <c r="K109" s="16">
        <v>31.9726</v>
      </c>
      <c r="L109" s="16">
        <v>41.184899999999999</v>
      </c>
      <c r="M109" s="16">
        <v>40.335000000000001</v>
      </c>
      <c r="N109" s="16">
        <v>39.722799999999999</v>
      </c>
      <c r="O109" s="16">
        <f t="shared" si="5"/>
        <v>34.169437500000001</v>
      </c>
      <c r="P109" s="7"/>
      <c r="Q109" s="8">
        <f>bdrate(C109:C112,D109:D112,J109:J112,K109:K112)</f>
        <v>-9.6189224234752291E-2</v>
      </c>
      <c r="R109" s="8">
        <f>bdrate(C109:C112,E109:E112,J109:J112,L109:L112)</f>
        <v>-0.25500269453318081</v>
      </c>
      <c r="S109" s="8">
        <f>bdrate(C109:C112,F109:F112,J109:J112,M109:M112)</f>
        <v>-0.22032379082772324</v>
      </c>
      <c r="T109" s="25">
        <f>bdrate(C109:C112,H109:H112,J109:J112,O109:O112)</f>
        <v>-0.12257134833188599</v>
      </c>
      <c r="U109" s="28">
        <f t="shared" si="3"/>
        <v>-0.28662264844444446</v>
      </c>
    </row>
    <row r="110" spans="2:21" x14ac:dyDescent="0.25">
      <c r="B110" s="9"/>
      <c r="C110" s="17">
        <v>982.494140625</v>
      </c>
      <c r="D110" s="18">
        <v>29.946899999999999</v>
      </c>
      <c r="E110" s="18">
        <v>39.621600000000001</v>
      </c>
      <c r="F110" s="18">
        <v>38.8446</v>
      </c>
      <c r="G110" s="18">
        <v>81.132245560263229</v>
      </c>
      <c r="H110" s="18">
        <f t="shared" si="4"/>
        <v>32.268450000000001</v>
      </c>
      <c r="I110" s="5"/>
      <c r="J110" s="17">
        <v>1001.0013</v>
      </c>
      <c r="K110" s="18">
        <v>30.293399999999998</v>
      </c>
      <c r="L110" s="18">
        <v>40.351900000000001</v>
      </c>
      <c r="M110" s="18">
        <v>39.462699999999998</v>
      </c>
      <c r="N110" s="18">
        <v>45.750300000000003</v>
      </c>
      <c r="O110" s="18">
        <f t="shared" si="5"/>
        <v>32.696874999999999</v>
      </c>
      <c r="P110" s="7"/>
      <c r="Q110" s="10"/>
      <c r="R110" s="11"/>
      <c r="S110" s="11"/>
      <c r="T110" s="26"/>
      <c r="U110" s="28">
        <f t="shared" si="3"/>
        <v>-0.43610213566666661</v>
      </c>
    </row>
    <row r="111" spans="2:21" x14ac:dyDescent="0.25">
      <c r="B111" s="9"/>
      <c r="C111" s="17">
        <v>589.8818359375</v>
      </c>
      <c r="D111" s="18">
        <v>27.575600000000001</v>
      </c>
      <c r="E111" s="18">
        <v>38.202500000000001</v>
      </c>
      <c r="F111" s="18">
        <v>37.330599999999997</v>
      </c>
      <c r="G111" s="18">
        <v>109.09090909090909</v>
      </c>
      <c r="H111" s="18">
        <f t="shared" si="4"/>
        <v>30.123337499999998</v>
      </c>
      <c r="I111" s="5"/>
      <c r="J111" s="17">
        <v>600.83119999999997</v>
      </c>
      <c r="K111" s="18">
        <v>28.1873</v>
      </c>
      <c r="L111" s="18">
        <v>39.105200000000004</v>
      </c>
      <c r="M111" s="18">
        <v>38.168100000000003</v>
      </c>
      <c r="N111" s="18">
        <v>53.175800000000002</v>
      </c>
      <c r="O111" s="18">
        <f t="shared" si="5"/>
        <v>30.799637500000003</v>
      </c>
      <c r="P111" s="7"/>
      <c r="Q111" s="10"/>
      <c r="R111" s="11"/>
      <c r="S111" s="11"/>
      <c r="T111" s="26"/>
      <c r="U111" s="28">
        <f t="shared" si="3"/>
        <v>-0.51255516666666667</v>
      </c>
    </row>
    <row r="112" spans="2:21" ht="16.5" thickBot="1" x14ac:dyDescent="0.3">
      <c r="B112" s="12"/>
      <c r="C112" s="19">
        <v>296.5439453125</v>
      </c>
      <c r="D112" s="20">
        <v>24.608599999999999</v>
      </c>
      <c r="E112" s="20">
        <v>35.890599999999999</v>
      </c>
      <c r="F112" s="20">
        <v>35.136200000000002</v>
      </c>
      <c r="G112" s="20">
        <v>108.9984255782972</v>
      </c>
      <c r="H112" s="20">
        <f t="shared" si="4"/>
        <v>27.334800000000001</v>
      </c>
      <c r="I112" s="5"/>
      <c r="J112" s="19">
        <v>300.78879999999998</v>
      </c>
      <c r="K112" s="20">
        <v>25.548100000000002</v>
      </c>
      <c r="L112" s="20">
        <v>37.097200000000001</v>
      </c>
      <c r="M112" s="20">
        <v>36.158900000000003</v>
      </c>
      <c r="N112" s="20">
        <v>65.578500000000005</v>
      </c>
      <c r="O112" s="20">
        <f t="shared" si="5"/>
        <v>28.318087500000004</v>
      </c>
      <c r="P112" s="7"/>
      <c r="Q112" s="13"/>
      <c r="R112" s="14"/>
      <c r="S112" s="14"/>
      <c r="T112" s="27"/>
      <c r="U112" s="28">
        <f t="shared" si="3"/>
        <v>-0.39835369499999995</v>
      </c>
    </row>
    <row r="113" spans="2:21" x14ac:dyDescent="0.25">
      <c r="B113" s="6" t="s">
        <v>103</v>
      </c>
      <c r="C113" s="15">
        <v>1454.080078125</v>
      </c>
      <c r="D113" s="16">
        <v>47.2423</v>
      </c>
      <c r="E113" s="16">
        <v>47.833300000000001</v>
      </c>
      <c r="F113" s="16">
        <v>47.866700000000002</v>
      </c>
      <c r="G113" s="16">
        <v>69.081977279705242</v>
      </c>
      <c r="H113" s="16">
        <f t="shared" si="4"/>
        <v>47.394224999999999</v>
      </c>
      <c r="I113" s="5"/>
      <c r="J113" s="15">
        <v>1328.4037000000001</v>
      </c>
      <c r="K113" s="16">
        <v>47.269799999999996</v>
      </c>
      <c r="L113" s="16">
        <v>48.6128</v>
      </c>
      <c r="M113" s="16">
        <v>48.641599999999997</v>
      </c>
      <c r="N113" s="16">
        <v>56.207799999999999</v>
      </c>
      <c r="O113" s="16">
        <f t="shared" si="5"/>
        <v>47.609149999999993</v>
      </c>
      <c r="P113" s="7"/>
      <c r="Q113" s="8">
        <f>bdrate(C113:C116,D113:D116,J113:J116,K113:K116)</f>
        <v>-0.13108945849028963</v>
      </c>
      <c r="R113" s="8">
        <f>bdrate(C113:C116,E113:E116,J113:J116,L113:L116)</f>
        <v>-0.27446668556452825</v>
      </c>
      <c r="S113" s="8">
        <f>bdrate(C113:C116,F113:F116,J113:J116,M113:M116)</f>
        <v>-0.27666845964801623</v>
      </c>
      <c r="T113" s="25">
        <f>bdrate(C113:C116,H113:H116,J113:J116,O113:O116)</f>
        <v>-0.16424228091052517</v>
      </c>
      <c r="U113" s="28">
        <f t="shared" si="3"/>
        <v>-0.18636086844444436</v>
      </c>
    </row>
    <row r="114" spans="2:21" x14ac:dyDescent="0.25">
      <c r="B114" s="9"/>
      <c r="C114" s="17">
        <v>982.419921875</v>
      </c>
      <c r="D114" s="18">
        <v>45.320700000000002</v>
      </c>
      <c r="E114" s="18">
        <v>46.125</v>
      </c>
      <c r="F114" s="18">
        <v>46.147500000000001</v>
      </c>
      <c r="G114" s="18">
        <v>87.268496072917671</v>
      </c>
      <c r="H114" s="18">
        <f t="shared" si="4"/>
        <v>45.524587500000003</v>
      </c>
      <c r="I114" s="5"/>
      <c r="J114" s="17">
        <v>920.03920000000005</v>
      </c>
      <c r="K114" s="18">
        <v>45.691600000000001</v>
      </c>
      <c r="L114" s="18">
        <v>47.266800000000003</v>
      </c>
      <c r="M114" s="18">
        <v>47.3033</v>
      </c>
      <c r="N114" s="18">
        <v>76.045599999999993</v>
      </c>
      <c r="O114" s="18">
        <f t="shared" si="5"/>
        <v>46.089962499999999</v>
      </c>
      <c r="P114" s="7"/>
      <c r="Q114" s="10"/>
      <c r="R114" s="11"/>
      <c r="S114" s="11"/>
      <c r="T114" s="26"/>
      <c r="U114" s="28">
        <f t="shared" si="3"/>
        <v>-0.12860191911111113</v>
      </c>
    </row>
    <row r="115" spans="2:21" x14ac:dyDescent="0.25">
      <c r="B115" s="9"/>
      <c r="C115" s="17">
        <v>598.125</v>
      </c>
      <c r="D115" s="18">
        <v>42.322400000000002</v>
      </c>
      <c r="E115" s="18">
        <v>43.624899999999997</v>
      </c>
      <c r="F115" s="18">
        <v>43.622700000000002</v>
      </c>
      <c r="G115" s="18">
        <v>112.58443832874656</v>
      </c>
      <c r="H115" s="18">
        <f t="shared" si="4"/>
        <v>42.647750000000002</v>
      </c>
      <c r="I115" s="5"/>
      <c r="J115" s="17">
        <v>569.87599999999998</v>
      </c>
      <c r="K115" s="18">
        <v>42.869500000000002</v>
      </c>
      <c r="L115" s="18">
        <v>44.988799999999998</v>
      </c>
      <c r="M115" s="18">
        <v>45.018799999999999</v>
      </c>
      <c r="N115" s="18">
        <v>93.457899999999995</v>
      </c>
      <c r="O115" s="18">
        <f t="shared" si="5"/>
        <v>43.403074999999994</v>
      </c>
      <c r="P115" s="7"/>
      <c r="Q115" s="10"/>
      <c r="R115" s="11"/>
      <c r="S115" s="11"/>
      <c r="T115" s="26"/>
      <c r="U115" s="28">
        <f t="shared" si="3"/>
        <v>-0.16988616377777779</v>
      </c>
    </row>
    <row r="116" spans="2:21" ht="16.5" thickBot="1" x14ac:dyDescent="0.3">
      <c r="B116" s="12"/>
      <c r="C116" s="19">
        <v>303.7705078125</v>
      </c>
      <c r="D116" s="20">
        <v>37.528300000000002</v>
      </c>
      <c r="E116" s="20">
        <v>40.040599999999998</v>
      </c>
      <c r="F116" s="20">
        <v>39.985199999999999</v>
      </c>
      <c r="G116" s="20">
        <v>150.42620758816648</v>
      </c>
      <c r="H116" s="20">
        <f t="shared" si="4"/>
        <v>38.149450000000002</v>
      </c>
      <c r="I116" s="5"/>
      <c r="J116" s="19">
        <v>292.44290000000001</v>
      </c>
      <c r="K116" s="20">
        <v>38.578499999999998</v>
      </c>
      <c r="L116" s="20">
        <v>41.614800000000002</v>
      </c>
      <c r="M116" s="20">
        <v>41.601799999999997</v>
      </c>
      <c r="N116" s="20">
        <v>113.9962</v>
      </c>
      <c r="O116" s="20">
        <f t="shared" si="5"/>
        <v>39.335949999999997</v>
      </c>
      <c r="P116" s="7"/>
      <c r="Q116" s="13"/>
      <c r="R116" s="14"/>
      <c r="S116" s="14"/>
      <c r="T116" s="27"/>
      <c r="U116" s="28">
        <f t="shared" si="3"/>
        <v>-0.2421785948888889</v>
      </c>
    </row>
    <row r="117" spans="2:21" x14ac:dyDescent="0.25">
      <c r="B117" s="6" t="s">
        <v>104</v>
      </c>
      <c r="C117" s="15">
        <v>1440.3330078125</v>
      </c>
      <c r="D117" s="16">
        <v>52.229300000000002</v>
      </c>
      <c r="E117" s="16">
        <v>52.0991</v>
      </c>
      <c r="F117" s="16">
        <v>52.307899999999997</v>
      </c>
      <c r="G117" s="16">
        <v>95.288512440444677</v>
      </c>
      <c r="H117" s="16">
        <f t="shared" si="4"/>
        <v>52.222850000000008</v>
      </c>
      <c r="I117" s="5"/>
      <c r="J117" s="15">
        <v>757.23649999999998</v>
      </c>
      <c r="K117" s="16">
        <v>52.120899999999999</v>
      </c>
      <c r="L117" s="16">
        <v>54.104500000000002</v>
      </c>
      <c r="M117" s="16">
        <v>54.146799999999999</v>
      </c>
      <c r="N117" s="16">
        <v>62.950299999999999</v>
      </c>
      <c r="O117" s="16">
        <f t="shared" si="5"/>
        <v>52.622087499999992</v>
      </c>
      <c r="P117" s="7"/>
      <c r="Q117" s="8">
        <f>bdrate(C117:C120,D117:D120,J117:J120,K117:K120)</f>
        <v>-0.39463461758976937</v>
      </c>
      <c r="R117" s="8">
        <f>bdrate(C117:C120,E117:E120,J117:J120,L117:L120)</f>
        <v>-0.47784662650315413</v>
      </c>
      <c r="S117" s="8">
        <f>bdrate(C117:C120,F117:F120,J117:J120,M117:M120)</f>
        <v>-0.4849759901299967</v>
      </c>
      <c r="T117" s="25">
        <f>bdrate(C117:C120,H117:H120,J117:J120,O117:O120)</f>
        <v>-0.41918274309099623</v>
      </c>
      <c r="U117" s="28">
        <f t="shared" si="3"/>
        <v>-0.33937157388888889</v>
      </c>
    </row>
    <row r="118" spans="2:21" x14ac:dyDescent="0.25">
      <c r="B118" s="9"/>
      <c r="C118" s="17">
        <v>960.15625</v>
      </c>
      <c r="D118" s="18">
        <v>49.139499999999998</v>
      </c>
      <c r="E118" s="18">
        <v>49.467399999999998</v>
      </c>
      <c r="F118" s="18">
        <v>49.727699999999999</v>
      </c>
      <c r="G118" s="18">
        <v>109.8901098901099</v>
      </c>
      <c r="H118" s="18">
        <f t="shared" si="4"/>
        <v>49.254012500000002</v>
      </c>
      <c r="I118" s="5"/>
      <c r="J118" s="17">
        <v>596.17280000000005</v>
      </c>
      <c r="K118" s="18">
        <v>50.863900000000001</v>
      </c>
      <c r="L118" s="18">
        <v>52.875999999999998</v>
      </c>
      <c r="M118" s="18">
        <v>53.091500000000003</v>
      </c>
      <c r="N118" s="18">
        <v>83.294799999999995</v>
      </c>
      <c r="O118" s="18">
        <f t="shared" si="5"/>
        <v>51.393862499999997</v>
      </c>
      <c r="P118" s="7"/>
      <c r="Q118" s="10"/>
      <c r="R118" s="11"/>
      <c r="S118" s="11"/>
      <c r="T118" s="26"/>
      <c r="U118" s="28">
        <f t="shared" si="3"/>
        <v>-0.24201732000000009</v>
      </c>
    </row>
    <row r="119" spans="2:21" x14ac:dyDescent="0.25">
      <c r="B119" s="9"/>
      <c r="C119" s="17">
        <v>579.1748046875</v>
      </c>
      <c r="D119" s="18">
        <v>44.977600000000002</v>
      </c>
      <c r="E119" s="18">
        <v>45.627200000000002</v>
      </c>
      <c r="F119" s="18">
        <v>45.911200000000001</v>
      </c>
      <c r="G119" s="18">
        <v>131.25273443196733</v>
      </c>
      <c r="H119" s="18">
        <f t="shared" si="4"/>
        <v>45.175500000000007</v>
      </c>
      <c r="I119" s="5"/>
      <c r="J119" s="17">
        <v>427.62990000000002</v>
      </c>
      <c r="K119" s="18">
        <v>46.330599999999997</v>
      </c>
      <c r="L119" s="18">
        <v>48.228200000000001</v>
      </c>
      <c r="M119" s="18">
        <v>48.664999999999999</v>
      </c>
      <c r="N119" s="18">
        <v>81.440600000000003</v>
      </c>
      <c r="O119" s="18">
        <f t="shared" si="5"/>
        <v>46.8596</v>
      </c>
      <c r="P119" s="7"/>
      <c r="Q119" s="10"/>
      <c r="R119" s="11"/>
      <c r="S119" s="11"/>
      <c r="T119" s="26"/>
      <c r="U119" s="28">
        <f t="shared" si="3"/>
        <v>-0.3795131175555555</v>
      </c>
    </row>
    <row r="120" spans="2:21" ht="16.5" thickBot="1" x14ac:dyDescent="0.3">
      <c r="B120" s="12"/>
      <c r="C120" s="19">
        <v>291.3720703125</v>
      </c>
      <c r="D120" s="20">
        <v>37.897500000000001</v>
      </c>
      <c r="E120" s="20">
        <v>39.717799999999997</v>
      </c>
      <c r="F120" s="20">
        <v>40.045099999999998</v>
      </c>
      <c r="G120" s="20">
        <v>125.69832402234637</v>
      </c>
      <c r="H120" s="20">
        <f t="shared" si="4"/>
        <v>38.393487499999999</v>
      </c>
      <c r="I120" s="5"/>
      <c r="J120" s="19">
        <v>284.428</v>
      </c>
      <c r="K120" s="20">
        <v>41.258800000000001</v>
      </c>
      <c r="L120" s="20">
        <v>43.502600000000001</v>
      </c>
      <c r="M120" s="20">
        <v>43.919600000000003</v>
      </c>
      <c r="N120" s="20">
        <v>125.5055</v>
      </c>
      <c r="O120" s="20">
        <f t="shared" si="5"/>
        <v>41.871874999999996</v>
      </c>
      <c r="P120" s="7"/>
      <c r="Q120" s="13"/>
      <c r="R120" s="14"/>
      <c r="S120" s="14"/>
      <c r="T120" s="27"/>
      <c r="U120" s="28">
        <f t="shared" si="3"/>
        <v>-1.5340222222222464E-3</v>
      </c>
    </row>
    <row r="121" spans="2:21" x14ac:dyDescent="0.25">
      <c r="B121" s="6" t="s">
        <v>105</v>
      </c>
      <c r="C121" s="29">
        <v>1476.599609375</v>
      </c>
      <c r="D121" s="30">
        <v>33.2819</v>
      </c>
      <c r="E121" s="30">
        <v>37.1</v>
      </c>
      <c r="F121" s="30">
        <v>36.424199999999999</v>
      </c>
      <c r="G121" s="16">
        <v>52.201148425265359</v>
      </c>
      <c r="H121" s="16">
        <f t="shared" si="4"/>
        <v>34.151949999999999</v>
      </c>
      <c r="I121" s="5"/>
      <c r="J121" s="29">
        <v>1522.7035000000001</v>
      </c>
      <c r="K121" s="30">
        <v>33.614199999999997</v>
      </c>
      <c r="L121" s="30">
        <v>37.786499999999997</v>
      </c>
      <c r="M121" s="30">
        <v>37.0518</v>
      </c>
      <c r="N121" s="16">
        <v>45.904299999999999</v>
      </c>
      <c r="O121" s="16">
        <f t="shared" si="5"/>
        <v>34.565437499999994</v>
      </c>
      <c r="P121" s="7"/>
      <c r="Q121" s="8">
        <f>bdrate(C121:C124,D121:D124,J121:J124,K121:K124)</f>
        <v>-0.11108593771335107</v>
      </c>
      <c r="R121" s="8">
        <f>bdrate(C121:C124,E121:E124,J121:J124,L121:L124)</f>
        <v>-0.25943908956192352</v>
      </c>
      <c r="S121" s="8">
        <f>bdrate(C121:C124,F121:F124,J121:J124,M121:M124)</f>
        <v>-0.23529093292871761</v>
      </c>
      <c r="T121" s="25">
        <f>bdrate(C121:C124,H121:H124,J121:J124,O121:O124)</f>
        <v>-0.13633782059710786</v>
      </c>
      <c r="U121" s="28">
        <f t="shared" si="3"/>
        <v>-0.1206266263333334</v>
      </c>
    </row>
    <row r="122" spans="2:21" x14ac:dyDescent="0.25">
      <c r="B122" s="9"/>
      <c r="C122" s="31">
        <v>987.791015625</v>
      </c>
      <c r="D122" s="32">
        <v>31.177700000000002</v>
      </c>
      <c r="E122" s="32">
        <v>35.768500000000003</v>
      </c>
      <c r="F122" s="32">
        <v>35.052199999999999</v>
      </c>
      <c r="G122" s="18">
        <v>70.494242970157444</v>
      </c>
      <c r="H122" s="18">
        <f t="shared" si="4"/>
        <v>32.235862499999996</v>
      </c>
      <c r="I122" s="5"/>
      <c r="J122" s="31">
        <v>1010.9509</v>
      </c>
      <c r="K122" s="32">
        <v>31.664899999999999</v>
      </c>
      <c r="L122" s="32">
        <v>36.666200000000003</v>
      </c>
      <c r="M122" s="32">
        <v>35.8904</v>
      </c>
      <c r="N122" s="18">
        <v>52.674700000000001</v>
      </c>
      <c r="O122" s="18">
        <f t="shared" si="5"/>
        <v>32.818249999999999</v>
      </c>
      <c r="P122" s="7"/>
      <c r="Q122" s="10"/>
      <c r="R122" s="11"/>
      <c r="S122" s="11"/>
      <c r="T122" s="26"/>
      <c r="U122" s="28">
        <f t="shared" si="3"/>
        <v>-0.25278011677777784</v>
      </c>
    </row>
    <row r="123" spans="2:21" x14ac:dyDescent="0.25">
      <c r="B123" s="9"/>
      <c r="C123" s="31">
        <v>593.513671875</v>
      </c>
      <c r="D123" s="32">
        <v>28.7117</v>
      </c>
      <c r="E123" s="32">
        <v>34.350900000000003</v>
      </c>
      <c r="F123" s="32">
        <v>33.5884</v>
      </c>
      <c r="G123" s="18">
        <v>97.055968942089947</v>
      </c>
      <c r="H123" s="18">
        <f t="shared" si="4"/>
        <v>30.026187499999999</v>
      </c>
      <c r="I123" s="5"/>
      <c r="J123" s="31">
        <v>607.31439999999998</v>
      </c>
      <c r="K123" s="32">
        <v>29.409600000000001</v>
      </c>
      <c r="L123" s="32">
        <v>35.281700000000001</v>
      </c>
      <c r="M123" s="32">
        <v>34.452300000000001</v>
      </c>
      <c r="N123" s="18">
        <v>61.588999999999999</v>
      </c>
      <c r="O123" s="18">
        <f t="shared" si="5"/>
        <v>30.773950000000003</v>
      </c>
      <c r="P123" s="7"/>
      <c r="Q123" s="10"/>
      <c r="R123" s="11"/>
      <c r="S123" s="11"/>
      <c r="T123" s="26"/>
      <c r="U123" s="28">
        <f t="shared" si="3"/>
        <v>-0.36542800333333342</v>
      </c>
    </row>
    <row r="124" spans="2:21" ht="16.5" thickBot="1" x14ac:dyDescent="0.3">
      <c r="B124" s="12"/>
      <c r="C124" s="33">
        <v>296.7890625</v>
      </c>
      <c r="D124" s="34">
        <v>25.773800000000001</v>
      </c>
      <c r="E124" s="34">
        <v>32.484200000000001</v>
      </c>
      <c r="F124" s="34">
        <v>31.652000000000001</v>
      </c>
      <c r="G124" s="20">
        <v>107.69414861792511</v>
      </c>
      <c r="H124" s="20">
        <f t="shared" si="4"/>
        <v>27.347375</v>
      </c>
      <c r="I124" s="5"/>
      <c r="J124" s="33">
        <v>307.47280000000001</v>
      </c>
      <c r="K124" s="34">
        <v>26.851099999999999</v>
      </c>
      <c r="L124" s="34">
        <v>33.4268</v>
      </c>
      <c r="M124" s="34">
        <v>32.552300000000002</v>
      </c>
      <c r="N124" s="20">
        <v>74.750799999999998</v>
      </c>
      <c r="O124" s="20">
        <f t="shared" si="5"/>
        <v>28.385712499999997</v>
      </c>
      <c r="P124" s="7"/>
      <c r="Q124" s="13"/>
      <c r="R124" s="14"/>
      <c r="S124" s="14"/>
      <c r="T124" s="27"/>
      <c r="U124" s="28">
        <f t="shared" si="3"/>
        <v>-0.30589729377777791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-0.10809854564986884</v>
      </c>
      <c r="R125" s="21">
        <f>AVERAGE(R9:R124)</f>
        <v>-0.29993842862587805</v>
      </c>
      <c r="S125" s="21">
        <f>AVERAGE(S9:S124)</f>
        <v>-0.29834494041651283</v>
      </c>
      <c r="T125" s="21">
        <f>AVERAGE(T9:T124)</f>
        <v>-0.14539198735366698</v>
      </c>
      <c r="U125" s="21">
        <f>AVERAGE(U9:U124)</f>
        <v>-8.35332911226533E-2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67" priority="69" operator="greaterThan">
      <formula>0.03</formula>
    </cfRule>
    <cfRule type="cellIs" dxfId="66" priority="70" stopIfTrue="1" operator="lessThan">
      <formula>-0.03</formula>
    </cfRule>
  </conditionalFormatting>
  <conditionalFormatting sqref="Q33:T36">
    <cfRule type="cellIs" dxfId="65" priority="67" operator="greaterThan">
      <formula>0.03</formula>
    </cfRule>
    <cfRule type="cellIs" dxfId="64" priority="68" stopIfTrue="1" operator="lessThan">
      <formula>-0.03</formula>
    </cfRule>
  </conditionalFormatting>
  <conditionalFormatting sqref="Q45:T48 Q61:T64">
    <cfRule type="cellIs" dxfId="63" priority="65" operator="greaterThan">
      <formula>0.03</formula>
    </cfRule>
    <cfRule type="cellIs" dxfId="62" priority="66" stopIfTrue="1" operator="lessThan">
      <formula>-0.03</formula>
    </cfRule>
  </conditionalFormatting>
  <conditionalFormatting sqref="Q49:T60">
    <cfRule type="cellIs" dxfId="61" priority="63" operator="greaterThan">
      <formula>0.03</formula>
    </cfRule>
    <cfRule type="cellIs" dxfId="60" priority="64" stopIfTrue="1" operator="lessThan">
      <formula>-0.03</formula>
    </cfRule>
  </conditionalFormatting>
  <conditionalFormatting sqref="Q69:T76">
    <cfRule type="cellIs" dxfId="59" priority="61" operator="greaterThan">
      <formula>0.03</formula>
    </cfRule>
    <cfRule type="cellIs" dxfId="58" priority="62" stopIfTrue="1" operator="lessThan">
      <formula>-0.03</formula>
    </cfRule>
  </conditionalFormatting>
  <conditionalFormatting sqref="Q65:T68">
    <cfRule type="cellIs" dxfId="57" priority="59" operator="greaterThan">
      <formula>0.03</formula>
    </cfRule>
    <cfRule type="cellIs" dxfId="56" priority="60" stopIfTrue="1" operator="lessThan">
      <formula>-0.03</formula>
    </cfRule>
  </conditionalFormatting>
  <conditionalFormatting sqref="Q77:T80">
    <cfRule type="cellIs" dxfId="55" priority="57" operator="greaterThan">
      <formula>0.03</formula>
    </cfRule>
    <cfRule type="cellIs" dxfId="54" priority="58" stopIfTrue="1" operator="lessThan">
      <formula>-0.03</formula>
    </cfRule>
  </conditionalFormatting>
  <conditionalFormatting sqref="Q21:T28">
    <cfRule type="cellIs" dxfId="53" priority="55" operator="greaterThan">
      <formula>0.03</formula>
    </cfRule>
    <cfRule type="cellIs" dxfId="52" priority="56" stopIfTrue="1" operator="lessThan">
      <formula>-0.03</formula>
    </cfRule>
  </conditionalFormatting>
  <conditionalFormatting sqref="Q117:T117">
    <cfRule type="cellIs" dxfId="51" priority="3" operator="greaterThan">
      <formula>0.03</formula>
    </cfRule>
    <cfRule type="cellIs" dxfId="50" priority="4" stopIfTrue="1" operator="lessThan">
      <formula>-0.03</formula>
    </cfRule>
  </conditionalFormatting>
  <conditionalFormatting sqref="Q93:T96 Q101:T108 Q81:T84">
    <cfRule type="cellIs" dxfId="49" priority="17" operator="greaterThan">
      <formula>0.03</formula>
    </cfRule>
    <cfRule type="cellIs" dxfId="48" priority="18" stopIfTrue="1" operator="lessThan">
      <formula>-0.03</formula>
    </cfRule>
  </conditionalFormatting>
  <conditionalFormatting sqref="Q97:T100">
    <cfRule type="cellIs" dxfId="47" priority="15" operator="greaterThan">
      <formula>0.03</formula>
    </cfRule>
    <cfRule type="cellIs" dxfId="46" priority="16" stopIfTrue="1" operator="lessThan">
      <formula>-0.03</formula>
    </cfRule>
  </conditionalFormatting>
  <conditionalFormatting sqref="Q110:T112 Q122:T124">
    <cfRule type="cellIs" dxfId="45" priority="13" operator="greaterThan">
      <formula>0.03</formula>
    </cfRule>
    <cfRule type="cellIs" dxfId="44" priority="14" stopIfTrue="1" operator="lessThan">
      <formula>-0.03</formula>
    </cfRule>
  </conditionalFormatting>
  <conditionalFormatting sqref="Q114:T116 Q118:T120">
    <cfRule type="cellIs" dxfId="43" priority="11" operator="greaterThan">
      <formula>0.03</formula>
    </cfRule>
    <cfRule type="cellIs" dxfId="42" priority="12" stopIfTrue="1" operator="lessThan">
      <formula>-0.03</formula>
    </cfRule>
  </conditionalFormatting>
  <conditionalFormatting sqref="Q85:T92">
    <cfRule type="cellIs" dxfId="41" priority="9" operator="greaterThan">
      <formula>0.03</formula>
    </cfRule>
    <cfRule type="cellIs" dxfId="40" priority="10" stopIfTrue="1" operator="lessThan">
      <formula>-0.03</formula>
    </cfRule>
  </conditionalFormatting>
  <conditionalFormatting sqref="Q109:T109">
    <cfRule type="cellIs" dxfId="39" priority="7" operator="greaterThan">
      <formula>0.03</formula>
    </cfRule>
    <cfRule type="cellIs" dxfId="38" priority="8" stopIfTrue="1" operator="lessThan">
      <formula>-0.03</formula>
    </cfRule>
  </conditionalFormatting>
  <conditionalFormatting sqref="Q113:T113">
    <cfRule type="cellIs" dxfId="37" priority="5" operator="greaterThan">
      <formula>0.03</formula>
    </cfRule>
    <cfRule type="cellIs" dxfId="36" priority="6" stopIfTrue="1" operator="lessThan">
      <formula>-0.03</formula>
    </cfRule>
  </conditionalFormatting>
  <conditionalFormatting sqref="Q121:T121">
    <cfRule type="cellIs" dxfId="35" priority="1" operator="greaterThan">
      <formula>0.03</formula>
    </cfRule>
    <cfRule type="cellIs" dxfId="34" priority="2" stopIfTrue="1" operator="lessThan">
      <formula>-0.03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5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0" width="6.625" customWidth="1"/>
    <col min="21" max="21" width="9.25" customWidth="1"/>
  </cols>
  <sheetData>
    <row r="1" spans="1:21" x14ac:dyDescent="0.25">
      <c r="A1" t="s">
        <v>132</v>
      </c>
      <c r="U1" t="s">
        <v>133</v>
      </c>
    </row>
    <row r="2" spans="1:21" x14ac:dyDescent="0.25">
      <c r="A2" t="s">
        <v>134</v>
      </c>
    </row>
    <row r="3" spans="1:21" x14ac:dyDescent="0.25">
      <c r="A3" t="s">
        <v>135</v>
      </c>
    </row>
    <row r="5" spans="1:21" s="35" customFormat="1" ht="15.75" customHeight="1" x14ac:dyDescent="0.25">
      <c r="B5" s="61" t="s">
        <v>29</v>
      </c>
      <c r="C5" s="63" t="s">
        <v>139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142</v>
      </c>
      <c r="D7" s="70"/>
      <c r="E7" s="70"/>
      <c r="F7" s="70"/>
      <c r="G7" s="70"/>
      <c r="H7" s="70"/>
      <c r="I7" s="5"/>
      <c r="J7" s="69" t="s">
        <v>187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3677.06640625</v>
      </c>
      <c r="D9" s="16">
        <v>38.516199999999998</v>
      </c>
      <c r="E9" s="16">
        <v>39.7104</v>
      </c>
      <c r="F9" s="16">
        <v>42.244999999999997</v>
      </c>
      <c r="G9" s="16">
        <v>2.7030436271241416</v>
      </c>
      <c r="H9" s="16">
        <f t="shared" ref="H9:H80" si="0">(6*D9+E9+F9)/8</f>
        <v>39.131574999999998</v>
      </c>
      <c r="I9" s="5"/>
      <c r="J9" s="15">
        <v>4087.7184000000002</v>
      </c>
      <c r="K9" s="16">
        <v>38.761800000000001</v>
      </c>
      <c r="L9" s="16">
        <v>40.329300000000003</v>
      </c>
      <c r="M9" s="16">
        <v>43.110599999999998</v>
      </c>
      <c r="N9" s="16">
        <v>1.7131000000000001</v>
      </c>
      <c r="O9" s="16">
        <f t="shared" ref="O9:O80" si="1">(6*K9+L9+M9)/8</f>
        <v>39.501337499999998</v>
      </c>
      <c r="P9" s="7"/>
      <c r="Q9" s="8">
        <f>bdrate(C9:C12,D9:D12,J9:J12,K9:K12)</f>
        <v>-2.1639981037753997E-2</v>
      </c>
      <c r="R9" s="8">
        <f>bdrate(C9:C12,E9:E12,J9:J12,L9:L12)</f>
        <v>-0.28823231500631807</v>
      </c>
      <c r="S9" s="8">
        <f>bdrate(C9:C12,F9:F12,J9:J12,M9:M12)</f>
        <v>-0.26082496537847077</v>
      </c>
      <c r="T9" s="25">
        <f>bdrate(C9:C12,H9:H12,J9:J12,O9:O12)</f>
        <v>-6.3853766190765104E-2</v>
      </c>
      <c r="U9" s="28">
        <f t="shared" ref="U9:U72" si="2">(N9-G9)/G9</f>
        <v>-0.36623294466666662</v>
      </c>
    </row>
    <row r="10" spans="1:21" x14ac:dyDescent="0.25">
      <c r="A10" s="9" t="s">
        <v>36</v>
      </c>
      <c r="B10" s="9"/>
      <c r="C10" s="17">
        <v>2779.9873046875</v>
      </c>
      <c r="D10" s="18">
        <v>37.6004</v>
      </c>
      <c r="E10" s="18">
        <v>39.179299999999998</v>
      </c>
      <c r="F10" s="18">
        <v>41.6661</v>
      </c>
      <c r="G10" s="18">
        <v>3.1412296867146923</v>
      </c>
      <c r="H10" s="18">
        <f t="shared" si="0"/>
        <v>38.305975000000004</v>
      </c>
      <c r="I10" s="5"/>
      <c r="J10" s="17">
        <v>3000.2608</v>
      </c>
      <c r="K10" s="18">
        <v>37.823099999999997</v>
      </c>
      <c r="L10" s="18">
        <v>39.8504</v>
      </c>
      <c r="M10" s="18">
        <v>42.445700000000002</v>
      </c>
      <c r="N10" s="18">
        <v>2.0148000000000001</v>
      </c>
      <c r="O10" s="18">
        <f t="shared" si="1"/>
        <v>38.654337499999997</v>
      </c>
      <c r="P10" s="7"/>
      <c r="Q10" s="10"/>
      <c r="R10" s="11"/>
      <c r="S10" s="11"/>
      <c r="T10" s="26"/>
      <c r="U10" s="28">
        <f t="shared" si="2"/>
        <v>-0.35859513599999987</v>
      </c>
    </row>
    <row r="11" spans="1:21" x14ac:dyDescent="0.25">
      <c r="B11" s="9"/>
      <c r="C11" s="17">
        <v>1824.279296875</v>
      </c>
      <c r="D11" s="18">
        <v>36.136400000000002</v>
      </c>
      <c r="E11" s="18">
        <v>38.397799999999997</v>
      </c>
      <c r="F11" s="18">
        <v>40.842700000000001</v>
      </c>
      <c r="G11" s="18">
        <v>3.918802413982287</v>
      </c>
      <c r="H11" s="18">
        <f t="shared" si="0"/>
        <v>37.007362499999999</v>
      </c>
      <c r="I11" s="5"/>
      <c r="J11" s="17">
        <v>1962.5232000000001</v>
      </c>
      <c r="K11" s="18">
        <v>36.446399999999997</v>
      </c>
      <c r="L11" s="18">
        <v>39.150700000000001</v>
      </c>
      <c r="M11" s="18">
        <v>41.6051</v>
      </c>
      <c r="N11" s="18">
        <v>2.4883999999999999</v>
      </c>
      <c r="O11" s="18">
        <f t="shared" si="1"/>
        <v>37.429274999999997</v>
      </c>
      <c r="P11" s="7"/>
      <c r="Q11" s="10"/>
      <c r="R11" s="11"/>
      <c r="S11" s="11"/>
      <c r="T11" s="26"/>
      <c r="U11" s="28">
        <f t="shared" si="2"/>
        <v>-0.36501008800000001</v>
      </c>
    </row>
    <row r="12" spans="1:21" ht="16.5" thickBot="1" x14ac:dyDescent="0.3">
      <c r="B12" s="12"/>
      <c r="C12" s="19">
        <v>919.037109375</v>
      </c>
      <c r="D12" s="20">
        <v>33.348300000000002</v>
      </c>
      <c r="E12" s="20">
        <v>37.190399999999997</v>
      </c>
      <c r="F12" s="20">
        <v>39.642499999999998</v>
      </c>
      <c r="G12" s="20">
        <v>5.7447052966182834</v>
      </c>
      <c r="H12" s="20">
        <f t="shared" si="0"/>
        <v>34.615337500000003</v>
      </c>
      <c r="I12" s="5"/>
      <c r="J12" s="19">
        <v>905.03840000000002</v>
      </c>
      <c r="K12" s="20">
        <v>33.606499999999997</v>
      </c>
      <c r="L12" s="20">
        <v>37.7622</v>
      </c>
      <c r="M12" s="20">
        <v>40.0398</v>
      </c>
      <c r="N12" s="20">
        <v>3.714</v>
      </c>
      <c r="O12" s="20">
        <f t="shared" si="1"/>
        <v>34.930124999999997</v>
      </c>
      <c r="P12" s="7"/>
      <c r="Q12" s="13"/>
      <c r="R12" s="14"/>
      <c r="S12" s="14"/>
      <c r="T12" s="27"/>
      <c r="U12" s="28">
        <f t="shared" si="2"/>
        <v>-0.35349164</v>
      </c>
    </row>
    <row r="13" spans="1:21" x14ac:dyDescent="0.25">
      <c r="B13" s="6" t="s">
        <v>47</v>
      </c>
      <c r="C13" s="15">
        <v>3700.9482421875</v>
      </c>
      <c r="D13" s="16">
        <v>30.376899999999999</v>
      </c>
      <c r="E13" s="16">
        <v>40.074599999999997</v>
      </c>
      <c r="F13" s="16">
        <v>40.9</v>
      </c>
      <c r="G13" s="16">
        <v>1.4905647252889209</v>
      </c>
      <c r="H13" s="16">
        <f t="shared" si="0"/>
        <v>32.904499999999999</v>
      </c>
      <c r="I13" s="5"/>
      <c r="J13" s="15">
        <v>4156.0288</v>
      </c>
      <c r="K13" s="16">
        <v>30.231999999999999</v>
      </c>
      <c r="L13" s="16">
        <v>41.111600000000003</v>
      </c>
      <c r="M13" s="16">
        <v>41.906599999999997</v>
      </c>
      <c r="N13" s="16">
        <v>1.1687000000000001</v>
      </c>
      <c r="O13" s="16">
        <f t="shared" si="1"/>
        <v>33.051275000000004</v>
      </c>
      <c r="P13" s="7"/>
      <c r="Q13" s="8">
        <f>bdrate(C13:C16,D13:D16,J13:J16,K13:K16)</f>
        <v>0.11743646753607995</v>
      </c>
      <c r="R13" s="8">
        <f>bdrate(C13:C16,E13:E16,J13:J16,L13:L16)</f>
        <v>-0.28198071416118775</v>
      </c>
      <c r="S13" s="8">
        <f>bdrate(C13:C16,F13:F16,J13:J16,M13:M16)</f>
        <v>-0.34560058076075217</v>
      </c>
      <c r="T13" s="25">
        <f>bdrate(C13:C16,H13:H16,J13:J16,O13:O16)</f>
        <v>4.3214026364836844E-2</v>
      </c>
      <c r="U13" s="28">
        <f t="shared" si="2"/>
        <v>-0.21593475266666651</v>
      </c>
    </row>
    <row r="14" spans="1:21" x14ac:dyDescent="0.25">
      <c r="B14" s="9"/>
      <c r="C14" s="17">
        <v>2788.73046875</v>
      </c>
      <c r="D14" s="18">
        <v>28.988399999999999</v>
      </c>
      <c r="E14" s="18">
        <v>39.610500000000002</v>
      </c>
      <c r="F14" s="18">
        <v>40.499699999999997</v>
      </c>
      <c r="G14" s="18">
        <v>1.8033181053137772</v>
      </c>
      <c r="H14" s="18">
        <f t="shared" si="0"/>
        <v>31.755074999999998</v>
      </c>
      <c r="I14" s="5"/>
      <c r="J14" s="17">
        <v>3075.8047999999999</v>
      </c>
      <c r="K14" s="18">
        <v>28.8645</v>
      </c>
      <c r="L14" s="18">
        <v>40.577100000000002</v>
      </c>
      <c r="M14" s="18">
        <v>41.487299999999998</v>
      </c>
      <c r="N14" s="18">
        <v>1.3513999999999999</v>
      </c>
      <c r="O14" s="18">
        <f t="shared" si="1"/>
        <v>31.906425000000002</v>
      </c>
      <c r="P14" s="7"/>
      <c r="Q14" s="10"/>
      <c r="R14" s="11"/>
      <c r="S14" s="11"/>
      <c r="T14" s="26"/>
      <c r="U14" s="28">
        <f t="shared" si="2"/>
        <v>-0.25060365333333334</v>
      </c>
    </row>
    <row r="15" spans="1:21" x14ac:dyDescent="0.25">
      <c r="B15" s="9"/>
      <c r="C15" s="17">
        <v>1867.6171875</v>
      </c>
      <c r="D15" s="18">
        <v>27.1374</v>
      </c>
      <c r="E15" s="18">
        <v>38.729300000000002</v>
      </c>
      <c r="F15" s="18">
        <v>39.723799999999997</v>
      </c>
      <c r="G15" s="18">
        <v>2.3163161308255353</v>
      </c>
      <c r="H15" s="18">
        <f t="shared" si="0"/>
        <v>30.159687499999997</v>
      </c>
      <c r="I15" s="5"/>
      <c r="J15" s="17">
        <v>2065.1855999999998</v>
      </c>
      <c r="K15" s="18">
        <v>27.107299999999999</v>
      </c>
      <c r="L15" s="18">
        <v>39.742400000000004</v>
      </c>
      <c r="M15" s="18">
        <v>40.821399999999997</v>
      </c>
      <c r="N15" s="18">
        <v>1.6432</v>
      </c>
      <c r="O15" s="18">
        <f t="shared" si="1"/>
        <v>30.400950000000002</v>
      </c>
      <c r="P15" s="7"/>
      <c r="Q15" s="10"/>
      <c r="R15" s="11"/>
      <c r="S15" s="11"/>
      <c r="T15" s="26"/>
      <c r="U15" s="28">
        <f t="shared" si="2"/>
        <v>-0.29059769600000007</v>
      </c>
    </row>
    <row r="16" spans="1:21" ht="16.5" thickBot="1" x14ac:dyDescent="0.3">
      <c r="B16" s="12"/>
      <c r="C16" s="19">
        <v>1025.5029296875</v>
      </c>
      <c r="D16" s="20">
        <v>24.916799999999999</v>
      </c>
      <c r="E16" s="20">
        <v>37.034700000000001</v>
      </c>
      <c r="F16" s="20">
        <v>38.233400000000003</v>
      </c>
      <c r="G16" s="20">
        <v>3.0190805893245312</v>
      </c>
      <c r="H16" s="20">
        <f t="shared" si="0"/>
        <v>28.096112500000004</v>
      </c>
      <c r="I16" s="5"/>
      <c r="J16" s="19">
        <v>1389.4576</v>
      </c>
      <c r="K16" s="20">
        <v>25.846699999999998</v>
      </c>
      <c r="L16" s="20">
        <v>38.623600000000003</v>
      </c>
      <c r="M16" s="20">
        <v>39.780299999999997</v>
      </c>
      <c r="N16" s="20">
        <v>1.8762000000000001</v>
      </c>
      <c r="O16" s="20">
        <f t="shared" si="1"/>
        <v>29.185512500000002</v>
      </c>
      <c r="P16" s="7"/>
      <c r="Q16" s="13"/>
      <c r="R16" s="14"/>
      <c r="S16" s="14"/>
      <c r="T16" s="27"/>
      <c r="U16" s="28">
        <f t="shared" si="2"/>
        <v>-0.378552528</v>
      </c>
    </row>
    <row r="17" spans="1:21" x14ac:dyDescent="0.25">
      <c r="A17" s="6" t="s">
        <v>37</v>
      </c>
      <c r="B17" s="6" t="s">
        <v>48</v>
      </c>
      <c r="C17" s="15">
        <v>2226.5634765625</v>
      </c>
      <c r="D17" s="16">
        <v>39.743200000000002</v>
      </c>
      <c r="E17" s="16">
        <v>42.2149</v>
      </c>
      <c r="F17" s="16">
        <v>43.6068</v>
      </c>
      <c r="G17" s="16">
        <v>2.7381006708346645</v>
      </c>
      <c r="H17" s="16">
        <f t="shared" si="0"/>
        <v>40.535112500000004</v>
      </c>
      <c r="I17" s="5"/>
      <c r="J17" s="15">
        <v>2366.1039999999998</v>
      </c>
      <c r="K17" s="16">
        <v>39.565600000000003</v>
      </c>
      <c r="L17" s="16">
        <v>42.530900000000003</v>
      </c>
      <c r="M17" s="16">
        <v>44.253799999999998</v>
      </c>
      <c r="N17" s="16">
        <v>2.1109</v>
      </c>
      <c r="O17" s="16">
        <f t="shared" si="1"/>
        <v>40.522287500000004</v>
      </c>
      <c r="P17" s="7"/>
      <c r="Q17" s="8">
        <f>bdrate(C17:C20,D17:D20,J17:J20,K17:K20)</f>
        <v>3.6604657186009026E-2</v>
      </c>
      <c r="R17" s="8">
        <f>bdrate(C17:C20,E17:E20,J17:J20,L17:L20)</f>
        <v>-0.21099666852375887</v>
      </c>
      <c r="S17" s="8">
        <f>bdrate(C17:C20,F17:F20,J17:J20,M17:M20)</f>
        <v>-0.26225121070817303</v>
      </c>
      <c r="T17" s="25">
        <f>bdrate(C17:C20,H17:H20,J17:J20,O17:O20)</f>
        <v>-6.5278056203248447E-3</v>
      </c>
      <c r="U17" s="28">
        <f t="shared" si="2"/>
        <v>-0.22906413833333336</v>
      </c>
    </row>
    <row r="18" spans="1:21" x14ac:dyDescent="0.25">
      <c r="A18" s="9" t="s">
        <v>38</v>
      </c>
      <c r="B18" s="9"/>
      <c r="C18" s="17">
        <v>1484.376953125</v>
      </c>
      <c r="D18" s="18">
        <v>38.467700000000001</v>
      </c>
      <c r="E18" s="18">
        <v>41.563400000000001</v>
      </c>
      <c r="F18" s="18">
        <v>42.821399999999997</v>
      </c>
      <c r="G18" s="18">
        <v>3.545470661230278</v>
      </c>
      <c r="H18" s="18">
        <f t="shared" si="0"/>
        <v>39.398874999999997</v>
      </c>
      <c r="I18" s="5"/>
      <c r="J18" s="17">
        <v>1564.3743999999999</v>
      </c>
      <c r="K18" s="18">
        <v>38.441600000000001</v>
      </c>
      <c r="L18" s="18">
        <v>41.958100000000002</v>
      </c>
      <c r="M18" s="18">
        <v>43.4771</v>
      </c>
      <c r="N18" s="18">
        <v>2.5853000000000002</v>
      </c>
      <c r="O18" s="18">
        <f t="shared" si="1"/>
        <v>39.510600000000004</v>
      </c>
      <c r="P18" s="7"/>
      <c r="Q18" s="10"/>
      <c r="R18" s="11"/>
      <c r="S18" s="11"/>
      <c r="T18" s="26"/>
      <c r="U18" s="28">
        <f t="shared" si="2"/>
        <v>-0.2708161349999999</v>
      </c>
    </row>
    <row r="19" spans="1:21" x14ac:dyDescent="0.25">
      <c r="B19" s="9"/>
      <c r="C19" s="17">
        <v>927.345703125</v>
      </c>
      <c r="D19" s="18">
        <v>36.831800000000001</v>
      </c>
      <c r="E19" s="18">
        <v>40.759700000000002</v>
      </c>
      <c r="F19" s="18">
        <v>41.956400000000002</v>
      </c>
      <c r="G19" s="18">
        <v>4.8035546304265155</v>
      </c>
      <c r="H19" s="18">
        <f t="shared" si="0"/>
        <v>37.963362500000002</v>
      </c>
      <c r="I19" s="5"/>
      <c r="J19" s="17">
        <v>970.06399999999996</v>
      </c>
      <c r="K19" s="18">
        <v>36.925400000000003</v>
      </c>
      <c r="L19" s="18">
        <v>41.244500000000002</v>
      </c>
      <c r="M19" s="18">
        <v>42.569899999999997</v>
      </c>
      <c r="N19" s="18">
        <v>3.3094000000000001</v>
      </c>
      <c r="O19" s="18">
        <f t="shared" si="1"/>
        <v>38.170850000000009</v>
      </c>
      <c r="P19" s="7"/>
      <c r="Q19" s="10"/>
      <c r="R19" s="11"/>
      <c r="S19" s="11"/>
      <c r="T19" s="26"/>
      <c r="U19" s="28">
        <f t="shared" si="2"/>
        <v>-0.31105186583333327</v>
      </c>
    </row>
    <row r="20" spans="1:21" ht="16.5" thickBot="1" x14ac:dyDescent="0.3">
      <c r="B20" s="12"/>
      <c r="C20" s="19">
        <v>556.2509765625</v>
      </c>
      <c r="D20" s="20">
        <v>35.003799999999998</v>
      </c>
      <c r="E20" s="20">
        <v>40.002000000000002</v>
      </c>
      <c r="F20" s="20">
        <v>41.250599999999999</v>
      </c>
      <c r="G20" s="20">
        <v>6.6614855112690137</v>
      </c>
      <c r="H20" s="20">
        <f t="shared" si="0"/>
        <v>36.409424999999999</v>
      </c>
      <c r="I20" s="5"/>
      <c r="J20" s="19">
        <v>565.70640000000003</v>
      </c>
      <c r="K20" s="20">
        <v>35.0944</v>
      </c>
      <c r="L20" s="20">
        <v>40.468299999999999</v>
      </c>
      <c r="M20" s="20">
        <v>41.728000000000002</v>
      </c>
      <c r="N20" s="20">
        <v>4.3571999999999997</v>
      </c>
      <c r="O20" s="20">
        <f t="shared" si="1"/>
        <v>36.595337499999999</v>
      </c>
      <c r="P20" s="7"/>
      <c r="Q20" s="13"/>
      <c r="R20" s="14"/>
      <c r="S20" s="14"/>
      <c r="T20" s="27"/>
      <c r="U20" s="28">
        <f t="shared" si="2"/>
        <v>-0.34591166000000012</v>
      </c>
    </row>
    <row r="21" spans="1:21" x14ac:dyDescent="0.25">
      <c r="B21" s="6" t="s">
        <v>49</v>
      </c>
      <c r="C21" s="15">
        <v>2269.1201171875</v>
      </c>
      <c r="D21" s="16">
        <v>36.813800000000001</v>
      </c>
      <c r="E21" s="16">
        <v>40.293799999999997</v>
      </c>
      <c r="F21" s="16">
        <v>41.335799999999999</v>
      </c>
      <c r="G21" s="16">
        <v>3.6898099747862987</v>
      </c>
      <c r="H21" s="16">
        <f t="shared" si="0"/>
        <v>37.814050000000002</v>
      </c>
      <c r="I21" s="5"/>
      <c r="J21" s="15">
        <v>2543.0888</v>
      </c>
      <c r="K21" s="16">
        <v>36.859499999999997</v>
      </c>
      <c r="L21" s="16">
        <v>40.969099999999997</v>
      </c>
      <c r="M21" s="16">
        <v>42.319699999999997</v>
      </c>
      <c r="N21" s="16">
        <v>2.4317000000000002</v>
      </c>
      <c r="O21" s="16">
        <f t="shared" si="1"/>
        <v>38.055724999999995</v>
      </c>
      <c r="P21" s="7"/>
      <c r="Q21" s="8">
        <f>bdrate(C21:C24,D21:D24,J21:J24,K21:K24)</f>
        <v>5.9315225876559463E-2</v>
      </c>
      <c r="R21" s="8">
        <f>bdrate(C21:C24,E21:E24,J21:J24,L21:L24)</f>
        <v>-0.22808574319005959</v>
      </c>
      <c r="S21" s="8">
        <f>bdrate(C21:C24,F21:F24,J21:J24,M21:M24)</f>
        <v>-0.26913361226124266</v>
      </c>
      <c r="T21" s="25">
        <f>bdrate(C21:C24,H21:H24,J21:J24,O21:O24)</f>
        <v>1.3976782301243773E-3</v>
      </c>
      <c r="U21" s="28">
        <f t="shared" si="2"/>
        <v>-0.34096877166666667</v>
      </c>
    </row>
    <row r="22" spans="1:21" x14ac:dyDescent="0.25">
      <c r="B22" s="9"/>
      <c r="C22" s="17">
        <v>1518.53515625</v>
      </c>
      <c r="D22" s="18">
        <v>35.484900000000003</v>
      </c>
      <c r="E22" s="18">
        <v>39.444299999999998</v>
      </c>
      <c r="F22" s="18">
        <v>40.551699999999997</v>
      </c>
      <c r="G22" s="18">
        <v>4.5539068726044558</v>
      </c>
      <c r="H22" s="18">
        <f t="shared" si="0"/>
        <v>36.613174999999998</v>
      </c>
      <c r="I22" s="5"/>
      <c r="J22" s="17">
        <v>1649.9695999999999</v>
      </c>
      <c r="K22" s="18">
        <v>35.557000000000002</v>
      </c>
      <c r="L22" s="18">
        <v>40.092799999999997</v>
      </c>
      <c r="M22" s="18">
        <v>41.321300000000001</v>
      </c>
      <c r="N22" s="18">
        <v>2.9725999999999999</v>
      </c>
      <c r="O22" s="18">
        <f t="shared" si="1"/>
        <v>36.8445125</v>
      </c>
      <c r="P22" s="7"/>
      <c r="Q22" s="10"/>
      <c r="R22" s="11"/>
      <c r="S22" s="11"/>
      <c r="T22" s="26"/>
      <c r="U22" s="28">
        <f t="shared" si="2"/>
        <v>-0.34724181166666679</v>
      </c>
    </row>
    <row r="23" spans="1:21" x14ac:dyDescent="0.25">
      <c r="B23" s="9"/>
      <c r="C23" s="17">
        <v>948.263671875</v>
      </c>
      <c r="D23" s="18">
        <v>33.958300000000001</v>
      </c>
      <c r="E23" s="18">
        <v>38.4679</v>
      </c>
      <c r="F23" s="18">
        <v>39.7408</v>
      </c>
      <c r="G23" s="18">
        <v>5.743687926289339</v>
      </c>
      <c r="H23" s="18">
        <f t="shared" si="0"/>
        <v>35.244812499999995</v>
      </c>
      <c r="I23" s="5"/>
      <c r="J23" s="17">
        <v>1031.624</v>
      </c>
      <c r="K23" s="18">
        <v>34.062399999999997</v>
      </c>
      <c r="L23" s="18">
        <v>39.180100000000003</v>
      </c>
      <c r="M23" s="18">
        <v>40.421300000000002</v>
      </c>
      <c r="N23" s="18">
        <v>3.7787999999999999</v>
      </c>
      <c r="O23" s="18">
        <f t="shared" si="1"/>
        <v>35.496974999999999</v>
      </c>
      <c r="P23" s="7"/>
      <c r="Q23" s="10"/>
      <c r="R23" s="11"/>
      <c r="S23" s="11"/>
      <c r="T23" s="26"/>
      <c r="U23" s="28">
        <f t="shared" si="2"/>
        <v>-0.34209517500000008</v>
      </c>
    </row>
    <row r="24" spans="1:21" ht="16.5" thickBot="1" x14ac:dyDescent="0.3">
      <c r="B24" s="12"/>
      <c r="C24" s="19">
        <v>565.5625</v>
      </c>
      <c r="D24" s="20">
        <v>32.299500000000002</v>
      </c>
      <c r="E24" s="20">
        <v>37.6188</v>
      </c>
      <c r="F24" s="20">
        <v>39.109299999999998</v>
      </c>
      <c r="G24" s="20">
        <v>7.4780332772480831</v>
      </c>
      <c r="H24" s="20">
        <f t="shared" si="0"/>
        <v>33.815637500000001</v>
      </c>
      <c r="I24" s="5"/>
      <c r="J24" s="19">
        <v>612.3768</v>
      </c>
      <c r="K24" s="20">
        <v>32.438200000000002</v>
      </c>
      <c r="L24" s="20">
        <v>38.191499999999998</v>
      </c>
      <c r="M24" s="20">
        <v>39.534100000000002</v>
      </c>
      <c r="N24" s="20">
        <v>4.8981000000000003</v>
      </c>
      <c r="O24" s="20">
        <f t="shared" si="1"/>
        <v>34.044350000000001</v>
      </c>
      <c r="P24" s="7"/>
      <c r="Q24" s="13"/>
      <c r="R24" s="14"/>
      <c r="S24" s="14"/>
      <c r="T24" s="27"/>
      <c r="U24" s="28">
        <f t="shared" si="2"/>
        <v>-0.34500157749999988</v>
      </c>
    </row>
    <row r="25" spans="1:21" x14ac:dyDescent="0.25">
      <c r="B25" s="6" t="s">
        <v>50</v>
      </c>
      <c r="C25" s="15">
        <v>2300.8251953125</v>
      </c>
      <c r="D25" s="16">
        <v>34.587499999999999</v>
      </c>
      <c r="E25" s="16">
        <v>38.1599</v>
      </c>
      <c r="F25" s="16">
        <v>40.179200000000002</v>
      </c>
      <c r="G25" s="16">
        <v>4.4597861086582284</v>
      </c>
      <c r="H25" s="16">
        <f t="shared" si="0"/>
        <v>35.733012499999994</v>
      </c>
      <c r="I25" s="5"/>
      <c r="J25" s="15">
        <v>2404.0432000000001</v>
      </c>
      <c r="K25" s="16">
        <v>35.149799999999999</v>
      </c>
      <c r="L25" s="16">
        <v>38.841200000000001</v>
      </c>
      <c r="M25" s="16">
        <v>41.401200000000003</v>
      </c>
      <c r="N25" s="16">
        <v>3.2179000000000002</v>
      </c>
      <c r="O25" s="16">
        <f t="shared" si="1"/>
        <v>36.392650000000003</v>
      </c>
      <c r="P25" s="7"/>
      <c r="Q25" s="8">
        <f>bdrate(C25:C28,D25:D28,J25:J28,K25:K28)</f>
        <v>-0.17114534337379428</v>
      </c>
      <c r="R25" s="8">
        <f>bdrate(C25:C28,E25:E28,J25:J28,L25:L28)</f>
        <v>-0.4438333402508281</v>
      </c>
      <c r="S25" s="8">
        <f>bdrate(C25:C28,F25:F28,J25:J28,M25:M28)</f>
        <v>-0.41981825160730635</v>
      </c>
      <c r="T25" s="25">
        <f>bdrate(C25:C28,H25:H28,J25:J28,O25:O28)</f>
        <v>-0.21341160849261998</v>
      </c>
      <c r="U25" s="28">
        <f t="shared" si="2"/>
        <v>-0.27846315459999993</v>
      </c>
    </row>
    <row r="26" spans="1:21" x14ac:dyDescent="0.25">
      <c r="B26" s="9"/>
      <c r="C26" s="17">
        <v>1533.79296875</v>
      </c>
      <c r="D26" s="18">
        <v>33.302900000000001</v>
      </c>
      <c r="E26" s="18">
        <v>37.682899999999997</v>
      </c>
      <c r="F26" s="18">
        <v>39.335999999999999</v>
      </c>
      <c r="G26" s="18">
        <v>5.4810738519890814</v>
      </c>
      <c r="H26" s="18">
        <f t="shared" si="0"/>
        <v>34.604537499999999</v>
      </c>
      <c r="I26" s="5"/>
      <c r="J26" s="17">
        <v>1600.6288</v>
      </c>
      <c r="K26" s="18">
        <v>34.026499999999999</v>
      </c>
      <c r="L26" s="18">
        <v>38.412799999999997</v>
      </c>
      <c r="M26" s="18">
        <v>40.575099999999999</v>
      </c>
      <c r="N26" s="18">
        <v>3.9579</v>
      </c>
      <c r="O26" s="18">
        <f t="shared" si="1"/>
        <v>35.393362500000002</v>
      </c>
      <c r="P26" s="7"/>
      <c r="Q26" s="10"/>
      <c r="R26" s="11"/>
      <c r="S26" s="11"/>
      <c r="T26" s="26"/>
      <c r="U26" s="28">
        <f t="shared" si="2"/>
        <v>-0.27789697659999996</v>
      </c>
    </row>
    <row r="27" spans="1:21" x14ac:dyDescent="0.25">
      <c r="B27" s="9"/>
      <c r="C27" s="17">
        <v>960.15234375</v>
      </c>
      <c r="D27" s="18">
        <v>31.739799999999999</v>
      </c>
      <c r="E27" s="18">
        <v>37.1297</v>
      </c>
      <c r="F27" s="18">
        <v>38.435699999999997</v>
      </c>
      <c r="G27" s="18">
        <v>6.96495235972586</v>
      </c>
      <c r="H27" s="18">
        <f t="shared" si="0"/>
        <v>33.250524999999996</v>
      </c>
      <c r="I27" s="5"/>
      <c r="J27" s="17">
        <v>1000.088</v>
      </c>
      <c r="K27" s="18">
        <v>32.510300000000001</v>
      </c>
      <c r="L27" s="18">
        <v>37.887</v>
      </c>
      <c r="M27" s="18">
        <v>39.589100000000002</v>
      </c>
      <c r="N27" s="18">
        <v>5.0145999999999997</v>
      </c>
      <c r="O27" s="18">
        <f t="shared" si="1"/>
        <v>34.067237500000005</v>
      </c>
      <c r="P27" s="7"/>
      <c r="Q27" s="10"/>
      <c r="R27" s="11"/>
      <c r="S27" s="11"/>
      <c r="T27" s="26"/>
      <c r="U27" s="28">
        <f t="shared" si="2"/>
        <v>-0.28002379040000008</v>
      </c>
    </row>
    <row r="28" spans="1:21" ht="16.5" thickBot="1" x14ac:dyDescent="0.3">
      <c r="B28" s="12"/>
      <c r="C28" s="19">
        <v>576.4541015625</v>
      </c>
      <c r="D28" s="20">
        <v>29.915500000000002</v>
      </c>
      <c r="E28" s="20">
        <v>36.467199999999998</v>
      </c>
      <c r="F28" s="20">
        <v>37.341700000000003</v>
      </c>
      <c r="G28" s="20">
        <v>9.2341219273459281</v>
      </c>
      <c r="H28" s="20">
        <f t="shared" si="0"/>
        <v>31.662737499999999</v>
      </c>
      <c r="I28" s="5"/>
      <c r="J28" s="19">
        <v>590.56079999999997</v>
      </c>
      <c r="K28" s="20">
        <v>30.7319</v>
      </c>
      <c r="L28" s="20">
        <v>37.206299999999999</v>
      </c>
      <c r="M28" s="20">
        <v>38.508200000000002</v>
      </c>
      <c r="N28" s="20">
        <v>6.6337999999999999</v>
      </c>
      <c r="O28" s="20">
        <f t="shared" si="1"/>
        <v>32.513237500000002</v>
      </c>
      <c r="P28" s="7"/>
      <c r="Q28" s="13"/>
      <c r="R28" s="14"/>
      <c r="S28" s="14"/>
      <c r="T28" s="27"/>
      <c r="U28" s="28">
        <f t="shared" si="2"/>
        <v>-0.28159926279999997</v>
      </c>
    </row>
    <row r="29" spans="1:21" x14ac:dyDescent="0.25">
      <c r="B29" s="6" t="s">
        <v>51</v>
      </c>
      <c r="C29" s="29">
        <v>2291.212890625</v>
      </c>
      <c r="D29" s="30">
        <v>35.055399999999999</v>
      </c>
      <c r="E29" s="30">
        <v>41.005000000000003</v>
      </c>
      <c r="F29" s="30">
        <v>40.771500000000003</v>
      </c>
      <c r="G29" s="16">
        <v>3.8843097193197793</v>
      </c>
      <c r="H29" s="16">
        <f t="shared" si="0"/>
        <v>36.513612500000001</v>
      </c>
      <c r="I29" s="5"/>
      <c r="J29" s="29">
        <v>2444.6055999999999</v>
      </c>
      <c r="K29" s="30">
        <v>34.910299999999999</v>
      </c>
      <c r="L29" s="30">
        <v>41.388100000000001</v>
      </c>
      <c r="M29" s="30">
        <v>41.192999999999998</v>
      </c>
      <c r="N29" s="16">
        <v>2.6873999999999998</v>
      </c>
      <c r="O29" s="16">
        <f t="shared" si="1"/>
        <v>36.505362499999997</v>
      </c>
      <c r="P29" s="7"/>
      <c r="Q29" s="8">
        <f>bdrate(C29:C32,D29:D32,J29:J32,K29:K32)</f>
        <v>0.10375809270444636</v>
      </c>
      <c r="R29" s="8">
        <f>bdrate(C29:C32,E29:E32,J29:J32,L29:L32)</f>
        <v>-0.16886085510188265</v>
      </c>
      <c r="S29" s="8">
        <f>bdrate(C29:C32,F29:F32,J29:J32,M29:M32)</f>
        <v>-0.12940764161064033</v>
      </c>
      <c r="T29" s="25">
        <f>bdrate(C29:C32,H29:H32,J29:J32,O29:O32)</f>
        <v>5.7221873483073171E-2</v>
      </c>
      <c r="U29" s="28">
        <f t="shared" si="2"/>
        <v>-0.30813961959999997</v>
      </c>
    </row>
    <row r="30" spans="1:21" x14ac:dyDescent="0.25">
      <c r="B30" s="9"/>
      <c r="C30" s="31">
        <v>1526.27734375</v>
      </c>
      <c r="D30" s="32">
        <v>33.748399999999997</v>
      </c>
      <c r="E30" s="32">
        <v>40.275599999999997</v>
      </c>
      <c r="F30" s="32">
        <v>39.755299999999998</v>
      </c>
      <c r="G30" s="18">
        <v>4.844726515188218</v>
      </c>
      <c r="H30" s="18">
        <f t="shared" si="0"/>
        <v>35.315162499999992</v>
      </c>
      <c r="I30" s="5"/>
      <c r="J30" s="31">
        <v>1630.3864000000001</v>
      </c>
      <c r="K30" s="32">
        <v>33.611699999999999</v>
      </c>
      <c r="L30" s="32">
        <v>40.707799999999999</v>
      </c>
      <c r="M30" s="32">
        <v>40.248399999999997</v>
      </c>
      <c r="N30" s="18">
        <v>3.2993999999999999</v>
      </c>
      <c r="O30" s="18">
        <f t="shared" si="1"/>
        <v>35.328299999999999</v>
      </c>
      <c r="P30" s="7"/>
      <c r="Q30" s="10"/>
      <c r="R30" s="11"/>
      <c r="S30" s="11"/>
      <c r="T30" s="26"/>
      <c r="U30" s="28">
        <f t="shared" si="2"/>
        <v>-0.31897084600000009</v>
      </c>
    </row>
    <row r="31" spans="1:21" x14ac:dyDescent="0.25">
      <c r="B31" s="9"/>
      <c r="C31" s="31">
        <v>955.7216796875</v>
      </c>
      <c r="D31" s="32">
        <v>32.0989</v>
      </c>
      <c r="E31" s="32">
        <v>39.539099999999998</v>
      </c>
      <c r="F31" s="32">
        <v>38.625799999999998</v>
      </c>
      <c r="G31" s="18">
        <v>6.3348874923981349</v>
      </c>
      <c r="H31" s="18">
        <f t="shared" si="0"/>
        <v>33.844787499999995</v>
      </c>
      <c r="I31" s="5"/>
      <c r="J31" s="31">
        <v>1012.0696</v>
      </c>
      <c r="K31" s="32">
        <v>31.9575</v>
      </c>
      <c r="L31" s="32">
        <v>39.954900000000002</v>
      </c>
      <c r="M31" s="32">
        <v>39.1494</v>
      </c>
      <c r="N31" s="18">
        <v>4.2602000000000002</v>
      </c>
      <c r="O31" s="18">
        <f t="shared" si="1"/>
        <v>33.856162500000003</v>
      </c>
      <c r="P31" s="7"/>
      <c r="Q31" s="10"/>
      <c r="R31" s="11"/>
      <c r="S31" s="11"/>
      <c r="T31" s="26"/>
      <c r="U31" s="28">
        <f t="shared" si="2"/>
        <v>-0.32750186879999993</v>
      </c>
    </row>
    <row r="32" spans="1:21" ht="16.5" thickBot="1" x14ac:dyDescent="0.3">
      <c r="B32" s="12"/>
      <c r="C32" s="33">
        <v>572.798828125</v>
      </c>
      <c r="D32" s="34">
        <v>30.206900000000001</v>
      </c>
      <c r="E32" s="34">
        <v>38.494100000000003</v>
      </c>
      <c r="F32" s="34">
        <v>37.230699999999999</v>
      </c>
      <c r="G32" s="20">
        <v>8.4788875699508228</v>
      </c>
      <c r="H32" s="20">
        <f t="shared" si="0"/>
        <v>32.120775000000002</v>
      </c>
      <c r="I32" s="5"/>
      <c r="J32" s="33">
        <v>606.97519999999997</v>
      </c>
      <c r="K32" s="34">
        <v>30.1326</v>
      </c>
      <c r="L32" s="34">
        <v>38.974699999999999</v>
      </c>
      <c r="M32" s="34">
        <v>37.698799999999999</v>
      </c>
      <c r="N32" s="20">
        <v>5.5957999999999997</v>
      </c>
      <c r="O32" s="20">
        <f t="shared" si="1"/>
        <v>32.183637500000003</v>
      </c>
      <c r="P32" s="7"/>
      <c r="Q32" s="13"/>
      <c r="R32" s="14"/>
      <c r="S32" s="14"/>
      <c r="T32" s="27"/>
      <c r="U32" s="28">
        <f t="shared" si="2"/>
        <v>-0.34003134800000007</v>
      </c>
    </row>
    <row r="33" spans="1:21" x14ac:dyDescent="0.25">
      <c r="B33" s="6" t="s">
        <v>52</v>
      </c>
      <c r="C33" s="15">
        <v>2297.48828125</v>
      </c>
      <c r="D33" s="16">
        <v>33.968499999999999</v>
      </c>
      <c r="E33" s="16">
        <v>39.957999999999998</v>
      </c>
      <c r="F33" s="16">
        <v>42.471499999999999</v>
      </c>
      <c r="G33" s="16">
        <v>7.7653819273677955</v>
      </c>
      <c r="H33" s="16">
        <f t="shared" si="0"/>
        <v>35.7800625</v>
      </c>
      <c r="I33" s="5"/>
      <c r="J33" s="15">
        <v>2385.8791999999999</v>
      </c>
      <c r="K33" s="16">
        <v>34.146000000000001</v>
      </c>
      <c r="L33" s="16">
        <v>40.4786</v>
      </c>
      <c r="M33" s="16">
        <v>42.939799999999998</v>
      </c>
      <c r="N33" s="16">
        <v>3.9817</v>
      </c>
      <c r="O33" s="16">
        <f t="shared" si="1"/>
        <v>36.036799999999999</v>
      </c>
      <c r="P33" s="7"/>
      <c r="Q33" s="8">
        <f>bdrate(C33:C36,D33:D36,J33:J36,K33:K36)</f>
        <v>-8.8797130602349839E-2</v>
      </c>
      <c r="R33" s="8">
        <f>bdrate(C33:C36,E33:E36,J33:J36,L33:L36)</f>
        <v>-0.29348522804581212</v>
      </c>
      <c r="S33" s="8">
        <f>bdrate(C33:C36,F33:F36,J33:J36,M33:M36)</f>
        <v>-0.26441140257571283</v>
      </c>
      <c r="T33" s="25">
        <f>bdrate(C33:C36,H33:H36,J33:J36,O33:O36)</f>
        <v>-0.1217411950041758</v>
      </c>
      <c r="U33" s="28">
        <f t="shared" si="2"/>
        <v>-0.48724994633333341</v>
      </c>
    </row>
    <row r="34" spans="1:21" x14ac:dyDescent="0.25">
      <c r="B34" s="9"/>
      <c r="C34" s="17">
        <v>1534.548828125</v>
      </c>
      <c r="D34" s="18">
        <v>33.2941</v>
      </c>
      <c r="E34" s="18">
        <v>39.467799999999997</v>
      </c>
      <c r="F34" s="18">
        <v>42.067</v>
      </c>
      <c r="G34" s="18">
        <v>9.5704464613274212</v>
      </c>
      <c r="H34" s="18">
        <f t="shared" si="0"/>
        <v>35.162424999999999</v>
      </c>
      <c r="I34" s="5"/>
      <c r="J34" s="17">
        <v>1581.0111999999999</v>
      </c>
      <c r="K34" s="18">
        <v>33.521299999999997</v>
      </c>
      <c r="L34" s="18">
        <v>40.008499999999998</v>
      </c>
      <c r="M34" s="18">
        <v>42.466200000000001</v>
      </c>
      <c r="N34" s="18">
        <v>5.0625</v>
      </c>
      <c r="O34" s="18">
        <f t="shared" si="1"/>
        <v>35.450312499999995</v>
      </c>
      <c r="P34" s="7"/>
      <c r="Q34" s="10"/>
      <c r="R34" s="11"/>
      <c r="S34" s="11"/>
      <c r="T34" s="26"/>
      <c r="U34" s="28">
        <f t="shared" si="2"/>
        <v>-0.47102781250000003</v>
      </c>
    </row>
    <row r="35" spans="1:21" x14ac:dyDescent="0.25">
      <c r="B35" s="9"/>
      <c r="C35" s="17">
        <v>955.625</v>
      </c>
      <c r="D35" s="18">
        <v>32.279400000000003</v>
      </c>
      <c r="E35" s="18">
        <v>38.863700000000001</v>
      </c>
      <c r="F35" s="18">
        <v>41.516100000000002</v>
      </c>
      <c r="G35" s="18">
        <v>12.005282324222657</v>
      </c>
      <c r="H35" s="18">
        <f t="shared" si="0"/>
        <v>34.257024999999999</v>
      </c>
      <c r="I35" s="5"/>
      <c r="J35" s="17">
        <v>980.73440000000005</v>
      </c>
      <c r="K35" s="18">
        <v>32.565199999999997</v>
      </c>
      <c r="L35" s="18">
        <v>39.2958</v>
      </c>
      <c r="M35" s="18">
        <v>41.865200000000002</v>
      </c>
      <c r="N35" s="18">
        <v>6.8319000000000001</v>
      </c>
      <c r="O35" s="18">
        <f t="shared" si="1"/>
        <v>34.569024999999996</v>
      </c>
      <c r="P35" s="7"/>
      <c r="Q35" s="10"/>
      <c r="R35" s="11"/>
      <c r="S35" s="11"/>
      <c r="T35" s="26"/>
      <c r="U35" s="28">
        <f t="shared" si="2"/>
        <v>-0.43092550299999993</v>
      </c>
    </row>
    <row r="36" spans="1:21" ht="16.5" thickBot="1" x14ac:dyDescent="0.3">
      <c r="B36" s="12"/>
      <c r="C36" s="19">
        <v>572.73046875</v>
      </c>
      <c r="D36" s="20">
        <v>30.8904</v>
      </c>
      <c r="E36" s="20">
        <v>38.317599999999999</v>
      </c>
      <c r="F36" s="20">
        <v>40.997700000000002</v>
      </c>
      <c r="G36" s="20">
        <v>15.25514225420152</v>
      </c>
      <c r="H36" s="20">
        <f t="shared" si="0"/>
        <v>33.082212499999997</v>
      </c>
      <c r="I36" s="5"/>
      <c r="J36" s="19">
        <v>578.95759999999996</v>
      </c>
      <c r="K36" s="20">
        <v>31.156700000000001</v>
      </c>
      <c r="L36" s="20">
        <v>38.713900000000002</v>
      </c>
      <c r="M36" s="20">
        <v>41.361699999999999</v>
      </c>
      <c r="N36" s="20">
        <v>9.2546999999999997</v>
      </c>
      <c r="O36" s="20">
        <f t="shared" si="1"/>
        <v>33.376975000000002</v>
      </c>
      <c r="P36" s="7"/>
      <c r="Q36" s="13"/>
      <c r="R36" s="14"/>
      <c r="S36" s="14"/>
      <c r="T36" s="27"/>
      <c r="U36" s="28">
        <f t="shared" si="2"/>
        <v>-0.39333899049999999</v>
      </c>
    </row>
    <row r="37" spans="1:21" x14ac:dyDescent="0.25">
      <c r="A37" s="6" t="s">
        <v>39</v>
      </c>
      <c r="B37" s="6" t="s">
        <v>53</v>
      </c>
      <c r="C37" s="15">
        <v>1148.5625</v>
      </c>
      <c r="D37" s="16">
        <v>36.118299999999998</v>
      </c>
      <c r="E37" s="16">
        <v>40.017299999999999</v>
      </c>
      <c r="F37" s="16">
        <v>40.011699999999998</v>
      </c>
      <c r="G37" s="16">
        <v>12.565655550250058</v>
      </c>
      <c r="H37" s="16">
        <f t="shared" si="0"/>
        <v>37.092349999999996</v>
      </c>
      <c r="I37" s="5"/>
      <c r="J37" s="15">
        <v>1200.9512</v>
      </c>
      <c r="K37" s="16">
        <v>37.038400000000003</v>
      </c>
      <c r="L37" s="16">
        <v>41.273800000000001</v>
      </c>
      <c r="M37" s="16">
        <v>41.356900000000003</v>
      </c>
      <c r="N37" s="16">
        <v>8.5427999999999997</v>
      </c>
      <c r="O37" s="16">
        <f t="shared" si="1"/>
        <v>38.107637500000003</v>
      </c>
      <c r="P37" s="7"/>
      <c r="Q37" s="8">
        <f>bdrate(C37:C40,D37:D40,J37:J40,K37:K40)</f>
        <v>-0.12360296218651201</v>
      </c>
      <c r="R37" s="8">
        <f>bdrate(C37:C40,E37:E40,J37:J40,L37:L40)</f>
        <v>-0.30669572791264144</v>
      </c>
      <c r="S37" s="8">
        <f>bdrate(C37:C40,F37:F40,J37:J40,M37:M40)</f>
        <v>-0.30040083678914298</v>
      </c>
      <c r="T37" s="25">
        <f>bdrate(C37:C40,H37:H40,J37:J40,O37:O40)</f>
        <v>-0.16281061300498234</v>
      </c>
      <c r="U37" s="28">
        <f t="shared" si="2"/>
        <v>-0.32014689040000011</v>
      </c>
    </row>
    <row r="38" spans="1:21" x14ac:dyDescent="0.25">
      <c r="A38" s="9" t="s">
        <v>40</v>
      </c>
      <c r="B38" s="9"/>
      <c r="C38" s="17">
        <v>767.650390625</v>
      </c>
      <c r="D38" s="18">
        <v>34.4696</v>
      </c>
      <c r="E38" s="18">
        <v>38.7714</v>
      </c>
      <c r="F38" s="18">
        <v>38.596200000000003</v>
      </c>
      <c r="G38" s="18">
        <v>15.574868392362085</v>
      </c>
      <c r="H38" s="18">
        <f t="shared" si="0"/>
        <v>35.523150000000001</v>
      </c>
      <c r="I38" s="5"/>
      <c r="J38" s="17">
        <v>796.54319999999996</v>
      </c>
      <c r="K38" s="18">
        <v>35.194299999999998</v>
      </c>
      <c r="L38" s="18">
        <v>39.956800000000001</v>
      </c>
      <c r="M38" s="18">
        <v>39.8703</v>
      </c>
      <c r="N38" s="18">
        <v>10.1943</v>
      </c>
      <c r="O38" s="18">
        <f t="shared" si="1"/>
        <v>36.374112499999995</v>
      </c>
      <c r="P38" s="7"/>
      <c r="Q38" s="10"/>
      <c r="R38" s="11"/>
      <c r="S38" s="11"/>
      <c r="T38" s="26"/>
      <c r="U38" s="28">
        <f t="shared" si="2"/>
        <v>-0.34546477419999999</v>
      </c>
    </row>
    <row r="39" spans="1:21" x14ac:dyDescent="0.25">
      <c r="B39" s="9"/>
      <c r="C39" s="17">
        <v>480.12890625</v>
      </c>
      <c r="D39" s="18">
        <v>32.5886</v>
      </c>
      <c r="E39" s="18">
        <v>37.465000000000003</v>
      </c>
      <c r="F39" s="18">
        <v>37.055700000000002</v>
      </c>
      <c r="G39" s="18">
        <v>20.472505425213939</v>
      </c>
      <c r="H39" s="18">
        <f t="shared" si="0"/>
        <v>33.7565375</v>
      </c>
      <c r="I39" s="5"/>
      <c r="J39" s="17">
        <v>503.3904</v>
      </c>
      <c r="K39" s="18">
        <v>33.272799999999997</v>
      </c>
      <c r="L39" s="18">
        <v>38.624400000000001</v>
      </c>
      <c r="M39" s="18">
        <v>38.3932</v>
      </c>
      <c r="N39" s="18">
        <v>12.4716</v>
      </c>
      <c r="O39" s="18">
        <f t="shared" si="1"/>
        <v>34.581800000000001</v>
      </c>
      <c r="P39" s="7"/>
      <c r="Q39" s="10"/>
      <c r="R39" s="11"/>
      <c r="S39" s="11"/>
      <c r="T39" s="26"/>
      <c r="U39" s="28">
        <f t="shared" si="2"/>
        <v>-0.39081222640000002</v>
      </c>
    </row>
    <row r="40" spans="1:21" ht="16.5" thickBot="1" x14ac:dyDescent="0.3">
      <c r="B40" s="12"/>
      <c r="C40" s="19">
        <v>288.2529296875</v>
      </c>
      <c r="D40" s="20">
        <v>30.597000000000001</v>
      </c>
      <c r="E40" s="20">
        <v>36.152799999999999</v>
      </c>
      <c r="F40" s="20">
        <v>35.491900000000001</v>
      </c>
      <c r="G40" s="20">
        <v>28.367184840576421</v>
      </c>
      <c r="H40" s="20">
        <f t="shared" si="0"/>
        <v>31.903337499999999</v>
      </c>
      <c r="I40" s="5"/>
      <c r="J40" s="19">
        <v>299.85039999999998</v>
      </c>
      <c r="K40" s="20">
        <v>31.249300000000002</v>
      </c>
      <c r="L40" s="20">
        <v>37.197200000000002</v>
      </c>
      <c r="M40" s="20">
        <v>36.761099999999999</v>
      </c>
      <c r="N40" s="20">
        <v>16.239000000000001</v>
      </c>
      <c r="O40" s="20">
        <f t="shared" si="1"/>
        <v>32.681762500000005</v>
      </c>
      <c r="P40" s="7"/>
      <c r="Q40" s="13"/>
      <c r="R40" s="14"/>
      <c r="S40" s="14"/>
      <c r="T40" s="27"/>
      <c r="U40" s="28">
        <f t="shared" si="2"/>
        <v>-0.42754277199999996</v>
      </c>
    </row>
    <row r="41" spans="1:21" x14ac:dyDescent="0.25">
      <c r="B41" s="6" t="s">
        <v>54</v>
      </c>
      <c r="C41" s="15">
        <v>1202.9140625</v>
      </c>
      <c r="D41" s="16">
        <v>36.354199999999999</v>
      </c>
      <c r="E41" s="16">
        <v>41.282299999999999</v>
      </c>
      <c r="F41" s="16">
        <v>42.326300000000003</v>
      </c>
      <c r="G41" s="16">
        <v>16.536670065871068</v>
      </c>
      <c r="H41" s="16">
        <f t="shared" si="0"/>
        <v>37.716725000000004</v>
      </c>
      <c r="I41" s="5"/>
      <c r="J41" s="15">
        <v>1209.4559999999999</v>
      </c>
      <c r="K41" s="16">
        <v>36.407899999999998</v>
      </c>
      <c r="L41" s="16">
        <v>41.886699999999998</v>
      </c>
      <c r="M41" s="16">
        <v>42.967399999999998</v>
      </c>
      <c r="N41" s="16">
        <v>10.727499999999999</v>
      </c>
      <c r="O41" s="16">
        <f t="shared" si="1"/>
        <v>37.912687499999997</v>
      </c>
      <c r="P41" s="7"/>
      <c r="Q41" s="8">
        <f>bdrate(C41:C44,D41:D44,J41:J44,K41:K44)</f>
        <v>-4.862855241546904E-2</v>
      </c>
      <c r="R41" s="8">
        <f>bdrate(C41:C44,E41:E44,J41:J44,L41:L44)</f>
        <v>-0.22502401031569619</v>
      </c>
      <c r="S41" s="8">
        <f>bdrate(C41:C44,F41:F44,J41:J44,M41:M44)</f>
        <v>-0.20975266035268636</v>
      </c>
      <c r="T41" s="25">
        <f>bdrate(C41:C44,H41:H44,J41:J44,O41:O44)</f>
        <v>-7.9830371114621212E-2</v>
      </c>
      <c r="U41" s="28">
        <f t="shared" si="2"/>
        <v>-0.35129019583333332</v>
      </c>
    </row>
    <row r="42" spans="1:21" x14ac:dyDescent="0.25">
      <c r="B42" s="9"/>
      <c r="C42" s="17">
        <v>803.173828125</v>
      </c>
      <c r="D42" s="18">
        <v>34.702800000000003</v>
      </c>
      <c r="E42" s="18">
        <v>40.269100000000002</v>
      </c>
      <c r="F42" s="18">
        <v>41.172600000000003</v>
      </c>
      <c r="G42" s="18">
        <v>20.483408439164275</v>
      </c>
      <c r="H42" s="18">
        <f t="shared" si="0"/>
        <v>36.207312500000008</v>
      </c>
      <c r="I42" s="5"/>
      <c r="J42" s="17">
        <v>806.68799999999999</v>
      </c>
      <c r="K42" s="18">
        <v>34.881900000000002</v>
      </c>
      <c r="L42" s="18">
        <v>40.927399999999999</v>
      </c>
      <c r="M42" s="18">
        <v>41.8367</v>
      </c>
      <c r="N42" s="18">
        <v>12.9427</v>
      </c>
      <c r="O42" s="18">
        <f t="shared" si="1"/>
        <v>36.506937499999999</v>
      </c>
      <c r="P42" s="7"/>
      <c r="Q42" s="10"/>
      <c r="R42" s="11"/>
      <c r="S42" s="11"/>
      <c r="T42" s="26"/>
      <c r="U42" s="28">
        <f t="shared" si="2"/>
        <v>-0.36813738599999996</v>
      </c>
    </row>
    <row r="43" spans="1:21" x14ac:dyDescent="0.25">
      <c r="B43" s="9"/>
      <c r="C43" s="17">
        <v>502.5068359375</v>
      </c>
      <c r="D43" s="18">
        <v>32.747300000000003</v>
      </c>
      <c r="E43" s="18">
        <v>39.2074</v>
      </c>
      <c r="F43" s="18">
        <v>39.951500000000003</v>
      </c>
      <c r="G43" s="18">
        <v>26.101709661982863</v>
      </c>
      <c r="H43" s="18">
        <f t="shared" si="0"/>
        <v>34.455337500000006</v>
      </c>
      <c r="I43" s="5"/>
      <c r="J43" s="17">
        <v>504.4744</v>
      </c>
      <c r="K43" s="18">
        <v>33.014499999999998</v>
      </c>
      <c r="L43" s="18">
        <v>39.7958</v>
      </c>
      <c r="M43" s="18">
        <v>40.570500000000003</v>
      </c>
      <c r="N43" s="18">
        <v>16.0501</v>
      </c>
      <c r="O43" s="18">
        <f t="shared" si="1"/>
        <v>34.806662499999995</v>
      </c>
      <c r="P43" s="7"/>
      <c r="Q43" s="10"/>
      <c r="R43" s="11"/>
      <c r="S43" s="11"/>
      <c r="T43" s="26"/>
      <c r="U43" s="28">
        <f t="shared" si="2"/>
        <v>-0.38509391883333338</v>
      </c>
    </row>
    <row r="44" spans="1:21" ht="16.5" thickBot="1" x14ac:dyDescent="0.3">
      <c r="B44" s="12"/>
      <c r="C44" s="19">
        <v>301.5087890625</v>
      </c>
      <c r="D44" s="20">
        <v>30.570399999999999</v>
      </c>
      <c r="E44" s="20">
        <v>38.0535</v>
      </c>
      <c r="F44" s="20">
        <v>38.634300000000003</v>
      </c>
      <c r="G44" s="20">
        <v>34.73026163463765</v>
      </c>
      <c r="H44" s="20">
        <f t="shared" si="0"/>
        <v>32.513774999999995</v>
      </c>
      <c r="I44" s="5"/>
      <c r="J44" s="19">
        <v>304.28640000000001</v>
      </c>
      <c r="K44" s="20">
        <v>30.918600000000001</v>
      </c>
      <c r="L44" s="20">
        <v>38.594200000000001</v>
      </c>
      <c r="M44" s="20">
        <v>39.275799999999997</v>
      </c>
      <c r="N44" s="20">
        <v>20.174199999999999</v>
      </c>
      <c r="O44" s="20">
        <f t="shared" si="1"/>
        <v>32.922699999999999</v>
      </c>
      <c r="P44" s="7"/>
      <c r="Q44" s="13"/>
      <c r="R44" s="14"/>
      <c r="S44" s="14"/>
      <c r="T44" s="27"/>
      <c r="U44" s="28">
        <f t="shared" si="2"/>
        <v>-0.41911753466666674</v>
      </c>
    </row>
    <row r="45" spans="1:21" x14ac:dyDescent="0.25">
      <c r="B45" s="6" t="s">
        <v>55</v>
      </c>
      <c r="C45" s="15">
        <v>1187.98828125</v>
      </c>
      <c r="D45" s="16">
        <v>30.945699999999999</v>
      </c>
      <c r="E45" s="16">
        <v>36.900300000000001</v>
      </c>
      <c r="F45" s="16">
        <v>37.728400000000001</v>
      </c>
      <c r="G45" s="16">
        <v>16.258576399050501</v>
      </c>
      <c r="H45" s="16">
        <f t="shared" si="0"/>
        <v>32.537862500000003</v>
      </c>
      <c r="I45" s="5"/>
      <c r="J45" s="15">
        <v>1185.6568</v>
      </c>
      <c r="K45" s="16">
        <v>31.250900000000001</v>
      </c>
      <c r="L45" s="16">
        <v>37.781700000000001</v>
      </c>
      <c r="M45" s="16">
        <v>38.622399999999999</v>
      </c>
      <c r="N45" s="16">
        <v>11.148999999999999</v>
      </c>
      <c r="O45" s="16">
        <f t="shared" si="1"/>
        <v>32.988687499999997</v>
      </c>
      <c r="P45" s="7"/>
      <c r="Q45" s="8">
        <f>bdrate(C45:C48,D45:D48,J45:J48,K45:K48)</f>
        <v>-0.13739449007910576</v>
      </c>
      <c r="R45" s="8">
        <f>bdrate(C45:C48,E45:E48,J45:J48,L45:L48)</f>
        <v>-0.36369494272483283</v>
      </c>
      <c r="S45" s="8">
        <f>bdrate(C45:C48,F45:F48,J45:J48,M45:M48)</f>
        <v>-0.34907125676324158</v>
      </c>
      <c r="T45" s="25">
        <f>bdrate(C45:C48,H45:H48,J45:J48,O45:O48)</f>
        <v>-0.17673278779508106</v>
      </c>
      <c r="U45" s="28">
        <f t="shared" si="2"/>
        <v>-0.31426960600000015</v>
      </c>
    </row>
    <row r="46" spans="1:21" x14ac:dyDescent="0.25">
      <c r="B46" s="9"/>
      <c r="C46" s="17">
        <v>786.029296875</v>
      </c>
      <c r="D46" s="18">
        <v>29.402799999999999</v>
      </c>
      <c r="E46" s="18">
        <v>36.070500000000003</v>
      </c>
      <c r="F46" s="18">
        <v>36.875599999999999</v>
      </c>
      <c r="G46" s="18">
        <v>20.293855020699731</v>
      </c>
      <c r="H46" s="18">
        <f t="shared" si="0"/>
        <v>31.1703625</v>
      </c>
      <c r="I46" s="5"/>
      <c r="J46" s="17">
        <v>796.23199999999997</v>
      </c>
      <c r="K46" s="18">
        <v>29.910599999999999</v>
      </c>
      <c r="L46" s="18">
        <v>36.930999999999997</v>
      </c>
      <c r="M46" s="18">
        <v>37.767499999999998</v>
      </c>
      <c r="N46" s="18">
        <v>13.444100000000001</v>
      </c>
      <c r="O46" s="18">
        <f t="shared" si="1"/>
        <v>31.770262499999994</v>
      </c>
      <c r="P46" s="7"/>
      <c r="Q46" s="10"/>
      <c r="R46" s="11"/>
      <c r="S46" s="11"/>
      <c r="T46" s="26"/>
      <c r="U46" s="28">
        <f t="shared" si="2"/>
        <v>-0.33752852839999992</v>
      </c>
    </row>
    <row r="47" spans="1:21" x14ac:dyDescent="0.25">
      <c r="B47" s="9"/>
      <c r="C47" s="17">
        <v>491.021484375</v>
      </c>
      <c r="D47" s="18">
        <v>27.752400000000002</v>
      </c>
      <c r="E47" s="18">
        <v>35.185000000000002</v>
      </c>
      <c r="F47" s="18">
        <v>35.969700000000003</v>
      </c>
      <c r="G47" s="18">
        <v>26.071540306601314</v>
      </c>
      <c r="H47" s="18">
        <f t="shared" si="0"/>
        <v>29.708637500000002</v>
      </c>
      <c r="I47" s="5"/>
      <c r="J47" s="17">
        <v>501.40960000000001</v>
      </c>
      <c r="K47" s="18">
        <v>28.377800000000001</v>
      </c>
      <c r="L47" s="18">
        <v>36.079799999999999</v>
      </c>
      <c r="M47" s="18">
        <v>36.838000000000001</v>
      </c>
      <c r="N47" s="18">
        <v>16.633400000000002</v>
      </c>
      <c r="O47" s="18">
        <f t="shared" si="1"/>
        <v>30.398074999999999</v>
      </c>
      <c r="P47" s="7"/>
      <c r="Q47" s="10"/>
      <c r="R47" s="11"/>
      <c r="S47" s="11"/>
      <c r="T47" s="26"/>
      <c r="U47" s="28">
        <f t="shared" si="2"/>
        <v>-0.36200930959999994</v>
      </c>
    </row>
    <row r="48" spans="1:21" ht="16.5" thickBot="1" x14ac:dyDescent="0.3">
      <c r="B48" s="12"/>
      <c r="C48" s="19">
        <v>297.8837890625</v>
      </c>
      <c r="D48" s="20">
        <v>26.190799999999999</v>
      </c>
      <c r="E48" s="20">
        <v>34.434399999999997</v>
      </c>
      <c r="F48" s="20">
        <v>35.202100000000002</v>
      </c>
      <c r="G48" s="20">
        <v>33.335555703713581</v>
      </c>
      <c r="H48" s="20">
        <f t="shared" si="0"/>
        <v>28.347662500000002</v>
      </c>
      <c r="I48" s="5"/>
      <c r="J48" s="19">
        <v>303.92160000000001</v>
      </c>
      <c r="K48" s="20">
        <v>26.8065</v>
      </c>
      <c r="L48" s="20">
        <v>35.167999999999999</v>
      </c>
      <c r="M48" s="20">
        <v>35.871000000000002</v>
      </c>
      <c r="N48" s="20">
        <v>20.478400000000001</v>
      </c>
      <c r="O48" s="20">
        <f t="shared" si="1"/>
        <v>28.984750000000002</v>
      </c>
      <c r="P48" s="7"/>
      <c r="Q48" s="13"/>
      <c r="R48" s="14"/>
      <c r="S48" s="14"/>
      <c r="T48" s="27"/>
      <c r="U48" s="28">
        <f t="shared" si="2"/>
        <v>-0.38568895679999998</v>
      </c>
    </row>
    <row r="49" spans="1:21" x14ac:dyDescent="0.25">
      <c r="B49" s="6" t="s">
        <v>56</v>
      </c>
      <c r="C49" s="15">
        <v>1143.35546875</v>
      </c>
      <c r="D49" s="16">
        <v>33.916800000000002</v>
      </c>
      <c r="E49" s="16">
        <v>37.897599999999997</v>
      </c>
      <c r="F49" s="16">
        <v>39.648099999999999</v>
      </c>
      <c r="G49" s="16">
        <v>8.2884376295068378</v>
      </c>
      <c r="H49" s="16">
        <f t="shared" si="0"/>
        <v>35.130812500000005</v>
      </c>
      <c r="I49" s="5"/>
      <c r="J49" s="15">
        <v>1191.3232</v>
      </c>
      <c r="K49" s="16">
        <v>33.582599999999999</v>
      </c>
      <c r="L49" s="16">
        <v>38.180300000000003</v>
      </c>
      <c r="M49" s="16">
        <v>39.834000000000003</v>
      </c>
      <c r="N49" s="16">
        <v>6.5358000000000001</v>
      </c>
      <c r="O49" s="16">
        <f t="shared" si="1"/>
        <v>34.938737500000002</v>
      </c>
      <c r="P49" s="7"/>
      <c r="Q49" s="8">
        <f>bdrate(C49:C52,D49:D52,J49:J52,K49:K52)</f>
        <v>0.13307526897638455</v>
      </c>
      <c r="R49" s="8">
        <f>bdrate(C49:C52,E49:E52,J49:J52,L49:L52)</f>
        <v>-0.11492491086319612</v>
      </c>
      <c r="S49" s="8">
        <f>bdrate(C49:C52,F49:F52,J49:J52,M49:M52)</f>
        <v>-8.4966608038345437E-2</v>
      </c>
      <c r="T49" s="25">
        <f>bdrate(C49:C52,H49:H52,J49:J52,O49:O52)</f>
        <v>9.2869737563761268E-2</v>
      </c>
      <c r="U49" s="28">
        <f t="shared" si="2"/>
        <v>-0.21145572999999998</v>
      </c>
    </row>
    <row r="50" spans="1:21" x14ac:dyDescent="0.25">
      <c r="B50" s="9"/>
      <c r="C50" s="17">
        <v>767.8955078125</v>
      </c>
      <c r="D50" s="18">
        <v>32.378999999999998</v>
      </c>
      <c r="E50" s="18">
        <v>36.912500000000001</v>
      </c>
      <c r="F50" s="18">
        <v>38.678699999999999</v>
      </c>
      <c r="G50" s="18">
        <v>10.158128195577827</v>
      </c>
      <c r="H50" s="18">
        <f t="shared" si="0"/>
        <v>33.733150000000002</v>
      </c>
      <c r="I50" s="5"/>
      <c r="J50" s="17">
        <v>794.90160000000003</v>
      </c>
      <c r="K50" s="18">
        <v>32.001600000000003</v>
      </c>
      <c r="L50" s="18">
        <v>37.234900000000003</v>
      </c>
      <c r="M50" s="18">
        <v>38.922400000000003</v>
      </c>
      <c r="N50" s="18">
        <v>7.7674000000000003</v>
      </c>
      <c r="O50" s="18">
        <f t="shared" si="1"/>
        <v>33.520862500000007</v>
      </c>
      <c r="P50" s="7"/>
      <c r="Q50" s="10"/>
      <c r="R50" s="11"/>
      <c r="S50" s="11"/>
      <c r="T50" s="26"/>
      <c r="U50" s="28">
        <f t="shared" si="2"/>
        <v>-0.23535125266666657</v>
      </c>
    </row>
    <row r="51" spans="1:21" x14ac:dyDescent="0.25">
      <c r="B51" s="9"/>
      <c r="C51" s="17">
        <v>487.4072265625</v>
      </c>
      <c r="D51" s="18">
        <v>30.623100000000001</v>
      </c>
      <c r="E51" s="18">
        <v>35.950200000000002</v>
      </c>
      <c r="F51" s="18">
        <v>37.7254</v>
      </c>
      <c r="G51" s="18">
        <v>13.043478260869565</v>
      </c>
      <c r="H51" s="18">
        <f t="shared" si="0"/>
        <v>32.176774999999999</v>
      </c>
      <c r="I51" s="5"/>
      <c r="J51" s="17">
        <v>495.55919999999998</v>
      </c>
      <c r="K51" s="18">
        <v>30.2361</v>
      </c>
      <c r="L51" s="18">
        <v>36.270600000000002</v>
      </c>
      <c r="M51" s="18">
        <v>37.971200000000003</v>
      </c>
      <c r="N51" s="18">
        <v>9.4687999999999999</v>
      </c>
      <c r="O51" s="18">
        <f t="shared" si="1"/>
        <v>31.957300000000004</v>
      </c>
      <c r="P51" s="7"/>
      <c r="Q51" s="10"/>
      <c r="R51" s="11"/>
      <c r="S51" s="11"/>
      <c r="T51" s="26"/>
      <c r="U51" s="28">
        <f t="shared" si="2"/>
        <v>-0.27405866666666662</v>
      </c>
    </row>
    <row r="52" spans="1:21" ht="16.5" thickBot="1" x14ac:dyDescent="0.3">
      <c r="B52" s="12"/>
      <c r="C52" s="19">
        <v>298.8984375</v>
      </c>
      <c r="D52" s="20">
        <v>28.8842</v>
      </c>
      <c r="E52" s="20">
        <v>35.112499999999997</v>
      </c>
      <c r="F52" s="20">
        <v>36.839700000000001</v>
      </c>
      <c r="G52" s="20">
        <v>17.441860465116278</v>
      </c>
      <c r="H52" s="20">
        <f t="shared" si="0"/>
        <v>30.657175000000002</v>
      </c>
      <c r="I52" s="5"/>
      <c r="J52" s="19">
        <v>296.82799999999997</v>
      </c>
      <c r="K52" s="20">
        <v>28.5167</v>
      </c>
      <c r="L52" s="20">
        <v>35.299399999999999</v>
      </c>
      <c r="M52" s="20">
        <v>37.0199</v>
      </c>
      <c r="N52" s="20">
        <v>12.0351</v>
      </c>
      <c r="O52" s="20">
        <f t="shared" si="1"/>
        <v>30.4274375</v>
      </c>
      <c r="P52" s="7"/>
      <c r="Q52" s="13"/>
      <c r="R52" s="14"/>
      <c r="S52" s="14"/>
      <c r="T52" s="27"/>
      <c r="U52" s="28">
        <f t="shared" si="2"/>
        <v>-0.30998759999999997</v>
      </c>
    </row>
    <row r="53" spans="1:21" x14ac:dyDescent="0.25">
      <c r="A53" s="6" t="s">
        <v>41</v>
      </c>
      <c r="B53" s="6" t="s">
        <v>57</v>
      </c>
      <c r="C53" s="15">
        <v>579.8828125</v>
      </c>
      <c r="D53" s="16">
        <v>35.902200000000001</v>
      </c>
      <c r="E53" s="16">
        <v>40.8872</v>
      </c>
      <c r="F53" s="16">
        <v>39.416699999999999</v>
      </c>
      <c r="G53" s="16">
        <v>28.00336040324839</v>
      </c>
      <c r="H53" s="16">
        <f t="shared" si="0"/>
        <v>36.964637500000002</v>
      </c>
      <c r="I53" s="5"/>
      <c r="J53" s="15">
        <v>601.20399999999995</v>
      </c>
      <c r="K53" s="16">
        <v>35.836199999999998</v>
      </c>
      <c r="L53" s="16">
        <v>41.386000000000003</v>
      </c>
      <c r="M53" s="16">
        <v>39.793100000000003</v>
      </c>
      <c r="N53" s="16">
        <v>19.450700000000001</v>
      </c>
      <c r="O53" s="16">
        <f t="shared" si="1"/>
        <v>37.024537500000001</v>
      </c>
      <c r="P53" s="7"/>
      <c r="Q53" s="8">
        <f>bdrate(C53:C56,D53:D56,J53:J56,K53:K56)</f>
        <v>4.7503373363964041E-2</v>
      </c>
      <c r="R53" s="8">
        <f>bdrate(C53:C56,E53:E56,J53:J56,L53:L56)</f>
        <v>-0.16509005617321393</v>
      </c>
      <c r="S53" s="8">
        <f>bdrate(C53:C56,F53:F56,J53:J56,M53:M56)</f>
        <v>-0.11182493690339568</v>
      </c>
      <c r="T53" s="25">
        <f>bdrate(C53:C56,H53:H56,J53:J56,O53:O56)</f>
        <v>1.2652615544434864E-2</v>
      </c>
      <c r="U53" s="28">
        <f t="shared" si="2"/>
        <v>-0.30541550299999998</v>
      </c>
    </row>
    <row r="54" spans="1:21" x14ac:dyDescent="0.25">
      <c r="A54" s="9" t="s">
        <v>42</v>
      </c>
      <c r="B54" s="9"/>
      <c r="C54" s="17">
        <v>392.2607421875</v>
      </c>
      <c r="D54" s="18">
        <v>34.022399999999998</v>
      </c>
      <c r="E54" s="18">
        <v>39.652700000000003</v>
      </c>
      <c r="F54" s="18">
        <v>38.051699999999997</v>
      </c>
      <c r="G54" s="18">
        <v>33.647375504710631</v>
      </c>
      <c r="H54" s="18">
        <f t="shared" si="0"/>
        <v>35.229849999999999</v>
      </c>
      <c r="I54" s="5"/>
      <c r="J54" s="17">
        <v>401.24079999999998</v>
      </c>
      <c r="K54" s="18">
        <v>33.851199999999999</v>
      </c>
      <c r="L54" s="18">
        <v>40.167700000000004</v>
      </c>
      <c r="M54" s="18">
        <v>38.429699999999997</v>
      </c>
      <c r="N54" s="18">
        <v>22.456800000000001</v>
      </c>
      <c r="O54" s="18">
        <f t="shared" si="1"/>
        <v>35.213074999999996</v>
      </c>
      <c r="P54" s="7"/>
      <c r="Q54" s="10"/>
      <c r="R54" s="11"/>
      <c r="S54" s="11"/>
      <c r="T54" s="26"/>
      <c r="U54" s="28">
        <f t="shared" si="2"/>
        <v>-0.33258390399999993</v>
      </c>
    </row>
    <row r="55" spans="1:21" x14ac:dyDescent="0.25">
      <c r="B55" s="9"/>
      <c r="C55" s="17">
        <v>246.9892578125</v>
      </c>
      <c r="D55" s="18">
        <v>31.874600000000001</v>
      </c>
      <c r="E55" s="18">
        <v>38.395200000000003</v>
      </c>
      <c r="F55" s="18">
        <v>36.616399999999999</v>
      </c>
      <c r="G55" s="18">
        <v>42.462845010615709</v>
      </c>
      <c r="H55" s="18">
        <f t="shared" si="0"/>
        <v>33.282400000000003</v>
      </c>
      <c r="I55" s="5"/>
      <c r="J55" s="17">
        <v>248.9128</v>
      </c>
      <c r="K55" s="18">
        <v>31.680900000000001</v>
      </c>
      <c r="L55" s="18">
        <v>38.8977</v>
      </c>
      <c r="M55" s="18">
        <v>37.0017</v>
      </c>
      <c r="N55" s="18">
        <v>27.303000000000001</v>
      </c>
      <c r="O55" s="18">
        <f t="shared" si="1"/>
        <v>33.248099999999994</v>
      </c>
      <c r="P55" s="7"/>
      <c r="Q55" s="10"/>
      <c r="R55" s="11"/>
      <c r="S55" s="11"/>
      <c r="T55" s="26"/>
      <c r="U55" s="28">
        <f t="shared" si="2"/>
        <v>-0.35701434999999992</v>
      </c>
    </row>
    <row r="56" spans="1:21" ht="16.5" thickBot="1" x14ac:dyDescent="0.3">
      <c r="B56" s="12"/>
      <c r="C56" s="19">
        <v>119.44921875</v>
      </c>
      <c r="D56" s="20">
        <v>28.668199999999999</v>
      </c>
      <c r="E56" s="20">
        <v>36.583199999999998</v>
      </c>
      <c r="F56" s="20">
        <v>34.445799999999998</v>
      </c>
      <c r="G56" s="20">
        <v>66.172578083642136</v>
      </c>
      <c r="H56" s="20">
        <f t="shared" si="0"/>
        <v>30.379774999999999</v>
      </c>
      <c r="I56" s="5"/>
      <c r="J56" s="19">
        <v>119.1776</v>
      </c>
      <c r="K56" s="20">
        <v>28.616099999999999</v>
      </c>
      <c r="L56" s="20">
        <v>37.160600000000002</v>
      </c>
      <c r="M56" s="20">
        <v>34.972099999999998</v>
      </c>
      <c r="N56" s="20">
        <v>36.924900000000001</v>
      </c>
      <c r="O56" s="20">
        <f t="shared" si="1"/>
        <v>30.478662499999999</v>
      </c>
      <c r="P56" s="7"/>
      <c r="Q56" s="13"/>
      <c r="R56" s="14"/>
      <c r="S56" s="14"/>
      <c r="T56" s="27"/>
      <c r="U56" s="28">
        <f t="shared" si="2"/>
        <v>-0.44199091119999995</v>
      </c>
    </row>
    <row r="57" spans="1:21" x14ac:dyDescent="0.25">
      <c r="B57" s="6" t="s">
        <v>58</v>
      </c>
      <c r="C57" s="15">
        <v>575.984375</v>
      </c>
      <c r="D57" s="16">
        <v>34.2866</v>
      </c>
      <c r="E57" s="16">
        <v>41.39</v>
      </c>
      <c r="F57" s="16">
        <v>42.3596</v>
      </c>
      <c r="G57" s="16">
        <v>52.096900234436056</v>
      </c>
      <c r="H57" s="16">
        <f t="shared" si="0"/>
        <v>36.18365</v>
      </c>
      <c r="I57" s="5"/>
      <c r="J57" s="15">
        <v>555.1336</v>
      </c>
      <c r="K57" s="16">
        <v>34.396099999999997</v>
      </c>
      <c r="L57" s="16">
        <v>41.941499999999998</v>
      </c>
      <c r="M57" s="16">
        <v>42.9039</v>
      </c>
      <c r="N57" s="16">
        <v>27.473800000000001</v>
      </c>
      <c r="O57" s="16">
        <f t="shared" si="1"/>
        <v>36.402749999999997</v>
      </c>
      <c r="P57" s="7"/>
      <c r="Q57" s="8">
        <f>bdrate(C57:C60,D57:D60,J57:J60,K57:K60)</f>
        <v>-5.6655605290774846E-2</v>
      </c>
      <c r="R57" s="8">
        <f>bdrate(C57:C60,E57:E60,J57:J60,L57:L60)</f>
        <v>-0.1592662843826359</v>
      </c>
      <c r="S57" s="8">
        <f>bdrate(C57:C60,F57:F60,J57:J60,M57:M60)</f>
        <v>-0.17076778854923746</v>
      </c>
      <c r="T57" s="25">
        <f>bdrate(C57:C60,H57:H60,J57:J60,O57:O60)</f>
        <v>-7.4284681881704562E-2</v>
      </c>
      <c r="U57" s="28">
        <f t="shared" si="2"/>
        <v>-0.47264040900000004</v>
      </c>
    </row>
    <row r="58" spans="1:21" x14ac:dyDescent="0.25">
      <c r="B58" s="9"/>
      <c r="C58" s="17">
        <v>383.537109375</v>
      </c>
      <c r="D58" s="18">
        <v>32.929900000000004</v>
      </c>
      <c r="E58" s="18">
        <v>40.654800000000002</v>
      </c>
      <c r="F58" s="18">
        <v>41.591500000000003</v>
      </c>
      <c r="G58" s="18">
        <v>62.945866554762901</v>
      </c>
      <c r="H58" s="18">
        <f t="shared" si="0"/>
        <v>34.978212500000005</v>
      </c>
      <c r="I58" s="5"/>
      <c r="J58" s="17">
        <v>367.49360000000001</v>
      </c>
      <c r="K58" s="18">
        <v>32.953699999999998</v>
      </c>
      <c r="L58" s="18">
        <v>41.002099999999999</v>
      </c>
      <c r="M58" s="18">
        <v>41.934199999999997</v>
      </c>
      <c r="N58" s="18">
        <v>35.007899999999999</v>
      </c>
      <c r="O58" s="18">
        <f t="shared" si="1"/>
        <v>35.082312499999993</v>
      </c>
      <c r="P58" s="7"/>
      <c r="Q58" s="10"/>
      <c r="R58" s="11"/>
      <c r="S58" s="11"/>
      <c r="T58" s="26"/>
      <c r="U58" s="28">
        <f t="shared" si="2"/>
        <v>-0.44384116200000001</v>
      </c>
    </row>
    <row r="59" spans="1:21" x14ac:dyDescent="0.25">
      <c r="B59" s="9"/>
      <c r="C59" s="17">
        <v>240.48828125</v>
      </c>
      <c r="D59" s="18">
        <v>31.317399999999999</v>
      </c>
      <c r="E59" s="18">
        <v>39.8797</v>
      </c>
      <c r="F59" s="18">
        <v>40.705800000000004</v>
      </c>
      <c r="G59" s="18">
        <v>78.298316586193394</v>
      </c>
      <c r="H59" s="18">
        <f t="shared" si="0"/>
        <v>33.561237500000004</v>
      </c>
      <c r="I59" s="5"/>
      <c r="J59" s="17">
        <v>230.63919999999999</v>
      </c>
      <c r="K59" s="18">
        <v>31.345300000000002</v>
      </c>
      <c r="L59" s="18">
        <v>40.087600000000002</v>
      </c>
      <c r="M59" s="18">
        <v>40.954799999999999</v>
      </c>
      <c r="N59" s="18">
        <v>47.247799999999998</v>
      </c>
      <c r="O59" s="18">
        <f t="shared" si="1"/>
        <v>33.639274999999998</v>
      </c>
      <c r="P59" s="7"/>
      <c r="Q59" s="10"/>
      <c r="R59" s="11"/>
      <c r="S59" s="11"/>
      <c r="T59" s="26"/>
      <c r="U59" s="28">
        <f t="shared" si="2"/>
        <v>-0.39656684766666667</v>
      </c>
    </row>
    <row r="60" spans="1:21" ht="16.5" thickBot="1" x14ac:dyDescent="0.3">
      <c r="B60" s="12"/>
      <c r="C60" s="19">
        <v>115.4150390625</v>
      </c>
      <c r="D60" s="20">
        <v>28.491099999999999</v>
      </c>
      <c r="E60" s="20">
        <v>38.824599999999997</v>
      </c>
      <c r="F60" s="20">
        <v>39.4818</v>
      </c>
      <c r="G60" s="20">
        <v>111.52416356877323</v>
      </c>
      <c r="H60" s="20">
        <f t="shared" si="0"/>
        <v>31.156624999999998</v>
      </c>
      <c r="I60" s="5"/>
      <c r="J60" s="19">
        <v>117.196</v>
      </c>
      <c r="K60" s="20">
        <v>28.9175</v>
      </c>
      <c r="L60" s="20">
        <v>38.930300000000003</v>
      </c>
      <c r="M60" s="20">
        <v>39.738599999999998</v>
      </c>
      <c r="N60" s="20">
        <v>74.822299999999998</v>
      </c>
      <c r="O60" s="20">
        <f t="shared" si="1"/>
        <v>31.521737499999997</v>
      </c>
      <c r="P60" s="7"/>
      <c r="Q60" s="13"/>
      <c r="R60" s="14"/>
      <c r="S60" s="14"/>
      <c r="T60" s="27"/>
      <c r="U60" s="28">
        <f t="shared" si="2"/>
        <v>-0.32909337666666666</v>
      </c>
    </row>
    <row r="61" spans="1:21" x14ac:dyDescent="0.25">
      <c r="B61" s="6" t="s">
        <v>59</v>
      </c>
      <c r="C61" s="29">
        <v>592.5615234375</v>
      </c>
      <c r="D61" s="30">
        <v>34.059100000000001</v>
      </c>
      <c r="E61" s="30">
        <v>38.566600000000001</v>
      </c>
      <c r="F61" s="30">
        <v>39.316800000000001</v>
      </c>
      <c r="G61" s="16">
        <v>37.962189659099536</v>
      </c>
      <c r="H61" s="16">
        <f t="shared" si="0"/>
        <v>35.27975</v>
      </c>
      <c r="I61" s="5"/>
      <c r="J61" s="29">
        <v>558.26800000000003</v>
      </c>
      <c r="K61" s="30">
        <v>33.728400000000001</v>
      </c>
      <c r="L61" s="30">
        <v>38.956200000000003</v>
      </c>
      <c r="M61" s="30">
        <v>39.776200000000003</v>
      </c>
      <c r="N61" s="16">
        <v>22.621400000000001</v>
      </c>
      <c r="O61" s="16">
        <f t="shared" si="1"/>
        <v>35.13785</v>
      </c>
      <c r="P61" s="7"/>
      <c r="Q61" s="8">
        <f>bdrate(C61:C64,D61:D64,J61:J64,K61:K64)</f>
        <v>-2.2385738604116634E-2</v>
      </c>
      <c r="R61" s="8">
        <f>bdrate(C61:C64,E61:E64,J61:J64,L61:L64)</f>
        <v>-0.21814431620540142</v>
      </c>
      <c r="S61" s="8">
        <f>bdrate(C61:C64,F61:F64,J61:J64,M61:M64)</f>
        <v>-0.2208142908090911</v>
      </c>
      <c r="T61" s="25">
        <f>bdrate(C61:C64,H61:H64,J61:J64,O61:O64)</f>
        <v>-5.8835899588922991E-2</v>
      </c>
      <c r="U61" s="28">
        <f t="shared" si="2"/>
        <v>-0.40410708119999994</v>
      </c>
    </row>
    <row r="62" spans="1:21" x14ac:dyDescent="0.25">
      <c r="B62" s="9"/>
      <c r="C62" s="31">
        <v>397.0830078125</v>
      </c>
      <c r="D62" s="32">
        <v>32.377800000000001</v>
      </c>
      <c r="E62" s="32">
        <v>37.486400000000003</v>
      </c>
      <c r="F62" s="32">
        <v>38.213299999999997</v>
      </c>
      <c r="G62" s="18">
        <v>45.695485286053739</v>
      </c>
      <c r="H62" s="18">
        <f t="shared" si="0"/>
        <v>33.7458125</v>
      </c>
      <c r="I62" s="5"/>
      <c r="J62" s="31">
        <v>377.90879999999999</v>
      </c>
      <c r="K62" s="32">
        <v>32.1524</v>
      </c>
      <c r="L62" s="32">
        <v>37.830199999999998</v>
      </c>
      <c r="M62" s="32">
        <v>38.5869</v>
      </c>
      <c r="N62" s="18">
        <v>27.044599999999999</v>
      </c>
      <c r="O62" s="18">
        <f t="shared" si="1"/>
        <v>33.666437500000001</v>
      </c>
      <c r="P62" s="7"/>
      <c r="Q62" s="10"/>
      <c r="R62" s="11"/>
      <c r="S62" s="11"/>
      <c r="T62" s="26"/>
      <c r="U62" s="28">
        <f t="shared" si="2"/>
        <v>-0.40815597360000005</v>
      </c>
    </row>
    <row r="63" spans="1:21" x14ac:dyDescent="0.25">
      <c r="B63" s="9"/>
      <c r="C63" s="31">
        <v>250.6220703125</v>
      </c>
      <c r="D63" s="32">
        <v>30.523399999999999</v>
      </c>
      <c r="E63" s="32">
        <v>36.296799999999998</v>
      </c>
      <c r="F63" s="32">
        <v>37.032800000000002</v>
      </c>
      <c r="G63" s="18">
        <v>55.580257892396617</v>
      </c>
      <c r="H63" s="18">
        <f t="shared" si="0"/>
        <v>32.058749999999996</v>
      </c>
      <c r="I63" s="5"/>
      <c r="J63" s="31">
        <v>238.50399999999999</v>
      </c>
      <c r="K63" s="32">
        <v>30.426200000000001</v>
      </c>
      <c r="L63" s="32">
        <v>36.817900000000002</v>
      </c>
      <c r="M63" s="32">
        <v>37.546300000000002</v>
      </c>
      <c r="N63" s="18">
        <v>33.767800000000001</v>
      </c>
      <c r="O63" s="18">
        <f t="shared" si="1"/>
        <v>32.115175000000008</v>
      </c>
      <c r="P63" s="7"/>
      <c r="Q63" s="10"/>
      <c r="R63" s="11"/>
      <c r="S63" s="11"/>
      <c r="T63" s="26"/>
      <c r="U63" s="28">
        <f t="shared" si="2"/>
        <v>-0.39244974239999991</v>
      </c>
    </row>
    <row r="64" spans="1:21" ht="16.5" thickBot="1" x14ac:dyDescent="0.3">
      <c r="B64" s="12"/>
      <c r="C64" s="33">
        <v>120.162109375</v>
      </c>
      <c r="D64" s="34">
        <v>27.749400000000001</v>
      </c>
      <c r="E64" s="34">
        <v>34.733600000000003</v>
      </c>
      <c r="F64" s="34">
        <v>35.450000000000003</v>
      </c>
      <c r="G64" s="20">
        <v>78.235017994054132</v>
      </c>
      <c r="H64" s="20">
        <f t="shared" si="0"/>
        <v>29.585000000000001</v>
      </c>
      <c r="I64" s="5"/>
      <c r="J64" s="33">
        <v>114.4088</v>
      </c>
      <c r="K64" s="34">
        <v>27.888999999999999</v>
      </c>
      <c r="L64" s="34">
        <v>35.2866</v>
      </c>
      <c r="M64" s="34">
        <v>36.035400000000003</v>
      </c>
      <c r="N64" s="20">
        <v>47.147599999999997</v>
      </c>
      <c r="O64" s="20">
        <f t="shared" si="1"/>
        <v>29.832000000000001</v>
      </c>
      <c r="P64" s="7"/>
      <c r="Q64" s="13"/>
      <c r="R64" s="14"/>
      <c r="S64" s="14"/>
      <c r="T64" s="27"/>
      <c r="U64" s="28">
        <f t="shared" si="2"/>
        <v>-0.3973593768</v>
      </c>
    </row>
    <row r="65" spans="1:21" x14ac:dyDescent="0.25">
      <c r="B65" s="6" t="s">
        <v>60</v>
      </c>
      <c r="C65" s="15">
        <v>577.271484375</v>
      </c>
      <c r="D65" s="16">
        <v>35.731900000000003</v>
      </c>
      <c r="E65" s="16">
        <v>39.017299999999999</v>
      </c>
      <c r="F65" s="16">
        <v>40.244100000000003</v>
      </c>
      <c r="G65" s="16">
        <v>20.093770931011388</v>
      </c>
      <c r="H65" s="16">
        <f t="shared" si="0"/>
        <v>36.706600000000009</v>
      </c>
      <c r="I65" s="5"/>
      <c r="J65" s="15">
        <v>578.71600000000001</v>
      </c>
      <c r="K65" s="16">
        <v>35.247999999999998</v>
      </c>
      <c r="L65" s="16">
        <v>39.159500000000001</v>
      </c>
      <c r="M65" s="16">
        <v>40.362000000000002</v>
      </c>
      <c r="N65" s="16">
        <v>12.5992</v>
      </c>
      <c r="O65" s="16">
        <f t="shared" si="1"/>
        <v>36.3761875</v>
      </c>
      <c r="P65" s="7"/>
      <c r="Q65" s="8">
        <f>bdrate(C65:C68,D65:D68,J65:J68,K65:K68)</f>
        <v>8.895892224754931E-2</v>
      </c>
      <c r="R65" s="8">
        <f>bdrate(C65:C68,E65:E68,J65:J68,L65:L68)</f>
        <v>-7.9251213856463609E-2</v>
      </c>
      <c r="S65" s="8">
        <f>bdrate(C65:C68,F65:F68,J65:J68,M65:M68)</f>
        <v>-8.0534953153699518E-2</v>
      </c>
      <c r="T65" s="25">
        <f>bdrate(C65:C68,H65:H68,J65:J68,O65:O68)</f>
        <v>5.8090056143936586E-2</v>
      </c>
      <c r="U65" s="28">
        <f t="shared" si="2"/>
        <v>-0.37297981333333341</v>
      </c>
    </row>
    <row r="66" spans="1:21" x14ac:dyDescent="0.25">
      <c r="B66" s="9"/>
      <c r="C66" s="17">
        <v>388.015625</v>
      </c>
      <c r="D66" s="18">
        <v>33.733899999999998</v>
      </c>
      <c r="E66" s="18">
        <v>37.802999999999997</v>
      </c>
      <c r="F66" s="18">
        <v>39.0319</v>
      </c>
      <c r="G66" s="18">
        <v>24.408103490358798</v>
      </c>
      <c r="H66" s="18">
        <f t="shared" si="0"/>
        <v>34.904787499999998</v>
      </c>
      <c r="I66" s="5"/>
      <c r="J66" s="17">
        <v>381.80880000000002</v>
      </c>
      <c r="K66" s="18">
        <v>33.2057</v>
      </c>
      <c r="L66" s="18">
        <v>37.923200000000001</v>
      </c>
      <c r="M66" s="18">
        <v>39.107100000000003</v>
      </c>
      <c r="N66" s="18">
        <v>14.942500000000001</v>
      </c>
      <c r="O66" s="18">
        <f t="shared" si="1"/>
        <v>34.5330625</v>
      </c>
      <c r="P66" s="7"/>
      <c r="Q66" s="10"/>
      <c r="R66" s="11"/>
      <c r="S66" s="11"/>
      <c r="T66" s="26"/>
      <c r="U66" s="28">
        <f t="shared" si="2"/>
        <v>-0.38780577499999991</v>
      </c>
    </row>
    <row r="67" spans="1:21" x14ac:dyDescent="0.25">
      <c r="B67" s="9"/>
      <c r="C67" s="17">
        <v>242.68359375</v>
      </c>
      <c r="D67" s="18">
        <v>31.563700000000001</v>
      </c>
      <c r="E67" s="18">
        <v>36.479500000000002</v>
      </c>
      <c r="F67" s="18">
        <v>37.673299999999998</v>
      </c>
      <c r="G67" s="18">
        <v>30.47851264858275</v>
      </c>
      <c r="H67" s="18">
        <f t="shared" si="0"/>
        <v>32.941875000000003</v>
      </c>
      <c r="I67" s="5"/>
      <c r="J67" s="17">
        <v>237.4376</v>
      </c>
      <c r="K67" s="18">
        <v>31.1112</v>
      </c>
      <c r="L67" s="18">
        <v>36.631599999999999</v>
      </c>
      <c r="M67" s="18">
        <v>37.872700000000002</v>
      </c>
      <c r="N67" s="18">
        <v>18.188400000000001</v>
      </c>
      <c r="O67" s="18">
        <f t="shared" si="1"/>
        <v>32.646437499999998</v>
      </c>
      <c r="P67" s="7"/>
      <c r="Q67" s="10"/>
      <c r="R67" s="11"/>
      <c r="S67" s="11"/>
      <c r="T67" s="26"/>
      <c r="U67" s="28">
        <f t="shared" si="2"/>
        <v>-0.403238596</v>
      </c>
    </row>
    <row r="68" spans="1:21" ht="16.5" thickBot="1" x14ac:dyDescent="0.3">
      <c r="B68" s="12"/>
      <c r="C68" s="19">
        <v>120.1640625</v>
      </c>
      <c r="D68" s="20">
        <v>28.751100000000001</v>
      </c>
      <c r="E68" s="20">
        <v>34.808999999999997</v>
      </c>
      <c r="F68" s="20">
        <v>35.932899999999997</v>
      </c>
      <c r="G68" s="20">
        <v>45.045045045045043</v>
      </c>
      <c r="H68" s="20">
        <f t="shared" si="0"/>
        <v>30.406062499999997</v>
      </c>
      <c r="I68" s="5"/>
      <c r="J68" s="19">
        <v>114.86799999999999</v>
      </c>
      <c r="K68" s="20">
        <v>28.3918</v>
      </c>
      <c r="L68" s="20">
        <v>35.093000000000004</v>
      </c>
      <c r="M68" s="20">
        <v>36.220100000000002</v>
      </c>
      <c r="N68" s="20">
        <v>25.252500000000001</v>
      </c>
      <c r="O68" s="20">
        <f t="shared" si="1"/>
        <v>30.207987500000002</v>
      </c>
      <c r="P68" s="7"/>
      <c r="Q68" s="13"/>
      <c r="R68" s="14"/>
      <c r="S68" s="14"/>
      <c r="T68" s="27"/>
      <c r="U68" s="28">
        <f t="shared" si="2"/>
        <v>-0.43939449999999997</v>
      </c>
    </row>
    <row r="69" spans="1:21" x14ac:dyDescent="0.25">
      <c r="A69" s="6" t="s">
        <v>43</v>
      </c>
      <c r="B69" s="6" t="s">
        <v>61</v>
      </c>
      <c r="C69" s="15">
        <v>1411.28125</v>
      </c>
      <c r="D69" s="16">
        <v>41.926600000000001</v>
      </c>
      <c r="E69" s="16">
        <v>46.1907</v>
      </c>
      <c r="F69" s="16">
        <v>47.527799999999999</v>
      </c>
      <c r="G69" s="16">
        <v>12.484134745427685</v>
      </c>
      <c r="H69" s="16">
        <f t="shared" si="0"/>
        <v>43.159762499999999</v>
      </c>
      <c r="I69" s="5"/>
      <c r="J69" s="15">
        <v>1507.0008</v>
      </c>
      <c r="K69" s="16">
        <v>42.113300000000002</v>
      </c>
      <c r="L69" s="16">
        <v>46.7575</v>
      </c>
      <c r="M69" s="16">
        <v>48.030200000000001</v>
      </c>
      <c r="N69" s="16">
        <v>7.2842000000000002</v>
      </c>
      <c r="O69" s="16">
        <f t="shared" si="1"/>
        <v>43.433437499999997</v>
      </c>
      <c r="P69" s="7"/>
      <c r="Q69" s="8">
        <f>bdrate(C69:C72,D69:D72,J69:J72,K69:K72)</f>
        <v>-2.4643966606444523E-2</v>
      </c>
      <c r="R69" s="8">
        <f>bdrate(C69:C72,E69:E72,J69:J72,L69:L72)</f>
        <v>-0.16338441427250228</v>
      </c>
      <c r="S69" s="8">
        <f>bdrate(C69:C72,F69:F72,J69:J72,M69:M72)</f>
        <v>-0.12159643843617873</v>
      </c>
      <c r="T69" s="25">
        <f>bdrate(C69:C72,H69:H72,J69:J72,O69:O72)</f>
        <v>-4.9320552144600072E-2</v>
      </c>
      <c r="U69" s="28">
        <f t="shared" si="2"/>
        <v>-0.41652343966666661</v>
      </c>
    </row>
    <row r="70" spans="1:21" x14ac:dyDescent="0.25">
      <c r="A70" s="9" t="s">
        <v>44</v>
      </c>
      <c r="B70" s="9"/>
      <c r="C70" s="17">
        <v>935.4755859375</v>
      </c>
      <c r="D70" s="18">
        <v>40.917900000000003</v>
      </c>
      <c r="E70" s="18">
        <v>45.278399999999998</v>
      </c>
      <c r="F70" s="18">
        <v>46.611899999999999</v>
      </c>
      <c r="G70" s="18">
        <v>15.372002459520395</v>
      </c>
      <c r="H70" s="18">
        <f t="shared" si="0"/>
        <v>42.174712499999998</v>
      </c>
      <c r="I70" s="5"/>
      <c r="J70" s="17">
        <v>997.4008</v>
      </c>
      <c r="K70" s="18">
        <v>41.175400000000003</v>
      </c>
      <c r="L70" s="18">
        <v>45.987499999999997</v>
      </c>
      <c r="M70" s="18">
        <v>47.202300000000001</v>
      </c>
      <c r="N70" s="18">
        <v>9.1945999999999994</v>
      </c>
      <c r="O70" s="18">
        <f t="shared" si="1"/>
        <v>42.530275000000003</v>
      </c>
      <c r="P70" s="7"/>
      <c r="Q70" s="10"/>
      <c r="R70" s="11"/>
      <c r="S70" s="11"/>
      <c r="T70" s="26"/>
      <c r="U70" s="28">
        <f t="shared" si="2"/>
        <v>-0.40186062133333345</v>
      </c>
    </row>
    <row r="71" spans="1:21" x14ac:dyDescent="0.25">
      <c r="B71" s="9"/>
      <c r="C71" s="17">
        <v>559.8603515625</v>
      </c>
      <c r="D71" s="18">
        <v>39.1312</v>
      </c>
      <c r="E71" s="18">
        <v>43.929299999999998</v>
      </c>
      <c r="F71" s="18">
        <v>45.241500000000002</v>
      </c>
      <c r="G71" s="18">
        <v>19.697317881881752</v>
      </c>
      <c r="H71" s="18">
        <f t="shared" si="0"/>
        <v>40.494749999999996</v>
      </c>
      <c r="I71" s="5"/>
      <c r="J71" s="17">
        <v>592.1472</v>
      </c>
      <c r="K71" s="18">
        <v>39.490900000000003</v>
      </c>
      <c r="L71" s="18">
        <v>44.605800000000002</v>
      </c>
      <c r="M71" s="18">
        <v>45.792400000000001</v>
      </c>
      <c r="N71" s="18">
        <v>12.007</v>
      </c>
      <c r="O71" s="18">
        <f t="shared" si="1"/>
        <v>40.917949999999998</v>
      </c>
      <c r="P71" s="7"/>
      <c r="Q71" s="10"/>
      <c r="R71" s="11"/>
      <c r="S71" s="11"/>
      <c r="T71" s="26"/>
      <c r="U71" s="28">
        <f t="shared" si="2"/>
        <v>-0.39042462166666669</v>
      </c>
    </row>
    <row r="72" spans="1:21" ht="16.5" thickBot="1" x14ac:dyDescent="0.3">
      <c r="B72" s="12"/>
      <c r="C72" s="19">
        <v>280.140625</v>
      </c>
      <c r="D72" s="20">
        <v>36.171599999999998</v>
      </c>
      <c r="E72" s="20">
        <v>42.124600000000001</v>
      </c>
      <c r="F72" s="20">
        <v>43.324100000000001</v>
      </c>
      <c r="G72" s="20">
        <v>27.680383834655842</v>
      </c>
      <c r="H72" s="20">
        <f t="shared" si="0"/>
        <v>37.809787499999999</v>
      </c>
      <c r="I72" s="5"/>
      <c r="J72" s="19">
        <v>289.46719999999999</v>
      </c>
      <c r="K72" s="20">
        <v>36.235599999999998</v>
      </c>
      <c r="L72" s="20">
        <v>42.374099999999999</v>
      </c>
      <c r="M72" s="20">
        <v>43.497599999999998</v>
      </c>
      <c r="N72" s="20">
        <v>17.164400000000001</v>
      </c>
      <c r="O72" s="20">
        <f t="shared" si="1"/>
        <v>37.910662499999994</v>
      </c>
      <c r="P72" s="7"/>
      <c r="Q72" s="13"/>
      <c r="R72" s="14"/>
      <c r="S72" s="14"/>
      <c r="T72" s="27"/>
      <c r="U72" s="28">
        <f t="shared" si="2"/>
        <v>-0.37990744266666671</v>
      </c>
    </row>
    <row r="73" spans="1:21" x14ac:dyDescent="0.25">
      <c r="B73" s="6" t="s">
        <v>62</v>
      </c>
      <c r="C73" s="15">
        <v>1427.796875</v>
      </c>
      <c r="D73" s="16">
        <v>42.885599999999997</v>
      </c>
      <c r="E73" s="16">
        <v>48.055500000000002</v>
      </c>
      <c r="F73" s="16">
        <v>48.787999999999997</v>
      </c>
      <c r="G73" s="16">
        <v>14.031805425631433</v>
      </c>
      <c r="H73" s="16">
        <f t="shared" si="0"/>
        <v>44.269637499999995</v>
      </c>
      <c r="I73" s="5"/>
      <c r="J73" s="15">
        <v>1502.5472</v>
      </c>
      <c r="K73" s="16">
        <v>43.066400000000002</v>
      </c>
      <c r="L73" s="16">
        <v>48.596600000000002</v>
      </c>
      <c r="M73" s="16">
        <v>49.309800000000003</v>
      </c>
      <c r="N73" s="16">
        <v>8.1029999999999998</v>
      </c>
      <c r="O73" s="16">
        <f t="shared" si="1"/>
        <v>44.538100000000007</v>
      </c>
      <c r="P73" s="7"/>
      <c r="Q73" s="8">
        <f>bdrate(C73:C76,D73:D76,J73:J76,K73:K76)</f>
        <v>-8.6259387803146459E-2</v>
      </c>
      <c r="R73" s="8">
        <f>bdrate(C73:C76,E73:E76,J73:J76,L73:L76)</f>
        <v>-0.26016141212459054</v>
      </c>
      <c r="S73" s="8">
        <f>bdrate(C73:C76,F73:F76,J73:J76,M73:M76)</f>
        <v>-0.20570720439643531</v>
      </c>
      <c r="T73" s="25">
        <f>bdrate(C73:C76,H73:H76,J73:J76,O73:O76)</f>
        <v>-0.1257252459297179</v>
      </c>
      <c r="U73" s="28">
        <f t="shared" ref="U73:U124" si="3">(N73-G73)/G73</f>
        <v>-0.42252620000000007</v>
      </c>
    </row>
    <row r="74" spans="1:21" x14ac:dyDescent="0.25">
      <c r="B74" s="9"/>
      <c r="C74" s="17">
        <v>939.1962890625</v>
      </c>
      <c r="D74" s="18">
        <v>42.425800000000002</v>
      </c>
      <c r="E74" s="18">
        <v>47.619399999999999</v>
      </c>
      <c r="F74" s="18">
        <v>48.348599999999998</v>
      </c>
      <c r="G74" s="18">
        <v>17.350568231109566</v>
      </c>
      <c r="H74" s="18">
        <f t="shared" si="0"/>
        <v>43.815349999999995</v>
      </c>
      <c r="I74" s="5"/>
      <c r="J74" s="17">
        <v>989.55439999999999</v>
      </c>
      <c r="K74" s="18">
        <v>42.643700000000003</v>
      </c>
      <c r="L74" s="18">
        <v>48.202800000000003</v>
      </c>
      <c r="M74" s="18">
        <v>48.866700000000002</v>
      </c>
      <c r="N74" s="18">
        <v>9.7899999999999991</v>
      </c>
      <c r="O74" s="18">
        <f t="shared" si="1"/>
        <v>44.116462500000004</v>
      </c>
      <c r="P74" s="7"/>
      <c r="Q74" s="10"/>
      <c r="R74" s="11"/>
      <c r="S74" s="11"/>
      <c r="T74" s="26"/>
      <c r="U74" s="28">
        <f t="shared" si="3"/>
        <v>-0.43575334999999998</v>
      </c>
    </row>
    <row r="75" spans="1:21" x14ac:dyDescent="0.25">
      <c r="B75" s="9"/>
      <c r="C75" s="17">
        <v>568.7490234375</v>
      </c>
      <c r="D75" s="18">
        <v>41.699399999999997</v>
      </c>
      <c r="E75" s="18">
        <v>46.845399999999998</v>
      </c>
      <c r="F75" s="18">
        <v>47.622300000000003</v>
      </c>
      <c r="G75" s="18">
        <v>21.877050973528771</v>
      </c>
      <c r="H75" s="18">
        <f t="shared" si="0"/>
        <v>43.083012499999995</v>
      </c>
      <c r="I75" s="5"/>
      <c r="J75" s="17">
        <v>571.65840000000003</v>
      </c>
      <c r="K75" s="18">
        <v>41.874099999999999</v>
      </c>
      <c r="L75" s="18">
        <v>47.439700000000002</v>
      </c>
      <c r="M75" s="18">
        <v>48.111199999999997</v>
      </c>
      <c r="N75" s="18">
        <v>12.974399999999999</v>
      </c>
      <c r="O75" s="18">
        <f t="shared" si="1"/>
        <v>43.349437500000001</v>
      </c>
      <c r="P75" s="7"/>
      <c r="Q75" s="10"/>
      <c r="R75" s="11"/>
      <c r="S75" s="11"/>
      <c r="T75" s="26"/>
      <c r="U75" s="28">
        <f t="shared" si="3"/>
        <v>-0.4069401760000001</v>
      </c>
    </row>
    <row r="76" spans="1:21" ht="16.5" thickBot="1" x14ac:dyDescent="0.3">
      <c r="B76" s="12"/>
      <c r="C76" s="19">
        <v>286.0625</v>
      </c>
      <c r="D76" s="20">
        <v>40.145299999999999</v>
      </c>
      <c r="E76" s="20">
        <v>45.431199999999997</v>
      </c>
      <c r="F76" s="20">
        <v>46.239699999999999</v>
      </c>
      <c r="G76" s="20">
        <v>29.890898221491554</v>
      </c>
      <c r="H76" s="20">
        <f t="shared" si="0"/>
        <v>41.567837499999996</v>
      </c>
      <c r="I76" s="5"/>
      <c r="J76" s="19">
        <v>273.30239999999998</v>
      </c>
      <c r="K76" s="20">
        <v>40.116999999999997</v>
      </c>
      <c r="L76" s="20">
        <v>45.630200000000002</v>
      </c>
      <c r="M76" s="20">
        <v>46.1203</v>
      </c>
      <c r="N76" s="20">
        <v>19.122299999999999</v>
      </c>
      <c r="O76" s="20">
        <f t="shared" si="1"/>
        <v>41.556562499999998</v>
      </c>
      <c r="P76" s="7"/>
      <c r="Q76" s="13"/>
      <c r="R76" s="14"/>
      <c r="S76" s="14"/>
      <c r="T76" s="27"/>
      <c r="U76" s="28">
        <f t="shared" si="3"/>
        <v>-0.3602634535</v>
      </c>
    </row>
    <row r="77" spans="1:21" x14ac:dyDescent="0.25">
      <c r="B77" s="6" t="s">
        <v>63</v>
      </c>
      <c r="C77" s="15">
        <v>1440.275390625</v>
      </c>
      <c r="D77" s="16">
        <v>42.846400000000003</v>
      </c>
      <c r="E77" s="16">
        <v>47.222099999999998</v>
      </c>
      <c r="F77" s="16">
        <v>48.116</v>
      </c>
      <c r="G77" s="16">
        <v>11.652974421721146</v>
      </c>
      <c r="H77" s="16">
        <f t="shared" si="0"/>
        <v>44.052062499999998</v>
      </c>
      <c r="I77" s="5"/>
      <c r="J77" s="15">
        <v>1535.0152</v>
      </c>
      <c r="K77" s="16">
        <v>43.033700000000003</v>
      </c>
      <c r="L77" s="16">
        <v>47.800199999999997</v>
      </c>
      <c r="M77" s="16">
        <v>48.7333</v>
      </c>
      <c r="N77" s="16">
        <v>7.1985999999999999</v>
      </c>
      <c r="O77" s="16">
        <f t="shared" si="1"/>
        <v>44.341962500000001</v>
      </c>
      <c r="P77" s="7"/>
      <c r="Q77" s="8">
        <f>bdrate(C77:C80,D77:D80,J77:J80,K77:K80)</f>
        <v>-2.9372315353386247E-2</v>
      </c>
      <c r="R77" s="8">
        <f>bdrate(C77:C80,E77:E80,J77:J80,L77:L80)</f>
        <v>-0.20829190156982624</v>
      </c>
      <c r="S77" s="8">
        <f>bdrate(C77:C80,F77:F80,J77:J80,M77:M80)</f>
        <v>-0.18547108182637195</v>
      </c>
      <c r="T77" s="25">
        <f>bdrate(C77:C80,H77:H80,J77:J80,O77:O80)</f>
        <v>-6.9110976757980724E-2</v>
      </c>
      <c r="U77" s="28">
        <f t="shared" si="3"/>
        <v>-0.38225214100000005</v>
      </c>
    </row>
    <row r="78" spans="1:21" x14ac:dyDescent="0.25">
      <c r="B78" s="9"/>
      <c r="C78" s="17">
        <v>963.015625</v>
      </c>
      <c r="D78" s="18">
        <v>42.138199999999998</v>
      </c>
      <c r="E78" s="18">
        <v>46.534100000000002</v>
      </c>
      <c r="F78" s="18">
        <v>47.4741</v>
      </c>
      <c r="G78" s="18">
        <v>14.382625788048038</v>
      </c>
      <c r="H78" s="18">
        <f t="shared" si="0"/>
        <v>43.354675</v>
      </c>
      <c r="I78" s="5"/>
      <c r="J78" s="17">
        <v>1020.7944</v>
      </c>
      <c r="K78" s="18">
        <v>42.333599999999997</v>
      </c>
      <c r="L78" s="18">
        <v>47.157600000000002</v>
      </c>
      <c r="M78" s="18">
        <v>48.089100000000002</v>
      </c>
      <c r="N78" s="18">
        <v>8.9753000000000007</v>
      </c>
      <c r="O78" s="18">
        <f t="shared" si="1"/>
        <v>43.656037499999996</v>
      </c>
      <c r="P78" s="7"/>
      <c r="Q78" s="10"/>
      <c r="R78" s="11"/>
      <c r="S78" s="11"/>
      <c r="T78" s="26"/>
      <c r="U78" s="28">
        <f t="shared" si="3"/>
        <v>-0.37596234983333332</v>
      </c>
    </row>
    <row r="79" spans="1:21" x14ac:dyDescent="0.25">
      <c r="B79" s="9"/>
      <c r="C79" s="17">
        <v>581.5439453125</v>
      </c>
      <c r="D79" s="18">
        <v>40.9315</v>
      </c>
      <c r="E79" s="18">
        <v>45.414499999999997</v>
      </c>
      <c r="F79" s="18">
        <v>46.367600000000003</v>
      </c>
      <c r="G79" s="18">
        <v>18.361538696942805</v>
      </c>
      <c r="H79" s="18">
        <f t="shared" si="0"/>
        <v>42.171387499999994</v>
      </c>
      <c r="I79" s="5"/>
      <c r="J79" s="17">
        <v>598.03920000000005</v>
      </c>
      <c r="K79" s="18">
        <v>41.070799999999998</v>
      </c>
      <c r="L79" s="18">
        <v>46.015000000000001</v>
      </c>
      <c r="M79" s="18">
        <v>46.902900000000002</v>
      </c>
      <c r="N79" s="18">
        <v>11.8383</v>
      </c>
      <c r="O79" s="18">
        <f t="shared" si="1"/>
        <v>42.417837499999997</v>
      </c>
      <c r="P79" s="7"/>
      <c r="Q79" s="10"/>
      <c r="R79" s="11"/>
      <c r="S79" s="11"/>
      <c r="T79" s="26"/>
      <c r="U79" s="28">
        <f t="shared" si="3"/>
        <v>-0.35526645150000002</v>
      </c>
    </row>
    <row r="80" spans="1:21" ht="16.5" thickBot="1" x14ac:dyDescent="0.3">
      <c r="B80" s="12"/>
      <c r="C80" s="19">
        <v>294.17578125</v>
      </c>
      <c r="D80" s="20">
        <v>38.532800000000002</v>
      </c>
      <c r="E80" s="20">
        <v>43.56</v>
      </c>
      <c r="F80" s="20">
        <v>44.6479</v>
      </c>
      <c r="G80" s="20">
        <v>25.901143967191885</v>
      </c>
      <c r="H80" s="20">
        <f t="shared" si="0"/>
        <v>39.925587499999999</v>
      </c>
      <c r="I80" s="5"/>
      <c r="J80" s="19">
        <v>291.29919999999998</v>
      </c>
      <c r="K80" s="20">
        <v>38.637500000000003</v>
      </c>
      <c r="L80" s="20">
        <v>44.134900000000002</v>
      </c>
      <c r="M80" s="20">
        <v>45.014200000000002</v>
      </c>
      <c r="N80" s="20">
        <v>17.510100000000001</v>
      </c>
      <c r="O80" s="20">
        <f t="shared" si="1"/>
        <v>40.121762500000003</v>
      </c>
      <c r="P80" s="7"/>
      <c r="Q80" s="13"/>
      <c r="R80" s="14"/>
      <c r="S80" s="14"/>
      <c r="T80" s="27"/>
      <c r="U80" s="28">
        <f t="shared" si="3"/>
        <v>-0.32396422249999995</v>
      </c>
    </row>
    <row r="81" spans="1:21" x14ac:dyDescent="0.25">
      <c r="A81" s="6" t="s">
        <v>94</v>
      </c>
      <c r="B81" s="6" t="s">
        <v>95</v>
      </c>
      <c r="C81" s="15">
        <v>1474.4560546875</v>
      </c>
      <c r="D81" s="16">
        <v>37.854300000000002</v>
      </c>
      <c r="E81" s="16">
        <v>43.393000000000001</v>
      </c>
      <c r="F81" s="16">
        <v>44.0473</v>
      </c>
      <c r="G81" s="16">
        <v>4.588559192413582</v>
      </c>
      <c r="H81" s="16">
        <f t="shared" ref="H81:H124" si="4">(6*D81+E81+F81)/8</f>
        <v>39.320762500000008</v>
      </c>
      <c r="I81" s="5"/>
      <c r="J81" s="15">
        <v>1516.8611000000001</v>
      </c>
      <c r="K81" s="16">
        <v>37.933</v>
      </c>
      <c r="L81" s="16">
        <v>43.979500000000002</v>
      </c>
      <c r="M81" s="16">
        <v>44.654299999999999</v>
      </c>
      <c r="N81" s="16">
        <v>3.3418999999999999</v>
      </c>
      <c r="O81" s="16">
        <f t="shared" ref="O81:O124" si="5">(6*K81+L81+M81)/8</f>
        <v>39.528974999999996</v>
      </c>
      <c r="P81" s="7"/>
      <c r="Q81" s="8">
        <f>bdrate(C81:C84,D81:D84,J81:J84,K81:K84)</f>
        <v>-1.1750164120519879E-2</v>
      </c>
      <c r="R81" s="8">
        <f>bdrate(C81:C84,E81:E84,J81:J84,L81:L84)</f>
        <v>-0.21136857433070977</v>
      </c>
      <c r="S81" s="8">
        <f>bdrate(C81:C84,F81:F84,J81:J84,M81:M84)</f>
        <v>-0.22073671475987755</v>
      </c>
      <c r="T81" s="25">
        <f>bdrate(C81:C84,H81:H84,J81:J84,O81:O84)</f>
        <v>-5.0371410034001474E-2</v>
      </c>
      <c r="U81" s="28">
        <f t="shared" si="3"/>
        <v>-0.27168859333333334</v>
      </c>
    </row>
    <row r="82" spans="1:21" x14ac:dyDescent="0.25">
      <c r="A82" s="9" t="s">
        <v>77</v>
      </c>
      <c r="B82" s="9"/>
      <c r="C82" s="17">
        <v>983.8623046875</v>
      </c>
      <c r="D82" s="18">
        <v>35.912100000000002</v>
      </c>
      <c r="E82" s="18">
        <v>42.03</v>
      </c>
      <c r="F82" s="18">
        <v>42.703600000000002</v>
      </c>
      <c r="G82" s="18">
        <v>5.5314833594542279</v>
      </c>
      <c r="H82" s="18">
        <f t="shared" si="4"/>
        <v>37.525775000000003</v>
      </c>
      <c r="I82" s="5"/>
      <c r="J82" s="17">
        <v>1013.4224</v>
      </c>
      <c r="K82" s="18">
        <v>36.070099999999996</v>
      </c>
      <c r="L82" s="18">
        <v>42.734200000000001</v>
      </c>
      <c r="M82" s="18">
        <v>43.437800000000003</v>
      </c>
      <c r="N82" s="18">
        <v>3.9514</v>
      </c>
      <c r="O82" s="18">
        <f t="shared" si="5"/>
        <v>37.824074999999993</v>
      </c>
      <c r="P82" s="7"/>
      <c r="Q82" s="10"/>
      <c r="R82" s="11"/>
      <c r="S82" s="11"/>
      <c r="T82" s="26"/>
      <c r="U82" s="28">
        <f t="shared" si="3"/>
        <v>-0.2856527366666668</v>
      </c>
    </row>
    <row r="83" spans="1:21" x14ac:dyDescent="0.25">
      <c r="B83" s="9"/>
      <c r="C83" s="17">
        <v>591.130859375</v>
      </c>
      <c r="D83" s="18">
        <v>33.484900000000003</v>
      </c>
      <c r="E83" s="18">
        <v>40.485999999999997</v>
      </c>
      <c r="F83" s="18">
        <v>41.152000000000001</v>
      </c>
      <c r="G83" s="18">
        <v>7.1754885311774981</v>
      </c>
      <c r="H83" s="18">
        <f t="shared" si="4"/>
        <v>35.318424999999998</v>
      </c>
      <c r="I83" s="5"/>
      <c r="J83" s="17">
        <v>609.40480000000002</v>
      </c>
      <c r="K83" s="18">
        <v>33.683999999999997</v>
      </c>
      <c r="L83" s="18">
        <v>41.311300000000003</v>
      </c>
      <c r="M83" s="18">
        <v>42.015999999999998</v>
      </c>
      <c r="N83" s="18">
        <v>4.9401000000000002</v>
      </c>
      <c r="O83" s="18">
        <f t="shared" si="5"/>
        <v>35.678912500000003</v>
      </c>
      <c r="P83" s="7"/>
      <c r="Q83" s="10"/>
      <c r="R83" s="11"/>
      <c r="S83" s="11"/>
      <c r="T83" s="26"/>
      <c r="U83" s="28">
        <f t="shared" si="3"/>
        <v>-0.31153119700000004</v>
      </c>
    </row>
    <row r="84" spans="1:21" ht="16.5" thickBot="1" x14ac:dyDescent="0.3">
      <c r="B84" s="12"/>
      <c r="C84" s="19">
        <v>295.576171875</v>
      </c>
      <c r="D84" s="20">
        <v>30.206199999999999</v>
      </c>
      <c r="E84" s="20">
        <v>38.509599999999999</v>
      </c>
      <c r="F84" s="20">
        <v>39.201799999999999</v>
      </c>
      <c r="G84" s="20">
        <v>10.567473317129874</v>
      </c>
      <c r="H84" s="20">
        <f t="shared" si="4"/>
        <v>32.368575</v>
      </c>
      <c r="I84" s="5"/>
      <c r="J84" s="19">
        <v>303.39729999999997</v>
      </c>
      <c r="K84" s="20">
        <v>30.511800000000001</v>
      </c>
      <c r="L84" s="20">
        <v>39.436300000000003</v>
      </c>
      <c r="M84" s="20">
        <v>40.1312</v>
      </c>
      <c r="N84" s="20">
        <v>7.1783000000000001</v>
      </c>
      <c r="O84" s="20">
        <f t="shared" si="5"/>
        <v>32.829787500000002</v>
      </c>
      <c r="P84" s="7"/>
      <c r="Q84" s="13"/>
      <c r="R84" s="14"/>
      <c r="S84" s="14"/>
      <c r="T84" s="27"/>
      <c r="U84" s="28">
        <f t="shared" si="3"/>
        <v>-0.32071747099999998</v>
      </c>
    </row>
    <row r="85" spans="1:21" x14ac:dyDescent="0.25">
      <c r="B85" s="6" t="s">
        <v>96</v>
      </c>
      <c r="C85" s="15">
        <v>1440.3330078125</v>
      </c>
      <c r="D85" s="16">
        <v>54.366999999999997</v>
      </c>
      <c r="E85" s="16">
        <v>54.964100000000002</v>
      </c>
      <c r="F85" s="16">
        <v>55.459099999999999</v>
      </c>
      <c r="G85" s="16">
        <v>17.90652792423549</v>
      </c>
      <c r="H85" s="16">
        <f t="shared" si="4"/>
        <v>54.578150000000001</v>
      </c>
      <c r="I85" s="5"/>
      <c r="J85" s="15">
        <v>1444.2365</v>
      </c>
      <c r="K85" s="16">
        <v>54.058399999999999</v>
      </c>
      <c r="L85" s="16">
        <v>54.897399999999998</v>
      </c>
      <c r="M85" s="16">
        <v>55.5854</v>
      </c>
      <c r="N85" s="16">
        <v>11.347</v>
      </c>
      <c r="O85" s="16">
        <f t="shared" si="5"/>
        <v>54.354149999999997</v>
      </c>
      <c r="P85" s="7"/>
      <c r="Q85" s="8">
        <f>bdrate(C85:C88,D85:D88,J85:J88,K85:K88)</f>
        <v>-7.6882679080246485E-2</v>
      </c>
      <c r="R85" s="8">
        <f>bdrate(C85:C88,E85:E88,J85:J88,L85:L88)</f>
        <v>-0.14097829785738025</v>
      </c>
      <c r="S85" s="8">
        <f>bdrate(C85:C88,F85:F88,J85:J88,M85:M88)</f>
        <v>-0.14371470454680235</v>
      </c>
      <c r="T85" s="25">
        <f>bdrate(C85:C88,H85:H88,J85:J88,O85:O88)</f>
        <v>-9.2142513382113433E-2</v>
      </c>
      <c r="U85" s="28">
        <f t="shared" si="3"/>
        <v>-0.36632048111111115</v>
      </c>
    </row>
    <row r="86" spans="1:21" x14ac:dyDescent="0.25">
      <c r="B86" s="9"/>
      <c r="C86" s="17">
        <v>961.939453125</v>
      </c>
      <c r="D86" s="18">
        <v>51.673299999999998</v>
      </c>
      <c r="E86" s="18">
        <v>52.587600000000002</v>
      </c>
      <c r="F86" s="18">
        <v>53.158200000000001</v>
      </c>
      <c r="G86" s="18">
        <v>20.501138952164009</v>
      </c>
      <c r="H86" s="18">
        <f t="shared" si="4"/>
        <v>51.973200000000006</v>
      </c>
      <c r="I86" s="5"/>
      <c r="J86" s="17">
        <v>982.12609999999995</v>
      </c>
      <c r="K86" s="18">
        <v>52.023499999999999</v>
      </c>
      <c r="L86" s="18">
        <v>53.270499999999998</v>
      </c>
      <c r="M86" s="18">
        <v>53.874099999999999</v>
      </c>
      <c r="N86" s="18">
        <v>12.4704</v>
      </c>
      <c r="O86" s="18">
        <f t="shared" si="5"/>
        <v>52.410699999999991</v>
      </c>
      <c r="P86" s="7"/>
      <c r="Q86" s="10"/>
      <c r="R86" s="11"/>
      <c r="S86" s="11"/>
      <c r="T86" s="26"/>
      <c r="U86" s="28">
        <f t="shared" si="3"/>
        <v>-0.3917216</v>
      </c>
    </row>
    <row r="87" spans="1:21" x14ac:dyDescent="0.25">
      <c r="B87" s="9"/>
      <c r="C87" s="17">
        <v>579.822265625</v>
      </c>
      <c r="D87" s="18">
        <v>48.2012</v>
      </c>
      <c r="E87" s="18">
        <v>49.508699999999997</v>
      </c>
      <c r="F87" s="18">
        <v>50.069499999999998</v>
      </c>
      <c r="G87" s="18">
        <v>24.57270791241195</v>
      </c>
      <c r="H87" s="18">
        <f t="shared" si="4"/>
        <v>48.598174999999998</v>
      </c>
      <c r="I87" s="5"/>
      <c r="J87" s="17">
        <v>604.41089999999997</v>
      </c>
      <c r="K87" s="18">
        <v>49.298400000000001</v>
      </c>
      <c r="L87" s="18">
        <v>50.869700000000002</v>
      </c>
      <c r="M87" s="18">
        <v>51.421300000000002</v>
      </c>
      <c r="N87" s="18">
        <v>14.5718</v>
      </c>
      <c r="O87" s="18">
        <f t="shared" si="5"/>
        <v>49.760175000000004</v>
      </c>
      <c r="P87" s="7"/>
      <c r="Q87" s="10"/>
      <c r="R87" s="11"/>
      <c r="S87" s="11"/>
      <c r="T87" s="26"/>
      <c r="U87" s="28">
        <f t="shared" si="3"/>
        <v>-0.40699250355555561</v>
      </c>
    </row>
    <row r="88" spans="1:21" ht="16.5" thickBot="1" x14ac:dyDescent="0.3">
      <c r="B88" s="12"/>
      <c r="C88" s="19">
        <v>290.8310546875</v>
      </c>
      <c r="D88" s="20">
        <v>43.865299999999998</v>
      </c>
      <c r="E88" s="20">
        <v>45.557200000000002</v>
      </c>
      <c r="F88" s="20">
        <v>46.086399999999998</v>
      </c>
      <c r="G88" s="20">
        <v>31.706887440549583</v>
      </c>
      <c r="H88" s="20">
        <f t="shared" si="4"/>
        <v>44.354425000000006</v>
      </c>
      <c r="I88" s="5"/>
      <c r="J88" s="19">
        <v>310.11649999999997</v>
      </c>
      <c r="K88" s="20">
        <v>44.71</v>
      </c>
      <c r="L88" s="20">
        <v>46.988900000000001</v>
      </c>
      <c r="M88" s="20">
        <v>47.512700000000002</v>
      </c>
      <c r="N88" s="20">
        <v>19.223800000000001</v>
      </c>
      <c r="O88" s="20">
        <f t="shared" si="5"/>
        <v>45.345199999999998</v>
      </c>
      <c r="P88" s="7"/>
      <c r="Q88" s="13"/>
      <c r="R88" s="14"/>
      <c r="S88" s="14"/>
      <c r="T88" s="27"/>
      <c r="U88" s="28">
        <f t="shared" si="3"/>
        <v>-0.39370270777777772</v>
      </c>
    </row>
    <row r="89" spans="1:21" x14ac:dyDescent="0.25">
      <c r="B89" s="6" t="s">
        <v>97</v>
      </c>
      <c r="C89" s="15">
        <v>1454.94921875</v>
      </c>
      <c r="D89" s="16">
        <v>45.563200000000002</v>
      </c>
      <c r="E89" s="16">
        <v>47.733499999999999</v>
      </c>
      <c r="F89" s="16">
        <v>48.235300000000002</v>
      </c>
      <c r="G89" s="16">
        <v>8.5631915966546472</v>
      </c>
      <c r="H89" s="16">
        <f t="shared" si="4"/>
        <v>46.168500000000002</v>
      </c>
      <c r="I89" s="5"/>
      <c r="J89" s="15">
        <v>1448.0871999999999</v>
      </c>
      <c r="K89" s="16">
        <v>45.732300000000002</v>
      </c>
      <c r="L89" s="16">
        <v>48.339300000000001</v>
      </c>
      <c r="M89" s="16">
        <v>48.848100000000002</v>
      </c>
      <c r="N89" s="16">
        <v>6.0206</v>
      </c>
      <c r="O89" s="16">
        <f t="shared" si="5"/>
        <v>46.447649999999996</v>
      </c>
      <c r="P89" s="7"/>
      <c r="Q89" s="8">
        <f>bdrate(C89:C92,D89:D92,J89:J92,K89:K92)</f>
        <v>-7.0651205422335606E-2</v>
      </c>
      <c r="R89" s="8">
        <f>bdrate(C89:C92,E89:E92,J89:J92,L89:L92)</f>
        <v>-0.2019957098288061</v>
      </c>
      <c r="S89" s="8">
        <f>bdrate(C89:C92,F89:F92,J89:J92,M89:M92)</f>
        <v>-0.18759811012721916</v>
      </c>
      <c r="T89" s="25">
        <f>bdrate(C89:C92,H89:H92,J89:J92,O89:O92)</f>
        <v>-9.6685745834739767E-2</v>
      </c>
      <c r="U89" s="28">
        <f t="shared" si="3"/>
        <v>-0.29692102155555561</v>
      </c>
    </row>
    <row r="90" spans="1:21" x14ac:dyDescent="0.25">
      <c r="B90" s="9"/>
      <c r="C90" s="17">
        <v>971.6787109375</v>
      </c>
      <c r="D90" s="18">
        <v>43.484699999999997</v>
      </c>
      <c r="E90" s="18">
        <v>46.0745</v>
      </c>
      <c r="F90" s="18">
        <v>46.594299999999997</v>
      </c>
      <c r="G90" s="18">
        <v>10.190794315801393</v>
      </c>
      <c r="H90" s="18">
        <f t="shared" si="4"/>
        <v>44.197124999999993</v>
      </c>
      <c r="I90" s="5"/>
      <c r="J90" s="17">
        <v>985.81489999999997</v>
      </c>
      <c r="K90" s="18">
        <v>43.897300000000001</v>
      </c>
      <c r="L90" s="18">
        <v>46.965800000000002</v>
      </c>
      <c r="M90" s="18">
        <v>47.457799999999999</v>
      </c>
      <c r="N90" s="18">
        <v>7.1245000000000003</v>
      </c>
      <c r="O90" s="18">
        <f t="shared" si="5"/>
        <v>44.725925000000004</v>
      </c>
      <c r="P90" s="7"/>
      <c r="Q90" s="10"/>
      <c r="R90" s="11"/>
      <c r="S90" s="11"/>
      <c r="T90" s="26"/>
      <c r="U90" s="28">
        <f t="shared" si="3"/>
        <v>-0.30088864722222219</v>
      </c>
    </row>
    <row r="91" spans="1:21" x14ac:dyDescent="0.25">
      <c r="B91" s="9"/>
      <c r="C91" s="17">
        <v>587.0458984375</v>
      </c>
      <c r="D91" s="18">
        <v>40.833399999999997</v>
      </c>
      <c r="E91" s="18">
        <v>44.101399999999998</v>
      </c>
      <c r="F91" s="18">
        <v>44.621699999999997</v>
      </c>
      <c r="G91" s="18">
        <v>12.674092746194253</v>
      </c>
      <c r="H91" s="18">
        <f t="shared" si="4"/>
        <v>41.715437499999993</v>
      </c>
      <c r="I91" s="5"/>
      <c r="J91" s="17">
        <v>586.5181</v>
      </c>
      <c r="K91" s="18">
        <v>41.277799999999999</v>
      </c>
      <c r="L91" s="18">
        <v>45</v>
      </c>
      <c r="M91" s="18">
        <v>45.445900000000002</v>
      </c>
      <c r="N91" s="18">
        <v>8.6405999999999992</v>
      </c>
      <c r="O91" s="18">
        <f t="shared" si="5"/>
        <v>42.264087499999995</v>
      </c>
      <c r="P91" s="7"/>
      <c r="Q91" s="10"/>
      <c r="R91" s="11"/>
      <c r="S91" s="11"/>
      <c r="T91" s="26"/>
      <c r="U91" s="28">
        <f t="shared" si="3"/>
        <v>-0.31824705933333347</v>
      </c>
    </row>
    <row r="92" spans="1:21" ht="16.5" thickBot="1" x14ac:dyDescent="0.3">
      <c r="B92" s="12"/>
      <c r="C92" s="19">
        <v>295.1259765625</v>
      </c>
      <c r="D92" s="20">
        <v>37.115000000000002</v>
      </c>
      <c r="E92" s="20">
        <v>41.422800000000002</v>
      </c>
      <c r="F92" s="20">
        <v>41.952300000000001</v>
      </c>
      <c r="G92" s="20">
        <v>17.173278378842522</v>
      </c>
      <c r="H92" s="20">
        <f t="shared" si="4"/>
        <v>38.258137499999997</v>
      </c>
      <c r="I92" s="5"/>
      <c r="J92" s="19">
        <v>297.37169999999998</v>
      </c>
      <c r="K92" s="20">
        <v>37.515599999999999</v>
      </c>
      <c r="L92" s="20">
        <v>42.3964</v>
      </c>
      <c r="M92" s="20">
        <v>42.787799999999997</v>
      </c>
      <c r="N92" s="20">
        <v>11.472099999999999</v>
      </c>
      <c r="O92" s="20">
        <f t="shared" si="5"/>
        <v>38.784725000000002</v>
      </c>
      <c r="P92" s="7"/>
      <c r="Q92" s="13"/>
      <c r="R92" s="14"/>
      <c r="S92" s="14"/>
      <c r="T92" s="27"/>
      <c r="U92" s="28">
        <f t="shared" si="3"/>
        <v>-0.33197961700000006</v>
      </c>
    </row>
    <row r="93" spans="1:21" x14ac:dyDescent="0.25">
      <c r="B93" s="6" t="s">
        <v>98</v>
      </c>
      <c r="C93" s="29">
        <v>1452.13671875</v>
      </c>
      <c r="D93" s="30">
        <v>39.75</v>
      </c>
      <c r="E93" s="30">
        <v>43.700499999999998</v>
      </c>
      <c r="F93" s="30">
        <v>43.503999999999998</v>
      </c>
      <c r="G93" s="16">
        <v>6.8360487638145155</v>
      </c>
      <c r="H93" s="16">
        <f t="shared" si="4"/>
        <v>40.713062499999999</v>
      </c>
      <c r="I93" s="5"/>
      <c r="J93" s="29">
        <v>1511.796</v>
      </c>
      <c r="K93" s="30">
        <v>39.868200000000002</v>
      </c>
      <c r="L93" s="30">
        <v>44.221699999999998</v>
      </c>
      <c r="M93" s="30">
        <v>43.998100000000001</v>
      </c>
      <c r="N93" s="16">
        <v>4.7527999999999997</v>
      </c>
      <c r="O93" s="16">
        <f t="shared" si="5"/>
        <v>40.928625000000004</v>
      </c>
      <c r="P93" s="7"/>
      <c r="Q93" s="8">
        <f>bdrate(C93:C96,D93:D96,J93:J96,K93:K96)</f>
        <v>7.8246177225438363E-3</v>
      </c>
      <c r="R93" s="8">
        <f>bdrate(C93:C96,E93:E96,J93:J96,L93:L96)</f>
        <v>-0.15157442002170363</v>
      </c>
      <c r="S93" s="8">
        <f>bdrate(C93:C96,F93:F96,J93:J96,M93:M96)</f>
        <v>-0.1370267925638804</v>
      </c>
      <c r="T93" s="25">
        <f>bdrate(C93:C96,H93:H96,J93:J96,O93:O96)</f>
        <v>-2.1417310731079109E-2</v>
      </c>
      <c r="U93" s="28">
        <f t="shared" si="3"/>
        <v>-0.30474457333333344</v>
      </c>
    </row>
    <row r="94" spans="1:21" x14ac:dyDescent="0.25">
      <c r="B94" s="9"/>
      <c r="C94" s="31">
        <v>969.05859375</v>
      </c>
      <c r="D94" s="32">
        <v>37.874299999999998</v>
      </c>
      <c r="E94" s="32">
        <v>42.383899999999997</v>
      </c>
      <c r="F94" s="32">
        <v>42.1511</v>
      </c>
      <c r="G94" s="18">
        <v>8.3514280942041097</v>
      </c>
      <c r="H94" s="18">
        <f t="shared" si="4"/>
        <v>38.972599999999993</v>
      </c>
      <c r="I94" s="5"/>
      <c r="J94" s="31">
        <v>1006.2069</v>
      </c>
      <c r="K94" s="32">
        <v>37.984200000000001</v>
      </c>
      <c r="L94" s="32">
        <v>42.932899999999997</v>
      </c>
      <c r="M94" s="32">
        <v>42.671799999999998</v>
      </c>
      <c r="N94" s="18">
        <v>5.7027000000000001</v>
      </c>
      <c r="O94" s="18">
        <f t="shared" si="5"/>
        <v>39.188737500000002</v>
      </c>
      <c r="P94" s="7"/>
      <c r="Q94" s="10"/>
      <c r="R94" s="11"/>
      <c r="S94" s="11"/>
      <c r="T94" s="26"/>
      <c r="U94" s="28">
        <f t="shared" si="3"/>
        <v>-0.31715870200000007</v>
      </c>
    </row>
    <row r="95" spans="1:21" x14ac:dyDescent="0.25">
      <c r="B95" s="9"/>
      <c r="C95" s="31">
        <v>584.6982421875</v>
      </c>
      <c r="D95" s="32">
        <v>35.592300000000002</v>
      </c>
      <c r="E95" s="32">
        <v>40.832999999999998</v>
      </c>
      <c r="F95" s="32">
        <v>40.566299999999998</v>
      </c>
      <c r="G95" s="18">
        <v>10.687566797292481</v>
      </c>
      <c r="H95" s="18">
        <f t="shared" si="4"/>
        <v>36.869137500000001</v>
      </c>
      <c r="I95" s="5"/>
      <c r="J95" s="31">
        <v>603.22609999999997</v>
      </c>
      <c r="K95" s="32">
        <v>35.686900000000001</v>
      </c>
      <c r="L95" s="32">
        <v>41.424999999999997</v>
      </c>
      <c r="M95" s="32">
        <v>41.123800000000003</v>
      </c>
      <c r="N95" s="18">
        <v>7.1161000000000003</v>
      </c>
      <c r="O95" s="18">
        <f t="shared" si="5"/>
        <v>37.083775000000003</v>
      </c>
      <c r="P95" s="7"/>
      <c r="Q95" s="10"/>
      <c r="R95" s="11"/>
      <c r="S95" s="11"/>
      <c r="T95" s="26"/>
      <c r="U95" s="28">
        <f t="shared" si="3"/>
        <v>-0.33417024333333317</v>
      </c>
    </row>
    <row r="96" spans="1:21" ht="16.5" thickBot="1" x14ac:dyDescent="0.3">
      <c r="B96" s="12"/>
      <c r="C96" s="33">
        <v>294.8076171875</v>
      </c>
      <c r="D96" s="34">
        <v>32.517299999999999</v>
      </c>
      <c r="E96" s="34">
        <v>38.977699999999999</v>
      </c>
      <c r="F96" s="34">
        <v>38.657499999999999</v>
      </c>
      <c r="G96" s="20">
        <v>15.147944928804659</v>
      </c>
      <c r="H96" s="20">
        <f t="shared" si="4"/>
        <v>34.092374999999997</v>
      </c>
      <c r="I96" s="5"/>
      <c r="J96" s="33">
        <v>301.36160000000001</v>
      </c>
      <c r="K96" s="34">
        <v>32.673999999999999</v>
      </c>
      <c r="L96" s="34">
        <v>39.5974</v>
      </c>
      <c r="M96" s="34">
        <v>39.2196</v>
      </c>
      <c r="N96" s="20">
        <v>9.8272999999999993</v>
      </c>
      <c r="O96" s="20">
        <f t="shared" si="5"/>
        <v>34.357624999999999</v>
      </c>
      <c r="P96" s="7"/>
      <c r="Q96" s="13"/>
      <c r="R96" s="14"/>
      <c r="S96" s="14"/>
      <c r="T96" s="27"/>
      <c r="U96" s="28">
        <f t="shared" si="3"/>
        <v>-0.35124533088888893</v>
      </c>
    </row>
    <row r="97" spans="2:21" x14ac:dyDescent="0.25">
      <c r="B97" s="6" t="s">
        <v>99</v>
      </c>
      <c r="C97" s="15">
        <v>1457.966796875</v>
      </c>
      <c r="D97" s="16">
        <v>38.745399999999997</v>
      </c>
      <c r="E97" s="16">
        <v>43.069800000000001</v>
      </c>
      <c r="F97" s="16">
        <v>43.5032</v>
      </c>
      <c r="G97" s="16">
        <v>8.3899656011410357</v>
      </c>
      <c r="H97" s="16">
        <f t="shared" si="4"/>
        <v>39.880674999999997</v>
      </c>
      <c r="I97" s="5"/>
      <c r="J97" s="15">
        <v>1509.7507000000001</v>
      </c>
      <c r="K97" s="16">
        <v>38.787999999999997</v>
      </c>
      <c r="L97" s="16">
        <v>43.719000000000001</v>
      </c>
      <c r="M97" s="16">
        <v>44.151400000000002</v>
      </c>
      <c r="N97" s="16">
        <v>5.7911000000000001</v>
      </c>
      <c r="O97" s="16">
        <f t="shared" si="5"/>
        <v>40.074800000000003</v>
      </c>
      <c r="P97" s="7"/>
      <c r="Q97" s="8">
        <f>bdrate(C97:C100,D97:D100,J97:J100,K97:K100)</f>
        <v>8.4435866577694529E-3</v>
      </c>
      <c r="R97" s="8">
        <f>bdrate(C97:C100,E97:E100,J97:J100,L97:L100)</f>
        <v>-0.1913831607942148</v>
      </c>
      <c r="S97" s="8">
        <f>bdrate(C97:C100,F97:F100,J97:J100,M97:M100)</f>
        <v>-0.19526368625512502</v>
      </c>
      <c r="T97" s="25">
        <f>bdrate(C97:C100,H97:H100,J97:J100,O97:O100)</f>
        <v>-3.4006365328203225E-2</v>
      </c>
      <c r="U97" s="28">
        <f t="shared" si="3"/>
        <v>-0.30975879100000003</v>
      </c>
    </row>
    <row r="98" spans="2:21" x14ac:dyDescent="0.25">
      <c r="B98" s="9"/>
      <c r="C98" s="17">
        <v>975.517578125</v>
      </c>
      <c r="D98" s="18">
        <v>36.839399999999998</v>
      </c>
      <c r="E98" s="18">
        <v>41.596499999999999</v>
      </c>
      <c r="F98" s="18">
        <v>42.100900000000003</v>
      </c>
      <c r="G98" s="18">
        <v>10.078274599388584</v>
      </c>
      <c r="H98" s="18">
        <f t="shared" si="4"/>
        <v>38.091725000000004</v>
      </c>
      <c r="I98" s="5"/>
      <c r="J98" s="17">
        <v>1005.9565</v>
      </c>
      <c r="K98" s="18">
        <v>36.865699999999997</v>
      </c>
      <c r="L98" s="18">
        <v>42.357999999999997</v>
      </c>
      <c r="M98" s="18">
        <v>42.844999999999999</v>
      </c>
      <c r="N98" s="18">
        <v>6.9725000000000001</v>
      </c>
      <c r="O98" s="18">
        <f t="shared" si="5"/>
        <v>38.29965</v>
      </c>
      <c r="P98" s="7"/>
      <c r="Q98" s="10"/>
      <c r="R98" s="11"/>
      <c r="S98" s="11"/>
      <c r="T98" s="26"/>
      <c r="U98" s="28">
        <f t="shared" si="3"/>
        <v>-0.30816530833333322</v>
      </c>
    </row>
    <row r="99" spans="2:21" x14ac:dyDescent="0.25">
      <c r="B99" s="9"/>
      <c r="C99" s="17">
        <v>589.1650390625</v>
      </c>
      <c r="D99" s="18">
        <v>34.404299999999999</v>
      </c>
      <c r="E99" s="18">
        <v>39.717599999999997</v>
      </c>
      <c r="F99" s="18">
        <v>40.260199999999998</v>
      </c>
      <c r="G99" s="18">
        <v>12.701280006774017</v>
      </c>
      <c r="H99" s="18">
        <f t="shared" si="4"/>
        <v>35.800449999999998</v>
      </c>
      <c r="I99" s="5"/>
      <c r="J99" s="17">
        <v>605.40449999999998</v>
      </c>
      <c r="K99" s="18">
        <v>34.5152</v>
      </c>
      <c r="L99" s="18">
        <v>40.611199999999997</v>
      </c>
      <c r="M99" s="18">
        <v>41.140599999999999</v>
      </c>
      <c r="N99" s="18">
        <v>8.5503999999999998</v>
      </c>
      <c r="O99" s="18">
        <f t="shared" si="5"/>
        <v>36.105375000000002</v>
      </c>
      <c r="P99" s="7"/>
      <c r="Q99" s="10"/>
      <c r="R99" s="11"/>
      <c r="S99" s="11"/>
      <c r="T99" s="26"/>
      <c r="U99" s="28">
        <f t="shared" si="3"/>
        <v>-0.32680800711111113</v>
      </c>
    </row>
    <row r="100" spans="2:21" ht="16.5" thickBot="1" x14ac:dyDescent="0.3">
      <c r="B100" s="12"/>
      <c r="C100" s="19">
        <v>295.740234375</v>
      </c>
      <c r="D100" s="20">
        <v>31.036100000000001</v>
      </c>
      <c r="E100" s="20">
        <v>37.4</v>
      </c>
      <c r="F100" s="20">
        <v>38.021999999999998</v>
      </c>
      <c r="G100" s="20">
        <v>17.644291091593473</v>
      </c>
      <c r="H100" s="20">
        <f t="shared" si="4"/>
        <v>32.704825</v>
      </c>
      <c r="I100" s="5"/>
      <c r="J100" s="19">
        <v>302.54239999999999</v>
      </c>
      <c r="K100" s="20">
        <v>31.2332</v>
      </c>
      <c r="L100" s="20">
        <v>38.301000000000002</v>
      </c>
      <c r="M100" s="20">
        <v>38.933300000000003</v>
      </c>
      <c r="N100" s="20">
        <v>11.3988</v>
      </c>
      <c r="O100" s="20">
        <f t="shared" si="5"/>
        <v>33.079187500000003</v>
      </c>
      <c r="P100" s="7"/>
      <c r="Q100" s="13"/>
      <c r="R100" s="14"/>
      <c r="S100" s="14"/>
      <c r="T100" s="27"/>
      <c r="U100" s="28">
        <f t="shared" si="3"/>
        <v>-0.35396667733333326</v>
      </c>
    </row>
    <row r="101" spans="2:21" x14ac:dyDescent="0.25">
      <c r="B101" s="6" t="s">
        <v>100</v>
      </c>
      <c r="C101" s="15">
        <v>1478.134765625</v>
      </c>
      <c r="D101" s="16">
        <v>38.918799999999997</v>
      </c>
      <c r="E101" s="16">
        <v>44.343499999999999</v>
      </c>
      <c r="F101" s="16">
        <v>46.467500000000001</v>
      </c>
      <c r="G101" s="16">
        <v>5.8040176700093511</v>
      </c>
      <c r="H101" s="16">
        <f t="shared" si="4"/>
        <v>40.540475000000001</v>
      </c>
      <c r="I101" s="5"/>
      <c r="J101" s="15">
        <v>1522.8572999999999</v>
      </c>
      <c r="K101" s="16">
        <v>38.7727</v>
      </c>
      <c r="L101" s="16">
        <v>44.712899999999998</v>
      </c>
      <c r="M101" s="16">
        <v>46.715899999999998</v>
      </c>
      <c r="N101" s="16">
        <v>4.3273000000000001</v>
      </c>
      <c r="O101" s="16">
        <f t="shared" si="5"/>
        <v>40.508125</v>
      </c>
      <c r="P101" s="7"/>
      <c r="Q101" s="8">
        <f>bdrate(C101:C104,D101:D104,J101:J104,K101:K104)</f>
        <v>5.3169889357563838E-2</v>
      </c>
      <c r="R101" s="8">
        <f>bdrate(C101:C104,E101:E104,J101:J104,L101:L104)</f>
        <v>-0.15068181305718076</v>
      </c>
      <c r="S101" s="8">
        <f>bdrate(C101:C104,F101:F104,J101:J104,M101:M104)</f>
        <v>-9.737910601015809E-2</v>
      </c>
      <c r="T101" s="25">
        <f>bdrate(C101:C104,H101:H104,J101:J104,O101:O104)</f>
        <v>1.86793553128346E-2</v>
      </c>
      <c r="U101" s="28">
        <f t="shared" si="3"/>
        <v>-0.25443025055555557</v>
      </c>
    </row>
    <row r="102" spans="2:21" x14ac:dyDescent="0.25">
      <c r="B102" s="9"/>
      <c r="C102" s="17">
        <v>985.4462890625</v>
      </c>
      <c r="D102" s="18">
        <v>37.420099999999998</v>
      </c>
      <c r="E102" s="18">
        <v>43.387700000000002</v>
      </c>
      <c r="F102" s="18">
        <v>45.513599999999997</v>
      </c>
      <c r="G102" s="18">
        <v>7.1720576633436135</v>
      </c>
      <c r="H102" s="18">
        <f t="shared" si="4"/>
        <v>39.177737499999999</v>
      </c>
      <c r="I102" s="5"/>
      <c r="J102" s="17">
        <v>1016.1584</v>
      </c>
      <c r="K102" s="18">
        <v>37.371899999999997</v>
      </c>
      <c r="L102" s="18">
        <v>43.835500000000003</v>
      </c>
      <c r="M102" s="18">
        <v>45.850299999999997</v>
      </c>
      <c r="N102" s="18">
        <v>5.2278000000000002</v>
      </c>
      <c r="O102" s="18">
        <f t="shared" si="5"/>
        <v>39.239649999999997</v>
      </c>
      <c r="P102" s="7"/>
      <c r="Q102" s="10"/>
      <c r="R102" s="11"/>
      <c r="S102" s="11"/>
      <c r="T102" s="26"/>
      <c r="U102" s="28">
        <f t="shared" si="3"/>
        <v>-0.27108784599999997</v>
      </c>
    </row>
    <row r="103" spans="2:21" x14ac:dyDescent="0.25">
      <c r="B103" s="9"/>
      <c r="C103" s="17">
        <v>592.0791015625</v>
      </c>
      <c r="D103" s="18">
        <v>35.627200000000002</v>
      </c>
      <c r="E103" s="18">
        <v>42.193600000000004</v>
      </c>
      <c r="F103" s="18">
        <v>44.2483</v>
      </c>
      <c r="G103" s="18">
        <v>9.3651470848378278</v>
      </c>
      <c r="H103" s="18">
        <f t="shared" si="4"/>
        <v>37.525637500000002</v>
      </c>
      <c r="I103" s="5"/>
      <c r="J103" s="17">
        <v>606.38959999999997</v>
      </c>
      <c r="K103" s="18">
        <v>35.512</v>
      </c>
      <c r="L103" s="18">
        <v>42.603099999999998</v>
      </c>
      <c r="M103" s="18">
        <v>44.533499999999997</v>
      </c>
      <c r="N103" s="18">
        <v>6.6215999999999999</v>
      </c>
      <c r="O103" s="18">
        <f t="shared" si="5"/>
        <v>37.526074999999999</v>
      </c>
      <c r="P103" s="7"/>
      <c r="Q103" s="10"/>
      <c r="R103" s="11"/>
      <c r="S103" s="11"/>
      <c r="T103" s="26"/>
      <c r="U103" s="28">
        <f t="shared" si="3"/>
        <v>-0.2929529093333334</v>
      </c>
    </row>
    <row r="104" spans="2:21" ht="16.5" thickBot="1" x14ac:dyDescent="0.3">
      <c r="B104" s="12"/>
      <c r="C104" s="19">
        <v>297.2734375</v>
      </c>
      <c r="D104" s="20">
        <v>33.357300000000002</v>
      </c>
      <c r="E104" s="20">
        <v>40.777099999999997</v>
      </c>
      <c r="F104" s="20">
        <v>42.649700000000003</v>
      </c>
      <c r="G104" s="20">
        <v>13.8942493245851</v>
      </c>
      <c r="H104" s="20">
        <f t="shared" si="4"/>
        <v>35.446325000000002</v>
      </c>
      <c r="I104" s="5"/>
      <c r="J104" s="19">
        <v>301.6293</v>
      </c>
      <c r="K104" s="20">
        <v>33.277299999999997</v>
      </c>
      <c r="L104" s="20">
        <v>41.183500000000002</v>
      </c>
      <c r="M104" s="20">
        <v>42.955800000000004</v>
      </c>
      <c r="N104" s="20">
        <v>9.3010999999999999</v>
      </c>
      <c r="O104" s="20">
        <f t="shared" si="5"/>
        <v>35.475387499999997</v>
      </c>
      <c r="P104" s="7"/>
      <c r="Q104" s="13"/>
      <c r="R104" s="14"/>
      <c r="S104" s="14"/>
      <c r="T104" s="27"/>
      <c r="U104" s="28">
        <f t="shared" si="3"/>
        <v>-0.33057916388888881</v>
      </c>
    </row>
    <row r="105" spans="2:21" x14ac:dyDescent="0.25">
      <c r="B105" s="6" t="s">
        <v>101</v>
      </c>
      <c r="C105" s="15">
        <v>1455.296875</v>
      </c>
      <c r="D105" s="16">
        <v>51.281399999999998</v>
      </c>
      <c r="E105" s="16">
        <v>56.755299999999998</v>
      </c>
      <c r="F105" s="16">
        <v>56.878700000000002</v>
      </c>
      <c r="G105" s="16">
        <v>7.6145353018317188</v>
      </c>
      <c r="H105" s="16">
        <f t="shared" si="4"/>
        <v>52.665299999999995</v>
      </c>
      <c r="I105" s="5"/>
      <c r="J105" s="15">
        <v>1507.1717000000001</v>
      </c>
      <c r="K105" s="16">
        <v>51.609099999999998</v>
      </c>
      <c r="L105" s="16">
        <v>57.480600000000003</v>
      </c>
      <c r="M105" s="16">
        <v>57.568199999999997</v>
      </c>
      <c r="N105" s="16">
        <v>4.9692999999999996</v>
      </c>
      <c r="O105" s="16">
        <f t="shared" si="5"/>
        <v>53.087924999999991</v>
      </c>
      <c r="P105" s="7"/>
      <c r="Q105" s="8">
        <f>bdrate(C105:C108,D105:D108,J105:J108,K105:K108)</f>
        <v>-4.7442368651679612E-2</v>
      </c>
      <c r="R105" s="8">
        <f>bdrate(C105:C108,E105:E108,J105:J108,L105:L108)</f>
        <v>-0.20600037372208702</v>
      </c>
      <c r="S105" s="8">
        <f>bdrate(C105:C108,F105:F108,J105:J108,M105:M108)</f>
        <v>-0.18232987199065331</v>
      </c>
      <c r="T105" s="25">
        <f>bdrate(C105:C108,H105:H108,J105:J108,O105:O108)</f>
        <v>-8.2673946324813952E-2</v>
      </c>
      <c r="U105" s="28">
        <f t="shared" si="3"/>
        <v>-0.34739287388888895</v>
      </c>
    </row>
    <row r="106" spans="2:21" x14ac:dyDescent="0.25">
      <c r="B106" s="9"/>
      <c r="C106" s="17">
        <v>969.693359375</v>
      </c>
      <c r="D106" s="18">
        <v>49.661700000000003</v>
      </c>
      <c r="E106" s="18">
        <v>55.2896</v>
      </c>
      <c r="F106" s="18">
        <v>55.3767</v>
      </c>
      <c r="G106" s="18">
        <v>10.031096398836393</v>
      </c>
      <c r="H106" s="18">
        <f t="shared" si="4"/>
        <v>51.079562500000009</v>
      </c>
      <c r="I106" s="5"/>
      <c r="J106" s="17">
        <v>1006.3407999999999</v>
      </c>
      <c r="K106" s="18">
        <v>50.016399999999997</v>
      </c>
      <c r="L106" s="18">
        <v>56.168700000000001</v>
      </c>
      <c r="M106" s="18">
        <v>56.182499999999997</v>
      </c>
      <c r="N106" s="18">
        <v>6.0320999999999998</v>
      </c>
      <c r="O106" s="18">
        <f t="shared" si="5"/>
        <v>51.556199999999997</v>
      </c>
      <c r="P106" s="7"/>
      <c r="Q106" s="10"/>
      <c r="R106" s="11"/>
      <c r="S106" s="11"/>
      <c r="T106" s="26"/>
      <c r="U106" s="28">
        <f t="shared" si="3"/>
        <v>-0.39865995100000001</v>
      </c>
    </row>
    <row r="107" spans="2:21" x14ac:dyDescent="0.25">
      <c r="B107" s="9"/>
      <c r="C107" s="17">
        <v>581.5078125</v>
      </c>
      <c r="D107" s="18">
        <v>47.519199999999998</v>
      </c>
      <c r="E107" s="18">
        <v>53.491700000000002</v>
      </c>
      <c r="F107" s="18">
        <v>53.422899999999998</v>
      </c>
      <c r="G107" s="18">
        <v>13.978845347374309</v>
      </c>
      <c r="H107" s="18">
        <f t="shared" si="4"/>
        <v>49.003724999999989</v>
      </c>
      <c r="I107" s="5"/>
      <c r="J107" s="17">
        <v>602.96079999999995</v>
      </c>
      <c r="K107" s="18">
        <v>47.877200000000002</v>
      </c>
      <c r="L107" s="18">
        <v>54.472700000000003</v>
      </c>
      <c r="M107" s="18">
        <v>54.357700000000001</v>
      </c>
      <c r="N107" s="18">
        <v>7.9587000000000003</v>
      </c>
      <c r="O107" s="18">
        <f t="shared" si="5"/>
        <v>49.511700000000005</v>
      </c>
      <c r="P107" s="7"/>
      <c r="Q107" s="10"/>
      <c r="R107" s="11"/>
      <c r="S107" s="11"/>
      <c r="T107" s="26"/>
      <c r="U107" s="28">
        <f t="shared" si="3"/>
        <v>-0.43066113100000003</v>
      </c>
    </row>
    <row r="108" spans="2:21" ht="16.5" thickBot="1" x14ac:dyDescent="0.3">
      <c r="B108" s="12"/>
      <c r="C108" s="19">
        <v>291.47265625</v>
      </c>
      <c r="D108" s="20">
        <v>44.4377</v>
      </c>
      <c r="E108" s="20">
        <v>50.686599999999999</v>
      </c>
      <c r="F108" s="20">
        <v>50.511600000000001</v>
      </c>
      <c r="G108" s="20">
        <v>21.661692500240683</v>
      </c>
      <c r="H108" s="20">
        <f t="shared" si="4"/>
        <v>45.978049999999996</v>
      </c>
      <c r="I108" s="5"/>
      <c r="J108" s="19">
        <v>300.25360000000001</v>
      </c>
      <c r="K108" s="20">
        <v>44.8018</v>
      </c>
      <c r="L108" s="20">
        <v>51.846800000000002</v>
      </c>
      <c r="M108" s="20">
        <v>51.610700000000001</v>
      </c>
      <c r="N108" s="20">
        <v>11.993</v>
      </c>
      <c r="O108" s="20">
        <f t="shared" si="5"/>
        <v>46.533537500000001</v>
      </c>
      <c r="P108" s="7"/>
      <c r="Q108" s="13"/>
      <c r="R108" s="14"/>
      <c r="S108" s="14"/>
      <c r="T108" s="27"/>
      <c r="U108" s="28">
        <f t="shared" si="3"/>
        <v>-0.44634981777777771</v>
      </c>
    </row>
    <row r="109" spans="2:21" x14ac:dyDescent="0.25">
      <c r="B109" s="6" t="s">
        <v>102</v>
      </c>
      <c r="C109" s="15">
        <v>1472.4541015625</v>
      </c>
      <c r="D109" s="16">
        <v>32.8354</v>
      </c>
      <c r="E109" s="16">
        <v>41.186399999999999</v>
      </c>
      <c r="F109" s="16">
        <v>40.433</v>
      </c>
      <c r="G109" s="16">
        <v>4.6619080671729156</v>
      </c>
      <c r="H109" s="16">
        <f t="shared" si="4"/>
        <v>34.828975</v>
      </c>
      <c r="I109" s="5"/>
      <c r="J109" s="15">
        <v>1502.5613000000001</v>
      </c>
      <c r="K109" s="16">
        <v>32.753799999999998</v>
      </c>
      <c r="L109" s="16">
        <v>41.626399999999997</v>
      </c>
      <c r="M109" s="16">
        <v>40.882899999999999</v>
      </c>
      <c r="N109" s="16">
        <v>3.5051999999999999</v>
      </c>
      <c r="O109" s="16">
        <f t="shared" si="5"/>
        <v>34.879012499999995</v>
      </c>
      <c r="P109" s="7"/>
      <c r="Q109" s="8">
        <f>bdrate(C109:C112,D109:D112,J109:J112,K109:K112)</f>
        <v>-1.0252663222869551E-2</v>
      </c>
      <c r="R109" s="8">
        <f>bdrate(C109:C112,E109:E112,J109:J112,L109:L112)</f>
        <v>-0.22325156986295147</v>
      </c>
      <c r="S109" s="8">
        <f>bdrate(C109:C112,F109:F112,J109:J112,M109:M112)</f>
        <v>-0.23531592817415248</v>
      </c>
      <c r="T109" s="25">
        <f>bdrate(C109:C112,H109:H112,J109:J112,O109:O112)</f>
        <v>-5.1309296308706509E-2</v>
      </c>
      <c r="U109" s="28">
        <f t="shared" si="3"/>
        <v>-0.24811902133333341</v>
      </c>
    </row>
    <row r="110" spans="2:21" x14ac:dyDescent="0.25">
      <c r="B110" s="9"/>
      <c r="C110" s="17">
        <v>982.541015625</v>
      </c>
      <c r="D110" s="18">
        <v>31.0989</v>
      </c>
      <c r="E110" s="18">
        <v>40.127699999999997</v>
      </c>
      <c r="F110" s="18">
        <v>39.328000000000003</v>
      </c>
      <c r="G110" s="18">
        <v>5.7335431385415143</v>
      </c>
      <c r="H110" s="18">
        <f t="shared" si="4"/>
        <v>33.256137500000001</v>
      </c>
      <c r="I110" s="5"/>
      <c r="J110" s="17">
        <v>999.74990000000003</v>
      </c>
      <c r="K110" s="18">
        <v>31.0825</v>
      </c>
      <c r="L110" s="18">
        <v>40.759900000000002</v>
      </c>
      <c r="M110" s="18">
        <v>40.005699999999997</v>
      </c>
      <c r="N110" s="18">
        <v>4.1402999999999999</v>
      </c>
      <c r="O110" s="18">
        <f t="shared" si="5"/>
        <v>33.407575000000001</v>
      </c>
      <c r="P110" s="7"/>
      <c r="Q110" s="10"/>
      <c r="R110" s="11"/>
      <c r="S110" s="11"/>
      <c r="T110" s="26"/>
      <c r="U110" s="28">
        <f t="shared" si="3"/>
        <v>-0.27788107633333337</v>
      </c>
    </row>
    <row r="111" spans="2:21" x14ac:dyDescent="0.25">
      <c r="B111" s="9"/>
      <c r="C111" s="17">
        <v>589.7109375</v>
      </c>
      <c r="D111" s="18">
        <v>28.770299999999999</v>
      </c>
      <c r="E111" s="18">
        <v>38.820300000000003</v>
      </c>
      <c r="F111" s="18">
        <v>37.957999999999998</v>
      </c>
      <c r="G111" s="18">
        <v>7.5893007724221677</v>
      </c>
      <c r="H111" s="18">
        <f t="shared" si="4"/>
        <v>31.175012500000001</v>
      </c>
      <c r="I111" s="5"/>
      <c r="J111" s="17">
        <v>599.32510000000002</v>
      </c>
      <c r="K111" s="18">
        <v>28.9191</v>
      </c>
      <c r="L111" s="18">
        <v>39.557699999999997</v>
      </c>
      <c r="M111" s="18">
        <v>38.770099999999999</v>
      </c>
      <c r="N111" s="18">
        <v>5.2217000000000002</v>
      </c>
      <c r="O111" s="18">
        <f t="shared" si="5"/>
        <v>31.4803</v>
      </c>
      <c r="P111" s="7"/>
      <c r="Q111" s="10"/>
      <c r="R111" s="11"/>
      <c r="S111" s="11"/>
      <c r="T111" s="26"/>
      <c r="U111" s="28">
        <f t="shared" si="3"/>
        <v>-0.31196560044444444</v>
      </c>
    </row>
    <row r="112" spans="2:21" ht="16.5" thickBot="1" x14ac:dyDescent="0.3">
      <c r="B112" s="12"/>
      <c r="C112" s="19">
        <v>296.2353515625</v>
      </c>
      <c r="D112" s="20">
        <v>25.743400000000001</v>
      </c>
      <c r="E112" s="20">
        <v>36.549900000000001</v>
      </c>
      <c r="F112" s="20">
        <v>35.660200000000003</v>
      </c>
      <c r="G112" s="20">
        <v>10.605953475217422</v>
      </c>
      <c r="H112" s="20">
        <f t="shared" si="4"/>
        <v>28.333812500000001</v>
      </c>
      <c r="I112" s="5"/>
      <c r="J112" s="19">
        <v>300.19439999999997</v>
      </c>
      <c r="K112" s="20">
        <v>26.130500000000001</v>
      </c>
      <c r="L112" s="20">
        <v>37.5398</v>
      </c>
      <c r="M112" s="20">
        <v>36.725200000000001</v>
      </c>
      <c r="N112" s="20">
        <v>7.3423999999999996</v>
      </c>
      <c r="O112" s="20">
        <f t="shared" si="5"/>
        <v>28.881000000000004</v>
      </c>
      <c r="P112" s="7"/>
      <c r="Q112" s="13"/>
      <c r="R112" s="14"/>
      <c r="S112" s="14"/>
      <c r="T112" s="27"/>
      <c r="U112" s="28">
        <f t="shared" si="3"/>
        <v>-0.30770957866666671</v>
      </c>
    </row>
    <row r="113" spans="2:21" x14ac:dyDescent="0.25">
      <c r="B113" s="6" t="s">
        <v>103</v>
      </c>
      <c r="C113" s="15">
        <v>1461.462890625</v>
      </c>
      <c r="D113" s="16">
        <v>48.370699999999999</v>
      </c>
      <c r="E113" s="16">
        <v>48.950600000000001</v>
      </c>
      <c r="F113" s="16">
        <v>48.963799999999999</v>
      </c>
      <c r="G113" s="16">
        <v>9.4891665348726875</v>
      </c>
      <c r="H113" s="16">
        <f t="shared" si="4"/>
        <v>48.517325</v>
      </c>
      <c r="I113" s="5"/>
      <c r="J113" s="15">
        <v>1284.2571</v>
      </c>
      <c r="K113" s="16">
        <v>48.069200000000002</v>
      </c>
      <c r="L113" s="16">
        <v>49.189799999999998</v>
      </c>
      <c r="M113" s="16">
        <v>49.2072</v>
      </c>
      <c r="N113" s="16">
        <v>5.9016000000000002</v>
      </c>
      <c r="O113" s="16">
        <f t="shared" si="5"/>
        <v>48.351525000000002</v>
      </c>
      <c r="P113" s="7"/>
      <c r="Q113" s="8">
        <f>bdrate(C113:C116,D113:D116,J113:J116,K113:K116)</f>
        <v>-0.12586330142799329</v>
      </c>
      <c r="R113" s="8">
        <f>bdrate(C113:C116,E113:E116,J113:J116,L113:L116)</f>
        <v>-0.2262122337714495</v>
      </c>
      <c r="S113" s="8">
        <f>bdrate(C113:C116,F113:F116,J113:J116,M113:M116)</f>
        <v>-0.23298009908900086</v>
      </c>
      <c r="T113" s="25">
        <f>bdrate(C113:C116,H113:H116,J113:J116,O113:O116)</f>
        <v>-0.14933807678556543</v>
      </c>
      <c r="U113" s="28">
        <f t="shared" si="3"/>
        <v>-0.37806972</v>
      </c>
    </row>
    <row r="114" spans="2:21" x14ac:dyDescent="0.25">
      <c r="B114" s="9"/>
      <c r="C114" s="17">
        <v>965.2509765625</v>
      </c>
      <c r="D114" s="18">
        <v>46.369700000000002</v>
      </c>
      <c r="E114" s="18">
        <v>47.137099999999997</v>
      </c>
      <c r="F114" s="18">
        <v>47.146000000000001</v>
      </c>
      <c r="G114" s="18">
        <v>11.426540043674775</v>
      </c>
      <c r="H114" s="18">
        <f t="shared" si="4"/>
        <v>46.562662500000002</v>
      </c>
      <c r="I114" s="5"/>
      <c r="J114" s="17">
        <v>903.55889999999999</v>
      </c>
      <c r="K114" s="18">
        <v>46.712800000000001</v>
      </c>
      <c r="L114" s="18">
        <v>47.938000000000002</v>
      </c>
      <c r="M114" s="18">
        <v>47.963900000000002</v>
      </c>
      <c r="N114" s="18">
        <v>7.0437000000000003</v>
      </c>
      <c r="O114" s="18">
        <f t="shared" si="5"/>
        <v>47.022337499999999</v>
      </c>
      <c r="P114" s="7"/>
      <c r="Q114" s="10"/>
      <c r="R114" s="11"/>
      <c r="S114" s="11"/>
      <c r="T114" s="26"/>
      <c r="U114" s="28">
        <f t="shared" si="3"/>
        <v>-0.38356668133333327</v>
      </c>
    </row>
    <row r="115" spans="2:21" x14ac:dyDescent="0.25">
      <c r="B115" s="9"/>
      <c r="C115" s="17">
        <v>595.783203125</v>
      </c>
      <c r="D115" s="18">
        <v>43.433999999999997</v>
      </c>
      <c r="E115" s="18">
        <v>44.6248</v>
      </c>
      <c r="F115" s="18">
        <v>44.548900000000003</v>
      </c>
      <c r="G115" s="18">
        <v>13.794794764109009</v>
      </c>
      <c r="H115" s="18">
        <f t="shared" si="4"/>
        <v>43.722212499999998</v>
      </c>
      <c r="I115" s="5"/>
      <c r="J115" s="17">
        <v>568.44029999999998</v>
      </c>
      <c r="K115" s="18">
        <v>44.1008</v>
      </c>
      <c r="L115" s="18">
        <v>45.804000000000002</v>
      </c>
      <c r="M115" s="18">
        <v>45.805300000000003</v>
      </c>
      <c r="N115" s="18">
        <v>8.7835000000000001</v>
      </c>
      <c r="O115" s="18">
        <f t="shared" si="5"/>
        <v>44.526762500000004</v>
      </c>
      <c r="P115" s="7"/>
      <c r="Q115" s="10"/>
      <c r="R115" s="11"/>
      <c r="S115" s="11"/>
      <c r="T115" s="26"/>
      <c r="U115" s="28">
        <f t="shared" si="3"/>
        <v>-0.3632743255555555</v>
      </c>
    </row>
    <row r="116" spans="2:21" ht="16.5" thickBot="1" x14ac:dyDescent="0.3">
      <c r="B116" s="12"/>
      <c r="C116" s="19">
        <v>301.3134765625</v>
      </c>
      <c r="D116" s="20">
        <v>39.127600000000001</v>
      </c>
      <c r="E116" s="20">
        <v>41.2087</v>
      </c>
      <c r="F116" s="20">
        <v>41.091299999999997</v>
      </c>
      <c r="G116" s="20">
        <v>18.858436007040485</v>
      </c>
      <c r="H116" s="20">
        <f t="shared" si="4"/>
        <v>39.633200000000002</v>
      </c>
      <c r="I116" s="5"/>
      <c r="J116" s="19">
        <v>289.4477</v>
      </c>
      <c r="K116" s="20">
        <v>39.514600000000002</v>
      </c>
      <c r="L116" s="20">
        <v>42.142400000000002</v>
      </c>
      <c r="M116" s="20">
        <v>42.116700000000002</v>
      </c>
      <c r="N116" s="20">
        <v>12.0075</v>
      </c>
      <c r="O116" s="20">
        <f t="shared" si="5"/>
        <v>40.1683375</v>
      </c>
      <c r="P116" s="7"/>
      <c r="Q116" s="13"/>
      <c r="R116" s="14"/>
      <c r="S116" s="14"/>
      <c r="T116" s="27"/>
      <c r="U116" s="28">
        <f t="shared" si="3"/>
        <v>-0.36328230000000006</v>
      </c>
    </row>
    <row r="117" spans="2:21" x14ac:dyDescent="0.25">
      <c r="B117" s="6" t="s">
        <v>104</v>
      </c>
      <c r="C117" s="15">
        <v>1440.3330078125</v>
      </c>
      <c r="D117" s="16">
        <v>53.002400000000002</v>
      </c>
      <c r="E117" s="16">
        <v>53.659799999999997</v>
      </c>
      <c r="F117" s="16">
        <v>53.910400000000003</v>
      </c>
      <c r="G117" s="16">
        <v>20.388283533062999</v>
      </c>
      <c r="H117" s="16">
        <f t="shared" si="4"/>
        <v>53.198075000000003</v>
      </c>
      <c r="I117" s="5"/>
      <c r="J117" s="15">
        <v>753.7627</v>
      </c>
      <c r="K117" s="16">
        <v>52.829000000000001</v>
      </c>
      <c r="L117" s="16">
        <v>54.543900000000001</v>
      </c>
      <c r="M117" s="16">
        <v>54.502699999999997</v>
      </c>
      <c r="N117" s="16">
        <v>12.075799999999999</v>
      </c>
      <c r="O117" s="16">
        <f t="shared" si="5"/>
        <v>53.252575</v>
      </c>
      <c r="P117" s="7"/>
      <c r="Q117" s="8">
        <f>bdrate(C117:C120,D117:D120,J117:J120,K117:K120)</f>
        <v>-0.44373085811284574</v>
      </c>
      <c r="R117" s="8">
        <f>bdrate(C117:C120,E117:E120,J117:J120,L117:L120)</f>
        <v>-0.50311399735727202</v>
      </c>
      <c r="S117" s="8">
        <f>bdrate(C117:C120,F117:F120,J117:J120,M117:M120)</f>
        <v>-0.49873885242288085</v>
      </c>
      <c r="T117" s="25">
        <f>bdrate(C117:C120,H117:H120,J117:J120,O117:O120)</f>
        <v>-0.4588697869982814</v>
      </c>
      <c r="U117" s="28">
        <f t="shared" si="3"/>
        <v>-0.40770884511111116</v>
      </c>
    </row>
    <row r="118" spans="2:21" x14ac:dyDescent="0.25">
      <c r="B118" s="9"/>
      <c r="C118" s="17">
        <v>960.15625</v>
      </c>
      <c r="D118" s="18">
        <v>48.327199999999998</v>
      </c>
      <c r="E118" s="18">
        <v>49.042900000000003</v>
      </c>
      <c r="F118" s="18">
        <v>49.442999999999998</v>
      </c>
      <c r="G118" s="18">
        <v>23.971234518577706</v>
      </c>
      <c r="H118" s="18">
        <f t="shared" si="4"/>
        <v>48.556137499999991</v>
      </c>
      <c r="I118" s="5"/>
      <c r="J118" s="17">
        <v>584.31010000000003</v>
      </c>
      <c r="K118" s="18">
        <v>51.673099999999998</v>
      </c>
      <c r="L118" s="18">
        <v>53.465699999999998</v>
      </c>
      <c r="M118" s="18">
        <v>53.5379</v>
      </c>
      <c r="N118" s="18">
        <v>13.788</v>
      </c>
      <c r="O118" s="18">
        <f t="shared" si="5"/>
        <v>52.13027499999999</v>
      </c>
      <c r="P118" s="7"/>
      <c r="Q118" s="10"/>
      <c r="R118" s="11"/>
      <c r="S118" s="11"/>
      <c r="T118" s="26"/>
      <c r="U118" s="28">
        <f t="shared" si="3"/>
        <v>-0.42481059999999998</v>
      </c>
    </row>
    <row r="119" spans="2:21" x14ac:dyDescent="0.25">
      <c r="B119" s="9"/>
      <c r="C119" s="17">
        <v>576.0419921875</v>
      </c>
      <c r="D119" s="18">
        <v>45.671500000000002</v>
      </c>
      <c r="E119" s="18">
        <v>46.509399999999999</v>
      </c>
      <c r="F119" s="18">
        <v>46.9696</v>
      </c>
      <c r="G119" s="18">
        <v>30.139647031244767</v>
      </c>
      <c r="H119" s="18">
        <f t="shared" si="4"/>
        <v>45.938500000000005</v>
      </c>
      <c r="I119" s="5"/>
      <c r="J119" s="17">
        <v>421.23520000000002</v>
      </c>
      <c r="K119" s="18">
        <v>47.1235</v>
      </c>
      <c r="L119" s="18">
        <v>48.6982</v>
      </c>
      <c r="M119" s="18">
        <v>49.110300000000002</v>
      </c>
      <c r="N119" s="18">
        <v>14.2019</v>
      </c>
      <c r="O119" s="18">
        <f t="shared" si="5"/>
        <v>47.568687499999996</v>
      </c>
      <c r="P119" s="7"/>
      <c r="Q119" s="10"/>
      <c r="R119" s="11"/>
      <c r="S119" s="11"/>
      <c r="T119" s="26"/>
      <c r="U119" s="28">
        <f t="shared" si="3"/>
        <v>-0.52879673788888892</v>
      </c>
    </row>
    <row r="120" spans="2:21" ht="16.5" thickBot="1" x14ac:dyDescent="0.3">
      <c r="B120" s="12"/>
      <c r="C120" s="19">
        <v>295.5380859375</v>
      </c>
      <c r="D120" s="20">
        <v>38.649000000000001</v>
      </c>
      <c r="E120" s="20">
        <v>40.486199999999997</v>
      </c>
      <c r="F120" s="20">
        <v>40.781700000000001</v>
      </c>
      <c r="G120" s="20">
        <v>35.664751337428179</v>
      </c>
      <c r="H120" s="20">
        <f t="shared" si="4"/>
        <v>39.1452375</v>
      </c>
      <c r="I120" s="5"/>
      <c r="J120" s="19">
        <v>281.49599999999998</v>
      </c>
      <c r="K120" s="20">
        <v>41.847200000000001</v>
      </c>
      <c r="L120" s="20">
        <v>43.763399999999997</v>
      </c>
      <c r="M120" s="20">
        <v>44.184600000000003</v>
      </c>
      <c r="N120" s="20">
        <v>19.427099999999999</v>
      </c>
      <c r="O120" s="20">
        <f t="shared" si="5"/>
        <v>42.378900000000002</v>
      </c>
      <c r="P120" s="7"/>
      <c r="Q120" s="13"/>
      <c r="R120" s="14"/>
      <c r="S120" s="14"/>
      <c r="T120" s="27"/>
      <c r="U120" s="28">
        <f t="shared" si="3"/>
        <v>-0.45528570166666676</v>
      </c>
    </row>
    <row r="121" spans="2:21" x14ac:dyDescent="0.25">
      <c r="B121" s="6" t="s">
        <v>105</v>
      </c>
      <c r="C121" s="29">
        <v>1475.6953125</v>
      </c>
      <c r="D121" s="30">
        <v>34.352400000000003</v>
      </c>
      <c r="E121" s="30">
        <v>37.487400000000001</v>
      </c>
      <c r="F121" s="30">
        <v>36.752800000000001</v>
      </c>
      <c r="G121" s="16">
        <v>5.7715615921814578</v>
      </c>
      <c r="H121" s="16">
        <f t="shared" si="4"/>
        <v>35.044325000000001</v>
      </c>
      <c r="I121" s="5"/>
      <c r="J121" s="29">
        <v>1514.8271999999999</v>
      </c>
      <c r="K121" s="30">
        <v>34.254100000000001</v>
      </c>
      <c r="L121" s="30">
        <v>38.103299999999997</v>
      </c>
      <c r="M121" s="30">
        <v>37.362299999999998</v>
      </c>
      <c r="N121" s="16">
        <v>4.2820999999999998</v>
      </c>
      <c r="O121" s="16">
        <f t="shared" si="5"/>
        <v>35.123775000000002</v>
      </c>
      <c r="P121" s="7"/>
      <c r="Q121" s="8">
        <f>bdrate(C121:C124,D121:D124,J121:J124,K121:K124)</f>
        <v>2.1445277408771224E-2</v>
      </c>
      <c r="R121" s="8">
        <f>bdrate(C121:C124,E121:E124,J121:J124,L121:L124)</f>
        <v>-0.22509927505032756</v>
      </c>
      <c r="S121" s="8">
        <f>bdrate(C121:C124,F121:F124,J121:J124,M121:M124)</f>
        <v>-0.2171891624364608</v>
      </c>
      <c r="T121" s="25">
        <f>bdrate(C121:C124,H121:H124,J121:J124,O121:O124)</f>
        <v>-2.5522877786422482E-2</v>
      </c>
      <c r="U121" s="28">
        <f t="shared" si="3"/>
        <v>-0.25806908033333337</v>
      </c>
    </row>
    <row r="122" spans="2:21" x14ac:dyDescent="0.25">
      <c r="B122" s="9"/>
      <c r="C122" s="31">
        <v>986.494140625</v>
      </c>
      <c r="D122" s="32">
        <v>32.346800000000002</v>
      </c>
      <c r="E122" s="32">
        <v>36.227400000000003</v>
      </c>
      <c r="F122" s="32">
        <v>35.459200000000003</v>
      </c>
      <c r="G122" s="18">
        <v>7.0140983376586945</v>
      </c>
      <c r="H122" s="18">
        <f t="shared" si="4"/>
        <v>33.220925000000001</v>
      </c>
      <c r="I122" s="5"/>
      <c r="J122" s="31">
        <v>1011.1667</v>
      </c>
      <c r="K122" s="32">
        <v>32.262700000000002</v>
      </c>
      <c r="L122" s="32">
        <v>36.963200000000001</v>
      </c>
      <c r="M122" s="32">
        <v>36.183799999999998</v>
      </c>
      <c r="N122" s="18">
        <v>4.9889999999999999</v>
      </c>
      <c r="O122" s="18">
        <f t="shared" si="5"/>
        <v>33.340400000000002</v>
      </c>
      <c r="P122" s="7"/>
      <c r="Q122" s="10"/>
      <c r="R122" s="11"/>
      <c r="S122" s="11"/>
      <c r="T122" s="26"/>
      <c r="U122" s="28">
        <f t="shared" si="3"/>
        <v>-0.28871827000000005</v>
      </c>
    </row>
    <row r="123" spans="2:21" x14ac:dyDescent="0.25">
      <c r="B123" s="9"/>
      <c r="C123" s="31">
        <v>592.5</v>
      </c>
      <c r="D123" s="32">
        <v>29.895600000000002</v>
      </c>
      <c r="E123" s="32">
        <v>34.735399999999998</v>
      </c>
      <c r="F123" s="32">
        <v>33.919800000000002</v>
      </c>
      <c r="G123" s="18">
        <v>8.9902006812574289</v>
      </c>
      <c r="H123" s="18">
        <f t="shared" si="4"/>
        <v>31.003600000000002</v>
      </c>
      <c r="I123" s="5"/>
      <c r="J123" s="31">
        <v>606.82560000000001</v>
      </c>
      <c r="K123" s="32">
        <v>29.92</v>
      </c>
      <c r="L123" s="32">
        <v>35.561700000000002</v>
      </c>
      <c r="M123" s="32">
        <v>34.740400000000001</v>
      </c>
      <c r="N123" s="18">
        <v>6.1810999999999998</v>
      </c>
      <c r="O123" s="18">
        <f t="shared" si="5"/>
        <v>31.227762500000001</v>
      </c>
      <c r="P123" s="7"/>
      <c r="Q123" s="10"/>
      <c r="R123" s="11"/>
      <c r="S123" s="11"/>
      <c r="T123" s="26"/>
      <c r="U123" s="28">
        <f t="shared" si="3"/>
        <v>-0.31246251122222218</v>
      </c>
    </row>
    <row r="124" spans="2:21" ht="16.5" thickBot="1" x14ac:dyDescent="0.3">
      <c r="B124" s="12"/>
      <c r="C124" s="33">
        <v>296.064453125</v>
      </c>
      <c r="D124" s="34">
        <v>26.956900000000001</v>
      </c>
      <c r="E124" s="34">
        <v>32.697800000000001</v>
      </c>
      <c r="F124" s="34">
        <v>31.842600000000001</v>
      </c>
      <c r="G124" s="20">
        <v>12.454506455585845</v>
      </c>
      <c r="H124" s="20">
        <f t="shared" si="4"/>
        <v>28.285225000000001</v>
      </c>
      <c r="I124" s="5"/>
      <c r="J124" s="33">
        <v>307.2045</v>
      </c>
      <c r="K124" s="34">
        <v>27.244800000000001</v>
      </c>
      <c r="L124" s="34">
        <v>33.7012</v>
      </c>
      <c r="M124" s="34">
        <v>32.837899999999998</v>
      </c>
      <c r="N124" s="20">
        <v>8.327</v>
      </c>
      <c r="O124" s="20">
        <f t="shared" si="5"/>
        <v>28.750987500000001</v>
      </c>
      <c r="P124" s="7"/>
      <c r="Q124" s="13"/>
      <c r="R124" s="14"/>
      <c r="S124" s="14"/>
      <c r="T124" s="27"/>
      <c r="U124" s="28">
        <f t="shared" si="3"/>
        <v>-0.33140666555555548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-3.1709080494955265E-2</v>
      </c>
      <c r="R125" s="21">
        <f>AVERAGE(R9:R124)</f>
        <v>-0.22796770621844592</v>
      </c>
      <c r="S125" s="21">
        <f>AVERAGE(S9:S124)</f>
        <v>-0.21864237066539086</v>
      </c>
      <c r="T125" s="21">
        <f>AVERAGE(T9:T124)</f>
        <v>-6.8289568634359366E-2</v>
      </c>
      <c r="U125" s="21">
        <f>AVERAGE(U9:U124)</f>
        <v>-0.3508292910394637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33" priority="33" operator="greaterThan">
      <formula>0.03</formula>
    </cfRule>
    <cfRule type="cellIs" dxfId="32" priority="34" stopIfTrue="1" operator="lessThan">
      <formula>-0.03</formula>
    </cfRule>
  </conditionalFormatting>
  <conditionalFormatting sqref="Q33:T36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Q45:T48 Q61:T64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Q49:T60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Q69:T76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Q65:T68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Q77:T80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Q21:T28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Q117:T117">
    <cfRule type="cellIs" dxfId="17" priority="3" operator="greaterThan">
      <formula>0.03</formula>
    </cfRule>
    <cfRule type="cellIs" dxfId="16" priority="4" stopIfTrue="1" operator="lessThan">
      <formula>-0.03</formula>
    </cfRule>
  </conditionalFormatting>
  <conditionalFormatting sqref="Q93:T96 Q101:T108 Q81:T84">
    <cfRule type="cellIs" dxfId="15" priority="17" operator="greaterThan">
      <formula>0.03</formula>
    </cfRule>
    <cfRule type="cellIs" dxfId="14" priority="18" stopIfTrue="1" operator="lessThan">
      <formula>-0.03</formula>
    </cfRule>
  </conditionalFormatting>
  <conditionalFormatting sqref="Q97:T100">
    <cfRule type="cellIs" dxfId="13" priority="15" operator="greaterThan">
      <formula>0.03</formula>
    </cfRule>
    <cfRule type="cellIs" dxfId="12" priority="16" stopIfTrue="1" operator="lessThan">
      <formula>-0.03</formula>
    </cfRule>
  </conditionalFormatting>
  <conditionalFormatting sqref="Q110:T112 Q122:T124">
    <cfRule type="cellIs" dxfId="11" priority="13" operator="greaterThan">
      <formula>0.03</formula>
    </cfRule>
    <cfRule type="cellIs" dxfId="10" priority="14" stopIfTrue="1" operator="lessThan">
      <formula>-0.03</formula>
    </cfRule>
  </conditionalFormatting>
  <conditionalFormatting sqref="Q114:T116 Q118:T120">
    <cfRule type="cellIs" dxfId="9" priority="11" operator="greaterThan">
      <formula>0.03</formula>
    </cfRule>
    <cfRule type="cellIs" dxfId="8" priority="12" stopIfTrue="1" operator="lessThan">
      <formula>-0.03</formula>
    </cfRule>
  </conditionalFormatting>
  <conditionalFormatting sqref="Q85:T92">
    <cfRule type="cellIs" dxfId="7" priority="9" operator="greaterThan">
      <formula>0.03</formula>
    </cfRule>
    <cfRule type="cellIs" dxfId="6" priority="10" stopIfTrue="1" operator="lessThan">
      <formula>-0.03</formula>
    </cfRule>
  </conditionalFormatting>
  <conditionalFormatting sqref="Q109:T109">
    <cfRule type="cellIs" dxfId="5" priority="7" operator="greaterThan">
      <formula>0.03</formula>
    </cfRule>
    <cfRule type="cellIs" dxfId="4" priority="8" stopIfTrue="1" operator="lessThan">
      <formula>-0.03</formula>
    </cfRule>
  </conditionalFormatting>
  <conditionalFormatting sqref="Q113:T113">
    <cfRule type="cellIs" dxfId="3" priority="5" operator="greaterThan">
      <formula>0.03</formula>
    </cfRule>
    <cfRule type="cellIs" dxfId="2" priority="6" stopIfTrue="1" operator="lessThan">
      <formula>-0.03</formula>
    </cfRule>
  </conditionalFormatting>
  <conditionalFormatting sqref="Q121:T121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Intra All-I</vt:lpstr>
      <vt:lpstr>Summary-sim</vt:lpstr>
      <vt:lpstr>Summary-detail</vt:lpstr>
      <vt:lpstr>X264vsQY265_offline_superfast</vt:lpstr>
      <vt:lpstr>X264vsQY265_offline_veryfast</vt:lpstr>
      <vt:lpstr>X264vsQY265_offline_slow</vt:lpstr>
      <vt:lpstr>X264vsQY265_offline_placebo</vt:lpstr>
      <vt:lpstr>X265vsQY265_offline_superfast</vt:lpstr>
      <vt:lpstr>X265vsQY265_offline_veryfast</vt:lpstr>
      <vt:lpstr>X265vsQY265_offline_slow</vt:lpstr>
      <vt:lpstr>X265vsQY265_offline_veryslow</vt:lpstr>
      <vt:lpstr>VP9vsQY265_offline_superfast</vt:lpstr>
      <vt:lpstr>VP9vsQY265_offline_veryfast</vt:lpstr>
      <vt:lpstr>VP9vsQY265_offline_slow</vt:lpstr>
      <vt:lpstr>VP9vsQY265_offline_veryslow</vt:lpstr>
      <vt:lpstr>IntelvsQY265_offline_superfast</vt:lpstr>
      <vt:lpstr>IntelvsQY265_offline_veryfast</vt:lpstr>
      <vt:lpstr>IntelvsQY265_offline_slow</vt:lpstr>
      <vt:lpstr>IntelvsQY265_offline_veryslow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lastModifiedBy>qianyi09</cp:lastModifiedBy>
  <dcterms:created xsi:type="dcterms:W3CDTF">2011-06-30T00:09:01Z</dcterms:created>
  <dcterms:modified xsi:type="dcterms:W3CDTF">2017-09-13T01:56:30Z</dcterms:modified>
</cp:coreProperties>
</file>