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材料\客户交流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veryfast" sheetId="150" r:id="rId6"/>
    <sheet name="X265vsQY265_offline_slow" sheetId="126" r:id="rId7"/>
    <sheet name="X265vsQY265_offline_veryslow" sheetId="153" r:id="rId8"/>
  </sheets>
  <calcPr calcId="152511" concurrentCalc="0"/>
</workbook>
</file>

<file path=xl/calcChain.xml><?xml version="1.0" encoding="utf-8"?>
<calcChain xmlns="http://schemas.openxmlformats.org/spreadsheetml/2006/main">
  <c r="H246" i="150" l="1"/>
  <c r="H245" i="150"/>
  <c r="H244" i="150"/>
  <c r="H243" i="150"/>
  <c r="H242" i="150"/>
  <c r="H241" i="150"/>
  <c r="H240" i="150"/>
  <c r="H239" i="150"/>
  <c r="H238" i="150"/>
  <c r="H237" i="150"/>
  <c r="H236" i="150"/>
  <c r="H235" i="150"/>
  <c r="H234" i="150"/>
  <c r="H233" i="150"/>
  <c r="H232" i="150"/>
  <c r="H231" i="150"/>
  <c r="H230" i="150"/>
  <c r="H229" i="150"/>
  <c r="H228" i="150"/>
  <c r="H227" i="150"/>
  <c r="H226" i="150"/>
  <c r="H225" i="150"/>
  <c r="H224" i="150"/>
  <c r="H223" i="150"/>
  <c r="H222" i="150"/>
  <c r="H221" i="150"/>
  <c r="H220" i="150"/>
  <c r="H219" i="150"/>
  <c r="H218" i="150"/>
  <c r="H217" i="150"/>
  <c r="H216" i="150"/>
  <c r="H215" i="150"/>
  <c r="H214" i="150"/>
  <c r="H213" i="150"/>
  <c r="H212" i="150"/>
  <c r="H211" i="150"/>
  <c r="H210" i="150"/>
  <c r="H209" i="150"/>
  <c r="H208" i="150"/>
  <c r="H207" i="150"/>
  <c r="H206" i="150"/>
  <c r="H205" i="150"/>
  <c r="H204" i="150"/>
  <c r="H203" i="150"/>
  <c r="H202" i="150"/>
  <c r="H201" i="150"/>
  <c r="H200" i="150"/>
  <c r="H199" i="150"/>
  <c r="H198" i="150"/>
  <c r="H197" i="150"/>
  <c r="H196" i="150"/>
  <c r="H195" i="150"/>
  <c r="H194" i="150"/>
  <c r="H193" i="150"/>
  <c r="H192" i="150"/>
  <c r="H191" i="150"/>
  <c r="H190" i="150"/>
  <c r="H189" i="150"/>
  <c r="H188" i="150"/>
  <c r="H187" i="150"/>
  <c r="H186" i="150"/>
  <c r="H185" i="150"/>
  <c r="H184" i="150"/>
  <c r="H183" i="150"/>
  <c r="H182" i="150"/>
  <c r="H181" i="150"/>
  <c r="H180" i="150"/>
  <c r="H179" i="150"/>
  <c r="H178" i="150"/>
  <c r="H177" i="150"/>
  <c r="H176" i="150"/>
  <c r="H175" i="150"/>
  <c r="H174" i="150"/>
  <c r="H173" i="150"/>
  <c r="H172" i="150"/>
  <c r="H171" i="150"/>
  <c r="H170" i="150"/>
  <c r="H169" i="150"/>
  <c r="H168" i="150"/>
  <c r="H167" i="150"/>
  <c r="H166" i="150"/>
  <c r="H165" i="150"/>
  <c r="H164" i="150"/>
  <c r="H163" i="150"/>
  <c r="H162" i="150"/>
  <c r="H161" i="150"/>
  <c r="H160" i="150"/>
  <c r="H159" i="150"/>
  <c r="H158" i="150"/>
  <c r="H157" i="150"/>
  <c r="H156" i="150"/>
  <c r="H155" i="150"/>
  <c r="H154" i="150"/>
  <c r="H153" i="150"/>
  <c r="H152" i="150"/>
  <c r="H151" i="150"/>
  <c r="H150" i="150"/>
  <c r="H149" i="150"/>
  <c r="H148" i="150"/>
  <c r="H147" i="150"/>
  <c r="H146" i="150"/>
  <c r="H145" i="150"/>
  <c r="H144" i="150"/>
  <c r="H143" i="150"/>
  <c r="H142" i="150"/>
  <c r="H141" i="150"/>
  <c r="H140" i="150"/>
  <c r="H139" i="150"/>
  <c r="H138" i="150"/>
  <c r="H137" i="150"/>
  <c r="H136" i="150"/>
  <c r="H135" i="150"/>
  <c r="H134" i="150"/>
  <c r="H133" i="150"/>
  <c r="H132" i="150"/>
  <c r="H131" i="150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Q31" i="135"/>
  <c r="O203" i="126"/>
  <c r="O204" i="126"/>
  <c r="O205" i="126"/>
  <c r="O206" i="126"/>
  <c r="H203" i="126"/>
  <c r="H204" i="126"/>
  <c r="H205" i="126"/>
  <c r="H206" i="126"/>
  <c r="T203" i="126"/>
  <c r="O207" i="126"/>
  <c r="O208" i="126"/>
  <c r="O209" i="126"/>
  <c r="O210" i="126"/>
  <c r="H207" i="126"/>
  <c r="H208" i="126"/>
  <c r="H209" i="126"/>
  <c r="H210" i="126"/>
  <c r="T207" i="126"/>
  <c r="O211" i="126"/>
  <c r="O212" i="126"/>
  <c r="O213" i="126"/>
  <c r="O214" i="126"/>
  <c r="H211" i="126"/>
  <c r="H212" i="126"/>
  <c r="H213" i="126"/>
  <c r="H214" i="126"/>
  <c r="T211" i="126"/>
  <c r="O215" i="126"/>
  <c r="O216" i="126"/>
  <c r="O217" i="126"/>
  <c r="O218" i="126"/>
  <c r="H215" i="126"/>
  <c r="H216" i="126"/>
  <c r="H217" i="126"/>
  <c r="H218" i="126"/>
  <c r="T215" i="126"/>
  <c r="O219" i="126"/>
  <c r="O220" i="126"/>
  <c r="O221" i="126"/>
  <c r="O222" i="126"/>
  <c r="H219" i="126"/>
  <c r="H220" i="126"/>
  <c r="H221" i="126"/>
  <c r="H222" i="126"/>
  <c r="T219" i="126"/>
  <c r="O223" i="126"/>
  <c r="O224" i="126"/>
  <c r="O225" i="126"/>
  <c r="O226" i="126"/>
  <c r="H223" i="126"/>
  <c r="H224" i="126"/>
  <c r="H225" i="126"/>
  <c r="H226" i="126"/>
  <c r="T223" i="126"/>
  <c r="O227" i="126"/>
  <c r="O228" i="126"/>
  <c r="O229" i="126"/>
  <c r="O230" i="126"/>
  <c r="H227" i="126"/>
  <c r="H228" i="126"/>
  <c r="H229" i="126"/>
  <c r="H230" i="126"/>
  <c r="T227" i="126"/>
  <c r="O231" i="126"/>
  <c r="O232" i="126"/>
  <c r="O233" i="126"/>
  <c r="O234" i="126"/>
  <c r="H231" i="126"/>
  <c r="H232" i="126"/>
  <c r="H233" i="126"/>
  <c r="H234" i="126"/>
  <c r="T231" i="126"/>
  <c r="O235" i="126"/>
  <c r="O236" i="126"/>
  <c r="O237" i="126"/>
  <c r="O238" i="126"/>
  <c r="H235" i="126"/>
  <c r="H236" i="126"/>
  <c r="H237" i="126"/>
  <c r="H238" i="126"/>
  <c r="T235" i="126"/>
  <c r="O239" i="126"/>
  <c r="O240" i="126"/>
  <c r="O241" i="126"/>
  <c r="O242" i="126"/>
  <c r="H239" i="126"/>
  <c r="H240" i="126"/>
  <c r="H241" i="126"/>
  <c r="H242" i="126"/>
  <c r="T239" i="126"/>
  <c r="O243" i="126"/>
  <c r="O244" i="126"/>
  <c r="O245" i="126"/>
  <c r="O246" i="126"/>
  <c r="H243" i="126"/>
  <c r="H244" i="126"/>
  <c r="H245" i="126"/>
  <c r="H246" i="126"/>
  <c r="T243" i="126"/>
  <c r="P31" i="135"/>
  <c r="S203" i="126"/>
  <c r="S207" i="126"/>
  <c r="S211" i="126"/>
  <c r="S215" i="126"/>
  <c r="S219" i="126"/>
  <c r="S223" i="126"/>
  <c r="S227" i="126"/>
  <c r="S231" i="126"/>
  <c r="S235" i="126"/>
  <c r="S239" i="126"/>
  <c r="S243" i="126"/>
  <c r="O31" i="135"/>
  <c r="R203" i="126"/>
  <c r="R207" i="126"/>
  <c r="R211" i="126"/>
  <c r="R215" i="126"/>
  <c r="R219" i="126"/>
  <c r="R223" i="126"/>
  <c r="R227" i="126"/>
  <c r="R231" i="126"/>
  <c r="R235" i="126"/>
  <c r="R239" i="126"/>
  <c r="R243" i="126"/>
  <c r="N31" i="135"/>
  <c r="Q203" i="126"/>
  <c r="Q207" i="126"/>
  <c r="Q211" i="126"/>
  <c r="Q215" i="126"/>
  <c r="Q219" i="126"/>
  <c r="Q223" i="126"/>
  <c r="Q227" i="126"/>
  <c r="Q231" i="126"/>
  <c r="Q235" i="126"/>
  <c r="Q239" i="126"/>
  <c r="Q243" i="126"/>
  <c r="M31" i="135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G31" i="135"/>
  <c r="O203" i="118"/>
  <c r="O204" i="118"/>
  <c r="O205" i="118"/>
  <c r="O206" i="118"/>
  <c r="H203" i="118"/>
  <c r="H204" i="118"/>
  <c r="H205" i="118"/>
  <c r="H206" i="118"/>
  <c r="T203" i="118"/>
  <c r="O207" i="118"/>
  <c r="O208" i="118"/>
  <c r="O209" i="118"/>
  <c r="O210" i="118"/>
  <c r="H207" i="118"/>
  <c r="H208" i="118"/>
  <c r="H209" i="118"/>
  <c r="H210" i="118"/>
  <c r="T207" i="118"/>
  <c r="O211" i="118"/>
  <c r="O212" i="118"/>
  <c r="O213" i="118"/>
  <c r="O214" i="118"/>
  <c r="H211" i="118"/>
  <c r="H212" i="118"/>
  <c r="H213" i="118"/>
  <c r="H214" i="118"/>
  <c r="T211" i="118"/>
  <c r="O215" i="118"/>
  <c r="O216" i="118"/>
  <c r="O217" i="118"/>
  <c r="O218" i="118"/>
  <c r="H215" i="118"/>
  <c r="H216" i="118"/>
  <c r="H217" i="118"/>
  <c r="H218" i="118"/>
  <c r="T215" i="118"/>
  <c r="O219" i="118"/>
  <c r="O220" i="118"/>
  <c r="O221" i="118"/>
  <c r="O222" i="118"/>
  <c r="H219" i="118"/>
  <c r="H220" i="118"/>
  <c r="H221" i="118"/>
  <c r="H222" i="118"/>
  <c r="T219" i="118"/>
  <c r="O223" i="118"/>
  <c r="O224" i="118"/>
  <c r="O225" i="118"/>
  <c r="O226" i="118"/>
  <c r="H223" i="118"/>
  <c r="H224" i="118"/>
  <c r="H225" i="118"/>
  <c r="H226" i="118"/>
  <c r="T223" i="118"/>
  <c r="O227" i="118"/>
  <c r="O228" i="118"/>
  <c r="O229" i="118"/>
  <c r="O230" i="118"/>
  <c r="H227" i="118"/>
  <c r="H228" i="118"/>
  <c r="H229" i="118"/>
  <c r="H230" i="118"/>
  <c r="T227" i="118"/>
  <c r="O231" i="118"/>
  <c r="O232" i="118"/>
  <c r="O233" i="118"/>
  <c r="O234" i="118"/>
  <c r="H231" i="118"/>
  <c r="H232" i="118"/>
  <c r="H233" i="118"/>
  <c r="H234" i="118"/>
  <c r="T231" i="118"/>
  <c r="O235" i="118"/>
  <c r="O236" i="118"/>
  <c r="O237" i="118"/>
  <c r="O238" i="118"/>
  <c r="H235" i="118"/>
  <c r="H236" i="118"/>
  <c r="H237" i="118"/>
  <c r="H238" i="118"/>
  <c r="T235" i="118"/>
  <c r="O239" i="118"/>
  <c r="O240" i="118"/>
  <c r="O241" i="118"/>
  <c r="O242" i="118"/>
  <c r="H239" i="118"/>
  <c r="H240" i="118"/>
  <c r="H241" i="118"/>
  <c r="H242" i="118"/>
  <c r="T239" i="118"/>
  <c r="O243" i="118"/>
  <c r="O244" i="118"/>
  <c r="O245" i="118"/>
  <c r="O246" i="118"/>
  <c r="H243" i="118"/>
  <c r="H244" i="118"/>
  <c r="H245" i="118"/>
  <c r="H246" i="118"/>
  <c r="T243" i="118"/>
  <c r="F31" i="135"/>
  <c r="S203" i="118"/>
  <c r="S207" i="118"/>
  <c r="S211" i="118"/>
  <c r="S215" i="118"/>
  <c r="S219" i="118"/>
  <c r="S223" i="118"/>
  <c r="S227" i="118"/>
  <c r="S231" i="118"/>
  <c r="S235" i="118"/>
  <c r="S239" i="118"/>
  <c r="S243" i="118"/>
  <c r="E31" i="135"/>
  <c r="R203" i="118"/>
  <c r="R207" i="118"/>
  <c r="R211" i="118"/>
  <c r="R215" i="118"/>
  <c r="R219" i="118"/>
  <c r="R223" i="118"/>
  <c r="R227" i="118"/>
  <c r="R231" i="118"/>
  <c r="R235" i="118"/>
  <c r="R239" i="118"/>
  <c r="R243" i="118"/>
  <c r="D31" i="135"/>
  <c r="Q203" i="118"/>
  <c r="Q207" i="118"/>
  <c r="Q211" i="118"/>
  <c r="Q215" i="118"/>
  <c r="Q219" i="118"/>
  <c r="Q223" i="118"/>
  <c r="Q227" i="118"/>
  <c r="Q231" i="118"/>
  <c r="Q235" i="118"/>
  <c r="Q239" i="118"/>
  <c r="Q243" i="118"/>
  <c r="C31" i="135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Q24" i="135"/>
  <c r="O81" i="126"/>
  <c r="O82" i="126"/>
  <c r="O83" i="126"/>
  <c r="O84" i="126"/>
  <c r="H81" i="126"/>
  <c r="H82" i="126"/>
  <c r="H83" i="126"/>
  <c r="H84" i="126"/>
  <c r="T81" i="126"/>
  <c r="O85" i="126"/>
  <c r="O86" i="126"/>
  <c r="O87" i="126"/>
  <c r="O88" i="126"/>
  <c r="H85" i="126"/>
  <c r="H86" i="126"/>
  <c r="H87" i="126"/>
  <c r="H88" i="126"/>
  <c r="T85" i="126"/>
  <c r="O89" i="126"/>
  <c r="O90" i="126"/>
  <c r="O91" i="126"/>
  <c r="O92" i="126"/>
  <c r="H89" i="126"/>
  <c r="H90" i="126"/>
  <c r="H91" i="126"/>
  <c r="H92" i="126"/>
  <c r="T89" i="126"/>
  <c r="O93" i="126"/>
  <c r="O94" i="126"/>
  <c r="O95" i="126"/>
  <c r="O96" i="126"/>
  <c r="H93" i="126"/>
  <c r="H94" i="126"/>
  <c r="H95" i="126"/>
  <c r="H96" i="126"/>
  <c r="T93" i="126"/>
  <c r="O97" i="126"/>
  <c r="O98" i="126"/>
  <c r="O99" i="126"/>
  <c r="O100" i="126"/>
  <c r="H97" i="126"/>
  <c r="H98" i="126"/>
  <c r="H99" i="126"/>
  <c r="H100" i="126"/>
  <c r="T97" i="126"/>
  <c r="O101" i="126"/>
  <c r="O102" i="126"/>
  <c r="O103" i="126"/>
  <c r="O104" i="126"/>
  <c r="H101" i="126"/>
  <c r="H102" i="126"/>
  <c r="H103" i="126"/>
  <c r="H104" i="126"/>
  <c r="T101" i="126"/>
  <c r="O105" i="126"/>
  <c r="O106" i="126"/>
  <c r="O107" i="126"/>
  <c r="O108" i="126"/>
  <c r="H105" i="126"/>
  <c r="H106" i="126"/>
  <c r="H107" i="126"/>
  <c r="H108" i="126"/>
  <c r="T105" i="126"/>
  <c r="O109" i="126"/>
  <c r="O110" i="126"/>
  <c r="O111" i="126"/>
  <c r="O112" i="126"/>
  <c r="H109" i="126"/>
  <c r="H110" i="126"/>
  <c r="H111" i="126"/>
  <c r="H112" i="126"/>
  <c r="T109" i="126"/>
  <c r="O113" i="126"/>
  <c r="O114" i="126"/>
  <c r="O115" i="126"/>
  <c r="O116" i="126"/>
  <c r="H113" i="126"/>
  <c r="H114" i="126"/>
  <c r="H115" i="126"/>
  <c r="H116" i="126"/>
  <c r="T113" i="126"/>
  <c r="O117" i="126"/>
  <c r="O118" i="126"/>
  <c r="O119" i="126"/>
  <c r="O120" i="126"/>
  <c r="H117" i="126"/>
  <c r="H118" i="126"/>
  <c r="H119" i="126"/>
  <c r="H120" i="126"/>
  <c r="T117" i="126"/>
  <c r="O121" i="126"/>
  <c r="O122" i="126"/>
  <c r="O123" i="126"/>
  <c r="O124" i="126"/>
  <c r="H121" i="126"/>
  <c r="H122" i="126"/>
  <c r="H123" i="126"/>
  <c r="H124" i="126"/>
  <c r="T121" i="126"/>
  <c r="P24" i="135"/>
  <c r="S81" i="126"/>
  <c r="S85" i="126"/>
  <c r="S89" i="126"/>
  <c r="S93" i="126"/>
  <c r="S97" i="126"/>
  <c r="S101" i="126"/>
  <c r="S105" i="126"/>
  <c r="S109" i="126"/>
  <c r="S113" i="126"/>
  <c r="S117" i="126"/>
  <c r="S121" i="126"/>
  <c r="O24" i="135"/>
  <c r="R81" i="126"/>
  <c r="R85" i="126"/>
  <c r="R89" i="126"/>
  <c r="R93" i="126"/>
  <c r="R97" i="126"/>
  <c r="R101" i="126"/>
  <c r="R105" i="126"/>
  <c r="R109" i="126"/>
  <c r="R113" i="126"/>
  <c r="R117" i="126"/>
  <c r="R121" i="126"/>
  <c r="N24" i="135"/>
  <c r="Q81" i="126"/>
  <c r="Q85" i="126"/>
  <c r="Q89" i="126"/>
  <c r="Q93" i="126"/>
  <c r="Q97" i="126"/>
  <c r="Q101" i="126"/>
  <c r="Q105" i="126"/>
  <c r="Q109" i="126"/>
  <c r="Q113" i="126"/>
  <c r="Q117" i="126"/>
  <c r="Q121" i="126"/>
  <c r="M24" i="135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24" i="135"/>
  <c r="O81" i="118"/>
  <c r="O82" i="118"/>
  <c r="O83" i="118"/>
  <c r="O84" i="118"/>
  <c r="H81" i="118"/>
  <c r="H82" i="118"/>
  <c r="H83" i="118"/>
  <c r="H84" i="118"/>
  <c r="T81" i="118"/>
  <c r="O85" i="118"/>
  <c r="O86" i="118"/>
  <c r="O87" i="118"/>
  <c r="O88" i="118"/>
  <c r="H85" i="118"/>
  <c r="H86" i="118"/>
  <c r="H87" i="118"/>
  <c r="H88" i="118"/>
  <c r="T85" i="118"/>
  <c r="O89" i="118"/>
  <c r="O90" i="118"/>
  <c r="O91" i="118"/>
  <c r="O92" i="118"/>
  <c r="H89" i="118"/>
  <c r="H90" i="118"/>
  <c r="H91" i="118"/>
  <c r="H92" i="118"/>
  <c r="T89" i="118"/>
  <c r="O93" i="118"/>
  <c r="O94" i="118"/>
  <c r="O95" i="118"/>
  <c r="O96" i="118"/>
  <c r="H93" i="118"/>
  <c r="H94" i="118"/>
  <c r="H95" i="118"/>
  <c r="H96" i="118"/>
  <c r="T93" i="118"/>
  <c r="O97" i="118"/>
  <c r="O98" i="118"/>
  <c r="O99" i="118"/>
  <c r="O100" i="118"/>
  <c r="H97" i="118"/>
  <c r="H98" i="118"/>
  <c r="H99" i="118"/>
  <c r="H100" i="118"/>
  <c r="T97" i="118"/>
  <c r="O101" i="118"/>
  <c r="O102" i="118"/>
  <c r="O103" i="118"/>
  <c r="O104" i="118"/>
  <c r="H101" i="118"/>
  <c r="H102" i="118"/>
  <c r="H103" i="118"/>
  <c r="H104" i="118"/>
  <c r="T101" i="118"/>
  <c r="O105" i="118"/>
  <c r="O106" i="118"/>
  <c r="O107" i="118"/>
  <c r="O108" i="118"/>
  <c r="H105" i="118"/>
  <c r="H106" i="118"/>
  <c r="H107" i="118"/>
  <c r="H108" i="118"/>
  <c r="T105" i="118"/>
  <c r="O109" i="118"/>
  <c r="O110" i="118"/>
  <c r="O111" i="118"/>
  <c r="O112" i="118"/>
  <c r="H109" i="118"/>
  <c r="H110" i="118"/>
  <c r="H111" i="118"/>
  <c r="H112" i="118"/>
  <c r="T109" i="118"/>
  <c r="O113" i="118"/>
  <c r="O114" i="118"/>
  <c r="O115" i="118"/>
  <c r="O116" i="118"/>
  <c r="H113" i="118"/>
  <c r="H114" i="118"/>
  <c r="H115" i="118"/>
  <c r="H116" i="118"/>
  <c r="T113" i="118"/>
  <c r="O117" i="118"/>
  <c r="O118" i="118"/>
  <c r="O119" i="118"/>
  <c r="O120" i="118"/>
  <c r="H117" i="118"/>
  <c r="H118" i="118"/>
  <c r="H119" i="118"/>
  <c r="H120" i="118"/>
  <c r="T117" i="118"/>
  <c r="O121" i="118"/>
  <c r="O122" i="118"/>
  <c r="O123" i="118"/>
  <c r="O124" i="118"/>
  <c r="H121" i="118"/>
  <c r="H122" i="118"/>
  <c r="H123" i="118"/>
  <c r="H124" i="118"/>
  <c r="T121" i="118"/>
  <c r="F24" i="135"/>
  <c r="S81" i="118"/>
  <c r="S85" i="118"/>
  <c r="S89" i="118"/>
  <c r="S93" i="118"/>
  <c r="S97" i="118"/>
  <c r="S101" i="118"/>
  <c r="S105" i="118"/>
  <c r="S109" i="118"/>
  <c r="S113" i="118"/>
  <c r="S117" i="118"/>
  <c r="S121" i="118"/>
  <c r="E24" i="135"/>
  <c r="R81" i="118"/>
  <c r="R85" i="118"/>
  <c r="R89" i="118"/>
  <c r="R93" i="118"/>
  <c r="R97" i="118"/>
  <c r="R101" i="118"/>
  <c r="R105" i="118"/>
  <c r="R109" i="118"/>
  <c r="R113" i="118"/>
  <c r="R117" i="118"/>
  <c r="R121" i="118"/>
  <c r="D24" i="135"/>
  <c r="Q81" i="118"/>
  <c r="Q85" i="118"/>
  <c r="Q89" i="118"/>
  <c r="Q93" i="118"/>
  <c r="Q97" i="118"/>
  <c r="Q101" i="118"/>
  <c r="Q105" i="118"/>
  <c r="Q109" i="118"/>
  <c r="Q113" i="118"/>
  <c r="Q117" i="118"/>
  <c r="Q121" i="118"/>
  <c r="C24" i="135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Q40" i="135"/>
  <c r="O81" i="153"/>
  <c r="O82" i="153"/>
  <c r="O83" i="153"/>
  <c r="O84" i="153"/>
  <c r="H81" i="153"/>
  <c r="H82" i="153"/>
  <c r="H83" i="153"/>
  <c r="H84" i="153"/>
  <c r="T81" i="153"/>
  <c r="O85" i="153"/>
  <c r="O86" i="153"/>
  <c r="O87" i="153"/>
  <c r="O88" i="153"/>
  <c r="H85" i="153"/>
  <c r="H86" i="153"/>
  <c r="H87" i="153"/>
  <c r="H88" i="153"/>
  <c r="T85" i="153"/>
  <c r="O89" i="153"/>
  <c r="O90" i="153"/>
  <c r="O91" i="153"/>
  <c r="O92" i="153"/>
  <c r="H89" i="153"/>
  <c r="H90" i="153"/>
  <c r="H91" i="153"/>
  <c r="H92" i="153"/>
  <c r="T89" i="153"/>
  <c r="O93" i="153"/>
  <c r="O94" i="153"/>
  <c r="O95" i="153"/>
  <c r="O96" i="153"/>
  <c r="H93" i="153"/>
  <c r="H94" i="153"/>
  <c r="H95" i="153"/>
  <c r="H96" i="153"/>
  <c r="T93" i="153"/>
  <c r="O97" i="153"/>
  <c r="O98" i="153"/>
  <c r="O99" i="153"/>
  <c r="O100" i="153"/>
  <c r="H97" i="153"/>
  <c r="H98" i="153"/>
  <c r="H99" i="153"/>
  <c r="H100" i="153"/>
  <c r="T97" i="153"/>
  <c r="O101" i="153"/>
  <c r="O102" i="153"/>
  <c r="O103" i="153"/>
  <c r="O104" i="153"/>
  <c r="H101" i="153"/>
  <c r="H102" i="153"/>
  <c r="H103" i="153"/>
  <c r="H104" i="153"/>
  <c r="T101" i="153"/>
  <c r="O105" i="153"/>
  <c r="O106" i="153"/>
  <c r="O107" i="153"/>
  <c r="O108" i="153"/>
  <c r="H105" i="153"/>
  <c r="H106" i="153"/>
  <c r="H107" i="153"/>
  <c r="H108" i="153"/>
  <c r="T105" i="153"/>
  <c r="O109" i="153"/>
  <c r="O110" i="153"/>
  <c r="O111" i="153"/>
  <c r="O112" i="153"/>
  <c r="H109" i="153"/>
  <c r="H110" i="153"/>
  <c r="H111" i="153"/>
  <c r="H112" i="153"/>
  <c r="T109" i="153"/>
  <c r="O113" i="153"/>
  <c r="O114" i="153"/>
  <c r="O115" i="153"/>
  <c r="O116" i="153"/>
  <c r="H113" i="153"/>
  <c r="H114" i="153"/>
  <c r="H115" i="153"/>
  <c r="H116" i="153"/>
  <c r="T113" i="153"/>
  <c r="O117" i="153"/>
  <c r="O118" i="153"/>
  <c r="O119" i="153"/>
  <c r="O120" i="153"/>
  <c r="H117" i="153"/>
  <c r="H118" i="153"/>
  <c r="H119" i="153"/>
  <c r="H120" i="153"/>
  <c r="T117" i="153"/>
  <c r="O121" i="153"/>
  <c r="O122" i="153"/>
  <c r="O123" i="153"/>
  <c r="O124" i="153"/>
  <c r="H121" i="153"/>
  <c r="H122" i="153"/>
  <c r="H123" i="153"/>
  <c r="H124" i="153"/>
  <c r="T121" i="153"/>
  <c r="P40" i="135"/>
  <c r="S81" i="153"/>
  <c r="S85" i="153"/>
  <c r="S89" i="153"/>
  <c r="S93" i="153"/>
  <c r="S97" i="153"/>
  <c r="S101" i="153"/>
  <c r="S105" i="153"/>
  <c r="S109" i="153"/>
  <c r="S113" i="153"/>
  <c r="S117" i="153"/>
  <c r="S121" i="153"/>
  <c r="O40" i="135"/>
  <c r="R81" i="153"/>
  <c r="R85" i="153"/>
  <c r="R89" i="153"/>
  <c r="R93" i="153"/>
  <c r="R97" i="153"/>
  <c r="R101" i="153"/>
  <c r="R105" i="153"/>
  <c r="R109" i="153"/>
  <c r="R113" i="153"/>
  <c r="R117" i="153"/>
  <c r="R121" i="153"/>
  <c r="N40" i="135"/>
  <c r="Q81" i="153"/>
  <c r="Q85" i="153"/>
  <c r="Q89" i="153"/>
  <c r="Q93" i="153"/>
  <c r="Q97" i="153"/>
  <c r="Q101" i="153"/>
  <c r="Q105" i="153"/>
  <c r="Q109" i="153"/>
  <c r="Q113" i="153"/>
  <c r="Q117" i="153"/>
  <c r="Q121" i="153"/>
  <c r="M40" i="135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G40" i="135"/>
  <c r="O81" i="144"/>
  <c r="O82" i="144"/>
  <c r="O83" i="144"/>
  <c r="O84" i="144"/>
  <c r="H81" i="144"/>
  <c r="H82" i="144"/>
  <c r="H83" i="144"/>
  <c r="H84" i="144"/>
  <c r="T81" i="144"/>
  <c r="O85" i="144"/>
  <c r="O86" i="144"/>
  <c r="O87" i="144"/>
  <c r="O88" i="144"/>
  <c r="H85" i="144"/>
  <c r="H86" i="144"/>
  <c r="H87" i="144"/>
  <c r="H88" i="144"/>
  <c r="T85" i="144"/>
  <c r="O89" i="144"/>
  <c r="O90" i="144"/>
  <c r="O91" i="144"/>
  <c r="O92" i="144"/>
  <c r="H89" i="144"/>
  <c r="H90" i="144"/>
  <c r="H91" i="144"/>
  <c r="H92" i="144"/>
  <c r="T89" i="144"/>
  <c r="O93" i="144"/>
  <c r="O94" i="144"/>
  <c r="O95" i="144"/>
  <c r="O96" i="144"/>
  <c r="H93" i="144"/>
  <c r="H94" i="144"/>
  <c r="H95" i="144"/>
  <c r="H96" i="144"/>
  <c r="T93" i="144"/>
  <c r="O97" i="144"/>
  <c r="O98" i="144"/>
  <c r="O99" i="144"/>
  <c r="O100" i="144"/>
  <c r="H97" i="144"/>
  <c r="H98" i="144"/>
  <c r="H99" i="144"/>
  <c r="H100" i="144"/>
  <c r="T97" i="144"/>
  <c r="O101" i="144"/>
  <c r="O102" i="144"/>
  <c r="O103" i="144"/>
  <c r="O104" i="144"/>
  <c r="H101" i="144"/>
  <c r="H102" i="144"/>
  <c r="H103" i="144"/>
  <c r="H104" i="144"/>
  <c r="T101" i="144"/>
  <c r="O105" i="144"/>
  <c r="O106" i="144"/>
  <c r="O107" i="144"/>
  <c r="O108" i="144"/>
  <c r="H105" i="144"/>
  <c r="H106" i="144"/>
  <c r="H107" i="144"/>
  <c r="H108" i="144"/>
  <c r="T105" i="144"/>
  <c r="O109" i="144"/>
  <c r="O110" i="144"/>
  <c r="O111" i="144"/>
  <c r="O112" i="144"/>
  <c r="H109" i="144"/>
  <c r="H110" i="144"/>
  <c r="H111" i="144"/>
  <c r="H112" i="144"/>
  <c r="T109" i="144"/>
  <c r="O113" i="144"/>
  <c r="O114" i="144"/>
  <c r="O115" i="144"/>
  <c r="O116" i="144"/>
  <c r="H113" i="144"/>
  <c r="H114" i="144"/>
  <c r="H115" i="144"/>
  <c r="H116" i="144"/>
  <c r="T113" i="144"/>
  <c r="O117" i="144"/>
  <c r="O118" i="144"/>
  <c r="O119" i="144"/>
  <c r="O120" i="144"/>
  <c r="H117" i="144"/>
  <c r="H118" i="144"/>
  <c r="H119" i="144"/>
  <c r="H120" i="144"/>
  <c r="T117" i="144"/>
  <c r="O121" i="144"/>
  <c r="O122" i="144"/>
  <c r="O123" i="144"/>
  <c r="O124" i="144"/>
  <c r="H121" i="144"/>
  <c r="H122" i="144"/>
  <c r="H123" i="144"/>
  <c r="H124" i="144"/>
  <c r="T121" i="144"/>
  <c r="F40" i="135"/>
  <c r="S81" i="144"/>
  <c r="S85" i="144"/>
  <c r="S89" i="144"/>
  <c r="S93" i="144"/>
  <c r="S97" i="144"/>
  <c r="S101" i="144"/>
  <c r="S105" i="144"/>
  <c r="S109" i="144"/>
  <c r="S113" i="144"/>
  <c r="S117" i="144"/>
  <c r="S121" i="144"/>
  <c r="E40" i="135"/>
  <c r="R81" i="144"/>
  <c r="R85" i="144"/>
  <c r="R89" i="144"/>
  <c r="R93" i="144"/>
  <c r="R97" i="144"/>
  <c r="R101" i="144"/>
  <c r="R105" i="144"/>
  <c r="R109" i="144"/>
  <c r="R113" i="144"/>
  <c r="R117" i="144"/>
  <c r="R121" i="144"/>
  <c r="D40" i="135"/>
  <c r="Q81" i="144"/>
  <c r="Q85" i="144"/>
  <c r="Q89" i="144"/>
  <c r="Q93" i="144"/>
  <c r="Q97" i="144"/>
  <c r="Q101" i="144"/>
  <c r="Q105" i="144"/>
  <c r="Q109" i="144"/>
  <c r="Q113" i="144"/>
  <c r="Q117" i="144"/>
  <c r="Q121" i="144"/>
  <c r="C40" i="135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Q15" i="135"/>
  <c r="O203" i="150"/>
  <c r="O204" i="150"/>
  <c r="O205" i="150"/>
  <c r="O206" i="150"/>
  <c r="T203" i="150"/>
  <c r="O207" i="150"/>
  <c r="O208" i="150"/>
  <c r="O209" i="150"/>
  <c r="O210" i="150"/>
  <c r="T207" i="150"/>
  <c r="O211" i="150"/>
  <c r="O212" i="150"/>
  <c r="O213" i="150"/>
  <c r="O214" i="150"/>
  <c r="T211" i="150"/>
  <c r="O215" i="150"/>
  <c r="O216" i="150"/>
  <c r="O217" i="150"/>
  <c r="O218" i="150"/>
  <c r="T215" i="150"/>
  <c r="O219" i="150"/>
  <c r="O220" i="150"/>
  <c r="O221" i="150"/>
  <c r="O222" i="150"/>
  <c r="T219" i="150"/>
  <c r="O223" i="150"/>
  <c r="O224" i="150"/>
  <c r="O225" i="150"/>
  <c r="O226" i="150"/>
  <c r="T223" i="150"/>
  <c r="O227" i="150"/>
  <c r="O228" i="150"/>
  <c r="O229" i="150"/>
  <c r="O230" i="150"/>
  <c r="T227" i="150"/>
  <c r="O231" i="150"/>
  <c r="O232" i="150"/>
  <c r="O233" i="150"/>
  <c r="O234" i="150"/>
  <c r="T231" i="150"/>
  <c r="O235" i="150"/>
  <c r="O236" i="150"/>
  <c r="O237" i="150"/>
  <c r="O238" i="150"/>
  <c r="T235" i="150"/>
  <c r="O239" i="150"/>
  <c r="O240" i="150"/>
  <c r="O241" i="150"/>
  <c r="O242" i="150"/>
  <c r="T239" i="150"/>
  <c r="O243" i="150"/>
  <c r="O244" i="150"/>
  <c r="O245" i="150"/>
  <c r="O246" i="150"/>
  <c r="T243" i="150"/>
  <c r="P15" i="135"/>
  <c r="S203" i="150"/>
  <c r="S207" i="150"/>
  <c r="S211" i="150"/>
  <c r="S215" i="150"/>
  <c r="S219" i="150"/>
  <c r="S223" i="150"/>
  <c r="S227" i="150"/>
  <c r="S231" i="150"/>
  <c r="S235" i="150"/>
  <c r="S239" i="150"/>
  <c r="S243" i="150"/>
  <c r="O15" i="135"/>
  <c r="R203" i="150"/>
  <c r="R207" i="150"/>
  <c r="R211" i="150"/>
  <c r="R215" i="150"/>
  <c r="R219" i="150"/>
  <c r="R223" i="150"/>
  <c r="R227" i="150"/>
  <c r="R231" i="150"/>
  <c r="R235" i="150"/>
  <c r="R239" i="150"/>
  <c r="R243" i="150"/>
  <c r="N15" i="135"/>
  <c r="Q203" i="150"/>
  <c r="Q207" i="150"/>
  <c r="Q211" i="150"/>
  <c r="Q215" i="150"/>
  <c r="Q219" i="150"/>
  <c r="Q223" i="150"/>
  <c r="Q227" i="150"/>
  <c r="Q231" i="150"/>
  <c r="Q235" i="150"/>
  <c r="Q239" i="150"/>
  <c r="Q243" i="150"/>
  <c r="M15" i="135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15" i="135"/>
  <c r="O203" i="112"/>
  <c r="O204" i="112"/>
  <c r="O205" i="112"/>
  <c r="O206" i="112"/>
  <c r="H203" i="112"/>
  <c r="H204" i="112"/>
  <c r="H205" i="112"/>
  <c r="H206" i="112"/>
  <c r="T203" i="112"/>
  <c r="O207" i="112"/>
  <c r="O208" i="112"/>
  <c r="O209" i="112"/>
  <c r="O210" i="112"/>
  <c r="H207" i="112"/>
  <c r="H208" i="112"/>
  <c r="H209" i="112"/>
  <c r="H210" i="112"/>
  <c r="T207" i="112"/>
  <c r="O211" i="112"/>
  <c r="O212" i="112"/>
  <c r="O213" i="112"/>
  <c r="O214" i="112"/>
  <c r="H211" i="112"/>
  <c r="H212" i="112"/>
  <c r="H213" i="112"/>
  <c r="H214" i="112"/>
  <c r="T211" i="112"/>
  <c r="O215" i="112"/>
  <c r="O216" i="112"/>
  <c r="O217" i="112"/>
  <c r="O218" i="112"/>
  <c r="H215" i="112"/>
  <c r="H216" i="112"/>
  <c r="H217" i="112"/>
  <c r="H218" i="112"/>
  <c r="T215" i="112"/>
  <c r="O219" i="112"/>
  <c r="O220" i="112"/>
  <c r="O221" i="112"/>
  <c r="O222" i="112"/>
  <c r="H219" i="112"/>
  <c r="H220" i="112"/>
  <c r="H221" i="112"/>
  <c r="H222" i="112"/>
  <c r="T219" i="112"/>
  <c r="O223" i="112"/>
  <c r="O224" i="112"/>
  <c r="O225" i="112"/>
  <c r="O226" i="112"/>
  <c r="H223" i="112"/>
  <c r="H224" i="112"/>
  <c r="H225" i="112"/>
  <c r="H226" i="112"/>
  <c r="T223" i="112"/>
  <c r="O227" i="112"/>
  <c r="O228" i="112"/>
  <c r="O229" i="112"/>
  <c r="O230" i="112"/>
  <c r="H227" i="112"/>
  <c r="H228" i="112"/>
  <c r="H229" i="112"/>
  <c r="H230" i="112"/>
  <c r="T227" i="112"/>
  <c r="O231" i="112"/>
  <c r="O232" i="112"/>
  <c r="O233" i="112"/>
  <c r="O234" i="112"/>
  <c r="H231" i="112"/>
  <c r="H232" i="112"/>
  <c r="H233" i="112"/>
  <c r="H234" i="112"/>
  <c r="T231" i="112"/>
  <c r="O235" i="112"/>
  <c r="O236" i="112"/>
  <c r="O237" i="112"/>
  <c r="O238" i="112"/>
  <c r="H235" i="112"/>
  <c r="H236" i="112"/>
  <c r="H237" i="112"/>
  <c r="H238" i="112"/>
  <c r="T235" i="112"/>
  <c r="O239" i="112"/>
  <c r="O240" i="112"/>
  <c r="O241" i="112"/>
  <c r="O242" i="112"/>
  <c r="H239" i="112"/>
  <c r="H240" i="112"/>
  <c r="H241" i="112"/>
  <c r="H242" i="112"/>
  <c r="T239" i="112"/>
  <c r="O243" i="112"/>
  <c r="O244" i="112"/>
  <c r="O245" i="112"/>
  <c r="O246" i="112"/>
  <c r="H243" i="112"/>
  <c r="H244" i="112"/>
  <c r="H245" i="112"/>
  <c r="H246" i="112"/>
  <c r="T243" i="112"/>
  <c r="F15" i="135"/>
  <c r="S203" i="112"/>
  <c r="S207" i="112"/>
  <c r="S211" i="112"/>
  <c r="S215" i="112"/>
  <c r="S219" i="112"/>
  <c r="S223" i="112"/>
  <c r="S227" i="112"/>
  <c r="S231" i="112"/>
  <c r="S235" i="112"/>
  <c r="S239" i="112"/>
  <c r="S243" i="112"/>
  <c r="E15" i="135"/>
  <c r="R203" i="112"/>
  <c r="R207" i="112"/>
  <c r="R211" i="112"/>
  <c r="R215" i="112"/>
  <c r="R219" i="112"/>
  <c r="R223" i="112"/>
  <c r="R227" i="112"/>
  <c r="R231" i="112"/>
  <c r="R235" i="112"/>
  <c r="R239" i="112"/>
  <c r="R243" i="112"/>
  <c r="D15" i="135"/>
  <c r="Q203" i="112"/>
  <c r="Q207" i="112"/>
  <c r="Q211" i="112"/>
  <c r="Q215" i="112"/>
  <c r="Q219" i="112"/>
  <c r="Q223" i="112"/>
  <c r="Q227" i="112"/>
  <c r="Q231" i="112"/>
  <c r="Q235" i="112"/>
  <c r="Q239" i="112"/>
  <c r="Q243" i="112"/>
  <c r="C15" i="135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Q8" i="135"/>
  <c r="O81" i="150"/>
  <c r="O82" i="150"/>
  <c r="O83" i="150"/>
  <c r="O84" i="150"/>
  <c r="T81" i="150"/>
  <c r="O85" i="150"/>
  <c r="O86" i="150"/>
  <c r="O87" i="150"/>
  <c r="O88" i="150"/>
  <c r="T85" i="150"/>
  <c r="O89" i="150"/>
  <c r="O90" i="150"/>
  <c r="O91" i="150"/>
  <c r="O92" i="150"/>
  <c r="T89" i="150"/>
  <c r="O93" i="150"/>
  <c r="O94" i="150"/>
  <c r="O95" i="150"/>
  <c r="O96" i="150"/>
  <c r="T93" i="150"/>
  <c r="O97" i="150"/>
  <c r="O98" i="150"/>
  <c r="O99" i="150"/>
  <c r="O100" i="150"/>
  <c r="T97" i="150"/>
  <c r="O101" i="150"/>
  <c r="O102" i="150"/>
  <c r="O103" i="150"/>
  <c r="O104" i="150"/>
  <c r="T101" i="150"/>
  <c r="O105" i="150"/>
  <c r="O106" i="150"/>
  <c r="O107" i="150"/>
  <c r="O108" i="150"/>
  <c r="T105" i="150"/>
  <c r="O109" i="150"/>
  <c r="O110" i="150"/>
  <c r="O111" i="150"/>
  <c r="O112" i="150"/>
  <c r="T109" i="150"/>
  <c r="O113" i="150"/>
  <c r="O114" i="150"/>
  <c r="O115" i="150"/>
  <c r="O116" i="150"/>
  <c r="T113" i="150"/>
  <c r="O117" i="150"/>
  <c r="O118" i="150"/>
  <c r="O119" i="150"/>
  <c r="O120" i="150"/>
  <c r="T117" i="150"/>
  <c r="O121" i="150"/>
  <c r="O122" i="150"/>
  <c r="O123" i="150"/>
  <c r="O124" i="150"/>
  <c r="T121" i="150"/>
  <c r="P8" i="135"/>
  <c r="S81" i="150"/>
  <c r="S85" i="150"/>
  <c r="S89" i="150"/>
  <c r="S93" i="150"/>
  <c r="S97" i="150"/>
  <c r="S101" i="150"/>
  <c r="S105" i="150"/>
  <c r="S109" i="150"/>
  <c r="S113" i="150"/>
  <c r="S117" i="150"/>
  <c r="S121" i="150"/>
  <c r="O8" i="135"/>
  <c r="R81" i="150"/>
  <c r="R85" i="150"/>
  <c r="R89" i="150"/>
  <c r="R93" i="150"/>
  <c r="R97" i="150"/>
  <c r="R101" i="150"/>
  <c r="R105" i="150"/>
  <c r="R109" i="150"/>
  <c r="R113" i="150"/>
  <c r="R117" i="150"/>
  <c r="R121" i="150"/>
  <c r="N8" i="135"/>
  <c r="Q81" i="150"/>
  <c r="Q85" i="150"/>
  <c r="Q89" i="150"/>
  <c r="Q93" i="150"/>
  <c r="Q97" i="150"/>
  <c r="Q101" i="150"/>
  <c r="Q105" i="150"/>
  <c r="Q109" i="150"/>
  <c r="Q113" i="150"/>
  <c r="Q117" i="150"/>
  <c r="Q121" i="150"/>
  <c r="M8" i="135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8" i="135"/>
  <c r="O81" i="112"/>
  <c r="O82" i="112"/>
  <c r="O83" i="112"/>
  <c r="O84" i="112"/>
  <c r="H81" i="112"/>
  <c r="H82" i="112"/>
  <c r="H83" i="112"/>
  <c r="H84" i="112"/>
  <c r="T81" i="112"/>
  <c r="O85" i="112"/>
  <c r="O86" i="112"/>
  <c r="O87" i="112"/>
  <c r="O88" i="112"/>
  <c r="H85" i="112"/>
  <c r="H86" i="112"/>
  <c r="H87" i="112"/>
  <c r="H88" i="112"/>
  <c r="T85" i="112"/>
  <c r="O89" i="112"/>
  <c r="O90" i="112"/>
  <c r="O91" i="112"/>
  <c r="O92" i="112"/>
  <c r="H89" i="112"/>
  <c r="H90" i="112"/>
  <c r="H91" i="112"/>
  <c r="H92" i="112"/>
  <c r="T89" i="112"/>
  <c r="O93" i="112"/>
  <c r="O94" i="112"/>
  <c r="O95" i="112"/>
  <c r="O96" i="112"/>
  <c r="H93" i="112"/>
  <c r="H94" i="112"/>
  <c r="H95" i="112"/>
  <c r="H96" i="112"/>
  <c r="T93" i="112"/>
  <c r="O97" i="112"/>
  <c r="O98" i="112"/>
  <c r="O99" i="112"/>
  <c r="O100" i="112"/>
  <c r="H97" i="112"/>
  <c r="H98" i="112"/>
  <c r="H99" i="112"/>
  <c r="H100" i="112"/>
  <c r="T97" i="112"/>
  <c r="O101" i="112"/>
  <c r="O102" i="112"/>
  <c r="O103" i="112"/>
  <c r="O104" i="112"/>
  <c r="H101" i="112"/>
  <c r="H102" i="112"/>
  <c r="H103" i="112"/>
  <c r="H104" i="112"/>
  <c r="T101" i="112"/>
  <c r="O105" i="112"/>
  <c r="O106" i="112"/>
  <c r="O107" i="112"/>
  <c r="O108" i="112"/>
  <c r="H105" i="112"/>
  <c r="H106" i="112"/>
  <c r="H107" i="112"/>
  <c r="H108" i="112"/>
  <c r="T105" i="112"/>
  <c r="O109" i="112"/>
  <c r="O110" i="112"/>
  <c r="O111" i="112"/>
  <c r="O112" i="112"/>
  <c r="H109" i="112"/>
  <c r="H110" i="112"/>
  <c r="H111" i="112"/>
  <c r="H112" i="112"/>
  <c r="T109" i="112"/>
  <c r="O113" i="112"/>
  <c r="O114" i="112"/>
  <c r="O115" i="112"/>
  <c r="O116" i="112"/>
  <c r="H113" i="112"/>
  <c r="H114" i="112"/>
  <c r="H115" i="112"/>
  <c r="H116" i="112"/>
  <c r="T113" i="112"/>
  <c r="O117" i="112"/>
  <c r="O118" i="112"/>
  <c r="O119" i="112"/>
  <c r="O120" i="112"/>
  <c r="H117" i="112"/>
  <c r="H118" i="112"/>
  <c r="H119" i="112"/>
  <c r="H120" i="112"/>
  <c r="T117" i="112"/>
  <c r="O121" i="112"/>
  <c r="O122" i="112"/>
  <c r="O123" i="112"/>
  <c r="O124" i="112"/>
  <c r="H121" i="112"/>
  <c r="H122" i="112"/>
  <c r="H123" i="112"/>
  <c r="H124" i="112"/>
  <c r="T121" i="112"/>
  <c r="F8" i="135"/>
  <c r="S81" i="112"/>
  <c r="S85" i="112"/>
  <c r="S89" i="112"/>
  <c r="S93" i="112"/>
  <c r="S97" i="112"/>
  <c r="S101" i="112"/>
  <c r="S105" i="112"/>
  <c r="S109" i="112"/>
  <c r="S113" i="112"/>
  <c r="S117" i="112"/>
  <c r="S121" i="112"/>
  <c r="E8" i="135"/>
  <c r="R81" i="112"/>
  <c r="R85" i="112"/>
  <c r="R89" i="112"/>
  <c r="R93" i="112"/>
  <c r="R97" i="112"/>
  <c r="R101" i="112"/>
  <c r="R105" i="112"/>
  <c r="R109" i="112"/>
  <c r="R113" i="112"/>
  <c r="R117" i="112"/>
  <c r="R121" i="112"/>
  <c r="D8" i="135"/>
  <c r="Q81" i="112"/>
  <c r="Q85" i="112"/>
  <c r="Q89" i="112"/>
  <c r="Q93" i="112"/>
  <c r="Q97" i="112"/>
  <c r="Q101" i="112"/>
  <c r="Q105" i="112"/>
  <c r="Q109" i="112"/>
  <c r="Q113" i="112"/>
  <c r="Q117" i="112"/>
  <c r="Q121" i="112"/>
  <c r="C8" i="135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125" i="153"/>
  <c r="Q41" i="135"/>
  <c r="Q39" i="135"/>
  <c r="Q38" i="135"/>
  <c r="Q37" i="135"/>
  <c r="Q36" i="135"/>
  <c r="Q35" i="135"/>
  <c r="O9" i="153"/>
  <c r="O10" i="153"/>
  <c r="O11" i="153"/>
  <c r="O12" i="153"/>
  <c r="H9" i="153"/>
  <c r="H10" i="153"/>
  <c r="H11" i="153"/>
  <c r="H12" i="153"/>
  <c r="T9" i="153"/>
  <c r="O13" i="153"/>
  <c r="O14" i="153"/>
  <c r="O15" i="153"/>
  <c r="O16" i="153"/>
  <c r="H13" i="153"/>
  <c r="H14" i="153"/>
  <c r="H15" i="153"/>
  <c r="H16" i="153"/>
  <c r="T13" i="153"/>
  <c r="O17" i="153"/>
  <c r="O18" i="153"/>
  <c r="O19" i="153"/>
  <c r="O20" i="153"/>
  <c r="H17" i="153"/>
  <c r="H18" i="153"/>
  <c r="H19" i="153"/>
  <c r="H20" i="153"/>
  <c r="T17" i="153"/>
  <c r="O21" i="153"/>
  <c r="O22" i="153"/>
  <c r="O23" i="153"/>
  <c r="O24" i="153"/>
  <c r="H21" i="153"/>
  <c r="H22" i="153"/>
  <c r="H23" i="153"/>
  <c r="H24" i="153"/>
  <c r="T21" i="153"/>
  <c r="O25" i="153"/>
  <c r="O26" i="153"/>
  <c r="O27" i="153"/>
  <c r="O28" i="153"/>
  <c r="H25" i="153"/>
  <c r="H26" i="153"/>
  <c r="H27" i="153"/>
  <c r="H28" i="153"/>
  <c r="T25" i="153"/>
  <c r="O29" i="153"/>
  <c r="O30" i="153"/>
  <c r="O31" i="153"/>
  <c r="O32" i="153"/>
  <c r="H29" i="153"/>
  <c r="H30" i="153"/>
  <c r="H31" i="153"/>
  <c r="H32" i="153"/>
  <c r="T29" i="153"/>
  <c r="O33" i="153"/>
  <c r="O34" i="153"/>
  <c r="O35" i="153"/>
  <c r="O36" i="153"/>
  <c r="H33" i="153"/>
  <c r="H34" i="153"/>
  <c r="H35" i="153"/>
  <c r="H36" i="153"/>
  <c r="T33" i="153"/>
  <c r="O37" i="153"/>
  <c r="O38" i="153"/>
  <c r="O39" i="153"/>
  <c r="O40" i="153"/>
  <c r="H37" i="153"/>
  <c r="H38" i="153"/>
  <c r="H39" i="153"/>
  <c r="H40" i="153"/>
  <c r="T37" i="153"/>
  <c r="O41" i="153"/>
  <c r="O42" i="153"/>
  <c r="O43" i="153"/>
  <c r="O44" i="153"/>
  <c r="H41" i="153"/>
  <c r="H42" i="153"/>
  <c r="H43" i="153"/>
  <c r="H44" i="153"/>
  <c r="T41" i="153"/>
  <c r="O45" i="153"/>
  <c r="O46" i="153"/>
  <c r="O47" i="153"/>
  <c r="O48" i="153"/>
  <c r="H45" i="153"/>
  <c r="H46" i="153"/>
  <c r="H47" i="153"/>
  <c r="H48" i="153"/>
  <c r="T45" i="153"/>
  <c r="O49" i="153"/>
  <c r="O50" i="153"/>
  <c r="O51" i="153"/>
  <c r="O52" i="153"/>
  <c r="H49" i="153"/>
  <c r="H50" i="153"/>
  <c r="H51" i="153"/>
  <c r="H52" i="153"/>
  <c r="T49" i="153"/>
  <c r="O53" i="153"/>
  <c r="O54" i="153"/>
  <c r="O55" i="153"/>
  <c r="O56" i="153"/>
  <c r="H53" i="153"/>
  <c r="H54" i="153"/>
  <c r="H55" i="153"/>
  <c r="H56" i="153"/>
  <c r="T53" i="153"/>
  <c r="O57" i="153"/>
  <c r="O58" i="153"/>
  <c r="O59" i="153"/>
  <c r="O60" i="153"/>
  <c r="H57" i="153"/>
  <c r="H58" i="153"/>
  <c r="H59" i="153"/>
  <c r="H60" i="153"/>
  <c r="T57" i="153"/>
  <c r="O61" i="153"/>
  <c r="O62" i="153"/>
  <c r="O63" i="153"/>
  <c r="O64" i="153"/>
  <c r="H61" i="153"/>
  <c r="H62" i="153"/>
  <c r="H63" i="153"/>
  <c r="H64" i="153"/>
  <c r="T61" i="153"/>
  <c r="O65" i="153"/>
  <c r="O66" i="153"/>
  <c r="O67" i="153"/>
  <c r="O68" i="153"/>
  <c r="H65" i="153"/>
  <c r="H66" i="153"/>
  <c r="H67" i="153"/>
  <c r="H68" i="153"/>
  <c r="T65" i="153"/>
  <c r="O69" i="153"/>
  <c r="O70" i="153"/>
  <c r="O71" i="153"/>
  <c r="O72" i="153"/>
  <c r="H69" i="153"/>
  <c r="H70" i="153"/>
  <c r="H71" i="153"/>
  <c r="H72" i="153"/>
  <c r="T69" i="153"/>
  <c r="O73" i="153"/>
  <c r="O74" i="153"/>
  <c r="O75" i="153"/>
  <c r="O76" i="153"/>
  <c r="H73" i="153"/>
  <c r="H74" i="153"/>
  <c r="H75" i="153"/>
  <c r="H76" i="153"/>
  <c r="T73" i="153"/>
  <c r="O77" i="153"/>
  <c r="O78" i="153"/>
  <c r="O79" i="153"/>
  <c r="O80" i="153"/>
  <c r="H77" i="153"/>
  <c r="H78" i="153"/>
  <c r="H79" i="153"/>
  <c r="H80" i="153"/>
  <c r="T77" i="153"/>
  <c r="T125" i="153"/>
  <c r="P41" i="135"/>
  <c r="P39" i="135"/>
  <c r="P38" i="135"/>
  <c r="P37" i="135"/>
  <c r="P36" i="135"/>
  <c r="P35" i="135"/>
  <c r="S9" i="153"/>
  <c r="S13" i="153"/>
  <c r="S17" i="153"/>
  <c r="S21" i="153"/>
  <c r="S25" i="153"/>
  <c r="S29" i="153"/>
  <c r="S33" i="153"/>
  <c r="S37" i="153"/>
  <c r="S41" i="153"/>
  <c r="S45" i="153"/>
  <c r="S49" i="153"/>
  <c r="S53" i="153"/>
  <c r="S57" i="153"/>
  <c r="S61" i="153"/>
  <c r="S65" i="153"/>
  <c r="S69" i="153"/>
  <c r="S73" i="153"/>
  <c r="S77" i="153"/>
  <c r="S125" i="153"/>
  <c r="O41" i="135"/>
  <c r="O39" i="135"/>
  <c r="O38" i="135"/>
  <c r="O37" i="135"/>
  <c r="O36" i="135"/>
  <c r="O35" i="135"/>
  <c r="R9" i="153"/>
  <c r="R13" i="153"/>
  <c r="R17" i="153"/>
  <c r="R21" i="153"/>
  <c r="R25" i="153"/>
  <c r="R29" i="153"/>
  <c r="R33" i="153"/>
  <c r="R37" i="153"/>
  <c r="R41" i="153"/>
  <c r="R45" i="153"/>
  <c r="R49" i="153"/>
  <c r="R53" i="153"/>
  <c r="R57" i="153"/>
  <c r="R61" i="153"/>
  <c r="R65" i="153"/>
  <c r="R69" i="153"/>
  <c r="R73" i="153"/>
  <c r="R77" i="153"/>
  <c r="R125" i="153"/>
  <c r="N41" i="135"/>
  <c r="N39" i="135"/>
  <c r="N38" i="135"/>
  <c r="N37" i="135"/>
  <c r="N36" i="135"/>
  <c r="N35" i="135"/>
  <c r="Q9" i="153"/>
  <c r="Q13" i="153"/>
  <c r="Q17" i="153"/>
  <c r="Q21" i="153"/>
  <c r="Q25" i="153"/>
  <c r="Q29" i="153"/>
  <c r="Q33" i="153"/>
  <c r="Q37" i="153"/>
  <c r="Q41" i="153"/>
  <c r="Q45" i="153"/>
  <c r="Q49" i="153"/>
  <c r="Q53" i="153"/>
  <c r="Q57" i="153"/>
  <c r="Q61" i="153"/>
  <c r="Q65" i="153"/>
  <c r="Q69" i="153"/>
  <c r="Q73" i="153"/>
  <c r="Q77" i="153"/>
  <c r="Q125" i="153"/>
  <c r="M41" i="135"/>
  <c r="M39" i="135"/>
  <c r="M38" i="135"/>
  <c r="M37" i="135"/>
  <c r="M36" i="135"/>
  <c r="M35" i="135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47" i="126"/>
  <c r="Q32" i="135"/>
  <c r="Q30" i="135"/>
  <c r="Q29" i="135"/>
  <c r="Q28" i="135"/>
  <c r="Q27" i="135"/>
  <c r="Q26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Q25" i="135"/>
  <c r="Q23" i="135"/>
  <c r="Q22" i="135"/>
  <c r="Q21" i="135"/>
  <c r="Q20" i="135"/>
  <c r="Q19" i="135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47" i="150"/>
  <c r="Q16" i="135"/>
  <c r="Q14" i="135"/>
  <c r="Q13" i="135"/>
  <c r="Q12" i="135"/>
  <c r="Q11" i="135"/>
  <c r="Q10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Q9" i="135"/>
  <c r="Q7" i="135"/>
  <c r="Q6" i="135"/>
  <c r="Q5" i="135"/>
  <c r="Q4" i="135"/>
  <c r="Q3" i="135"/>
  <c r="O131" i="126"/>
  <c r="O132" i="126"/>
  <c r="O133" i="126"/>
  <c r="O134" i="126"/>
  <c r="H131" i="126"/>
  <c r="H132" i="126"/>
  <c r="H133" i="126"/>
  <c r="H134" i="126"/>
  <c r="T131" i="126"/>
  <c r="O135" i="126"/>
  <c r="O136" i="126"/>
  <c r="O137" i="126"/>
  <c r="O138" i="126"/>
  <c r="H135" i="126"/>
  <c r="H136" i="126"/>
  <c r="H137" i="126"/>
  <c r="H138" i="126"/>
  <c r="T135" i="126"/>
  <c r="O139" i="126"/>
  <c r="O140" i="126"/>
  <c r="O141" i="126"/>
  <c r="O142" i="126"/>
  <c r="H139" i="126"/>
  <c r="H140" i="126"/>
  <c r="H141" i="126"/>
  <c r="H142" i="126"/>
  <c r="T139" i="126"/>
  <c r="O143" i="126"/>
  <c r="O144" i="126"/>
  <c r="O145" i="126"/>
  <c r="O146" i="126"/>
  <c r="H143" i="126"/>
  <c r="H144" i="126"/>
  <c r="H145" i="126"/>
  <c r="H146" i="126"/>
  <c r="T143" i="126"/>
  <c r="O147" i="126"/>
  <c r="O148" i="126"/>
  <c r="O149" i="126"/>
  <c r="O150" i="126"/>
  <c r="H147" i="126"/>
  <c r="H148" i="126"/>
  <c r="H149" i="126"/>
  <c r="H150" i="126"/>
  <c r="T147" i="126"/>
  <c r="O151" i="126"/>
  <c r="O152" i="126"/>
  <c r="O153" i="126"/>
  <c r="O154" i="126"/>
  <c r="H151" i="126"/>
  <c r="H152" i="126"/>
  <c r="H153" i="126"/>
  <c r="H154" i="126"/>
  <c r="T151" i="126"/>
  <c r="O155" i="126"/>
  <c r="O156" i="126"/>
  <c r="O157" i="126"/>
  <c r="O158" i="126"/>
  <c r="H155" i="126"/>
  <c r="H156" i="126"/>
  <c r="H157" i="126"/>
  <c r="H158" i="126"/>
  <c r="T155" i="126"/>
  <c r="O159" i="126"/>
  <c r="O160" i="126"/>
  <c r="O161" i="126"/>
  <c r="O162" i="126"/>
  <c r="H159" i="126"/>
  <c r="H160" i="126"/>
  <c r="H161" i="126"/>
  <c r="H162" i="126"/>
  <c r="T159" i="126"/>
  <c r="O163" i="126"/>
  <c r="O164" i="126"/>
  <c r="O165" i="126"/>
  <c r="O166" i="126"/>
  <c r="H163" i="126"/>
  <c r="H164" i="126"/>
  <c r="H165" i="126"/>
  <c r="H166" i="126"/>
  <c r="T163" i="126"/>
  <c r="O167" i="126"/>
  <c r="O168" i="126"/>
  <c r="O169" i="126"/>
  <c r="O170" i="126"/>
  <c r="H167" i="126"/>
  <c r="H168" i="126"/>
  <c r="H169" i="126"/>
  <c r="H170" i="126"/>
  <c r="T167" i="126"/>
  <c r="O171" i="126"/>
  <c r="O172" i="126"/>
  <c r="O173" i="126"/>
  <c r="O174" i="126"/>
  <c r="H171" i="126"/>
  <c r="H172" i="126"/>
  <c r="H173" i="126"/>
  <c r="H174" i="126"/>
  <c r="T171" i="126"/>
  <c r="O175" i="126"/>
  <c r="O176" i="126"/>
  <c r="O177" i="126"/>
  <c r="O178" i="126"/>
  <c r="H175" i="126"/>
  <c r="H176" i="126"/>
  <c r="H177" i="126"/>
  <c r="H178" i="126"/>
  <c r="T175" i="126"/>
  <c r="O179" i="126"/>
  <c r="O180" i="126"/>
  <c r="O181" i="126"/>
  <c r="O182" i="126"/>
  <c r="H179" i="126"/>
  <c r="H180" i="126"/>
  <c r="H181" i="126"/>
  <c r="H182" i="126"/>
  <c r="T179" i="126"/>
  <c r="O183" i="126"/>
  <c r="O184" i="126"/>
  <c r="O185" i="126"/>
  <c r="O186" i="126"/>
  <c r="H183" i="126"/>
  <c r="H184" i="126"/>
  <c r="H185" i="126"/>
  <c r="H186" i="126"/>
  <c r="T183" i="126"/>
  <c r="O187" i="126"/>
  <c r="O188" i="126"/>
  <c r="O189" i="126"/>
  <c r="O190" i="126"/>
  <c r="H187" i="126"/>
  <c r="H188" i="126"/>
  <c r="H189" i="126"/>
  <c r="H190" i="126"/>
  <c r="T187" i="126"/>
  <c r="O191" i="126"/>
  <c r="O192" i="126"/>
  <c r="O193" i="126"/>
  <c r="O194" i="126"/>
  <c r="H191" i="126"/>
  <c r="H192" i="126"/>
  <c r="H193" i="126"/>
  <c r="H194" i="126"/>
  <c r="T191" i="126"/>
  <c r="O195" i="126"/>
  <c r="O196" i="126"/>
  <c r="O197" i="126"/>
  <c r="O198" i="126"/>
  <c r="H195" i="126"/>
  <c r="H196" i="126"/>
  <c r="H197" i="126"/>
  <c r="H198" i="126"/>
  <c r="T195" i="126"/>
  <c r="O199" i="126"/>
  <c r="O200" i="126"/>
  <c r="O201" i="126"/>
  <c r="O202" i="126"/>
  <c r="H199" i="126"/>
  <c r="H200" i="126"/>
  <c r="H201" i="126"/>
  <c r="H202" i="126"/>
  <c r="T199" i="126"/>
  <c r="T247" i="126"/>
  <c r="P32" i="135"/>
  <c r="P30" i="135"/>
  <c r="P29" i="135"/>
  <c r="P28" i="135"/>
  <c r="P27" i="135"/>
  <c r="P26" i="135"/>
  <c r="O9" i="126"/>
  <c r="O10" i="126"/>
  <c r="O11" i="126"/>
  <c r="O12" i="126"/>
  <c r="H9" i="126"/>
  <c r="H10" i="126"/>
  <c r="H11" i="126"/>
  <c r="H12" i="126"/>
  <c r="T9" i="126"/>
  <c r="O13" i="126"/>
  <c r="O14" i="126"/>
  <c r="O15" i="126"/>
  <c r="O16" i="126"/>
  <c r="H13" i="126"/>
  <c r="H14" i="126"/>
  <c r="H15" i="126"/>
  <c r="H16" i="126"/>
  <c r="T13" i="126"/>
  <c r="O17" i="126"/>
  <c r="O18" i="126"/>
  <c r="O19" i="126"/>
  <c r="O20" i="126"/>
  <c r="H17" i="126"/>
  <c r="H18" i="126"/>
  <c r="H19" i="126"/>
  <c r="H20" i="126"/>
  <c r="T17" i="126"/>
  <c r="O21" i="126"/>
  <c r="O22" i="126"/>
  <c r="O23" i="126"/>
  <c r="O24" i="126"/>
  <c r="H21" i="126"/>
  <c r="H22" i="126"/>
  <c r="H23" i="126"/>
  <c r="H24" i="126"/>
  <c r="T21" i="126"/>
  <c r="O25" i="126"/>
  <c r="O26" i="126"/>
  <c r="O27" i="126"/>
  <c r="O28" i="126"/>
  <c r="H25" i="126"/>
  <c r="H26" i="126"/>
  <c r="H27" i="126"/>
  <c r="H28" i="126"/>
  <c r="T25" i="126"/>
  <c r="O29" i="126"/>
  <c r="O30" i="126"/>
  <c r="O31" i="126"/>
  <c r="O32" i="126"/>
  <c r="H29" i="126"/>
  <c r="H30" i="126"/>
  <c r="H31" i="126"/>
  <c r="H32" i="126"/>
  <c r="T29" i="126"/>
  <c r="O33" i="126"/>
  <c r="O34" i="126"/>
  <c r="O35" i="126"/>
  <c r="O36" i="126"/>
  <c r="H33" i="126"/>
  <c r="H34" i="126"/>
  <c r="H35" i="126"/>
  <c r="H36" i="126"/>
  <c r="T33" i="126"/>
  <c r="O37" i="126"/>
  <c r="O38" i="126"/>
  <c r="O39" i="126"/>
  <c r="O40" i="126"/>
  <c r="H37" i="126"/>
  <c r="H38" i="126"/>
  <c r="H39" i="126"/>
  <c r="H40" i="126"/>
  <c r="T37" i="126"/>
  <c r="O41" i="126"/>
  <c r="O42" i="126"/>
  <c r="O43" i="126"/>
  <c r="O44" i="126"/>
  <c r="H41" i="126"/>
  <c r="H42" i="126"/>
  <c r="H43" i="126"/>
  <c r="H44" i="126"/>
  <c r="T41" i="126"/>
  <c r="O45" i="126"/>
  <c r="O46" i="126"/>
  <c r="O47" i="126"/>
  <c r="O48" i="126"/>
  <c r="H45" i="126"/>
  <c r="H46" i="126"/>
  <c r="H47" i="126"/>
  <c r="H48" i="126"/>
  <c r="T45" i="126"/>
  <c r="O49" i="126"/>
  <c r="O50" i="126"/>
  <c r="O51" i="126"/>
  <c r="O52" i="126"/>
  <c r="H49" i="126"/>
  <c r="H50" i="126"/>
  <c r="H51" i="126"/>
  <c r="H52" i="126"/>
  <c r="T49" i="126"/>
  <c r="O53" i="126"/>
  <c r="O54" i="126"/>
  <c r="O55" i="126"/>
  <c r="O56" i="126"/>
  <c r="H53" i="126"/>
  <c r="H54" i="126"/>
  <c r="H55" i="126"/>
  <c r="H56" i="126"/>
  <c r="T53" i="126"/>
  <c r="O57" i="126"/>
  <c r="O58" i="126"/>
  <c r="O59" i="126"/>
  <c r="O60" i="126"/>
  <c r="H57" i="126"/>
  <c r="H58" i="126"/>
  <c r="H59" i="126"/>
  <c r="H60" i="126"/>
  <c r="T57" i="126"/>
  <c r="O61" i="126"/>
  <c r="O62" i="126"/>
  <c r="O63" i="126"/>
  <c r="O64" i="126"/>
  <c r="H61" i="126"/>
  <c r="H62" i="126"/>
  <c r="H63" i="126"/>
  <c r="H64" i="126"/>
  <c r="T61" i="126"/>
  <c r="O65" i="126"/>
  <c r="O66" i="126"/>
  <c r="O67" i="126"/>
  <c r="O68" i="126"/>
  <c r="H65" i="126"/>
  <c r="H66" i="126"/>
  <c r="H67" i="126"/>
  <c r="H68" i="126"/>
  <c r="T65" i="126"/>
  <c r="O69" i="126"/>
  <c r="O70" i="126"/>
  <c r="O71" i="126"/>
  <c r="O72" i="126"/>
  <c r="H69" i="126"/>
  <c r="H70" i="126"/>
  <c r="H71" i="126"/>
  <c r="H72" i="126"/>
  <c r="T69" i="126"/>
  <c r="O73" i="126"/>
  <c r="O74" i="126"/>
  <c r="O75" i="126"/>
  <c r="O76" i="126"/>
  <c r="H73" i="126"/>
  <c r="H74" i="126"/>
  <c r="H75" i="126"/>
  <c r="H76" i="126"/>
  <c r="T73" i="126"/>
  <c r="O77" i="126"/>
  <c r="O78" i="126"/>
  <c r="O79" i="126"/>
  <c r="O80" i="126"/>
  <c r="H77" i="126"/>
  <c r="H78" i="126"/>
  <c r="H79" i="126"/>
  <c r="H80" i="126"/>
  <c r="T77" i="126"/>
  <c r="T125" i="126"/>
  <c r="P25" i="135"/>
  <c r="P23" i="135"/>
  <c r="P22" i="135"/>
  <c r="P21" i="135"/>
  <c r="P20" i="135"/>
  <c r="P19" i="135"/>
  <c r="O131" i="150"/>
  <c r="O132" i="150"/>
  <c r="O133" i="150"/>
  <c r="O134" i="150"/>
  <c r="T131" i="150"/>
  <c r="O135" i="150"/>
  <c r="O136" i="150"/>
  <c r="O137" i="150"/>
  <c r="O138" i="150"/>
  <c r="T135" i="150"/>
  <c r="O139" i="150"/>
  <c r="O140" i="150"/>
  <c r="O141" i="150"/>
  <c r="O142" i="150"/>
  <c r="T139" i="150"/>
  <c r="O143" i="150"/>
  <c r="O144" i="150"/>
  <c r="O145" i="150"/>
  <c r="O146" i="150"/>
  <c r="T143" i="150"/>
  <c r="O147" i="150"/>
  <c r="O148" i="150"/>
  <c r="O149" i="150"/>
  <c r="O150" i="150"/>
  <c r="T147" i="150"/>
  <c r="O151" i="150"/>
  <c r="O152" i="150"/>
  <c r="O153" i="150"/>
  <c r="O154" i="150"/>
  <c r="T151" i="150"/>
  <c r="O155" i="150"/>
  <c r="O156" i="150"/>
  <c r="O157" i="150"/>
  <c r="O158" i="150"/>
  <c r="T155" i="150"/>
  <c r="O159" i="150"/>
  <c r="O160" i="150"/>
  <c r="O161" i="150"/>
  <c r="O162" i="150"/>
  <c r="T159" i="150"/>
  <c r="O163" i="150"/>
  <c r="O164" i="150"/>
  <c r="O165" i="150"/>
  <c r="O166" i="150"/>
  <c r="T163" i="150"/>
  <c r="O167" i="150"/>
  <c r="O168" i="150"/>
  <c r="O169" i="150"/>
  <c r="O170" i="150"/>
  <c r="T167" i="150"/>
  <c r="O171" i="150"/>
  <c r="O172" i="150"/>
  <c r="O173" i="150"/>
  <c r="O174" i="150"/>
  <c r="T171" i="150"/>
  <c r="O175" i="150"/>
  <c r="O176" i="150"/>
  <c r="O177" i="150"/>
  <c r="O178" i="150"/>
  <c r="T175" i="150"/>
  <c r="O179" i="150"/>
  <c r="O180" i="150"/>
  <c r="O181" i="150"/>
  <c r="O182" i="150"/>
  <c r="T179" i="150"/>
  <c r="O183" i="150"/>
  <c r="O184" i="150"/>
  <c r="O185" i="150"/>
  <c r="O186" i="150"/>
  <c r="T183" i="150"/>
  <c r="O187" i="150"/>
  <c r="O188" i="150"/>
  <c r="O189" i="150"/>
  <c r="O190" i="150"/>
  <c r="T187" i="150"/>
  <c r="O191" i="150"/>
  <c r="O192" i="150"/>
  <c r="O193" i="150"/>
  <c r="O194" i="150"/>
  <c r="T191" i="150"/>
  <c r="O195" i="150"/>
  <c r="O196" i="150"/>
  <c r="O197" i="150"/>
  <c r="O198" i="150"/>
  <c r="T195" i="150"/>
  <c r="O199" i="150"/>
  <c r="O200" i="150"/>
  <c r="O201" i="150"/>
  <c r="O202" i="150"/>
  <c r="T199" i="150"/>
  <c r="T247" i="150"/>
  <c r="P16" i="135"/>
  <c r="P14" i="135"/>
  <c r="P13" i="135"/>
  <c r="P12" i="135"/>
  <c r="P11" i="135"/>
  <c r="P10" i="135"/>
  <c r="O9" i="150"/>
  <c r="O10" i="150"/>
  <c r="O11" i="150"/>
  <c r="O12" i="150"/>
  <c r="T9" i="150"/>
  <c r="O13" i="150"/>
  <c r="O14" i="150"/>
  <c r="O15" i="150"/>
  <c r="O16" i="150"/>
  <c r="T13" i="150"/>
  <c r="O17" i="150"/>
  <c r="O18" i="150"/>
  <c r="O19" i="150"/>
  <c r="O20" i="150"/>
  <c r="T17" i="150"/>
  <c r="O21" i="150"/>
  <c r="O22" i="150"/>
  <c r="O23" i="150"/>
  <c r="O24" i="150"/>
  <c r="T21" i="150"/>
  <c r="O25" i="150"/>
  <c r="O26" i="150"/>
  <c r="O27" i="150"/>
  <c r="O28" i="150"/>
  <c r="T25" i="150"/>
  <c r="O29" i="150"/>
  <c r="O30" i="150"/>
  <c r="O31" i="150"/>
  <c r="O32" i="150"/>
  <c r="T29" i="150"/>
  <c r="O33" i="150"/>
  <c r="O34" i="150"/>
  <c r="O35" i="150"/>
  <c r="O36" i="150"/>
  <c r="T33" i="150"/>
  <c r="O37" i="150"/>
  <c r="O38" i="150"/>
  <c r="O39" i="150"/>
  <c r="O40" i="150"/>
  <c r="T37" i="150"/>
  <c r="O41" i="150"/>
  <c r="O42" i="150"/>
  <c r="O43" i="150"/>
  <c r="O44" i="150"/>
  <c r="T41" i="150"/>
  <c r="O45" i="150"/>
  <c r="O46" i="150"/>
  <c r="O47" i="150"/>
  <c r="O48" i="150"/>
  <c r="T45" i="150"/>
  <c r="O49" i="150"/>
  <c r="O50" i="150"/>
  <c r="O51" i="150"/>
  <c r="O52" i="150"/>
  <c r="T49" i="150"/>
  <c r="O53" i="150"/>
  <c r="O54" i="150"/>
  <c r="O55" i="150"/>
  <c r="O56" i="150"/>
  <c r="T53" i="150"/>
  <c r="O57" i="150"/>
  <c r="O58" i="150"/>
  <c r="O59" i="150"/>
  <c r="O60" i="150"/>
  <c r="T57" i="150"/>
  <c r="O61" i="150"/>
  <c r="O62" i="150"/>
  <c r="O63" i="150"/>
  <c r="O64" i="150"/>
  <c r="T61" i="150"/>
  <c r="O65" i="150"/>
  <c r="O66" i="150"/>
  <c r="O67" i="150"/>
  <c r="O68" i="150"/>
  <c r="T65" i="150"/>
  <c r="O69" i="150"/>
  <c r="O70" i="150"/>
  <c r="O71" i="150"/>
  <c r="O72" i="150"/>
  <c r="T69" i="150"/>
  <c r="O73" i="150"/>
  <c r="O74" i="150"/>
  <c r="O75" i="150"/>
  <c r="O76" i="150"/>
  <c r="T73" i="150"/>
  <c r="O77" i="150"/>
  <c r="O78" i="150"/>
  <c r="O79" i="150"/>
  <c r="O80" i="150"/>
  <c r="T77" i="150"/>
  <c r="T125" i="150"/>
  <c r="P9" i="135"/>
  <c r="P7" i="135"/>
  <c r="P6" i="135"/>
  <c r="P5" i="135"/>
  <c r="P4" i="135"/>
  <c r="P3" i="135"/>
  <c r="S131" i="126"/>
  <c r="S135" i="126"/>
  <c r="S139" i="126"/>
  <c r="S143" i="126"/>
  <c r="S147" i="126"/>
  <c r="S151" i="126"/>
  <c r="S155" i="126"/>
  <c r="S159" i="126"/>
  <c r="S163" i="126"/>
  <c r="S167" i="126"/>
  <c r="S171" i="126"/>
  <c r="S175" i="126"/>
  <c r="S179" i="126"/>
  <c r="S183" i="126"/>
  <c r="S187" i="126"/>
  <c r="S191" i="126"/>
  <c r="S195" i="126"/>
  <c r="S199" i="126"/>
  <c r="S247" i="126"/>
  <c r="O32" i="135"/>
  <c r="O30" i="135"/>
  <c r="O29" i="135"/>
  <c r="O28" i="135"/>
  <c r="O27" i="135"/>
  <c r="O26" i="135"/>
  <c r="S9" i="126"/>
  <c r="S13" i="126"/>
  <c r="S17" i="126"/>
  <c r="S21" i="126"/>
  <c r="S25" i="126"/>
  <c r="S29" i="126"/>
  <c r="S33" i="126"/>
  <c r="S37" i="126"/>
  <c r="S41" i="126"/>
  <c r="S45" i="126"/>
  <c r="S49" i="126"/>
  <c r="S53" i="126"/>
  <c r="S57" i="126"/>
  <c r="S61" i="126"/>
  <c r="S65" i="126"/>
  <c r="S69" i="126"/>
  <c r="S73" i="126"/>
  <c r="S77" i="126"/>
  <c r="S125" i="126"/>
  <c r="O25" i="135"/>
  <c r="O23" i="135"/>
  <c r="O22" i="135"/>
  <c r="O21" i="135"/>
  <c r="O20" i="135"/>
  <c r="O19" i="135"/>
  <c r="S131" i="150"/>
  <c r="S135" i="150"/>
  <c r="S139" i="150"/>
  <c r="S143" i="150"/>
  <c r="S147" i="150"/>
  <c r="S151" i="150"/>
  <c r="S155" i="150"/>
  <c r="S159" i="150"/>
  <c r="S163" i="150"/>
  <c r="S167" i="150"/>
  <c r="S171" i="150"/>
  <c r="S175" i="150"/>
  <c r="S179" i="150"/>
  <c r="S183" i="150"/>
  <c r="S187" i="150"/>
  <c r="S191" i="150"/>
  <c r="S195" i="150"/>
  <c r="S199" i="150"/>
  <c r="S247" i="150"/>
  <c r="O16" i="135"/>
  <c r="O14" i="135"/>
  <c r="O13" i="135"/>
  <c r="O12" i="135"/>
  <c r="O11" i="135"/>
  <c r="O10" i="135"/>
  <c r="S9" i="150"/>
  <c r="S13" i="150"/>
  <c r="S17" i="150"/>
  <c r="S21" i="150"/>
  <c r="S25" i="150"/>
  <c r="S29" i="150"/>
  <c r="S33" i="150"/>
  <c r="S37" i="150"/>
  <c r="S41" i="150"/>
  <c r="S45" i="150"/>
  <c r="S49" i="150"/>
  <c r="S53" i="150"/>
  <c r="S57" i="150"/>
  <c r="S61" i="150"/>
  <c r="S65" i="150"/>
  <c r="S69" i="150"/>
  <c r="S73" i="150"/>
  <c r="S77" i="150"/>
  <c r="S125" i="150"/>
  <c r="O9" i="135"/>
  <c r="O7" i="135"/>
  <c r="O6" i="135"/>
  <c r="O5" i="135"/>
  <c r="O4" i="135"/>
  <c r="O3" i="135"/>
  <c r="R131" i="126"/>
  <c r="R135" i="126"/>
  <c r="R139" i="126"/>
  <c r="R143" i="126"/>
  <c r="R147" i="126"/>
  <c r="R151" i="126"/>
  <c r="R155" i="126"/>
  <c r="R159" i="126"/>
  <c r="R163" i="126"/>
  <c r="R167" i="126"/>
  <c r="R171" i="126"/>
  <c r="R175" i="126"/>
  <c r="R179" i="126"/>
  <c r="R183" i="126"/>
  <c r="R187" i="126"/>
  <c r="R191" i="126"/>
  <c r="R195" i="126"/>
  <c r="R199" i="126"/>
  <c r="R247" i="126"/>
  <c r="N32" i="135"/>
  <c r="N30" i="135"/>
  <c r="N29" i="135"/>
  <c r="N28" i="135"/>
  <c r="N27" i="135"/>
  <c r="N26" i="135"/>
  <c r="R9" i="126"/>
  <c r="R13" i="126"/>
  <c r="R17" i="126"/>
  <c r="R21" i="126"/>
  <c r="R25" i="126"/>
  <c r="R29" i="126"/>
  <c r="R33" i="126"/>
  <c r="R37" i="126"/>
  <c r="R41" i="126"/>
  <c r="R45" i="126"/>
  <c r="R49" i="126"/>
  <c r="R53" i="126"/>
  <c r="R57" i="126"/>
  <c r="R61" i="126"/>
  <c r="R65" i="126"/>
  <c r="R69" i="126"/>
  <c r="R73" i="126"/>
  <c r="R77" i="126"/>
  <c r="R125" i="126"/>
  <c r="N25" i="135"/>
  <c r="N23" i="135"/>
  <c r="N22" i="135"/>
  <c r="N21" i="135"/>
  <c r="N20" i="135"/>
  <c r="N19" i="135"/>
  <c r="R131" i="150"/>
  <c r="R135" i="150"/>
  <c r="R139" i="150"/>
  <c r="R143" i="150"/>
  <c r="R147" i="150"/>
  <c r="R151" i="150"/>
  <c r="R155" i="150"/>
  <c r="R159" i="150"/>
  <c r="R163" i="150"/>
  <c r="R167" i="150"/>
  <c r="R171" i="150"/>
  <c r="R175" i="150"/>
  <c r="R179" i="150"/>
  <c r="R183" i="150"/>
  <c r="R187" i="150"/>
  <c r="R191" i="150"/>
  <c r="R195" i="150"/>
  <c r="R199" i="150"/>
  <c r="R247" i="150"/>
  <c r="N16" i="135"/>
  <c r="N14" i="135"/>
  <c r="N13" i="135"/>
  <c r="N12" i="135"/>
  <c r="N11" i="135"/>
  <c r="N10" i="135"/>
  <c r="R9" i="150"/>
  <c r="R13" i="150"/>
  <c r="R17" i="150"/>
  <c r="R21" i="150"/>
  <c r="R25" i="150"/>
  <c r="R29" i="150"/>
  <c r="R33" i="150"/>
  <c r="R37" i="150"/>
  <c r="R41" i="150"/>
  <c r="R45" i="150"/>
  <c r="R49" i="150"/>
  <c r="R53" i="150"/>
  <c r="R57" i="150"/>
  <c r="R61" i="150"/>
  <c r="R65" i="150"/>
  <c r="R69" i="150"/>
  <c r="R73" i="150"/>
  <c r="R77" i="150"/>
  <c r="R125" i="150"/>
  <c r="N9" i="135"/>
  <c r="N7" i="135"/>
  <c r="N6" i="135"/>
  <c r="N5" i="135"/>
  <c r="N4" i="135"/>
  <c r="N3" i="135"/>
  <c r="Q131" i="126"/>
  <c r="Q135" i="126"/>
  <c r="Q139" i="126"/>
  <c r="Q143" i="126"/>
  <c r="Q147" i="126"/>
  <c r="Q151" i="126"/>
  <c r="Q155" i="126"/>
  <c r="Q159" i="126"/>
  <c r="Q163" i="126"/>
  <c r="Q167" i="126"/>
  <c r="Q171" i="126"/>
  <c r="Q175" i="126"/>
  <c r="Q179" i="126"/>
  <c r="Q183" i="126"/>
  <c r="Q187" i="126"/>
  <c r="Q191" i="126"/>
  <c r="Q195" i="126"/>
  <c r="Q199" i="126"/>
  <c r="Q247" i="126"/>
  <c r="M32" i="135"/>
  <c r="M30" i="135"/>
  <c r="M29" i="135"/>
  <c r="M28" i="135"/>
  <c r="M27" i="135"/>
  <c r="M26" i="135"/>
  <c r="Q9" i="126"/>
  <c r="Q13" i="126"/>
  <c r="Q17" i="126"/>
  <c r="Q21" i="126"/>
  <c r="Q25" i="126"/>
  <c r="Q29" i="126"/>
  <c r="Q33" i="126"/>
  <c r="Q37" i="126"/>
  <c r="Q41" i="126"/>
  <c r="Q45" i="126"/>
  <c r="Q49" i="126"/>
  <c r="Q53" i="126"/>
  <c r="Q57" i="126"/>
  <c r="Q61" i="126"/>
  <c r="Q65" i="126"/>
  <c r="Q69" i="126"/>
  <c r="Q73" i="126"/>
  <c r="Q77" i="126"/>
  <c r="Q125" i="126"/>
  <c r="M25" i="135"/>
  <c r="M23" i="135"/>
  <c r="M22" i="135"/>
  <c r="M21" i="135"/>
  <c r="M20" i="135"/>
  <c r="M19" i="135"/>
  <c r="Q131" i="150"/>
  <c r="Q135" i="150"/>
  <c r="Q139" i="150"/>
  <c r="Q143" i="150"/>
  <c r="Q147" i="150"/>
  <c r="Q151" i="150"/>
  <c r="Q155" i="150"/>
  <c r="Q159" i="150"/>
  <c r="Q163" i="150"/>
  <c r="Q167" i="150"/>
  <c r="Q171" i="150"/>
  <c r="Q175" i="150"/>
  <c r="Q179" i="150"/>
  <c r="Q183" i="150"/>
  <c r="Q187" i="150"/>
  <c r="Q191" i="150"/>
  <c r="Q195" i="150"/>
  <c r="Q199" i="150"/>
  <c r="Q247" i="150"/>
  <c r="M16" i="135"/>
  <c r="M14" i="135"/>
  <c r="M13" i="135"/>
  <c r="M12" i="135"/>
  <c r="M11" i="135"/>
  <c r="M10" i="135"/>
  <c r="Q9" i="150"/>
  <c r="Q13" i="150"/>
  <c r="Q17" i="150"/>
  <c r="Q21" i="150"/>
  <c r="Q25" i="150"/>
  <c r="Q29" i="150"/>
  <c r="Q33" i="150"/>
  <c r="Q37" i="150"/>
  <c r="Q41" i="150"/>
  <c r="Q45" i="150"/>
  <c r="Q49" i="150"/>
  <c r="Q53" i="150"/>
  <c r="Q57" i="150"/>
  <c r="Q61" i="150"/>
  <c r="Q65" i="150"/>
  <c r="Q69" i="150"/>
  <c r="Q73" i="150"/>
  <c r="Q77" i="150"/>
  <c r="Q125" i="150"/>
  <c r="M9" i="135"/>
  <c r="M7" i="135"/>
  <c r="M6" i="135"/>
  <c r="M5" i="135"/>
  <c r="M4" i="135"/>
  <c r="M3" i="135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125" i="144"/>
  <c r="G41" i="135"/>
  <c r="H9" i="144"/>
  <c r="H10" i="144"/>
  <c r="H11" i="144"/>
  <c r="O9" i="144"/>
  <c r="H12" i="144"/>
  <c r="O10" i="144"/>
  <c r="O11" i="144"/>
  <c r="O12" i="144"/>
  <c r="T9" i="144"/>
  <c r="H13" i="144"/>
  <c r="H14" i="144"/>
  <c r="H15" i="144"/>
  <c r="O13" i="144"/>
  <c r="H16" i="144"/>
  <c r="O14" i="144"/>
  <c r="O15" i="144"/>
  <c r="O16" i="144"/>
  <c r="T13" i="144"/>
  <c r="H17" i="144"/>
  <c r="H18" i="144"/>
  <c r="H19" i="144"/>
  <c r="O17" i="144"/>
  <c r="H20" i="144"/>
  <c r="O18" i="144"/>
  <c r="O19" i="144"/>
  <c r="O20" i="144"/>
  <c r="T17" i="144"/>
  <c r="H21" i="144"/>
  <c r="H22" i="144"/>
  <c r="H23" i="144"/>
  <c r="O21" i="144"/>
  <c r="H24" i="144"/>
  <c r="O22" i="144"/>
  <c r="O23" i="144"/>
  <c r="O24" i="144"/>
  <c r="T21" i="144"/>
  <c r="H25" i="144"/>
  <c r="H26" i="144"/>
  <c r="H27" i="144"/>
  <c r="O25" i="144"/>
  <c r="H28" i="144"/>
  <c r="O26" i="144"/>
  <c r="O27" i="144"/>
  <c r="O28" i="144"/>
  <c r="T25" i="144"/>
  <c r="H29" i="144"/>
  <c r="H30" i="144"/>
  <c r="H31" i="144"/>
  <c r="O29" i="144"/>
  <c r="H32" i="144"/>
  <c r="O30" i="144"/>
  <c r="O31" i="144"/>
  <c r="O32" i="144"/>
  <c r="T29" i="144"/>
  <c r="H33" i="144"/>
  <c r="H34" i="144"/>
  <c r="H35" i="144"/>
  <c r="O33" i="144"/>
  <c r="H36" i="144"/>
  <c r="O34" i="144"/>
  <c r="O35" i="144"/>
  <c r="O36" i="144"/>
  <c r="T33" i="144"/>
  <c r="H37" i="144"/>
  <c r="H38" i="144"/>
  <c r="H39" i="144"/>
  <c r="O37" i="144"/>
  <c r="H40" i="144"/>
  <c r="O38" i="144"/>
  <c r="O39" i="144"/>
  <c r="O40" i="144"/>
  <c r="T37" i="144"/>
  <c r="H41" i="144"/>
  <c r="H42" i="144"/>
  <c r="H43" i="144"/>
  <c r="O41" i="144"/>
  <c r="H44" i="144"/>
  <c r="O42" i="144"/>
  <c r="O43" i="144"/>
  <c r="O44" i="144"/>
  <c r="T41" i="144"/>
  <c r="H45" i="144"/>
  <c r="H46" i="144"/>
  <c r="H47" i="144"/>
  <c r="O45" i="144"/>
  <c r="H48" i="144"/>
  <c r="O46" i="144"/>
  <c r="O47" i="144"/>
  <c r="O48" i="144"/>
  <c r="T45" i="144"/>
  <c r="H49" i="144"/>
  <c r="H50" i="144"/>
  <c r="H51" i="144"/>
  <c r="O49" i="144"/>
  <c r="H52" i="144"/>
  <c r="O50" i="144"/>
  <c r="O51" i="144"/>
  <c r="O52" i="144"/>
  <c r="T49" i="144"/>
  <c r="H53" i="144"/>
  <c r="H54" i="144"/>
  <c r="H55" i="144"/>
  <c r="O53" i="144"/>
  <c r="H56" i="144"/>
  <c r="O54" i="144"/>
  <c r="O55" i="144"/>
  <c r="O56" i="144"/>
  <c r="T53" i="144"/>
  <c r="H57" i="144"/>
  <c r="H58" i="144"/>
  <c r="H59" i="144"/>
  <c r="O57" i="144"/>
  <c r="H60" i="144"/>
  <c r="O58" i="144"/>
  <c r="O59" i="144"/>
  <c r="O60" i="144"/>
  <c r="T57" i="144"/>
  <c r="H61" i="144"/>
  <c r="H62" i="144"/>
  <c r="H63" i="144"/>
  <c r="O61" i="144"/>
  <c r="H64" i="144"/>
  <c r="O62" i="144"/>
  <c r="O63" i="144"/>
  <c r="O64" i="144"/>
  <c r="T61" i="144"/>
  <c r="H65" i="144"/>
  <c r="H66" i="144"/>
  <c r="H67" i="144"/>
  <c r="O65" i="144"/>
  <c r="H68" i="144"/>
  <c r="O66" i="144"/>
  <c r="O67" i="144"/>
  <c r="O68" i="144"/>
  <c r="T65" i="144"/>
  <c r="H69" i="144"/>
  <c r="H70" i="144"/>
  <c r="H71" i="144"/>
  <c r="O69" i="144"/>
  <c r="H72" i="144"/>
  <c r="O70" i="144"/>
  <c r="O71" i="144"/>
  <c r="O72" i="144"/>
  <c r="T69" i="144"/>
  <c r="H73" i="144"/>
  <c r="H74" i="144"/>
  <c r="H75" i="144"/>
  <c r="O73" i="144"/>
  <c r="H76" i="144"/>
  <c r="O74" i="144"/>
  <c r="O75" i="144"/>
  <c r="O76" i="144"/>
  <c r="T73" i="144"/>
  <c r="H77" i="144"/>
  <c r="H78" i="144"/>
  <c r="H79" i="144"/>
  <c r="O77" i="144"/>
  <c r="H80" i="144"/>
  <c r="O78" i="144"/>
  <c r="O79" i="144"/>
  <c r="O80" i="144"/>
  <c r="T77" i="144"/>
  <c r="T125" i="144"/>
  <c r="F41" i="135"/>
  <c r="S9" i="144"/>
  <c r="S13" i="144"/>
  <c r="S17" i="144"/>
  <c r="S21" i="144"/>
  <c r="S25" i="144"/>
  <c r="S29" i="144"/>
  <c r="S33" i="144"/>
  <c r="S37" i="144"/>
  <c r="S41" i="144"/>
  <c r="S45" i="144"/>
  <c r="S49" i="144"/>
  <c r="S53" i="144"/>
  <c r="S57" i="144"/>
  <c r="S61" i="144"/>
  <c r="S65" i="144"/>
  <c r="S69" i="144"/>
  <c r="S73" i="144"/>
  <c r="S77" i="144"/>
  <c r="S125" i="144"/>
  <c r="E41" i="135"/>
  <c r="R9" i="144"/>
  <c r="R13" i="144"/>
  <c r="R17" i="144"/>
  <c r="R21" i="144"/>
  <c r="R25" i="144"/>
  <c r="R29" i="144"/>
  <c r="R33" i="144"/>
  <c r="R37" i="144"/>
  <c r="R41" i="144"/>
  <c r="R45" i="144"/>
  <c r="R49" i="144"/>
  <c r="R53" i="144"/>
  <c r="R57" i="144"/>
  <c r="R61" i="144"/>
  <c r="R65" i="144"/>
  <c r="R69" i="144"/>
  <c r="R73" i="144"/>
  <c r="R77" i="144"/>
  <c r="R125" i="144"/>
  <c r="D41" i="135"/>
  <c r="Q9" i="144"/>
  <c r="Q13" i="144"/>
  <c r="Q17" i="144"/>
  <c r="Q21" i="144"/>
  <c r="Q25" i="144"/>
  <c r="Q29" i="144"/>
  <c r="Q33" i="144"/>
  <c r="Q37" i="144"/>
  <c r="Q41" i="144"/>
  <c r="Q45" i="144"/>
  <c r="Q49" i="144"/>
  <c r="Q53" i="144"/>
  <c r="Q57" i="144"/>
  <c r="Q61" i="144"/>
  <c r="Q65" i="144"/>
  <c r="Q69" i="144"/>
  <c r="Q73" i="144"/>
  <c r="Q77" i="144"/>
  <c r="Q125" i="144"/>
  <c r="C41" i="135"/>
  <c r="G39" i="135"/>
  <c r="F39" i="135"/>
  <c r="E39" i="135"/>
  <c r="D39" i="135"/>
  <c r="C39" i="135"/>
  <c r="G38" i="135"/>
  <c r="F38" i="135"/>
  <c r="E38" i="135"/>
  <c r="D38" i="135"/>
  <c r="C38" i="135"/>
  <c r="G37" i="135"/>
  <c r="F37" i="135"/>
  <c r="E37" i="135"/>
  <c r="D37" i="135"/>
  <c r="C37" i="135"/>
  <c r="G36" i="135"/>
  <c r="F36" i="135"/>
  <c r="E36" i="135"/>
  <c r="D36" i="135"/>
  <c r="C36" i="135"/>
  <c r="G35" i="135"/>
  <c r="F35" i="135"/>
  <c r="E35" i="135"/>
  <c r="D35" i="135"/>
  <c r="C35" i="135"/>
  <c r="R9" i="118"/>
  <c r="R13" i="118"/>
  <c r="D19" i="135"/>
  <c r="S9" i="118"/>
  <c r="S13" i="118"/>
  <c r="E19" i="135"/>
  <c r="O9" i="118"/>
  <c r="O10" i="118"/>
  <c r="O11" i="118"/>
  <c r="O12" i="118"/>
  <c r="H9" i="118"/>
  <c r="H10" i="118"/>
  <c r="H11" i="118"/>
  <c r="H12" i="118"/>
  <c r="T9" i="118"/>
  <c r="O13" i="118"/>
  <c r="O14" i="118"/>
  <c r="O15" i="118"/>
  <c r="O16" i="118"/>
  <c r="H13" i="118"/>
  <c r="H14" i="118"/>
  <c r="H15" i="118"/>
  <c r="H16" i="118"/>
  <c r="T13" i="118"/>
  <c r="F19" i="135"/>
  <c r="U9" i="118"/>
  <c r="U10" i="118"/>
  <c r="U11" i="118"/>
  <c r="U12" i="118"/>
  <c r="U13" i="118"/>
  <c r="U14" i="118"/>
  <c r="U15" i="118"/>
  <c r="U16" i="118"/>
  <c r="G19" i="135"/>
  <c r="R17" i="118"/>
  <c r="R21" i="118"/>
  <c r="R25" i="118"/>
  <c r="R29" i="118"/>
  <c r="R33" i="118"/>
  <c r="D20" i="135"/>
  <c r="S17" i="118"/>
  <c r="S21" i="118"/>
  <c r="S25" i="118"/>
  <c r="S29" i="118"/>
  <c r="S33" i="118"/>
  <c r="E20" i="135"/>
  <c r="O17" i="118"/>
  <c r="O18" i="118"/>
  <c r="O19" i="118"/>
  <c r="O20" i="118"/>
  <c r="H17" i="118"/>
  <c r="H18" i="118"/>
  <c r="H19" i="118"/>
  <c r="H20" i="118"/>
  <c r="T17" i="118"/>
  <c r="O21" i="118"/>
  <c r="O22" i="118"/>
  <c r="O23" i="118"/>
  <c r="O24" i="118"/>
  <c r="H21" i="118"/>
  <c r="H22" i="118"/>
  <c r="H23" i="118"/>
  <c r="H24" i="118"/>
  <c r="T21" i="118"/>
  <c r="O25" i="118"/>
  <c r="O26" i="118"/>
  <c r="O27" i="118"/>
  <c r="O28" i="118"/>
  <c r="H25" i="118"/>
  <c r="H26" i="118"/>
  <c r="H27" i="118"/>
  <c r="H28" i="118"/>
  <c r="T25" i="118"/>
  <c r="O29" i="118"/>
  <c r="O30" i="118"/>
  <c r="O31" i="118"/>
  <c r="O32" i="118"/>
  <c r="H29" i="118"/>
  <c r="H30" i="118"/>
  <c r="H31" i="118"/>
  <c r="H32" i="118"/>
  <c r="T29" i="118"/>
  <c r="O33" i="118"/>
  <c r="O34" i="118"/>
  <c r="O35" i="118"/>
  <c r="O36" i="118"/>
  <c r="H33" i="118"/>
  <c r="H34" i="118"/>
  <c r="H35" i="118"/>
  <c r="H36" i="118"/>
  <c r="T33" i="118"/>
  <c r="F20" i="135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20" i="135"/>
  <c r="R37" i="118"/>
  <c r="R41" i="118"/>
  <c r="R45" i="118"/>
  <c r="R49" i="118"/>
  <c r="D21" i="135"/>
  <c r="S37" i="118"/>
  <c r="S41" i="118"/>
  <c r="S45" i="118"/>
  <c r="S49" i="118"/>
  <c r="E21" i="135"/>
  <c r="O37" i="118"/>
  <c r="O38" i="118"/>
  <c r="O39" i="118"/>
  <c r="O40" i="118"/>
  <c r="H37" i="118"/>
  <c r="H38" i="118"/>
  <c r="H39" i="118"/>
  <c r="H40" i="118"/>
  <c r="T37" i="118"/>
  <c r="O41" i="118"/>
  <c r="O42" i="118"/>
  <c r="O43" i="118"/>
  <c r="O44" i="118"/>
  <c r="H41" i="118"/>
  <c r="H42" i="118"/>
  <c r="H43" i="118"/>
  <c r="H44" i="118"/>
  <c r="T41" i="118"/>
  <c r="O45" i="118"/>
  <c r="O46" i="118"/>
  <c r="O47" i="118"/>
  <c r="O48" i="118"/>
  <c r="H45" i="118"/>
  <c r="H46" i="118"/>
  <c r="H47" i="118"/>
  <c r="H48" i="118"/>
  <c r="T45" i="118"/>
  <c r="O49" i="118"/>
  <c r="O50" i="118"/>
  <c r="O51" i="118"/>
  <c r="O52" i="118"/>
  <c r="H49" i="118"/>
  <c r="H50" i="118"/>
  <c r="H51" i="118"/>
  <c r="H52" i="118"/>
  <c r="T49" i="118"/>
  <c r="F21" i="135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21" i="135"/>
  <c r="R53" i="118"/>
  <c r="R57" i="118"/>
  <c r="R61" i="118"/>
  <c r="R65" i="118"/>
  <c r="D22" i="135"/>
  <c r="S53" i="118"/>
  <c r="S57" i="118"/>
  <c r="S61" i="118"/>
  <c r="S65" i="118"/>
  <c r="E22" i="135"/>
  <c r="O53" i="118"/>
  <c r="O54" i="118"/>
  <c r="O55" i="118"/>
  <c r="O56" i="118"/>
  <c r="H53" i="118"/>
  <c r="H54" i="118"/>
  <c r="H55" i="118"/>
  <c r="H56" i="118"/>
  <c r="T53" i="118"/>
  <c r="O57" i="118"/>
  <c r="O58" i="118"/>
  <c r="O59" i="118"/>
  <c r="O60" i="118"/>
  <c r="H57" i="118"/>
  <c r="H58" i="118"/>
  <c r="H59" i="118"/>
  <c r="H60" i="118"/>
  <c r="T57" i="118"/>
  <c r="O61" i="118"/>
  <c r="O62" i="118"/>
  <c r="O63" i="118"/>
  <c r="O64" i="118"/>
  <c r="H61" i="118"/>
  <c r="H62" i="118"/>
  <c r="H63" i="118"/>
  <c r="H64" i="118"/>
  <c r="T61" i="118"/>
  <c r="O65" i="118"/>
  <c r="O66" i="118"/>
  <c r="O67" i="118"/>
  <c r="O68" i="118"/>
  <c r="H65" i="118"/>
  <c r="H66" i="118"/>
  <c r="H67" i="118"/>
  <c r="H68" i="118"/>
  <c r="T65" i="118"/>
  <c r="F22" i="135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22" i="135"/>
  <c r="R69" i="118"/>
  <c r="R73" i="118"/>
  <c r="R77" i="118"/>
  <c r="D23" i="135"/>
  <c r="S69" i="118"/>
  <c r="S73" i="118"/>
  <c r="S77" i="118"/>
  <c r="E23" i="135"/>
  <c r="O69" i="118"/>
  <c r="O70" i="118"/>
  <c r="O71" i="118"/>
  <c r="O72" i="118"/>
  <c r="H69" i="118"/>
  <c r="H70" i="118"/>
  <c r="H71" i="118"/>
  <c r="H72" i="118"/>
  <c r="T69" i="118"/>
  <c r="O73" i="118"/>
  <c r="O74" i="118"/>
  <c r="O75" i="118"/>
  <c r="O76" i="118"/>
  <c r="H73" i="118"/>
  <c r="H74" i="118"/>
  <c r="H75" i="118"/>
  <c r="H76" i="118"/>
  <c r="T73" i="118"/>
  <c r="O77" i="118"/>
  <c r="O78" i="118"/>
  <c r="O79" i="118"/>
  <c r="O80" i="118"/>
  <c r="H77" i="118"/>
  <c r="H78" i="118"/>
  <c r="H79" i="118"/>
  <c r="H80" i="118"/>
  <c r="T77" i="118"/>
  <c r="F23" i="135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23" i="135"/>
  <c r="R125" i="118"/>
  <c r="D25" i="135"/>
  <c r="S125" i="118"/>
  <c r="E25" i="135"/>
  <c r="T125" i="118"/>
  <c r="F25" i="135"/>
  <c r="U125" i="118"/>
  <c r="G25" i="135"/>
  <c r="R131" i="118"/>
  <c r="R135" i="118"/>
  <c r="D26" i="135"/>
  <c r="S131" i="118"/>
  <c r="S135" i="118"/>
  <c r="E26" i="135"/>
  <c r="O131" i="118"/>
  <c r="O132" i="118"/>
  <c r="O133" i="118"/>
  <c r="O134" i="118"/>
  <c r="H131" i="118"/>
  <c r="H132" i="118"/>
  <c r="H133" i="118"/>
  <c r="H134" i="118"/>
  <c r="T131" i="118"/>
  <c r="O135" i="118"/>
  <c r="O136" i="118"/>
  <c r="O137" i="118"/>
  <c r="O138" i="118"/>
  <c r="H135" i="118"/>
  <c r="H136" i="118"/>
  <c r="H137" i="118"/>
  <c r="H138" i="118"/>
  <c r="T135" i="118"/>
  <c r="F26" i="135"/>
  <c r="U131" i="118"/>
  <c r="U132" i="118"/>
  <c r="U133" i="118"/>
  <c r="U134" i="118"/>
  <c r="U135" i="118"/>
  <c r="U136" i="118"/>
  <c r="U137" i="118"/>
  <c r="U138" i="118"/>
  <c r="G26" i="135"/>
  <c r="R139" i="118"/>
  <c r="R143" i="118"/>
  <c r="R147" i="118"/>
  <c r="R151" i="118"/>
  <c r="R155" i="118"/>
  <c r="D27" i="135"/>
  <c r="S139" i="118"/>
  <c r="S143" i="118"/>
  <c r="S147" i="118"/>
  <c r="S151" i="118"/>
  <c r="S155" i="118"/>
  <c r="E27" i="135"/>
  <c r="O139" i="118"/>
  <c r="O140" i="118"/>
  <c r="O141" i="118"/>
  <c r="O142" i="118"/>
  <c r="H139" i="118"/>
  <c r="H140" i="118"/>
  <c r="H141" i="118"/>
  <c r="H142" i="118"/>
  <c r="T139" i="118"/>
  <c r="O143" i="118"/>
  <c r="O144" i="118"/>
  <c r="O145" i="118"/>
  <c r="O146" i="118"/>
  <c r="H143" i="118"/>
  <c r="H144" i="118"/>
  <c r="H145" i="118"/>
  <c r="H146" i="118"/>
  <c r="T143" i="118"/>
  <c r="O147" i="118"/>
  <c r="O148" i="118"/>
  <c r="O149" i="118"/>
  <c r="O150" i="118"/>
  <c r="H147" i="118"/>
  <c r="H148" i="118"/>
  <c r="H149" i="118"/>
  <c r="H150" i="118"/>
  <c r="T147" i="118"/>
  <c r="O151" i="118"/>
  <c r="O152" i="118"/>
  <c r="O153" i="118"/>
  <c r="O154" i="118"/>
  <c r="H151" i="118"/>
  <c r="H152" i="118"/>
  <c r="H153" i="118"/>
  <c r="H154" i="118"/>
  <c r="T151" i="118"/>
  <c r="O155" i="118"/>
  <c r="O156" i="118"/>
  <c r="O157" i="118"/>
  <c r="O158" i="118"/>
  <c r="H155" i="118"/>
  <c r="H156" i="118"/>
  <c r="H157" i="118"/>
  <c r="H158" i="118"/>
  <c r="T155" i="118"/>
  <c r="F27" i="135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G27" i="135"/>
  <c r="R159" i="118"/>
  <c r="R163" i="118"/>
  <c r="R167" i="118"/>
  <c r="R171" i="118"/>
  <c r="D28" i="135"/>
  <c r="S159" i="118"/>
  <c r="S163" i="118"/>
  <c r="S167" i="118"/>
  <c r="S171" i="118"/>
  <c r="E28" i="135"/>
  <c r="O159" i="118"/>
  <c r="O160" i="118"/>
  <c r="O161" i="118"/>
  <c r="O162" i="118"/>
  <c r="H159" i="118"/>
  <c r="H160" i="118"/>
  <c r="H161" i="118"/>
  <c r="H162" i="118"/>
  <c r="T159" i="118"/>
  <c r="O163" i="118"/>
  <c r="O164" i="118"/>
  <c r="O165" i="118"/>
  <c r="O166" i="118"/>
  <c r="H163" i="118"/>
  <c r="H164" i="118"/>
  <c r="H165" i="118"/>
  <c r="H166" i="118"/>
  <c r="T163" i="118"/>
  <c r="O167" i="118"/>
  <c r="O168" i="118"/>
  <c r="O169" i="118"/>
  <c r="O170" i="118"/>
  <c r="H167" i="118"/>
  <c r="H168" i="118"/>
  <c r="H169" i="118"/>
  <c r="H170" i="118"/>
  <c r="T167" i="118"/>
  <c r="O171" i="118"/>
  <c r="O172" i="118"/>
  <c r="O173" i="118"/>
  <c r="O174" i="118"/>
  <c r="H171" i="118"/>
  <c r="H172" i="118"/>
  <c r="H173" i="118"/>
  <c r="H174" i="118"/>
  <c r="T171" i="118"/>
  <c r="F28" i="135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G28" i="135"/>
  <c r="R175" i="118"/>
  <c r="R179" i="118"/>
  <c r="R183" i="118"/>
  <c r="R187" i="118"/>
  <c r="D29" i="135"/>
  <c r="S175" i="118"/>
  <c r="S179" i="118"/>
  <c r="S183" i="118"/>
  <c r="S187" i="118"/>
  <c r="E29" i="135"/>
  <c r="O175" i="118"/>
  <c r="O176" i="118"/>
  <c r="O177" i="118"/>
  <c r="O178" i="118"/>
  <c r="H175" i="118"/>
  <c r="H176" i="118"/>
  <c r="H177" i="118"/>
  <c r="H178" i="118"/>
  <c r="T175" i="118"/>
  <c r="O179" i="118"/>
  <c r="O180" i="118"/>
  <c r="O181" i="118"/>
  <c r="O182" i="118"/>
  <c r="H179" i="118"/>
  <c r="H180" i="118"/>
  <c r="H181" i="118"/>
  <c r="H182" i="118"/>
  <c r="T179" i="118"/>
  <c r="O183" i="118"/>
  <c r="O184" i="118"/>
  <c r="O185" i="118"/>
  <c r="O186" i="118"/>
  <c r="H183" i="118"/>
  <c r="H184" i="118"/>
  <c r="H185" i="118"/>
  <c r="H186" i="118"/>
  <c r="T183" i="118"/>
  <c r="O187" i="118"/>
  <c r="O188" i="118"/>
  <c r="O189" i="118"/>
  <c r="O190" i="118"/>
  <c r="H187" i="118"/>
  <c r="H188" i="118"/>
  <c r="H189" i="118"/>
  <c r="H190" i="118"/>
  <c r="T187" i="118"/>
  <c r="F29" i="135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G29" i="135"/>
  <c r="R191" i="118"/>
  <c r="R195" i="118"/>
  <c r="R199" i="118"/>
  <c r="D30" i="135"/>
  <c r="S191" i="118"/>
  <c r="S195" i="118"/>
  <c r="S199" i="118"/>
  <c r="E30" i="135"/>
  <c r="O191" i="118"/>
  <c r="O192" i="118"/>
  <c r="O193" i="118"/>
  <c r="O194" i="118"/>
  <c r="H191" i="118"/>
  <c r="H192" i="118"/>
  <c r="H193" i="118"/>
  <c r="H194" i="118"/>
  <c r="T191" i="118"/>
  <c r="O195" i="118"/>
  <c r="O196" i="118"/>
  <c r="O197" i="118"/>
  <c r="O198" i="118"/>
  <c r="H195" i="118"/>
  <c r="H196" i="118"/>
  <c r="H197" i="118"/>
  <c r="H198" i="118"/>
  <c r="T195" i="118"/>
  <c r="O199" i="118"/>
  <c r="O200" i="118"/>
  <c r="O201" i="118"/>
  <c r="O202" i="118"/>
  <c r="H199" i="118"/>
  <c r="H200" i="118"/>
  <c r="H201" i="118"/>
  <c r="H202" i="118"/>
  <c r="T199" i="118"/>
  <c r="F30" i="135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G30" i="135"/>
  <c r="R247" i="118"/>
  <c r="D32" i="135"/>
  <c r="S247" i="118"/>
  <c r="E32" i="135"/>
  <c r="T247" i="118"/>
  <c r="F32" i="135"/>
  <c r="U247" i="118"/>
  <c r="G32" i="135"/>
  <c r="R9" i="112"/>
  <c r="R13" i="112"/>
  <c r="D3" i="135"/>
  <c r="S9" i="112"/>
  <c r="S13" i="112"/>
  <c r="E3" i="135"/>
  <c r="O9" i="112"/>
  <c r="O10" i="112"/>
  <c r="O11" i="112"/>
  <c r="O12" i="112"/>
  <c r="H9" i="112"/>
  <c r="H10" i="112"/>
  <c r="H11" i="112"/>
  <c r="H12" i="112"/>
  <c r="T9" i="112"/>
  <c r="O13" i="112"/>
  <c r="O14" i="112"/>
  <c r="O15" i="112"/>
  <c r="O16" i="112"/>
  <c r="H13" i="112"/>
  <c r="H14" i="112"/>
  <c r="H15" i="112"/>
  <c r="H16" i="112"/>
  <c r="T13" i="112"/>
  <c r="F3" i="135"/>
  <c r="U9" i="112"/>
  <c r="U10" i="112"/>
  <c r="U11" i="112"/>
  <c r="U12" i="112"/>
  <c r="U13" i="112"/>
  <c r="U14" i="112"/>
  <c r="U15" i="112"/>
  <c r="U16" i="112"/>
  <c r="G3" i="135"/>
  <c r="R17" i="112"/>
  <c r="R21" i="112"/>
  <c r="R25" i="112"/>
  <c r="R29" i="112"/>
  <c r="R33" i="112"/>
  <c r="D4" i="135"/>
  <c r="S17" i="112"/>
  <c r="S21" i="112"/>
  <c r="S25" i="112"/>
  <c r="S29" i="112"/>
  <c r="S33" i="112"/>
  <c r="E4" i="135"/>
  <c r="O17" i="112"/>
  <c r="O18" i="112"/>
  <c r="O19" i="112"/>
  <c r="O20" i="112"/>
  <c r="H17" i="112"/>
  <c r="H18" i="112"/>
  <c r="H19" i="112"/>
  <c r="H20" i="112"/>
  <c r="T17" i="112"/>
  <c r="O21" i="112"/>
  <c r="O22" i="112"/>
  <c r="O23" i="112"/>
  <c r="O24" i="112"/>
  <c r="H21" i="112"/>
  <c r="H22" i="112"/>
  <c r="H23" i="112"/>
  <c r="H24" i="112"/>
  <c r="T21" i="112"/>
  <c r="O25" i="112"/>
  <c r="O26" i="112"/>
  <c r="O27" i="112"/>
  <c r="O28" i="112"/>
  <c r="H25" i="112"/>
  <c r="H26" i="112"/>
  <c r="H27" i="112"/>
  <c r="H28" i="112"/>
  <c r="T25" i="112"/>
  <c r="O29" i="112"/>
  <c r="O30" i="112"/>
  <c r="O31" i="112"/>
  <c r="O32" i="112"/>
  <c r="H29" i="112"/>
  <c r="H30" i="112"/>
  <c r="H31" i="112"/>
  <c r="H32" i="112"/>
  <c r="T29" i="112"/>
  <c r="O33" i="112"/>
  <c r="O34" i="112"/>
  <c r="O35" i="112"/>
  <c r="O36" i="112"/>
  <c r="H33" i="112"/>
  <c r="H34" i="112"/>
  <c r="H35" i="112"/>
  <c r="H36" i="112"/>
  <c r="T33" i="112"/>
  <c r="F4" i="135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4" i="135"/>
  <c r="R37" i="112"/>
  <c r="R41" i="112"/>
  <c r="R45" i="112"/>
  <c r="R49" i="112"/>
  <c r="D5" i="135"/>
  <c r="S37" i="112"/>
  <c r="S41" i="112"/>
  <c r="S45" i="112"/>
  <c r="S49" i="112"/>
  <c r="E5" i="135"/>
  <c r="O37" i="112"/>
  <c r="O38" i="112"/>
  <c r="O39" i="112"/>
  <c r="O40" i="112"/>
  <c r="H37" i="112"/>
  <c r="H38" i="112"/>
  <c r="H39" i="112"/>
  <c r="H40" i="112"/>
  <c r="T37" i="112"/>
  <c r="O41" i="112"/>
  <c r="O42" i="112"/>
  <c r="O43" i="112"/>
  <c r="O44" i="112"/>
  <c r="H41" i="112"/>
  <c r="H42" i="112"/>
  <c r="H43" i="112"/>
  <c r="H44" i="112"/>
  <c r="T41" i="112"/>
  <c r="O45" i="112"/>
  <c r="O46" i="112"/>
  <c r="O47" i="112"/>
  <c r="O48" i="112"/>
  <c r="H45" i="112"/>
  <c r="H46" i="112"/>
  <c r="H47" i="112"/>
  <c r="H48" i="112"/>
  <c r="T45" i="112"/>
  <c r="O49" i="112"/>
  <c r="O50" i="112"/>
  <c r="O51" i="112"/>
  <c r="O52" i="112"/>
  <c r="H49" i="112"/>
  <c r="H50" i="112"/>
  <c r="H51" i="112"/>
  <c r="H52" i="112"/>
  <c r="T49" i="112"/>
  <c r="F5" i="135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5" i="135"/>
  <c r="R53" i="112"/>
  <c r="R57" i="112"/>
  <c r="R61" i="112"/>
  <c r="R65" i="112"/>
  <c r="D6" i="135"/>
  <c r="S53" i="112"/>
  <c r="S57" i="112"/>
  <c r="S61" i="112"/>
  <c r="S65" i="112"/>
  <c r="E6" i="135"/>
  <c r="O53" i="112"/>
  <c r="O54" i="112"/>
  <c r="O55" i="112"/>
  <c r="O56" i="112"/>
  <c r="H53" i="112"/>
  <c r="H54" i="112"/>
  <c r="H55" i="112"/>
  <c r="H56" i="112"/>
  <c r="T53" i="112"/>
  <c r="O57" i="112"/>
  <c r="O58" i="112"/>
  <c r="O59" i="112"/>
  <c r="O60" i="112"/>
  <c r="H57" i="112"/>
  <c r="H58" i="112"/>
  <c r="H59" i="112"/>
  <c r="H60" i="112"/>
  <c r="T57" i="112"/>
  <c r="O61" i="112"/>
  <c r="O62" i="112"/>
  <c r="O63" i="112"/>
  <c r="O64" i="112"/>
  <c r="H61" i="112"/>
  <c r="H62" i="112"/>
  <c r="H63" i="112"/>
  <c r="H64" i="112"/>
  <c r="T61" i="112"/>
  <c r="O65" i="112"/>
  <c r="O66" i="112"/>
  <c r="O67" i="112"/>
  <c r="O68" i="112"/>
  <c r="H65" i="112"/>
  <c r="H66" i="112"/>
  <c r="H67" i="112"/>
  <c r="H68" i="112"/>
  <c r="T65" i="112"/>
  <c r="F6" i="135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6" i="135"/>
  <c r="R69" i="112"/>
  <c r="R73" i="112"/>
  <c r="R77" i="112"/>
  <c r="D7" i="135"/>
  <c r="S69" i="112"/>
  <c r="S73" i="112"/>
  <c r="S77" i="112"/>
  <c r="E7" i="135"/>
  <c r="O69" i="112"/>
  <c r="O70" i="112"/>
  <c r="O71" i="112"/>
  <c r="O72" i="112"/>
  <c r="H69" i="112"/>
  <c r="H70" i="112"/>
  <c r="H71" i="112"/>
  <c r="H72" i="112"/>
  <c r="T69" i="112"/>
  <c r="O73" i="112"/>
  <c r="O74" i="112"/>
  <c r="O75" i="112"/>
  <c r="O76" i="112"/>
  <c r="H73" i="112"/>
  <c r="H74" i="112"/>
  <c r="H75" i="112"/>
  <c r="H76" i="112"/>
  <c r="T73" i="112"/>
  <c r="O77" i="112"/>
  <c r="O78" i="112"/>
  <c r="O79" i="112"/>
  <c r="O80" i="112"/>
  <c r="H77" i="112"/>
  <c r="H78" i="112"/>
  <c r="H79" i="112"/>
  <c r="H80" i="112"/>
  <c r="T77" i="112"/>
  <c r="F7" i="135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7" i="135"/>
  <c r="R125" i="112"/>
  <c r="D9" i="135"/>
  <c r="S125" i="112"/>
  <c r="E9" i="135"/>
  <c r="T125" i="112"/>
  <c r="F9" i="135"/>
  <c r="U125" i="112"/>
  <c r="G9" i="135"/>
  <c r="R131" i="112"/>
  <c r="R135" i="112"/>
  <c r="D10" i="135"/>
  <c r="S131" i="112"/>
  <c r="S135" i="112"/>
  <c r="E10" i="135"/>
  <c r="O131" i="112"/>
  <c r="O132" i="112"/>
  <c r="O133" i="112"/>
  <c r="O134" i="112"/>
  <c r="H131" i="112"/>
  <c r="H132" i="112"/>
  <c r="H133" i="112"/>
  <c r="H134" i="112"/>
  <c r="T131" i="112"/>
  <c r="O135" i="112"/>
  <c r="O136" i="112"/>
  <c r="O137" i="112"/>
  <c r="O138" i="112"/>
  <c r="H135" i="112"/>
  <c r="H136" i="112"/>
  <c r="H137" i="112"/>
  <c r="H138" i="112"/>
  <c r="T135" i="112"/>
  <c r="F10" i="135"/>
  <c r="U131" i="112"/>
  <c r="U132" i="112"/>
  <c r="U133" i="112"/>
  <c r="U134" i="112"/>
  <c r="U135" i="112"/>
  <c r="U136" i="112"/>
  <c r="U137" i="112"/>
  <c r="U138" i="112"/>
  <c r="G10" i="135"/>
  <c r="R139" i="112"/>
  <c r="R143" i="112"/>
  <c r="R147" i="112"/>
  <c r="R151" i="112"/>
  <c r="R155" i="112"/>
  <c r="D11" i="135"/>
  <c r="S139" i="112"/>
  <c r="S143" i="112"/>
  <c r="S147" i="112"/>
  <c r="S151" i="112"/>
  <c r="S155" i="112"/>
  <c r="E11" i="135"/>
  <c r="O139" i="112"/>
  <c r="O140" i="112"/>
  <c r="O141" i="112"/>
  <c r="O142" i="112"/>
  <c r="H139" i="112"/>
  <c r="H140" i="112"/>
  <c r="H141" i="112"/>
  <c r="H142" i="112"/>
  <c r="T139" i="112"/>
  <c r="O143" i="112"/>
  <c r="O144" i="112"/>
  <c r="O145" i="112"/>
  <c r="O146" i="112"/>
  <c r="H143" i="112"/>
  <c r="H144" i="112"/>
  <c r="H145" i="112"/>
  <c r="H146" i="112"/>
  <c r="T143" i="112"/>
  <c r="O147" i="112"/>
  <c r="O148" i="112"/>
  <c r="O149" i="112"/>
  <c r="O150" i="112"/>
  <c r="H147" i="112"/>
  <c r="H148" i="112"/>
  <c r="H149" i="112"/>
  <c r="H150" i="112"/>
  <c r="T147" i="112"/>
  <c r="O151" i="112"/>
  <c r="O152" i="112"/>
  <c r="O153" i="112"/>
  <c r="O154" i="112"/>
  <c r="H151" i="112"/>
  <c r="H152" i="112"/>
  <c r="H153" i="112"/>
  <c r="H154" i="112"/>
  <c r="T151" i="112"/>
  <c r="O155" i="112"/>
  <c r="O156" i="112"/>
  <c r="O157" i="112"/>
  <c r="O158" i="112"/>
  <c r="H155" i="112"/>
  <c r="H156" i="112"/>
  <c r="H157" i="112"/>
  <c r="H158" i="112"/>
  <c r="T155" i="112"/>
  <c r="F11" i="135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G11" i="135"/>
  <c r="R159" i="112"/>
  <c r="R163" i="112"/>
  <c r="R167" i="112"/>
  <c r="R171" i="112"/>
  <c r="D12" i="135"/>
  <c r="S159" i="112"/>
  <c r="S163" i="112"/>
  <c r="S167" i="112"/>
  <c r="S171" i="112"/>
  <c r="E12" i="135"/>
  <c r="O159" i="112"/>
  <c r="O160" i="112"/>
  <c r="O161" i="112"/>
  <c r="O162" i="112"/>
  <c r="H159" i="112"/>
  <c r="H160" i="112"/>
  <c r="H161" i="112"/>
  <c r="H162" i="112"/>
  <c r="T159" i="112"/>
  <c r="O163" i="112"/>
  <c r="O164" i="112"/>
  <c r="O165" i="112"/>
  <c r="O166" i="112"/>
  <c r="H163" i="112"/>
  <c r="H164" i="112"/>
  <c r="H165" i="112"/>
  <c r="H166" i="112"/>
  <c r="T163" i="112"/>
  <c r="O167" i="112"/>
  <c r="O168" i="112"/>
  <c r="O169" i="112"/>
  <c r="O170" i="112"/>
  <c r="H167" i="112"/>
  <c r="H168" i="112"/>
  <c r="H169" i="112"/>
  <c r="H170" i="112"/>
  <c r="T167" i="112"/>
  <c r="O171" i="112"/>
  <c r="O172" i="112"/>
  <c r="O173" i="112"/>
  <c r="O174" i="112"/>
  <c r="H171" i="112"/>
  <c r="H172" i="112"/>
  <c r="H173" i="112"/>
  <c r="H174" i="112"/>
  <c r="T171" i="112"/>
  <c r="F12" i="135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G12" i="135"/>
  <c r="R175" i="112"/>
  <c r="R179" i="112"/>
  <c r="R183" i="112"/>
  <c r="R187" i="112"/>
  <c r="D13" i="135"/>
  <c r="S175" i="112"/>
  <c r="S179" i="112"/>
  <c r="S183" i="112"/>
  <c r="S187" i="112"/>
  <c r="E13" i="135"/>
  <c r="O175" i="112"/>
  <c r="O176" i="112"/>
  <c r="O177" i="112"/>
  <c r="O178" i="112"/>
  <c r="H175" i="112"/>
  <c r="H176" i="112"/>
  <c r="H177" i="112"/>
  <c r="H178" i="112"/>
  <c r="T175" i="112"/>
  <c r="O179" i="112"/>
  <c r="O180" i="112"/>
  <c r="O181" i="112"/>
  <c r="O182" i="112"/>
  <c r="H179" i="112"/>
  <c r="H180" i="112"/>
  <c r="H181" i="112"/>
  <c r="H182" i="112"/>
  <c r="T179" i="112"/>
  <c r="O183" i="112"/>
  <c r="O184" i="112"/>
  <c r="O185" i="112"/>
  <c r="O186" i="112"/>
  <c r="H183" i="112"/>
  <c r="H184" i="112"/>
  <c r="H185" i="112"/>
  <c r="H186" i="112"/>
  <c r="T183" i="112"/>
  <c r="O187" i="112"/>
  <c r="O188" i="112"/>
  <c r="O189" i="112"/>
  <c r="O190" i="112"/>
  <c r="H187" i="112"/>
  <c r="H188" i="112"/>
  <c r="H189" i="112"/>
  <c r="H190" i="112"/>
  <c r="T187" i="112"/>
  <c r="F13" i="135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G13" i="135"/>
  <c r="R191" i="112"/>
  <c r="R195" i="112"/>
  <c r="R199" i="112"/>
  <c r="D14" i="135"/>
  <c r="S191" i="112"/>
  <c r="S195" i="112"/>
  <c r="S199" i="112"/>
  <c r="E14" i="135"/>
  <c r="O191" i="112"/>
  <c r="O192" i="112"/>
  <c r="O193" i="112"/>
  <c r="O194" i="112"/>
  <c r="H191" i="112"/>
  <c r="H192" i="112"/>
  <c r="H193" i="112"/>
  <c r="H194" i="112"/>
  <c r="T191" i="112"/>
  <c r="O195" i="112"/>
  <c r="O196" i="112"/>
  <c r="O197" i="112"/>
  <c r="O198" i="112"/>
  <c r="H195" i="112"/>
  <c r="H196" i="112"/>
  <c r="H197" i="112"/>
  <c r="H198" i="112"/>
  <c r="T195" i="112"/>
  <c r="O199" i="112"/>
  <c r="O200" i="112"/>
  <c r="O201" i="112"/>
  <c r="O202" i="112"/>
  <c r="H199" i="112"/>
  <c r="H200" i="112"/>
  <c r="H201" i="112"/>
  <c r="H202" i="112"/>
  <c r="T199" i="112"/>
  <c r="F14" i="135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G14" i="135"/>
  <c r="R247" i="112"/>
  <c r="D16" i="135"/>
  <c r="S247" i="112"/>
  <c r="E16" i="135"/>
  <c r="T247" i="112"/>
  <c r="F16" i="135"/>
  <c r="U247" i="112"/>
  <c r="G16" i="135"/>
  <c r="Q131" i="118"/>
  <c r="Q135" i="118"/>
  <c r="Q139" i="118"/>
  <c r="Q143" i="118"/>
  <c r="Q147" i="118"/>
  <c r="Q151" i="118"/>
  <c r="Q155" i="118"/>
  <c r="Q159" i="118"/>
  <c r="Q163" i="118"/>
  <c r="Q167" i="118"/>
  <c r="Q171" i="118"/>
  <c r="Q175" i="118"/>
  <c r="Q179" i="118"/>
  <c r="Q183" i="118"/>
  <c r="Q187" i="118"/>
  <c r="Q191" i="118"/>
  <c r="Q195" i="118"/>
  <c r="Q199" i="118"/>
  <c r="Q247" i="118"/>
  <c r="C32" i="135"/>
  <c r="C30" i="135"/>
  <c r="C29" i="135"/>
  <c r="C28" i="135"/>
  <c r="C27" i="135"/>
  <c r="C26" i="135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125" i="118"/>
  <c r="C25" i="135"/>
  <c r="C23" i="135"/>
  <c r="C22" i="135"/>
  <c r="C21" i="135"/>
  <c r="C20" i="135"/>
  <c r="C19" i="135"/>
  <c r="Q131" i="112"/>
  <c r="Q135" i="112"/>
  <c r="Q139" i="112"/>
  <c r="Q143" i="112"/>
  <c r="Q147" i="112"/>
  <c r="Q151" i="112"/>
  <c r="Q155" i="112"/>
  <c r="Q159" i="112"/>
  <c r="Q163" i="112"/>
  <c r="Q167" i="112"/>
  <c r="Q171" i="112"/>
  <c r="Q175" i="112"/>
  <c r="Q179" i="112"/>
  <c r="Q183" i="112"/>
  <c r="Q187" i="112"/>
  <c r="Q191" i="112"/>
  <c r="Q195" i="112"/>
  <c r="Q199" i="112"/>
  <c r="Q247" i="112"/>
  <c r="C16" i="135"/>
  <c r="C14" i="135"/>
  <c r="C13" i="135"/>
  <c r="C12" i="135"/>
  <c r="C11" i="135"/>
  <c r="C10" i="135"/>
  <c r="Q9" i="112"/>
  <c r="Q13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125" i="112"/>
  <c r="C9" i="135"/>
  <c r="C7" i="135"/>
  <c r="C6" i="135"/>
  <c r="C5" i="135"/>
  <c r="C4" i="135"/>
  <c r="C3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<sst xmlns="http://schemas.openxmlformats.org/spreadsheetml/2006/main" count="913" uniqueCount="137">
  <si>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</si>
  <si>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</si>
  <si>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</si>
  <si>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</si>
  <si>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</si>
  <si>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</si>
  <si>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</si>
  <si>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</si>
  <si>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</si>
  <si>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</si>
  <si>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</si>
  <si>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</si>
  <si>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</si>
  <si>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</si>
  <si>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</si>
  <si>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</si>
  <si>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</si>
  <si>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</si>
  <si>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</si>
  <si>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</si>
  <si>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</si>
  <si>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</si>
  <si>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</si>
  <si>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</si>
  <si>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</si>
  <si>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</si>
  <si>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</si>
  <si>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</si>
  <si>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</si>
  <si>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</si>
  <si>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</si>
  <si>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</si>
  <si>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</si>
  <si>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</si>
  <si>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</si>
  <si>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</si>
  <si>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</si>
  <si>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</si>
  <si>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</si>
  <si>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</si>
  <si>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</si>
  <si>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</si>
  <si>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</si>
  <si>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</si>
  <si>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</si>
  <si>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</si>
  <si>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</si>
  <si>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</si>
  <si>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</si>
  <si>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</si>
  <si>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</si>
  <si>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</si>
  <si>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</si>
  <si>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</si>
  <si>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</si>
  <si>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</si>
  <si>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</si>
  <si>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</si>
  <si>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</si>
  <si>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</si>
  <si>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</si>
  <si>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</si>
  <si>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</si>
  <si>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</si>
  <si>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</si>
  <si>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</si>
  <si>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</si>
  <si>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</si>
  <si>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</si>
  <si>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</si>
  <si>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</si>
  <si>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</si>
  <si>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</si>
  <si>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</si>
  <si>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</si>
  <si>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</si>
  <si>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</si>
  <si>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</si>
  <si>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</si>
  <si>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slow threads 0</t>
  </si>
  <si>
    <t>x265 ultrafast threads 0</t>
  </si>
  <si>
    <t>x264 placebo threads 0</t>
  </si>
  <si>
    <t>x264 slow threads 0</t>
  </si>
  <si>
    <t>x264 veryfast threads 0</t>
  </si>
  <si>
    <t>x265 veryslow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</si>
  <si>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</si>
  <si>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</si>
  <si>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</si>
  <si>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</si>
  <si>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</si>
  <si>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</si>
  <si>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</si>
  <si>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</si>
  <si>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</si>
  <si>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</si>
  <si>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</si>
  <si>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</si>
  <si>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</si>
  <si>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veryfast --fps [framerate] --aq-mode 0 --no-psy-rd --no-psy-rdoq --psnr  --bitrate [btrNumber] --frame-threads 1 --no-wpp --keyint [keyint] --frames 1000000</t>
  </si>
  <si>
    <t>x264.exe -o out.264 BQSquare_416x240_60.yuv --input-res 416x240 --preset placebo --fps [framerate] --profile high --aq-mode 0 --no-psy  --psnr  --bitrate [btrNumber] 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</si>
  <si>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</si>
  <si>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</si>
  <si>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</si>
  <si>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</si>
  <si>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</si>
  <si>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</si>
  <si>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</si>
  <si>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</si>
  <si>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</si>
  <si>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</si>
  <si>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</si>
  <si>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</si>
  <si>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</si>
  <si>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</si>
  <si>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</si>
  <si>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ksc265vsx264_offline_veryfast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</si>
  <si>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</si>
  <si>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</si>
  <si>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ksc265 slow vsx264_offline_slow</t>
    <phoneticPr fontId="5" type="noConversion"/>
  </si>
  <si>
    <t>BQSquare_416x240_60</t>
    <phoneticPr fontId="5" type="noConversion"/>
  </si>
  <si>
    <t>ksc265vsx265_offline_veryfast</t>
    <phoneticPr fontId="5" type="noConversion"/>
  </si>
  <si>
    <t>ksc265vsx265_offline_slow</t>
    <phoneticPr fontId="5" type="noConversion"/>
  </si>
  <si>
    <t>本测试为X264与QY265v2.5.1版本离线编码对比测试，测试设备为台式机（Win7操作系统，i5-4670四核CPU，8G内存），采取cbr模式编码、veryfast档次、单线程模式编码</t>
  </si>
  <si>
    <t xml:space="preserve">q265 veryfast v2.5.1 threads 1 </t>
  </si>
  <si>
    <t>本测试为X264与QY265v2.5.1版本离线编码对比测试，测试设备为台式机（Win7操作系统，i5-4670四核CPU，8G内存），采取cbr模式编码、veryfast档次、满线程模式编码</t>
  </si>
  <si>
    <t>q265 veryfast v2.5.1 threads 0</t>
  </si>
  <si>
    <t>本测试为X264与QY265v2.5.1版本离线编码对比测试，测试设备为台式机（Win7操作系统，i5-4670四核CPU，8G内存），采取cbr模式编码、slow档次、单线程模式编码</t>
  </si>
  <si>
    <t xml:space="preserve">q265 slow v2.5.1 threads 1 </t>
  </si>
  <si>
    <t>本测试为X264与QY265v2.5.1版本离线编码对比测试，测试设备为台式机（Win7操作系统，i5-4670四核CPU，8G内存），采取cbr模式编码、slow档次、满线程模式编码</t>
  </si>
  <si>
    <t>q265 slow v2.5.1 threads 0</t>
  </si>
  <si>
    <t>本测试为X264与QY265v2.5.1版本离线编码对比测试，测试设备为台式机（Win7操作系统，i5-4670四核CPU，8G内存），采取cbr模式编码、placebo档次、满线程模式编码</t>
  </si>
  <si>
    <t>q265 veryslow v2.5.1 threads 0</t>
  </si>
  <si>
    <t>本测试为x265v2.3版本与QY265v2.5.1版本离线编码对比测试，测试设备为台式机（Win7操作系统，i5-4670四核CPU，8G内存），采取cbr模式编码、veryfast档次、单线程模式编码</t>
  </si>
  <si>
    <t>本测试为x265v2.3版本与QY265v2.5.1版本离线编码对比测试，测试设备为台式机（Win7操作系统，i5-4670四核CPU，8G内存），采取cbr模式编码、veryfast档次、满线程模式编码</t>
  </si>
  <si>
    <t>本测试为x265v2.3版本与QY265v2.5.1版本离线编码对比测试，测试设备为台式机（Win7操作系统，i5-4670四核CPU，8G内存），采取cbr模式编码、slow档次、单线程模式编码</t>
  </si>
  <si>
    <t>本测试为x265v2.3版本与QY265v2.5.1版本离线编码对比测试，测试设备为台式机（Win7操作系统，i5-4670四核CPU，8G内存），采取cbr模式编码、slow档次、满线程模式编码</t>
  </si>
  <si>
    <t>本测试为x265v2.3版本与QY265v2.5.1版本离线编码对比测试，测试设备为台式机（Win7操作系统，i5-4670四核CPU，8G内存），采取cbr模式编码、veryslow档次、满线程模式编码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</si>
</sst>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6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5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42" t="s">
        <v>23</v>
      </c>
      <c r="C2" s="43"/>
      <c r="D2" s="43"/>
      <c r="E2" s="43"/>
      <c r="F2" s="43"/>
      <c r="G2" s="43"/>
      <c r="H2" s="5"/>
      <c r="I2" s="42" t="s">
        <v>24</v>
      </c>
      <c r="J2" s="43"/>
      <c r="K2" s="43"/>
      <c r="L2" s="43"/>
      <c r="M2" s="43"/>
      <c r="N2" s="43"/>
      <c r="P2" s="42" t="s">
        <v>7</v>
      </c>
      <c r="Q2" s="43"/>
      <c r="R2" s="44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42" t="s">
        <v>24</v>
      </c>
      <c r="C48" s="43"/>
      <c r="D48" s="43"/>
      <c r="E48" s="43"/>
      <c r="F48" s="43"/>
      <c r="G48" s="43"/>
      <c r="H48" s="5"/>
      <c r="I48" s="42" t="s">
        <v>26</v>
      </c>
      <c r="J48" s="43"/>
      <c r="K48" s="43"/>
      <c r="L48" s="43"/>
      <c r="M48" s="43"/>
      <c r="N48" s="43"/>
      <c r="P48" s="42" t="s">
        <v>7</v>
      </c>
      <c r="Q48" s="43"/>
      <c r="R48" s="44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42" t="s">
        <v>24</v>
      </c>
      <c r="C92" s="43"/>
      <c r="D92" s="43"/>
      <c r="E92" s="43"/>
      <c r="F92" s="43"/>
      <c r="G92" s="43"/>
      <c r="H92" s="5"/>
      <c r="I92" s="42" t="s">
        <v>27</v>
      </c>
      <c r="J92" s="43"/>
      <c r="K92" s="43"/>
      <c r="L92" s="43"/>
      <c r="M92" s="43"/>
      <c r="N92" s="43"/>
      <c r="P92" s="42" t="s">
        <v>7</v>
      </c>
      <c r="Q92" s="43"/>
      <c r="R92" s="44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42" t="s">
        <v>24</v>
      </c>
      <c r="C136" s="43"/>
      <c r="D136" s="43"/>
      <c r="E136" s="43"/>
      <c r="F136" s="43"/>
      <c r="G136" s="43"/>
      <c r="H136" s="5"/>
      <c r="I136" s="42" t="s">
        <v>28</v>
      </c>
      <c r="J136" s="43"/>
      <c r="K136" s="43"/>
      <c r="L136" s="43"/>
      <c r="M136" s="43"/>
      <c r="N136" s="43"/>
      <c r="P136" s="42" t="s">
        <v>7</v>
      </c>
      <c r="Q136" s="43"/>
      <c r="R136" s="44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553" priority="21" operator="greaterThan">
      <formula>0.03</formula>
    </cfRule>
    <cfRule type="cellIs" dxfId="552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tabSelected="1" topLeftCell="A22" zoomScale="85" zoomScaleNormal="85" workbookViewId="0">
      <selection sqref="A1:G1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9" width="9.625" customWidth="1"/>
    <col min="11" max="11" width="11" bestFit="1" customWidth="1"/>
    <col min="12" max="12" width="12.125" bestFit="1" customWidth="1"/>
    <col min="13" max="14" width="10.625" bestFit="1" customWidth="1"/>
    <col min="15" max="15" width="10.375" bestFit="1" customWidth="1"/>
    <col min="16" max="16" width="13.125" bestFit="1" customWidth="1"/>
    <col min="17" max="17" width="9.625" bestFit="1" customWidth="1"/>
  </cols>
  <sheetData>
    <row r="1" spans="1:17" ht="16.5" thickBot="1" x14ac:dyDescent="0.3">
      <c r="A1" s="48" t="s">
        <v>115</v>
      </c>
      <c r="B1" s="49"/>
      <c r="C1" s="49"/>
      <c r="D1" s="49"/>
      <c r="E1" s="49"/>
      <c r="F1" s="49"/>
      <c r="G1" s="50"/>
      <c r="H1" s="40"/>
      <c r="I1" s="40"/>
      <c r="K1" s="48" t="s">
        <v>120</v>
      </c>
      <c r="L1" s="49"/>
      <c r="M1" s="49"/>
      <c r="N1" s="49"/>
      <c r="O1" s="49"/>
      <c r="P1" s="49"/>
      <c r="Q1" s="50"/>
    </row>
    <row r="2" spans="1:17" ht="16.5" thickBot="1" x14ac:dyDescent="0.3">
      <c r="A2" s="37" t="s">
        <v>74</v>
      </c>
      <c r="B2" s="37" t="s">
        <v>73</v>
      </c>
      <c r="C2" s="37" t="s">
        <v>69</v>
      </c>
      <c r="D2" s="37" t="s">
        <v>70</v>
      </c>
      <c r="E2" s="37" t="s">
        <v>71</v>
      </c>
      <c r="F2" s="37" t="s">
        <v>72</v>
      </c>
      <c r="G2" s="37" t="s">
        <v>75</v>
      </c>
      <c r="H2" s="40"/>
      <c r="I2" s="40"/>
      <c r="K2" s="37" t="s">
        <v>74</v>
      </c>
      <c r="L2" s="37" t="s">
        <v>73</v>
      </c>
      <c r="M2" s="37" t="s">
        <v>69</v>
      </c>
      <c r="N2" s="37" t="s">
        <v>70</v>
      </c>
      <c r="O2" s="37" t="s">
        <v>71</v>
      </c>
      <c r="P2" s="37" t="s">
        <v>72</v>
      </c>
      <c r="Q2" s="37" t="s">
        <v>75</v>
      </c>
    </row>
    <row r="3" spans="1:17" ht="16.5" thickBot="1" x14ac:dyDescent="0.3">
      <c r="A3" s="45">
        <v>1</v>
      </c>
      <c r="B3" s="37" t="s">
        <v>35</v>
      </c>
      <c r="C3" s="38">
        <f>AVERAGE(X264vsQY265_offline_veryfast!Q9:Q16)</f>
        <v>-0.4494287211414828</v>
      </c>
      <c r="D3" s="38">
        <f>AVERAGE(X264vsQY265_offline_veryfast!R9:R16)</f>
        <v>-0.45179800892725763</v>
      </c>
      <c r="E3" s="38">
        <f>AVERAGE(X264vsQY265_offline_veryfast!S9:S16)</f>
        <v>-0.48531404272583079</v>
      </c>
      <c r="F3" s="38">
        <f>AVERAGE(X264vsQY265_offline_veryfast!T9:T16)</f>
        <v>-0.45268868968645082</v>
      </c>
      <c r="G3" s="39">
        <f>AVERAGE(X264vsQY265_offline_veryfast!U9:U16)</f>
        <v>6.3492975921455294E-2</v>
      </c>
      <c r="H3" s="40"/>
      <c r="I3" s="40"/>
      <c r="K3" s="45">
        <v>1</v>
      </c>
      <c r="L3" s="37" t="s">
        <v>35</v>
      </c>
      <c r="M3" s="38">
        <f>AVERAGE(X265vsQY265_offline_veryfast!Q9:Q16)</f>
        <v>-0.20837460784236794</v>
      </c>
      <c r="N3" s="38">
        <f>AVERAGE(X265vsQY265_offline_veryfast!R9:R16)</f>
        <v>-0.49094423827570621</v>
      </c>
      <c r="O3" s="38">
        <f>AVERAGE(X265vsQY265_offline_veryfast!S9:S16)</f>
        <v>-0.49112528458191401</v>
      </c>
      <c r="P3" s="38">
        <f>AVERAGE(X265vsQY265_offline_veryfast!T9:T16)</f>
        <v>-0.25310607002144148</v>
      </c>
      <c r="Q3" s="39">
        <f>AVERAGE(X265vsQY265_offline_veryfast!U9:U16)</f>
        <v>0.85468562333665488</v>
      </c>
    </row>
    <row r="4" spans="1:17" ht="16.5" thickBot="1" x14ac:dyDescent="0.3">
      <c r="A4" s="46"/>
      <c r="B4" s="37" t="s">
        <v>37</v>
      </c>
      <c r="C4" s="38">
        <f>AVERAGE(X264vsQY265_offline_veryfast!Q17:Q36)</f>
        <v>-0.55695523801926272</v>
      </c>
      <c r="D4" s="38">
        <f>AVERAGE(X264vsQY265_offline_veryfast!R17:R36)</f>
        <v>-0.58466894204083086</v>
      </c>
      <c r="E4" s="38">
        <f>AVERAGE(X264vsQY265_offline_veryfast!S17:S36)</f>
        <v>-0.60041337176474052</v>
      </c>
      <c r="F4" s="38">
        <f>AVERAGE(X264vsQY265_offline_veryfast!T17:T36)</f>
        <v>-0.56339639628539917</v>
      </c>
      <c r="G4" s="39">
        <f>AVERAGE(X264vsQY265_offline_veryfast!U17:U36)</f>
        <v>0.25228151615539429</v>
      </c>
      <c r="H4" s="40"/>
      <c r="I4" s="40"/>
      <c r="K4" s="46"/>
      <c r="L4" s="37" t="s">
        <v>37</v>
      </c>
      <c r="M4" s="38">
        <f>AVERAGE(X265vsQY265_offline_veryfast!Q17:Q36)</f>
        <v>-0.26043453652324655</v>
      </c>
      <c r="N4" s="38">
        <f>AVERAGE(X265vsQY265_offline_veryfast!R17:R36)</f>
        <v>-0.48617925637086207</v>
      </c>
      <c r="O4" s="38">
        <f>AVERAGE(X265vsQY265_offline_veryfast!S17:S36)</f>
        <v>-0.47735569826009927</v>
      </c>
      <c r="P4" s="38">
        <f>AVERAGE(X265vsQY265_offline_veryfast!T17:T36)</f>
        <v>-0.29938631611146588</v>
      </c>
      <c r="Q4" s="39">
        <f>AVERAGE(X265vsQY265_offline_veryfast!U17:U36)</f>
        <v>1.0216936922685977</v>
      </c>
    </row>
    <row r="5" spans="1:17" ht="16.5" thickBot="1" x14ac:dyDescent="0.3">
      <c r="A5" s="46"/>
      <c r="B5" s="37" t="s">
        <v>39</v>
      </c>
      <c r="C5" s="38">
        <f>AVERAGE(X264vsQY265_offline_veryfast!Q37:Q52)</f>
        <v>-0.41784591186753028</v>
      </c>
      <c r="D5" s="38">
        <f>AVERAGE(X264vsQY265_offline_veryfast!R37:R52)</f>
        <v>-0.5277978398606521</v>
      </c>
      <c r="E5" s="38">
        <f>AVERAGE(X264vsQY265_offline_veryfast!S37:S52)</f>
        <v>-0.51399129686955836</v>
      </c>
      <c r="F5" s="38">
        <f>AVERAGE(X264vsQY265_offline_veryfast!T37:T52)</f>
        <v>-0.43540936330277918</v>
      </c>
      <c r="G5" s="39">
        <f>AVERAGE(X264vsQY265_offline_veryfast!U37:U52)</f>
        <v>-7.2688328074953068E-2</v>
      </c>
      <c r="H5" s="40"/>
      <c r="I5" s="40"/>
      <c r="K5" s="46"/>
      <c r="L5" s="37" t="s">
        <v>39</v>
      </c>
      <c r="M5" s="38">
        <f>AVERAGE(X265vsQY265_offline_veryfast!Q37:Q52)</f>
        <v>-0.2966897739914634</v>
      </c>
      <c r="N5" s="38">
        <f>AVERAGE(X265vsQY265_offline_veryfast!R37:R52)</f>
        <v>-0.49224579374254979</v>
      </c>
      <c r="O5" s="38">
        <f>AVERAGE(X265vsQY265_offline_veryfast!S37:S52)</f>
        <v>-0.46746375055928252</v>
      </c>
      <c r="P5" s="38">
        <f>AVERAGE(X265vsQY265_offline_veryfast!T37:T52)</f>
        <v>-0.33129107857087248</v>
      </c>
      <c r="Q5" s="39">
        <f>AVERAGE(X265vsQY265_offline_veryfast!U37:U52)</f>
        <v>0.97243850902289086</v>
      </c>
    </row>
    <row r="6" spans="1:17" ht="16.5" thickBot="1" x14ac:dyDescent="0.3">
      <c r="A6" s="46"/>
      <c r="B6" s="37" t="s">
        <v>41</v>
      </c>
      <c r="C6" s="38">
        <f>AVERAGE(X264vsQY265_offline_veryfast!Q53:Q68)</f>
        <v>-0.3773609703903541</v>
      </c>
      <c r="D6" s="38">
        <f>AVERAGE(X264vsQY265_offline_veryfast!R53:R68)</f>
        <v>-0.56340973256764137</v>
      </c>
      <c r="E6" s="38">
        <f>AVERAGE(X264vsQY265_offline_veryfast!S53:S68)</f>
        <v>-0.56234880454860181</v>
      </c>
      <c r="F6" s="38">
        <f>AVERAGE(X264vsQY265_offline_veryfast!T53:T68)</f>
        <v>-0.41022712947307782</v>
      </c>
      <c r="G6" s="39">
        <f>AVERAGE(X264vsQY265_offline_veryfast!U53:U68)</f>
        <v>-0.23208463304292615</v>
      </c>
      <c r="H6" s="40"/>
      <c r="I6" s="40"/>
      <c r="K6" s="46"/>
      <c r="L6" s="37" t="s">
        <v>41</v>
      </c>
      <c r="M6" s="38">
        <f>AVERAGE(X265vsQY265_offline_veryfast!Q53:Q68)</f>
        <v>-0.34583298768002968</v>
      </c>
      <c r="N6" s="38">
        <f>AVERAGE(X265vsQY265_offline_veryfast!R53:R68)</f>
        <v>-0.52427366225916305</v>
      </c>
      <c r="O6" s="38">
        <f>AVERAGE(X265vsQY265_offline_veryfast!S53:S68)</f>
        <v>-0.52031764632148136</v>
      </c>
      <c r="P6" s="38">
        <f>AVERAGE(X265vsQY265_offline_veryfast!T53:T68)</f>
        <v>-0.38053287981147699</v>
      </c>
      <c r="Q6" s="39">
        <f>AVERAGE(X265vsQY265_offline_veryfast!U53:U68)</f>
        <v>0.71139854216417431</v>
      </c>
    </row>
    <row r="7" spans="1:17" ht="16.5" thickBot="1" x14ac:dyDescent="0.3">
      <c r="A7" s="46"/>
      <c r="B7" s="37" t="s">
        <v>43</v>
      </c>
      <c r="C7" s="38">
        <f>AVERAGE(X264vsQY265_offline_veryfast!Q69:Q80)</f>
        <v>-0.51250450583294482</v>
      </c>
      <c r="D7" s="38">
        <f>AVERAGE(X264vsQY265_offline_veryfast!R69:R80)</f>
        <v>-0.61831561778378197</v>
      </c>
      <c r="E7" s="38">
        <f>AVERAGE(X264vsQY265_offline_veryfast!S69:S80)</f>
        <v>-0.63524557792747338</v>
      </c>
      <c r="F7" s="38">
        <f>AVERAGE(X264vsQY265_offline_veryfast!T69:T80)</f>
        <v>-0.5398554419709245</v>
      </c>
      <c r="G7" s="39">
        <f>AVERAGE(X264vsQY265_offline_veryfast!U69:U80)</f>
        <v>0.4632226770756171</v>
      </c>
      <c r="H7" s="40"/>
      <c r="I7" s="40"/>
      <c r="K7" s="46"/>
      <c r="L7" s="37" t="s">
        <v>43</v>
      </c>
      <c r="M7" s="38">
        <f>AVERAGE(X265vsQY265_offline_veryfast!Q69:Q80)</f>
        <v>-0.3908474325373596</v>
      </c>
      <c r="N7" s="38">
        <f>AVERAGE(X265vsQY265_offline_veryfast!R69:R80)</f>
        <v>-0.44768455339313523</v>
      </c>
      <c r="O7" s="38">
        <f>AVERAGE(X265vsQY265_offline_veryfast!S69:S80)</f>
        <v>-0.45009987236602766</v>
      </c>
      <c r="P7" s="38">
        <f>AVERAGE(X265vsQY265_offline_veryfast!T69:T80)</f>
        <v>-0.40330219700917347</v>
      </c>
      <c r="Q7" s="39">
        <f>AVERAGE(X265vsQY265_offline_veryfast!U69:U80)</f>
        <v>1.1251362471756841</v>
      </c>
    </row>
    <row r="8" spans="1:17" ht="16.5" thickBot="1" x14ac:dyDescent="0.3">
      <c r="A8" s="46"/>
      <c r="B8" s="41" t="s">
        <v>114</v>
      </c>
      <c r="C8" s="38">
        <f>AVERAGE(X264vsQY265_offline_veryfast!Q81:Q124)</f>
        <v>-0.38350723741056281</v>
      </c>
      <c r="D8" s="38">
        <f>AVERAGE(X264vsQY265_offline_veryfast!R81:R124)</f>
        <v>-0.44321140327646202</v>
      </c>
      <c r="E8" s="38">
        <f>AVERAGE(X264vsQY265_offline_veryfast!S81:S124)</f>
        <v>-0.42698365112289932</v>
      </c>
      <c r="F8" s="38">
        <f>AVERAGE(X264vsQY265_offline_veryfast!T81:T124)</f>
        <v>-0.39628457906605363</v>
      </c>
      <c r="G8" s="39">
        <f>AVERAGE(X264vsQY265_offline_veryfast!U81:U124)</f>
        <v>4.604308865841316E-2</v>
      </c>
      <c r="H8" s="40"/>
      <c r="I8" s="40"/>
      <c r="K8" s="46"/>
      <c r="L8" s="41" t="s">
        <v>114</v>
      </c>
      <c r="M8" s="38">
        <f>AVERAGE(X265vsQY265_offline_veryfast!Q81:Q124)</f>
        <v>-0.32801643712648265</v>
      </c>
      <c r="N8" s="38">
        <f>AVERAGE(X265vsQY265_offline_veryfast!R81:R124)</f>
        <v>-0.44661868797944282</v>
      </c>
      <c r="O8" s="38">
        <f>AVERAGE(X265vsQY265_offline_veryfast!S81:S124)</f>
        <v>-0.43759931209548969</v>
      </c>
      <c r="P8" s="38">
        <f>AVERAGE(X265vsQY265_offline_veryfast!T81:T124)</f>
        <v>-0.3526954611799884</v>
      </c>
      <c r="Q8" s="39">
        <f>AVERAGE(X265vsQY265_offline_veryfast!U81:U124)</f>
        <v>0.96555242043507628</v>
      </c>
    </row>
    <row r="9" spans="1:17" ht="16.5" thickBot="1" x14ac:dyDescent="0.3">
      <c r="A9" s="47"/>
      <c r="B9" s="37" t="s">
        <v>77</v>
      </c>
      <c r="C9" s="38">
        <f>X264vsQY265_offline_veryfast!Q125</f>
        <v>-0.43519152725606353</v>
      </c>
      <c r="D9" s="38">
        <f>X264vsQY265_offline_veryfast!R125</f>
        <v>-0.51455321748842331</v>
      </c>
      <c r="E9" s="38">
        <f>X264vsQY265_offline_veryfast!S125</f>
        <v>-0.51312456020973507</v>
      </c>
      <c r="F9" s="38">
        <f>X264vsQY265_offline_veryfast!T125</f>
        <v>-0.45115869060492025</v>
      </c>
      <c r="G9" s="39">
        <f>X264vsQY265_offline_veryfast!U125</f>
        <v>7.1222196366129725E-2</v>
      </c>
      <c r="H9" s="40"/>
      <c r="I9" s="40"/>
      <c r="K9" s="47"/>
      <c r="L9" s="37" t="s">
        <v>77</v>
      </c>
      <c r="M9" s="38">
        <f>X265vsQY265_offline_veryfast!Q125</f>
        <v>-0.31274951899966646</v>
      </c>
      <c r="N9" s="38">
        <f>X265vsQY265_offline_veryfast!R125</f>
        <v>-0.47361109690916725</v>
      </c>
      <c r="O9" s="38">
        <f>X265vsQY265_offline_veryfast!S125</f>
        <v>-0.46496712752192593</v>
      </c>
      <c r="P9" s="38">
        <f>X265vsQY265_offline_veryfast!T125</f>
        <v>-0.34275849028058636</v>
      </c>
      <c r="Q9" s="39">
        <f>X265vsQY265_offline_veryfast!U125</f>
        <v>0.94998873376129156</v>
      </c>
    </row>
    <row r="10" spans="1:17" ht="16.5" thickBot="1" x14ac:dyDescent="0.3">
      <c r="A10" s="45" t="s">
        <v>76</v>
      </c>
      <c r="B10" s="37" t="s">
        <v>35</v>
      </c>
      <c r="C10" s="38">
        <f>AVERAGE(X264vsQY265_offline_veryfast!Q131:Q138)</f>
        <v>-0.50944085561966768</v>
      </c>
      <c r="D10" s="38">
        <f>AVERAGE(X264vsQY265_offline_veryfast!R131:R138)</f>
        <v>-0.49383618831809584</v>
      </c>
      <c r="E10" s="38">
        <f>AVERAGE(X264vsQY265_offline_veryfast!S131:S138)</f>
        <v>-0.51918114159726447</v>
      </c>
      <c r="F10" s="38">
        <f>AVERAGE(X264vsQY265_offline_veryfast!T131:T138)</f>
        <v>-0.50960879200862474</v>
      </c>
      <c r="G10" s="39">
        <f>AVERAGE(X264vsQY265_offline_veryfast!U131:U138)</f>
        <v>-3.6279588153080751E-2</v>
      </c>
      <c r="H10" s="40"/>
      <c r="I10" s="40"/>
      <c r="K10" s="45" t="s">
        <v>76</v>
      </c>
      <c r="L10" s="37" t="s">
        <v>35</v>
      </c>
      <c r="M10" s="38">
        <f>AVERAGE(X265vsQY265_offline_veryfast!Q131:Q138)</f>
        <v>-0.21880743034402977</v>
      </c>
      <c r="N10" s="38">
        <f>AVERAGE(X265vsQY265_offline_veryfast!R131:R138)</f>
        <v>-0.49453357080686533</v>
      </c>
      <c r="O10" s="38">
        <f>AVERAGE(X265vsQY265_offline_veryfast!S131:S138)</f>
        <v>-0.48726352323091776</v>
      </c>
      <c r="P10" s="38">
        <f>AVERAGE(X265vsQY265_offline_veryfast!T131:T138)</f>
        <v>-0.26192166147560703</v>
      </c>
      <c r="Q10" s="39">
        <f>AVERAGE(X265vsQY265_offline_veryfast!U131:U138)</f>
        <v>1.0149041969372363</v>
      </c>
    </row>
    <row r="11" spans="1:17" ht="16.5" thickBot="1" x14ac:dyDescent="0.3">
      <c r="A11" s="46"/>
      <c r="B11" s="37" t="s">
        <v>37</v>
      </c>
      <c r="C11" s="38">
        <f>AVERAGE(X264vsQY265_offline_veryfast!Q139:Q158)</f>
        <v>-0.5536180036790993</v>
      </c>
      <c r="D11" s="38">
        <f>AVERAGE(X264vsQY265_offline_veryfast!R139:R158)</f>
        <v>-0.57872141410707101</v>
      </c>
      <c r="E11" s="38">
        <f>AVERAGE(X264vsQY265_offline_veryfast!S139:S158)</f>
        <v>-0.59467504160692108</v>
      </c>
      <c r="F11" s="38">
        <f>AVERAGE(X264vsQY265_offline_veryfast!T139:T158)</f>
        <v>-0.55962583065577409</v>
      </c>
      <c r="G11" s="39">
        <f>AVERAGE(X264vsQY265_offline_veryfast!U139:U158)</f>
        <v>0.12493250330459446</v>
      </c>
      <c r="H11" s="40"/>
      <c r="I11" s="40"/>
      <c r="K11" s="46"/>
      <c r="L11" s="37" t="s">
        <v>37</v>
      </c>
      <c r="M11" s="38">
        <f>AVERAGE(X265vsQY265_offline_veryfast!Q139:Q158)</f>
        <v>-0.27461409944112625</v>
      </c>
      <c r="N11" s="38">
        <f>AVERAGE(X265vsQY265_offline_veryfast!R139:R158)</f>
        <v>-0.48763212129781958</v>
      </c>
      <c r="O11" s="38">
        <f>AVERAGE(X265vsQY265_offline_veryfast!S139:S158)</f>
        <v>-0.48123950669700022</v>
      </c>
      <c r="P11" s="38">
        <f>AVERAGE(X265vsQY265_offline_veryfast!T139:T158)</f>
        <v>-0.311217184344867</v>
      </c>
      <c r="Q11" s="39">
        <f>AVERAGE(X265vsQY265_offline_veryfast!U139:U158)</f>
        <v>1.3089150361718525</v>
      </c>
    </row>
    <row r="12" spans="1:17" ht="16.5" thickBot="1" x14ac:dyDescent="0.3">
      <c r="A12" s="46"/>
      <c r="B12" s="37" t="s">
        <v>39</v>
      </c>
      <c r="C12" s="38">
        <f>AVERAGE(X264vsQY265_offline_veryfast!Q159:Q174)</f>
        <v>-0.41124001198857507</v>
      </c>
      <c r="D12" s="38">
        <f>AVERAGE(X264vsQY265_offline_veryfast!R159:R174)</f>
        <v>-0.51570714531166362</v>
      </c>
      <c r="E12" s="38">
        <f>AVERAGE(X264vsQY265_offline_veryfast!S159:S174)</f>
        <v>-0.50327358552154822</v>
      </c>
      <c r="F12" s="38">
        <f>AVERAGE(X264vsQY265_offline_veryfast!T159:T174)</f>
        <v>-0.42830549045441579</v>
      </c>
      <c r="G12" s="39">
        <f>AVERAGE(X264vsQY265_offline_veryfast!U159:U174)</f>
        <v>-0.13059249129121189</v>
      </c>
      <c r="H12" s="40"/>
      <c r="I12" s="40"/>
      <c r="K12" s="46"/>
      <c r="L12" s="37" t="s">
        <v>39</v>
      </c>
      <c r="M12" s="38">
        <f>AVERAGE(X265vsQY265_offline_veryfast!Q159:Q174)</f>
        <v>-0.30681465018950277</v>
      </c>
      <c r="N12" s="38">
        <f>AVERAGE(X265vsQY265_offline_veryfast!R159:R174)</f>
        <v>-0.49522017377517014</v>
      </c>
      <c r="O12" s="38">
        <f>AVERAGE(X265vsQY265_offline_veryfast!S159:S174)</f>
        <v>-0.46869882756869663</v>
      </c>
      <c r="P12" s="38">
        <f>AVERAGE(X265vsQY265_offline_veryfast!T159:T174)</f>
        <v>-0.34001215757697845</v>
      </c>
      <c r="Q12" s="39">
        <f>AVERAGE(X265vsQY265_offline_veryfast!U159:U174)</f>
        <v>1.1741907570209784</v>
      </c>
    </row>
    <row r="13" spans="1:17" ht="16.5" thickBot="1" x14ac:dyDescent="0.3">
      <c r="A13" s="46"/>
      <c r="B13" s="37" t="s">
        <v>41</v>
      </c>
      <c r="C13" s="38">
        <f>AVERAGE(X264vsQY265_offline_veryfast!Q175:Q190)</f>
        <v>-0.37039921846436202</v>
      </c>
      <c r="D13" s="38">
        <f>AVERAGE(X264vsQY265_offline_veryfast!R175:R190)</f>
        <v>-0.56089459614141968</v>
      </c>
      <c r="E13" s="38">
        <f>AVERAGE(X264vsQY265_offline_veryfast!S175:S190)</f>
        <v>-0.55077789049831205</v>
      </c>
      <c r="F13" s="38">
        <f>AVERAGE(X264vsQY265_offline_veryfast!T175:T190)</f>
        <v>-0.40299274047658729</v>
      </c>
      <c r="G13" s="39">
        <f>AVERAGE(X264vsQY265_offline_veryfast!U175:U190)</f>
        <v>-0.23217569298025162</v>
      </c>
      <c r="H13" s="40"/>
      <c r="I13" s="40"/>
      <c r="K13" s="46"/>
      <c r="L13" s="37" t="s">
        <v>41</v>
      </c>
      <c r="M13" s="38">
        <f>AVERAGE(X265vsQY265_offline_veryfast!Q175:Q190)</f>
        <v>-0.36043253696733812</v>
      </c>
      <c r="N13" s="38">
        <f>AVERAGE(X265vsQY265_offline_veryfast!R175:R190)</f>
        <v>-0.53836524370646655</v>
      </c>
      <c r="O13" s="38">
        <f>AVERAGE(X265vsQY265_offline_veryfast!S175:S190)</f>
        <v>-0.52654496450627986</v>
      </c>
      <c r="P13" s="38">
        <f>AVERAGE(X265vsQY265_offline_veryfast!T175:T190)</f>
        <v>-0.39386041624297086</v>
      </c>
      <c r="Q13" s="39">
        <f>AVERAGE(X265vsQY265_offline_veryfast!U175:U190)</f>
        <v>0.71022170450981759</v>
      </c>
    </row>
    <row r="14" spans="1:17" ht="16.5" thickBot="1" x14ac:dyDescent="0.3">
      <c r="A14" s="46"/>
      <c r="B14" s="37" t="s">
        <v>43</v>
      </c>
      <c r="C14" s="38">
        <f>AVERAGE(X264vsQY265_offline_veryfast!Q191:Q202)</f>
        <v>-0.50068450949617949</v>
      </c>
      <c r="D14" s="38">
        <f>AVERAGE(X264vsQY265_offline_veryfast!R191:R202)</f>
        <v>-0.61182492741327632</v>
      </c>
      <c r="E14" s="38">
        <f>AVERAGE(X264vsQY265_offline_veryfast!S191:S202)</f>
        <v>-0.62771198284242091</v>
      </c>
      <c r="F14" s="38">
        <f>AVERAGE(X264vsQY265_offline_veryfast!T191:T202)</f>
        <v>-0.52883194547823231</v>
      </c>
      <c r="G14" s="39">
        <f>AVERAGE(X264vsQY265_offline_veryfast!U191:U202)</f>
        <v>0.17531953741455211</v>
      </c>
      <c r="H14" s="40"/>
      <c r="I14" s="40"/>
      <c r="K14" s="46"/>
      <c r="L14" s="37" t="s">
        <v>43</v>
      </c>
      <c r="M14" s="38">
        <f>AVERAGE(X265vsQY265_offline_veryfast!Q191:Q202)</f>
        <v>-0.40852765369764671</v>
      </c>
      <c r="N14" s="38">
        <f>AVERAGE(X265vsQY265_offline_veryfast!R191:R202)</f>
        <v>-0.47036101209996817</v>
      </c>
      <c r="O14" s="38">
        <f>AVERAGE(X265vsQY265_offline_veryfast!S191:S202)</f>
        <v>-0.4579522030664811</v>
      </c>
      <c r="P14" s="38">
        <f>AVERAGE(X265vsQY265_offline_veryfast!T191:T202)</f>
        <v>-0.42013389209755764</v>
      </c>
      <c r="Q14" s="39">
        <f>AVERAGE(X265vsQY265_offline_veryfast!U191:U202)</f>
        <v>1.2572218731692208</v>
      </c>
    </row>
    <row r="15" spans="1:17" ht="16.5" thickBot="1" x14ac:dyDescent="0.3">
      <c r="A15" s="46"/>
      <c r="B15" s="41" t="s">
        <v>114</v>
      </c>
      <c r="C15" s="38">
        <f>AVERAGE(X264vsQY265_offline_veryfast!Q203:Q246)</f>
        <v>-0.37437242259707199</v>
      </c>
      <c r="D15" s="38">
        <f>AVERAGE(X264vsQY265_offline_veryfast!R203:R246)</f>
        <v>-0.43135874804968671</v>
      </c>
      <c r="E15" s="38">
        <f>AVERAGE(X264vsQY265_offline_veryfast!S203:S246)</f>
        <v>-0.41595989575033221</v>
      </c>
      <c r="F15" s="38">
        <f>AVERAGE(X264vsQY265_offline_veryfast!T203:T246)</f>
        <v>-0.38691374456376926</v>
      </c>
      <c r="G15" s="39">
        <f>AVERAGE(X264vsQY265_offline_veryfast!U203:U246)</f>
        <v>1.1015647001098545E-4</v>
      </c>
      <c r="H15" s="40"/>
      <c r="I15" s="40"/>
      <c r="K15" s="46"/>
      <c r="L15" s="41" t="s">
        <v>114</v>
      </c>
      <c r="M15" s="38">
        <f>AVERAGE(X265vsQY265_offline_veryfast!Q203:Q246)</f>
        <v>-0.3387825692550267</v>
      </c>
      <c r="N15" s="38">
        <f>AVERAGE(X265vsQY265_offline_veryfast!R203:R246)</f>
        <v>-0.44852462079246519</v>
      </c>
      <c r="O15" s="38">
        <f>AVERAGE(X265vsQY265_offline_veryfast!S203:S246)</f>
        <v>-0.44480909082460668</v>
      </c>
      <c r="P15" s="38">
        <f>AVERAGE(X265vsQY265_offline_veryfast!T203:T246)</f>
        <v>-0.36186403196303624</v>
      </c>
      <c r="Q15" s="39">
        <f>AVERAGE(X265vsQY265_offline_veryfast!U203:U246)</f>
        <v>1.2621023969673832</v>
      </c>
    </row>
    <row r="16" spans="1:17" ht="15.75" customHeight="1" thickBot="1" x14ac:dyDescent="0.3">
      <c r="A16" s="47"/>
      <c r="B16" s="37" t="s">
        <v>77</v>
      </c>
      <c r="C16" s="38">
        <f>X264vsQY265_offline_veryfast!Q247</f>
        <v>-0.43219582167251419</v>
      </c>
      <c r="D16" s="38">
        <f>X264vsQY265_offline_veryfast!R247</f>
        <v>-0.50924508357828491</v>
      </c>
      <c r="E16" s="38">
        <f>X264vsQY265_offline_veryfast!S247</f>
        <v>-0.50643579989963772</v>
      </c>
      <c r="F16" s="38">
        <f>X264vsQY265_offline_veryfast!T247</f>
        <v>-0.44776160991918251</v>
      </c>
      <c r="G16" s="39">
        <f>X264vsQY265_offline_veryfast!U247</f>
        <v>-1.2820657360526405E-2</v>
      </c>
      <c r="H16" s="40"/>
      <c r="I16" s="40"/>
      <c r="K16" s="47"/>
      <c r="L16" s="37" t="s">
        <v>77</v>
      </c>
      <c r="M16" s="38">
        <f>X265vsQY265_offline_veryfast!Q247</f>
        <v>-0.32523673549721671</v>
      </c>
      <c r="N16" s="38">
        <f>X265vsQY265_offline_veryfast!R247</f>
        <v>-0.47953183734642751</v>
      </c>
      <c r="O16" s="38">
        <f>X265vsQY265_offline_veryfast!S247</f>
        <v>-0.46994677091437437</v>
      </c>
      <c r="P16" s="38">
        <f>X265vsQY265_offline_veryfast!T247</f>
        <v>-0.35366639889108348</v>
      </c>
      <c r="Q16" s="39">
        <f>X265vsQY265_offline_veryfast!U247</f>
        <v>1.1643732898967516</v>
      </c>
    </row>
    <row r="17" spans="1:17" ht="16.5" thickBot="1" x14ac:dyDescent="0.3">
      <c r="A17" s="48" t="s">
        <v>118</v>
      </c>
      <c r="B17" s="49"/>
      <c r="C17" s="49"/>
      <c r="D17" s="49"/>
      <c r="E17" s="49"/>
      <c r="F17" s="49"/>
      <c r="G17" s="50"/>
      <c r="K17" s="48" t="s">
        <v>121</v>
      </c>
      <c r="L17" s="49"/>
      <c r="M17" s="49"/>
      <c r="N17" s="49"/>
      <c r="O17" s="49"/>
      <c r="P17" s="49"/>
      <c r="Q17" s="50"/>
    </row>
    <row r="18" spans="1:17" ht="16.5" thickBot="1" x14ac:dyDescent="0.3">
      <c r="A18" s="37" t="s">
        <v>74</v>
      </c>
      <c r="B18" s="37" t="s">
        <v>73</v>
      </c>
      <c r="C18" s="37" t="s">
        <v>69</v>
      </c>
      <c r="D18" s="37" t="s">
        <v>70</v>
      </c>
      <c r="E18" s="37" t="s">
        <v>71</v>
      </c>
      <c r="F18" s="37" t="s">
        <v>72</v>
      </c>
      <c r="G18" s="37" t="s">
        <v>75</v>
      </c>
      <c r="K18" s="37" t="s">
        <v>74</v>
      </c>
      <c r="L18" s="37" t="s">
        <v>73</v>
      </c>
      <c r="M18" s="37" t="s">
        <v>69</v>
      </c>
      <c r="N18" s="37" t="s">
        <v>70</v>
      </c>
      <c r="O18" s="37" t="s">
        <v>71</v>
      </c>
      <c r="P18" s="37" t="s">
        <v>72</v>
      </c>
      <c r="Q18" s="37" t="s">
        <v>75</v>
      </c>
    </row>
    <row r="19" spans="1:17" ht="16.5" thickBot="1" x14ac:dyDescent="0.3">
      <c r="A19" s="45">
        <v>1</v>
      </c>
      <c r="B19" s="37" t="s">
        <v>35</v>
      </c>
      <c r="C19" s="38">
        <f>AVERAGE(X264vsQY265_offline_slow!Q9:Q16)</f>
        <v>-0.34079032298130568</v>
      </c>
      <c r="D19" s="38">
        <f>AVERAGE(X264vsQY265_offline_slow!R9:R16)</f>
        <v>-0.50826333780875532</v>
      </c>
      <c r="E19" s="38">
        <f>AVERAGE(X264vsQY265_offline_slow!S9:S16)</f>
        <v>-0.5399892742222665</v>
      </c>
      <c r="F19" s="38">
        <f>AVERAGE(X264vsQY265_offline_slow!T9:T16)</f>
        <v>-0.36785179902978193</v>
      </c>
      <c r="G19" s="39">
        <f>AVERAGE(X264vsQY265_offline_slow!U9:U16)</f>
        <v>-2.5747744957367286E-2</v>
      </c>
      <c r="K19" s="45">
        <v>1</v>
      </c>
      <c r="L19" s="37" t="s">
        <v>35</v>
      </c>
      <c r="M19" s="38">
        <f>AVERAGE(X265vsQY265_offline_slow!Q9:Q16)</f>
        <v>-1.5258794470816794E-2</v>
      </c>
      <c r="N19" s="38">
        <f>AVERAGE(X265vsQY265_offline_slow!R9:R16)</f>
        <v>-0.53280718460578036</v>
      </c>
      <c r="O19" s="38">
        <f>AVERAGE(X265vsQY265_offline_slow!S9:S16)</f>
        <v>-0.50595573384085768</v>
      </c>
      <c r="P19" s="38">
        <f>AVERAGE(X265vsQY265_offline_slow!T9:T16)</f>
        <v>-0.10917054513265606</v>
      </c>
      <c r="Q19" s="39">
        <f>AVERAGE(X265vsQY265_offline_slow!U9:U16)</f>
        <v>1.7502169487264227</v>
      </c>
    </row>
    <row r="20" spans="1:17" ht="16.5" thickBot="1" x14ac:dyDescent="0.3">
      <c r="A20" s="46"/>
      <c r="B20" s="37" t="s">
        <v>37</v>
      </c>
      <c r="C20" s="38">
        <f>AVERAGE(X264vsQY265_offline_slow!Q17:Q36)</f>
        <v>-0.44258967131268723</v>
      </c>
      <c r="D20" s="38">
        <f>AVERAGE(X264vsQY265_offline_slow!R17:R36)</f>
        <v>-0.56833261846747685</v>
      </c>
      <c r="E20" s="38">
        <f>AVERAGE(X264vsQY265_offline_slow!S17:S36)</f>
        <v>-0.57099013495204098</v>
      </c>
      <c r="F20" s="38">
        <f>AVERAGE(X264vsQY265_offline_slow!T17:T36)</f>
        <v>-0.46268027309503557</v>
      </c>
      <c r="G20" s="39">
        <f>AVERAGE(X264vsQY265_offline_slow!U17:U36)</f>
        <v>0.22362422040256175</v>
      </c>
      <c r="K20" s="46"/>
      <c r="L20" s="37" t="s">
        <v>37</v>
      </c>
      <c r="M20" s="38">
        <f>AVERAGE(X265vsQY265_offline_slow!Q17:Q36)</f>
        <v>-3.4712006217967217E-2</v>
      </c>
      <c r="N20" s="38">
        <f>AVERAGE(X265vsQY265_offline_slow!R17:R36)</f>
        <v>-0.42526323913234326</v>
      </c>
      <c r="O20" s="38">
        <f>AVERAGE(X265vsQY265_offline_slow!S17:S36)</f>
        <v>-0.39616470316332542</v>
      </c>
      <c r="P20" s="38">
        <f>AVERAGE(X265vsQY265_offline_slow!T17:T36)</f>
        <v>-0.10800641624002835</v>
      </c>
      <c r="Q20" s="39">
        <f>AVERAGE(X265vsQY265_offline_slow!U17:U36)</f>
        <v>2.6251026409561531</v>
      </c>
    </row>
    <row r="21" spans="1:17" ht="16.5" thickBot="1" x14ac:dyDescent="0.3">
      <c r="A21" s="46"/>
      <c r="B21" s="37" t="s">
        <v>39</v>
      </c>
      <c r="C21" s="38">
        <f>AVERAGE(X264vsQY265_offline_slow!Q37:Q52)</f>
        <v>-0.33958862727364081</v>
      </c>
      <c r="D21" s="38">
        <f>AVERAGE(X264vsQY265_offline_slow!R37:R52)</f>
        <v>-0.49263067689255191</v>
      </c>
      <c r="E21" s="38">
        <f>AVERAGE(X264vsQY265_offline_slow!S37:S52)</f>
        <v>-0.47268128049237235</v>
      </c>
      <c r="F21" s="38">
        <f>AVERAGE(X264vsQY265_offline_slow!T37:T52)</f>
        <v>-0.36426305478304893</v>
      </c>
      <c r="G21" s="39">
        <f>AVERAGE(X264vsQY265_offline_slow!U37:U52)</f>
        <v>-0.14899296696057882</v>
      </c>
      <c r="K21" s="46"/>
      <c r="L21" s="37" t="s">
        <v>39</v>
      </c>
      <c r="M21" s="38">
        <f>AVERAGE(X265vsQY265_offline_slow!Q37:Q52)</f>
        <v>-7.285026629937208E-2</v>
      </c>
      <c r="N21" s="38">
        <f>AVERAGE(X265vsQY265_offline_slow!R37:R52)</f>
        <v>-0.36965137928258918</v>
      </c>
      <c r="O21" s="38">
        <f>AVERAGE(X265vsQY265_offline_slow!S37:S52)</f>
        <v>-0.32097194222095082</v>
      </c>
      <c r="P21" s="38">
        <f>AVERAGE(X265vsQY265_offline_slow!T37:T52)</f>
        <v>-0.12855383160484313</v>
      </c>
      <c r="Q21" s="39">
        <f>AVERAGE(X265vsQY265_offline_slow!U37:U52)</f>
        <v>1.5596334373721619</v>
      </c>
    </row>
    <row r="22" spans="1:17" ht="16.5" thickBot="1" x14ac:dyDescent="0.3">
      <c r="A22" s="46"/>
      <c r="B22" s="37" t="s">
        <v>41</v>
      </c>
      <c r="C22" s="38">
        <f>AVERAGE(X264vsQY265_offline_slow!Q53:Q68)</f>
        <v>-0.26430551878501429</v>
      </c>
      <c r="D22" s="38">
        <f>AVERAGE(X264vsQY265_offline_slow!R53:R68)</f>
        <v>-0.43971106015264771</v>
      </c>
      <c r="E22" s="38">
        <f>AVERAGE(X264vsQY265_offline_slow!S53:S68)</f>
        <v>-0.45585457703934784</v>
      </c>
      <c r="F22" s="38">
        <f>AVERAGE(X264vsQY265_offline_slow!T53:T68)</f>
        <v>-0.29647109255651222</v>
      </c>
      <c r="G22" s="39">
        <f>AVERAGE(X264vsQY265_offline_slow!U53:U68)</f>
        <v>-0.11557803658002049</v>
      </c>
      <c r="K22" s="46"/>
      <c r="L22" s="37" t="s">
        <v>41</v>
      </c>
      <c r="M22" s="38">
        <f>AVERAGE(X265vsQY265_offline_slow!Q53:Q68)</f>
        <v>-4.1029973401616376E-2</v>
      </c>
      <c r="N22" s="38">
        <f>AVERAGE(X265vsQY265_offline_slow!R53:R68)</f>
        <v>-0.26158812735531667</v>
      </c>
      <c r="O22" s="38">
        <f>AVERAGE(X265vsQY265_offline_slow!S53:S68)</f>
        <v>-0.24765199996457876</v>
      </c>
      <c r="P22" s="38">
        <f>AVERAGE(X265vsQY265_offline_slow!T53:T68)</f>
        <v>-8.4403736974627441E-2</v>
      </c>
      <c r="Q22" s="39">
        <f>AVERAGE(X265vsQY265_offline_slow!U53:U68)</f>
        <v>1.6064721311938142</v>
      </c>
    </row>
    <row r="23" spans="1:17" ht="16.5" thickBot="1" x14ac:dyDescent="0.3">
      <c r="A23" s="46"/>
      <c r="B23" s="37" t="s">
        <v>43</v>
      </c>
      <c r="C23" s="38">
        <f>AVERAGE(X264vsQY265_offline_slow!Q69:Q80)</f>
        <v>-0.45170132104935529</v>
      </c>
      <c r="D23" s="38">
        <f>AVERAGE(X264vsQY265_offline_slow!R69:R80)</f>
        <v>-0.63027339726262577</v>
      </c>
      <c r="E23" s="38">
        <f>AVERAGE(X264vsQY265_offline_slow!S69:S80)</f>
        <v>-0.64336890935201063</v>
      </c>
      <c r="F23" s="38">
        <f>AVERAGE(X264vsQY265_offline_slow!T69:T80)</f>
        <v>-0.50373293044277778</v>
      </c>
      <c r="G23" s="39">
        <f>AVERAGE(X264vsQY265_offline_slow!U69:U80)</f>
        <v>0.27669782963001999</v>
      </c>
      <c r="K23" s="46"/>
      <c r="L23" s="37" t="s">
        <v>43</v>
      </c>
      <c r="M23" s="38">
        <f>AVERAGE(X265vsQY265_offline_slow!Q69:Q80)</f>
        <v>-0.12449785862909746</v>
      </c>
      <c r="N23" s="38">
        <f>AVERAGE(X265vsQY265_offline_slow!R69:R80)</f>
        <v>-0.31006808127071389</v>
      </c>
      <c r="O23" s="38">
        <f>AVERAGE(X265vsQY265_offline_slow!S69:S80)</f>
        <v>-0.24605833438819272</v>
      </c>
      <c r="P23" s="38">
        <f>AVERAGE(X265vsQY265_offline_slow!T69:T80)</f>
        <v>-0.16359359247069191</v>
      </c>
      <c r="Q23" s="39">
        <f>AVERAGE(X265vsQY265_offline_slow!U69:U80)</f>
        <v>2.553539221356472</v>
      </c>
    </row>
    <row r="24" spans="1:17" ht="16.5" thickBot="1" x14ac:dyDescent="0.3">
      <c r="A24" s="46"/>
      <c r="B24" s="41" t="s">
        <v>114</v>
      </c>
      <c r="C24" s="38">
        <f>AVERAGE(X264vsQY265_offline_slow!Q81:Q124)</f>
        <v>-0.31161539764313134</v>
      </c>
      <c r="D24" s="38">
        <f>AVERAGE(X264vsQY265_offline_slow!R81:R124)</f>
        <v>-0.4018924305267445</v>
      </c>
      <c r="E24" s="38">
        <f>AVERAGE(X264vsQY265_offline_slow!S81:S124)</f>
        <v>-0.39304477502433904</v>
      </c>
      <c r="F24" s="38">
        <f>AVERAGE(X264vsQY265_offline_slow!T81:T124)</f>
        <v>-0.32964090115375472</v>
      </c>
      <c r="G24" s="39">
        <f>AVERAGE(X264vsQY265_offline_slow!U81:U124)</f>
        <v>-8.2421289521016391E-2</v>
      </c>
      <c r="K24" s="46"/>
      <c r="L24" s="41" t="s">
        <v>114</v>
      </c>
      <c r="M24" s="38">
        <f>AVERAGE(X265vsQY265_offline_slow!Q81:Q124)</f>
        <v>-7.9885336910603913E-2</v>
      </c>
      <c r="N24" s="38">
        <f>AVERAGE(X265vsQY265_offline_slow!R81:R124)</f>
        <v>-0.23618936016158598</v>
      </c>
      <c r="O24" s="38">
        <f>AVERAGE(X265vsQY265_offline_slow!S81:S124)</f>
        <v>-0.21993563979193323</v>
      </c>
      <c r="P24" s="38">
        <f>AVERAGE(X265vsQY265_offline_slow!T81:T124)</f>
        <v>-0.11322969273648352</v>
      </c>
      <c r="Q24" s="39">
        <f>AVERAGE(X265vsQY265_offline_slow!U81:U124)</f>
        <v>1.9677216374916151</v>
      </c>
    </row>
    <row r="25" spans="1:17" ht="16.5" thickBot="1" x14ac:dyDescent="0.3">
      <c r="A25" s="47"/>
      <c r="B25" s="37" t="s">
        <v>77</v>
      </c>
      <c r="C25" s="38">
        <f>X264vsQY265_offline_slow!Q125</f>
        <v>-0.34803375599941994</v>
      </c>
      <c r="D25" s="38">
        <f>X264vsQY265_offline_slow!R125</f>
        <v>-0.47928253943854338</v>
      </c>
      <c r="E25" s="38">
        <f>X264vsQY265_offline_slow!S125</f>
        <v>-0.47940247953984066</v>
      </c>
      <c r="F25" s="38">
        <f>X264vsQY265_offline_slow!T125</f>
        <v>-0.3734238019625043</v>
      </c>
      <c r="G25" s="39">
        <f>X264vsQY265_offline_slow!U125</f>
        <v>-2.351693031222193E-3</v>
      </c>
      <c r="K25" s="47"/>
      <c r="L25" s="37" t="s">
        <v>77</v>
      </c>
      <c r="M25" s="38">
        <f>X265vsQY265_offline_slow!Q125</f>
        <v>-6.5925202094460636E-2</v>
      </c>
      <c r="N25" s="38">
        <f>X265vsQY265_offline_slow!R125</f>
        <v>-0.31879916541429271</v>
      </c>
      <c r="O25" s="38">
        <f>X265vsQY265_offline_slow!S125</f>
        <v>-0.29050682045228637</v>
      </c>
      <c r="P25" s="38">
        <f>X265vsQY265_offline_slow!T125</f>
        <v>-0.11539692563092176</v>
      </c>
      <c r="Q25" s="39">
        <f>X265vsQY265_offline_slow!U125</f>
        <v>2.020549139757748</v>
      </c>
    </row>
    <row r="26" spans="1:17" ht="16.5" thickBot="1" x14ac:dyDescent="0.3">
      <c r="A26" s="45" t="s">
        <v>76</v>
      </c>
      <c r="B26" s="37" t="s">
        <v>35</v>
      </c>
      <c r="C26" s="38">
        <f>AVERAGE(X264vsQY265_offline_slow!Q131:Q138)</f>
        <v>-0.41766461189781645</v>
      </c>
      <c r="D26" s="38">
        <f>AVERAGE(X264vsQY265_offline_slow!R131:R138)</f>
        <v>-0.54556144923210192</v>
      </c>
      <c r="E26" s="38">
        <f>AVERAGE(X264vsQY265_offline_slow!S131:S138)</f>
        <v>-0.58049612441199627</v>
      </c>
      <c r="F26" s="38">
        <f>AVERAGE(X264vsQY265_offline_slow!T131:T138)</f>
        <v>-0.43974046937436728</v>
      </c>
      <c r="G26" s="39">
        <f>AVERAGE(X264vsQY265_offline_slow!U131:U138)</f>
        <v>0.1609368394120122</v>
      </c>
      <c r="K26" s="45" t="s">
        <v>76</v>
      </c>
      <c r="L26" s="37" t="s">
        <v>35</v>
      </c>
      <c r="M26" s="38">
        <f>AVERAGE(X265vsQY265_offline_slow!Q131:Q138)</f>
        <v>-8.0298297167474275E-3</v>
      </c>
      <c r="N26" s="38">
        <f>AVERAGE(X265vsQY265_offline_slow!R131:R138)</f>
        <v>-0.54085177454996858</v>
      </c>
      <c r="O26" s="38">
        <f>AVERAGE(X265vsQY265_offline_slow!S131:S138)</f>
        <v>-0.52086911850554829</v>
      </c>
      <c r="P26" s="38">
        <f>AVERAGE(X265vsQY265_offline_slow!T131:T138)</f>
        <v>-0.10577045780466815</v>
      </c>
      <c r="Q26" s="39">
        <f>AVERAGE(X265vsQY265_offline_slow!U131:U138)</f>
        <v>2.5823331773157219</v>
      </c>
    </row>
    <row r="27" spans="1:17" ht="16.5" thickBot="1" x14ac:dyDescent="0.3">
      <c r="A27" s="46"/>
      <c r="B27" s="37" t="s">
        <v>37</v>
      </c>
      <c r="C27" s="38">
        <f>AVERAGE(X264vsQY265_offline_slow!Q139:Q158)</f>
        <v>-0.43371439618294205</v>
      </c>
      <c r="D27" s="38">
        <f>AVERAGE(X264vsQY265_offline_slow!R139:R158)</f>
        <v>-0.5688784239062844</v>
      </c>
      <c r="E27" s="38">
        <f>AVERAGE(X264vsQY265_offline_slow!S139:S158)</f>
        <v>-0.5695509667135169</v>
      </c>
      <c r="F27" s="38">
        <f>AVERAGE(X264vsQY265_offline_slow!T139:T158)</f>
        <v>-0.45542778709362552</v>
      </c>
      <c r="G27" s="39">
        <f>AVERAGE(X264vsQY265_offline_slow!U139:U158)</f>
        <v>0.34263352368565125</v>
      </c>
      <c r="K27" s="46"/>
      <c r="L27" s="37" t="s">
        <v>37</v>
      </c>
      <c r="M27" s="38">
        <f>AVERAGE(X265vsQY265_offline_slow!Q139:Q158)</f>
        <v>-2.4142663025185661E-2</v>
      </c>
      <c r="N27" s="38">
        <f>AVERAGE(X265vsQY265_offline_slow!R139:R158)</f>
        <v>-0.42200822846198244</v>
      </c>
      <c r="O27" s="38">
        <f>AVERAGE(X265vsQY265_offline_slow!S139:S158)</f>
        <v>-0.40077786377878005</v>
      </c>
      <c r="P27" s="38">
        <f>AVERAGE(X265vsQY265_offline_slow!T139:T158)</f>
        <v>-9.9636985674627893E-2</v>
      </c>
      <c r="Q27" s="39">
        <f>AVERAGE(X265vsQY265_offline_slow!U139:U158)</f>
        <v>3.6859875163287064</v>
      </c>
    </row>
    <row r="28" spans="1:17" ht="16.5" thickBot="1" x14ac:dyDescent="0.3">
      <c r="A28" s="46"/>
      <c r="B28" s="37" t="s">
        <v>39</v>
      </c>
      <c r="C28" s="38">
        <f>AVERAGE(X264vsQY265_offline_slow!Q159:Q174)</f>
        <v>-0.33529973519845402</v>
      </c>
      <c r="D28" s="38">
        <f>AVERAGE(X264vsQY265_offline_slow!R159:R174)</f>
        <v>-0.5021684136501825</v>
      </c>
      <c r="E28" s="38">
        <f>AVERAGE(X264vsQY265_offline_slow!S159:S174)</f>
        <v>-0.48567848655642426</v>
      </c>
      <c r="F28" s="38">
        <f>AVERAGE(X264vsQY265_offline_slow!T159:T174)</f>
        <v>-0.36322160666092163</v>
      </c>
      <c r="G28" s="39">
        <f>AVERAGE(X264vsQY265_offline_slow!U159:U174)</f>
        <v>-0.1566431992210745</v>
      </c>
      <c r="K28" s="46"/>
      <c r="L28" s="37" t="s">
        <v>39</v>
      </c>
      <c r="M28" s="38">
        <f>AVERAGE(X265vsQY265_offline_slow!Q159:Q174)</f>
        <v>-7.4061922675452863E-2</v>
      </c>
      <c r="N28" s="38">
        <f>AVERAGE(X265vsQY265_offline_slow!R159:R174)</f>
        <v>-0.38419422467527309</v>
      </c>
      <c r="O28" s="38">
        <f>AVERAGE(X265vsQY265_offline_slow!S159:S174)</f>
        <v>-0.34171329444716703</v>
      </c>
      <c r="P28" s="38">
        <f>AVERAGE(X265vsQY265_offline_slow!T159:T174)</f>
        <v>-0.13359437740465524</v>
      </c>
      <c r="Q28" s="39">
        <f>AVERAGE(X265vsQY265_offline_slow!U159:U174)</f>
        <v>2.2843196376129269</v>
      </c>
    </row>
    <row r="29" spans="1:17" ht="16.5" thickBot="1" x14ac:dyDescent="0.3">
      <c r="A29" s="46"/>
      <c r="B29" s="37" t="s">
        <v>41</v>
      </c>
      <c r="C29" s="38">
        <f>AVERAGE(X264vsQY265_offline_slow!Q175:Q190)</f>
        <v>-0.25022702039333711</v>
      </c>
      <c r="D29" s="38">
        <f>AVERAGE(X264vsQY265_offline_slow!R175:R190)</f>
        <v>-0.446538291938126</v>
      </c>
      <c r="E29" s="38">
        <f>AVERAGE(X264vsQY265_offline_slow!S175:S190)</f>
        <v>-0.45805654498251736</v>
      </c>
      <c r="F29" s="38">
        <f>AVERAGE(X264vsQY265_offline_slow!T175:T190)</f>
        <v>-0.28640694662225208</v>
      </c>
      <c r="G29" s="39">
        <f>AVERAGE(X264vsQY265_offline_slow!U175:U190)</f>
        <v>-0.29497885087051418</v>
      </c>
      <c r="K29" s="46"/>
      <c r="L29" s="37" t="s">
        <v>41</v>
      </c>
      <c r="M29" s="38">
        <f>AVERAGE(X265vsQY265_offline_slow!Q175:Q190)</f>
        <v>-3.6917709398411269E-2</v>
      </c>
      <c r="N29" s="38">
        <f>AVERAGE(X265vsQY265_offline_slow!R175:R190)</f>
        <v>-0.28209147921485722</v>
      </c>
      <c r="O29" s="38">
        <f>AVERAGE(X265vsQY265_offline_slow!S175:S190)</f>
        <v>-0.2716155968301821</v>
      </c>
      <c r="P29" s="38">
        <f>AVERAGE(X265vsQY265_offline_slow!T175:T190)</f>
        <v>-8.6008788785358836E-2</v>
      </c>
      <c r="Q29" s="39">
        <f>AVERAGE(X265vsQY265_offline_slow!U175:U190)</f>
        <v>2.8019522067953582</v>
      </c>
    </row>
    <row r="30" spans="1:17" ht="16.5" thickBot="1" x14ac:dyDescent="0.3">
      <c r="A30" s="46"/>
      <c r="B30" s="37" t="s">
        <v>43</v>
      </c>
      <c r="C30" s="38">
        <f>AVERAGE(X264vsQY265_offline_slow!Q191:Q202)</f>
        <v>-0.42503344872821797</v>
      </c>
      <c r="D30" s="38">
        <f>AVERAGE(X264vsQY265_offline_slow!R191:R202)</f>
        <v>-0.60766360854413859</v>
      </c>
      <c r="E30" s="38">
        <f>AVERAGE(X264vsQY265_offline_slow!S191:S202)</f>
        <v>-0.61890478124469528</v>
      </c>
      <c r="F30" s="38">
        <f>AVERAGE(X264vsQY265_offline_slow!T191:T202)</f>
        <v>-0.47660522926641197</v>
      </c>
      <c r="G30" s="39">
        <f>AVERAGE(X264vsQY265_offline_slow!U191:U202)</f>
        <v>0.44115704793213445</v>
      </c>
      <c r="K30" s="46"/>
      <c r="L30" s="37" t="s">
        <v>43</v>
      </c>
      <c r="M30" s="38">
        <f>AVERAGE(X265vsQY265_offline_slow!Q191:Q202)</f>
        <v>-0.10691185390214208</v>
      </c>
      <c r="N30" s="38">
        <f>AVERAGE(X265vsQY265_offline_slow!R191:R202)</f>
        <v>-0.30331005487416735</v>
      </c>
      <c r="O30" s="38">
        <f>AVERAGE(X265vsQY265_offline_slow!S191:S202)</f>
        <v>-0.25319084754013071</v>
      </c>
      <c r="P30" s="38">
        <f>AVERAGE(X265vsQY265_offline_slow!T191:T202)</f>
        <v>-0.15039514333524773</v>
      </c>
      <c r="Q30" s="39">
        <f>AVERAGE(X265vsQY265_offline_slow!U191:U202)</f>
        <v>3.3344651856703931</v>
      </c>
    </row>
    <row r="31" spans="1:17" ht="16.5" thickBot="1" x14ac:dyDescent="0.3">
      <c r="A31" s="46"/>
      <c r="B31" s="41" t="s">
        <v>114</v>
      </c>
      <c r="C31" s="38">
        <f>AVERAGE(X264vsQY265_offline_slow!Q203:Q246)</f>
        <v>-0.30071920548877257</v>
      </c>
      <c r="D31" s="38">
        <f>AVERAGE(X264vsQY265_offline_slow!R203:R246)</f>
        <v>-0.396396162696246</v>
      </c>
      <c r="E31" s="38">
        <f>AVERAGE(X264vsQY265_offline_slow!S203:S246)</f>
        <v>-0.38517526102859656</v>
      </c>
      <c r="F31" s="38">
        <f>AVERAGE(X264vsQY265_offline_slow!T203:T246)</f>
        <v>-0.31967985529020121</v>
      </c>
      <c r="G31" s="39">
        <f>AVERAGE(X264vsQY265_offline_slow!U203:U246)</f>
        <v>-4.1034154658328208E-2</v>
      </c>
      <c r="K31" s="46"/>
      <c r="L31" s="41" t="s">
        <v>114</v>
      </c>
      <c r="M31" s="38">
        <f>AVERAGE(X265vsQY265_offline_slow!Q203:Q246)</f>
        <v>-7.793838083961864E-2</v>
      </c>
      <c r="N31" s="38">
        <f>AVERAGE(X265vsQY265_offline_slow!R203:R246)</f>
        <v>-0.23988334726667102</v>
      </c>
      <c r="O31" s="38">
        <f>AVERAGE(X265vsQY265_offline_slow!S203:S246)</f>
        <v>-0.2285629332336778</v>
      </c>
      <c r="P31" s="38">
        <f>AVERAGE(X265vsQY265_offline_slow!T203:T246)</f>
        <v>-0.1131000655660396</v>
      </c>
      <c r="Q31" s="39">
        <f>AVERAGE(X265vsQY265_offline_slow!U203:U246)</f>
        <v>2.7030870374820175</v>
      </c>
    </row>
    <row r="32" spans="1:17" ht="16.5" thickBot="1" x14ac:dyDescent="0.3">
      <c r="A32" s="47"/>
      <c r="B32" s="37" t="s">
        <v>77</v>
      </c>
      <c r="C32" s="38">
        <f>X264vsQY265_offline_slow!Q247</f>
        <v>-0.34237999426340204</v>
      </c>
      <c r="D32" s="38">
        <f>X264vsQY265_offline_slow!R247</f>
        <v>-0.47978242950482702</v>
      </c>
      <c r="E32" s="38">
        <f>X264vsQY265_offline_slow!S247</f>
        <v>-0.47852860081365484</v>
      </c>
      <c r="F32" s="38">
        <f>X264vsQY265_offline_slow!T247</f>
        <v>-0.36901476494279328</v>
      </c>
      <c r="G32" s="39">
        <f>X264vsQY265_offline_slow!U247</f>
        <v>3.7953397911748947E-2</v>
      </c>
      <c r="K32" s="47"/>
      <c r="L32" s="37" t="s">
        <v>77</v>
      </c>
      <c r="M32" s="38">
        <f>X265vsQY265_offline_slow!Q247</f>
        <v>-6.0646525993003839E-2</v>
      </c>
      <c r="N32" s="38">
        <f>X265vsQY265_offline_slow!R247</f>
        <v>-0.32432877556987083</v>
      </c>
      <c r="O32" s="38">
        <f>X265vsQY265_offline_slow!S247</f>
        <v>-0.30250716997259453</v>
      </c>
      <c r="P32" s="38">
        <f>X265vsQY265_offline_slow!T247</f>
        <v>-0.11322153999912796</v>
      </c>
      <c r="Q32" s="39">
        <f>X265vsQY265_offline_slow!U247</f>
        <v>2.885415320111087</v>
      </c>
    </row>
    <row r="33" spans="1:17" ht="16.5" thickBot="1" x14ac:dyDescent="0.3">
      <c r="A33" s="48" t="s">
        <v>116</v>
      </c>
      <c r="B33" s="49"/>
      <c r="C33" s="49"/>
      <c r="D33" s="49"/>
      <c r="E33" s="49"/>
      <c r="F33" s="49"/>
      <c r="G33" s="50"/>
      <c r="K33" s="48" t="s">
        <v>117</v>
      </c>
      <c r="L33" s="49"/>
      <c r="M33" s="49"/>
      <c r="N33" s="49"/>
      <c r="O33" s="49"/>
      <c r="P33" s="49"/>
      <c r="Q33" s="50"/>
    </row>
    <row r="34" spans="1:17" ht="16.5" thickBot="1" x14ac:dyDescent="0.3">
      <c r="A34" s="37" t="s">
        <v>74</v>
      </c>
      <c r="B34" s="37" t="s">
        <v>73</v>
      </c>
      <c r="C34" s="37" t="s">
        <v>69</v>
      </c>
      <c r="D34" s="37" t="s">
        <v>70</v>
      </c>
      <c r="E34" s="37" t="s">
        <v>71</v>
      </c>
      <c r="F34" s="37" t="s">
        <v>72</v>
      </c>
      <c r="G34" s="37" t="s">
        <v>75</v>
      </c>
      <c r="K34" s="37" t="s">
        <v>74</v>
      </c>
      <c r="L34" s="37" t="s">
        <v>73</v>
      </c>
      <c r="M34" s="37" t="s">
        <v>69</v>
      </c>
      <c r="N34" s="37" t="s">
        <v>70</v>
      </c>
      <c r="O34" s="37" t="s">
        <v>71</v>
      </c>
      <c r="P34" s="37" t="s">
        <v>72</v>
      </c>
      <c r="Q34" s="37" t="s">
        <v>75</v>
      </c>
    </row>
    <row r="35" spans="1:17" ht="16.5" thickBot="1" x14ac:dyDescent="0.3">
      <c r="A35" s="45" t="s">
        <v>76</v>
      </c>
      <c r="B35" s="37" t="s">
        <v>35</v>
      </c>
      <c r="C35" s="38">
        <f>AVERAGE(X264vsQY265_offline_placebo!Q9:Q16)</f>
        <v>-0.3804690782456801</v>
      </c>
      <c r="D35" s="38">
        <f>AVERAGE(X264vsQY265_offline_placebo!R9:R16)</f>
        <v>-0.49248072420320194</v>
      </c>
      <c r="E35" s="38">
        <f>AVERAGE(X264vsQY265_offline_placebo!S9:S16)</f>
        <v>-0.53840467165905181</v>
      </c>
      <c r="F35" s="38">
        <f>AVERAGE(X264vsQY265_offline_placebo!T9:T16)</f>
        <v>-0.40105948495921723</v>
      </c>
      <c r="G35" s="39">
        <f>AVERAGE(X264vsQY265_offline_placebo!U9:U16)</f>
        <v>0.47678199166107121</v>
      </c>
      <c r="K35" s="45" t="s">
        <v>76</v>
      </c>
      <c r="L35" s="37" t="s">
        <v>35</v>
      </c>
      <c r="M35" s="38">
        <f>AVERAGE(X265vsQY265_offline_veryslow!Q9:Q16)</f>
        <v>3.2171170236728497E-2</v>
      </c>
      <c r="N35" s="38">
        <f>AVERAGE(X265vsQY265_offline_veryslow!R9:R16)</f>
        <v>-0.52200731919221499</v>
      </c>
      <c r="O35" s="38">
        <f>AVERAGE(X265vsQY265_offline_veryslow!S9:S16)</f>
        <v>-0.51984883825245531</v>
      </c>
      <c r="P35" s="38">
        <f>AVERAGE(X265vsQY265_offline_veryslow!T9:T16)</f>
        <v>-7.2561019114129099E-2</v>
      </c>
      <c r="Q35" s="39">
        <f>AVERAGE(X265vsQY265_offline_veryslow!U9:U16)</f>
        <v>1.0158407917065573</v>
      </c>
    </row>
    <row r="36" spans="1:17" ht="16.5" thickBot="1" x14ac:dyDescent="0.3">
      <c r="A36" s="46"/>
      <c r="B36" s="37" t="s">
        <v>37</v>
      </c>
      <c r="C36" s="38">
        <f>AVERAGE(X264vsQY265_offline_placebo!Q17:Q36)</f>
        <v>-0.40428221196255443</v>
      </c>
      <c r="D36" s="38">
        <f>AVERAGE(X264vsQY265_offline_placebo!R17:R36)</f>
        <v>-0.58434397405052008</v>
      </c>
      <c r="E36" s="38">
        <f>AVERAGE(X264vsQY265_offline_placebo!S17:S36)</f>
        <v>-0.58902748062460986</v>
      </c>
      <c r="F36" s="38">
        <f>AVERAGE(X264vsQY265_offline_placebo!T17:T36)</f>
        <v>-0.43595473527324086</v>
      </c>
      <c r="G36" s="39">
        <f>AVERAGE(X264vsQY265_offline_placebo!U17:U36)</f>
        <v>1.0144601209233661</v>
      </c>
      <c r="K36" s="46"/>
      <c r="L36" s="37" t="s">
        <v>37</v>
      </c>
      <c r="M36" s="38">
        <f>AVERAGE(X265vsQY265_offline_veryslow!Q17:Q36)</f>
        <v>-1.0522469125963241E-2</v>
      </c>
      <c r="N36" s="38">
        <f>AVERAGE(X265vsQY265_offline_veryslow!R17:R36)</f>
        <v>-0.42985876766294312</v>
      </c>
      <c r="O36" s="38">
        <f>AVERAGE(X265vsQY265_offline_veryslow!S17:S36)</f>
        <v>-0.40675035525978087</v>
      </c>
      <c r="P36" s="38">
        <f>AVERAGE(X265vsQY265_offline_veryslow!T17:T36)</f>
        <v>-9.1747030912905675E-2</v>
      </c>
      <c r="Q36" s="39">
        <f>AVERAGE(X265vsQY265_offline_veryslow!U17:U36)</f>
        <v>1.22707341919963</v>
      </c>
    </row>
    <row r="37" spans="1:17" ht="16.5" thickBot="1" x14ac:dyDescent="0.3">
      <c r="A37" s="46"/>
      <c r="B37" s="37" t="s">
        <v>39</v>
      </c>
      <c r="C37" s="38">
        <f>AVERAGE(X264vsQY265_offline_placebo!Q37:Q52)</f>
        <v>-0.31013207388113051</v>
      </c>
      <c r="D37" s="38">
        <f>AVERAGE(X264vsQY265_offline_placebo!R37:R52)</f>
        <v>-0.54338874468420273</v>
      </c>
      <c r="E37" s="38">
        <f>AVERAGE(X264vsQY265_offline_placebo!S37:S52)</f>
        <v>-0.53430170330886917</v>
      </c>
      <c r="F37" s="38">
        <f>AVERAGE(X264vsQY265_offline_placebo!T37:T52)</f>
        <v>-0.35287764745543282</v>
      </c>
      <c r="G37" s="39">
        <f>AVERAGE(X264vsQY265_offline_placebo!U37:U52)</f>
        <v>0.42117460496000036</v>
      </c>
      <c r="K37" s="46"/>
      <c r="L37" s="37" t="s">
        <v>39</v>
      </c>
      <c r="M37" s="38">
        <f>AVERAGE(X265vsQY265_offline_veryslow!Q37:Q52)</f>
        <v>-5.2564005298259886E-2</v>
      </c>
      <c r="N37" s="38">
        <f>AVERAGE(X265vsQY265_offline_veryslow!R37:R52)</f>
        <v>-0.42098055264192524</v>
      </c>
      <c r="O37" s="38">
        <f>AVERAGE(X265vsQY265_offline_veryslow!S37:S52)</f>
        <v>-0.39342120663823588</v>
      </c>
      <c r="P37" s="38">
        <f>AVERAGE(X265vsQY265_offline_veryslow!T37:T52)</f>
        <v>-0.12721602921662326</v>
      </c>
      <c r="Q37" s="39">
        <f>AVERAGE(X265vsQY265_offline_veryslow!U37:U52)</f>
        <v>0.93289546330149486</v>
      </c>
    </row>
    <row r="38" spans="1:17" ht="16.5" thickBot="1" x14ac:dyDescent="0.3">
      <c r="A38" s="46"/>
      <c r="B38" s="37" t="s">
        <v>41</v>
      </c>
      <c r="C38" s="38">
        <f>AVERAGE(X264vsQY265_offline_placebo!Q53:Q68)</f>
        <v>-0.2462833941451586</v>
      </c>
      <c r="D38" s="38">
        <f>AVERAGE(X264vsQY265_offline_placebo!R53:R68)</f>
        <v>-0.52424553835564747</v>
      </c>
      <c r="E38" s="38">
        <f>AVERAGE(X264vsQY265_offline_placebo!S53:S68)</f>
        <v>-0.52892754441797907</v>
      </c>
      <c r="F38" s="38">
        <f>AVERAGE(X264vsQY265_offline_placebo!T53:T68)</f>
        <v>-0.29932587710517555</v>
      </c>
      <c r="G38" s="39">
        <f>AVERAGE(X264vsQY265_offline_placebo!U53:U68)</f>
        <v>0.11317773548332233</v>
      </c>
      <c r="K38" s="46"/>
      <c r="L38" s="37" t="s">
        <v>41</v>
      </c>
      <c r="M38" s="38">
        <f>AVERAGE(X265vsQY265_offline_veryslow!Q53:Q68)</f>
        <v>-2.173688315145067E-2</v>
      </c>
      <c r="N38" s="38">
        <f>AVERAGE(X265vsQY265_offline_veryslow!R53:R68)</f>
        <v>-0.3635112456971803</v>
      </c>
      <c r="O38" s="38">
        <f>AVERAGE(X265vsQY265_offline_veryslow!S53:S68)</f>
        <v>-0.35335002239644098</v>
      </c>
      <c r="P38" s="38">
        <f>AVERAGE(X265vsQY265_offline_veryslow!T53:T68)</f>
        <v>-9.1070441779058764E-2</v>
      </c>
      <c r="Q38" s="39">
        <f>AVERAGE(X265vsQY265_offline_veryslow!U53:U68)</f>
        <v>1.6373404356104782</v>
      </c>
    </row>
    <row r="39" spans="1:17" ht="16.5" thickBot="1" x14ac:dyDescent="0.3">
      <c r="A39" s="46"/>
      <c r="B39" s="37" t="s">
        <v>43</v>
      </c>
      <c r="C39" s="38">
        <f>AVERAGE(X264vsQY265_offline_placebo!Q69:Q80)</f>
        <v>-0.37469510032931613</v>
      </c>
      <c r="D39" s="38">
        <f>AVERAGE(X264vsQY265_offline_placebo!R69:R80)</f>
        <v>-0.54720856538661466</v>
      </c>
      <c r="E39" s="38">
        <f>AVERAGE(X264vsQY265_offline_placebo!S69:S80)</f>
        <v>-0.57355095351843099</v>
      </c>
      <c r="F39" s="38">
        <f>AVERAGE(X264vsQY265_offline_placebo!T69:T80)</f>
        <v>-0.42436169171480059</v>
      </c>
      <c r="G39" s="39">
        <f>AVERAGE(X264vsQY265_offline_placebo!U69:U80)</f>
        <v>0.89501970352227944</v>
      </c>
      <c r="K39" s="46"/>
      <c r="L39" s="37" t="s">
        <v>43</v>
      </c>
      <c r="M39" s="38">
        <f>AVERAGE(X265vsQY265_offline_veryslow!Q69:Q80)</f>
        <v>-6.3314978215965809E-2</v>
      </c>
      <c r="N39" s="38">
        <f>AVERAGE(X265vsQY265_offline_veryslow!R69:R80)</f>
        <v>-0.28340309202440916</v>
      </c>
      <c r="O39" s="38">
        <f>AVERAGE(X265vsQY265_offline_veryslow!S69:S80)</f>
        <v>-0.27377372239663955</v>
      </c>
      <c r="P39" s="38">
        <f>AVERAGE(X265vsQY265_offline_veryslow!T69:T80)</f>
        <v>-0.11562590814004077</v>
      </c>
      <c r="Q39" s="39">
        <f>AVERAGE(X265vsQY265_offline_veryslow!U69:U80)</f>
        <v>1.1334164426871334</v>
      </c>
    </row>
    <row r="40" spans="1:17" ht="16.5" thickBot="1" x14ac:dyDescent="0.3">
      <c r="A40" s="46"/>
      <c r="B40" s="41" t="s">
        <v>114</v>
      </c>
      <c r="C40" s="38">
        <f>AVERAGE(X264vsQY265_offline_placebo!Q81:Q124)</f>
        <v>-0.27589291663946969</v>
      </c>
      <c r="D40" s="38">
        <f>AVERAGE(X264vsQY265_offline_placebo!R81:R124)</f>
        <v>-0.41581778331287039</v>
      </c>
      <c r="E40" s="38">
        <f>AVERAGE(X264vsQY265_offline_placebo!S81:S124)</f>
        <v>-0.40785503224683645</v>
      </c>
      <c r="F40" s="38">
        <f>AVERAGE(X264vsQY265_offline_placebo!T81:T124)</f>
        <v>-0.30493692263136229</v>
      </c>
      <c r="G40" s="39">
        <f>AVERAGE(X264vsQY265_offline_placebo!U81:U124)</f>
        <v>0.15503710976255805</v>
      </c>
      <c r="K40" s="46"/>
      <c r="L40" s="41" t="s">
        <v>114</v>
      </c>
      <c r="M40" s="38">
        <f>AVERAGE(X265vsQY265_offline_veryslow!Q81:Q124)</f>
        <v>-4.7027471451505536E-2</v>
      </c>
      <c r="N40" s="38">
        <f>AVERAGE(X265vsQY265_offline_veryslow!R81:R124)</f>
        <v>-0.27230705270584504</v>
      </c>
      <c r="O40" s="38">
        <f>AVERAGE(X265vsQY265_offline_veryslow!S81:S124)</f>
        <v>-0.26314546408365336</v>
      </c>
      <c r="P40" s="38">
        <f>AVERAGE(X265vsQY265_offline_veryslow!T81:T124)</f>
        <v>-9.7394482648778022E-2</v>
      </c>
      <c r="Q40" s="39">
        <f>AVERAGE(X265vsQY265_offline_veryslow!U81:U124)</f>
        <v>0.87062151492075368</v>
      </c>
    </row>
    <row r="41" spans="1:17" ht="16.5" thickBot="1" x14ac:dyDescent="0.3">
      <c r="A41" s="47"/>
      <c r="B41" s="37" t="s">
        <v>77</v>
      </c>
      <c r="C41" s="38">
        <f>X264vsQY265_offline_placebo!Q125</f>
        <v>-0.3161006369803932</v>
      </c>
      <c r="D41" s="38">
        <f>X264vsQY265_offline_placebo!R125</f>
        <v>-0.49630481942826971</v>
      </c>
      <c r="E41" s="38">
        <f>X264vsQY265_offline_placebo!S125</f>
        <v>-0.49937661905582886</v>
      </c>
      <c r="F41" s="38">
        <f>X264vsQY265_offline_placebo!T125</f>
        <v>-0.35234820581436072</v>
      </c>
      <c r="G41" s="39">
        <f>X264vsQY265_offline_placebo!U125</f>
        <v>0.43288762991956037</v>
      </c>
      <c r="K41" s="47"/>
      <c r="L41" s="37" t="s">
        <v>77</v>
      </c>
      <c r="M41" s="38">
        <f>X265vsQY265_offline_veryslow!Q125</f>
        <v>-3.4231747571367578E-2</v>
      </c>
      <c r="N41" s="38">
        <f>X265vsQY265_offline_veryslow!R125</f>
        <v>-0.35092629399631348</v>
      </c>
      <c r="O41" s="38">
        <f>X265vsQY265_offline_veryslow!S125</f>
        <v>-0.33711916003629755</v>
      </c>
      <c r="P41" s="38">
        <f>X265vsQY265_offline_veryslow!T125</f>
        <v>-9.9835176218351585E-2</v>
      </c>
      <c r="Q41" s="39">
        <f>X265vsQY265_offline_veryslow!U125</f>
        <v>1.0836233885258224</v>
      </c>
    </row>
  </sheetData>
  <mergeCells count="16">
    <mergeCell ref="K35:K41"/>
    <mergeCell ref="A1:G1"/>
    <mergeCell ref="K1:Q1"/>
    <mergeCell ref="K10:K16"/>
    <mergeCell ref="K17:Q17"/>
    <mergeCell ref="K19:K25"/>
    <mergeCell ref="A35:A41"/>
    <mergeCell ref="A3:A9"/>
    <mergeCell ref="A26:A32"/>
    <mergeCell ref="K26:K32"/>
    <mergeCell ref="K33:Q33"/>
    <mergeCell ref="A17:G17"/>
    <mergeCell ref="A19:A25"/>
    <mergeCell ref="A33:G33"/>
    <mergeCell ref="K3:K9"/>
    <mergeCell ref="A10:A16"/>
  </mergeCells>
  <phoneticPr fontId="5" type="noConversion"/>
  <conditionalFormatting sqref="C3:F3">
    <cfRule type="cellIs" dxfId="551" priority="4805" operator="greaterThan">
      <formula>0.03</formula>
    </cfRule>
    <cfRule type="cellIs" dxfId="550" priority="4806" stopIfTrue="1" operator="lessThan">
      <formula>-0.03</formula>
    </cfRule>
  </conditionalFormatting>
  <conditionalFormatting sqref="C9:F9">
    <cfRule type="cellIs" dxfId="549" priority="4803" operator="greaterThan">
      <formula>0.03</formula>
    </cfRule>
    <cfRule type="cellIs" dxfId="548" priority="4804" stopIfTrue="1" operator="lessThan">
      <formula>-0.03</formula>
    </cfRule>
  </conditionalFormatting>
  <conditionalFormatting sqref="C4:F7">
    <cfRule type="cellIs" dxfId="547" priority="4801" operator="greaterThan">
      <formula>0.03</formula>
    </cfRule>
    <cfRule type="cellIs" dxfId="546" priority="4802" stopIfTrue="1" operator="lessThan">
      <formula>-0.03</formula>
    </cfRule>
  </conditionalFormatting>
  <conditionalFormatting sqref="C10:F10">
    <cfRule type="cellIs" dxfId="545" priority="4793" operator="greaterThan">
      <formula>0.03</formula>
    </cfRule>
    <cfRule type="cellIs" dxfId="544" priority="4794" stopIfTrue="1" operator="lessThan">
      <formula>-0.03</formula>
    </cfRule>
  </conditionalFormatting>
  <conditionalFormatting sqref="C16:F16">
    <cfRule type="cellIs" dxfId="543" priority="4791" operator="greaterThan">
      <formula>0.03</formula>
    </cfRule>
    <cfRule type="cellIs" dxfId="542" priority="4792" stopIfTrue="1" operator="lessThan">
      <formula>-0.03</formula>
    </cfRule>
  </conditionalFormatting>
  <conditionalFormatting sqref="C11:F14">
    <cfRule type="cellIs" dxfId="541" priority="4789" operator="greaterThan">
      <formula>0.03</formula>
    </cfRule>
    <cfRule type="cellIs" dxfId="540" priority="4790" stopIfTrue="1" operator="lessThan">
      <formula>-0.03</formula>
    </cfRule>
  </conditionalFormatting>
  <conditionalFormatting sqref="C19:F19">
    <cfRule type="cellIs" dxfId="539" priority="4769" operator="greaterThan">
      <formula>0.03</formula>
    </cfRule>
    <cfRule type="cellIs" dxfId="538" priority="4770" stopIfTrue="1" operator="lessThan">
      <formula>-0.03</formula>
    </cfRule>
  </conditionalFormatting>
  <conditionalFormatting sqref="C25:F25">
    <cfRule type="cellIs" dxfId="537" priority="4767" operator="greaterThan">
      <formula>0.03</formula>
    </cfRule>
    <cfRule type="cellIs" dxfId="536" priority="4768" stopIfTrue="1" operator="lessThan">
      <formula>-0.03</formula>
    </cfRule>
  </conditionalFormatting>
  <conditionalFormatting sqref="C20:F23">
    <cfRule type="cellIs" dxfId="535" priority="4765" operator="greaterThan">
      <formula>0.03</formula>
    </cfRule>
    <cfRule type="cellIs" dxfId="534" priority="4766" stopIfTrue="1" operator="lessThan">
      <formula>-0.03</formula>
    </cfRule>
  </conditionalFormatting>
  <conditionalFormatting sqref="C26:F26">
    <cfRule type="cellIs" dxfId="533" priority="4757" operator="greaterThan">
      <formula>0.03</formula>
    </cfRule>
    <cfRule type="cellIs" dxfId="532" priority="4758" stopIfTrue="1" operator="lessThan">
      <formula>-0.03</formula>
    </cfRule>
  </conditionalFormatting>
  <conditionalFormatting sqref="C32:F32">
    <cfRule type="cellIs" dxfId="531" priority="4755" operator="greaterThan">
      <formula>0.03</formula>
    </cfRule>
    <cfRule type="cellIs" dxfId="530" priority="4756" stopIfTrue="1" operator="lessThan">
      <formula>-0.03</formula>
    </cfRule>
  </conditionalFormatting>
  <conditionalFormatting sqref="C27:F30">
    <cfRule type="cellIs" dxfId="529" priority="4753" operator="greaterThan">
      <formula>0.03</formula>
    </cfRule>
    <cfRule type="cellIs" dxfId="528" priority="4754" stopIfTrue="1" operator="lessThan">
      <formula>-0.03</formula>
    </cfRule>
  </conditionalFormatting>
  <conditionalFormatting sqref="C35:F35">
    <cfRule type="cellIs" dxfId="527" priority="2973" operator="greaterThan">
      <formula>0.03</formula>
    </cfRule>
    <cfRule type="cellIs" dxfId="526" priority="2974" stopIfTrue="1" operator="lessThan">
      <formula>-0.03</formula>
    </cfRule>
  </conditionalFormatting>
  <conditionalFormatting sqref="C41:F41">
    <cfRule type="cellIs" dxfId="525" priority="2971" operator="greaterThan">
      <formula>0.03</formula>
    </cfRule>
    <cfRule type="cellIs" dxfId="524" priority="2972" stopIfTrue="1" operator="lessThan">
      <formula>-0.03</formula>
    </cfRule>
  </conditionalFormatting>
  <conditionalFormatting sqref="C36:F39">
    <cfRule type="cellIs" dxfId="523" priority="2969" operator="greaterThan">
      <formula>0.03</formula>
    </cfRule>
    <cfRule type="cellIs" dxfId="522" priority="2970" stopIfTrue="1" operator="lessThan">
      <formula>-0.03</formula>
    </cfRule>
  </conditionalFormatting>
  <conditionalFormatting sqref="M3:P3">
    <cfRule type="cellIs" dxfId="521" priority="1585" operator="greaterThan">
      <formula>0.03</formula>
    </cfRule>
    <cfRule type="cellIs" dxfId="520" priority="1586" stopIfTrue="1" operator="lessThan">
      <formula>-0.03</formula>
    </cfRule>
  </conditionalFormatting>
  <conditionalFormatting sqref="M9:P9">
    <cfRule type="cellIs" dxfId="519" priority="1583" operator="greaterThan">
      <formula>0.03</formula>
    </cfRule>
    <cfRule type="cellIs" dxfId="518" priority="1584" stopIfTrue="1" operator="lessThan">
      <formula>-0.03</formula>
    </cfRule>
  </conditionalFormatting>
  <conditionalFormatting sqref="M4:P7">
    <cfRule type="cellIs" dxfId="517" priority="1581" operator="greaterThan">
      <formula>0.03</formula>
    </cfRule>
    <cfRule type="cellIs" dxfId="516" priority="1582" stopIfTrue="1" operator="lessThan">
      <formula>-0.03</formula>
    </cfRule>
  </conditionalFormatting>
  <conditionalFormatting sqref="M10:P10">
    <cfRule type="cellIs" dxfId="515" priority="1573" operator="greaterThan">
      <formula>0.03</formula>
    </cfRule>
    <cfRule type="cellIs" dxfId="514" priority="1574" stopIfTrue="1" operator="lessThan">
      <formula>-0.03</formula>
    </cfRule>
  </conditionalFormatting>
  <conditionalFormatting sqref="M16:P16">
    <cfRule type="cellIs" dxfId="513" priority="1571" operator="greaterThan">
      <formula>0.03</formula>
    </cfRule>
    <cfRule type="cellIs" dxfId="512" priority="1572" stopIfTrue="1" operator="lessThan">
      <formula>-0.03</formula>
    </cfRule>
  </conditionalFormatting>
  <conditionalFormatting sqref="M11:P14">
    <cfRule type="cellIs" dxfId="511" priority="1569" operator="greaterThan">
      <formula>0.03</formula>
    </cfRule>
    <cfRule type="cellIs" dxfId="510" priority="1570" stopIfTrue="1" operator="lessThan">
      <formula>-0.03</formula>
    </cfRule>
  </conditionalFormatting>
  <conditionalFormatting sqref="M19:P19">
    <cfRule type="cellIs" dxfId="509" priority="1549" operator="greaterThan">
      <formula>0.03</formula>
    </cfRule>
    <cfRule type="cellIs" dxfId="508" priority="1550" stopIfTrue="1" operator="lessThan">
      <formula>-0.03</formula>
    </cfRule>
  </conditionalFormatting>
  <conditionalFormatting sqref="M25:P25">
    <cfRule type="cellIs" dxfId="507" priority="1547" operator="greaterThan">
      <formula>0.03</formula>
    </cfRule>
    <cfRule type="cellIs" dxfId="506" priority="1548" stopIfTrue="1" operator="lessThan">
      <formula>-0.03</formula>
    </cfRule>
  </conditionalFormatting>
  <conditionalFormatting sqref="M20:P23">
    <cfRule type="cellIs" dxfId="505" priority="1545" operator="greaterThan">
      <formula>0.03</formula>
    </cfRule>
    <cfRule type="cellIs" dxfId="504" priority="1546" stopIfTrue="1" operator="lessThan">
      <formula>-0.03</formula>
    </cfRule>
  </conditionalFormatting>
  <conditionalFormatting sqref="M26:P26">
    <cfRule type="cellIs" dxfId="503" priority="1537" operator="greaterThan">
      <formula>0.03</formula>
    </cfRule>
    <cfRule type="cellIs" dxfId="502" priority="1538" stopIfTrue="1" operator="lessThan">
      <formula>-0.03</formula>
    </cfRule>
  </conditionalFormatting>
  <conditionalFormatting sqref="M32:P32">
    <cfRule type="cellIs" dxfId="501" priority="1535" operator="greaterThan">
      <formula>0.03</formula>
    </cfRule>
    <cfRule type="cellIs" dxfId="500" priority="1536" stopIfTrue="1" operator="lessThan">
      <formula>-0.03</formula>
    </cfRule>
  </conditionalFormatting>
  <conditionalFormatting sqref="M27:P30">
    <cfRule type="cellIs" dxfId="499" priority="1533" operator="greaterThan">
      <formula>0.03</formula>
    </cfRule>
    <cfRule type="cellIs" dxfId="498" priority="1534" stopIfTrue="1" operator="lessThan">
      <formula>-0.03</formula>
    </cfRule>
  </conditionalFormatting>
  <conditionalFormatting sqref="M35:P35">
    <cfRule type="cellIs" dxfId="497" priority="1125" operator="greaterThan">
      <formula>0.03</formula>
    </cfRule>
    <cfRule type="cellIs" dxfId="496" priority="1126" stopIfTrue="1" operator="lessThan">
      <formula>-0.03</formula>
    </cfRule>
  </conditionalFormatting>
  <conditionalFormatting sqref="M41:P41">
    <cfRule type="cellIs" dxfId="495" priority="1123" operator="greaterThan">
      <formula>0.03</formula>
    </cfRule>
    <cfRule type="cellIs" dxfId="494" priority="1124" stopIfTrue="1" operator="lessThan">
      <formula>-0.03</formula>
    </cfRule>
  </conditionalFormatting>
  <conditionalFormatting sqref="M36:P39">
    <cfRule type="cellIs" dxfId="493" priority="1121" operator="greaterThan">
      <formula>0.03</formula>
    </cfRule>
    <cfRule type="cellIs" dxfId="492" priority="1122" stopIfTrue="1" operator="lessThan">
      <formula>-0.03</formula>
    </cfRule>
  </conditionalFormatting>
  <conditionalFormatting sqref="C8">
    <cfRule type="cellIs" dxfId="491" priority="399" operator="greaterThan">
      <formula>0.03</formula>
    </cfRule>
    <cfRule type="cellIs" dxfId="490" priority="400" stopIfTrue="1" operator="lessThan">
      <formula>-0.03</formula>
    </cfRule>
  </conditionalFormatting>
  <conditionalFormatting sqref="D8">
    <cfRule type="cellIs" dxfId="489" priority="397" operator="greaterThan">
      <formula>0.03</formula>
    </cfRule>
    <cfRule type="cellIs" dxfId="488" priority="398" stopIfTrue="1" operator="lessThan">
      <formula>-0.03</formula>
    </cfRule>
  </conditionalFormatting>
  <conditionalFormatting sqref="E8">
    <cfRule type="cellIs" dxfId="487" priority="395" operator="greaterThan">
      <formula>0.03</formula>
    </cfRule>
    <cfRule type="cellIs" dxfId="486" priority="396" stopIfTrue="1" operator="lessThan">
      <formula>-0.03</formula>
    </cfRule>
  </conditionalFormatting>
  <conditionalFormatting sqref="F8">
    <cfRule type="cellIs" dxfId="485" priority="393" operator="greaterThan">
      <formula>0.03</formula>
    </cfRule>
    <cfRule type="cellIs" dxfId="484" priority="394" stopIfTrue="1" operator="lessThan">
      <formula>-0.03</formula>
    </cfRule>
  </conditionalFormatting>
  <conditionalFormatting sqref="M8">
    <cfRule type="cellIs" dxfId="483" priority="391" operator="greaterThan">
      <formula>0.03</formula>
    </cfRule>
    <cfRule type="cellIs" dxfId="482" priority="392" stopIfTrue="1" operator="lessThan">
      <formula>-0.03</formula>
    </cfRule>
  </conditionalFormatting>
  <conditionalFormatting sqref="N8">
    <cfRule type="cellIs" dxfId="481" priority="389" operator="greaterThan">
      <formula>0.03</formula>
    </cfRule>
    <cfRule type="cellIs" dxfId="480" priority="390" stopIfTrue="1" operator="lessThan">
      <formula>-0.03</formula>
    </cfRule>
  </conditionalFormatting>
  <conditionalFormatting sqref="O8">
    <cfRule type="cellIs" dxfId="479" priority="387" operator="greaterThan">
      <formula>0.03</formula>
    </cfRule>
    <cfRule type="cellIs" dxfId="478" priority="388" stopIfTrue="1" operator="lessThan">
      <formula>-0.03</formula>
    </cfRule>
  </conditionalFormatting>
  <conditionalFormatting sqref="P8">
    <cfRule type="cellIs" dxfId="477" priority="385" operator="greaterThan">
      <formula>0.03</formula>
    </cfRule>
    <cfRule type="cellIs" dxfId="476" priority="386" stopIfTrue="1" operator="lessThan">
      <formula>-0.03</formula>
    </cfRule>
  </conditionalFormatting>
  <conditionalFormatting sqref="C15">
    <cfRule type="cellIs" dxfId="475" priority="351" operator="greaterThan">
      <formula>0.03</formula>
    </cfRule>
    <cfRule type="cellIs" dxfId="474" priority="352" stopIfTrue="1" operator="lessThan">
      <formula>-0.03</formula>
    </cfRule>
  </conditionalFormatting>
  <conditionalFormatting sqref="D15">
    <cfRule type="cellIs" dxfId="473" priority="349" operator="greaterThan">
      <formula>0.03</formula>
    </cfRule>
    <cfRule type="cellIs" dxfId="472" priority="350" stopIfTrue="1" operator="lessThan">
      <formula>-0.03</formula>
    </cfRule>
  </conditionalFormatting>
  <conditionalFormatting sqref="E15">
    <cfRule type="cellIs" dxfId="471" priority="347" operator="greaterThan">
      <formula>0.03</formula>
    </cfRule>
    <cfRule type="cellIs" dxfId="470" priority="348" stopIfTrue="1" operator="lessThan">
      <formula>-0.03</formula>
    </cfRule>
  </conditionalFormatting>
  <conditionalFormatting sqref="F15">
    <cfRule type="cellIs" dxfId="469" priority="345" operator="greaterThan">
      <formula>0.03</formula>
    </cfRule>
    <cfRule type="cellIs" dxfId="468" priority="346" stopIfTrue="1" operator="lessThan">
      <formula>-0.03</formula>
    </cfRule>
  </conditionalFormatting>
  <conditionalFormatting sqref="M15">
    <cfRule type="cellIs" dxfId="467" priority="343" operator="greaterThan">
      <formula>0.03</formula>
    </cfRule>
    <cfRule type="cellIs" dxfId="466" priority="344" stopIfTrue="1" operator="lessThan">
      <formula>-0.03</formula>
    </cfRule>
  </conditionalFormatting>
  <conditionalFormatting sqref="N15">
    <cfRule type="cellIs" dxfId="465" priority="341" operator="greaterThan">
      <formula>0.03</formula>
    </cfRule>
    <cfRule type="cellIs" dxfId="464" priority="342" stopIfTrue="1" operator="lessThan">
      <formula>-0.03</formula>
    </cfRule>
  </conditionalFormatting>
  <conditionalFormatting sqref="O15">
    <cfRule type="cellIs" dxfId="463" priority="339" operator="greaterThan">
      <formula>0.03</formula>
    </cfRule>
    <cfRule type="cellIs" dxfId="462" priority="340" stopIfTrue="1" operator="lessThan">
      <formula>-0.03</formula>
    </cfRule>
  </conditionalFormatting>
  <conditionalFormatting sqref="P15">
    <cfRule type="cellIs" dxfId="461" priority="337" operator="greaterThan">
      <formula>0.03</formula>
    </cfRule>
    <cfRule type="cellIs" dxfId="460" priority="338" stopIfTrue="1" operator="lessThan">
      <formula>-0.03</formula>
    </cfRule>
  </conditionalFormatting>
  <conditionalFormatting sqref="M24">
    <cfRule type="cellIs" dxfId="459" priority="111" operator="greaterThan">
      <formula>0.03</formula>
    </cfRule>
    <cfRule type="cellIs" dxfId="458" priority="112" stopIfTrue="1" operator="lessThan">
      <formula>-0.03</formula>
    </cfRule>
  </conditionalFormatting>
  <conditionalFormatting sqref="N24">
    <cfRule type="cellIs" dxfId="457" priority="109" operator="greaterThan">
      <formula>0.03</formula>
    </cfRule>
    <cfRule type="cellIs" dxfId="456" priority="110" stopIfTrue="1" operator="lessThan">
      <formula>-0.03</formula>
    </cfRule>
  </conditionalFormatting>
  <conditionalFormatting sqref="O24">
    <cfRule type="cellIs" dxfId="455" priority="107" operator="greaterThan">
      <formula>0.03</formula>
    </cfRule>
    <cfRule type="cellIs" dxfId="454" priority="108" stopIfTrue="1" operator="lessThan">
      <formula>-0.03</formula>
    </cfRule>
  </conditionalFormatting>
  <conditionalFormatting sqref="P24">
    <cfRule type="cellIs" dxfId="453" priority="105" operator="greaterThan">
      <formula>0.03</formula>
    </cfRule>
    <cfRule type="cellIs" dxfId="452" priority="106" stopIfTrue="1" operator="lessThan">
      <formula>-0.03</formula>
    </cfRule>
  </conditionalFormatting>
  <conditionalFormatting sqref="C24">
    <cfRule type="cellIs" dxfId="451" priority="103" operator="greaterThan">
      <formula>0.03</formula>
    </cfRule>
    <cfRule type="cellIs" dxfId="450" priority="104" stopIfTrue="1" operator="lessThan">
      <formula>-0.03</formula>
    </cfRule>
  </conditionalFormatting>
  <conditionalFormatting sqref="D24">
    <cfRule type="cellIs" dxfId="449" priority="101" operator="greaterThan">
      <formula>0.03</formula>
    </cfRule>
    <cfRule type="cellIs" dxfId="448" priority="102" stopIfTrue="1" operator="lessThan">
      <formula>-0.03</formula>
    </cfRule>
  </conditionalFormatting>
  <conditionalFormatting sqref="E24">
    <cfRule type="cellIs" dxfId="447" priority="99" operator="greaterThan">
      <formula>0.03</formula>
    </cfRule>
    <cfRule type="cellIs" dxfId="446" priority="100" stopIfTrue="1" operator="lessThan">
      <formula>-0.03</formula>
    </cfRule>
  </conditionalFormatting>
  <conditionalFormatting sqref="F24">
    <cfRule type="cellIs" dxfId="445" priority="97" operator="greaterThan">
      <formula>0.03</formula>
    </cfRule>
    <cfRule type="cellIs" dxfId="444" priority="98" stopIfTrue="1" operator="lessThan">
      <formula>-0.03</formula>
    </cfRule>
  </conditionalFormatting>
  <conditionalFormatting sqref="M31">
    <cfRule type="cellIs" dxfId="443" priority="63" operator="greaterThan">
      <formula>0.03</formula>
    </cfRule>
    <cfRule type="cellIs" dxfId="442" priority="64" stopIfTrue="1" operator="lessThan">
      <formula>-0.03</formula>
    </cfRule>
  </conditionalFormatting>
  <conditionalFormatting sqref="N31">
    <cfRule type="cellIs" dxfId="441" priority="61" operator="greaterThan">
      <formula>0.03</formula>
    </cfRule>
    <cfRule type="cellIs" dxfId="440" priority="62" stopIfTrue="1" operator="lessThan">
      <formula>-0.03</formula>
    </cfRule>
  </conditionalFormatting>
  <conditionalFormatting sqref="O31">
    <cfRule type="cellIs" dxfId="439" priority="59" operator="greaterThan">
      <formula>0.03</formula>
    </cfRule>
    <cfRule type="cellIs" dxfId="438" priority="60" stopIfTrue="1" operator="lessThan">
      <formula>-0.03</formula>
    </cfRule>
  </conditionalFormatting>
  <conditionalFormatting sqref="P31">
    <cfRule type="cellIs" dxfId="437" priority="57" operator="greaterThan">
      <formula>0.03</formula>
    </cfRule>
    <cfRule type="cellIs" dxfId="436" priority="58" stopIfTrue="1" operator="lessThan">
      <formula>-0.03</formula>
    </cfRule>
  </conditionalFormatting>
  <conditionalFormatting sqref="C31">
    <cfRule type="cellIs" dxfId="435" priority="55" operator="greaterThan">
      <formula>0.03</formula>
    </cfRule>
    <cfRule type="cellIs" dxfId="434" priority="56" stopIfTrue="1" operator="lessThan">
      <formula>-0.03</formula>
    </cfRule>
  </conditionalFormatting>
  <conditionalFormatting sqref="D31">
    <cfRule type="cellIs" dxfId="433" priority="53" operator="greaterThan">
      <formula>0.03</formula>
    </cfRule>
    <cfRule type="cellIs" dxfId="432" priority="54" stopIfTrue="1" operator="lessThan">
      <formula>-0.03</formula>
    </cfRule>
  </conditionalFormatting>
  <conditionalFormatting sqref="E31">
    <cfRule type="cellIs" dxfId="431" priority="51" operator="greaterThan">
      <formula>0.03</formula>
    </cfRule>
    <cfRule type="cellIs" dxfId="430" priority="52" stopIfTrue="1" operator="lessThan">
      <formula>-0.03</formula>
    </cfRule>
  </conditionalFormatting>
  <conditionalFormatting sqref="F31">
    <cfRule type="cellIs" dxfId="429" priority="49" operator="greaterThan">
      <formula>0.03</formula>
    </cfRule>
    <cfRule type="cellIs" dxfId="428" priority="50" stopIfTrue="1" operator="lessThan">
      <formula>-0.03</formula>
    </cfRule>
  </conditionalFormatting>
  <conditionalFormatting sqref="M40">
    <cfRule type="cellIs" dxfId="427" priority="15" operator="greaterThan">
      <formula>0.03</formula>
    </cfRule>
    <cfRule type="cellIs" dxfId="426" priority="16" stopIfTrue="1" operator="lessThan">
      <formula>-0.03</formula>
    </cfRule>
  </conditionalFormatting>
  <conditionalFormatting sqref="N40">
    <cfRule type="cellIs" dxfId="425" priority="13" operator="greaterThan">
      <formula>0.03</formula>
    </cfRule>
    <cfRule type="cellIs" dxfId="424" priority="14" stopIfTrue="1" operator="lessThan">
      <formula>-0.03</formula>
    </cfRule>
  </conditionalFormatting>
  <conditionalFormatting sqref="O40">
    <cfRule type="cellIs" dxfId="423" priority="11" operator="greaterThan">
      <formula>0.03</formula>
    </cfRule>
    <cfRule type="cellIs" dxfId="422" priority="12" stopIfTrue="1" operator="lessThan">
      <formula>-0.03</formula>
    </cfRule>
  </conditionalFormatting>
  <conditionalFormatting sqref="P40">
    <cfRule type="cellIs" dxfId="421" priority="9" operator="greaterThan">
      <formula>0.03</formula>
    </cfRule>
    <cfRule type="cellIs" dxfId="420" priority="10" stopIfTrue="1" operator="lessThan">
      <formula>-0.03</formula>
    </cfRule>
  </conditionalFormatting>
  <conditionalFormatting sqref="C40">
    <cfRule type="cellIs" dxfId="419" priority="7" operator="greaterThan">
      <formula>0.03</formula>
    </cfRule>
    <cfRule type="cellIs" dxfId="418" priority="8" stopIfTrue="1" operator="lessThan">
      <formula>-0.03</formula>
    </cfRule>
  </conditionalFormatting>
  <conditionalFormatting sqref="D40">
    <cfRule type="cellIs" dxfId="417" priority="5" operator="greaterThan">
      <formula>0.03</formula>
    </cfRule>
    <cfRule type="cellIs" dxfId="416" priority="6" stopIfTrue="1" operator="lessThan">
      <formula>-0.03</formula>
    </cfRule>
  </conditionalFormatting>
  <conditionalFormatting sqref="E40">
    <cfRule type="cellIs" dxfId="415" priority="3" operator="greaterThan">
      <formula>0.03</formula>
    </cfRule>
    <cfRule type="cellIs" dxfId="414" priority="4" stopIfTrue="1" operator="lessThan">
      <formula>-0.03</formula>
    </cfRule>
  </conditionalFormatting>
  <conditionalFormatting sqref="F40">
    <cfRule type="cellIs" dxfId="413" priority="1" operator="greaterThan">
      <formula>0.03</formula>
    </cfRule>
    <cfRule type="cellIs" dxfId="412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101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65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16.21</v>
      </c>
      <c r="H9" s="16">
        <f t="shared" ref="H9:H80" si="0">(6*D9+E9+F9)/8</f>
        <v>37.948250000000002</v>
      </c>
      <c r="I9" s="5"/>
      <c r="J9" s="15">
        <v>4012.6032</v>
      </c>
      <c r="K9" s="16">
        <v>37.915100000000002</v>
      </c>
      <c r="L9" s="16">
        <v>39.460799999999999</v>
      </c>
      <c r="M9" s="16">
        <v>41.940899999999999</v>
      </c>
      <c r="N9" s="16">
        <v>16.268999999999998</v>
      </c>
      <c r="O9" s="16">
        <f t="shared" ref="O9:O80" si="1">(6*K9+L9+M9)/8</f>
        <v>38.611537500000004</v>
      </c>
      <c r="P9" s="7"/>
      <c r="Q9" s="8">
        <f>bdrate(C9:C12,D9:D12,J9:J12,K9:K12)</f>
        <v>-0.46730532977225658</v>
      </c>
      <c r="R9" s="8">
        <f>bdrate(C9:C12,E9:E12,J9:J12,L9:L12)</f>
        <v>-0.51626160290589629</v>
      </c>
      <c r="S9" s="8">
        <f>bdrate(C9:C12,F9:F12,J9:J12,M9:M12)</f>
        <v>-0.52121649736706999</v>
      </c>
      <c r="T9" s="25">
        <f>bdrate(C9:C12,H9:H12,J9:J12,O9:O12)</f>
        <v>-0.474401063659874</v>
      </c>
      <c r="U9" s="28">
        <f t="shared" ref="U9:U40" si="2">(N9-G9)/G9</f>
        <v>3.639728562615515E-3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17.420000000000002</v>
      </c>
      <c r="H10" s="18">
        <f t="shared" si="0"/>
        <v>37.02375</v>
      </c>
      <c r="I10" s="5"/>
      <c r="J10" s="17">
        <v>2912.6016</v>
      </c>
      <c r="K10" s="18">
        <v>36.925400000000003</v>
      </c>
      <c r="L10" s="18">
        <v>38.8887</v>
      </c>
      <c r="M10" s="18">
        <v>41.231699999999996</v>
      </c>
      <c r="N10" s="18">
        <v>18.742999999999999</v>
      </c>
      <c r="O10" s="18">
        <f t="shared" si="1"/>
        <v>37.709099999999999</v>
      </c>
      <c r="P10" s="7"/>
      <c r="Q10" s="10"/>
      <c r="R10" s="11"/>
      <c r="S10" s="11"/>
      <c r="T10" s="26"/>
      <c r="U10" s="28">
        <f t="shared" si="2"/>
        <v>7.5947187141216801E-2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18.489999999999998</v>
      </c>
      <c r="H11" s="18">
        <f t="shared" si="0"/>
        <v>35.571874999999999</v>
      </c>
      <c r="I11" s="5"/>
      <c r="J11" s="17">
        <v>1935.6592000000001</v>
      </c>
      <c r="K11" s="18">
        <v>35.401400000000002</v>
      </c>
      <c r="L11" s="18">
        <v>38.237499999999997</v>
      </c>
      <c r="M11" s="18">
        <v>40.530700000000003</v>
      </c>
      <c r="N11" s="18">
        <v>21.904199999999999</v>
      </c>
      <c r="O11" s="18">
        <f t="shared" si="1"/>
        <v>36.397075000000008</v>
      </c>
      <c r="P11" s="7"/>
      <c r="Q11" s="10"/>
      <c r="R11" s="11"/>
      <c r="S11" s="11"/>
      <c r="T11" s="26"/>
      <c r="U11" s="28">
        <f t="shared" si="2"/>
        <v>0.18465116279069774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20.29</v>
      </c>
      <c r="H12" s="20">
        <f t="shared" si="0"/>
        <v>32.727499999999999</v>
      </c>
      <c r="I12" s="5"/>
      <c r="J12" s="19">
        <v>927.78240000000005</v>
      </c>
      <c r="K12" s="20">
        <v>32.524500000000003</v>
      </c>
      <c r="L12" s="20">
        <v>36.9497</v>
      </c>
      <c r="M12" s="20">
        <v>39.166499999999999</v>
      </c>
      <c r="N12" s="20">
        <v>28.8795</v>
      </c>
      <c r="O12" s="20">
        <f t="shared" si="1"/>
        <v>33.907900000000005</v>
      </c>
      <c r="P12" s="7"/>
      <c r="Q12" s="13"/>
      <c r="R12" s="14"/>
      <c r="S12" s="14"/>
      <c r="T12" s="27"/>
      <c r="U12" s="28">
        <f t="shared" si="2"/>
        <v>0.42333661902414987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14.35</v>
      </c>
      <c r="H13" s="16">
        <f t="shared" si="0"/>
        <v>31.982875</v>
      </c>
      <c r="I13" s="5"/>
      <c r="J13" s="15">
        <v>4050.1311999999998</v>
      </c>
      <c r="K13" s="16">
        <v>29.506900000000002</v>
      </c>
      <c r="L13" s="16">
        <v>39.366100000000003</v>
      </c>
      <c r="M13" s="16">
        <v>40.256</v>
      </c>
      <c r="N13" s="16">
        <v>11.812900000000001</v>
      </c>
      <c r="O13" s="16">
        <f t="shared" si="1"/>
        <v>32.0829375</v>
      </c>
      <c r="P13" s="7"/>
      <c r="Q13" s="8">
        <f>bdrate(C13:C16,D13:D16,J13:J16,K13:K16)</f>
        <v>-0.43155211251070902</v>
      </c>
      <c r="R13" s="8">
        <f>bdrate(C13:C16,E13:E16,J13:J16,L13:L16)</f>
        <v>-0.38733441494861898</v>
      </c>
      <c r="S13" s="8">
        <f>bdrate(C13:C16,F13:F16,J13:J16,M13:M16)</f>
        <v>-0.44941158808459158</v>
      </c>
      <c r="T13" s="25">
        <f>bdrate(C13:C16,H13:H16,J13:J16,O13:O16)</f>
        <v>-0.43097631571302764</v>
      </c>
      <c r="U13" s="28">
        <f t="shared" si="2"/>
        <v>-0.17680139372822293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15.84</v>
      </c>
      <c r="H14" s="18">
        <f t="shared" si="0"/>
        <v>30.677</v>
      </c>
      <c r="I14" s="5"/>
      <c r="J14" s="17">
        <v>3030.96</v>
      </c>
      <c r="K14" s="18">
        <v>28.186900000000001</v>
      </c>
      <c r="L14" s="18">
        <v>38.863</v>
      </c>
      <c r="M14" s="18">
        <v>39.857300000000002</v>
      </c>
      <c r="N14" s="18">
        <v>13.8748</v>
      </c>
      <c r="O14" s="18">
        <f t="shared" si="1"/>
        <v>30.9802125</v>
      </c>
      <c r="P14" s="7"/>
      <c r="Q14" s="10"/>
      <c r="R14" s="11"/>
      <c r="S14" s="11"/>
      <c r="T14" s="26"/>
      <c r="U14" s="28">
        <f t="shared" si="2"/>
        <v>-0.12406565656565653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17.77</v>
      </c>
      <c r="H15" s="18">
        <f t="shared" si="0"/>
        <v>28.899000000000001</v>
      </c>
      <c r="I15" s="5"/>
      <c r="J15" s="17">
        <v>2021.2896000000001</v>
      </c>
      <c r="K15" s="18">
        <v>26.4132</v>
      </c>
      <c r="L15" s="18">
        <v>38.162199999999999</v>
      </c>
      <c r="M15" s="18">
        <v>39.262099999999997</v>
      </c>
      <c r="N15" s="18">
        <v>17.324999999999999</v>
      </c>
      <c r="O15" s="18">
        <f t="shared" si="1"/>
        <v>29.487937499999997</v>
      </c>
      <c r="P15" s="7"/>
      <c r="Q15" s="10"/>
      <c r="R15" s="11"/>
      <c r="S15" s="11"/>
      <c r="T15" s="26"/>
      <c r="U15" s="28">
        <f t="shared" si="2"/>
        <v>-2.504220596510975E-2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19.829999999999998</v>
      </c>
      <c r="H16" s="20">
        <f t="shared" si="0"/>
        <v>26.163875000000001</v>
      </c>
      <c r="I16" s="5"/>
      <c r="J16" s="19">
        <v>1109.8240000000001</v>
      </c>
      <c r="K16" s="20">
        <v>24.218800000000002</v>
      </c>
      <c r="L16" s="20">
        <v>36.656300000000002</v>
      </c>
      <c r="M16" s="20">
        <v>37.8996</v>
      </c>
      <c r="N16" s="20">
        <v>22.730699999999999</v>
      </c>
      <c r="O16" s="20">
        <f t="shared" si="1"/>
        <v>27.483587500000002</v>
      </c>
      <c r="P16" s="7"/>
      <c r="Q16" s="13"/>
      <c r="R16" s="14"/>
      <c r="S16" s="14"/>
      <c r="T16" s="27"/>
      <c r="U16" s="28">
        <f t="shared" si="2"/>
        <v>0.14627836611195164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26.8</v>
      </c>
      <c r="H17" s="16">
        <f t="shared" si="0"/>
        <v>39.113</v>
      </c>
      <c r="I17" s="5"/>
      <c r="J17" s="15">
        <v>2389.4335999999998</v>
      </c>
      <c r="K17" s="16">
        <v>39.072699999999998</v>
      </c>
      <c r="L17" s="16">
        <v>41.874499999999998</v>
      </c>
      <c r="M17" s="16">
        <v>43.2027</v>
      </c>
      <c r="N17" s="16">
        <v>31.140499999999999</v>
      </c>
      <c r="O17" s="16">
        <f t="shared" si="1"/>
        <v>39.939174999999999</v>
      </c>
      <c r="P17" s="7"/>
      <c r="Q17" s="8">
        <f>bdrate(C17:C20,D17:D20,J17:J20,K17:K20)</f>
        <v>-0.47994069617518254</v>
      </c>
      <c r="R17" s="8">
        <f>bdrate(C17:C20,E17:E20,J17:J20,L17:L20)</f>
        <v>-0.38882517969701491</v>
      </c>
      <c r="S17" s="8">
        <f>bdrate(C17:C20,F17:F20,J17:J20,M17:M20)</f>
        <v>-0.48888918876448917</v>
      </c>
      <c r="T17" s="25">
        <f>bdrate(C17:C20,H17:H20,J17:J20,O17:O20)</f>
        <v>-0.47499919914873778</v>
      </c>
      <c r="U17" s="28">
        <f t="shared" si="2"/>
        <v>0.16195895522388054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29.87</v>
      </c>
      <c r="H18" s="18">
        <f t="shared" si="0"/>
        <v>37.767749999999999</v>
      </c>
      <c r="I18" s="5"/>
      <c r="J18" s="17">
        <v>1563.3832</v>
      </c>
      <c r="K18" s="18">
        <v>37.8095</v>
      </c>
      <c r="L18" s="18">
        <v>41.179900000000004</v>
      </c>
      <c r="M18" s="18">
        <v>42.403300000000002</v>
      </c>
      <c r="N18" s="18">
        <v>35.692999999999998</v>
      </c>
      <c r="O18" s="18">
        <f t="shared" si="1"/>
        <v>38.805025000000001</v>
      </c>
      <c r="P18" s="7"/>
      <c r="Q18" s="10"/>
      <c r="R18" s="11"/>
      <c r="S18" s="11"/>
      <c r="T18" s="26"/>
      <c r="U18" s="28">
        <f t="shared" si="2"/>
        <v>0.19494476062939392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33.15</v>
      </c>
      <c r="H19" s="18">
        <f t="shared" si="0"/>
        <v>36.129374999999996</v>
      </c>
      <c r="I19" s="5"/>
      <c r="J19" s="17">
        <v>947.77120000000002</v>
      </c>
      <c r="K19" s="18">
        <v>36.212200000000003</v>
      </c>
      <c r="L19" s="18">
        <v>40.392299999999999</v>
      </c>
      <c r="M19" s="18">
        <v>41.573599999999999</v>
      </c>
      <c r="N19" s="18">
        <v>42.031500000000001</v>
      </c>
      <c r="O19" s="18">
        <f t="shared" si="1"/>
        <v>37.404887500000001</v>
      </c>
      <c r="P19" s="7"/>
      <c r="Q19" s="10"/>
      <c r="R19" s="11"/>
      <c r="S19" s="11"/>
      <c r="T19" s="26"/>
      <c r="U19" s="28">
        <f t="shared" si="2"/>
        <v>0.26791855203619919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36.630000000000003</v>
      </c>
      <c r="H20" s="20">
        <f t="shared" si="0"/>
        <v>34.179249999999996</v>
      </c>
      <c r="I20" s="5"/>
      <c r="J20" s="19">
        <v>550.18560000000002</v>
      </c>
      <c r="K20" s="20">
        <v>34.4116</v>
      </c>
      <c r="L20" s="20">
        <v>39.671199999999999</v>
      </c>
      <c r="M20" s="20">
        <v>40.892699999999998</v>
      </c>
      <c r="N20" s="20">
        <v>51.107300000000002</v>
      </c>
      <c r="O20" s="20">
        <f t="shared" si="1"/>
        <v>35.8791875</v>
      </c>
      <c r="P20" s="7"/>
      <c r="Q20" s="13"/>
      <c r="R20" s="14"/>
      <c r="S20" s="14"/>
      <c r="T20" s="27"/>
      <c r="U20" s="28">
        <f t="shared" si="2"/>
        <v>0.39523068523068522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30.83</v>
      </c>
      <c r="H21" s="16">
        <f t="shared" si="0"/>
        <v>36.490875000000003</v>
      </c>
      <c r="I21" s="5"/>
      <c r="J21" s="15">
        <v>2476.3144000000002</v>
      </c>
      <c r="K21" s="16">
        <v>36.0321</v>
      </c>
      <c r="L21" s="16">
        <v>39.944699999999997</v>
      </c>
      <c r="M21" s="16">
        <v>41.149900000000002</v>
      </c>
      <c r="N21" s="16">
        <v>27.972000000000001</v>
      </c>
      <c r="O21" s="16">
        <f t="shared" si="1"/>
        <v>37.160899999999998</v>
      </c>
      <c r="P21" s="7"/>
      <c r="Q21" s="8">
        <f>bdrate(C21:C24,D21:D24,J21:J24,K21:K24)</f>
        <v>-0.46546887294196893</v>
      </c>
      <c r="R21" s="8">
        <f>bdrate(C21:C24,E21:E24,J21:J24,L21:L24)</f>
        <v>-0.59218193153826193</v>
      </c>
      <c r="S21" s="8">
        <f>bdrate(C21:C24,F21:F24,J21:J24,M21:M24)</f>
        <v>-0.59158730719369723</v>
      </c>
      <c r="T21" s="25">
        <f>bdrate(C21:C24,H21:H24,J21:J24,O21:O24)</f>
        <v>-0.48652129103797359</v>
      </c>
      <c r="U21" s="28">
        <f t="shared" si="2"/>
        <v>-9.270191372040211E-2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33.67</v>
      </c>
      <c r="H22" s="18">
        <f t="shared" si="0"/>
        <v>35.146250000000002</v>
      </c>
      <c r="I22" s="5"/>
      <c r="J22" s="17">
        <v>1660.8943999999999</v>
      </c>
      <c r="K22" s="18">
        <v>34.760800000000003</v>
      </c>
      <c r="L22" s="18">
        <v>39.165599999999998</v>
      </c>
      <c r="M22" s="18">
        <v>40.376300000000001</v>
      </c>
      <c r="N22" s="18">
        <v>33.8123</v>
      </c>
      <c r="O22" s="18">
        <f t="shared" si="1"/>
        <v>36.013337500000006</v>
      </c>
      <c r="P22" s="7"/>
      <c r="Q22" s="10"/>
      <c r="R22" s="11"/>
      <c r="S22" s="11"/>
      <c r="T22" s="26"/>
      <c r="U22" s="28">
        <f t="shared" si="2"/>
        <v>4.2263142263141897E-3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36.979999999999997</v>
      </c>
      <c r="H23" s="18">
        <f t="shared" si="0"/>
        <v>33.599375000000002</v>
      </c>
      <c r="I23" s="5"/>
      <c r="J23" s="17">
        <v>1009.6848</v>
      </c>
      <c r="K23" s="18">
        <v>33.26</v>
      </c>
      <c r="L23" s="18">
        <v>38.232599999999998</v>
      </c>
      <c r="M23" s="18">
        <v>39.522399999999998</v>
      </c>
      <c r="N23" s="18">
        <v>41.357900000000001</v>
      </c>
      <c r="O23" s="18">
        <f t="shared" si="1"/>
        <v>34.664375</v>
      </c>
      <c r="P23" s="7"/>
      <c r="Q23" s="10"/>
      <c r="R23" s="11"/>
      <c r="S23" s="11"/>
      <c r="T23" s="26"/>
      <c r="U23" s="28">
        <f t="shared" si="2"/>
        <v>0.11838561384532191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40.49</v>
      </c>
      <c r="H24" s="20">
        <f t="shared" si="0"/>
        <v>31.945124999999997</v>
      </c>
      <c r="I24" s="5"/>
      <c r="J24" s="19">
        <v>584.11120000000005</v>
      </c>
      <c r="K24" s="20">
        <v>31.619499999999999</v>
      </c>
      <c r="L24" s="20">
        <v>37.319400000000002</v>
      </c>
      <c r="M24" s="20">
        <v>38.805900000000001</v>
      </c>
      <c r="N24" s="20">
        <v>49.782200000000003</v>
      </c>
      <c r="O24" s="20">
        <f t="shared" si="1"/>
        <v>33.230287499999996</v>
      </c>
      <c r="P24" s="7"/>
      <c r="Q24" s="13"/>
      <c r="R24" s="14"/>
      <c r="S24" s="14"/>
      <c r="T24" s="27"/>
      <c r="U24" s="28">
        <f t="shared" si="2"/>
        <v>0.2294937021486787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34.76</v>
      </c>
      <c r="H25" s="16">
        <f t="shared" si="0"/>
        <v>34.71275</v>
      </c>
      <c r="I25" s="5"/>
      <c r="J25" s="15">
        <v>2411.2624000000001</v>
      </c>
      <c r="K25" s="16">
        <v>34.128799999999998</v>
      </c>
      <c r="L25" s="16">
        <v>38.107599999999998</v>
      </c>
      <c r="M25" s="16">
        <v>40.113900000000001</v>
      </c>
      <c r="N25" s="16">
        <v>39.422800000000002</v>
      </c>
      <c r="O25" s="16">
        <f t="shared" si="1"/>
        <v>35.374287499999994</v>
      </c>
      <c r="P25" s="7"/>
      <c r="Q25" s="8">
        <f>bdrate(C25:C28,D25:D28,J25:J28,K25:K28)</f>
        <v>-0.51034442465261987</v>
      </c>
      <c r="R25" s="8">
        <f>bdrate(C25:C28,E25:E28,J25:J28,L25:L28)</f>
        <v>-0.57578677545943913</v>
      </c>
      <c r="S25" s="8">
        <f>bdrate(C25:C28,F25:F28,J25:J28,M25:M28)</f>
        <v>-0.61852363866307281</v>
      </c>
      <c r="T25" s="25">
        <f>bdrate(C25:C28,H25:H28,J25:J28,O25:O28)</f>
        <v>-0.5240339686349087</v>
      </c>
      <c r="U25" s="28">
        <f t="shared" si="2"/>
        <v>0.13414269275028781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37.44</v>
      </c>
      <c r="H26" s="18">
        <f t="shared" si="0"/>
        <v>33.395375000000001</v>
      </c>
      <c r="I26" s="5"/>
      <c r="J26" s="17">
        <v>1605.788</v>
      </c>
      <c r="K26" s="18">
        <v>32.928899999999999</v>
      </c>
      <c r="L26" s="18">
        <v>37.685200000000002</v>
      </c>
      <c r="M26" s="18">
        <v>39.323500000000003</v>
      </c>
      <c r="N26" s="18">
        <v>47.276899999999998</v>
      </c>
      <c r="O26" s="18">
        <f t="shared" si="1"/>
        <v>34.322762500000003</v>
      </c>
      <c r="P26" s="7"/>
      <c r="Q26" s="10"/>
      <c r="R26" s="11"/>
      <c r="S26" s="11"/>
      <c r="T26" s="26"/>
      <c r="U26" s="28">
        <f t="shared" si="2"/>
        <v>0.2627377136752137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40.47</v>
      </c>
      <c r="H27" s="18">
        <f t="shared" si="0"/>
        <v>31.719874999999998</v>
      </c>
      <c r="I27" s="5"/>
      <c r="J27" s="17">
        <v>995.88080000000002</v>
      </c>
      <c r="K27" s="18">
        <v>31.369499999999999</v>
      </c>
      <c r="L27" s="18">
        <v>37.116700000000002</v>
      </c>
      <c r="M27" s="18">
        <v>38.333100000000002</v>
      </c>
      <c r="N27" s="18">
        <v>56.331699999999998</v>
      </c>
      <c r="O27" s="18">
        <f t="shared" si="1"/>
        <v>32.958349999999996</v>
      </c>
      <c r="P27" s="7"/>
      <c r="Q27" s="10"/>
      <c r="R27" s="11"/>
      <c r="S27" s="11"/>
      <c r="T27" s="26"/>
      <c r="U27" s="28">
        <f t="shared" si="2"/>
        <v>0.39193723745984677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43.49</v>
      </c>
      <c r="H28" s="20">
        <f t="shared" si="0"/>
        <v>29.742374999999999</v>
      </c>
      <c r="I28" s="5"/>
      <c r="J28" s="19">
        <v>585.45119999999997</v>
      </c>
      <c r="K28" s="20">
        <v>29.617000000000001</v>
      </c>
      <c r="L28" s="20">
        <v>36.475499999999997</v>
      </c>
      <c r="M28" s="20">
        <v>37.282800000000002</v>
      </c>
      <c r="N28" s="20">
        <v>68.055000000000007</v>
      </c>
      <c r="O28" s="20">
        <f t="shared" si="1"/>
        <v>31.432537500000002</v>
      </c>
      <c r="P28" s="7"/>
      <c r="Q28" s="13"/>
      <c r="R28" s="14"/>
      <c r="S28" s="14"/>
      <c r="T28" s="27"/>
      <c r="U28" s="28">
        <f t="shared" si="2"/>
        <v>0.56484249252701779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32.020000000000003</v>
      </c>
      <c r="H29" s="16">
        <f t="shared" si="0"/>
        <v>34.315874999999998</v>
      </c>
      <c r="I29" s="5"/>
      <c r="J29" s="29">
        <v>2410.8184000000001</v>
      </c>
      <c r="K29" s="30">
        <v>34.044800000000002</v>
      </c>
      <c r="L29" s="30">
        <v>40.281799999999997</v>
      </c>
      <c r="M29" s="30">
        <v>39.887900000000002</v>
      </c>
      <c r="N29" s="16">
        <v>34.8748</v>
      </c>
      <c r="O29" s="16">
        <f t="shared" si="1"/>
        <v>35.554812499999997</v>
      </c>
      <c r="P29" s="7"/>
      <c r="Q29" s="8">
        <f>bdrate(C29:C32,D29:D32,J29:J32,K29:K32)</f>
        <v>-0.60690993924042602</v>
      </c>
      <c r="R29" s="8">
        <f>bdrate(C29:C32,E29:E32,J29:J32,L29:L32)</f>
        <v>-0.5992652676985275</v>
      </c>
      <c r="S29" s="8">
        <f>bdrate(C29:C32,F29:F32,J29:J32,M29:M32)</f>
        <v>-0.52762771820475418</v>
      </c>
      <c r="T29" s="25">
        <f>bdrate(C29:C32,H29:H32,J29:J32,O29:O32)</f>
        <v>-0.60384902729046486</v>
      </c>
      <c r="U29" s="28">
        <f t="shared" si="2"/>
        <v>8.9156777014365932E-2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34.880000000000003</v>
      </c>
      <c r="H30" s="18">
        <f t="shared" si="0"/>
        <v>32.574125000000002</v>
      </c>
      <c r="I30" s="5"/>
      <c r="J30" s="31">
        <v>1604.4752000000001</v>
      </c>
      <c r="K30" s="32">
        <v>32.678400000000003</v>
      </c>
      <c r="L30" s="32">
        <v>39.560400000000001</v>
      </c>
      <c r="M30" s="32">
        <v>38.96</v>
      </c>
      <c r="N30" s="18">
        <v>41.569699999999997</v>
      </c>
      <c r="O30" s="18">
        <f t="shared" si="1"/>
        <v>34.32385</v>
      </c>
      <c r="P30" s="7"/>
      <c r="Q30" s="10"/>
      <c r="R30" s="11"/>
      <c r="S30" s="11"/>
      <c r="T30" s="26"/>
      <c r="U30" s="28">
        <f t="shared" si="2"/>
        <v>0.19179185779816499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37.97</v>
      </c>
      <c r="H31" s="18">
        <f t="shared" si="0"/>
        <v>30.105875000000001</v>
      </c>
      <c r="I31" s="5"/>
      <c r="J31" s="31">
        <v>997.6816</v>
      </c>
      <c r="K31" s="32">
        <v>30.946899999999999</v>
      </c>
      <c r="L31" s="32">
        <v>38.558100000000003</v>
      </c>
      <c r="M31" s="32">
        <v>37.721400000000003</v>
      </c>
      <c r="N31" s="18">
        <v>50.317</v>
      </c>
      <c r="O31" s="18">
        <f t="shared" si="1"/>
        <v>32.745112499999998</v>
      </c>
      <c r="P31" s="7"/>
      <c r="Q31" s="10"/>
      <c r="R31" s="11"/>
      <c r="S31" s="11"/>
      <c r="T31" s="26"/>
      <c r="U31" s="28">
        <f t="shared" si="2"/>
        <v>0.32517777192520414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41.04</v>
      </c>
      <c r="H32" s="20">
        <f t="shared" si="0"/>
        <v>26.78275</v>
      </c>
      <c r="I32" s="5"/>
      <c r="J32" s="33">
        <v>591.49519999999995</v>
      </c>
      <c r="K32" s="34">
        <v>29.09</v>
      </c>
      <c r="L32" s="34">
        <v>37.079000000000001</v>
      </c>
      <c r="M32" s="34">
        <v>36.096200000000003</v>
      </c>
      <c r="N32" s="20">
        <v>61.0501</v>
      </c>
      <c r="O32" s="20">
        <f t="shared" si="1"/>
        <v>30.964400000000001</v>
      </c>
      <c r="P32" s="7"/>
      <c r="Q32" s="13"/>
      <c r="R32" s="14"/>
      <c r="S32" s="14"/>
      <c r="T32" s="27"/>
      <c r="U32" s="28">
        <f t="shared" si="2"/>
        <v>0.48757553606237819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37.630000000000003</v>
      </c>
      <c r="H33" s="16">
        <f t="shared" si="0"/>
        <v>33.835749999999997</v>
      </c>
      <c r="I33" s="5"/>
      <c r="J33" s="15">
        <v>2425.7280000000001</v>
      </c>
      <c r="K33" s="16">
        <v>33.607799999999997</v>
      </c>
      <c r="L33" s="16">
        <v>39.759599999999999</v>
      </c>
      <c r="M33" s="16">
        <v>42.205599999999997</v>
      </c>
      <c r="N33" s="16">
        <v>44.4148</v>
      </c>
      <c r="O33" s="16">
        <f t="shared" si="1"/>
        <v>35.451499999999996</v>
      </c>
      <c r="P33" s="7"/>
      <c r="Q33" s="8">
        <f>bdrate(C33:C36,D33:D36,J33:J36,K33:K36)</f>
        <v>-0.72211225708611626</v>
      </c>
      <c r="R33" s="8">
        <f>bdrate(C33:C36,E33:E36,J33:J36,L33:L36)</f>
        <v>-0.76728555581091107</v>
      </c>
      <c r="S33" s="8">
        <f>bdrate(C33:C36,F33:F36,J33:J36,M33:M36)</f>
        <v>-0.77543900599768911</v>
      </c>
      <c r="T33" s="25">
        <f>bdrate(C33:C36,H33:H36,J33:J36,O33:O36)</f>
        <v>-0.72757849531491137</v>
      </c>
      <c r="U33" s="28">
        <f t="shared" si="2"/>
        <v>0.18030294977411632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40.44</v>
      </c>
      <c r="H34" s="18">
        <f t="shared" si="0"/>
        <v>32.790750000000003</v>
      </c>
      <c r="I34" s="5"/>
      <c r="J34" s="17">
        <v>1604.4552000000001</v>
      </c>
      <c r="K34" s="18">
        <v>32.898899999999998</v>
      </c>
      <c r="L34" s="18">
        <v>39.290399999999998</v>
      </c>
      <c r="M34" s="18">
        <v>41.760100000000001</v>
      </c>
      <c r="N34" s="18">
        <v>50.877600000000001</v>
      </c>
      <c r="O34" s="18">
        <f t="shared" si="1"/>
        <v>34.805487499999998</v>
      </c>
      <c r="P34" s="7"/>
      <c r="Q34" s="10"/>
      <c r="R34" s="11"/>
      <c r="S34" s="11"/>
      <c r="T34" s="26"/>
      <c r="U34" s="28">
        <f t="shared" si="2"/>
        <v>0.25810089020771521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42.78</v>
      </c>
      <c r="H35" s="18">
        <f t="shared" si="0"/>
        <v>31.268875000000001</v>
      </c>
      <c r="I35" s="5"/>
      <c r="J35" s="17">
        <v>1020.4952</v>
      </c>
      <c r="K35" s="18">
        <v>31.8523</v>
      </c>
      <c r="L35" s="18">
        <v>38.635800000000003</v>
      </c>
      <c r="M35" s="18">
        <v>41.148899999999998</v>
      </c>
      <c r="N35" s="18">
        <v>59.171599999999998</v>
      </c>
      <c r="O35" s="18">
        <f t="shared" si="1"/>
        <v>33.862312500000002</v>
      </c>
      <c r="P35" s="7"/>
      <c r="Q35" s="10"/>
      <c r="R35" s="11"/>
      <c r="S35" s="11"/>
      <c r="T35" s="26"/>
      <c r="U35" s="28">
        <f t="shared" si="2"/>
        <v>0.38316035530621778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44.83</v>
      </c>
      <c r="H36" s="20">
        <f t="shared" si="0"/>
        <v>29.243374999999997</v>
      </c>
      <c r="I36" s="5"/>
      <c r="J36" s="19">
        <v>599.58079999999995</v>
      </c>
      <c r="K36" s="20">
        <v>30.438800000000001</v>
      </c>
      <c r="L36" s="20">
        <v>38.083399999999997</v>
      </c>
      <c r="M36" s="20">
        <v>40.627600000000001</v>
      </c>
      <c r="N36" s="20">
        <v>67.121600000000001</v>
      </c>
      <c r="O36" s="20">
        <f t="shared" si="1"/>
        <v>32.667974999999998</v>
      </c>
      <c r="P36" s="7"/>
      <c r="Q36" s="13"/>
      <c r="R36" s="14"/>
      <c r="S36" s="14"/>
      <c r="T36" s="27"/>
      <c r="U36" s="28">
        <f t="shared" si="2"/>
        <v>0.49724737898728538</v>
      </c>
    </row>
    <row r="37" spans="1:21" x14ac:dyDescent="0.25">
      <c r="A37" s="6" t="s">
        <v>39</v>
      </c>
      <c r="B37" s="6" t="s">
        <v>53</v>
      </c>
      <c r="C37" s="15">
        <v>1555.88</v>
      </c>
      <c r="D37" s="16">
        <v>33.933999999999997</v>
      </c>
      <c r="E37" s="16">
        <v>37.317</v>
      </c>
      <c r="F37" s="16">
        <v>37.167999999999999</v>
      </c>
      <c r="G37" s="16">
        <v>152.63</v>
      </c>
      <c r="H37" s="16">
        <f t="shared" si="0"/>
        <v>34.761125</v>
      </c>
      <c r="I37" s="5"/>
      <c r="J37" s="15">
        <v>1215.8416</v>
      </c>
      <c r="K37" s="16">
        <v>35.044800000000002</v>
      </c>
      <c r="L37" s="16">
        <v>39.0413</v>
      </c>
      <c r="M37" s="16">
        <v>38.879800000000003</v>
      </c>
      <c r="N37" s="16">
        <v>127.7139</v>
      </c>
      <c r="O37" s="16">
        <f t="shared" si="1"/>
        <v>36.023737500000003</v>
      </c>
      <c r="P37" s="7"/>
      <c r="Q37" s="8">
        <f>bdrate(C37:C40,D37:D40,J37:J40,K37:K40)</f>
        <v>-0.43423515433539284</v>
      </c>
      <c r="R37" s="8">
        <f>bdrate(C37:C40,E37:E40,J37:J40,L37:L40)</f>
        <v>-0.57799920932406901</v>
      </c>
      <c r="S37" s="8">
        <f>bdrate(C37:C40,F37:F40,J37:J40,M37:M40)</f>
        <v>-0.53381816191054521</v>
      </c>
      <c r="T37" s="25">
        <f>bdrate(C37:C40,H37:H40,J37:J40,O37:O40)</f>
        <v>-0.45787304138049456</v>
      </c>
      <c r="U37" s="28">
        <f t="shared" si="2"/>
        <v>-0.16324510253554347</v>
      </c>
    </row>
    <row r="38" spans="1:21" x14ac:dyDescent="0.25">
      <c r="A38" s="9" t="s">
        <v>40</v>
      </c>
      <c r="B38" s="9"/>
      <c r="C38" s="17">
        <v>1055.6199999999999</v>
      </c>
      <c r="D38" s="18">
        <v>32.447000000000003</v>
      </c>
      <c r="E38" s="18">
        <v>36.366</v>
      </c>
      <c r="F38" s="18">
        <v>36.133000000000003</v>
      </c>
      <c r="G38" s="18">
        <v>172.29</v>
      </c>
      <c r="H38" s="18">
        <f t="shared" si="0"/>
        <v>33.397624999999998</v>
      </c>
      <c r="I38" s="5"/>
      <c r="J38" s="17">
        <v>810.51599999999996</v>
      </c>
      <c r="K38" s="18">
        <v>33.549399999999999</v>
      </c>
      <c r="L38" s="18">
        <v>37.911999999999999</v>
      </c>
      <c r="M38" s="18">
        <v>37.598199999999999</v>
      </c>
      <c r="N38" s="18">
        <v>151.88339999999999</v>
      </c>
      <c r="O38" s="18">
        <f t="shared" si="1"/>
        <v>34.600825</v>
      </c>
      <c r="P38" s="7"/>
      <c r="Q38" s="10"/>
      <c r="R38" s="11"/>
      <c r="S38" s="11"/>
      <c r="T38" s="26"/>
      <c r="U38" s="28">
        <f t="shared" si="2"/>
        <v>-0.11844332230541528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188.54</v>
      </c>
      <c r="H39" s="18">
        <f t="shared" si="0"/>
        <v>31.652250000000002</v>
      </c>
      <c r="I39" s="5"/>
      <c r="J39" s="17">
        <v>506.68079999999998</v>
      </c>
      <c r="K39" s="18">
        <v>31.784300000000002</v>
      </c>
      <c r="L39" s="18">
        <v>36.7209</v>
      </c>
      <c r="M39" s="18">
        <v>36.234099999999998</v>
      </c>
      <c r="N39" s="18">
        <v>189.60939999999999</v>
      </c>
      <c r="O39" s="18">
        <f t="shared" si="1"/>
        <v>32.957599999999999</v>
      </c>
      <c r="P39" s="7"/>
      <c r="Q39" s="10"/>
      <c r="R39" s="11"/>
      <c r="S39" s="11"/>
      <c r="T39" s="26"/>
      <c r="U39" s="28">
        <f t="shared" si="2"/>
        <v>5.6720059403840128E-3</v>
      </c>
    </row>
    <row r="40" spans="1:21" ht="16.5" thickBot="1" x14ac:dyDescent="0.3">
      <c r="B40" s="12"/>
      <c r="C40" s="19">
        <v>396.8</v>
      </c>
      <c r="D40" s="20">
        <v>28.202000000000002</v>
      </c>
      <c r="E40" s="20">
        <v>34.404000000000003</v>
      </c>
      <c r="F40" s="20">
        <v>33.956000000000003</v>
      </c>
      <c r="G40" s="20">
        <v>202.84</v>
      </c>
      <c r="H40" s="20">
        <f t="shared" si="0"/>
        <v>29.6965</v>
      </c>
      <c r="I40" s="5"/>
      <c r="J40" s="19">
        <v>303.23680000000002</v>
      </c>
      <c r="K40" s="20">
        <v>29.8278</v>
      </c>
      <c r="L40" s="20">
        <v>35.4129</v>
      </c>
      <c r="M40" s="20">
        <v>34.858600000000003</v>
      </c>
      <c r="N40" s="20">
        <v>237.4169</v>
      </c>
      <c r="O40" s="20">
        <f t="shared" si="1"/>
        <v>31.154787500000001</v>
      </c>
      <c r="P40" s="7"/>
      <c r="Q40" s="13"/>
      <c r="R40" s="14"/>
      <c r="S40" s="14"/>
      <c r="T40" s="27"/>
      <c r="U40" s="28">
        <f t="shared" si="2"/>
        <v>0.17046391244330503</v>
      </c>
    </row>
    <row r="41" spans="1:21" x14ac:dyDescent="0.25">
      <c r="B41" s="6" t="s">
        <v>54</v>
      </c>
      <c r="C41" s="15">
        <v>1569.95</v>
      </c>
      <c r="D41" s="16">
        <v>34.162999999999997</v>
      </c>
      <c r="E41" s="16">
        <v>39.100999999999999</v>
      </c>
      <c r="F41" s="16">
        <v>39.826000000000001</v>
      </c>
      <c r="G41" s="16">
        <v>157.6</v>
      </c>
      <c r="H41" s="16">
        <f t="shared" si="0"/>
        <v>35.488124999999997</v>
      </c>
      <c r="I41" s="5"/>
      <c r="J41" s="15">
        <v>1245.4952000000001</v>
      </c>
      <c r="K41" s="16">
        <v>35.256900000000002</v>
      </c>
      <c r="L41" s="16">
        <v>40.4741</v>
      </c>
      <c r="M41" s="16">
        <v>41.313000000000002</v>
      </c>
      <c r="N41" s="16">
        <v>132.626</v>
      </c>
      <c r="O41" s="16">
        <f t="shared" si="1"/>
        <v>36.666062500000002</v>
      </c>
      <c r="P41" s="7"/>
      <c r="Q41" s="8">
        <f>bdrate(C41:C44,D41:D44,J41:J44,K41:K44)</f>
        <v>-0.45795605068821699</v>
      </c>
      <c r="R41" s="8">
        <f>bdrate(C41:C44,E41:E44,J41:J44,L41:L44)</f>
        <v>-0.54691835431436342</v>
      </c>
      <c r="S41" s="8">
        <f>bdrate(C41:C44,F41:F44,J41:J44,M41:M44)</f>
        <v>-0.53591538858519305</v>
      </c>
      <c r="T41" s="25">
        <f>bdrate(C41:C44,H41:H44,J41:J44,O41:O44)</f>
        <v>-0.47144425195512885</v>
      </c>
      <c r="U41" s="28">
        <f t="shared" ref="U41:U72" si="3">(N41-G41)/G41</f>
        <v>-0.15846446700507608</v>
      </c>
    </row>
    <row r="42" spans="1:21" x14ac:dyDescent="0.25">
      <c r="B42" s="9"/>
      <c r="C42" s="17">
        <v>1064.1600000000001</v>
      </c>
      <c r="D42" s="18">
        <v>32.351999999999997</v>
      </c>
      <c r="E42" s="18">
        <v>38.31</v>
      </c>
      <c r="F42" s="18">
        <v>38.951000000000001</v>
      </c>
      <c r="G42" s="18">
        <v>169.44</v>
      </c>
      <c r="H42" s="18">
        <f t="shared" si="0"/>
        <v>33.921624999999999</v>
      </c>
      <c r="I42" s="5"/>
      <c r="J42" s="17">
        <v>829.97360000000003</v>
      </c>
      <c r="K42" s="18">
        <v>33.708399999999997</v>
      </c>
      <c r="L42" s="18">
        <v>39.499899999999997</v>
      </c>
      <c r="M42" s="18">
        <v>40.240299999999998</v>
      </c>
      <c r="N42" s="18">
        <v>157.6044</v>
      </c>
      <c r="O42" s="18">
        <f t="shared" si="1"/>
        <v>35.248824999999997</v>
      </c>
      <c r="P42" s="7"/>
      <c r="Q42" s="10"/>
      <c r="R42" s="11"/>
      <c r="S42" s="11"/>
      <c r="T42" s="26"/>
      <c r="U42" s="28">
        <f t="shared" si="3"/>
        <v>-6.9851274787535403E-2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183.15</v>
      </c>
      <c r="H43" s="18">
        <f t="shared" si="0"/>
        <v>31.877625000000002</v>
      </c>
      <c r="I43" s="5"/>
      <c r="J43" s="17">
        <v>518.68640000000005</v>
      </c>
      <c r="K43" s="18">
        <v>31.8477</v>
      </c>
      <c r="L43" s="18">
        <v>38.459600000000002</v>
      </c>
      <c r="M43" s="18">
        <v>39.097000000000001</v>
      </c>
      <c r="N43" s="18">
        <v>195.24889999999999</v>
      </c>
      <c r="O43" s="18">
        <f t="shared" si="1"/>
        <v>33.580349999999996</v>
      </c>
      <c r="P43" s="7"/>
      <c r="Q43" s="10"/>
      <c r="R43" s="11"/>
      <c r="S43" s="11"/>
      <c r="T43" s="26"/>
      <c r="U43" s="28">
        <f t="shared" si="3"/>
        <v>6.6060060060059989E-2</v>
      </c>
    </row>
    <row r="44" spans="1:21" ht="16.5" thickBot="1" x14ac:dyDescent="0.3">
      <c r="B44" s="12"/>
      <c r="C44" s="19">
        <v>403.38</v>
      </c>
      <c r="D44" s="20">
        <v>27.056000000000001</v>
      </c>
      <c r="E44" s="20">
        <v>36.524000000000001</v>
      </c>
      <c r="F44" s="20">
        <v>37.000999999999998</v>
      </c>
      <c r="G44" s="20">
        <v>197.24</v>
      </c>
      <c r="H44" s="20">
        <f t="shared" si="0"/>
        <v>29.482625000000002</v>
      </c>
      <c r="I44" s="5"/>
      <c r="J44" s="19">
        <v>310.74720000000002</v>
      </c>
      <c r="K44" s="20">
        <v>29.790500000000002</v>
      </c>
      <c r="L44" s="20">
        <v>37.474600000000002</v>
      </c>
      <c r="M44" s="20">
        <v>37.9328</v>
      </c>
      <c r="N44" s="20">
        <v>243.40770000000001</v>
      </c>
      <c r="O44" s="20">
        <f t="shared" si="1"/>
        <v>31.768799999999999</v>
      </c>
      <c r="P44" s="7"/>
      <c r="Q44" s="13"/>
      <c r="R44" s="14"/>
      <c r="S44" s="14"/>
      <c r="T44" s="27"/>
      <c r="U44" s="28">
        <f t="shared" si="3"/>
        <v>0.2340686473331981</v>
      </c>
    </row>
    <row r="45" spans="1:21" x14ac:dyDescent="0.25">
      <c r="B45" s="6" t="s">
        <v>55</v>
      </c>
      <c r="C45" s="15">
        <v>1434.58</v>
      </c>
      <c r="D45" s="16">
        <v>28.477</v>
      </c>
      <c r="E45" s="16">
        <v>34.874000000000002</v>
      </c>
      <c r="F45" s="16">
        <v>35.527999999999999</v>
      </c>
      <c r="G45" s="16">
        <v>163.51</v>
      </c>
      <c r="H45" s="16">
        <f t="shared" si="0"/>
        <v>30.157999999999998</v>
      </c>
      <c r="I45" s="5"/>
      <c r="J45" s="15">
        <v>1229.8088</v>
      </c>
      <c r="K45" s="16">
        <v>30.39</v>
      </c>
      <c r="L45" s="16">
        <v>36.770000000000003</v>
      </c>
      <c r="M45" s="16">
        <v>37.53</v>
      </c>
      <c r="N45" s="16">
        <v>120.048</v>
      </c>
      <c r="O45" s="16">
        <f t="shared" si="1"/>
        <v>32.08</v>
      </c>
      <c r="P45" s="7"/>
      <c r="Q45" s="8">
        <f>bdrate(C45:C48,D45:D48,J45:J48,K45:K48)</f>
        <v>-0.53113271857164257</v>
      </c>
      <c r="R45" s="8">
        <f>bdrate(C45:C48,E45:E48,J45:J48,L45:L48)</f>
        <v>-0.66203020169287274</v>
      </c>
      <c r="S45" s="8">
        <f>bdrate(C45:C48,F45:F48,J45:J48,M45:M48)</f>
        <v>-0.66638929183865425</v>
      </c>
      <c r="T45" s="25">
        <f>bdrate(C45:C48,H45:H48,J45:J48,O45:O48)</f>
        <v>-0.55151781642909126</v>
      </c>
      <c r="U45" s="28">
        <f t="shared" si="3"/>
        <v>-0.26580637269891744</v>
      </c>
    </row>
    <row r="46" spans="1:21" x14ac:dyDescent="0.25">
      <c r="B46" s="9"/>
      <c r="C46" s="17">
        <v>972.03</v>
      </c>
      <c r="D46" s="18">
        <v>27.19</v>
      </c>
      <c r="E46" s="18">
        <v>34.430999999999997</v>
      </c>
      <c r="F46" s="18">
        <v>35.116</v>
      </c>
      <c r="G46" s="18">
        <v>184.23</v>
      </c>
      <c r="H46" s="18">
        <f t="shared" si="0"/>
        <v>29.085875000000001</v>
      </c>
      <c r="I46" s="5"/>
      <c r="J46" s="17">
        <v>816.63520000000005</v>
      </c>
      <c r="K46" s="18">
        <v>29.04</v>
      </c>
      <c r="L46" s="18">
        <v>35.939900000000002</v>
      </c>
      <c r="M46" s="18">
        <v>36.663800000000002</v>
      </c>
      <c r="N46" s="18">
        <v>146.3272</v>
      </c>
      <c r="O46" s="18">
        <f t="shared" si="1"/>
        <v>30.855462500000002</v>
      </c>
      <c r="P46" s="7"/>
      <c r="Q46" s="10"/>
      <c r="R46" s="11"/>
      <c r="S46" s="11"/>
      <c r="T46" s="26"/>
      <c r="U46" s="28">
        <f t="shared" si="3"/>
        <v>-0.20573630787602445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199.04</v>
      </c>
      <c r="H47" s="18">
        <f t="shared" si="0"/>
        <v>27.852999999999998</v>
      </c>
      <c r="I47" s="5"/>
      <c r="J47" s="17">
        <v>516.49279999999999</v>
      </c>
      <c r="K47" s="18">
        <v>27.581600000000002</v>
      </c>
      <c r="L47" s="18">
        <v>35.106999999999999</v>
      </c>
      <c r="M47" s="18">
        <v>35.816200000000002</v>
      </c>
      <c r="N47" s="18">
        <v>172.3544</v>
      </c>
      <c r="O47" s="18">
        <f t="shared" si="1"/>
        <v>29.551600000000001</v>
      </c>
      <c r="P47" s="7"/>
      <c r="Q47" s="10"/>
      <c r="R47" s="11"/>
      <c r="S47" s="11"/>
      <c r="T47" s="26"/>
      <c r="U47" s="28">
        <f t="shared" si="3"/>
        <v>-0.13407154340836011</v>
      </c>
    </row>
    <row r="48" spans="1:21" ht="16.5" thickBot="1" x14ac:dyDescent="0.3">
      <c r="B48" s="12"/>
      <c r="C48" s="19">
        <v>372.38</v>
      </c>
      <c r="D48" s="20">
        <v>24.201000000000001</v>
      </c>
      <c r="E48" s="20">
        <v>33.524000000000001</v>
      </c>
      <c r="F48" s="20">
        <v>34.249000000000002</v>
      </c>
      <c r="G48" s="20">
        <v>218.05</v>
      </c>
      <c r="H48" s="20">
        <f t="shared" si="0"/>
        <v>26.622375000000002</v>
      </c>
      <c r="I48" s="5"/>
      <c r="J48" s="19">
        <v>309.5616</v>
      </c>
      <c r="K48" s="20">
        <v>26.027799999999999</v>
      </c>
      <c r="L48" s="20">
        <v>34.278700000000001</v>
      </c>
      <c r="M48" s="20">
        <v>34.970999999999997</v>
      </c>
      <c r="N48" s="20">
        <v>228.93770000000001</v>
      </c>
      <c r="O48" s="20">
        <f t="shared" si="1"/>
        <v>28.177062499999998</v>
      </c>
      <c r="P48" s="7"/>
      <c r="Q48" s="13"/>
      <c r="R48" s="14"/>
      <c r="S48" s="14"/>
      <c r="T48" s="27"/>
      <c r="U48" s="28">
        <f t="shared" si="3"/>
        <v>4.9932125659252438E-2</v>
      </c>
    </row>
    <row r="49" spans="1:21" x14ac:dyDescent="0.25">
      <c r="B49" s="6" t="s">
        <v>56</v>
      </c>
      <c r="C49" s="15">
        <v>1431.35</v>
      </c>
      <c r="D49" s="16">
        <v>32.317999999999998</v>
      </c>
      <c r="E49" s="16">
        <v>36.283999999999999</v>
      </c>
      <c r="F49" s="16">
        <v>37.881</v>
      </c>
      <c r="G49" s="16">
        <v>119.43</v>
      </c>
      <c r="H49" s="16">
        <f t="shared" si="0"/>
        <v>33.509124999999997</v>
      </c>
      <c r="I49" s="5"/>
      <c r="J49" s="15">
        <v>1211.9367999999999</v>
      </c>
      <c r="K49" s="16">
        <v>32.370100000000001</v>
      </c>
      <c r="L49" s="16">
        <v>36.847200000000001</v>
      </c>
      <c r="M49" s="16">
        <v>38.410699999999999</v>
      </c>
      <c r="N49" s="16">
        <v>85.861500000000007</v>
      </c>
      <c r="O49" s="16">
        <f t="shared" si="1"/>
        <v>33.6848125</v>
      </c>
      <c r="P49" s="7"/>
      <c r="Q49" s="8">
        <f>bdrate(C49:C52,D49:D52,J49:J52,K49:K52)</f>
        <v>-0.24805972387486885</v>
      </c>
      <c r="R49" s="8">
        <f>bdrate(C49:C52,E49:E52,J49:J52,L49:L52)</f>
        <v>-0.32424359411130321</v>
      </c>
      <c r="S49" s="8">
        <f>bdrate(C49:C52,F49:F52,J49:J52,M49:M52)</f>
        <v>-0.31984234514384102</v>
      </c>
      <c r="T49" s="25">
        <f>bdrate(C49:C52,H49:H52,J49:J52,O49:O52)</f>
        <v>-0.26080234344640219</v>
      </c>
      <c r="U49" s="28">
        <f t="shared" si="3"/>
        <v>-0.28107259482542074</v>
      </c>
    </row>
    <row r="50" spans="1:21" x14ac:dyDescent="0.25">
      <c r="B50" s="9"/>
      <c r="C50" s="17">
        <v>977.49</v>
      </c>
      <c r="D50" s="18">
        <v>30.704000000000001</v>
      </c>
      <c r="E50" s="18">
        <v>35.582000000000001</v>
      </c>
      <c r="F50" s="18">
        <v>37.164999999999999</v>
      </c>
      <c r="G50" s="18">
        <v>127.33</v>
      </c>
      <c r="H50" s="18">
        <f t="shared" si="0"/>
        <v>32.121375</v>
      </c>
      <c r="I50" s="5"/>
      <c r="J50" s="17">
        <v>807.44159999999999</v>
      </c>
      <c r="K50" s="18">
        <v>30.859000000000002</v>
      </c>
      <c r="L50" s="18">
        <v>35.9878</v>
      </c>
      <c r="M50" s="18">
        <v>37.544899999999998</v>
      </c>
      <c r="N50" s="18">
        <v>103.377</v>
      </c>
      <c r="O50" s="18">
        <f t="shared" si="1"/>
        <v>32.335837499999997</v>
      </c>
      <c r="P50" s="7"/>
      <c r="Q50" s="10"/>
      <c r="R50" s="11"/>
      <c r="S50" s="11"/>
      <c r="T50" s="26"/>
      <c r="U50" s="28">
        <f t="shared" si="3"/>
        <v>-0.1881174899866489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147.93</v>
      </c>
      <c r="H51" s="18">
        <f t="shared" si="0"/>
        <v>30.457999999999998</v>
      </c>
      <c r="I51" s="5"/>
      <c r="J51" s="17">
        <v>503.68799999999999</v>
      </c>
      <c r="K51" s="18">
        <v>29.223500000000001</v>
      </c>
      <c r="L51" s="18">
        <v>35.126399999999997</v>
      </c>
      <c r="M51" s="18">
        <v>36.653399999999998</v>
      </c>
      <c r="N51" s="18">
        <v>129.9264</v>
      </c>
      <c r="O51" s="18">
        <f t="shared" si="1"/>
        <v>30.8901</v>
      </c>
      <c r="P51" s="7"/>
      <c r="Q51" s="10"/>
      <c r="R51" s="11"/>
      <c r="S51" s="11"/>
      <c r="T51" s="26"/>
      <c r="U51" s="28">
        <f t="shared" si="3"/>
        <v>-0.1217035084161428</v>
      </c>
    </row>
    <row r="52" spans="1:21" ht="16.5" thickBot="1" x14ac:dyDescent="0.3">
      <c r="B52" s="12"/>
      <c r="C52" s="19">
        <v>383.65</v>
      </c>
      <c r="D52" s="20">
        <v>26.646999999999998</v>
      </c>
      <c r="E52" s="20">
        <v>33.960999999999999</v>
      </c>
      <c r="F52" s="20">
        <v>35.374000000000002</v>
      </c>
      <c r="G52" s="20">
        <v>164.38</v>
      </c>
      <c r="H52" s="20">
        <f t="shared" si="0"/>
        <v>28.652125000000002</v>
      </c>
      <c r="I52" s="5"/>
      <c r="J52" s="19">
        <v>302.9144</v>
      </c>
      <c r="K52" s="20">
        <v>27.638000000000002</v>
      </c>
      <c r="L52" s="20">
        <v>34.2239</v>
      </c>
      <c r="M52" s="20">
        <v>35.677700000000002</v>
      </c>
      <c r="N52" s="20">
        <v>167.22409999999999</v>
      </c>
      <c r="O52" s="20">
        <f t="shared" si="1"/>
        <v>29.466200000000001</v>
      </c>
      <c r="P52" s="7"/>
      <c r="Q52" s="13"/>
      <c r="R52" s="14"/>
      <c r="S52" s="14"/>
      <c r="T52" s="27"/>
      <c r="U52" s="28">
        <f t="shared" si="3"/>
        <v>1.7301983209636194E-2</v>
      </c>
    </row>
    <row r="53" spans="1:21" x14ac:dyDescent="0.25">
      <c r="A53" s="6" t="s">
        <v>41</v>
      </c>
      <c r="B53" s="6" t="s">
        <v>57</v>
      </c>
      <c r="C53" s="15">
        <v>849.15</v>
      </c>
      <c r="D53" s="16">
        <v>34.765999999999998</v>
      </c>
      <c r="E53" s="16">
        <v>38.771000000000001</v>
      </c>
      <c r="F53" s="16">
        <v>37.640999999999998</v>
      </c>
      <c r="G53" s="16">
        <v>493.1</v>
      </c>
      <c r="H53" s="16">
        <f t="shared" si="0"/>
        <v>35.626000000000005</v>
      </c>
      <c r="I53" s="5"/>
      <c r="J53" s="15">
        <v>605.30799999999999</v>
      </c>
      <c r="K53" s="16">
        <v>34.405000000000001</v>
      </c>
      <c r="L53" s="16">
        <v>39.671999999999997</v>
      </c>
      <c r="M53" s="16">
        <v>38.193199999999997</v>
      </c>
      <c r="N53" s="16">
        <v>344.5899</v>
      </c>
      <c r="O53" s="16">
        <f t="shared" si="1"/>
        <v>35.536900000000003</v>
      </c>
      <c r="P53" s="7"/>
      <c r="Q53" s="8">
        <f>bdrate(C53:C56,D53:D56,J53:J56,K53:K56)</f>
        <v>-0.28555888864796575</v>
      </c>
      <c r="R53" s="8">
        <f>bdrate(C53:C56,E53:E56,J53:J56,L53:L56)</f>
        <v>-0.46135259570808218</v>
      </c>
      <c r="S53" s="8">
        <f>bdrate(C53:C56,F53:F56,J53:J56,M53:M56)</f>
        <v>-0.37663684139247511</v>
      </c>
      <c r="T53" s="25">
        <f>bdrate(C53:C56,H53:H56,J53:J56,O53:O56)</f>
        <v>-0.30721862578202808</v>
      </c>
      <c r="U53" s="28">
        <f t="shared" si="3"/>
        <v>-0.30117643480024336</v>
      </c>
    </row>
    <row r="54" spans="1:21" x14ac:dyDescent="0.25">
      <c r="A54" s="9" t="s">
        <v>42</v>
      </c>
      <c r="B54" s="9"/>
      <c r="C54" s="17">
        <v>531.5</v>
      </c>
      <c r="D54" s="18">
        <v>32.542000000000002</v>
      </c>
      <c r="E54" s="18">
        <v>37.643000000000001</v>
      </c>
      <c r="F54" s="18">
        <v>36.238999999999997</v>
      </c>
      <c r="G54" s="18">
        <v>552.49</v>
      </c>
      <c r="H54" s="18">
        <f t="shared" si="0"/>
        <v>33.641750000000002</v>
      </c>
      <c r="I54" s="5"/>
      <c r="J54" s="17">
        <v>405.63600000000002</v>
      </c>
      <c r="K54" s="18">
        <v>32.6295</v>
      </c>
      <c r="L54" s="18">
        <v>38.475499999999997</v>
      </c>
      <c r="M54" s="18">
        <v>36.891300000000001</v>
      </c>
      <c r="N54" s="18">
        <v>400.64100000000002</v>
      </c>
      <c r="O54" s="18">
        <f t="shared" si="1"/>
        <v>33.892975</v>
      </c>
      <c r="P54" s="7"/>
      <c r="Q54" s="10"/>
      <c r="R54" s="11"/>
      <c r="S54" s="11"/>
      <c r="T54" s="26"/>
      <c r="U54" s="28">
        <f t="shared" si="3"/>
        <v>-0.27484479357092434</v>
      </c>
    </row>
    <row r="55" spans="1:21" x14ac:dyDescent="0.25">
      <c r="B55" s="9"/>
      <c r="C55" s="17">
        <v>321.83</v>
      </c>
      <c r="D55" s="18">
        <v>30.228000000000002</v>
      </c>
      <c r="E55" s="18">
        <v>36.637</v>
      </c>
      <c r="F55" s="18">
        <v>35.088999999999999</v>
      </c>
      <c r="G55" s="18">
        <v>616.52</v>
      </c>
      <c r="H55" s="18">
        <f t="shared" si="0"/>
        <v>31.636749999999999</v>
      </c>
      <c r="I55" s="5"/>
      <c r="J55" s="17">
        <v>254.74719999999999</v>
      </c>
      <c r="K55" s="18">
        <v>30.695499999999999</v>
      </c>
      <c r="L55" s="18">
        <v>37.4392</v>
      </c>
      <c r="M55" s="18">
        <v>35.6753</v>
      </c>
      <c r="N55" s="18">
        <v>500.50049999999999</v>
      </c>
      <c r="O55" s="18">
        <f t="shared" si="1"/>
        <v>32.160937500000003</v>
      </c>
      <c r="P55" s="7"/>
      <c r="Q55" s="10"/>
      <c r="R55" s="11"/>
      <c r="S55" s="11"/>
      <c r="T55" s="26"/>
      <c r="U55" s="28">
        <f t="shared" si="3"/>
        <v>-0.18818448712126126</v>
      </c>
    </row>
    <row r="56" spans="1:21" ht="16.5" thickBot="1" x14ac:dyDescent="0.3">
      <c r="B56" s="12"/>
      <c r="C56" s="19">
        <v>164.71</v>
      </c>
      <c r="D56" s="20">
        <v>27.134</v>
      </c>
      <c r="E56" s="20">
        <v>35.435000000000002</v>
      </c>
      <c r="F56" s="20">
        <v>33.729999999999997</v>
      </c>
      <c r="G56" s="20">
        <v>712.25</v>
      </c>
      <c r="H56" s="20">
        <f t="shared" si="0"/>
        <v>28.996124999999999</v>
      </c>
      <c r="I56" s="5"/>
      <c r="J56" s="19">
        <v>123.04</v>
      </c>
      <c r="K56" s="20">
        <v>27.941600000000001</v>
      </c>
      <c r="L56" s="20">
        <v>35.903300000000002</v>
      </c>
      <c r="M56" s="20">
        <v>33.849299999999999</v>
      </c>
      <c r="N56" s="20">
        <v>712.25070000000005</v>
      </c>
      <c r="O56" s="20">
        <f t="shared" si="1"/>
        <v>29.675275000000003</v>
      </c>
      <c r="P56" s="7"/>
      <c r="Q56" s="13"/>
      <c r="R56" s="14"/>
      <c r="S56" s="14"/>
      <c r="T56" s="27"/>
      <c r="U56" s="28">
        <f t="shared" si="3"/>
        <v>9.8280098287351257E-7</v>
      </c>
    </row>
    <row r="57" spans="1:21" x14ac:dyDescent="0.25">
      <c r="B57" s="6" t="s">
        <v>58</v>
      </c>
      <c r="C57" s="15">
        <v>742.97</v>
      </c>
      <c r="D57" s="16">
        <v>30.85</v>
      </c>
      <c r="E57" s="16">
        <v>38.603999999999999</v>
      </c>
      <c r="F57" s="16">
        <v>39.046999999999997</v>
      </c>
      <c r="G57" s="16">
        <v>663.72</v>
      </c>
      <c r="H57" s="16">
        <f t="shared" si="0"/>
        <v>32.843874999999997</v>
      </c>
      <c r="I57" s="5"/>
      <c r="J57" s="15">
        <v>604.45600000000002</v>
      </c>
      <c r="K57" s="16">
        <v>33.667999999999999</v>
      </c>
      <c r="L57" s="16">
        <v>41.232100000000003</v>
      </c>
      <c r="M57" s="16">
        <v>42.0732</v>
      </c>
      <c r="N57" s="16">
        <v>404.85829999999999</v>
      </c>
      <c r="O57" s="16">
        <f t="shared" si="1"/>
        <v>35.664162499999996</v>
      </c>
      <c r="P57" s="7"/>
      <c r="Q57" s="8">
        <f>bdrate(C57:C60,D57:D60,J57:J60,K57:K60)</f>
        <v>-0.67519261545332543</v>
      </c>
      <c r="R57" s="8">
        <f>bdrate(C57:C60,E57:E60,J57:J60,L57:L60)</f>
        <v>-0.78544533390350058</v>
      </c>
      <c r="S57" s="8">
        <f>bdrate(C57:C60,F57:F60,J57:J60,M57:M60)</f>
        <v>-0.81494631576286825</v>
      </c>
      <c r="T57" s="25">
        <f>bdrate(C57:C60,H57:H60,J57:J60,O57:O60)</f>
        <v>-0.69438044763033813</v>
      </c>
      <c r="U57" s="28">
        <f t="shared" si="3"/>
        <v>-0.39001642258783831</v>
      </c>
    </row>
    <row r="58" spans="1:21" x14ac:dyDescent="0.25">
      <c r="B58" s="9"/>
      <c r="C58" s="17">
        <v>462.41</v>
      </c>
      <c r="D58" s="18">
        <v>29.114000000000001</v>
      </c>
      <c r="E58" s="18">
        <v>38.103000000000002</v>
      </c>
      <c r="F58" s="18">
        <v>38.405000000000001</v>
      </c>
      <c r="G58" s="18">
        <v>725.51</v>
      </c>
      <c r="H58" s="18">
        <f t="shared" si="0"/>
        <v>31.399000000000001</v>
      </c>
      <c r="I58" s="5"/>
      <c r="J58" s="17">
        <v>402.34</v>
      </c>
      <c r="K58" s="18">
        <v>32.405799999999999</v>
      </c>
      <c r="L58" s="18">
        <v>40.421799999999998</v>
      </c>
      <c r="M58" s="18">
        <v>41.167499999999997</v>
      </c>
      <c r="N58" s="18">
        <v>512.82050000000004</v>
      </c>
      <c r="O58" s="18">
        <f t="shared" si="1"/>
        <v>34.503012499999997</v>
      </c>
      <c r="P58" s="7"/>
      <c r="Q58" s="10"/>
      <c r="R58" s="11"/>
      <c r="S58" s="11"/>
      <c r="T58" s="26"/>
      <c r="U58" s="28">
        <f t="shared" si="3"/>
        <v>-0.29315860567049379</v>
      </c>
    </row>
    <row r="59" spans="1:21" x14ac:dyDescent="0.25">
      <c r="B59" s="9"/>
      <c r="C59" s="17">
        <v>276.11</v>
      </c>
      <c r="D59" s="18">
        <v>27.451000000000001</v>
      </c>
      <c r="E59" s="18">
        <v>37.656999999999996</v>
      </c>
      <c r="F59" s="18">
        <v>37.75</v>
      </c>
      <c r="G59" s="18">
        <v>817.44</v>
      </c>
      <c r="H59" s="18">
        <f t="shared" si="0"/>
        <v>30.014125</v>
      </c>
      <c r="I59" s="5"/>
      <c r="J59" s="17">
        <v>251.51679999999999</v>
      </c>
      <c r="K59" s="18">
        <v>30.902000000000001</v>
      </c>
      <c r="L59" s="18">
        <v>39.461300000000001</v>
      </c>
      <c r="M59" s="18">
        <v>40.189100000000003</v>
      </c>
      <c r="N59" s="18">
        <v>651.46579999999994</v>
      </c>
      <c r="O59" s="18">
        <f t="shared" si="1"/>
        <v>33.132800000000003</v>
      </c>
      <c r="P59" s="7"/>
      <c r="Q59" s="10"/>
      <c r="R59" s="11"/>
      <c r="S59" s="11"/>
      <c r="T59" s="26"/>
      <c r="U59" s="28">
        <f t="shared" si="3"/>
        <v>-0.2030414464670191</v>
      </c>
    </row>
    <row r="60" spans="1:21" ht="16.5" thickBot="1" x14ac:dyDescent="0.3">
      <c r="B60" s="12"/>
      <c r="C60" s="19">
        <v>136.83000000000001</v>
      </c>
      <c r="D60" s="20">
        <v>25.288</v>
      </c>
      <c r="E60" s="20">
        <v>37.055</v>
      </c>
      <c r="F60" s="20">
        <v>37.1</v>
      </c>
      <c r="G60" s="20">
        <v>894.19</v>
      </c>
      <c r="H60" s="20">
        <f t="shared" si="0"/>
        <v>28.235375000000001</v>
      </c>
      <c r="I60" s="5"/>
      <c r="J60" s="19">
        <v>120.8736</v>
      </c>
      <c r="K60" s="20">
        <v>28.3674</v>
      </c>
      <c r="L60" s="20">
        <v>38.246000000000002</v>
      </c>
      <c r="M60" s="20">
        <v>38.848999999999997</v>
      </c>
      <c r="N60" s="20">
        <v>874.63559999999995</v>
      </c>
      <c r="O60" s="20">
        <f t="shared" si="1"/>
        <v>30.912424999999999</v>
      </c>
      <c r="P60" s="7"/>
      <c r="Q60" s="13"/>
      <c r="R60" s="14"/>
      <c r="S60" s="14"/>
      <c r="T60" s="27"/>
      <c r="U60" s="28">
        <f t="shared" si="3"/>
        <v>-2.1868283027097261E-2</v>
      </c>
    </row>
    <row r="61" spans="1:21" x14ac:dyDescent="0.25">
      <c r="B61" s="6" t="s">
        <v>59</v>
      </c>
      <c r="C61" s="29">
        <v>836.1</v>
      </c>
      <c r="D61" s="30">
        <v>32.529000000000003</v>
      </c>
      <c r="E61" s="30">
        <v>36.090000000000003</v>
      </c>
      <c r="F61" s="30">
        <v>36.457000000000001</v>
      </c>
      <c r="G61" s="16">
        <v>562.42999999999995</v>
      </c>
      <c r="H61" s="16">
        <f t="shared" si="0"/>
        <v>33.465125000000008</v>
      </c>
      <c r="I61" s="5"/>
      <c r="J61" s="29">
        <v>644.33280000000002</v>
      </c>
      <c r="K61" s="30">
        <v>33.231200000000001</v>
      </c>
      <c r="L61" s="30">
        <v>38.1096</v>
      </c>
      <c r="M61" s="30">
        <v>38.883499999999998</v>
      </c>
      <c r="N61" s="16">
        <v>368.45979999999997</v>
      </c>
      <c r="O61" s="16">
        <f t="shared" si="1"/>
        <v>34.547537500000004</v>
      </c>
      <c r="P61" s="7"/>
      <c r="Q61" s="8">
        <f>bdrate(C61:C64,D61:D64,J61:J64,K61:K64)</f>
        <v>-0.39265356057867296</v>
      </c>
      <c r="R61" s="8">
        <f>bdrate(C61:C64,E61:E64,J61:J64,L61:L64)</f>
        <v>-0.64726709822876816</v>
      </c>
      <c r="S61" s="8">
        <f>bdrate(C61:C64,F61:F64,J61:J64,M61:M64)</f>
        <v>-0.70117571578165694</v>
      </c>
      <c r="T61" s="25">
        <f>bdrate(C61:C64,H61:H64,J61:J64,O61:O64)</f>
        <v>-0.44930197841011044</v>
      </c>
      <c r="U61" s="28">
        <f t="shared" si="3"/>
        <v>-0.34487882936543213</v>
      </c>
    </row>
    <row r="62" spans="1:21" x14ac:dyDescent="0.25">
      <c r="B62" s="9"/>
      <c r="C62" s="31">
        <v>521.72</v>
      </c>
      <c r="D62" s="32">
        <v>30.632000000000001</v>
      </c>
      <c r="E62" s="32">
        <v>35.185000000000002</v>
      </c>
      <c r="F62" s="32">
        <v>35.619</v>
      </c>
      <c r="G62" s="18">
        <v>641.03</v>
      </c>
      <c r="H62" s="18">
        <f t="shared" si="0"/>
        <v>31.8245</v>
      </c>
      <c r="I62" s="5"/>
      <c r="J62" s="31">
        <v>428.488</v>
      </c>
      <c r="K62" s="32">
        <v>31.687799999999999</v>
      </c>
      <c r="L62" s="32">
        <v>37.093699999999998</v>
      </c>
      <c r="M62" s="32">
        <v>37.854300000000002</v>
      </c>
      <c r="N62" s="18">
        <v>438.98160000000001</v>
      </c>
      <c r="O62" s="18">
        <f t="shared" si="1"/>
        <v>33.134350000000005</v>
      </c>
      <c r="P62" s="7"/>
      <c r="Q62" s="10"/>
      <c r="R62" s="11"/>
      <c r="S62" s="11"/>
      <c r="T62" s="26"/>
      <c r="U62" s="28">
        <f t="shared" si="3"/>
        <v>-0.31519336068514731</v>
      </c>
    </row>
    <row r="63" spans="1:21" x14ac:dyDescent="0.25">
      <c r="B63" s="9"/>
      <c r="C63" s="31">
        <v>311.38</v>
      </c>
      <c r="D63" s="32">
        <v>28.77</v>
      </c>
      <c r="E63" s="32">
        <v>34.375</v>
      </c>
      <c r="F63" s="32">
        <v>34.814999999999998</v>
      </c>
      <c r="G63" s="18">
        <v>697.35</v>
      </c>
      <c r="H63" s="18">
        <f t="shared" si="0"/>
        <v>30.22625</v>
      </c>
      <c r="I63" s="5"/>
      <c r="J63" s="31">
        <v>267.26319999999998</v>
      </c>
      <c r="K63" s="32">
        <v>30.0215</v>
      </c>
      <c r="L63" s="32">
        <v>35.997700000000002</v>
      </c>
      <c r="M63" s="32">
        <v>36.747300000000003</v>
      </c>
      <c r="N63" s="18">
        <v>552.48620000000005</v>
      </c>
      <c r="O63" s="18">
        <f t="shared" si="1"/>
        <v>31.609249999999999</v>
      </c>
      <c r="P63" s="7"/>
      <c r="Q63" s="10"/>
      <c r="R63" s="11"/>
      <c r="S63" s="11"/>
      <c r="T63" s="26"/>
      <c r="U63" s="28">
        <f t="shared" si="3"/>
        <v>-0.20773470997347096</v>
      </c>
    </row>
    <row r="64" spans="1:21" ht="16.5" thickBot="1" x14ac:dyDescent="0.3">
      <c r="B64" s="12"/>
      <c r="C64" s="33">
        <v>152.66</v>
      </c>
      <c r="D64" s="34">
        <v>26.379000000000001</v>
      </c>
      <c r="E64" s="34">
        <v>33.506999999999998</v>
      </c>
      <c r="F64" s="34">
        <v>34.024999999999999</v>
      </c>
      <c r="G64" s="20">
        <v>782.47</v>
      </c>
      <c r="H64" s="20">
        <f t="shared" si="0"/>
        <v>28.225750000000001</v>
      </c>
      <c r="I64" s="5"/>
      <c r="J64" s="33">
        <v>129.76</v>
      </c>
      <c r="K64" s="34">
        <v>27.618099999999998</v>
      </c>
      <c r="L64" s="34">
        <v>34.4651</v>
      </c>
      <c r="M64" s="34">
        <v>35.1922</v>
      </c>
      <c r="N64" s="20">
        <v>781.25</v>
      </c>
      <c r="O64" s="20">
        <f t="shared" si="1"/>
        <v>29.420737500000001</v>
      </c>
      <c r="P64" s="7"/>
      <c r="Q64" s="13"/>
      <c r="R64" s="14"/>
      <c r="S64" s="14"/>
      <c r="T64" s="27"/>
      <c r="U64" s="28">
        <f t="shared" si="3"/>
        <v>-1.5591652076118283E-3</v>
      </c>
    </row>
    <row r="65" spans="1:21" x14ac:dyDescent="0.25">
      <c r="B65" s="6" t="s">
        <v>60</v>
      </c>
      <c r="C65" s="15">
        <v>768.56</v>
      </c>
      <c r="D65" s="16">
        <v>34.579000000000001</v>
      </c>
      <c r="E65" s="16">
        <v>37.023000000000003</v>
      </c>
      <c r="F65" s="16">
        <v>38.103000000000002</v>
      </c>
      <c r="G65" s="16">
        <v>400.53</v>
      </c>
      <c r="H65" s="16">
        <f t="shared" si="0"/>
        <v>35.324999999999996</v>
      </c>
      <c r="I65" s="5"/>
      <c r="J65" s="15">
        <v>607.85040000000004</v>
      </c>
      <c r="K65" s="16">
        <v>33.990900000000003</v>
      </c>
      <c r="L65" s="16">
        <v>37.729999999999997</v>
      </c>
      <c r="M65" s="16">
        <v>38.824300000000001</v>
      </c>
      <c r="N65" s="16">
        <v>240.38460000000001</v>
      </c>
      <c r="O65" s="16">
        <f t="shared" si="1"/>
        <v>35.062462500000002</v>
      </c>
      <c r="P65" s="7"/>
      <c r="Q65" s="8">
        <f>bdrate(C65:C68,D65:D68,J65:J68,K65:K68)</f>
        <v>-0.15603881688145227</v>
      </c>
      <c r="R65" s="8">
        <f>bdrate(C65:C68,E65:E68,J65:J68,L65:L68)</f>
        <v>-0.3595739024302147</v>
      </c>
      <c r="S65" s="8">
        <f>bdrate(C65:C68,F65:F68,J65:J68,M65:M68)</f>
        <v>-0.35663634525740695</v>
      </c>
      <c r="T65" s="25">
        <f>bdrate(C65:C68,H65:H68,J65:J68,O65:O68)</f>
        <v>-0.19000746606983487</v>
      </c>
      <c r="U65" s="28">
        <f t="shared" si="3"/>
        <v>-0.39983372032057518</v>
      </c>
    </row>
    <row r="66" spans="1:21" x14ac:dyDescent="0.25">
      <c r="B66" s="9"/>
      <c r="C66" s="17">
        <v>482.03</v>
      </c>
      <c r="D66" s="18">
        <v>32.338000000000001</v>
      </c>
      <c r="E66" s="18">
        <v>35.848999999999997</v>
      </c>
      <c r="F66" s="18">
        <v>36.911999999999999</v>
      </c>
      <c r="G66" s="18">
        <v>457.32</v>
      </c>
      <c r="H66" s="18">
        <f t="shared" si="0"/>
        <v>33.348624999999998</v>
      </c>
      <c r="I66" s="5"/>
      <c r="J66" s="17">
        <v>404.52960000000002</v>
      </c>
      <c r="K66" s="18">
        <v>32.109400000000001</v>
      </c>
      <c r="L66" s="18">
        <v>36.555199999999999</v>
      </c>
      <c r="M66" s="18">
        <v>37.636899999999997</v>
      </c>
      <c r="N66" s="18">
        <v>291.54520000000002</v>
      </c>
      <c r="O66" s="18">
        <f t="shared" si="1"/>
        <v>33.356062500000007</v>
      </c>
      <c r="P66" s="7"/>
      <c r="Q66" s="10"/>
      <c r="R66" s="11"/>
      <c r="S66" s="11"/>
      <c r="T66" s="26"/>
      <c r="U66" s="28">
        <f t="shared" si="3"/>
        <v>-0.36249190938511322</v>
      </c>
    </row>
    <row r="67" spans="1:21" x14ac:dyDescent="0.25">
      <c r="B67" s="9"/>
      <c r="C67" s="17">
        <v>290.94</v>
      </c>
      <c r="D67" s="18">
        <v>30.140999999999998</v>
      </c>
      <c r="E67" s="18">
        <v>34.774000000000001</v>
      </c>
      <c r="F67" s="18">
        <v>35.820999999999998</v>
      </c>
      <c r="G67" s="18">
        <v>505.9</v>
      </c>
      <c r="H67" s="18">
        <f t="shared" si="0"/>
        <v>31.430125</v>
      </c>
      <c r="I67" s="5"/>
      <c r="J67" s="17">
        <v>253.22640000000001</v>
      </c>
      <c r="K67" s="18">
        <v>30.258299999999998</v>
      </c>
      <c r="L67" s="18">
        <v>35.394199999999998</v>
      </c>
      <c r="M67" s="18">
        <v>36.4649</v>
      </c>
      <c r="N67" s="18">
        <v>369.91370000000001</v>
      </c>
      <c r="O67" s="18">
        <f t="shared" si="1"/>
        <v>31.676112500000002</v>
      </c>
      <c r="P67" s="7"/>
      <c r="Q67" s="10"/>
      <c r="R67" s="11"/>
      <c r="S67" s="11"/>
      <c r="T67" s="26"/>
      <c r="U67" s="28">
        <f t="shared" si="3"/>
        <v>-0.26880075113658819</v>
      </c>
    </row>
    <row r="68" spans="1:21" ht="16.5" thickBot="1" x14ac:dyDescent="0.3">
      <c r="B68" s="12"/>
      <c r="C68" s="19">
        <v>144.61000000000001</v>
      </c>
      <c r="D68" s="20">
        <v>27.175999999999998</v>
      </c>
      <c r="E68" s="20">
        <v>33.497</v>
      </c>
      <c r="F68" s="20">
        <v>34.494999999999997</v>
      </c>
      <c r="G68" s="20">
        <v>621.12</v>
      </c>
      <c r="H68" s="20">
        <f t="shared" si="0"/>
        <v>28.881</v>
      </c>
      <c r="I68" s="5"/>
      <c r="J68" s="19">
        <v>122.2976</v>
      </c>
      <c r="K68" s="20">
        <v>27.770900000000001</v>
      </c>
      <c r="L68" s="20">
        <v>33.951999999999998</v>
      </c>
      <c r="M68" s="20">
        <v>34.896299999999997</v>
      </c>
      <c r="N68" s="20">
        <v>533.80780000000004</v>
      </c>
      <c r="O68" s="20">
        <f t="shared" si="1"/>
        <v>29.434212500000001</v>
      </c>
      <c r="P68" s="7"/>
      <c r="Q68" s="13"/>
      <c r="R68" s="14"/>
      <c r="S68" s="14"/>
      <c r="T68" s="27"/>
      <c r="U68" s="28">
        <f t="shared" si="3"/>
        <v>-0.14057219216898501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83.97</v>
      </c>
      <c r="H69" s="16">
        <f t="shared" si="0"/>
        <v>41.964499999999994</v>
      </c>
      <c r="I69" s="5"/>
      <c r="J69" s="15">
        <v>1493.2360000000001</v>
      </c>
      <c r="K69" s="16">
        <v>41.329500000000003</v>
      </c>
      <c r="L69" s="16">
        <v>45.549599999999998</v>
      </c>
      <c r="M69" s="16">
        <v>46.7331</v>
      </c>
      <c r="N69" s="16">
        <v>104.8035</v>
      </c>
      <c r="O69" s="16">
        <f t="shared" si="1"/>
        <v>42.532462500000001</v>
      </c>
      <c r="P69" s="7"/>
      <c r="Q69" s="8">
        <f>bdrate(C69:C72,D69:D72,J69:J72,K69:K72)</f>
        <v>-0.39611863073675468</v>
      </c>
      <c r="R69" s="8">
        <f>bdrate(C69:C72,E69:E72,J69:J72,L69:L72)</f>
        <v>-0.51491832698558448</v>
      </c>
      <c r="S69" s="8">
        <f>bdrate(C69:C72,F69:F72,J69:J72,M69:M72)</f>
        <v>-0.53746103578342075</v>
      </c>
      <c r="T69" s="25">
        <f>bdrate(C69:C72,H69:H72,J69:J72,O69:O72)</f>
        <v>-0.42268590170269205</v>
      </c>
      <c r="U69" s="28">
        <f t="shared" si="3"/>
        <v>0.2481064665952126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88.42</v>
      </c>
      <c r="H70" s="18">
        <f t="shared" si="0"/>
        <v>40.600625000000001</v>
      </c>
      <c r="I70" s="5"/>
      <c r="J70" s="17">
        <v>977.65440000000001</v>
      </c>
      <c r="K70" s="18">
        <v>40.2224</v>
      </c>
      <c r="L70" s="18">
        <v>44.690100000000001</v>
      </c>
      <c r="M70" s="18">
        <v>45.837699999999998</v>
      </c>
      <c r="N70" s="18">
        <v>121.7039</v>
      </c>
      <c r="O70" s="18">
        <f t="shared" si="1"/>
        <v>41.482774999999997</v>
      </c>
      <c r="P70" s="7"/>
      <c r="Q70" s="10"/>
      <c r="R70" s="11"/>
      <c r="S70" s="11"/>
      <c r="T70" s="26"/>
      <c r="U70" s="28">
        <f t="shared" si="3"/>
        <v>0.376429540827867</v>
      </c>
    </row>
    <row r="71" spans="1:21" x14ac:dyDescent="0.25">
      <c r="B71" s="9"/>
      <c r="C71" s="17">
        <v>742.19</v>
      </c>
      <c r="D71" s="18">
        <v>37.155000000000001</v>
      </c>
      <c r="E71" s="18">
        <v>41.886000000000003</v>
      </c>
      <c r="F71" s="18">
        <v>42.853999999999999</v>
      </c>
      <c r="G71" s="18">
        <v>91.58</v>
      </c>
      <c r="H71" s="18">
        <f t="shared" si="0"/>
        <v>38.458750000000002</v>
      </c>
      <c r="I71" s="5"/>
      <c r="J71" s="17">
        <v>568.17999999999995</v>
      </c>
      <c r="K71" s="18">
        <v>38.228999999999999</v>
      </c>
      <c r="L71" s="18">
        <v>43.133699999999997</v>
      </c>
      <c r="M71" s="18">
        <v>44.266399999999997</v>
      </c>
      <c r="N71" s="18">
        <v>141.94460000000001</v>
      </c>
      <c r="O71" s="18">
        <f t="shared" si="1"/>
        <v>39.596762499999997</v>
      </c>
      <c r="P71" s="7"/>
      <c r="Q71" s="10"/>
      <c r="R71" s="11"/>
      <c r="S71" s="11"/>
      <c r="T71" s="26"/>
      <c r="U71" s="28">
        <f t="shared" si="3"/>
        <v>0.54995195457523494</v>
      </c>
    </row>
    <row r="72" spans="1:21" ht="16.5" thickBot="1" x14ac:dyDescent="0.3">
      <c r="B72" s="12"/>
      <c r="C72" s="19">
        <v>341.98</v>
      </c>
      <c r="D72" s="20">
        <v>32.871000000000002</v>
      </c>
      <c r="E72" s="20">
        <v>39.752000000000002</v>
      </c>
      <c r="F72" s="20">
        <v>40.545000000000002</v>
      </c>
      <c r="G72" s="20">
        <v>97.86</v>
      </c>
      <c r="H72" s="20">
        <f t="shared" si="0"/>
        <v>34.690375000000003</v>
      </c>
      <c r="I72" s="5"/>
      <c r="J72" s="19">
        <v>278.10320000000002</v>
      </c>
      <c r="K72" s="20">
        <v>35.184899999999999</v>
      </c>
      <c r="L72" s="20">
        <v>41.493000000000002</v>
      </c>
      <c r="M72" s="20">
        <v>42.571800000000003</v>
      </c>
      <c r="N72" s="20">
        <v>176.4187</v>
      </c>
      <c r="O72" s="20">
        <f t="shared" si="1"/>
        <v>36.896774999999998</v>
      </c>
      <c r="P72" s="7"/>
      <c r="Q72" s="13"/>
      <c r="R72" s="14"/>
      <c r="S72" s="14"/>
      <c r="T72" s="27"/>
      <c r="U72" s="28">
        <f t="shared" si="3"/>
        <v>0.80276619660739834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91.35</v>
      </c>
      <c r="H73" s="16">
        <f t="shared" si="0"/>
        <v>42.983249999999998</v>
      </c>
      <c r="I73" s="5"/>
      <c r="J73" s="15">
        <v>1527.2704000000001</v>
      </c>
      <c r="K73" s="16">
        <v>42.615400000000001</v>
      </c>
      <c r="L73" s="16">
        <v>47.624200000000002</v>
      </c>
      <c r="M73" s="16">
        <v>48.3035</v>
      </c>
      <c r="N73" s="16">
        <v>118.6944</v>
      </c>
      <c r="O73" s="16">
        <f t="shared" si="1"/>
        <v>43.952512499999997</v>
      </c>
      <c r="P73" s="7"/>
      <c r="Q73" s="8">
        <f>bdrate(C73:C76,D73:D76,J73:J76,K73:K76)</f>
        <v>-0.61104907673935094</v>
      </c>
      <c r="R73" s="8">
        <f>bdrate(C73:C76,E73:E76,J73:J76,L73:L76)</f>
        <v>-0.71566798292558276</v>
      </c>
      <c r="S73" s="8">
        <f>bdrate(C73:C76,F73:F76,J73:J76,M73:M76)</f>
        <v>-0.73328466491149102</v>
      </c>
      <c r="T73" s="25">
        <f>bdrate(C73:C76,H73:H76,J73:J76,O73:O76)</f>
        <v>-0.64224129912327976</v>
      </c>
      <c r="U73" s="28">
        <f t="shared" ref="U73:U80" si="4">(N73-G73)/G73</f>
        <v>0.29933661740558304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97.13</v>
      </c>
      <c r="H74" s="18">
        <f t="shared" si="0"/>
        <v>42.104875</v>
      </c>
      <c r="I74" s="5"/>
      <c r="J74" s="17">
        <v>972.1712</v>
      </c>
      <c r="K74" s="18">
        <v>42.070799999999998</v>
      </c>
      <c r="L74" s="18">
        <v>47.137500000000003</v>
      </c>
      <c r="M74" s="18">
        <v>47.819499999999998</v>
      </c>
      <c r="N74" s="18">
        <v>139.37280000000001</v>
      </c>
      <c r="O74" s="18">
        <f t="shared" si="1"/>
        <v>43.422725</v>
      </c>
      <c r="P74" s="7"/>
      <c r="Q74" s="10"/>
      <c r="R74" s="11"/>
      <c r="S74" s="11"/>
      <c r="T74" s="26"/>
      <c r="U74" s="28">
        <f t="shared" si="4"/>
        <v>0.43490991454751382</v>
      </c>
    </row>
    <row r="75" spans="1:21" x14ac:dyDescent="0.25">
      <c r="B75" s="9"/>
      <c r="C75" s="17">
        <v>773.12</v>
      </c>
      <c r="D75" s="18">
        <v>39.49</v>
      </c>
      <c r="E75" s="18">
        <v>43.94</v>
      </c>
      <c r="F75" s="18">
        <v>44.570999999999998</v>
      </c>
      <c r="G75" s="18">
        <v>102.56</v>
      </c>
      <c r="H75" s="18">
        <f t="shared" si="0"/>
        <v>40.681375000000003</v>
      </c>
      <c r="I75" s="5"/>
      <c r="J75" s="17">
        <v>576.15359999999998</v>
      </c>
      <c r="K75" s="18">
        <v>41.181600000000003</v>
      </c>
      <c r="L75" s="18">
        <v>46.256599999999999</v>
      </c>
      <c r="M75" s="18">
        <v>46.875900000000001</v>
      </c>
      <c r="N75" s="18">
        <v>158.89830000000001</v>
      </c>
      <c r="O75" s="18">
        <f t="shared" si="1"/>
        <v>42.527762500000001</v>
      </c>
      <c r="P75" s="7"/>
      <c r="Q75" s="10"/>
      <c r="R75" s="11"/>
      <c r="S75" s="11"/>
      <c r="T75" s="26"/>
      <c r="U75" s="28">
        <f t="shared" si="4"/>
        <v>0.54932039781591269</v>
      </c>
    </row>
    <row r="76" spans="1:21" ht="16.5" thickBot="1" x14ac:dyDescent="0.3">
      <c r="B76" s="12"/>
      <c r="C76" s="19">
        <v>345.53</v>
      </c>
      <c r="D76" s="20">
        <v>35.966999999999999</v>
      </c>
      <c r="E76" s="20">
        <v>41.634999999999998</v>
      </c>
      <c r="F76" s="20">
        <v>42.387999999999998</v>
      </c>
      <c r="G76" s="20">
        <v>108.97</v>
      </c>
      <c r="H76" s="20">
        <f t="shared" si="0"/>
        <v>37.478124999999999</v>
      </c>
      <c r="I76" s="5"/>
      <c r="J76" s="19">
        <v>280.49759999999998</v>
      </c>
      <c r="K76" s="20">
        <v>39.421300000000002</v>
      </c>
      <c r="L76" s="20">
        <v>44.600999999999999</v>
      </c>
      <c r="M76" s="20">
        <v>45.156500000000001</v>
      </c>
      <c r="N76" s="20">
        <v>185.7585</v>
      </c>
      <c r="O76" s="20">
        <f t="shared" si="1"/>
        <v>40.785662500000001</v>
      </c>
      <c r="P76" s="7"/>
      <c r="Q76" s="13"/>
      <c r="R76" s="14"/>
      <c r="S76" s="14"/>
      <c r="T76" s="27"/>
      <c r="U76" s="28">
        <f t="shared" si="4"/>
        <v>0.70467559878865738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86.23</v>
      </c>
      <c r="H77" s="16">
        <f t="shared" si="0"/>
        <v>42.834249999999997</v>
      </c>
      <c r="I77" s="5"/>
      <c r="J77" s="15">
        <v>1527.808</v>
      </c>
      <c r="K77" s="16">
        <v>42.472200000000001</v>
      </c>
      <c r="L77" s="16">
        <v>46.694400000000002</v>
      </c>
      <c r="M77" s="16">
        <v>47.543300000000002</v>
      </c>
      <c r="N77" s="16">
        <v>103.95010000000001</v>
      </c>
      <c r="O77" s="16">
        <f t="shared" si="1"/>
        <v>43.633862499999999</v>
      </c>
      <c r="P77" s="7"/>
      <c r="Q77" s="8">
        <f>bdrate(C77:C80,D77:D80,J77:J80,K77:K80)</f>
        <v>-0.53034581002272896</v>
      </c>
      <c r="R77" s="8">
        <f>bdrate(C77:C80,E77:E80,J77:J80,L77:L80)</f>
        <v>-0.62436054344017888</v>
      </c>
      <c r="S77" s="8">
        <f>bdrate(C77:C80,F77:F80,J77:J80,M77:M80)</f>
        <v>-0.63499103308750837</v>
      </c>
      <c r="T77" s="25">
        <f>bdrate(C77:C80,H77:H80,J77:J80,O77:O80)</f>
        <v>-0.55463912508680169</v>
      </c>
      <c r="U77" s="28">
        <f t="shared" si="4"/>
        <v>0.20549808651281459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92.45</v>
      </c>
      <c r="H78" s="18">
        <f t="shared" si="0"/>
        <v>41.650750000000002</v>
      </c>
      <c r="I78" s="5"/>
      <c r="J78" s="17">
        <v>1011.272</v>
      </c>
      <c r="K78" s="18">
        <v>41.637500000000003</v>
      </c>
      <c r="L78" s="18">
        <v>45.943600000000004</v>
      </c>
      <c r="M78" s="18">
        <v>46.789700000000003</v>
      </c>
      <c r="N78" s="18">
        <v>122.1001</v>
      </c>
      <c r="O78" s="18">
        <f t="shared" si="1"/>
        <v>42.819787499999997</v>
      </c>
      <c r="P78" s="7"/>
      <c r="Q78" s="10"/>
      <c r="R78" s="11"/>
      <c r="S78" s="11"/>
      <c r="T78" s="26"/>
      <c r="U78" s="28">
        <f t="shared" si="4"/>
        <v>0.32071498107084906</v>
      </c>
    </row>
    <row r="79" spans="1:21" x14ac:dyDescent="0.25">
      <c r="B79" s="9"/>
      <c r="C79" s="17">
        <v>819.91</v>
      </c>
      <c r="D79" s="18">
        <v>38.643000000000001</v>
      </c>
      <c r="E79" s="18">
        <v>42.667000000000002</v>
      </c>
      <c r="F79" s="18">
        <v>43.341999999999999</v>
      </c>
      <c r="G79" s="18">
        <v>97.86</v>
      </c>
      <c r="H79" s="18">
        <f t="shared" si="0"/>
        <v>39.733374999999995</v>
      </c>
      <c r="I79" s="5"/>
      <c r="J79" s="17">
        <v>602.94320000000005</v>
      </c>
      <c r="K79" s="18">
        <v>40.3217</v>
      </c>
      <c r="L79" s="18">
        <v>44.784999999999997</v>
      </c>
      <c r="M79" s="18">
        <v>45.500500000000002</v>
      </c>
      <c r="N79" s="18">
        <v>141.37610000000001</v>
      </c>
      <c r="O79" s="18">
        <f t="shared" si="1"/>
        <v>41.526962499999996</v>
      </c>
      <c r="P79" s="7"/>
      <c r="Q79" s="10"/>
      <c r="R79" s="11"/>
      <c r="S79" s="11"/>
      <c r="T79" s="26"/>
      <c r="U79" s="28">
        <f t="shared" si="4"/>
        <v>0.44467708972000825</v>
      </c>
    </row>
    <row r="80" spans="1:21" ht="16.5" thickBot="1" x14ac:dyDescent="0.3">
      <c r="B80" s="12"/>
      <c r="C80" s="19">
        <v>376.98</v>
      </c>
      <c r="D80" s="20">
        <v>34.680999999999997</v>
      </c>
      <c r="E80" s="20">
        <v>40.332000000000001</v>
      </c>
      <c r="F80" s="20">
        <v>41.054000000000002</v>
      </c>
      <c r="G80" s="20">
        <v>105.37</v>
      </c>
      <c r="H80" s="20">
        <f t="shared" si="0"/>
        <v>36.183999999999997</v>
      </c>
      <c r="I80" s="5"/>
      <c r="J80" s="19">
        <v>294.07600000000002</v>
      </c>
      <c r="K80" s="20">
        <v>37.695999999999998</v>
      </c>
      <c r="L80" s="20">
        <v>42.6736</v>
      </c>
      <c r="M80" s="20">
        <v>43.5015</v>
      </c>
      <c r="N80" s="20">
        <v>170.9402</v>
      </c>
      <c r="O80" s="20">
        <f t="shared" si="1"/>
        <v>39.043887500000004</v>
      </c>
      <c r="P80" s="7"/>
      <c r="Q80" s="13"/>
      <c r="R80" s="14"/>
      <c r="S80" s="14"/>
      <c r="T80" s="27"/>
      <c r="U80" s="28">
        <f t="shared" si="4"/>
        <v>0.62228528044035303</v>
      </c>
    </row>
    <row r="81" spans="1:21" x14ac:dyDescent="0.25">
      <c r="A81" s="6" t="s">
        <v>102</v>
      </c>
      <c r="B81" s="6" t="s">
        <v>103</v>
      </c>
      <c r="C81" s="15">
        <v>1609.46</v>
      </c>
      <c r="D81" s="16">
        <v>41.334000000000003</v>
      </c>
      <c r="E81" s="16">
        <v>46.189</v>
      </c>
      <c r="F81" s="16">
        <v>47.826000000000001</v>
      </c>
      <c r="G81" s="16">
        <v>71.010000000000005</v>
      </c>
      <c r="H81" s="16">
        <f t="shared" ref="H81:H91" si="5">(6*D81+E81+F81)/8</f>
        <v>42.752375000000008</v>
      </c>
      <c r="I81" s="5"/>
      <c r="J81" s="15">
        <v>1286.7708</v>
      </c>
      <c r="K81" s="16">
        <v>43.730200000000004</v>
      </c>
      <c r="L81" s="16">
        <v>48.8337</v>
      </c>
      <c r="M81" s="16">
        <v>50.005800000000001</v>
      </c>
      <c r="N81" s="16">
        <v>60.6633</v>
      </c>
      <c r="O81" s="16">
        <f t="shared" ref="O81:O91" si="6">(6*K81+L81+M81)/8</f>
        <v>45.15258750000001</v>
      </c>
      <c r="P81" s="7"/>
      <c r="Q81" s="8">
        <f>bdrate(C81:C84,D81:D84,J81:J84,K81:K84)</f>
        <v>-0.56479781560596343</v>
      </c>
      <c r="R81" s="8">
        <f>bdrate(C81:C84,E81:E84,J81:J84,L81:L84)</f>
        <v>-0.68703797968332481</v>
      </c>
      <c r="S81" s="8">
        <f>bdrate(C81:C84,F81:F84,J81:J84,M81:M84)</f>
        <v>-0.62345878328073878</v>
      </c>
      <c r="T81" s="25">
        <f>bdrate(C81:C84,H81:H84,J81:J84,O81:O84)</f>
        <v>-0.58307404698364018</v>
      </c>
      <c r="U81" s="28">
        <f t="shared" ref="U81:U91" si="7">(N81-G81)/G81</f>
        <v>-0.14570764681030848</v>
      </c>
    </row>
    <row r="82" spans="1:21" x14ac:dyDescent="0.25">
      <c r="A82" s="9" t="s">
        <v>78</v>
      </c>
      <c r="B82" s="9"/>
      <c r="C82" s="17">
        <v>1075.94</v>
      </c>
      <c r="D82" s="18">
        <v>38.960999999999999</v>
      </c>
      <c r="E82" s="18">
        <v>44.704999999999998</v>
      </c>
      <c r="F82" s="18">
        <v>46.332999999999998</v>
      </c>
      <c r="G82" s="18">
        <v>78.17</v>
      </c>
      <c r="H82" s="18">
        <f t="shared" si="5"/>
        <v>40.600499999999997</v>
      </c>
      <c r="I82" s="5"/>
      <c r="J82" s="17">
        <v>872.61770000000001</v>
      </c>
      <c r="K82" s="18">
        <v>41.846600000000002</v>
      </c>
      <c r="L82" s="18">
        <v>47.5989</v>
      </c>
      <c r="M82" s="18">
        <v>48.771799999999999</v>
      </c>
      <c r="N82" s="18">
        <v>71.137799999999999</v>
      </c>
      <c r="O82" s="18">
        <f t="shared" si="6"/>
        <v>43.431287500000003</v>
      </c>
      <c r="P82" s="7"/>
      <c r="Q82" s="10"/>
      <c r="R82" s="11"/>
      <c r="S82" s="11"/>
      <c r="T82" s="26"/>
      <c r="U82" s="28">
        <f t="shared" si="7"/>
        <v>-8.9960342842522745E-2</v>
      </c>
    </row>
    <row r="83" spans="1:21" x14ac:dyDescent="0.25">
      <c r="B83" s="9"/>
      <c r="C83" s="17">
        <v>655.58</v>
      </c>
      <c r="D83" s="18">
        <v>35.781999999999996</v>
      </c>
      <c r="E83" s="18">
        <v>42.284999999999997</v>
      </c>
      <c r="F83" s="18">
        <v>44.844999999999999</v>
      </c>
      <c r="G83" s="18">
        <v>84.97</v>
      </c>
      <c r="H83" s="18">
        <f t="shared" si="5"/>
        <v>37.72775</v>
      </c>
      <c r="I83" s="5"/>
      <c r="J83" s="17">
        <v>542.86040000000003</v>
      </c>
      <c r="K83" s="18">
        <v>39.586500000000001</v>
      </c>
      <c r="L83" s="18">
        <v>46.279600000000002</v>
      </c>
      <c r="M83" s="18">
        <v>47.253100000000003</v>
      </c>
      <c r="N83" s="18">
        <v>89.166300000000007</v>
      </c>
      <c r="O83" s="18">
        <f t="shared" si="6"/>
        <v>41.381462500000005</v>
      </c>
      <c r="P83" s="7"/>
      <c r="Q83" s="10"/>
      <c r="R83" s="11"/>
      <c r="S83" s="11"/>
      <c r="T83" s="26"/>
      <c r="U83" s="28">
        <f t="shared" si="7"/>
        <v>4.9385665529010331E-2</v>
      </c>
    </row>
    <row r="84" spans="1:21" ht="16.5" thickBot="1" x14ac:dyDescent="0.3">
      <c r="B84" s="12"/>
      <c r="C84" s="19">
        <v>309.89</v>
      </c>
      <c r="D84" s="20">
        <v>31.052</v>
      </c>
      <c r="E84" s="20">
        <v>40.287999999999997</v>
      </c>
      <c r="F84" s="20">
        <v>42.761000000000003</v>
      </c>
      <c r="G84" s="20">
        <v>97.46</v>
      </c>
      <c r="H84" s="20">
        <f t="shared" si="5"/>
        <v>33.670125000000006</v>
      </c>
      <c r="I84" s="5"/>
      <c r="J84" s="19">
        <v>278.42129999999997</v>
      </c>
      <c r="K84" s="20">
        <v>36.647100000000002</v>
      </c>
      <c r="L84" s="20">
        <v>44.098999999999997</v>
      </c>
      <c r="M84" s="20">
        <v>45.336500000000001</v>
      </c>
      <c r="N84" s="20">
        <v>117.7394</v>
      </c>
      <c r="O84" s="20">
        <f t="shared" si="6"/>
        <v>38.664762500000002</v>
      </c>
      <c r="P84" s="7"/>
      <c r="Q84" s="13"/>
      <c r="R84" s="14"/>
      <c r="S84" s="14"/>
      <c r="T84" s="27"/>
      <c r="U84" s="28">
        <f t="shared" si="7"/>
        <v>0.20807921198440396</v>
      </c>
    </row>
    <row r="85" spans="1:21" x14ac:dyDescent="0.25">
      <c r="B85" s="6" t="s">
        <v>104</v>
      </c>
      <c r="C85" s="15">
        <v>1995.46</v>
      </c>
      <c r="D85" s="16">
        <v>52.850999999999999</v>
      </c>
      <c r="E85" s="16">
        <v>53.143000000000001</v>
      </c>
      <c r="F85" s="16">
        <v>53.533999999999999</v>
      </c>
      <c r="G85" s="16">
        <v>124.6</v>
      </c>
      <c r="H85" s="16">
        <f t="shared" si="5"/>
        <v>52.972875000000002</v>
      </c>
      <c r="I85" s="5"/>
      <c r="J85" s="15">
        <v>1461.07</v>
      </c>
      <c r="K85" s="16">
        <v>51.560899999999997</v>
      </c>
      <c r="L85" s="16">
        <v>52.543599999999998</v>
      </c>
      <c r="M85" s="16">
        <v>53.040799999999997</v>
      </c>
      <c r="N85" s="16">
        <v>109.7829</v>
      </c>
      <c r="O85" s="16">
        <f t="shared" si="6"/>
        <v>51.868724999999998</v>
      </c>
      <c r="P85" s="7"/>
      <c r="Q85" s="8">
        <f>bdrate(C85:C88,D85:D88,J85:J88,K85:K88)</f>
        <v>-0.20865365371041722</v>
      </c>
      <c r="R85" s="8">
        <f>bdrate(C85:C88,E85:E88,J85:J88,L85:L88)</f>
        <v>-0.29740998715789846</v>
      </c>
      <c r="S85" s="8">
        <f>bdrate(C85:C88,F85:F88,J85:J88,M85:M88)</f>
        <v>-0.29805108012778603</v>
      </c>
      <c r="T85" s="25">
        <f>bdrate(C85:C88,H85:H88,J85:J88,O85:O88)</f>
        <v>-0.23092549017034336</v>
      </c>
      <c r="U85" s="28">
        <f t="shared" si="7"/>
        <v>-0.11891733547351523</v>
      </c>
    </row>
    <row r="86" spans="1:21" x14ac:dyDescent="0.25">
      <c r="B86" s="9"/>
      <c r="C86" s="17">
        <v>1333.17</v>
      </c>
      <c r="D86" s="18">
        <v>50.171999999999997</v>
      </c>
      <c r="E86" s="18">
        <v>50.634999999999998</v>
      </c>
      <c r="F86" s="18">
        <v>51.091000000000001</v>
      </c>
      <c r="G86" s="18">
        <v>119.44</v>
      </c>
      <c r="H86" s="18">
        <f t="shared" si="5"/>
        <v>50.344749999999998</v>
      </c>
      <c r="I86" s="5"/>
      <c r="J86" s="17">
        <v>981.91150000000005</v>
      </c>
      <c r="K86" s="18">
        <v>49.643500000000003</v>
      </c>
      <c r="L86" s="18">
        <v>50.726500000000001</v>
      </c>
      <c r="M86" s="18">
        <v>51.270699999999998</v>
      </c>
      <c r="N86" s="18">
        <v>138.18520000000001</v>
      </c>
      <c r="O86" s="18">
        <f t="shared" si="6"/>
        <v>49.982274999999994</v>
      </c>
      <c r="P86" s="7"/>
      <c r="Q86" s="10"/>
      <c r="R86" s="11"/>
      <c r="S86" s="11"/>
      <c r="T86" s="26"/>
      <c r="U86" s="28">
        <f t="shared" si="7"/>
        <v>0.15694239785666453</v>
      </c>
    </row>
    <row r="87" spans="1:21" x14ac:dyDescent="0.25">
      <c r="B87" s="9"/>
      <c r="C87" s="17">
        <v>809.37</v>
      </c>
      <c r="D87" s="18">
        <v>47.081000000000003</v>
      </c>
      <c r="E87" s="18">
        <v>47.588999999999999</v>
      </c>
      <c r="F87" s="18">
        <v>48.183</v>
      </c>
      <c r="G87" s="18">
        <v>138.02000000000001</v>
      </c>
      <c r="H87" s="18">
        <f t="shared" si="5"/>
        <v>47.282249999999998</v>
      </c>
      <c r="I87" s="5"/>
      <c r="J87" s="17">
        <v>600.62649999999996</v>
      </c>
      <c r="K87" s="18">
        <v>46.706200000000003</v>
      </c>
      <c r="L87" s="18">
        <v>48.003599999999999</v>
      </c>
      <c r="M87" s="18">
        <v>48.545299999999997</v>
      </c>
      <c r="N87" s="18">
        <v>156.14160000000001</v>
      </c>
      <c r="O87" s="18">
        <f t="shared" si="6"/>
        <v>47.098262500000004</v>
      </c>
      <c r="P87" s="7"/>
      <c r="Q87" s="10"/>
      <c r="R87" s="11"/>
      <c r="S87" s="11"/>
      <c r="T87" s="26"/>
      <c r="U87" s="28">
        <f t="shared" si="7"/>
        <v>0.13129691349079844</v>
      </c>
    </row>
    <row r="88" spans="1:21" ht="16.5" thickBot="1" x14ac:dyDescent="0.3">
      <c r="B88" s="12"/>
      <c r="C88" s="19">
        <v>382.66</v>
      </c>
      <c r="D88" s="20">
        <v>42.404000000000003</v>
      </c>
      <c r="E88" s="20">
        <v>43.276000000000003</v>
      </c>
      <c r="F88" s="20">
        <v>43.866</v>
      </c>
      <c r="G88" s="20">
        <v>147.55000000000001</v>
      </c>
      <c r="H88" s="20">
        <f t="shared" si="5"/>
        <v>42.695750000000004</v>
      </c>
      <c r="I88" s="5"/>
      <c r="J88" s="19">
        <v>300.98759999999999</v>
      </c>
      <c r="K88" s="20">
        <v>42.695399999999999</v>
      </c>
      <c r="L88" s="20">
        <v>44.282899999999998</v>
      </c>
      <c r="M88" s="20">
        <v>44.849200000000003</v>
      </c>
      <c r="N88" s="20">
        <v>184.31290000000001</v>
      </c>
      <c r="O88" s="20">
        <f t="shared" si="6"/>
        <v>43.163062499999995</v>
      </c>
      <c r="P88" s="7"/>
      <c r="Q88" s="13"/>
      <c r="R88" s="14"/>
      <c r="S88" s="14"/>
      <c r="T88" s="27"/>
      <c r="U88" s="28">
        <f t="shared" si="7"/>
        <v>0.24915554049474753</v>
      </c>
    </row>
    <row r="89" spans="1:21" x14ac:dyDescent="0.25">
      <c r="B89" s="6" t="s">
        <v>105</v>
      </c>
      <c r="C89" s="15">
        <v>2177.4699999999998</v>
      </c>
      <c r="D89" s="16">
        <v>42.386000000000003</v>
      </c>
      <c r="E89" s="16">
        <v>44.103999999999999</v>
      </c>
      <c r="F89" s="16">
        <v>44.786000000000001</v>
      </c>
      <c r="G89" s="16">
        <v>80.459999999999994</v>
      </c>
      <c r="H89" s="16">
        <f t="shared" si="5"/>
        <v>42.900750000000002</v>
      </c>
      <c r="I89" s="5"/>
      <c r="J89" s="15">
        <v>1488.9609</v>
      </c>
      <c r="K89" s="16">
        <v>42.661200000000001</v>
      </c>
      <c r="L89" s="16">
        <v>45.003900000000002</v>
      </c>
      <c r="M89" s="16">
        <v>45.440800000000003</v>
      </c>
      <c r="N89" s="16">
        <v>78.332400000000007</v>
      </c>
      <c r="O89" s="16">
        <f t="shared" si="6"/>
        <v>43.3014875</v>
      </c>
      <c r="P89" s="7"/>
      <c r="Q89" s="8">
        <f>bdrate(C89:C92,D89:D92,J89:J92,K89:K92)</f>
        <v>-0.44508953294109854</v>
      </c>
      <c r="R89" s="8">
        <f>bdrate(C89:C92,E89:E92,J89:J92,L89:L92)</f>
        <v>-0.49203264932647162</v>
      </c>
      <c r="S89" s="8">
        <f>bdrate(C89:C92,F89:F92,J89:J92,M89:M92)</f>
        <v>-0.45071301637810768</v>
      </c>
      <c r="T89" s="25">
        <f>bdrate(C89:C92,H89:H92,J89:J92,O89:O92)</f>
        <v>-0.45085810250525138</v>
      </c>
      <c r="U89" s="28">
        <f t="shared" si="7"/>
        <v>-2.6442953020134066E-2</v>
      </c>
    </row>
    <row r="90" spans="1:21" x14ac:dyDescent="0.25">
      <c r="B90" s="9"/>
      <c r="C90" s="17">
        <v>1452.98</v>
      </c>
      <c r="D90" s="18">
        <v>39.85</v>
      </c>
      <c r="E90" s="18">
        <v>42.439</v>
      </c>
      <c r="F90" s="18">
        <v>43.154000000000003</v>
      </c>
      <c r="G90" s="18">
        <v>86.95</v>
      </c>
      <c r="H90" s="18">
        <f t="shared" si="5"/>
        <v>40.586625000000005</v>
      </c>
      <c r="I90" s="5"/>
      <c r="J90" s="17">
        <v>993.82730000000004</v>
      </c>
      <c r="K90" s="18">
        <v>40.725700000000003</v>
      </c>
      <c r="L90" s="18">
        <v>43.518000000000001</v>
      </c>
      <c r="M90" s="18">
        <v>43.9557</v>
      </c>
      <c r="N90" s="18">
        <v>93.201499999999996</v>
      </c>
      <c r="O90" s="18">
        <f t="shared" si="6"/>
        <v>41.4784875</v>
      </c>
      <c r="P90" s="7"/>
      <c r="Q90" s="10"/>
      <c r="R90" s="11"/>
      <c r="S90" s="11"/>
      <c r="T90" s="26"/>
      <c r="U90" s="28">
        <f t="shared" si="7"/>
        <v>7.1897642323174152E-2</v>
      </c>
    </row>
    <row r="91" spans="1:21" x14ac:dyDescent="0.25">
      <c r="B91" s="9"/>
      <c r="C91" s="17">
        <v>884.44</v>
      </c>
      <c r="D91" s="18">
        <v>36.963000000000001</v>
      </c>
      <c r="E91" s="18">
        <v>40.61</v>
      </c>
      <c r="F91" s="18">
        <v>41.329000000000001</v>
      </c>
      <c r="G91" s="18">
        <v>93.43</v>
      </c>
      <c r="H91" s="18">
        <f t="shared" si="5"/>
        <v>37.964625000000005</v>
      </c>
      <c r="I91" s="5"/>
      <c r="J91" s="17">
        <v>597.90729999999996</v>
      </c>
      <c r="K91" s="18">
        <v>38.200200000000002</v>
      </c>
      <c r="L91" s="18">
        <v>41.714199999999998</v>
      </c>
      <c r="M91" s="18">
        <v>42.1387</v>
      </c>
      <c r="N91" s="18">
        <v>110.0985</v>
      </c>
      <c r="O91" s="18">
        <f t="shared" si="6"/>
        <v>39.131762500000008</v>
      </c>
      <c r="P91" s="7"/>
      <c r="Q91" s="10"/>
      <c r="R91" s="11"/>
      <c r="S91" s="11"/>
      <c r="T91" s="26"/>
      <c r="U91" s="28">
        <f t="shared" si="7"/>
        <v>0.17840629348175097</v>
      </c>
    </row>
    <row r="92" spans="1:21" ht="16.5" thickBot="1" x14ac:dyDescent="0.3">
      <c r="B92" s="12"/>
      <c r="C92" s="19">
        <v>422.61</v>
      </c>
      <c r="D92" s="20">
        <v>31.797999999999998</v>
      </c>
      <c r="E92" s="20">
        <v>38.088999999999999</v>
      </c>
      <c r="F92" s="20">
        <v>38.874000000000002</v>
      </c>
      <c r="G92" s="20">
        <v>102.11</v>
      </c>
      <c r="H92" s="20">
        <f t="shared" ref="H92:H124" si="8">(6*D92+E92+F92)/8</f>
        <v>33.468874999999997</v>
      </c>
      <c r="I92" s="5"/>
      <c r="J92" s="19">
        <v>299.93169999999998</v>
      </c>
      <c r="K92" s="20">
        <v>34.530099999999997</v>
      </c>
      <c r="L92" s="20">
        <v>39.152700000000003</v>
      </c>
      <c r="M92" s="20">
        <v>39.620199999999997</v>
      </c>
      <c r="N92" s="20">
        <v>138.02619999999999</v>
      </c>
      <c r="O92" s="20">
        <f t="shared" ref="O92:O124" si="9">(6*K92+L92+M92)/8</f>
        <v>35.744187499999995</v>
      </c>
      <c r="P92" s="7"/>
      <c r="Q92" s="13"/>
      <c r="R92" s="14"/>
      <c r="S92" s="14"/>
      <c r="T92" s="27"/>
      <c r="U92" s="28">
        <f t="shared" ref="U92:U124" si="10">(N92-G92)/G92</f>
        <v>0.35174028009009883</v>
      </c>
    </row>
    <row r="93" spans="1:21" x14ac:dyDescent="0.25">
      <c r="B93" s="6" t="s">
        <v>106</v>
      </c>
      <c r="C93" s="29">
        <v>2056.19</v>
      </c>
      <c r="D93" s="30">
        <v>38.831000000000003</v>
      </c>
      <c r="E93" s="30">
        <v>43.152999999999999</v>
      </c>
      <c r="F93" s="30">
        <v>43.113999999999997</v>
      </c>
      <c r="G93" s="16">
        <v>65.52</v>
      </c>
      <c r="H93" s="16">
        <f t="shared" si="8"/>
        <v>39.906624999999998</v>
      </c>
      <c r="I93" s="5"/>
      <c r="J93" s="29">
        <v>1508.8572999999999</v>
      </c>
      <c r="K93" s="30">
        <v>39.0366</v>
      </c>
      <c r="L93" s="30">
        <v>43.4621</v>
      </c>
      <c r="M93" s="30">
        <v>43.451799999999999</v>
      </c>
      <c r="N93" s="16">
        <v>66.543400000000005</v>
      </c>
      <c r="O93" s="16">
        <f t="shared" si="9"/>
        <v>40.141687500000003</v>
      </c>
      <c r="P93" s="7"/>
      <c r="Q93" s="8">
        <f>bdrate(C93:C96,D93:D96,J93:J96,K93:K96)</f>
        <v>-0.39458750694421085</v>
      </c>
      <c r="R93" s="8">
        <f>bdrate(C93:C96,E93:E96,J93:J96,L93:L96)</f>
        <v>-0.36980024518119436</v>
      </c>
      <c r="S93" s="8">
        <f>bdrate(C93:C96,F93:F96,J93:J96,M93:M96)</f>
        <v>-0.3843141204618572</v>
      </c>
      <c r="T93" s="25">
        <f>bdrate(C93:C96,H93:H96,J93:J96,O93:O96)</f>
        <v>-0.39292436427788391</v>
      </c>
      <c r="U93" s="28">
        <f t="shared" si="10"/>
        <v>1.5619658119658264E-2</v>
      </c>
    </row>
    <row r="94" spans="1:21" x14ac:dyDescent="0.25">
      <c r="B94" s="9"/>
      <c r="C94" s="31">
        <v>1376.07</v>
      </c>
      <c r="D94" s="32">
        <v>36.603000000000002</v>
      </c>
      <c r="E94" s="32">
        <v>41.765999999999998</v>
      </c>
      <c r="F94" s="32">
        <v>41.66</v>
      </c>
      <c r="G94" s="18">
        <v>76.569999999999993</v>
      </c>
      <c r="H94" s="18">
        <f t="shared" si="8"/>
        <v>37.880499999999998</v>
      </c>
      <c r="I94" s="5"/>
      <c r="J94" s="31">
        <v>1003.8952</v>
      </c>
      <c r="K94" s="32">
        <v>37.170900000000003</v>
      </c>
      <c r="L94" s="32">
        <v>42.195300000000003</v>
      </c>
      <c r="M94" s="32">
        <v>42.146700000000003</v>
      </c>
      <c r="N94" s="18">
        <v>79.522900000000007</v>
      </c>
      <c r="O94" s="18">
        <f t="shared" si="9"/>
        <v>38.420925000000004</v>
      </c>
      <c r="P94" s="7"/>
      <c r="Q94" s="10"/>
      <c r="R94" s="11"/>
      <c r="S94" s="11"/>
      <c r="T94" s="26"/>
      <c r="U94" s="28">
        <f t="shared" si="10"/>
        <v>3.8564712028209665E-2</v>
      </c>
    </row>
    <row r="95" spans="1:21" x14ac:dyDescent="0.25">
      <c r="B95" s="9"/>
      <c r="C95" s="31">
        <v>840.41</v>
      </c>
      <c r="D95" s="32">
        <v>33.814999999999998</v>
      </c>
      <c r="E95" s="32">
        <v>40.253999999999998</v>
      </c>
      <c r="F95" s="32">
        <v>40.064</v>
      </c>
      <c r="G95" s="18">
        <v>83.85</v>
      </c>
      <c r="H95" s="18">
        <f t="shared" si="8"/>
        <v>35.400999999999996</v>
      </c>
      <c r="I95" s="5"/>
      <c r="J95" s="31">
        <v>603.58090000000004</v>
      </c>
      <c r="K95" s="32">
        <v>34.856200000000001</v>
      </c>
      <c r="L95" s="32">
        <v>40.683700000000002</v>
      </c>
      <c r="M95" s="32">
        <v>40.612299999999998</v>
      </c>
      <c r="N95" s="18">
        <v>95.359200000000001</v>
      </c>
      <c r="O95" s="18">
        <f t="shared" si="9"/>
        <v>36.30415</v>
      </c>
      <c r="P95" s="7"/>
      <c r="Q95" s="10"/>
      <c r="R95" s="11"/>
      <c r="S95" s="11"/>
      <c r="T95" s="26"/>
      <c r="U95" s="28">
        <f t="shared" si="10"/>
        <v>0.13725939177101978</v>
      </c>
    </row>
    <row r="96" spans="1:21" ht="16.5" thickBot="1" x14ac:dyDescent="0.3">
      <c r="B96" s="12"/>
      <c r="C96" s="33">
        <v>400.85</v>
      </c>
      <c r="D96" s="34">
        <v>29.248999999999999</v>
      </c>
      <c r="E96" s="34">
        <v>38.246000000000002</v>
      </c>
      <c r="F96" s="34">
        <v>38.079000000000001</v>
      </c>
      <c r="G96" s="20">
        <v>92.61</v>
      </c>
      <c r="H96" s="20">
        <f t="shared" si="8"/>
        <v>31.477375000000002</v>
      </c>
      <c r="I96" s="5"/>
      <c r="J96" s="33">
        <v>303.02269999999999</v>
      </c>
      <c r="K96" s="34">
        <v>31.842400000000001</v>
      </c>
      <c r="L96" s="34">
        <v>38.732799999999997</v>
      </c>
      <c r="M96" s="34">
        <v>38.6083</v>
      </c>
      <c r="N96" s="20">
        <v>123.018</v>
      </c>
      <c r="O96" s="20">
        <f t="shared" si="9"/>
        <v>33.549437500000003</v>
      </c>
      <c r="P96" s="7"/>
      <c r="Q96" s="13"/>
      <c r="R96" s="14"/>
      <c r="S96" s="14"/>
      <c r="T96" s="27"/>
      <c r="U96" s="28">
        <f t="shared" si="10"/>
        <v>0.3283446712018141</v>
      </c>
    </row>
    <row r="97" spans="2:21" x14ac:dyDescent="0.25">
      <c r="B97" s="6" t="s">
        <v>107</v>
      </c>
      <c r="C97" s="15">
        <v>2123.35</v>
      </c>
      <c r="D97" s="16">
        <v>37.134</v>
      </c>
      <c r="E97" s="16">
        <v>40.329000000000001</v>
      </c>
      <c r="F97" s="16">
        <v>40.883000000000003</v>
      </c>
      <c r="G97" s="16">
        <v>79.58</v>
      </c>
      <c r="H97" s="16">
        <f t="shared" si="8"/>
        <v>38.001999999999995</v>
      </c>
      <c r="I97" s="5"/>
      <c r="J97" s="15">
        <v>1499.4214999999999</v>
      </c>
      <c r="K97" s="16">
        <v>36.945300000000003</v>
      </c>
      <c r="L97" s="16">
        <v>41.444000000000003</v>
      </c>
      <c r="M97" s="16">
        <v>41.970599999999997</v>
      </c>
      <c r="N97" s="16">
        <v>67.554900000000004</v>
      </c>
      <c r="O97" s="16">
        <f t="shared" si="9"/>
        <v>38.135800000000003</v>
      </c>
      <c r="P97" s="7"/>
      <c r="Q97" s="8">
        <f>bdrate(C97:C100,D97:D100,J97:J100,K97:K100)</f>
        <v>-0.34955930304470961</v>
      </c>
      <c r="R97" s="8">
        <f>bdrate(C97:C100,E97:E100,J97:J100,L97:L100)</f>
        <v>-0.50489574838200257</v>
      </c>
      <c r="S97" s="8">
        <f>bdrate(C97:C100,F97:F100,J97:J100,M97:M100)</f>
        <v>-0.50300401747721701</v>
      </c>
      <c r="T97" s="25">
        <f>bdrate(C97:C100,H97:H100,J97:J100,O97:O100)</f>
        <v>-0.37774788911945101</v>
      </c>
      <c r="U97" s="28">
        <f t="shared" si="10"/>
        <v>-0.15110706207589841</v>
      </c>
    </row>
    <row r="98" spans="2:21" x14ac:dyDescent="0.25">
      <c r="B98" s="9"/>
      <c r="C98" s="17">
        <v>1417.56</v>
      </c>
      <c r="D98" s="18">
        <v>34.938000000000002</v>
      </c>
      <c r="E98" s="18">
        <v>38.911000000000001</v>
      </c>
      <c r="F98" s="18">
        <v>39.54</v>
      </c>
      <c r="G98" s="18">
        <v>79.959999999999994</v>
      </c>
      <c r="H98" s="18">
        <f t="shared" si="8"/>
        <v>36.009875000000001</v>
      </c>
      <c r="I98" s="5"/>
      <c r="J98" s="17">
        <v>1006.4716</v>
      </c>
      <c r="K98" s="18">
        <v>35.074599999999997</v>
      </c>
      <c r="L98" s="18">
        <v>40.085099999999997</v>
      </c>
      <c r="M98" s="18">
        <v>40.670699999999997</v>
      </c>
      <c r="N98" s="18">
        <v>79.194000000000003</v>
      </c>
      <c r="O98" s="18">
        <f t="shared" si="9"/>
        <v>36.400424999999998</v>
      </c>
      <c r="P98" s="7"/>
      <c r="Q98" s="10"/>
      <c r="R98" s="11"/>
      <c r="S98" s="11"/>
      <c r="T98" s="26"/>
      <c r="U98" s="28">
        <f t="shared" si="10"/>
        <v>-9.5797898949473628E-3</v>
      </c>
    </row>
    <row r="99" spans="2:21" x14ac:dyDescent="0.25">
      <c r="B99" s="9"/>
      <c r="C99" s="17">
        <v>861.2</v>
      </c>
      <c r="D99" s="18">
        <v>32.28</v>
      </c>
      <c r="E99" s="18">
        <v>37.375</v>
      </c>
      <c r="F99" s="18">
        <v>38.076000000000001</v>
      </c>
      <c r="G99" s="18">
        <v>91.94</v>
      </c>
      <c r="H99" s="18">
        <f t="shared" si="8"/>
        <v>33.641375000000004</v>
      </c>
      <c r="I99" s="5"/>
      <c r="J99" s="17">
        <v>598.72119999999995</v>
      </c>
      <c r="K99" s="18">
        <v>32.697600000000001</v>
      </c>
      <c r="L99" s="18">
        <v>38.431100000000001</v>
      </c>
      <c r="M99" s="18">
        <v>39.066499999999998</v>
      </c>
      <c r="N99" s="18">
        <v>95.283500000000004</v>
      </c>
      <c r="O99" s="18">
        <f t="shared" si="9"/>
        <v>34.210400000000007</v>
      </c>
      <c r="P99" s="7"/>
      <c r="Q99" s="10"/>
      <c r="R99" s="11"/>
      <c r="S99" s="11"/>
      <c r="T99" s="26"/>
      <c r="U99" s="28">
        <f t="shared" si="10"/>
        <v>3.6366108331520625E-2</v>
      </c>
    </row>
    <row r="100" spans="2:21" ht="16.5" thickBot="1" x14ac:dyDescent="0.3">
      <c r="B100" s="12"/>
      <c r="C100" s="19">
        <v>404.05</v>
      </c>
      <c r="D100" s="20">
        <v>27.861999999999998</v>
      </c>
      <c r="E100" s="20">
        <v>35.396000000000001</v>
      </c>
      <c r="F100" s="20">
        <v>36.164999999999999</v>
      </c>
      <c r="G100" s="20">
        <v>102.56</v>
      </c>
      <c r="H100" s="20">
        <f t="shared" si="8"/>
        <v>29.841624999999997</v>
      </c>
      <c r="I100" s="5"/>
      <c r="J100" s="19">
        <v>300.70269999999999</v>
      </c>
      <c r="K100" s="20">
        <v>29.553699999999999</v>
      </c>
      <c r="L100" s="20">
        <v>36.379399999999997</v>
      </c>
      <c r="M100" s="20">
        <v>37.1</v>
      </c>
      <c r="N100" s="20">
        <v>122.1001</v>
      </c>
      <c r="O100" s="20">
        <f t="shared" si="9"/>
        <v>31.350200000000001</v>
      </c>
      <c r="P100" s="7"/>
      <c r="Q100" s="13"/>
      <c r="R100" s="14"/>
      <c r="S100" s="14"/>
      <c r="T100" s="27"/>
      <c r="U100" s="28">
        <f t="shared" si="10"/>
        <v>0.19052359594383769</v>
      </c>
    </row>
    <row r="101" spans="2:21" x14ac:dyDescent="0.25">
      <c r="B101" s="6" t="s">
        <v>108</v>
      </c>
      <c r="C101" s="15">
        <v>2124.35</v>
      </c>
      <c r="D101" s="16">
        <v>37.604999999999997</v>
      </c>
      <c r="E101" s="16">
        <v>42.658000000000001</v>
      </c>
      <c r="F101" s="16">
        <v>44.220999999999997</v>
      </c>
      <c r="G101" s="16">
        <v>65.900000000000006</v>
      </c>
      <c r="H101" s="16">
        <f t="shared" si="8"/>
        <v>39.063625000000002</v>
      </c>
      <c r="I101" s="5"/>
      <c r="J101" s="15">
        <v>1513.7394999999999</v>
      </c>
      <c r="K101" s="16">
        <v>37.116500000000002</v>
      </c>
      <c r="L101" s="16">
        <v>43.0242</v>
      </c>
      <c r="M101" s="16">
        <v>44.426699999999997</v>
      </c>
      <c r="N101" s="16">
        <v>64.750500000000002</v>
      </c>
      <c r="O101" s="16">
        <f t="shared" si="9"/>
        <v>38.7687375</v>
      </c>
      <c r="P101" s="7"/>
      <c r="Q101" s="8">
        <f>bdrate(C101:C104,D101:D104,J101:J104,K101:K104)</f>
        <v>-0.34113442539978756</v>
      </c>
      <c r="R101" s="8">
        <f>bdrate(C101:C104,E101:E104,J101:J104,L101:L104)</f>
        <v>-0.46972212822768955</v>
      </c>
      <c r="S101" s="8">
        <f>bdrate(C101:C104,F101:F104,J101:J104,M101:M104)</f>
        <v>-0.40309279337659976</v>
      </c>
      <c r="T101" s="25">
        <f>bdrate(C101:C104,H101:H104,J101:J104,O101:O104)</f>
        <v>-0.35863152871576809</v>
      </c>
      <c r="U101" s="28">
        <f t="shared" si="10"/>
        <v>-1.7443095599393069E-2</v>
      </c>
    </row>
    <row r="102" spans="2:21" x14ac:dyDescent="0.25">
      <c r="B102" s="9"/>
      <c r="C102" s="17">
        <v>1418.35</v>
      </c>
      <c r="D102" s="18">
        <v>35.755000000000003</v>
      </c>
      <c r="E102" s="18">
        <v>41.412999999999997</v>
      </c>
      <c r="F102" s="18">
        <v>42.991</v>
      </c>
      <c r="G102" s="18">
        <v>72.16</v>
      </c>
      <c r="H102" s="18">
        <f t="shared" si="8"/>
        <v>37.366750000000003</v>
      </c>
      <c r="I102" s="5"/>
      <c r="J102" s="17">
        <v>1008.6839</v>
      </c>
      <c r="K102" s="18">
        <v>35.708199999999998</v>
      </c>
      <c r="L102" s="18">
        <v>42.054299999999998</v>
      </c>
      <c r="M102" s="18">
        <v>43.306800000000003</v>
      </c>
      <c r="N102" s="18">
        <v>75.465400000000002</v>
      </c>
      <c r="O102" s="18">
        <f t="shared" si="9"/>
        <v>37.451287499999999</v>
      </c>
      <c r="P102" s="7"/>
      <c r="Q102" s="10"/>
      <c r="R102" s="11"/>
      <c r="S102" s="11"/>
      <c r="T102" s="26"/>
      <c r="U102" s="28">
        <f t="shared" si="10"/>
        <v>4.5806541019955738E-2</v>
      </c>
    </row>
    <row r="103" spans="2:21" x14ac:dyDescent="0.25">
      <c r="B103" s="9"/>
      <c r="C103" s="17">
        <v>863.17</v>
      </c>
      <c r="D103" s="18">
        <v>33.643999999999998</v>
      </c>
      <c r="E103" s="18">
        <v>40.064999999999998</v>
      </c>
      <c r="F103" s="18">
        <v>41.445999999999998</v>
      </c>
      <c r="G103" s="18">
        <v>80.010000000000005</v>
      </c>
      <c r="H103" s="18">
        <f t="shared" si="8"/>
        <v>35.421875</v>
      </c>
      <c r="I103" s="5"/>
      <c r="J103" s="17">
        <v>603.90239999999994</v>
      </c>
      <c r="K103" s="18">
        <v>34.0289</v>
      </c>
      <c r="L103" s="18">
        <v>40.8245</v>
      </c>
      <c r="M103" s="18">
        <v>41.971800000000002</v>
      </c>
      <c r="N103" s="18">
        <v>91.864900000000006</v>
      </c>
      <c r="O103" s="18">
        <f t="shared" si="9"/>
        <v>35.871212499999999</v>
      </c>
      <c r="P103" s="7"/>
      <c r="Q103" s="10"/>
      <c r="R103" s="11"/>
      <c r="S103" s="11"/>
      <c r="T103" s="26"/>
      <c r="U103" s="28">
        <f t="shared" si="10"/>
        <v>0.14816772903387077</v>
      </c>
    </row>
    <row r="104" spans="2:21" ht="16.5" thickBot="1" x14ac:dyDescent="0.3">
      <c r="B104" s="12"/>
      <c r="C104" s="19">
        <v>408.16</v>
      </c>
      <c r="D104" s="20">
        <v>30.850999999999999</v>
      </c>
      <c r="E104" s="20">
        <v>38.353000000000002</v>
      </c>
      <c r="F104" s="20">
        <v>39.396999999999998</v>
      </c>
      <c r="G104" s="20">
        <v>92.09</v>
      </c>
      <c r="H104" s="20">
        <f t="shared" si="8"/>
        <v>32.856999999999999</v>
      </c>
      <c r="I104" s="5"/>
      <c r="J104" s="19">
        <v>302.64679999999998</v>
      </c>
      <c r="K104" s="20">
        <v>31.986899999999999</v>
      </c>
      <c r="L104" s="20">
        <v>39.405700000000003</v>
      </c>
      <c r="M104" s="20">
        <v>40.338700000000003</v>
      </c>
      <c r="N104" s="20">
        <v>118.2188</v>
      </c>
      <c r="O104" s="20">
        <f t="shared" si="9"/>
        <v>33.958224999999999</v>
      </c>
      <c r="P104" s="7"/>
      <c r="Q104" s="13"/>
      <c r="R104" s="14"/>
      <c r="S104" s="14"/>
      <c r="T104" s="27"/>
      <c r="U104" s="28">
        <f t="shared" si="10"/>
        <v>0.28373113258768595</v>
      </c>
    </row>
    <row r="105" spans="2:21" x14ac:dyDescent="0.25">
      <c r="B105" s="6" t="s">
        <v>109</v>
      </c>
      <c r="C105" s="15">
        <v>2211.14</v>
      </c>
      <c r="D105" s="16">
        <v>46.975999999999999</v>
      </c>
      <c r="E105" s="16">
        <v>51.308</v>
      </c>
      <c r="F105" s="16">
        <v>52.465000000000003</v>
      </c>
      <c r="G105" s="16">
        <v>79.86</v>
      </c>
      <c r="H105" s="16">
        <f t="shared" si="8"/>
        <v>48.203625000000002</v>
      </c>
      <c r="I105" s="5"/>
      <c r="J105" s="15">
        <v>1501.0913</v>
      </c>
      <c r="K105" s="16">
        <v>47.267899999999997</v>
      </c>
      <c r="L105" s="16">
        <v>52.572000000000003</v>
      </c>
      <c r="M105" s="16">
        <v>53.899000000000001</v>
      </c>
      <c r="N105" s="16">
        <v>80.362700000000004</v>
      </c>
      <c r="O105" s="16">
        <f t="shared" si="9"/>
        <v>48.759799999999998</v>
      </c>
      <c r="P105" s="7"/>
      <c r="Q105" s="8">
        <f>bdrate(C105:C108,D105:D108,J105:J108,K105:K108)</f>
        <v>-0.42743990153181854</v>
      </c>
      <c r="R105" s="8">
        <f>bdrate(C105:C108,E105:E108,J105:J108,L105:L108)</f>
        <v>-0.57451291525860138</v>
      </c>
      <c r="S105" s="8">
        <f>bdrate(C105:C108,F105:F108,J105:J108,M105:M108)</f>
        <v>-0.57815383160330214</v>
      </c>
      <c r="T105" s="25">
        <f>bdrate(C105:C108,H105:H108,J105:J108,O105:O108)</f>
        <v>-0.46902763584633655</v>
      </c>
      <c r="U105" s="28">
        <f t="shared" si="10"/>
        <v>6.29476584022044E-3</v>
      </c>
    </row>
    <row r="106" spans="2:21" x14ac:dyDescent="0.25">
      <c r="B106" s="9"/>
      <c r="C106" s="17">
        <v>1469.93</v>
      </c>
      <c r="D106" s="18">
        <v>44.402999999999999</v>
      </c>
      <c r="E106" s="18">
        <v>48.865000000000002</v>
      </c>
      <c r="F106" s="18">
        <v>50.176000000000002</v>
      </c>
      <c r="G106" s="18">
        <v>90.17</v>
      </c>
      <c r="H106" s="18">
        <f t="shared" si="8"/>
        <v>45.682375</v>
      </c>
      <c r="I106" s="5"/>
      <c r="J106" s="17">
        <v>1005.7071</v>
      </c>
      <c r="K106" s="18">
        <v>45.433599999999998</v>
      </c>
      <c r="L106" s="18">
        <v>50.953499999999998</v>
      </c>
      <c r="M106" s="18">
        <v>52.378100000000003</v>
      </c>
      <c r="N106" s="18">
        <v>96.908000000000001</v>
      </c>
      <c r="O106" s="18">
        <f t="shared" si="9"/>
        <v>46.99165</v>
      </c>
      <c r="P106" s="7"/>
      <c r="Q106" s="10"/>
      <c r="R106" s="11"/>
      <c r="S106" s="11"/>
      <c r="T106" s="26"/>
      <c r="U106" s="28">
        <f t="shared" si="10"/>
        <v>7.4725518465121432E-2</v>
      </c>
    </row>
    <row r="107" spans="2:21" x14ac:dyDescent="0.25">
      <c r="B107" s="9"/>
      <c r="C107" s="17">
        <v>891.28</v>
      </c>
      <c r="D107" s="18">
        <v>42.151000000000003</v>
      </c>
      <c r="E107" s="18">
        <v>46.682000000000002</v>
      </c>
      <c r="F107" s="18">
        <v>48.048999999999999</v>
      </c>
      <c r="G107" s="18">
        <v>104.56</v>
      </c>
      <c r="H107" s="18">
        <f t="shared" si="8"/>
        <v>43.454625</v>
      </c>
      <c r="I107" s="5"/>
      <c r="J107" s="17">
        <v>603.79340000000002</v>
      </c>
      <c r="K107" s="18">
        <v>43.050400000000003</v>
      </c>
      <c r="L107" s="18">
        <v>48.831000000000003</v>
      </c>
      <c r="M107" s="18">
        <v>50.12</v>
      </c>
      <c r="N107" s="18">
        <v>117.0767</v>
      </c>
      <c r="O107" s="18">
        <f t="shared" si="9"/>
        <v>44.656675000000007</v>
      </c>
      <c r="P107" s="7"/>
      <c r="Q107" s="10"/>
      <c r="R107" s="11"/>
      <c r="S107" s="11"/>
      <c r="T107" s="26"/>
      <c r="U107" s="28">
        <f t="shared" si="10"/>
        <v>0.11970830145371078</v>
      </c>
    </row>
    <row r="108" spans="2:21" ht="16.5" thickBot="1" x14ac:dyDescent="0.3">
      <c r="B108" s="12"/>
      <c r="C108" s="19">
        <v>426.32</v>
      </c>
      <c r="D108" s="20">
        <v>39.700000000000003</v>
      </c>
      <c r="E108" s="20">
        <v>43.896000000000001</v>
      </c>
      <c r="F108" s="20">
        <v>45.305999999999997</v>
      </c>
      <c r="G108" s="20">
        <v>115.44</v>
      </c>
      <c r="H108" s="20">
        <f t="shared" si="8"/>
        <v>40.925249999999998</v>
      </c>
      <c r="I108" s="5"/>
      <c r="J108" s="19">
        <v>300.72629999999998</v>
      </c>
      <c r="K108" s="20">
        <v>39.984000000000002</v>
      </c>
      <c r="L108" s="20">
        <v>45.843899999999998</v>
      </c>
      <c r="M108" s="20">
        <v>47.229199999999999</v>
      </c>
      <c r="N108" s="20">
        <v>149.95419999999999</v>
      </c>
      <c r="O108" s="20">
        <f t="shared" si="9"/>
        <v>41.622137500000001</v>
      </c>
      <c r="P108" s="7"/>
      <c r="Q108" s="13"/>
      <c r="R108" s="14"/>
      <c r="S108" s="14"/>
      <c r="T108" s="27"/>
      <c r="U108" s="28">
        <f t="shared" si="10"/>
        <v>0.29897955647955637</v>
      </c>
    </row>
    <row r="109" spans="2:21" x14ac:dyDescent="0.25">
      <c r="B109" s="6" t="s">
        <v>110</v>
      </c>
      <c r="C109" s="15">
        <v>2050.1999999999998</v>
      </c>
      <c r="D109" s="16">
        <v>31.462</v>
      </c>
      <c r="E109" s="16">
        <v>39.835000000000001</v>
      </c>
      <c r="F109" s="16">
        <v>39.173000000000002</v>
      </c>
      <c r="G109" s="16">
        <v>60.76</v>
      </c>
      <c r="H109" s="16">
        <f t="shared" si="8"/>
        <v>33.472499999999997</v>
      </c>
      <c r="I109" s="5"/>
      <c r="J109" s="15">
        <v>1497.3915</v>
      </c>
      <c r="K109" s="16">
        <v>32.0105</v>
      </c>
      <c r="L109" s="16">
        <v>40.176900000000003</v>
      </c>
      <c r="M109" s="16">
        <v>39.577800000000003</v>
      </c>
      <c r="N109" s="16">
        <v>48.156700000000001</v>
      </c>
      <c r="O109" s="16">
        <f t="shared" si="9"/>
        <v>33.9772125</v>
      </c>
      <c r="P109" s="7"/>
      <c r="Q109" s="8">
        <f>bdrate(C109:C112,D109:D112,J109:J112,K109:K112)</f>
        <v>-0.45180592478880754</v>
      </c>
      <c r="R109" s="8">
        <f>bdrate(C109:C112,E109:E112,J109:J112,L109:L112)</f>
        <v>-0.37456311172185497</v>
      </c>
      <c r="S109" s="8">
        <f>bdrate(C109:C112,F109:F112,J109:J112,M109:M112)</f>
        <v>-0.36521823137800524</v>
      </c>
      <c r="T109" s="25">
        <f>bdrate(C109:C112,H109:H112,J109:J112,O109:O112)</f>
        <v>-0.44173177594189728</v>
      </c>
      <c r="U109" s="28">
        <f t="shared" si="10"/>
        <v>-0.2074275839368005</v>
      </c>
    </row>
    <row r="110" spans="2:21" x14ac:dyDescent="0.25">
      <c r="B110" s="9"/>
      <c r="C110" s="17">
        <v>1365.42</v>
      </c>
      <c r="D110" s="18">
        <v>29.295999999999999</v>
      </c>
      <c r="E110" s="18">
        <v>38.802999999999997</v>
      </c>
      <c r="F110" s="18">
        <v>38.179000000000002</v>
      </c>
      <c r="G110" s="18">
        <v>66.58</v>
      </c>
      <c r="H110" s="18">
        <f t="shared" si="8"/>
        <v>31.594750000000001</v>
      </c>
      <c r="I110" s="5"/>
      <c r="J110" s="17">
        <v>996.98310000000004</v>
      </c>
      <c r="K110" s="18">
        <v>30.2453</v>
      </c>
      <c r="L110" s="18">
        <v>39.243200000000002</v>
      </c>
      <c r="M110" s="18">
        <v>38.5794</v>
      </c>
      <c r="N110" s="18">
        <v>57.262799999999999</v>
      </c>
      <c r="O110" s="18">
        <f t="shared" si="9"/>
        <v>32.411799999999999</v>
      </c>
      <c r="P110" s="7"/>
      <c r="Q110" s="10"/>
      <c r="R110" s="11"/>
      <c r="S110" s="11"/>
      <c r="T110" s="26"/>
      <c r="U110" s="28">
        <f t="shared" si="10"/>
        <v>-0.13993992189846802</v>
      </c>
    </row>
    <row r="111" spans="2:21" x14ac:dyDescent="0.25">
      <c r="B111" s="9"/>
      <c r="C111" s="17">
        <v>830.07</v>
      </c>
      <c r="D111" s="18">
        <v>26.457999999999998</v>
      </c>
      <c r="E111" s="18">
        <v>37.642000000000003</v>
      </c>
      <c r="F111" s="18">
        <v>37.021000000000001</v>
      </c>
      <c r="G111" s="18">
        <v>73.489999999999995</v>
      </c>
      <c r="H111" s="18">
        <f t="shared" si="8"/>
        <v>29.176375</v>
      </c>
      <c r="I111" s="5"/>
      <c r="J111" s="17">
        <v>599.0539</v>
      </c>
      <c r="K111" s="18">
        <v>28.064800000000002</v>
      </c>
      <c r="L111" s="18">
        <v>37.936100000000003</v>
      </c>
      <c r="M111" s="18">
        <v>37.249400000000001</v>
      </c>
      <c r="N111" s="18">
        <v>73.776499999999999</v>
      </c>
      <c r="O111" s="18">
        <f t="shared" si="9"/>
        <v>30.446787500000003</v>
      </c>
      <c r="P111" s="7"/>
      <c r="Q111" s="10"/>
      <c r="R111" s="11"/>
      <c r="S111" s="11"/>
      <c r="T111" s="26"/>
      <c r="U111" s="28">
        <f t="shared" si="10"/>
        <v>3.8984895904205165E-3</v>
      </c>
    </row>
    <row r="112" spans="2:21" ht="16.5" thickBot="1" x14ac:dyDescent="0.3">
      <c r="B112" s="12"/>
      <c r="C112" s="19">
        <v>385.24</v>
      </c>
      <c r="D112" s="20">
        <v>21.971</v>
      </c>
      <c r="E112" s="20">
        <v>33.65</v>
      </c>
      <c r="F112" s="20">
        <v>33.103999999999999</v>
      </c>
      <c r="G112" s="20">
        <v>84.16</v>
      </c>
      <c r="H112" s="20">
        <f t="shared" si="8"/>
        <v>24.822499999999998</v>
      </c>
      <c r="I112" s="5"/>
      <c r="J112" s="19">
        <v>299.73759999999999</v>
      </c>
      <c r="K112" s="20">
        <v>25.3065</v>
      </c>
      <c r="L112" s="20">
        <v>35.673999999999999</v>
      </c>
      <c r="M112" s="20">
        <v>35.079000000000001</v>
      </c>
      <c r="N112" s="20">
        <v>101.7467</v>
      </c>
      <c r="O112" s="20">
        <f t="shared" si="9"/>
        <v>27.824000000000002</v>
      </c>
      <c r="P112" s="7"/>
      <c r="Q112" s="13"/>
      <c r="R112" s="14"/>
      <c r="S112" s="14"/>
      <c r="T112" s="27"/>
      <c r="U112" s="28">
        <f t="shared" si="10"/>
        <v>0.20896744296577957</v>
      </c>
    </row>
    <row r="113" spans="2:21" x14ac:dyDescent="0.25">
      <c r="B113" s="6" t="s">
        <v>111</v>
      </c>
      <c r="C113" s="15">
        <v>2347.94</v>
      </c>
      <c r="D113" s="16">
        <v>46.12</v>
      </c>
      <c r="E113" s="16">
        <v>46.585999999999999</v>
      </c>
      <c r="F113" s="16">
        <v>46.307000000000002</v>
      </c>
      <c r="G113" s="16">
        <v>81.599999999999994</v>
      </c>
      <c r="H113" s="16">
        <f t="shared" si="8"/>
        <v>46.201625</v>
      </c>
      <c r="I113" s="5"/>
      <c r="J113" s="15">
        <v>1418.0202999999999</v>
      </c>
      <c r="K113" s="16">
        <v>44.813400000000001</v>
      </c>
      <c r="L113" s="16">
        <v>45.995699999999999</v>
      </c>
      <c r="M113" s="16">
        <v>45.872599999999998</v>
      </c>
      <c r="N113" s="16">
        <v>68.720699999999994</v>
      </c>
      <c r="O113" s="16">
        <f t="shared" si="9"/>
        <v>45.093587499999998</v>
      </c>
      <c r="P113" s="7"/>
      <c r="Q113" s="8">
        <f>bdrate(C113:C116,D113:D116,J113:J116,K113:K116)</f>
        <v>-0.31320334243408676</v>
      </c>
      <c r="R113" s="8">
        <f>bdrate(C113:C116,E113:E116,J113:J116,L113:L116)</f>
        <v>-0.35711098437073396</v>
      </c>
      <c r="S113" s="8">
        <f>bdrate(C113:C116,F113:F116,J113:J116,M113:M116)</f>
        <v>-0.37991783631582787</v>
      </c>
      <c r="T113" s="25">
        <f>bdrate(C113:C116,H113:H116,J113:J116,O113:O116)</f>
        <v>-0.32497883237946512</v>
      </c>
      <c r="U113" s="28">
        <f t="shared" si="10"/>
        <v>-0.15783455882352943</v>
      </c>
    </row>
    <row r="114" spans="2:21" x14ac:dyDescent="0.25">
      <c r="B114" s="9"/>
      <c r="C114" s="17">
        <v>1559.99</v>
      </c>
      <c r="D114" s="18">
        <v>43.838999999999999</v>
      </c>
      <c r="E114" s="18">
        <v>44.581000000000003</v>
      </c>
      <c r="F114" s="18">
        <v>44.262999999999998</v>
      </c>
      <c r="G114" s="18">
        <v>90.57</v>
      </c>
      <c r="H114" s="18">
        <f t="shared" si="8"/>
        <v>43.984749999999998</v>
      </c>
      <c r="I114" s="5"/>
      <c r="J114" s="17">
        <v>962.90610000000004</v>
      </c>
      <c r="K114" s="18">
        <v>42.964799999999997</v>
      </c>
      <c r="L114" s="18">
        <v>44.403599999999997</v>
      </c>
      <c r="M114" s="18">
        <v>44.243899999999996</v>
      </c>
      <c r="N114" s="18">
        <v>87.6083</v>
      </c>
      <c r="O114" s="18">
        <f t="shared" si="9"/>
        <v>43.304537499999995</v>
      </c>
      <c r="P114" s="7"/>
      <c r="Q114" s="10"/>
      <c r="R114" s="11"/>
      <c r="S114" s="11"/>
      <c r="T114" s="26"/>
      <c r="U114" s="28">
        <f t="shared" si="10"/>
        <v>-3.2700673512200434E-2</v>
      </c>
    </row>
    <row r="115" spans="2:21" x14ac:dyDescent="0.25">
      <c r="B115" s="9"/>
      <c r="C115" s="17">
        <v>943.8</v>
      </c>
      <c r="D115" s="18">
        <v>40.732999999999997</v>
      </c>
      <c r="E115" s="18">
        <v>42.113999999999997</v>
      </c>
      <c r="F115" s="18">
        <v>41.726999999999997</v>
      </c>
      <c r="G115" s="18">
        <v>97.7</v>
      </c>
      <c r="H115" s="18">
        <f t="shared" si="8"/>
        <v>41.02987499999999</v>
      </c>
      <c r="I115" s="5"/>
      <c r="J115" s="17">
        <v>588.21109999999999</v>
      </c>
      <c r="K115" s="18">
        <v>40.047199999999997</v>
      </c>
      <c r="L115" s="18">
        <v>41.965000000000003</v>
      </c>
      <c r="M115" s="18">
        <v>41.774900000000002</v>
      </c>
      <c r="N115" s="18">
        <v>109.4691</v>
      </c>
      <c r="O115" s="18">
        <f t="shared" si="9"/>
        <v>40.5028875</v>
      </c>
      <c r="P115" s="7"/>
      <c r="Q115" s="10"/>
      <c r="R115" s="11"/>
      <c r="S115" s="11"/>
      <c r="T115" s="26"/>
      <c r="U115" s="28">
        <f t="shared" si="10"/>
        <v>0.12046161719549636</v>
      </c>
    </row>
    <row r="116" spans="2:21" ht="16.5" thickBot="1" x14ac:dyDescent="0.3">
      <c r="B116" s="12"/>
      <c r="C116" s="19">
        <v>436.89</v>
      </c>
      <c r="D116" s="20">
        <v>34.939</v>
      </c>
      <c r="E116" s="20">
        <v>38.234000000000002</v>
      </c>
      <c r="F116" s="20">
        <v>37.840000000000003</v>
      </c>
      <c r="G116" s="20">
        <v>106.84</v>
      </c>
      <c r="H116" s="20">
        <f t="shared" si="8"/>
        <v>35.713500000000003</v>
      </c>
      <c r="I116" s="5"/>
      <c r="J116" s="19">
        <v>294.83999999999997</v>
      </c>
      <c r="K116" s="20">
        <v>35.663699999999999</v>
      </c>
      <c r="L116" s="20">
        <v>38.551099999999998</v>
      </c>
      <c r="M116" s="20">
        <v>38.323399999999999</v>
      </c>
      <c r="N116" s="20">
        <v>137.53059999999999</v>
      </c>
      <c r="O116" s="20">
        <f t="shared" si="9"/>
        <v>36.357087499999999</v>
      </c>
      <c r="P116" s="7"/>
      <c r="Q116" s="13"/>
      <c r="R116" s="14"/>
      <c r="S116" s="14"/>
      <c r="T116" s="27"/>
      <c r="U116" s="28">
        <f t="shared" si="10"/>
        <v>0.28725758143017588</v>
      </c>
    </row>
    <row r="117" spans="2:21" x14ac:dyDescent="0.25">
      <c r="B117" s="6" t="s">
        <v>112</v>
      </c>
      <c r="C117" s="15">
        <v>2789.08</v>
      </c>
      <c r="D117" s="16">
        <v>47.192999999999998</v>
      </c>
      <c r="E117" s="16">
        <v>48.585999999999999</v>
      </c>
      <c r="F117" s="16">
        <v>48.808999999999997</v>
      </c>
      <c r="G117" s="16">
        <v>86.89</v>
      </c>
      <c r="H117" s="16">
        <f t="shared" si="8"/>
        <v>47.569125</v>
      </c>
      <c r="I117" s="5"/>
      <c r="J117" s="15">
        <v>1399.6375</v>
      </c>
      <c r="K117" s="16">
        <v>45.478000000000002</v>
      </c>
      <c r="L117" s="16">
        <v>47.729100000000003</v>
      </c>
      <c r="M117" s="16">
        <v>47.964500000000001</v>
      </c>
      <c r="N117" s="16">
        <v>66.504099999999994</v>
      </c>
      <c r="O117" s="16">
        <f t="shared" si="9"/>
        <v>46.0702</v>
      </c>
      <c r="P117" s="7"/>
      <c r="Q117" s="8">
        <f>bdrate(C117:C120,D117:D120,J117:J120,K117:K120)</f>
        <v>-0.38235823125418422</v>
      </c>
      <c r="R117" s="8">
        <f>bdrate(C117:C120,E117:E120,J117:J120,L117:L120)</f>
        <v>-0.43158712064191218</v>
      </c>
      <c r="S117" s="8">
        <f>bdrate(C117:C120,F117:F120,J117:J120,M117:M120)</f>
        <v>-0.43592852796496917</v>
      </c>
      <c r="T117" s="25">
        <f>bdrate(C117:C120,H117:H120,J117:J120,O117:O120)</f>
        <v>-0.39385663221954137</v>
      </c>
      <c r="U117" s="28">
        <f t="shared" si="10"/>
        <v>-0.23461733225917836</v>
      </c>
    </row>
    <row r="118" spans="2:21" x14ac:dyDescent="0.25">
      <c r="B118" s="9"/>
      <c r="C118" s="17">
        <v>1842.82</v>
      </c>
      <c r="D118" s="18">
        <v>44.503</v>
      </c>
      <c r="E118" s="18">
        <v>46.255000000000003</v>
      </c>
      <c r="F118" s="18">
        <v>46.481999999999999</v>
      </c>
      <c r="G118" s="18">
        <v>97.29</v>
      </c>
      <c r="H118" s="18">
        <f t="shared" si="8"/>
        <v>44.969374999999999</v>
      </c>
      <c r="I118" s="5"/>
      <c r="J118" s="17">
        <v>972.98530000000005</v>
      </c>
      <c r="K118" s="18">
        <v>43.877600000000001</v>
      </c>
      <c r="L118" s="18">
        <v>46.368299999999998</v>
      </c>
      <c r="M118" s="18">
        <v>46.619199999999999</v>
      </c>
      <c r="N118" s="18">
        <v>75.862899999999996</v>
      </c>
      <c r="O118" s="18">
        <f t="shared" si="9"/>
        <v>44.531637499999995</v>
      </c>
      <c r="P118" s="7"/>
      <c r="Q118" s="10"/>
      <c r="R118" s="11"/>
      <c r="S118" s="11"/>
      <c r="T118" s="26"/>
      <c r="U118" s="28">
        <f t="shared" si="10"/>
        <v>-0.22023949018398611</v>
      </c>
    </row>
    <row r="119" spans="2:21" x14ac:dyDescent="0.25">
      <c r="B119" s="9"/>
      <c r="C119" s="17">
        <v>1105.9000000000001</v>
      </c>
      <c r="D119" s="18">
        <v>41.652999999999999</v>
      </c>
      <c r="E119" s="18">
        <v>43.911000000000001</v>
      </c>
      <c r="F119" s="18">
        <v>44.125999999999998</v>
      </c>
      <c r="G119" s="18">
        <v>108.04</v>
      </c>
      <c r="H119" s="18">
        <f t="shared" si="8"/>
        <v>42.244374999999998</v>
      </c>
      <c r="I119" s="5"/>
      <c r="J119" s="17">
        <v>634.58399999999995</v>
      </c>
      <c r="K119" s="18">
        <v>41.2378</v>
      </c>
      <c r="L119" s="18">
        <v>43.976900000000001</v>
      </c>
      <c r="M119" s="18">
        <v>44.238100000000003</v>
      </c>
      <c r="N119" s="18">
        <v>87.281199999999998</v>
      </c>
      <c r="O119" s="18">
        <f t="shared" si="9"/>
        <v>41.955224999999999</v>
      </c>
      <c r="P119" s="7"/>
      <c r="Q119" s="10"/>
      <c r="R119" s="11"/>
      <c r="S119" s="11"/>
      <c r="T119" s="26"/>
      <c r="U119" s="28">
        <f t="shared" si="10"/>
        <v>-0.1921399481673455</v>
      </c>
    </row>
    <row r="120" spans="2:21" ht="16.5" thickBot="1" x14ac:dyDescent="0.3">
      <c r="B120" s="12"/>
      <c r="C120" s="19">
        <v>518.85</v>
      </c>
      <c r="D120" s="20">
        <v>37.094999999999999</v>
      </c>
      <c r="E120" s="20">
        <v>40.326999999999998</v>
      </c>
      <c r="F120" s="20">
        <v>40.573</v>
      </c>
      <c r="G120" s="20">
        <v>121.58</v>
      </c>
      <c r="H120" s="20">
        <f t="shared" si="8"/>
        <v>37.933749999999996</v>
      </c>
      <c r="I120" s="5"/>
      <c r="J120" s="19">
        <v>339.29689999999999</v>
      </c>
      <c r="K120" s="20">
        <v>37.155000000000001</v>
      </c>
      <c r="L120" s="20">
        <v>40.394199999999998</v>
      </c>
      <c r="M120" s="20">
        <v>40.672199999999997</v>
      </c>
      <c r="N120" s="20">
        <v>136.3843</v>
      </c>
      <c r="O120" s="20">
        <f t="shared" si="9"/>
        <v>37.999549999999999</v>
      </c>
      <c r="P120" s="7"/>
      <c r="Q120" s="13"/>
      <c r="R120" s="14"/>
      <c r="S120" s="14"/>
      <c r="T120" s="27"/>
      <c r="U120" s="28">
        <f t="shared" si="10"/>
        <v>0.12176591544661949</v>
      </c>
    </row>
    <row r="121" spans="2:21" x14ac:dyDescent="0.25">
      <c r="B121" s="6" t="s">
        <v>113</v>
      </c>
      <c r="C121" s="29">
        <v>2133.66</v>
      </c>
      <c r="D121" s="30">
        <v>32.844999999999999</v>
      </c>
      <c r="E121" s="30">
        <v>36.453000000000003</v>
      </c>
      <c r="F121" s="30">
        <v>35.447000000000003</v>
      </c>
      <c r="G121" s="16">
        <v>71.66</v>
      </c>
      <c r="H121" s="16">
        <f t="shared" si="8"/>
        <v>33.621250000000003</v>
      </c>
      <c r="I121" s="5"/>
      <c r="J121" s="29">
        <v>1505.7908</v>
      </c>
      <c r="K121" s="30">
        <v>32.3705</v>
      </c>
      <c r="L121" s="30">
        <v>36.555900000000001</v>
      </c>
      <c r="M121" s="30">
        <v>35.455599999999997</v>
      </c>
      <c r="N121" s="16">
        <v>58.660600000000002</v>
      </c>
      <c r="O121" s="16">
        <f t="shared" si="9"/>
        <v>33.279312500000003</v>
      </c>
      <c r="P121" s="7"/>
      <c r="Q121" s="8">
        <f>bdrate(C121:C124,D121:D124,J121:J124,K121:K124)</f>
        <v>-0.33994997386110626</v>
      </c>
      <c r="R121" s="8">
        <f>bdrate(C121:C124,E121:E124,J121:J124,L121:L124)</f>
        <v>-0.31665256608939885</v>
      </c>
      <c r="S121" s="8">
        <f>bdrate(C121:C124,F121:F124,J121:J124,M121:M124)</f>
        <v>-0.27496792398748171</v>
      </c>
      <c r="T121" s="25">
        <f>bdrate(C121:C124,H121:H124,J121:J124,O121:O124)</f>
        <v>-0.33537407156701204</v>
      </c>
      <c r="U121" s="28">
        <f t="shared" si="10"/>
        <v>-0.18140385152107166</v>
      </c>
    </row>
    <row r="122" spans="2:21" x14ac:dyDescent="0.25">
      <c r="B122" s="9"/>
      <c r="C122" s="31">
        <v>1412.33</v>
      </c>
      <c r="D122" s="32">
        <v>30.606000000000002</v>
      </c>
      <c r="E122" s="32">
        <v>35.356999999999999</v>
      </c>
      <c r="F122" s="32">
        <v>34.307000000000002</v>
      </c>
      <c r="G122" s="18">
        <v>79.680000000000007</v>
      </c>
      <c r="H122" s="18">
        <f t="shared" si="8"/>
        <v>31.662500000000001</v>
      </c>
      <c r="I122" s="5"/>
      <c r="J122" s="31">
        <v>1003.7211</v>
      </c>
      <c r="K122" s="32">
        <v>30.5001</v>
      </c>
      <c r="L122" s="32">
        <v>35.526600000000002</v>
      </c>
      <c r="M122" s="32">
        <v>34.371600000000001</v>
      </c>
      <c r="N122" s="18">
        <v>70.271299999999997</v>
      </c>
      <c r="O122" s="18">
        <f t="shared" si="9"/>
        <v>31.612349999999999</v>
      </c>
      <c r="P122" s="7"/>
      <c r="Q122" s="10"/>
      <c r="R122" s="11"/>
      <c r="S122" s="11"/>
      <c r="T122" s="26"/>
      <c r="U122" s="28">
        <f t="shared" si="10"/>
        <v>-0.11808107429718888</v>
      </c>
    </row>
    <row r="123" spans="2:21" x14ac:dyDescent="0.25">
      <c r="B123" s="9"/>
      <c r="C123" s="31">
        <v>848.44</v>
      </c>
      <c r="D123" s="32">
        <v>27.806999999999999</v>
      </c>
      <c r="E123" s="32">
        <v>34.279000000000003</v>
      </c>
      <c r="F123" s="32">
        <v>33.213000000000001</v>
      </c>
      <c r="G123" s="18">
        <v>87.28</v>
      </c>
      <c r="H123" s="18">
        <f t="shared" si="8"/>
        <v>29.291749999999997</v>
      </c>
      <c r="I123" s="5"/>
      <c r="J123" s="31">
        <v>602.77729999999997</v>
      </c>
      <c r="K123" s="32">
        <v>28.329899999999999</v>
      </c>
      <c r="L123" s="32">
        <v>34.279400000000003</v>
      </c>
      <c r="M123" s="32">
        <v>33.033299999999997</v>
      </c>
      <c r="N123" s="18">
        <v>88.010999999999996</v>
      </c>
      <c r="O123" s="18">
        <f t="shared" si="9"/>
        <v>29.661512500000001</v>
      </c>
      <c r="P123" s="7"/>
      <c r="Q123" s="10"/>
      <c r="R123" s="11"/>
      <c r="S123" s="11"/>
      <c r="T123" s="26"/>
      <c r="U123" s="28">
        <f t="shared" si="10"/>
        <v>8.3753437213564905E-3</v>
      </c>
    </row>
    <row r="124" spans="2:21" ht="16.5" thickBot="1" x14ac:dyDescent="0.3">
      <c r="B124" s="12"/>
      <c r="C124" s="33">
        <v>384.66</v>
      </c>
      <c r="D124" s="34">
        <v>23.35</v>
      </c>
      <c r="E124" s="34">
        <v>31.812999999999999</v>
      </c>
      <c r="F124" s="34">
        <v>30.623000000000001</v>
      </c>
      <c r="G124" s="20">
        <v>98.71</v>
      </c>
      <c r="H124" s="20">
        <f t="shared" si="8"/>
        <v>25.317</v>
      </c>
      <c r="I124" s="5"/>
      <c r="J124" s="33">
        <v>302.94510000000002</v>
      </c>
      <c r="K124" s="34">
        <v>25.845300000000002</v>
      </c>
      <c r="L124" s="34">
        <v>32.534799999999997</v>
      </c>
      <c r="M124" s="34">
        <v>31.169899999999998</v>
      </c>
      <c r="N124" s="20">
        <v>118.2266</v>
      </c>
      <c r="O124" s="20">
        <f t="shared" si="9"/>
        <v>27.3470625</v>
      </c>
      <c r="P124" s="7"/>
      <c r="Q124" s="13"/>
      <c r="R124" s="14"/>
      <c r="S124" s="14"/>
      <c r="T124" s="27"/>
      <c r="U124" s="28">
        <f t="shared" si="10"/>
        <v>0.19771654340998898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-0.43519152725606353</v>
      </c>
      <c r="R125" s="21">
        <f>AVERAGE(R9:R124)</f>
        <v>-0.51455321748842331</v>
      </c>
      <c r="S125" s="21">
        <f>AVERAGE(S9:S124)</f>
        <v>-0.51312456020973507</v>
      </c>
      <c r="T125" s="21">
        <f>AVERAGE(T9:T124)</f>
        <v>-0.45115869060492025</v>
      </c>
      <c r="U125" s="21">
        <f>AVERAGE(U9:U124)</f>
        <v>7.1222196366129725E-2</v>
      </c>
    </row>
    <row r="127" spans="2:21" s="35" customFormat="1" ht="15.75" customHeight="1" x14ac:dyDescent="0.25">
      <c r="B127" s="51" t="s">
        <v>29</v>
      </c>
      <c r="C127" s="56" t="s">
        <v>124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83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5906.76</v>
      </c>
      <c r="D131" s="16">
        <v>36.969000000000001</v>
      </c>
      <c r="E131" s="16">
        <v>38.771000000000001</v>
      </c>
      <c r="F131" s="16">
        <v>41.063000000000002</v>
      </c>
      <c r="G131" s="16">
        <v>47.83</v>
      </c>
      <c r="H131" s="16">
        <f t="shared" ref="H131:H202" si="11">(6*D131+E131+F131)/8</f>
        <v>37.706000000000003</v>
      </c>
      <c r="I131" s="5"/>
      <c r="J131" s="15">
        <v>4010.9872</v>
      </c>
      <c r="K131" s="16">
        <v>37.885100000000001</v>
      </c>
      <c r="L131" s="16">
        <v>39.445999999999998</v>
      </c>
      <c r="M131" s="16">
        <v>41.920699999999997</v>
      </c>
      <c r="N131" s="16">
        <v>36.973100000000002</v>
      </c>
      <c r="O131" s="16">
        <f t="shared" ref="O131:O202" si="12">(6*K131+L131+M131)/8</f>
        <v>38.584662500000007</v>
      </c>
      <c r="P131" s="7"/>
      <c r="Q131" s="8">
        <f>bdrate(C131:C134,D131:D134,J131:J134,K131:K134)</f>
        <v>-0.48525589689447413</v>
      </c>
      <c r="R131" s="8">
        <f>bdrate(C131:C134,E131:E134,J131:J134,L131:L134)</f>
        <v>-0.51561498590392518</v>
      </c>
      <c r="S131" s="8">
        <f>bdrate(C131:C134,F131:F134,J131:J134,M131:M134)</f>
        <v>-0.52190721614825053</v>
      </c>
      <c r="T131" s="25">
        <f>bdrate(C131:C134,H131:H134,J131:J134,O131:O134)</f>
        <v>-0.48975203036951753</v>
      </c>
      <c r="U131" s="28">
        <f t="shared" ref="U131:U162" si="13">(N131-G131)/G131</f>
        <v>-0.22698933723604425</v>
      </c>
    </row>
    <row r="132" spans="1:21" x14ac:dyDescent="0.25">
      <c r="A132" s="9" t="s">
        <v>36</v>
      </c>
      <c r="B132" s="9"/>
      <c r="C132" s="17">
        <v>4362.6899999999996</v>
      </c>
      <c r="D132" s="18">
        <v>35.905999999999999</v>
      </c>
      <c r="E132" s="18">
        <v>38.317999999999998</v>
      </c>
      <c r="F132" s="18">
        <v>40.582000000000001</v>
      </c>
      <c r="G132" s="18">
        <v>53.42</v>
      </c>
      <c r="H132" s="18">
        <f t="shared" si="11"/>
        <v>36.791999999999994</v>
      </c>
      <c r="I132" s="5"/>
      <c r="J132" s="17">
        <v>2928.4063999999998</v>
      </c>
      <c r="K132" s="18">
        <v>36.866700000000002</v>
      </c>
      <c r="L132" s="18">
        <v>38.869500000000002</v>
      </c>
      <c r="M132" s="18">
        <v>41.226100000000002</v>
      </c>
      <c r="N132" s="18">
        <v>51.405099999999997</v>
      </c>
      <c r="O132" s="18">
        <f t="shared" si="12"/>
        <v>37.661974999999998</v>
      </c>
      <c r="P132" s="7"/>
      <c r="Q132" s="10"/>
      <c r="R132" s="11"/>
      <c r="S132" s="11"/>
      <c r="T132" s="26"/>
      <c r="U132" s="28">
        <f t="shared" si="13"/>
        <v>-3.7718083114938308E-2</v>
      </c>
    </row>
    <row r="133" spans="1:21" x14ac:dyDescent="0.25">
      <c r="B133" s="9"/>
      <c r="C133" s="17">
        <v>2859.46</v>
      </c>
      <c r="D133" s="18">
        <v>34.274999999999999</v>
      </c>
      <c r="E133" s="18">
        <v>37.656999999999996</v>
      </c>
      <c r="F133" s="18">
        <v>39.887999999999998</v>
      </c>
      <c r="G133" s="18">
        <v>55.91</v>
      </c>
      <c r="H133" s="18">
        <f t="shared" si="11"/>
        <v>35.399374999999992</v>
      </c>
      <c r="I133" s="5"/>
      <c r="J133" s="17">
        <v>1942.056</v>
      </c>
      <c r="K133" s="18">
        <v>35.320099999999996</v>
      </c>
      <c r="L133" s="18">
        <v>38.227899999999998</v>
      </c>
      <c r="M133" s="18">
        <v>40.521900000000002</v>
      </c>
      <c r="N133" s="18">
        <v>61.249499999999998</v>
      </c>
      <c r="O133" s="18">
        <f t="shared" si="12"/>
        <v>36.333799999999997</v>
      </c>
      <c r="P133" s="7"/>
      <c r="Q133" s="10"/>
      <c r="R133" s="11"/>
      <c r="S133" s="11"/>
      <c r="T133" s="26"/>
      <c r="U133" s="28">
        <f t="shared" si="13"/>
        <v>9.5501699159363282E-2</v>
      </c>
    </row>
    <row r="134" spans="1:21" ht="16.5" thickBot="1" x14ac:dyDescent="0.3">
      <c r="B134" s="12"/>
      <c r="C134" s="19">
        <v>1390.8</v>
      </c>
      <c r="D134" s="20">
        <v>30.922000000000001</v>
      </c>
      <c r="E134" s="20">
        <v>36.572000000000003</v>
      </c>
      <c r="F134" s="20">
        <v>38.728000000000002</v>
      </c>
      <c r="G134" s="20">
        <v>57.58</v>
      </c>
      <c r="H134" s="20">
        <f t="shared" si="11"/>
        <v>32.603999999999999</v>
      </c>
      <c r="I134" s="5"/>
      <c r="J134" s="19">
        <v>919.58240000000001</v>
      </c>
      <c r="K134" s="20">
        <v>32.332900000000002</v>
      </c>
      <c r="L134" s="20">
        <v>36.917499999999997</v>
      </c>
      <c r="M134" s="20">
        <v>39.106200000000001</v>
      </c>
      <c r="N134" s="20">
        <v>73.927999999999997</v>
      </c>
      <c r="O134" s="20">
        <f t="shared" si="12"/>
        <v>33.752637500000006</v>
      </c>
      <c r="P134" s="7"/>
      <c r="Q134" s="13"/>
      <c r="R134" s="14"/>
      <c r="S134" s="14"/>
      <c r="T134" s="27"/>
      <c r="U134" s="28">
        <f t="shared" si="13"/>
        <v>0.2839180270927405</v>
      </c>
    </row>
    <row r="135" spans="1:21" x14ac:dyDescent="0.25">
      <c r="B135" s="6" t="s">
        <v>47</v>
      </c>
      <c r="C135" s="15">
        <v>6656.77</v>
      </c>
      <c r="D135" s="16">
        <v>28.562999999999999</v>
      </c>
      <c r="E135" s="16">
        <v>39.088000000000001</v>
      </c>
      <c r="F135" s="16">
        <v>39.884999999999998</v>
      </c>
      <c r="G135" s="16">
        <v>44.5</v>
      </c>
      <c r="H135" s="16">
        <f t="shared" si="11"/>
        <v>31.293874999999996</v>
      </c>
      <c r="I135" s="5"/>
      <c r="J135" s="15">
        <v>4058.9056</v>
      </c>
      <c r="K135" s="16">
        <v>29.451499999999999</v>
      </c>
      <c r="L135" s="16">
        <v>39.344499999999996</v>
      </c>
      <c r="M135" s="16">
        <v>40.264000000000003</v>
      </c>
      <c r="N135" s="16">
        <v>31.0045</v>
      </c>
      <c r="O135" s="16">
        <f t="shared" si="12"/>
        <v>32.039687499999999</v>
      </c>
      <c r="P135" s="7"/>
      <c r="Q135" s="8">
        <f>bdrate(C135:C138,D135:D138,J135:J138,K135:K138)</f>
        <v>-0.53362581434486112</v>
      </c>
      <c r="R135" s="8">
        <f>bdrate(C135:C138,E135:E138,J135:J138,L135:L138)</f>
        <v>-0.47205739073226649</v>
      </c>
      <c r="S135" s="8">
        <f>bdrate(C135:C138,F135:F138,J135:J138,M135:M138)</f>
        <v>-0.5164550670462783</v>
      </c>
      <c r="T135" s="25">
        <f>bdrate(C135:C138,H135:H138,J135:J138,O135:O138)</f>
        <v>-0.52946555364773196</v>
      </c>
      <c r="U135" s="28">
        <f t="shared" si="13"/>
        <v>-0.30326966292134833</v>
      </c>
    </row>
    <row r="136" spans="1:21" x14ac:dyDescent="0.25">
      <c r="B136" s="9"/>
      <c r="C136" s="17">
        <v>4995.1000000000004</v>
      </c>
      <c r="D136" s="18">
        <v>27.12</v>
      </c>
      <c r="E136" s="18">
        <v>38.566000000000003</v>
      </c>
      <c r="F136" s="18">
        <v>39.484000000000002</v>
      </c>
      <c r="G136" s="18">
        <v>50.07</v>
      </c>
      <c r="H136" s="18">
        <f t="shared" si="11"/>
        <v>30.096250000000001</v>
      </c>
      <c r="I136" s="5"/>
      <c r="J136" s="17">
        <v>3035.6224000000002</v>
      </c>
      <c r="K136" s="18">
        <v>28.089500000000001</v>
      </c>
      <c r="L136" s="18">
        <v>38.843699999999998</v>
      </c>
      <c r="M136" s="18">
        <v>39.829900000000002</v>
      </c>
      <c r="N136" s="18">
        <v>43.503500000000003</v>
      </c>
      <c r="O136" s="18">
        <f t="shared" si="12"/>
        <v>30.901325</v>
      </c>
      <c r="P136" s="7"/>
      <c r="Q136" s="10"/>
      <c r="R136" s="11"/>
      <c r="S136" s="11"/>
      <c r="T136" s="26"/>
      <c r="U136" s="28">
        <f t="shared" si="13"/>
        <v>-0.13114639504693423</v>
      </c>
    </row>
    <row r="137" spans="1:21" x14ac:dyDescent="0.25">
      <c r="B137" s="9"/>
      <c r="C137" s="17">
        <v>3210.31</v>
      </c>
      <c r="D137" s="18">
        <v>24.861999999999998</v>
      </c>
      <c r="E137" s="18">
        <v>37.792000000000002</v>
      </c>
      <c r="F137" s="18">
        <v>38.747</v>
      </c>
      <c r="G137" s="18">
        <v>54.9</v>
      </c>
      <c r="H137" s="18">
        <f t="shared" si="11"/>
        <v>28.213875000000002</v>
      </c>
      <c r="I137" s="5"/>
      <c r="J137" s="17">
        <v>2012.5920000000001</v>
      </c>
      <c r="K137" s="18">
        <v>26.309000000000001</v>
      </c>
      <c r="L137" s="18">
        <v>38.137099999999997</v>
      </c>
      <c r="M137" s="18">
        <v>39.2361</v>
      </c>
      <c r="N137" s="18">
        <v>52.246600000000001</v>
      </c>
      <c r="O137" s="18">
        <f t="shared" si="12"/>
        <v>29.403400000000001</v>
      </c>
      <c r="P137" s="7"/>
      <c r="Q137" s="10"/>
      <c r="R137" s="11"/>
      <c r="S137" s="11"/>
      <c r="T137" s="26"/>
      <c r="U137" s="28">
        <f t="shared" si="13"/>
        <v>-4.8331511839708519E-2</v>
      </c>
    </row>
    <row r="138" spans="1:21" ht="16.5" thickBot="1" x14ac:dyDescent="0.3">
      <c r="B138" s="12"/>
      <c r="C138" s="19">
        <v>1786.27</v>
      </c>
      <c r="D138" s="20">
        <v>22.268000000000001</v>
      </c>
      <c r="E138" s="20">
        <v>35.76</v>
      </c>
      <c r="F138" s="20">
        <v>36.933</v>
      </c>
      <c r="G138" s="20">
        <v>58.28</v>
      </c>
      <c r="H138" s="20">
        <f t="shared" si="11"/>
        <v>25.787624999999998</v>
      </c>
      <c r="I138" s="5"/>
      <c r="J138" s="19">
        <v>1145.6559999999999</v>
      </c>
      <c r="K138" s="20">
        <v>24.207899999999999</v>
      </c>
      <c r="L138" s="20">
        <v>36.619399999999999</v>
      </c>
      <c r="M138" s="20">
        <v>37.894300000000001</v>
      </c>
      <c r="N138" s="20">
        <v>62.814100000000003</v>
      </c>
      <c r="O138" s="20">
        <f t="shared" si="12"/>
        <v>27.4701375</v>
      </c>
      <c r="P138" s="7"/>
      <c r="Q138" s="13"/>
      <c r="R138" s="14"/>
      <c r="S138" s="14"/>
      <c r="T138" s="27"/>
      <c r="U138" s="28">
        <f t="shared" si="13"/>
        <v>7.7798558682223781E-2</v>
      </c>
    </row>
    <row r="139" spans="1:21" x14ac:dyDescent="0.25">
      <c r="A139" s="6" t="s">
        <v>37</v>
      </c>
      <c r="B139" s="6" t="s">
        <v>48</v>
      </c>
      <c r="C139" s="15">
        <v>3027.51</v>
      </c>
      <c r="D139" s="16">
        <v>37.984000000000002</v>
      </c>
      <c r="E139" s="16">
        <v>41.488999999999997</v>
      </c>
      <c r="F139" s="16">
        <v>42.491999999999997</v>
      </c>
      <c r="G139" s="16">
        <v>84.06</v>
      </c>
      <c r="H139" s="16">
        <f t="shared" si="11"/>
        <v>38.985624999999999</v>
      </c>
      <c r="I139" s="5"/>
      <c r="J139" s="15">
        <v>2381.1655999999998</v>
      </c>
      <c r="K139" s="16">
        <v>39.046999999999997</v>
      </c>
      <c r="L139" s="16">
        <v>41.871699999999997</v>
      </c>
      <c r="M139" s="16">
        <v>43.197299999999998</v>
      </c>
      <c r="N139" s="16">
        <v>78.0488</v>
      </c>
      <c r="O139" s="16">
        <f t="shared" si="12"/>
        <v>39.918874999999993</v>
      </c>
      <c r="P139" s="7"/>
      <c r="Q139" s="8">
        <f>bdrate(C139:C142,D139:D142,J139:J142,K139:K142)</f>
        <v>-0.4906727183443127</v>
      </c>
      <c r="R139" s="8">
        <f>bdrate(C139:C142,E139:E142,J139:J142,L139:L142)</f>
        <v>-0.40244007257404146</v>
      </c>
      <c r="S139" s="8">
        <f>bdrate(C139:C142,F139:F142,J139:J142,M139:M142)</f>
        <v>-0.49811144439222477</v>
      </c>
      <c r="T139" s="25">
        <f>bdrate(C139:C142,H139:H142,J139:J142,O139:O142)</f>
        <v>-0.4857835240429399</v>
      </c>
      <c r="U139" s="28">
        <f t="shared" si="13"/>
        <v>-7.1510825600761385E-2</v>
      </c>
    </row>
    <row r="140" spans="1:21" x14ac:dyDescent="0.25">
      <c r="A140" s="9" t="s">
        <v>38</v>
      </c>
      <c r="B140" s="9"/>
      <c r="C140" s="17">
        <v>1995.54</v>
      </c>
      <c r="D140" s="18">
        <v>36.457000000000001</v>
      </c>
      <c r="E140" s="18">
        <v>40.786999999999999</v>
      </c>
      <c r="F140" s="18">
        <v>41.673999999999999</v>
      </c>
      <c r="G140" s="18">
        <v>94.38</v>
      </c>
      <c r="H140" s="18">
        <f t="shared" si="11"/>
        <v>37.650374999999997</v>
      </c>
      <c r="I140" s="5"/>
      <c r="J140" s="17">
        <v>1559.2311999999999</v>
      </c>
      <c r="K140" s="18">
        <v>37.764099999999999</v>
      </c>
      <c r="L140" s="18">
        <v>41.178600000000003</v>
      </c>
      <c r="M140" s="18">
        <v>42.420099999999998</v>
      </c>
      <c r="N140" s="18">
        <v>109.04130000000001</v>
      </c>
      <c r="O140" s="18">
        <f t="shared" si="12"/>
        <v>38.772912499999997</v>
      </c>
      <c r="P140" s="7"/>
      <c r="Q140" s="10"/>
      <c r="R140" s="11"/>
      <c r="S140" s="11"/>
      <c r="T140" s="26"/>
      <c r="U140" s="28">
        <f t="shared" si="13"/>
        <v>0.15534329307056594</v>
      </c>
    </row>
    <row r="141" spans="1:21" x14ac:dyDescent="0.25">
      <c r="B141" s="9"/>
      <c r="C141" s="17">
        <v>1236.3800000000001</v>
      </c>
      <c r="D141" s="18">
        <v>34.499000000000002</v>
      </c>
      <c r="E141" s="18">
        <v>39.988</v>
      </c>
      <c r="F141" s="18">
        <v>40.927999999999997</v>
      </c>
      <c r="G141" s="18">
        <v>103.9</v>
      </c>
      <c r="H141" s="18">
        <f t="shared" si="11"/>
        <v>35.988750000000003</v>
      </c>
      <c r="I141" s="5"/>
      <c r="J141" s="17">
        <v>949.16560000000004</v>
      </c>
      <c r="K141" s="18">
        <v>36.166600000000003</v>
      </c>
      <c r="L141" s="18">
        <v>40.395600000000002</v>
      </c>
      <c r="M141" s="18">
        <v>41.5837</v>
      </c>
      <c r="N141" s="18">
        <v>124.03100000000001</v>
      </c>
      <c r="O141" s="18">
        <f t="shared" si="12"/>
        <v>37.372362500000008</v>
      </c>
      <c r="P141" s="7"/>
      <c r="Q141" s="10"/>
      <c r="R141" s="11"/>
      <c r="S141" s="11"/>
      <c r="T141" s="26"/>
      <c r="U141" s="28">
        <f t="shared" si="13"/>
        <v>0.19375360923965351</v>
      </c>
    </row>
    <row r="142" spans="1:21" ht="16.5" thickBot="1" x14ac:dyDescent="0.3">
      <c r="B142" s="12"/>
      <c r="C142" s="19">
        <v>737.05</v>
      </c>
      <c r="D142" s="20">
        <v>32.176000000000002</v>
      </c>
      <c r="E142" s="20">
        <v>39.122999999999998</v>
      </c>
      <c r="F142" s="20">
        <v>40.091999999999999</v>
      </c>
      <c r="G142" s="20">
        <v>109.09</v>
      </c>
      <c r="H142" s="20">
        <f t="shared" si="11"/>
        <v>34.033875000000002</v>
      </c>
      <c r="I142" s="5"/>
      <c r="J142" s="19">
        <v>547.91840000000002</v>
      </c>
      <c r="K142" s="20">
        <v>34.330800000000004</v>
      </c>
      <c r="L142" s="20">
        <v>39.669400000000003</v>
      </c>
      <c r="M142" s="20">
        <v>40.886099999999999</v>
      </c>
      <c r="N142" s="20">
        <v>141.01060000000001</v>
      </c>
      <c r="O142" s="20">
        <f t="shared" si="12"/>
        <v>35.8175375</v>
      </c>
      <c r="P142" s="7"/>
      <c r="Q142" s="13"/>
      <c r="R142" s="14"/>
      <c r="S142" s="14"/>
      <c r="T142" s="27"/>
      <c r="U142" s="28">
        <f t="shared" si="13"/>
        <v>0.29260793839948673</v>
      </c>
    </row>
    <row r="143" spans="1:21" x14ac:dyDescent="0.25">
      <c r="B143" s="6" t="s">
        <v>49</v>
      </c>
      <c r="C143" s="15">
        <v>3459.85</v>
      </c>
      <c r="D143" s="16">
        <v>35.295000000000002</v>
      </c>
      <c r="E143" s="16">
        <v>38.71</v>
      </c>
      <c r="F143" s="16">
        <v>39.929000000000002</v>
      </c>
      <c r="G143" s="16">
        <v>93.75</v>
      </c>
      <c r="H143" s="16">
        <f t="shared" si="11"/>
        <v>36.301124999999999</v>
      </c>
      <c r="I143" s="5"/>
      <c r="J143" s="15">
        <v>2477.8607999999999</v>
      </c>
      <c r="K143" s="16">
        <v>36.007599999999996</v>
      </c>
      <c r="L143" s="16">
        <v>39.912399999999998</v>
      </c>
      <c r="M143" s="16">
        <v>41.105699999999999</v>
      </c>
      <c r="N143" s="16">
        <v>65.699399999999997</v>
      </c>
      <c r="O143" s="16">
        <f t="shared" si="12"/>
        <v>37.132962499999998</v>
      </c>
      <c r="P143" s="7"/>
      <c r="Q143" s="8">
        <f>bdrate(C143:C146,D143:D146,J143:J146,K143:K146)</f>
        <v>-0.48485527023231101</v>
      </c>
      <c r="R143" s="8">
        <f>bdrate(C143:C146,E143:E146,J143:J146,L143:L146)</f>
        <v>-0.59214052087146363</v>
      </c>
      <c r="S143" s="8">
        <f>bdrate(C143:C146,F143:F146,J143:J146,M143:M146)</f>
        <v>-0.59400660153728013</v>
      </c>
      <c r="T143" s="25">
        <f>bdrate(C143:C146,H143:H146,J143:J146,O143:O146)</f>
        <v>-0.50257299142440692</v>
      </c>
      <c r="U143" s="28">
        <f t="shared" si="13"/>
        <v>-0.29920640000000004</v>
      </c>
    </row>
    <row r="144" spans="1:21" x14ac:dyDescent="0.25">
      <c r="B144" s="9"/>
      <c r="C144" s="17">
        <v>2292.25</v>
      </c>
      <c r="D144" s="18">
        <v>33.765000000000001</v>
      </c>
      <c r="E144" s="18">
        <v>38.06</v>
      </c>
      <c r="F144" s="18">
        <v>39.408000000000001</v>
      </c>
      <c r="G144" s="18">
        <v>103.9</v>
      </c>
      <c r="H144" s="18">
        <f t="shared" si="11"/>
        <v>35.007249999999999</v>
      </c>
      <c r="I144" s="5"/>
      <c r="J144" s="17">
        <v>1629.0088000000001</v>
      </c>
      <c r="K144" s="18">
        <v>34.731999999999999</v>
      </c>
      <c r="L144" s="18">
        <v>39.1571</v>
      </c>
      <c r="M144" s="18">
        <v>40.357999999999997</v>
      </c>
      <c r="N144" s="18">
        <v>103.22580000000001</v>
      </c>
      <c r="O144" s="18">
        <f t="shared" si="12"/>
        <v>35.988387500000002</v>
      </c>
      <c r="P144" s="7"/>
      <c r="Q144" s="10"/>
      <c r="R144" s="11"/>
      <c r="S144" s="11"/>
      <c r="T144" s="26"/>
      <c r="U144" s="28">
        <f t="shared" si="13"/>
        <v>-6.48893166506255E-3</v>
      </c>
    </row>
    <row r="145" spans="1:21" x14ac:dyDescent="0.25">
      <c r="B145" s="9"/>
      <c r="C145" s="17">
        <v>1420.28</v>
      </c>
      <c r="D145" s="18">
        <v>31.957999999999998</v>
      </c>
      <c r="E145" s="18">
        <v>37.348999999999997</v>
      </c>
      <c r="F145" s="18">
        <v>38.765000000000001</v>
      </c>
      <c r="G145" s="18">
        <v>114.83</v>
      </c>
      <c r="H145" s="18">
        <f t="shared" si="11"/>
        <v>33.482749999999996</v>
      </c>
      <c r="I145" s="5"/>
      <c r="J145" s="17">
        <v>1023.152</v>
      </c>
      <c r="K145" s="18">
        <v>33.223300000000002</v>
      </c>
      <c r="L145" s="18">
        <v>38.215800000000002</v>
      </c>
      <c r="M145" s="18">
        <v>39.516300000000001</v>
      </c>
      <c r="N145" s="18">
        <v>120.1803</v>
      </c>
      <c r="O145" s="18">
        <f t="shared" si="12"/>
        <v>34.633987500000003</v>
      </c>
      <c r="P145" s="7"/>
      <c r="Q145" s="10"/>
      <c r="R145" s="11"/>
      <c r="S145" s="11"/>
      <c r="T145" s="26"/>
      <c r="U145" s="28">
        <f t="shared" si="13"/>
        <v>4.6593224767046977E-2</v>
      </c>
    </row>
    <row r="146" spans="1:21" ht="16.5" thickBot="1" x14ac:dyDescent="0.3">
      <c r="B146" s="12"/>
      <c r="C146" s="19">
        <v>846.05</v>
      </c>
      <c r="D146" s="20">
        <v>29.966999999999999</v>
      </c>
      <c r="E146" s="20">
        <v>36.673999999999999</v>
      </c>
      <c r="F146" s="20">
        <v>38.143999999999998</v>
      </c>
      <c r="G146" s="20">
        <v>120.18</v>
      </c>
      <c r="H146" s="20">
        <f t="shared" si="11"/>
        <v>31.827500000000001</v>
      </c>
      <c r="I146" s="5"/>
      <c r="J146" s="19">
        <v>581.28800000000001</v>
      </c>
      <c r="K146" s="20">
        <v>31.535299999999999</v>
      </c>
      <c r="L146" s="20">
        <v>37.287199999999999</v>
      </c>
      <c r="M146" s="20">
        <v>38.785600000000002</v>
      </c>
      <c r="N146" s="20">
        <v>137.22130000000001</v>
      </c>
      <c r="O146" s="20">
        <f t="shared" si="12"/>
        <v>33.160574999999994</v>
      </c>
      <c r="P146" s="7"/>
      <c r="Q146" s="13"/>
      <c r="R146" s="14"/>
      <c r="S146" s="14"/>
      <c r="T146" s="27"/>
      <c r="U146" s="28">
        <f t="shared" si="13"/>
        <v>0.14179813612913966</v>
      </c>
    </row>
    <row r="147" spans="1:21" x14ac:dyDescent="0.25">
      <c r="B147" s="6" t="s">
        <v>50</v>
      </c>
      <c r="C147" s="15">
        <v>3574.57</v>
      </c>
      <c r="D147" s="16">
        <v>33.496000000000002</v>
      </c>
      <c r="E147" s="16">
        <v>37.649000000000001</v>
      </c>
      <c r="F147" s="16">
        <v>38.997</v>
      </c>
      <c r="G147" s="16">
        <v>84.12</v>
      </c>
      <c r="H147" s="16">
        <f t="shared" si="11"/>
        <v>34.702750000000002</v>
      </c>
      <c r="I147" s="5"/>
      <c r="J147" s="15">
        <v>2411.2424000000001</v>
      </c>
      <c r="K147" s="16">
        <v>34.049700000000001</v>
      </c>
      <c r="L147" s="16">
        <v>38.087600000000002</v>
      </c>
      <c r="M147" s="16">
        <v>40.0807</v>
      </c>
      <c r="N147" s="16">
        <v>83.015100000000004</v>
      </c>
      <c r="O147" s="16">
        <f t="shared" si="12"/>
        <v>35.3083125</v>
      </c>
      <c r="P147" s="7"/>
      <c r="Q147" s="8">
        <f>bdrate(C147:C150,D147:D150,J147:J150,K147:K150)</f>
        <v>-0.49074780647587357</v>
      </c>
      <c r="R147" s="8">
        <f>bdrate(C147:C150,E147:E150,J147:J150,L147:L150)</f>
        <v>-0.55471615109543748</v>
      </c>
      <c r="S147" s="8">
        <f>bdrate(C147:C150,F147:F150,J147:J150,M147:M150)</f>
        <v>-0.59993663523209684</v>
      </c>
      <c r="T147" s="25">
        <f>bdrate(C147:C150,H147:H150,J147:J150,O147:O150)</f>
        <v>-0.50457829987515113</v>
      </c>
      <c r="U147" s="28">
        <f t="shared" si="13"/>
        <v>-1.3134807417974329E-2</v>
      </c>
    </row>
    <row r="148" spans="1:21" x14ac:dyDescent="0.25">
      <c r="B148" s="9"/>
      <c r="C148" s="17">
        <v>2368.64</v>
      </c>
      <c r="D148" s="18">
        <v>31.972000000000001</v>
      </c>
      <c r="E148" s="18">
        <v>37.134</v>
      </c>
      <c r="F148" s="18">
        <v>38.152999999999999</v>
      </c>
      <c r="G148" s="18">
        <v>115.26</v>
      </c>
      <c r="H148" s="18">
        <f t="shared" si="11"/>
        <v>33.389875000000004</v>
      </c>
      <c r="I148" s="5"/>
      <c r="J148" s="17">
        <v>1606.2624000000001</v>
      </c>
      <c r="K148" s="18">
        <v>32.832299999999996</v>
      </c>
      <c r="L148" s="18">
        <v>37.650500000000001</v>
      </c>
      <c r="M148" s="18">
        <v>39.2804</v>
      </c>
      <c r="N148" s="18">
        <v>130.82159999999999</v>
      </c>
      <c r="O148" s="18">
        <f t="shared" si="12"/>
        <v>34.240587499999997</v>
      </c>
      <c r="P148" s="7"/>
      <c r="Q148" s="10"/>
      <c r="R148" s="11"/>
      <c r="S148" s="11"/>
      <c r="T148" s="26"/>
      <c r="U148" s="28">
        <f t="shared" si="13"/>
        <v>0.13501301405517946</v>
      </c>
    </row>
    <row r="149" spans="1:21" x14ac:dyDescent="0.25">
      <c r="B149" s="9"/>
      <c r="C149" s="17">
        <v>1474.3</v>
      </c>
      <c r="D149" s="18">
        <v>29.984000000000002</v>
      </c>
      <c r="E149" s="18">
        <v>36.540999999999997</v>
      </c>
      <c r="F149" s="18">
        <v>37.189</v>
      </c>
      <c r="G149" s="18">
        <v>120.45</v>
      </c>
      <c r="H149" s="18">
        <f t="shared" si="11"/>
        <v>31.704249999999998</v>
      </c>
      <c r="I149" s="5"/>
      <c r="J149" s="17">
        <v>1002.1856</v>
      </c>
      <c r="K149" s="18">
        <v>31.2347</v>
      </c>
      <c r="L149" s="18">
        <v>37.0794</v>
      </c>
      <c r="M149" s="18">
        <v>38.273299999999999</v>
      </c>
      <c r="N149" s="18">
        <v>154.13069999999999</v>
      </c>
      <c r="O149" s="18">
        <f t="shared" si="12"/>
        <v>32.845112499999999</v>
      </c>
      <c r="P149" s="7"/>
      <c r="Q149" s="10"/>
      <c r="R149" s="11"/>
      <c r="S149" s="11"/>
      <c r="T149" s="26"/>
      <c r="U149" s="28">
        <f t="shared" si="13"/>
        <v>0.27962391033623901</v>
      </c>
    </row>
    <row r="150" spans="1:21" ht="16.5" thickBot="1" x14ac:dyDescent="0.3">
      <c r="B150" s="12"/>
      <c r="C150" s="19">
        <v>879.79</v>
      </c>
      <c r="D150" s="20">
        <v>27.626999999999999</v>
      </c>
      <c r="E150" s="20">
        <v>35.869999999999997</v>
      </c>
      <c r="F150" s="20">
        <v>36.261000000000003</v>
      </c>
      <c r="G150" s="20">
        <v>124.25</v>
      </c>
      <c r="H150" s="20">
        <f t="shared" si="11"/>
        <v>29.736625</v>
      </c>
      <c r="I150" s="5"/>
      <c r="J150" s="19">
        <v>598.23680000000002</v>
      </c>
      <c r="K150" s="20">
        <v>29.468699999999998</v>
      </c>
      <c r="L150" s="20">
        <v>36.398200000000003</v>
      </c>
      <c r="M150" s="20">
        <v>37.171399999999998</v>
      </c>
      <c r="N150" s="20">
        <v>171.3502</v>
      </c>
      <c r="O150" s="20">
        <f t="shared" si="12"/>
        <v>31.297725</v>
      </c>
      <c r="P150" s="7"/>
      <c r="Q150" s="13"/>
      <c r="R150" s="14"/>
      <c r="S150" s="14"/>
      <c r="T150" s="27"/>
      <c r="U150" s="28">
        <f t="shared" si="13"/>
        <v>0.37907605633802816</v>
      </c>
    </row>
    <row r="151" spans="1:21" x14ac:dyDescent="0.25">
      <c r="B151" s="6" t="s">
        <v>51</v>
      </c>
      <c r="C151" s="29">
        <v>3594.75</v>
      </c>
      <c r="D151" s="30">
        <v>32.722999999999999</v>
      </c>
      <c r="E151" s="30">
        <v>39.253</v>
      </c>
      <c r="F151" s="30">
        <v>38.896000000000001</v>
      </c>
      <c r="G151" s="16">
        <v>96.54</v>
      </c>
      <c r="H151" s="16">
        <f t="shared" si="11"/>
        <v>34.310875000000003</v>
      </c>
      <c r="I151" s="5"/>
      <c r="J151" s="29">
        <v>2418.1152000000002</v>
      </c>
      <c r="K151" s="30">
        <v>33.986699999999999</v>
      </c>
      <c r="L151" s="30">
        <v>40.255000000000003</v>
      </c>
      <c r="M151" s="30">
        <v>39.8461</v>
      </c>
      <c r="N151" s="16">
        <v>82.385900000000007</v>
      </c>
      <c r="O151" s="16">
        <f t="shared" si="12"/>
        <v>35.5026625</v>
      </c>
      <c r="P151" s="7"/>
      <c r="Q151" s="8">
        <f>bdrate(C151:C154,D151:D154,J151:J154,K151:K154)</f>
        <v>-0.5921106135071551</v>
      </c>
      <c r="R151" s="8">
        <f>bdrate(C151:C154,E151:E154,J151:J154,L151:L154)</f>
        <v>-0.58425991351618722</v>
      </c>
      <c r="S151" s="8">
        <f>bdrate(C151:C154,F151:F154,J151:J154,M151:M154)</f>
        <v>-0.50647901019964414</v>
      </c>
      <c r="T151" s="25">
        <f>bdrate(C151:C154,H151:H154,J151:J154,O151:O154)</f>
        <v>-0.58894248691166184</v>
      </c>
      <c r="U151" s="28">
        <f t="shared" si="13"/>
        <v>-0.14661383882328566</v>
      </c>
    </row>
    <row r="152" spans="1:21" x14ac:dyDescent="0.25">
      <c r="B152" s="9"/>
      <c r="C152" s="31">
        <v>2385.96</v>
      </c>
      <c r="D152" s="32">
        <v>30.704999999999998</v>
      </c>
      <c r="E152" s="32">
        <v>38.412999999999997</v>
      </c>
      <c r="F152" s="32">
        <v>37.997999999999998</v>
      </c>
      <c r="G152" s="18">
        <v>107.16</v>
      </c>
      <c r="H152" s="18">
        <f t="shared" si="11"/>
        <v>32.580124999999995</v>
      </c>
      <c r="I152" s="5"/>
      <c r="J152" s="31">
        <v>1610.4864</v>
      </c>
      <c r="K152" s="32">
        <v>32.584099999999999</v>
      </c>
      <c r="L152" s="32">
        <v>39.5291</v>
      </c>
      <c r="M152" s="32">
        <v>38.8919</v>
      </c>
      <c r="N152" s="18">
        <v>118.7085</v>
      </c>
      <c r="O152" s="18">
        <f t="shared" si="12"/>
        <v>34.240699999999997</v>
      </c>
      <c r="P152" s="7"/>
      <c r="Q152" s="10"/>
      <c r="R152" s="11"/>
      <c r="S152" s="11"/>
      <c r="T152" s="26"/>
      <c r="U152" s="28">
        <f t="shared" si="13"/>
        <v>0.10776875699888022</v>
      </c>
    </row>
    <row r="153" spans="1:21" x14ac:dyDescent="0.25">
      <c r="B153" s="9"/>
      <c r="C153" s="31">
        <v>1476.73</v>
      </c>
      <c r="D153" s="32">
        <v>27.832999999999998</v>
      </c>
      <c r="E153" s="32">
        <v>37.265999999999998</v>
      </c>
      <c r="F153" s="32">
        <v>36.813000000000002</v>
      </c>
      <c r="G153" s="18">
        <v>110.84</v>
      </c>
      <c r="H153" s="18">
        <f t="shared" si="11"/>
        <v>30.134625</v>
      </c>
      <c r="I153" s="5"/>
      <c r="J153" s="31">
        <v>998.14319999999998</v>
      </c>
      <c r="K153" s="32">
        <v>30.783200000000001</v>
      </c>
      <c r="L153" s="32">
        <v>38.530999999999999</v>
      </c>
      <c r="M153" s="32">
        <v>37.6586</v>
      </c>
      <c r="N153" s="18">
        <v>134.66200000000001</v>
      </c>
      <c r="O153" s="18">
        <f t="shared" si="12"/>
        <v>32.6111</v>
      </c>
      <c r="P153" s="7"/>
      <c r="Q153" s="10"/>
      <c r="R153" s="11"/>
      <c r="S153" s="11"/>
      <c r="T153" s="26"/>
      <c r="U153" s="28">
        <f t="shared" si="13"/>
        <v>0.21492241068206425</v>
      </c>
    </row>
    <row r="154" spans="1:21" ht="16.5" thickBot="1" x14ac:dyDescent="0.3">
      <c r="B154" s="12"/>
      <c r="C154" s="33">
        <v>875.54</v>
      </c>
      <c r="D154" s="34">
        <v>23.96</v>
      </c>
      <c r="E154" s="34">
        <v>35.402999999999999</v>
      </c>
      <c r="F154" s="34">
        <v>34.661999999999999</v>
      </c>
      <c r="G154" s="20">
        <v>112.03</v>
      </c>
      <c r="H154" s="20">
        <f t="shared" si="11"/>
        <v>26.728124999999999</v>
      </c>
      <c r="I154" s="5"/>
      <c r="J154" s="33">
        <v>597.29280000000006</v>
      </c>
      <c r="K154" s="34">
        <v>28.864000000000001</v>
      </c>
      <c r="L154" s="34">
        <v>36.860399999999998</v>
      </c>
      <c r="M154" s="34">
        <v>35.881</v>
      </c>
      <c r="N154" s="20">
        <v>158.32810000000001</v>
      </c>
      <c r="O154" s="20">
        <f t="shared" si="12"/>
        <v>30.740675</v>
      </c>
      <c r="P154" s="7"/>
      <c r="Q154" s="13"/>
      <c r="R154" s="14"/>
      <c r="S154" s="14"/>
      <c r="T154" s="27"/>
      <c r="U154" s="28">
        <f t="shared" si="13"/>
        <v>0.4132651968222798</v>
      </c>
    </row>
    <row r="155" spans="1:21" x14ac:dyDescent="0.25">
      <c r="B155" s="6" t="s">
        <v>52</v>
      </c>
      <c r="C155" s="15">
        <v>3601.37</v>
      </c>
      <c r="D155" s="16">
        <v>31.856000000000002</v>
      </c>
      <c r="E155" s="16">
        <v>38.381</v>
      </c>
      <c r="F155" s="16">
        <v>40.902999999999999</v>
      </c>
      <c r="G155" s="16">
        <v>89.42</v>
      </c>
      <c r="H155" s="16">
        <f t="shared" si="11"/>
        <v>33.802500000000002</v>
      </c>
      <c r="I155" s="5"/>
      <c r="J155" s="15">
        <v>2416.4160000000002</v>
      </c>
      <c r="K155" s="16">
        <v>33.5732</v>
      </c>
      <c r="L155" s="16">
        <v>39.742600000000003</v>
      </c>
      <c r="M155" s="16">
        <v>42.1922</v>
      </c>
      <c r="N155" s="16">
        <v>87.616799999999998</v>
      </c>
      <c r="O155" s="16">
        <f t="shared" si="12"/>
        <v>35.421750000000003</v>
      </c>
      <c r="P155" s="7"/>
      <c r="Q155" s="8">
        <f>bdrate(C155:C158,D155:D158,J155:J158,K155:K158)</f>
        <v>-0.70970360983584402</v>
      </c>
      <c r="R155" s="8">
        <f>bdrate(C155:C158,E155:E158,J155:J158,L155:L158)</f>
        <v>-0.76005041247822502</v>
      </c>
      <c r="S155" s="8">
        <f>bdrate(C155:C158,F155:F158,J155:J158,M155:M158)</f>
        <v>-0.77484151667335976</v>
      </c>
      <c r="T155" s="25">
        <f>bdrate(C155:C158,H155:H158,J155:J158,O155:O158)</f>
        <v>-0.71625185102471045</v>
      </c>
      <c r="U155" s="28">
        <f t="shared" si="13"/>
        <v>-2.0165511071348736E-2</v>
      </c>
    </row>
    <row r="156" spans="1:21" x14ac:dyDescent="0.25">
      <c r="B156" s="9"/>
      <c r="C156" s="17">
        <v>2375.42</v>
      </c>
      <c r="D156" s="18">
        <v>30.619</v>
      </c>
      <c r="E156" s="18">
        <v>37.994999999999997</v>
      </c>
      <c r="F156" s="18">
        <v>40.445</v>
      </c>
      <c r="G156" s="18">
        <v>121.33</v>
      </c>
      <c r="H156" s="18">
        <f t="shared" si="11"/>
        <v>32.76925</v>
      </c>
      <c r="I156" s="5"/>
      <c r="J156" s="17">
        <v>1611.664</v>
      </c>
      <c r="K156" s="18">
        <v>32.8596</v>
      </c>
      <c r="L156" s="18">
        <v>39.269799999999996</v>
      </c>
      <c r="M156" s="18">
        <v>41.752099999999999</v>
      </c>
      <c r="N156" s="18">
        <v>136.3946</v>
      </c>
      <c r="O156" s="18">
        <f t="shared" si="12"/>
        <v>34.772437500000002</v>
      </c>
      <c r="P156" s="7"/>
      <c r="Q156" s="10"/>
      <c r="R156" s="11"/>
      <c r="S156" s="11"/>
      <c r="T156" s="26"/>
      <c r="U156" s="28">
        <f t="shared" si="13"/>
        <v>0.12416220225830379</v>
      </c>
    </row>
    <row r="157" spans="1:21" x14ac:dyDescent="0.25">
      <c r="B157" s="9"/>
      <c r="C157" s="17">
        <v>1448.88</v>
      </c>
      <c r="D157" s="18">
        <v>28.838000000000001</v>
      </c>
      <c r="E157" s="18">
        <v>37.424999999999997</v>
      </c>
      <c r="F157" s="18">
        <v>39.884999999999998</v>
      </c>
      <c r="G157" s="18">
        <v>123.66</v>
      </c>
      <c r="H157" s="18">
        <f t="shared" si="11"/>
        <v>31.292250000000003</v>
      </c>
      <c r="I157" s="5"/>
      <c r="J157" s="17">
        <v>1029.2416000000001</v>
      </c>
      <c r="K157" s="18">
        <v>31.7517</v>
      </c>
      <c r="L157" s="18">
        <v>38.6233</v>
      </c>
      <c r="M157" s="18">
        <v>41.132399999999997</v>
      </c>
      <c r="N157" s="18">
        <v>154.47989999999999</v>
      </c>
      <c r="O157" s="18">
        <f t="shared" si="12"/>
        <v>33.783237499999998</v>
      </c>
      <c r="P157" s="7"/>
      <c r="Q157" s="10"/>
      <c r="R157" s="11"/>
      <c r="S157" s="11"/>
      <c r="T157" s="26"/>
      <c r="U157" s="28">
        <f t="shared" si="13"/>
        <v>0.24923095584667629</v>
      </c>
    </row>
    <row r="158" spans="1:21" ht="16.5" thickBot="1" x14ac:dyDescent="0.3">
      <c r="B158" s="12"/>
      <c r="C158" s="19">
        <v>837.94</v>
      </c>
      <c r="D158" s="20">
        <v>26.353000000000002</v>
      </c>
      <c r="E158" s="20">
        <v>36.884999999999998</v>
      </c>
      <c r="F158" s="20">
        <v>38.792000000000002</v>
      </c>
      <c r="G158" s="20">
        <v>126.93</v>
      </c>
      <c r="H158" s="20">
        <f t="shared" si="11"/>
        <v>29.224374999999998</v>
      </c>
      <c r="I158" s="5"/>
      <c r="J158" s="19">
        <v>598.09040000000005</v>
      </c>
      <c r="K158" s="20">
        <v>30.245100000000001</v>
      </c>
      <c r="L158" s="20">
        <v>38.030700000000003</v>
      </c>
      <c r="M158" s="20">
        <v>40.604300000000002</v>
      </c>
      <c r="N158" s="20">
        <v>167.87909999999999</v>
      </c>
      <c r="O158" s="20">
        <f t="shared" si="12"/>
        <v>32.513199999999998</v>
      </c>
      <c r="P158" s="7"/>
      <c r="Q158" s="13"/>
      <c r="R158" s="14"/>
      <c r="S158" s="14"/>
      <c r="T158" s="27"/>
      <c r="U158" s="28">
        <f t="shared" si="13"/>
        <v>0.3226116757267784</v>
      </c>
    </row>
    <row r="159" spans="1:21" x14ac:dyDescent="0.25">
      <c r="A159" s="6" t="s">
        <v>39</v>
      </c>
      <c r="B159" s="6" t="s">
        <v>53</v>
      </c>
      <c r="C159" s="15">
        <v>1551.07</v>
      </c>
      <c r="D159" s="16">
        <v>33.914999999999999</v>
      </c>
      <c r="E159" s="16">
        <v>37.308</v>
      </c>
      <c r="F159" s="16">
        <v>37.158999999999999</v>
      </c>
      <c r="G159" s="16">
        <v>445.24</v>
      </c>
      <c r="H159" s="16">
        <f t="shared" si="11"/>
        <v>34.744624999999999</v>
      </c>
      <c r="I159" s="5"/>
      <c r="J159" s="15">
        <v>1207.8152</v>
      </c>
      <c r="K159" s="16">
        <v>34.9651</v>
      </c>
      <c r="L159" s="16">
        <v>38.987099999999998</v>
      </c>
      <c r="M159" s="16">
        <v>38.846299999999999</v>
      </c>
      <c r="N159" s="16">
        <v>390.93040000000002</v>
      </c>
      <c r="O159" s="16">
        <f t="shared" si="12"/>
        <v>35.952999999999996</v>
      </c>
      <c r="P159" s="7"/>
      <c r="Q159" s="8">
        <f>bdrate(C159:C162,D159:D162,J159:J162,K159:K162)</f>
        <v>-0.41384175665268741</v>
      </c>
      <c r="R159" s="8">
        <f>bdrate(C159:C162,E159:E162,J159:J162,L159:L162)</f>
        <v>-0.55486208659366876</v>
      </c>
      <c r="S159" s="8">
        <f>bdrate(C159:C162,F159:F162,J159:J162,M159:M162)</f>
        <v>-0.51387973048243929</v>
      </c>
      <c r="T159" s="25">
        <f>bdrate(C159:C162,H159:H162,J159:J162,O159:O162)</f>
        <v>-0.43715961898912215</v>
      </c>
      <c r="U159" s="28">
        <f t="shared" si="13"/>
        <v>-0.12197825891653936</v>
      </c>
    </row>
    <row r="160" spans="1:21" x14ac:dyDescent="0.25">
      <c r="A160" s="9" t="s">
        <v>40</v>
      </c>
      <c r="B160" s="9"/>
      <c r="C160" s="17">
        <v>1053.92</v>
      </c>
      <c r="D160" s="18">
        <v>32.433</v>
      </c>
      <c r="E160" s="18">
        <v>36.356999999999999</v>
      </c>
      <c r="F160" s="18">
        <v>36.100999999999999</v>
      </c>
      <c r="G160" s="18">
        <v>552.49</v>
      </c>
      <c r="H160" s="18">
        <f t="shared" si="11"/>
        <v>33.382000000000005</v>
      </c>
      <c r="I160" s="5"/>
      <c r="J160" s="17">
        <v>804.21439999999996</v>
      </c>
      <c r="K160" s="18">
        <v>33.423699999999997</v>
      </c>
      <c r="L160" s="18">
        <v>37.825400000000002</v>
      </c>
      <c r="M160" s="18">
        <v>37.501100000000001</v>
      </c>
      <c r="N160" s="18">
        <v>445.23599999999999</v>
      </c>
      <c r="O160" s="18">
        <f t="shared" si="12"/>
        <v>34.483587499999999</v>
      </c>
      <c r="P160" s="7"/>
      <c r="Q160" s="10"/>
      <c r="R160" s="11"/>
      <c r="S160" s="11"/>
      <c r="T160" s="26"/>
      <c r="U160" s="28">
        <f t="shared" si="13"/>
        <v>-0.19412840051403649</v>
      </c>
    </row>
    <row r="161" spans="1:21" x14ac:dyDescent="0.25">
      <c r="B161" s="9"/>
      <c r="C161" s="17">
        <v>647.76</v>
      </c>
      <c r="D161" s="18">
        <v>30.478999999999999</v>
      </c>
      <c r="E161" s="18">
        <v>35.363999999999997</v>
      </c>
      <c r="F161" s="18">
        <v>34.950000000000003</v>
      </c>
      <c r="G161" s="18">
        <v>582.75</v>
      </c>
      <c r="H161" s="18">
        <f t="shared" si="11"/>
        <v>31.648499999999999</v>
      </c>
      <c r="I161" s="5"/>
      <c r="J161" s="17">
        <v>502.72879999999998</v>
      </c>
      <c r="K161" s="18">
        <v>31.603999999999999</v>
      </c>
      <c r="L161" s="18">
        <v>36.593200000000003</v>
      </c>
      <c r="M161" s="18">
        <v>36.116300000000003</v>
      </c>
      <c r="N161" s="18">
        <v>525.21010000000001</v>
      </c>
      <c r="O161" s="18">
        <f t="shared" si="12"/>
        <v>32.791687500000002</v>
      </c>
      <c r="P161" s="7"/>
      <c r="Q161" s="10"/>
      <c r="R161" s="11"/>
      <c r="S161" s="11"/>
      <c r="T161" s="26"/>
      <c r="U161" s="28">
        <f t="shared" si="13"/>
        <v>-9.8738567138567115E-2</v>
      </c>
    </row>
    <row r="162" spans="1:21" ht="16.5" thickBot="1" x14ac:dyDescent="0.3">
      <c r="B162" s="12"/>
      <c r="C162" s="19">
        <v>395.4</v>
      </c>
      <c r="D162" s="20">
        <v>28.172000000000001</v>
      </c>
      <c r="E162" s="20">
        <v>34.387999999999998</v>
      </c>
      <c r="F162" s="20">
        <v>33.975000000000001</v>
      </c>
      <c r="G162" s="20">
        <v>628.14</v>
      </c>
      <c r="H162" s="20">
        <f t="shared" si="11"/>
        <v>29.674375000000001</v>
      </c>
      <c r="I162" s="5"/>
      <c r="J162" s="19">
        <v>300.90640000000002</v>
      </c>
      <c r="K162" s="20">
        <v>29.5943</v>
      </c>
      <c r="L162" s="20">
        <v>35.258099999999999</v>
      </c>
      <c r="M162" s="20">
        <v>34.636400000000002</v>
      </c>
      <c r="N162" s="20">
        <v>593.11980000000005</v>
      </c>
      <c r="O162" s="20">
        <f t="shared" si="12"/>
        <v>30.932537499999999</v>
      </c>
      <c r="P162" s="7"/>
      <c r="Q162" s="13"/>
      <c r="R162" s="14"/>
      <c r="S162" s="14"/>
      <c r="T162" s="27"/>
      <c r="U162" s="28">
        <f t="shared" si="13"/>
        <v>-5.5752220842487238E-2</v>
      </c>
    </row>
    <row r="163" spans="1:21" x14ac:dyDescent="0.25">
      <c r="B163" s="6" t="s">
        <v>54</v>
      </c>
      <c r="C163" s="15">
        <v>1571.77</v>
      </c>
      <c r="D163" s="16">
        <v>34.173999999999999</v>
      </c>
      <c r="E163" s="16">
        <v>39.08</v>
      </c>
      <c r="F163" s="16">
        <v>39.814999999999998</v>
      </c>
      <c r="G163" s="16">
        <v>458.02</v>
      </c>
      <c r="H163" s="16">
        <f t="shared" si="11"/>
        <v>35.492374999999996</v>
      </c>
      <c r="I163" s="5"/>
      <c r="J163" s="15">
        <v>1233.2904000000001</v>
      </c>
      <c r="K163" s="16">
        <v>35.166800000000002</v>
      </c>
      <c r="L163" s="16">
        <v>40.4619</v>
      </c>
      <c r="M163" s="16">
        <v>41.294499999999999</v>
      </c>
      <c r="N163" s="16">
        <v>392.41329999999999</v>
      </c>
      <c r="O163" s="16">
        <f t="shared" si="12"/>
        <v>36.594650000000001</v>
      </c>
      <c r="P163" s="7"/>
      <c r="Q163" s="8">
        <f>bdrate(C163:C166,D163:D166,J163:J166,K163:K166)</f>
        <v>-0.44718608506377222</v>
      </c>
      <c r="R163" s="8">
        <f>bdrate(C163:C166,E163:E166,J163:J166,L163:L166)</f>
        <v>-0.54482475443395606</v>
      </c>
      <c r="S163" s="8">
        <f>bdrate(C163:C166,F163:F166,J163:J166,M163:M166)</f>
        <v>-0.52119460941674844</v>
      </c>
      <c r="T163" s="25">
        <f>bdrate(C163:C166,H163:H166,J163:J166,O163:O166)</f>
        <v>-0.46137382931184134</v>
      </c>
      <c r="U163" s="28">
        <f t="shared" ref="U163:U194" si="14">(N163-G163)/G163</f>
        <v>-0.14323981485524648</v>
      </c>
    </row>
    <row r="164" spans="1:21" x14ac:dyDescent="0.25">
      <c r="B164" s="9"/>
      <c r="C164" s="17">
        <v>1065</v>
      </c>
      <c r="D164" s="18">
        <v>32.344000000000001</v>
      </c>
      <c r="E164" s="18">
        <v>38.31</v>
      </c>
      <c r="F164" s="18">
        <v>38.991999999999997</v>
      </c>
      <c r="G164" s="18">
        <v>541.52</v>
      </c>
      <c r="H164" s="18">
        <f t="shared" si="11"/>
        <v>33.920750000000005</v>
      </c>
      <c r="I164" s="5"/>
      <c r="J164" s="17">
        <v>821.09760000000006</v>
      </c>
      <c r="K164" s="18">
        <v>33.601799999999997</v>
      </c>
      <c r="L164" s="18">
        <v>39.492699999999999</v>
      </c>
      <c r="M164" s="18">
        <v>40.2149</v>
      </c>
      <c r="N164" s="18">
        <v>474.68349999999998</v>
      </c>
      <c r="O164" s="18">
        <f t="shared" si="12"/>
        <v>35.1648</v>
      </c>
      <c r="P164" s="7"/>
      <c r="Q164" s="10"/>
      <c r="R164" s="11"/>
      <c r="S164" s="11"/>
      <c r="T164" s="26"/>
      <c r="U164" s="28">
        <f t="shared" si="14"/>
        <v>-0.12342388092775891</v>
      </c>
    </row>
    <row r="165" spans="1:21" x14ac:dyDescent="0.25">
      <c r="B165" s="9"/>
      <c r="C165" s="17">
        <v>657.31</v>
      </c>
      <c r="D165" s="18">
        <v>29.917000000000002</v>
      </c>
      <c r="E165" s="18">
        <v>37.408999999999999</v>
      </c>
      <c r="F165" s="18">
        <v>37.963000000000001</v>
      </c>
      <c r="G165" s="18">
        <v>549.45000000000005</v>
      </c>
      <c r="H165" s="18">
        <f t="shared" si="11"/>
        <v>31.859249999999999</v>
      </c>
      <c r="I165" s="5"/>
      <c r="J165" s="17">
        <v>513.1848</v>
      </c>
      <c r="K165" s="18">
        <v>31.6875</v>
      </c>
      <c r="L165" s="18">
        <v>38.426400000000001</v>
      </c>
      <c r="M165" s="18">
        <v>39.0105</v>
      </c>
      <c r="N165" s="18">
        <v>541.51620000000003</v>
      </c>
      <c r="O165" s="18">
        <f t="shared" si="12"/>
        <v>33.445237499999998</v>
      </c>
      <c r="P165" s="7"/>
      <c r="Q165" s="10"/>
      <c r="R165" s="11"/>
      <c r="S165" s="11"/>
      <c r="T165" s="26"/>
      <c r="U165" s="28">
        <f t="shared" si="14"/>
        <v>-1.4439530439530474E-2</v>
      </c>
    </row>
    <row r="166" spans="1:21" ht="16.5" thickBot="1" x14ac:dyDescent="0.3">
      <c r="B166" s="12"/>
      <c r="C166" s="19">
        <v>403.22</v>
      </c>
      <c r="D166" s="20">
        <v>27.097999999999999</v>
      </c>
      <c r="E166" s="20">
        <v>36.502000000000002</v>
      </c>
      <c r="F166" s="20">
        <v>37.026000000000003</v>
      </c>
      <c r="G166" s="20">
        <v>582.52</v>
      </c>
      <c r="H166" s="20">
        <f t="shared" si="11"/>
        <v>29.514500000000002</v>
      </c>
      <c r="I166" s="5"/>
      <c r="J166" s="19">
        <v>307.57760000000002</v>
      </c>
      <c r="K166" s="20">
        <v>29.609300000000001</v>
      </c>
      <c r="L166" s="20">
        <v>37.418700000000001</v>
      </c>
      <c r="M166" s="20">
        <v>37.8279</v>
      </c>
      <c r="N166" s="20">
        <v>630.91480000000001</v>
      </c>
      <c r="O166" s="20">
        <f t="shared" si="12"/>
        <v>31.6128</v>
      </c>
      <c r="P166" s="7"/>
      <c r="Q166" s="13"/>
      <c r="R166" s="14"/>
      <c r="S166" s="14"/>
      <c r="T166" s="27"/>
      <c r="U166" s="28">
        <f t="shared" si="14"/>
        <v>8.3078349241227825E-2</v>
      </c>
    </row>
    <row r="167" spans="1:21" x14ac:dyDescent="0.25">
      <c r="B167" s="6" t="s">
        <v>55</v>
      </c>
      <c r="C167" s="15">
        <v>1434.52</v>
      </c>
      <c r="D167" s="16">
        <v>28.427</v>
      </c>
      <c r="E167" s="16">
        <v>34.868000000000002</v>
      </c>
      <c r="F167" s="16">
        <v>35.511000000000003</v>
      </c>
      <c r="G167" s="16">
        <v>517.05999999999995</v>
      </c>
      <c r="H167" s="16">
        <f t="shared" si="11"/>
        <v>30.117625</v>
      </c>
      <c r="I167" s="5"/>
      <c r="J167" s="15">
        <v>1212.7272</v>
      </c>
      <c r="K167" s="16">
        <v>30.288</v>
      </c>
      <c r="L167" s="16">
        <v>36.692799999999998</v>
      </c>
      <c r="M167" s="16">
        <v>37.446800000000003</v>
      </c>
      <c r="N167" s="16">
        <v>364.43150000000003</v>
      </c>
      <c r="O167" s="16">
        <f t="shared" si="12"/>
        <v>31.983450000000001</v>
      </c>
      <c r="P167" s="7"/>
      <c r="Q167" s="8">
        <f>bdrate(C167:C170,D167:D170,J167:J170,K167:K170)</f>
        <v>-0.52721698794905603</v>
      </c>
      <c r="R167" s="8">
        <f>bdrate(C167:C170,E167:E170,J167:J170,L167:L170)</f>
        <v>-0.64473718647233236</v>
      </c>
      <c r="S167" s="8">
        <f>bdrate(C167:C170,F167:F170,J167:J170,M167:M170)</f>
        <v>-0.65227531005380945</v>
      </c>
      <c r="T167" s="25">
        <f>bdrate(C167:C170,H167:H170,J167:J170,O167:O170)</f>
        <v>-0.54646294935958895</v>
      </c>
      <c r="U167" s="28">
        <f t="shared" si="14"/>
        <v>-0.29518527830425856</v>
      </c>
    </row>
    <row r="168" spans="1:21" x14ac:dyDescent="0.25">
      <c r="B168" s="9"/>
      <c r="C168" s="17">
        <v>970.93</v>
      </c>
      <c r="D168" s="18">
        <v>27.15</v>
      </c>
      <c r="E168" s="18">
        <v>34.441000000000003</v>
      </c>
      <c r="F168" s="18">
        <v>35.112000000000002</v>
      </c>
      <c r="G168" s="18">
        <v>582.75</v>
      </c>
      <c r="H168" s="18">
        <f t="shared" si="11"/>
        <v>29.056624999999997</v>
      </c>
      <c r="I168" s="5"/>
      <c r="J168" s="17">
        <v>812.24959999999999</v>
      </c>
      <c r="K168" s="18">
        <v>28.971599999999999</v>
      </c>
      <c r="L168" s="18">
        <v>35.926699999999997</v>
      </c>
      <c r="M168" s="18">
        <v>36.6815</v>
      </c>
      <c r="N168" s="18">
        <v>438.59649999999999</v>
      </c>
      <c r="O168" s="18">
        <f t="shared" si="12"/>
        <v>30.804725000000001</v>
      </c>
      <c r="P168" s="7"/>
      <c r="Q168" s="10"/>
      <c r="R168" s="11"/>
      <c r="S168" s="11"/>
      <c r="T168" s="26"/>
      <c r="U168" s="28">
        <f t="shared" si="14"/>
        <v>-0.24736765336765337</v>
      </c>
    </row>
    <row r="169" spans="1:21" x14ac:dyDescent="0.25">
      <c r="B169" s="9"/>
      <c r="C169" s="17">
        <v>603.51</v>
      </c>
      <c r="D169" s="18">
        <v>25.675000000000001</v>
      </c>
      <c r="E169" s="18">
        <v>33.954000000000001</v>
      </c>
      <c r="F169" s="18">
        <v>34.651000000000003</v>
      </c>
      <c r="G169" s="18">
        <v>628.92999999999995</v>
      </c>
      <c r="H169" s="18">
        <f t="shared" si="11"/>
        <v>27.831875000000004</v>
      </c>
      <c r="I169" s="5"/>
      <c r="J169" s="17">
        <v>509.5376</v>
      </c>
      <c r="K169" s="18">
        <v>27.481400000000001</v>
      </c>
      <c r="L169" s="18">
        <v>35.042099999999998</v>
      </c>
      <c r="M169" s="18">
        <v>35.781700000000001</v>
      </c>
      <c r="N169" s="18">
        <v>525.21010000000001</v>
      </c>
      <c r="O169" s="18">
        <f t="shared" si="12"/>
        <v>29.464024999999999</v>
      </c>
      <c r="P169" s="7"/>
      <c r="Q169" s="10"/>
      <c r="R169" s="11"/>
      <c r="S169" s="11"/>
      <c r="T169" s="26"/>
      <c r="U169" s="28">
        <f t="shared" si="14"/>
        <v>-0.16491485538931192</v>
      </c>
    </row>
    <row r="170" spans="1:21" ht="16.5" thickBot="1" x14ac:dyDescent="0.3">
      <c r="B170" s="12"/>
      <c r="C170" s="19">
        <v>370.5</v>
      </c>
      <c r="D170" s="20">
        <v>24.152000000000001</v>
      </c>
      <c r="E170" s="20">
        <v>33.509</v>
      </c>
      <c r="F170" s="20">
        <v>34.234000000000002</v>
      </c>
      <c r="G170" s="20">
        <v>654.45000000000005</v>
      </c>
      <c r="H170" s="20">
        <f t="shared" si="11"/>
        <v>26.581875</v>
      </c>
      <c r="I170" s="5"/>
      <c r="J170" s="19">
        <v>305.21600000000001</v>
      </c>
      <c r="K170" s="20">
        <v>25.906099999999999</v>
      </c>
      <c r="L170" s="20">
        <v>34.205399999999997</v>
      </c>
      <c r="M170" s="20">
        <v>34.882100000000001</v>
      </c>
      <c r="N170" s="20">
        <v>616.52279999999996</v>
      </c>
      <c r="O170" s="20">
        <f t="shared" si="12"/>
        <v>28.065512500000001</v>
      </c>
      <c r="P170" s="7"/>
      <c r="Q170" s="13"/>
      <c r="R170" s="14"/>
      <c r="S170" s="14"/>
      <c r="T170" s="27"/>
      <c r="U170" s="28">
        <f t="shared" si="14"/>
        <v>-5.7952784781114035E-2</v>
      </c>
    </row>
    <row r="171" spans="1:21" x14ac:dyDescent="0.25">
      <c r="B171" s="6" t="s">
        <v>56</v>
      </c>
      <c r="C171" s="15">
        <v>1430.52</v>
      </c>
      <c r="D171" s="16">
        <v>32.164000000000001</v>
      </c>
      <c r="E171" s="16">
        <v>36.247999999999998</v>
      </c>
      <c r="F171" s="16">
        <v>37.813000000000002</v>
      </c>
      <c r="G171" s="16">
        <v>392.67</v>
      </c>
      <c r="H171" s="16">
        <f t="shared" si="11"/>
        <v>33.380625000000002</v>
      </c>
      <c r="I171" s="5"/>
      <c r="J171" s="15">
        <v>1203.1967999999999</v>
      </c>
      <c r="K171" s="16">
        <v>32.320900000000002</v>
      </c>
      <c r="L171" s="16">
        <v>36.8307</v>
      </c>
      <c r="M171" s="16">
        <v>38.403599999999997</v>
      </c>
      <c r="N171" s="16">
        <v>282.75209999999998</v>
      </c>
      <c r="O171" s="16">
        <f t="shared" si="12"/>
        <v>33.644962500000005</v>
      </c>
      <c r="P171" s="7"/>
      <c r="Q171" s="8">
        <f>bdrate(C171:C174,D171:D174,J171:J174,K171:K174)</f>
        <v>-0.25671521828878463</v>
      </c>
      <c r="R171" s="8">
        <f>bdrate(C171:C174,E171:E174,J171:J174,L171:L174)</f>
        <v>-0.31840455374669718</v>
      </c>
      <c r="S171" s="8">
        <f>bdrate(C171:C174,F171:F174,J171:J174,M171:M174)</f>
        <v>-0.3257446921331959</v>
      </c>
      <c r="T171" s="25">
        <f>bdrate(C171:C174,H171:H174,J171:J174,O171:O174)</f>
        <v>-0.26822556415711063</v>
      </c>
      <c r="U171" s="28">
        <f t="shared" si="14"/>
        <v>-0.27992436396974568</v>
      </c>
    </row>
    <row r="172" spans="1:21" x14ac:dyDescent="0.25">
      <c r="B172" s="9"/>
      <c r="C172" s="17">
        <v>976.5</v>
      </c>
      <c r="D172" s="18">
        <v>30.556999999999999</v>
      </c>
      <c r="E172" s="18">
        <v>35.567</v>
      </c>
      <c r="F172" s="18">
        <v>37.100999999999999</v>
      </c>
      <c r="G172" s="18">
        <v>447.09</v>
      </c>
      <c r="H172" s="18">
        <f t="shared" si="11"/>
        <v>32.001249999999999</v>
      </c>
      <c r="I172" s="5"/>
      <c r="J172" s="17">
        <v>801.49680000000001</v>
      </c>
      <c r="K172" s="18">
        <v>30.7714</v>
      </c>
      <c r="L172" s="18">
        <v>35.9664</v>
      </c>
      <c r="M172" s="18">
        <v>37.519599999999997</v>
      </c>
      <c r="N172" s="18">
        <v>343.24939999999998</v>
      </c>
      <c r="O172" s="18">
        <f t="shared" si="12"/>
        <v>32.264299999999999</v>
      </c>
      <c r="P172" s="7"/>
      <c r="Q172" s="10"/>
      <c r="R172" s="11"/>
      <c r="S172" s="11"/>
      <c r="T172" s="26"/>
      <c r="U172" s="28">
        <f t="shared" si="14"/>
        <v>-0.23225882931848174</v>
      </c>
    </row>
    <row r="173" spans="1:21" x14ac:dyDescent="0.25">
      <c r="B173" s="9"/>
      <c r="C173" s="17">
        <v>615.01</v>
      </c>
      <c r="D173" s="18">
        <v>28.638999999999999</v>
      </c>
      <c r="E173" s="18">
        <v>34.786999999999999</v>
      </c>
      <c r="F173" s="18">
        <v>36.255000000000003</v>
      </c>
      <c r="G173" s="18">
        <v>427.35</v>
      </c>
      <c r="H173" s="18">
        <f t="shared" si="11"/>
        <v>30.359500000000001</v>
      </c>
      <c r="I173" s="5"/>
      <c r="J173" s="17">
        <v>501.06799999999998</v>
      </c>
      <c r="K173" s="18">
        <v>29.101199999999999</v>
      </c>
      <c r="L173" s="18">
        <v>35.066299999999998</v>
      </c>
      <c r="M173" s="18">
        <v>36.586100000000002</v>
      </c>
      <c r="N173" s="18">
        <v>409.27690000000001</v>
      </c>
      <c r="O173" s="18">
        <f t="shared" si="12"/>
        <v>30.782449999999997</v>
      </c>
      <c r="P173" s="7"/>
      <c r="Q173" s="10"/>
      <c r="R173" s="11"/>
      <c r="S173" s="11"/>
      <c r="T173" s="26"/>
      <c r="U173" s="28">
        <f t="shared" si="14"/>
        <v>-4.2291096291096314E-2</v>
      </c>
    </row>
    <row r="174" spans="1:21" ht="16.5" thickBot="1" x14ac:dyDescent="0.3">
      <c r="B174" s="12"/>
      <c r="C174" s="19">
        <v>379.75</v>
      </c>
      <c r="D174" s="20">
        <v>26.513999999999999</v>
      </c>
      <c r="E174" s="20">
        <v>33.887</v>
      </c>
      <c r="F174" s="20">
        <v>35.267000000000003</v>
      </c>
      <c r="G174" s="20">
        <v>534.76</v>
      </c>
      <c r="H174" s="20">
        <f t="shared" si="11"/>
        <v>28.52975</v>
      </c>
      <c r="I174" s="5"/>
      <c r="J174" s="19">
        <v>302.7088</v>
      </c>
      <c r="K174" s="20">
        <v>27.500699999999998</v>
      </c>
      <c r="L174" s="20">
        <v>34.137999999999998</v>
      </c>
      <c r="M174" s="20">
        <v>35.595599999999997</v>
      </c>
      <c r="N174" s="20">
        <v>480.76920000000001</v>
      </c>
      <c r="O174" s="20">
        <f t="shared" si="12"/>
        <v>29.342224999999999</v>
      </c>
      <c r="P174" s="7"/>
      <c r="Q174" s="13"/>
      <c r="R174" s="14"/>
      <c r="S174" s="14"/>
      <c r="T174" s="27"/>
      <c r="U174" s="28">
        <f t="shared" si="14"/>
        <v>-0.10096267484479014</v>
      </c>
    </row>
    <row r="175" spans="1:21" x14ac:dyDescent="0.25">
      <c r="A175" s="6" t="s">
        <v>41</v>
      </c>
      <c r="B175" s="6" t="s">
        <v>57</v>
      </c>
      <c r="C175" s="15">
        <v>850.11</v>
      </c>
      <c r="D175" s="16">
        <v>34.750999999999998</v>
      </c>
      <c r="E175" s="16">
        <v>38.750999999999998</v>
      </c>
      <c r="F175" s="16">
        <v>37.621000000000002</v>
      </c>
      <c r="G175" s="16">
        <v>1457.73</v>
      </c>
      <c r="H175" s="16">
        <f t="shared" si="11"/>
        <v>35.609749999999998</v>
      </c>
      <c r="I175" s="5"/>
      <c r="J175" s="15">
        <v>601.9864</v>
      </c>
      <c r="K175" s="16">
        <v>34.326999999999998</v>
      </c>
      <c r="L175" s="16">
        <v>39.604999999999997</v>
      </c>
      <c r="M175" s="16">
        <v>38.131</v>
      </c>
      <c r="N175" s="16">
        <v>889.67970000000003</v>
      </c>
      <c r="O175" s="16">
        <f t="shared" si="12"/>
        <v>35.462249999999997</v>
      </c>
      <c r="P175" s="7"/>
      <c r="Q175" s="8">
        <f>bdrate(C175:C178,D175:D178,J175:J178,K175:K178)</f>
        <v>-0.27475910727103547</v>
      </c>
      <c r="R175" s="8">
        <f>bdrate(C175:C178,E175:E178,J175:J178,L175:L178)</f>
        <v>-0.44450510792132125</v>
      </c>
      <c r="S175" s="8">
        <f>bdrate(C175:C178,F175:F178,J175:J178,M175:M178)</f>
        <v>-0.3592739132307734</v>
      </c>
      <c r="T175" s="25">
        <f>bdrate(C175:C178,H175:H178,J175:J178,O175:O178)</f>
        <v>-0.29550130397646157</v>
      </c>
      <c r="U175" s="28">
        <f t="shared" si="14"/>
        <v>-0.38968142248564547</v>
      </c>
    </row>
    <row r="176" spans="1:21" x14ac:dyDescent="0.25">
      <c r="A176" s="9" t="s">
        <v>42</v>
      </c>
      <c r="B176" s="9"/>
      <c r="C176" s="17">
        <v>531.82000000000005</v>
      </c>
      <c r="D176" s="18">
        <v>32.515999999999998</v>
      </c>
      <c r="E176" s="18">
        <v>37.652000000000001</v>
      </c>
      <c r="F176" s="18">
        <v>36.243000000000002</v>
      </c>
      <c r="G176" s="18">
        <v>1683.5</v>
      </c>
      <c r="H176" s="18">
        <f t="shared" si="11"/>
        <v>33.623874999999998</v>
      </c>
      <c r="I176" s="5"/>
      <c r="J176" s="17">
        <v>403.8888</v>
      </c>
      <c r="K176" s="18">
        <v>32.545499999999997</v>
      </c>
      <c r="L176" s="18">
        <v>38.451900000000002</v>
      </c>
      <c r="M176" s="18">
        <v>36.826700000000002</v>
      </c>
      <c r="N176" s="18">
        <v>1144.1648</v>
      </c>
      <c r="O176" s="18">
        <f t="shared" si="12"/>
        <v>33.818949999999994</v>
      </c>
      <c r="P176" s="7"/>
      <c r="Q176" s="10"/>
      <c r="R176" s="11"/>
      <c r="S176" s="11"/>
      <c r="T176" s="26"/>
      <c r="U176" s="28">
        <f t="shared" si="14"/>
        <v>-0.32036542916542915</v>
      </c>
    </row>
    <row r="177" spans="1:21" x14ac:dyDescent="0.25">
      <c r="B177" s="9"/>
      <c r="C177" s="17">
        <v>321.74</v>
      </c>
      <c r="D177" s="18">
        <v>30.224</v>
      </c>
      <c r="E177" s="18">
        <v>36.68</v>
      </c>
      <c r="F177" s="18">
        <v>35.081000000000003</v>
      </c>
      <c r="G177" s="18">
        <v>1524.39</v>
      </c>
      <c r="H177" s="18">
        <f t="shared" si="11"/>
        <v>31.638125000000002</v>
      </c>
      <c r="I177" s="5"/>
      <c r="J177" s="17">
        <v>252.804</v>
      </c>
      <c r="K177" s="18">
        <v>30.570900000000002</v>
      </c>
      <c r="L177" s="18">
        <v>37.367899999999999</v>
      </c>
      <c r="M177" s="18">
        <v>35.601100000000002</v>
      </c>
      <c r="N177" s="18">
        <v>1392.7577000000001</v>
      </c>
      <c r="O177" s="18">
        <f t="shared" si="12"/>
        <v>32.049300000000002</v>
      </c>
      <c r="P177" s="7"/>
      <c r="Q177" s="10"/>
      <c r="R177" s="11"/>
      <c r="S177" s="11"/>
      <c r="T177" s="26"/>
      <c r="U177" s="28">
        <f t="shared" si="14"/>
        <v>-8.6350802616128403E-2</v>
      </c>
    </row>
    <row r="178" spans="1:21" ht="16.5" thickBot="1" x14ac:dyDescent="0.3">
      <c r="B178" s="12"/>
      <c r="C178" s="19">
        <v>165.06</v>
      </c>
      <c r="D178" s="20">
        <v>27.103999999999999</v>
      </c>
      <c r="E178" s="20">
        <v>35.418999999999997</v>
      </c>
      <c r="F178" s="20">
        <v>33.722000000000001</v>
      </c>
      <c r="G178" s="20">
        <v>1689.19</v>
      </c>
      <c r="H178" s="20">
        <f t="shared" si="11"/>
        <v>28.970625000000002</v>
      </c>
      <c r="I178" s="5"/>
      <c r="J178" s="19">
        <v>121.76</v>
      </c>
      <c r="K178" s="20">
        <v>27.7422</v>
      </c>
      <c r="L178" s="20">
        <v>35.831600000000002</v>
      </c>
      <c r="M178" s="20">
        <v>33.694600000000001</v>
      </c>
      <c r="N178" s="20">
        <v>1779.3594000000001</v>
      </c>
      <c r="O178" s="20">
        <f t="shared" si="12"/>
        <v>29.497425000000003</v>
      </c>
      <c r="P178" s="7"/>
      <c r="Q178" s="13"/>
      <c r="R178" s="14"/>
      <c r="S178" s="14"/>
      <c r="T178" s="27"/>
      <c r="U178" s="28">
        <f t="shared" si="14"/>
        <v>5.3380259177475589E-2</v>
      </c>
    </row>
    <row r="179" spans="1:21" x14ac:dyDescent="0.25">
      <c r="B179" s="6" t="s">
        <v>58</v>
      </c>
      <c r="C179" s="15">
        <v>740.86</v>
      </c>
      <c r="D179" s="16">
        <v>30.843</v>
      </c>
      <c r="E179" s="16">
        <v>38.604999999999997</v>
      </c>
      <c r="F179" s="16">
        <v>39.046999999999997</v>
      </c>
      <c r="G179" s="16">
        <v>1604.28</v>
      </c>
      <c r="H179" s="16">
        <f t="shared" si="11"/>
        <v>32.838749999999997</v>
      </c>
      <c r="I179" s="5"/>
      <c r="J179" s="15">
        <v>599.62720000000002</v>
      </c>
      <c r="K179" s="16">
        <v>33.603999999999999</v>
      </c>
      <c r="L179" s="16">
        <v>41.269100000000002</v>
      </c>
      <c r="M179" s="16">
        <v>42.047899999999998</v>
      </c>
      <c r="N179" s="16">
        <v>1098.9011</v>
      </c>
      <c r="O179" s="16">
        <f t="shared" si="12"/>
        <v>35.617625000000004</v>
      </c>
      <c r="P179" s="7"/>
      <c r="Q179" s="8">
        <f>bdrate(C179:C182,D179:D182,J179:J182,K179:K182)</f>
        <v>-0.66571060568927476</v>
      </c>
      <c r="R179" s="8">
        <f>bdrate(C179:C182,E179:E182,J179:J182,L179:L182)</f>
        <v>-0.79880835906136916</v>
      </c>
      <c r="S179" s="8">
        <f>bdrate(C179:C182,F179:F182,J179:J182,M179:M182)</f>
        <v>-0.80148466924240591</v>
      </c>
      <c r="T179" s="25">
        <f>bdrate(C179:C182,H179:H182,J179:J182,O179:O182)</f>
        <v>-0.6854564023386992</v>
      </c>
      <c r="U179" s="28">
        <f t="shared" si="14"/>
        <v>-0.31501913631036971</v>
      </c>
    </row>
    <row r="180" spans="1:21" x14ac:dyDescent="0.25">
      <c r="B180" s="9"/>
      <c r="C180" s="17">
        <v>461.9</v>
      </c>
      <c r="D180" s="18">
        <v>29.105</v>
      </c>
      <c r="E180" s="18">
        <v>38.067999999999998</v>
      </c>
      <c r="F180" s="18">
        <v>38.445</v>
      </c>
      <c r="G180" s="18">
        <v>1923.08</v>
      </c>
      <c r="H180" s="18">
        <f t="shared" si="11"/>
        <v>31.392874999999997</v>
      </c>
      <c r="I180" s="5"/>
      <c r="J180" s="17">
        <v>400.26080000000002</v>
      </c>
      <c r="K180" s="18">
        <v>32.320399999999999</v>
      </c>
      <c r="L180" s="18">
        <v>40.392299999999999</v>
      </c>
      <c r="M180" s="18">
        <v>41.179600000000001</v>
      </c>
      <c r="N180" s="18">
        <v>1327.4336000000001</v>
      </c>
      <c r="O180" s="18">
        <f t="shared" si="12"/>
        <v>34.436787500000001</v>
      </c>
      <c r="P180" s="7"/>
      <c r="Q180" s="10"/>
      <c r="R180" s="11"/>
      <c r="S180" s="11"/>
      <c r="T180" s="26"/>
      <c r="U180" s="28">
        <f t="shared" si="14"/>
        <v>-0.30973563242298807</v>
      </c>
    </row>
    <row r="181" spans="1:21" x14ac:dyDescent="0.25">
      <c r="B181" s="9"/>
      <c r="C181" s="17">
        <v>275.7</v>
      </c>
      <c r="D181" s="18">
        <v>27.440999999999999</v>
      </c>
      <c r="E181" s="18">
        <v>37.655000000000001</v>
      </c>
      <c r="F181" s="18">
        <v>37.749000000000002</v>
      </c>
      <c r="G181" s="18">
        <v>1923.08</v>
      </c>
      <c r="H181" s="18">
        <f t="shared" si="11"/>
        <v>30.006249999999998</v>
      </c>
      <c r="I181" s="5"/>
      <c r="J181" s="17">
        <v>250.19280000000001</v>
      </c>
      <c r="K181" s="18">
        <v>30.8018</v>
      </c>
      <c r="L181" s="18">
        <v>39.435400000000001</v>
      </c>
      <c r="M181" s="18">
        <v>40.116799999999998</v>
      </c>
      <c r="N181" s="18">
        <v>1671.3091999999999</v>
      </c>
      <c r="O181" s="18">
        <f t="shared" si="12"/>
        <v>33.045375</v>
      </c>
      <c r="P181" s="7"/>
      <c r="Q181" s="10"/>
      <c r="R181" s="11"/>
      <c r="S181" s="11"/>
      <c r="T181" s="26"/>
      <c r="U181" s="28">
        <f t="shared" si="14"/>
        <v>-0.13092060652702955</v>
      </c>
    </row>
    <row r="182" spans="1:21" ht="16.5" thickBot="1" x14ac:dyDescent="0.3">
      <c r="B182" s="12"/>
      <c r="C182" s="19">
        <v>136.34</v>
      </c>
      <c r="D182" s="20">
        <v>25.28</v>
      </c>
      <c r="E182" s="20">
        <v>37.079000000000001</v>
      </c>
      <c r="F182" s="20">
        <v>37.093000000000004</v>
      </c>
      <c r="G182" s="20">
        <v>1829.27</v>
      </c>
      <c r="H182" s="20">
        <f t="shared" si="11"/>
        <v>28.231500000000004</v>
      </c>
      <c r="I182" s="5"/>
      <c r="J182" s="19">
        <v>119.464</v>
      </c>
      <c r="K182" s="20">
        <v>28.201799999999999</v>
      </c>
      <c r="L182" s="20">
        <v>38.307600000000001</v>
      </c>
      <c r="M182" s="20">
        <v>38.7468</v>
      </c>
      <c r="N182" s="20">
        <v>1923.0769</v>
      </c>
      <c r="O182" s="20">
        <f t="shared" si="12"/>
        <v>30.783150000000003</v>
      </c>
      <c r="P182" s="7"/>
      <c r="Q182" s="13"/>
      <c r="R182" s="14"/>
      <c r="S182" s="14"/>
      <c r="T182" s="27"/>
      <c r="U182" s="28">
        <f t="shared" si="14"/>
        <v>5.1281057471013053E-2</v>
      </c>
    </row>
    <row r="183" spans="1:21" x14ac:dyDescent="0.25">
      <c r="B183" s="6" t="s">
        <v>59</v>
      </c>
      <c r="C183" s="29">
        <v>836.75</v>
      </c>
      <c r="D183" s="30">
        <v>32.526000000000003</v>
      </c>
      <c r="E183" s="30">
        <v>36.087000000000003</v>
      </c>
      <c r="F183" s="30">
        <v>36.493000000000002</v>
      </c>
      <c r="G183" s="16">
        <v>1524.39</v>
      </c>
      <c r="H183" s="16">
        <f t="shared" si="11"/>
        <v>33.466999999999999</v>
      </c>
      <c r="I183" s="5"/>
      <c r="J183" s="29">
        <v>643.21839999999997</v>
      </c>
      <c r="K183" s="30">
        <v>33.114699999999999</v>
      </c>
      <c r="L183" s="30">
        <v>38.090699999999998</v>
      </c>
      <c r="M183" s="30">
        <v>38.858400000000003</v>
      </c>
      <c r="N183" s="16">
        <v>972.76260000000002</v>
      </c>
      <c r="O183" s="16">
        <f t="shared" si="12"/>
        <v>34.454662499999998</v>
      </c>
      <c r="P183" s="7"/>
      <c r="Q183" s="8">
        <f>bdrate(C183:C186,D183:D186,J183:J186,K183:K186)</f>
        <v>-0.38616105095094155</v>
      </c>
      <c r="R183" s="8">
        <f>bdrate(C183:C186,E183:E186,J183:J186,L183:L186)</f>
        <v>-0.63654070260892259</v>
      </c>
      <c r="S183" s="8">
        <f>bdrate(C183:C186,F183:F186,J183:J186,M183:M186)</f>
        <v>-0.68981164566937003</v>
      </c>
      <c r="T183" s="25">
        <f>bdrate(C183:C186,H183:H186,J183:J186,O183:O186)</f>
        <v>-0.44189997907368861</v>
      </c>
      <c r="U183" s="28">
        <f t="shared" si="14"/>
        <v>-0.36186763229882118</v>
      </c>
    </row>
    <row r="184" spans="1:21" x14ac:dyDescent="0.25">
      <c r="B184" s="9"/>
      <c r="C184" s="31">
        <v>522.47</v>
      </c>
      <c r="D184" s="32">
        <v>30.635999999999999</v>
      </c>
      <c r="E184" s="32">
        <v>35.194000000000003</v>
      </c>
      <c r="F184" s="32">
        <v>35.621000000000002</v>
      </c>
      <c r="G184" s="18">
        <v>1689.19</v>
      </c>
      <c r="H184" s="18">
        <f t="shared" si="11"/>
        <v>31.828875</v>
      </c>
      <c r="I184" s="5"/>
      <c r="J184" s="31">
        <v>427.00479999999999</v>
      </c>
      <c r="K184" s="32">
        <v>31.636500000000002</v>
      </c>
      <c r="L184" s="32">
        <v>37.061300000000003</v>
      </c>
      <c r="M184" s="32">
        <v>37.841700000000003</v>
      </c>
      <c r="N184" s="18">
        <v>1187.6485</v>
      </c>
      <c r="O184" s="18">
        <f t="shared" si="12"/>
        <v>33.090250000000005</v>
      </c>
      <c r="P184" s="7"/>
      <c r="Q184" s="10"/>
      <c r="R184" s="11"/>
      <c r="S184" s="11"/>
      <c r="T184" s="26"/>
      <c r="U184" s="28">
        <f t="shared" si="14"/>
        <v>-0.29691242548203578</v>
      </c>
    </row>
    <row r="185" spans="1:21" x14ac:dyDescent="0.25">
      <c r="B185" s="9"/>
      <c r="C185" s="31">
        <v>311.39999999999998</v>
      </c>
      <c r="D185" s="32">
        <v>28.757000000000001</v>
      </c>
      <c r="E185" s="32">
        <v>34.347000000000001</v>
      </c>
      <c r="F185" s="32">
        <v>34.811</v>
      </c>
      <c r="G185" s="18">
        <v>1785.71</v>
      </c>
      <c r="H185" s="18">
        <f t="shared" si="11"/>
        <v>30.212500000000002</v>
      </c>
      <c r="I185" s="5"/>
      <c r="J185" s="31">
        <v>265.00560000000002</v>
      </c>
      <c r="K185" s="32">
        <v>29.936499999999999</v>
      </c>
      <c r="L185" s="32">
        <v>35.896500000000003</v>
      </c>
      <c r="M185" s="32">
        <v>36.6434</v>
      </c>
      <c r="N185" s="18">
        <v>1396.6479999999999</v>
      </c>
      <c r="O185" s="18">
        <f t="shared" si="12"/>
        <v>31.519862500000002</v>
      </c>
      <c r="P185" s="7"/>
      <c r="Q185" s="10"/>
      <c r="R185" s="11"/>
      <c r="S185" s="11"/>
      <c r="T185" s="26"/>
      <c r="U185" s="28">
        <f t="shared" si="14"/>
        <v>-0.21787524290058302</v>
      </c>
    </row>
    <row r="186" spans="1:21" ht="16.5" thickBot="1" x14ac:dyDescent="0.3">
      <c r="B186" s="12"/>
      <c r="C186" s="33">
        <v>152.97</v>
      </c>
      <c r="D186" s="34">
        <v>26.361999999999998</v>
      </c>
      <c r="E186" s="34">
        <v>33.511000000000003</v>
      </c>
      <c r="F186" s="34">
        <v>34.009</v>
      </c>
      <c r="G186" s="20">
        <v>1779.36</v>
      </c>
      <c r="H186" s="20">
        <f t="shared" si="11"/>
        <v>28.211500000000001</v>
      </c>
      <c r="I186" s="5"/>
      <c r="J186" s="33">
        <v>126.8104</v>
      </c>
      <c r="K186" s="34">
        <v>27.514600000000002</v>
      </c>
      <c r="L186" s="34">
        <v>34.4114</v>
      </c>
      <c r="M186" s="34">
        <v>35.122100000000003</v>
      </c>
      <c r="N186" s="20">
        <v>1779.3594000000001</v>
      </c>
      <c r="O186" s="20">
        <f t="shared" si="12"/>
        <v>29.327637500000002</v>
      </c>
      <c r="P186" s="7"/>
      <c r="Q186" s="13"/>
      <c r="R186" s="14"/>
      <c r="S186" s="14"/>
      <c r="T186" s="27"/>
      <c r="U186" s="28">
        <f t="shared" si="14"/>
        <v>-3.3719989201139043E-7</v>
      </c>
    </row>
    <row r="187" spans="1:21" x14ac:dyDescent="0.25">
      <c r="B187" s="6" t="s">
        <v>60</v>
      </c>
      <c r="C187" s="15">
        <v>767.85</v>
      </c>
      <c r="D187" s="16">
        <v>34.536999999999999</v>
      </c>
      <c r="E187" s="16">
        <v>37.01</v>
      </c>
      <c r="F187" s="16">
        <v>38.076000000000001</v>
      </c>
      <c r="G187" s="16">
        <v>1127.82</v>
      </c>
      <c r="H187" s="16">
        <f t="shared" si="11"/>
        <v>35.288499999999999</v>
      </c>
      <c r="I187" s="5"/>
      <c r="J187" s="15">
        <v>601.82560000000001</v>
      </c>
      <c r="K187" s="16">
        <v>33.891199999999998</v>
      </c>
      <c r="L187" s="16">
        <v>37.697000000000003</v>
      </c>
      <c r="M187" s="16">
        <v>38.7607</v>
      </c>
      <c r="N187" s="16">
        <v>662.25170000000003</v>
      </c>
      <c r="O187" s="16">
        <f t="shared" si="12"/>
        <v>34.975612499999997</v>
      </c>
      <c r="P187" s="7"/>
      <c r="Q187" s="8">
        <f>bdrate(C187:C190,D187:D190,J187:J190,K187:K190)</f>
        <v>-0.15496610994619631</v>
      </c>
      <c r="R187" s="8">
        <f>bdrate(C187:C190,E187:E190,J187:J190,L187:L190)</f>
        <v>-0.3637242149740656</v>
      </c>
      <c r="S187" s="8">
        <f>bdrate(C187:C190,F187:F190,J187:J190,M187:M190)</f>
        <v>-0.35254133385069841</v>
      </c>
      <c r="T187" s="25">
        <f>bdrate(C187:C190,H187:H190,J187:J190,O187:O190)</f>
        <v>-0.18911327651749976</v>
      </c>
      <c r="U187" s="28">
        <f t="shared" si="14"/>
        <v>-0.41280372754517558</v>
      </c>
    </row>
    <row r="188" spans="1:21" x14ac:dyDescent="0.25">
      <c r="B188" s="9"/>
      <c r="C188" s="17">
        <v>481.17</v>
      </c>
      <c r="D188" s="18">
        <v>32.296999999999997</v>
      </c>
      <c r="E188" s="18">
        <v>35.828000000000003</v>
      </c>
      <c r="F188" s="18">
        <v>36.878999999999998</v>
      </c>
      <c r="G188" s="18">
        <v>1477.83</v>
      </c>
      <c r="H188" s="18">
        <f t="shared" si="11"/>
        <v>33.311124999999997</v>
      </c>
      <c r="I188" s="5"/>
      <c r="J188" s="17">
        <v>401.38400000000001</v>
      </c>
      <c r="K188" s="18">
        <v>32.044400000000003</v>
      </c>
      <c r="L188" s="18">
        <v>36.551299999999998</v>
      </c>
      <c r="M188" s="18">
        <v>37.614199999999997</v>
      </c>
      <c r="N188" s="18">
        <v>802.13900000000001</v>
      </c>
      <c r="O188" s="18">
        <f t="shared" si="12"/>
        <v>33.303987500000005</v>
      </c>
      <c r="P188" s="7"/>
      <c r="Q188" s="10"/>
      <c r="R188" s="11"/>
      <c r="S188" s="11"/>
      <c r="T188" s="26"/>
      <c r="U188" s="28">
        <f t="shared" si="14"/>
        <v>-0.4572183539378683</v>
      </c>
    </row>
    <row r="189" spans="1:21" x14ac:dyDescent="0.25">
      <c r="B189" s="9"/>
      <c r="C189" s="17">
        <v>290.48</v>
      </c>
      <c r="D189" s="18">
        <v>30.097999999999999</v>
      </c>
      <c r="E189" s="18">
        <v>34.743000000000002</v>
      </c>
      <c r="F189" s="18">
        <v>35.795999999999999</v>
      </c>
      <c r="G189" s="18">
        <v>1485.15</v>
      </c>
      <c r="H189" s="18">
        <f t="shared" si="11"/>
        <v>31.390874999999998</v>
      </c>
      <c r="I189" s="5"/>
      <c r="J189" s="17">
        <v>250.73679999999999</v>
      </c>
      <c r="K189" s="18">
        <v>30.1813</v>
      </c>
      <c r="L189" s="18">
        <v>35.357799999999997</v>
      </c>
      <c r="M189" s="18">
        <v>36.382599999999996</v>
      </c>
      <c r="N189" s="18">
        <v>1010.101</v>
      </c>
      <c r="O189" s="18">
        <f t="shared" si="12"/>
        <v>31.603525000000001</v>
      </c>
      <c r="P189" s="7"/>
      <c r="Q189" s="10"/>
      <c r="R189" s="11"/>
      <c r="S189" s="11"/>
      <c r="T189" s="26"/>
      <c r="U189" s="28">
        <f t="shared" si="14"/>
        <v>-0.31986600680065991</v>
      </c>
    </row>
    <row r="190" spans="1:21" ht="16.5" thickBot="1" x14ac:dyDescent="0.3">
      <c r="B190" s="12"/>
      <c r="C190" s="19">
        <v>143.99</v>
      </c>
      <c r="D190" s="20">
        <v>27.166</v>
      </c>
      <c r="E190" s="20">
        <v>33.488</v>
      </c>
      <c r="F190" s="20">
        <v>34.485999999999997</v>
      </c>
      <c r="G190" s="20">
        <v>1604.28</v>
      </c>
      <c r="H190" s="20">
        <f t="shared" si="11"/>
        <v>28.87125</v>
      </c>
      <c r="I190" s="5"/>
      <c r="J190" s="19">
        <v>120.9832</v>
      </c>
      <c r="K190" s="20">
        <v>27.673200000000001</v>
      </c>
      <c r="L190" s="20">
        <v>33.923200000000001</v>
      </c>
      <c r="M190" s="20">
        <v>34.850999999999999</v>
      </c>
      <c r="N190" s="20">
        <v>1282.0513000000001</v>
      </c>
      <c r="O190" s="20">
        <f t="shared" si="12"/>
        <v>29.351675</v>
      </c>
      <c r="P190" s="7"/>
      <c r="Q190" s="13"/>
      <c r="R190" s="14"/>
      <c r="S190" s="14"/>
      <c r="T190" s="27"/>
      <c r="U190" s="28">
        <f t="shared" si="14"/>
        <v>-0.20085564863988822</v>
      </c>
    </row>
    <row r="191" spans="1:21" x14ac:dyDescent="0.25">
      <c r="A191" s="6" t="s">
        <v>43</v>
      </c>
      <c r="B191" s="6" t="s">
        <v>61</v>
      </c>
      <c r="C191" s="15">
        <v>1896.4</v>
      </c>
      <c r="D191" s="16">
        <v>40.869999999999997</v>
      </c>
      <c r="E191" s="16">
        <v>44.581000000000003</v>
      </c>
      <c r="F191" s="16">
        <v>45.67</v>
      </c>
      <c r="G191" s="16">
        <v>231.75</v>
      </c>
      <c r="H191" s="16">
        <f t="shared" si="11"/>
        <v>41.933875</v>
      </c>
      <c r="I191" s="5"/>
      <c r="J191" s="15">
        <v>1496.0512000000001</v>
      </c>
      <c r="K191" s="16">
        <v>41.323300000000003</v>
      </c>
      <c r="L191" s="16">
        <v>45.560200000000002</v>
      </c>
      <c r="M191" s="16">
        <v>46.7376</v>
      </c>
      <c r="N191" s="16">
        <v>217.3126</v>
      </c>
      <c r="O191" s="16">
        <f t="shared" si="12"/>
        <v>42.529699999999998</v>
      </c>
      <c r="P191" s="7"/>
      <c r="Q191" s="8">
        <f>bdrate(C191:C194,D191:D194,J191:J194,K191:K194)</f>
        <v>-0.38067502894835814</v>
      </c>
      <c r="R191" s="8">
        <f>bdrate(C191:C194,E191:E194,J191:J194,L191:L194)</f>
        <v>-0.50652387963775136</v>
      </c>
      <c r="S191" s="8">
        <f>bdrate(C191:C194,F191:F194,J191:J194,M191:M194)</f>
        <v>-0.51969266098485323</v>
      </c>
      <c r="T191" s="25">
        <f>bdrate(C191:C194,H191:H194,J191:J194,O191:O194)</f>
        <v>-0.4072773971461332</v>
      </c>
      <c r="U191" s="28">
        <f t="shared" si="14"/>
        <v>-6.2297303128371076E-2</v>
      </c>
    </row>
    <row r="192" spans="1:21" x14ac:dyDescent="0.25">
      <c r="A192" s="9" t="s">
        <v>44</v>
      </c>
      <c r="B192" s="9"/>
      <c r="C192" s="17">
        <v>1237.8399999999999</v>
      </c>
      <c r="D192" s="18">
        <v>39.482999999999997</v>
      </c>
      <c r="E192" s="18">
        <v>43.412999999999997</v>
      </c>
      <c r="F192" s="18">
        <v>44.389000000000003</v>
      </c>
      <c r="G192" s="18">
        <v>261.67</v>
      </c>
      <c r="H192" s="18">
        <f t="shared" si="11"/>
        <v>40.587499999999999</v>
      </c>
      <c r="I192" s="5"/>
      <c r="J192" s="17">
        <v>981.99519999999995</v>
      </c>
      <c r="K192" s="18">
        <v>40.160899999999998</v>
      </c>
      <c r="L192" s="18">
        <v>44.645600000000002</v>
      </c>
      <c r="M192" s="18">
        <v>45.7761</v>
      </c>
      <c r="N192" s="18">
        <v>298.06259999999997</v>
      </c>
      <c r="O192" s="18">
        <f t="shared" si="12"/>
        <v>41.423387499999997</v>
      </c>
      <c r="P192" s="7"/>
      <c r="Q192" s="10"/>
      <c r="R192" s="11"/>
      <c r="S192" s="11"/>
      <c r="T192" s="26"/>
      <c r="U192" s="28">
        <f t="shared" si="14"/>
        <v>0.13907822830282401</v>
      </c>
    </row>
    <row r="193" spans="1:21" x14ac:dyDescent="0.25">
      <c r="B193" s="9"/>
      <c r="C193" s="17">
        <v>739.67</v>
      </c>
      <c r="D193" s="18">
        <v>37.136000000000003</v>
      </c>
      <c r="E193" s="18">
        <v>41.856000000000002</v>
      </c>
      <c r="F193" s="18">
        <v>42.869</v>
      </c>
      <c r="G193" s="18">
        <v>259.85000000000002</v>
      </c>
      <c r="H193" s="18">
        <f t="shared" si="11"/>
        <v>38.442625000000007</v>
      </c>
      <c r="I193" s="5"/>
      <c r="J193" s="17">
        <v>573.18719999999996</v>
      </c>
      <c r="K193" s="18">
        <v>38.2121</v>
      </c>
      <c r="L193" s="18">
        <v>43.167700000000004</v>
      </c>
      <c r="M193" s="18">
        <v>44.271999999999998</v>
      </c>
      <c r="N193" s="18">
        <v>328.76710000000003</v>
      </c>
      <c r="O193" s="18">
        <f t="shared" si="12"/>
        <v>39.589037500000003</v>
      </c>
      <c r="P193" s="7"/>
      <c r="Q193" s="10"/>
      <c r="R193" s="11"/>
      <c r="S193" s="11"/>
      <c r="T193" s="26"/>
      <c r="U193" s="28">
        <f t="shared" si="14"/>
        <v>0.26521878006542238</v>
      </c>
    </row>
    <row r="194" spans="1:21" ht="16.5" thickBot="1" x14ac:dyDescent="0.3">
      <c r="B194" s="12"/>
      <c r="C194" s="19">
        <v>341.57</v>
      </c>
      <c r="D194" s="20">
        <v>32.912999999999997</v>
      </c>
      <c r="E194" s="20">
        <v>39.732999999999997</v>
      </c>
      <c r="F194" s="20">
        <v>40.573</v>
      </c>
      <c r="G194" s="20">
        <v>265.25</v>
      </c>
      <c r="H194" s="20">
        <f t="shared" si="11"/>
        <v>34.722999999999999</v>
      </c>
      <c r="I194" s="5"/>
      <c r="J194" s="19">
        <v>280.90719999999999</v>
      </c>
      <c r="K194" s="20">
        <v>34.788600000000002</v>
      </c>
      <c r="L194" s="20">
        <v>41.227899999999998</v>
      </c>
      <c r="M194" s="20">
        <v>42.228000000000002</v>
      </c>
      <c r="N194" s="20">
        <v>366.30040000000002</v>
      </c>
      <c r="O194" s="20">
        <f t="shared" si="12"/>
        <v>36.5234375</v>
      </c>
      <c r="P194" s="7"/>
      <c r="Q194" s="13"/>
      <c r="R194" s="14"/>
      <c r="S194" s="14"/>
      <c r="T194" s="27"/>
      <c r="U194" s="28">
        <f t="shared" si="14"/>
        <v>0.38096286522148926</v>
      </c>
    </row>
    <row r="195" spans="1:21" x14ac:dyDescent="0.25">
      <c r="B195" s="6" t="s">
        <v>62</v>
      </c>
      <c r="C195" s="15">
        <v>1991.55</v>
      </c>
      <c r="D195" s="16">
        <v>41.807000000000002</v>
      </c>
      <c r="E195" s="16">
        <v>46.203000000000003</v>
      </c>
      <c r="F195" s="16">
        <v>46.707999999999998</v>
      </c>
      <c r="G195" s="16">
        <v>237.44</v>
      </c>
      <c r="H195" s="16">
        <f t="shared" si="11"/>
        <v>42.969125000000005</v>
      </c>
      <c r="I195" s="5"/>
      <c r="J195" s="15">
        <v>1466.4831999999999</v>
      </c>
      <c r="K195" s="16">
        <v>42.5869</v>
      </c>
      <c r="L195" s="16">
        <v>47.569899999999997</v>
      </c>
      <c r="M195" s="16">
        <v>48.258499999999998</v>
      </c>
      <c r="N195" s="16">
        <v>165.10730000000001</v>
      </c>
      <c r="O195" s="16">
        <f t="shared" si="12"/>
        <v>43.918724999999995</v>
      </c>
      <c r="P195" s="7"/>
      <c r="Q195" s="8">
        <f>bdrate(C195:C198,D195:D198,J195:J198,K195:K198)</f>
        <v>-0.5987684636384063</v>
      </c>
      <c r="R195" s="8">
        <f>bdrate(C195:C198,E195:E198,J195:J198,L195:L198)</f>
        <v>-0.70961735736433584</v>
      </c>
      <c r="S195" s="8">
        <f>bdrate(C195:C198,F195:F198,J195:J198,M195:M198)</f>
        <v>-0.72610715443598317</v>
      </c>
      <c r="T195" s="25">
        <f>bdrate(C195:C198,H195:H198,J195:J198,O195:O198)</f>
        <v>-0.63067728186673722</v>
      </c>
      <c r="U195" s="28">
        <f t="shared" ref="U195:U202" si="15">(N195-G195)/G195</f>
        <v>-0.30463569743935304</v>
      </c>
    </row>
    <row r="196" spans="1:21" x14ac:dyDescent="0.25">
      <c r="B196" s="9"/>
      <c r="C196" s="17">
        <v>1303.4100000000001</v>
      </c>
      <c r="D196" s="18">
        <v>40.962000000000003</v>
      </c>
      <c r="E196" s="18">
        <v>45.308</v>
      </c>
      <c r="F196" s="18">
        <v>45.692</v>
      </c>
      <c r="G196" s="18">
        <v>284.77</v>
      </c>
      <c r="H196" s="18">
        <f t="shared" si="11"/>
        <v>42.096500000000006</v>
      </c>
      <c r="I196" s="5"/>
      <c r="J196" s="17">
        <v>961.54880000000003</v>
      </c>
      <c r="K196" s="18">
        <v>42.0182</v>
      </c>
      <c r="L196" s="18">
        <v>47.074300000000001</v>
      </c>
      <c r="M196" s="18">
        <v>47.7194</v>
      </c>
      <c r="N196" s="18">
        <v>343.24939999999998</v>
      </c>
      <c r="O196" s="18">
        <f t="shared" si="12"/>
        <v>43.362862499999999</v>
      </c>
      <c r="P196" s="7"/>
      <c r="Q196" s="10"/>
      <c r="R196" s="11"/>
      <c r="S196" s="11"/>
      <c r="T196" s="26"/>
      <c r="U196" s="28">
        <f t="shared" si="15"/>
        <v>0.20535660357481478</v>
      </c>
    </row>
    <row r="197" spans="1:21" x14ac:dyDescent="0.25">
      <c r="B197" s="9"/>
      <c r="C197" s="17">
        <v>771.47</v>
      </c>
      <c r="D197" s="18">
        <v>39.468000000000004</v>
      </c>
      <c r="E197" s="18">
        <v>43.942</v>
      </c>
      <c r="F197" s="18">
        <v>44.537999999999997</v>
      </c>
      <c r="G197" s="18">
        <v>272.73</v>
      </c>
      <c r="H197" s="18">
        <f t="shared" si="11"/>
        <v>40.661000000000001</v>
      </c>
      <c r="I197" s="5"/>
      <c r="J197" s="17">
        <v>572.7088</v>
      </c>
      <c r="K197" s="18">
        <v>41.115600000000001</v>
      </c>
      <c r="L197" s="18">
        <v>46.200299999999999</v>
      </c>
      <c r="M197" s="18">
        <v>46.793999999999997</v>
      </c>
      <c r="N197" s="18">
        <v>359.49669999999998</v>
      </c>
      <c r="O197" s="18">
        <f t="shared" si="12"/>
        <v>42.460987500000002</v>
      </c>
      <c r="P197" s="7"/>
      <c r="Q197" s="10"/>
      <c r="R197" s="11"/>
      <c r="S197" s="11"/>
      <c r="T197" s="26"/>
      <c r="U197" s="28">
        <f t="shared" si="15"/>
        <v>0.31814138525281394</v>
      </c>
    </row>
    <row r="198" spans="1:21" ht="16.5" thickBot="1" x14ac:dyDescent="0.3">
      <c r="B198" s="12"/>
      <c r="C198" s="19">
        <v>344.66</v>
      </c>
      <c r="D198" s="20">
        <v>35.939</v>
      </c>
      <c r="E198" s="20">
        <v>41.594999999999999</v>
      </c>
      <c r="F198" s="20">
        <v>42.341000000000001</v>
      </c>
      <c r="G198" s="20">
        <v>293.54000000000002</v>
      </c>
      <c r="H198" s="20">
        <f t="shared" si="11"/>
        <v>37.446250000000006</v>
      </c>
      <c r="I198" s="5"/>
      <c r="J198" s="19">
        <v>276.64479999999998</v>
      </c>
      <c r="K198" s="20">
        <v>39.1736</v>
      </c>
      <c r="L198" s="20">
        <v>44.459299999999999</v>
      </c>
      <c r="M198" s="20">
        <v>45.0015</v>
      </c>
      <c r="N198" s="20">
        <v>422.53519999999997</v>
      </c>
      <c r="O198" s="20">
        <f t="shared" si="12"/>
        <v>40.562800000000003</v>
      </c>
      <c r="P198" s="7"/>
      <c r="Q198" s="13"/>
      <c r="R198" s="14"/>
      <c r="S198" s="14"/>
      <c r="T198" s="27"/>
      <c r="U198" s="28">
        <f t="shared" si="15"/>
        <v>0.43944675342372402</v>
      </c>
    </row>
    <row r="199" spans="1:21" x14ac:dyDescent="0.25">
      <c r="B199" s="6" t="s">
        <v>63</v>
      </c>
      <c r="C199" s="15">
        <v>2089.94</v>
      </c>
      <c r="D199" s="16">
        <v>41.784999999999997</v>
      </c>
      <c r="E199" s="16">
        <v>45.500999999999998</v>
      </c>
      <c r="F199" s="16">
        <v>46.249000000000002</v>
      </c>
      <c r="G199" s="16">
        <v>238.85</v>
      </c>
      <c r="H199" s="16">
        <f t="shared" si="11"/>
        <v>42.807499999999997</v>
      </c>
      <c r="I199" s="5"/>
      <c r="J199" s="15">
        <v>1525.7008000000001</v>
      </c>
      <c r="K199" s="16">
        <v>42.457500000000003</v>
      </c>
      <c r="L199" s="16">
        <v>46.704099999999997</v>
      </c>
      <c r="M199" s="16">
        <v>47.559100000000001</v>
      </c>
      <c r="N199" s="16">
        <v>217.3126</v>
      </c>
      <c r="O199" s="16">
        <f t="shared" si="12"/>
        <v>43.626024999999998</v>
      </c>
      <c r="P199" s="7"/>
      <c r="Q199" s="8">
        <f>bdrate(C199:C202,D199:D202,J199:J202,K199:K202)</f>
        <v>-0.52261003590177402</v>
      </c>
      <c r="R199" s="8">
        <f>bdrate(C199:C202,E199:E202,J199:J202,L199:L202)</f>
        <v>-0.61933354523774187</v>
      </c>
      <c r="S199" s="8">
        <f>bdrate(C199:C202,F199:F202,J199:J202,M199:M202)</f>
        <v>-0.63733613310642612</v>
      </c>
      <c r="T199" s="25">
        <f>bdrate(C199:C202,H199:H202,J199:J202,O199:O202)</f>
        <v>-0.54854115742182663</v>
      </c>
      <c r="U199" s="28">
        <f t="shared" si="15"/>
        <v>-9.017123717814525E-2</v>
      </c>
    </row>
    <row r="200" spans="1:21" x14ac:dyDescent="0.25">
      <c r="B200" s="9"/>
      <c r="C200" s="17">
        <v>1375.68</v>
      </c>
      <c r="D200" s="18">
        <v>40.549999999999997</v>
      </c>
      <c r="E200" s="18">
        <v>44.460999999999999</v>
      </c>
      <c r="F200" s="18">
        <v>45.048999999999999</v>
      </c>
      <c r="G200" s="18">
        <v>268.94</v>
      </c>
      <c r="H200" s="18">
        <f t="shared" si="11"/>
        <v>41.601249999999993</v>
      </c>
      <c r="I200" s="5"/>
      <c r="J200" s="17">
        <v>1003.9263999999999</v>
      </c>
      <c r="K200" s="18">
        <v>41.597000000000001</v>
      </c>
      <c r="L200" s="18">
        <v>45.955199999999998</v>
      </c>
      <c r="M200" s="18">
        <v>46.779000000000003</v>
      </c>
      <c r="N200" s="18">
        <v>295.858</v>
      </c>
      <c r="O200" s="18">
        <f t="shared" si="12"/>
        <v>42.789524999999998</v>
      </c>
      <c r="P200" s="7"/>
      <c r="Q200" s="10"/>
      <c r="R200" s="11"/>
      <c r="S200" s="11"/>
      <c r="T200" s="26"/>
      <c r="U200" s="28">
        <f t="shared" si="15"/>
        <v>0.10008923923551724</v>
      </c>
    </row>
    <row r="201" spans="1:21" x14ac:dyDescent="0.25">
      <c r="B201" s="9"/>
      <c r="C201" s="17">
        <v>818.75</v>
      </c>
      <c r="D201" s="18">
        <v>38.616</v>
      </c>
      <c r="E201" s="18">
        <v>42.656999999999996</v>
      </c>
      <c r="F201" s="18">
        <v>43.298999999999999</v>
      </c>
      <c r="G201" s="18">
        <v>265.25</v>
      </c>
      <c r="H201" s="18">
        <f t="shared" si="11"/>
        <v>39.706499999999998</v>
      </c>
      <c r="I201" s="5"/>
      <c r="J201" s="17">
        <v>597.34960000000001</v>
      </c>
      <c r="K201" s="18">
        <v>40.213700000000003</v>
      </c>
      <c r="L201" s="18">
        <v>44.746299999999998</v>
      </c>
      <c r="M201" s="18">
        <v>45.500799999999998</v>
      </c>
      <c r="N201" s="18">
        <v>346.62049999999999</v>
      </c>
      <c r="O201" s="18">
        <f t="shared" si="12"/>
        <v>41.441162500000004</v>
      </c>
      <c r="P201" s="7"/>
      <c r="Q201" s="10"/>
      <c r="R201" s="11"/>
      <c r="S201" s="11"/>
      <c r="T201" s="26"/>
      <c r="U201" s="28">
        <f t="shared" si="15"/>
        <v>0.30676908576814321</v>
      </c>
    </row>
    <row r="202" spans="1:21" ht="16.5" thickBot="1" x14ac:dyDescent="0.3">
      <c r="B202" s="12"/>
      <c r="C202" s="19">
        <v>376.61</v>
      </c>
      <c r="D202" s="20">
        <v>34.631999999999998</v>
      </c>
      <c r="E202" s="20">
        <v>40.283000000000001</v>
      </c>
      <c r="F202" s="20">
        <v>41.01</v>
      </c>
      <c r="G202" s="20">
        <v>284.89999999999998</v>
      </c>
      <c r="H202" s="20">
        <f t="shared" si="11"/>
        <v>36.135624999999997</v>
      </c>
      <c r="I202" s="5"/>
      <c r="J202" s="19">
        <v>293.9984</v>
      </c>
      <c r="K202" s="20">
        <v>37.463099999999997</v>
      </c>
      <c r="L202" s="20">
        <v>42.556100000000001</v>
      </c>
      <c r="M202" s="20">
        <v>43.429099999999998</v>
      </c>
      <c r="N202" s="20">
        <v>400.53399999999999</v>
      </c>
      <c r="O202" s="20">
        <f t="shared" si="12"/>
        <v>38.845475</v>
      </c>
      <c r="P202" s="7"/>
      <c r="Q202" s="13"/>
      <c r="R202" s="14"/>
      <c r="S202" s="14"/>
      <c r="T202" s="27"/>
      <c r="U202" s="28">
        <f t="shared" si="15"/>
        <v>0.40587574587574599</v>
      </c>
    </row>
    <row r="203" spans="1:21" x14ac:dyDescent="0.25">
      <c r="A203" s="6" t="s">
        <v>102</v>
      </c>
      <c r="B203" s="6" t="s">
        <v>103</v>
      </c>
      <c r="C203" s="15">
        <v>1608.53</v>
      </c>
      <c r="D203" s="16">
        <v>41.314999999999998</v>
      </c>
      <c r="E203" s="16">
        <v>46.136000000000003</v>
      </c>
      <c r="F203" s="16">
        <v>47.805999999999997</v>
      </c>
      <c r="G203" s="16">
        <v>199.6</v>
      </c>
      <c r="H203" s="16">
        <f t="shared" ref="H203:H213" si="16">(6*D203+E203+F203)/8</f>
        <v>42.728999999999999</v>
      </c>
      <c r="I203" s="5"/>
      <c r="J203" s="15">
        <v>1286.2589</v>
      </c>
      <c r="K203" s="16">
        <v>43.535600000000002</v>
      </c>
      <c r="L203" s="16">
        <v>48.847200000000001</v>
      </c>
      <c r="M203" s="16">
        <v>50.013100000000001</v>
      </c>
      <c r="N203" s="16">
        <v>177.47980000000001</v>
      </c>
      <c r="O203" s="16">
        <f t="shared" ref="O203:O213" si="17">(6*K203+L203+M203)/8</f>
        <v>45.009237500000005</v>
      </c>
      <c r="P203" s="7"/>
      <c r="Q203" s="8">
        <f>bdrate(C203:C206,D203:D206,J203:J206,K203:K206)</f>
        <v>-0.55453937209206061</v>
      </c>
      <c r="R203" s="8">
        <f>bdrate(C203:C206,E203:E206,J203:J206,L203:L206)</f>
        <v>-0.65905342745196149</v>
      </c>
      <c r="S203" s="8">
        <f>bdrate(C203:C206,F203:F206,J203:J206,M203:M206)</f>
        <v>-0.61200741894295507</v>
      </c>
      <c r="T203" s="25">
        <f>bdrate(C203:C206,H203:H206,J203:J206,O203:O206)</f>
        <v>-0.57121747158585312</v>
      </c>
      <c r="U203" s="28">
        <f t="shared" ref="U203:U213" si="18">(N203-G203)/G203</f>
        <v>-0.11082264529058108</v>
      </c>
    </row>
    <row r="204" spans="1:21" x14ac:dyDescent="0.25">
      <c r="A204" s="9" t="s">
        <v>78</v>
      </c>
      <c r="B204" s="9"/>
      <c r="C204" s="17">
        <v>1075.26</v>
      </c>
      <c r="D204" s="18">
        <v>38.844000000000001</v>
      </c>
      <c r="E204" s="18">
        <v>44.55</v>
      </c>
      <c r="F204" s="18">
        <v>46.341000000000001</v>
      </c>
      <c r="G204" s="18">
        <v>239.39</v>
      </c>
      <c r="H204" s="18">
        <f t="shared" si="16"/>
        <v>40.494375000000005</v>
      </c>
      <c r="I204" s="5"/>
      <c r="J204" s="17">
        <v>876.35389999999995</v>
      </c>
      <c r="K204" s="18">
        <v>41.779899999999998</v>
      </c>
      <c r="L204" s="18">
        <v>47.573599999999999</v>
      </c>
      <c r="M204" s="18">
        <v>48.720799999999997</v>
      </c>
      <c r="N204" s="18">
        <v>210.8963</v>
      </c>
      <c r="O204" s="18">
        <f t="shared" si="17"/>
        <v>43.371724999999998</v>
      </c>
      <c r="P204" s="7"/>
      <c r="Q204" s="10"/>
      <c r="R204" s="11"/>
      <c r="S204" s="11"/>
      <c r="T204" s="26"/>
      <c r="U204" s="28">
        <f t="shared" si="18"/>
        <v>-0.11902627511591959</v>
      </c>
    </row>
    <row r="205" spans="1:21" x14ac:dyDescent="0.25">
      <c r="B205" s="9"/>
      <c r="C205" s="17">
        <v>654.39</v>
      </c>
      <c r="D205" s="18">
        <v>35.758000000000003</v>
      </c>
      <c r="E205" s="18">
        <v>41.969000000000001</v>
      </c>
      <c r="F205" s="18">
        <v>44.761000000000003</v>
      </c>
      <c r="G205" s="18">
        <v>253.56</v>
      </c>
      <c r="H205" s="18">
        <f t="shared" si="16"/>
        <v>37.659750000000003</v>
      </c>
      <c r="I205" s="5"/>
      <c r="J205" s="17">
        <v>543.06410000000005</v>
      </c>
      <c r="K205" s="18">
        <v>39.393000000000001</v>
      </c>
      <c r="L205" s="18">
        <v>45.869</v>
      </c>
      <c r="M205" s="18">
        <v>47.1815</v>
      </c>
      <c r="N205" s="18">
        <v>261.05869999999999</v>
      </c>
      <c r="O205" s="18">
        <f t="shared" si="17"/>
        <v>41.1760625</v>
      </c>
      <c r="P205" s="7"/>
      <c r="Q205" s="10"/>
      <c r="R205" s="11"/>
      <c r="S205" s="11"/>
      <c r="T205" s="26"/>
      <c r="U205" s="28">
        <f t="shared" si="18"/>
        <v>2.9573670926013509E-2</v>
      </c>
    </row>
    <row r="206" spans="1:21" ht="16.5" thickBot="1" x14ac:dyDescent="0.3">
      <c r="B206" s="12"/>
      <c r="C206" s="19">
        <v>309.69</v>
      </c>
      <c r="D206" s="20">
        <v>31.065000000000001</v>
      </c>
      <c r="E206" s="20">
        <v>40.097000000000001</v>
      </c>
      <c r="F206" s="20">
        <v>42.780999999999999</v>
      </c>
      <c r="G206" s="20">
        <v>260.98</v>
      </c>
      <c r="H206" s="20">
        <f t="shared" si="16"/>
        <v>33.658500000000004</v>
      </c>
      <c r="I206" s="5"/>
      <c r="J206" s="19">
        <v>280.62509999999997</v>
      </c>
      <c r="K206" s="20">
        <v>36.4148</v>
      </c>
      <c r="L206" s="20">
        <v>43.8583</v>
      </c>
      <c r="M206" s="20">
        <v>45.1907</v>
      </c>
      <c r="N206" s="20">
        <v>311.79629999999997</v>
      </c>
      <c r="O206" s="20">
        <f t="shared" si="17"/>
        <v>38.442225000000001</v>
      </c>
      <c r="P206" s="7"/>
      <c r="Q206" s="13"/>
      <c r="R206" s="14"/>
      <c r="S206" s="14"/>
      <c r="T206" s="27"/>
      <c r="U206" s="28">
        <f t="shared" si="18"/>
        <v>0.1947133879990802</v>
      </c>
    </row>
    <row r="207" spans="1:21" x14ac:dyDescent="0.25">
      <c r="B207" s="6" t="s">
        <v>104</v>
      </c>
      <c r="C207" s="15">
        <v>1996.96</v>
      </c>
      <c r="D207" s="16">
        <v>52.884</v>
      </c>
      <c r="E207" s="16">
        <v>53.177</v>
      </c>
      <c r="F207" s="16">
        <v>53.58</v>
      </c>
      <c r="G207" s="16">
        <v>277.31</v>
      </c>
      <c r="H207" s="16">
        <f t="shared" si="16"/>
        <v>53.007624999999997</v>
      </c>
      <c r="I207" s="5"/>
      <c r="J207" s="15">
        <v>1449.654</v>
      </c>
      <c r="K207" s="16">
        <v>51.379300000000001</v>
      </c>
      <c r="L207" s="16">
        <v>52.353200000000001</v>
      </c>
      <c r="M207" s="16">
        <v>52.874600000000001</v>
      </c>
      <c r="N207" s="16">
        <v>221.8115</v>
      </c>
      <c r="O207" s="16">
        <f t="shared" si="17"/>
        <v>51.687950000000001</v>
      </c>
      <c r="P207" s="7"/>
      <c r="Q207" s="8">
        <f>bdrate(C207:C210,D207:D210,J207:J210,K207:K210)</f>
        <v>-0.1897751786251517</v>
      </c>
      <c r="R207" s="8">
        <f>bdrate(C207:C210,E207:E210,J207:J210,L207:L210)</f>
        <v>-0.27676941881413386</v>
      </c>
      <c r="S207" s="8">
        <f>bdrate(C207:C210,F207:F210,J207:J210,M207:M210)</f>
        <v>-0.27784084805474418</v>
      </c>
      <c r="T207" s="25">
        <f>bdrate(C207:C210,H207:H210,J207:J210,O207:O210)</f>
        <v>-0.2115620211994792</v>
      </c>
      <c r="U207" s="28">
        <f t="shared" si="18"/>
        <v>-0.20013162165086007</v>
      </c>
    </row>
    <row r="208" spans="1:21" x14ac:dyDescent="0.25">
      <c r="B208" s="9"/>
      <c r="C208" s="17">
        <v>1334.37</v>
      </c>
      <c r="D208" s="18">
        <v>50.234000000000002</v>
      </c>
      <c r="E208" s="18">
        <v>50.692</v>
      </c>
      <c r="F208" s="18">
        <v>51.146999999999998</v>
      </c>
      <c r="G208" s="18">
        <v>355.94</v>
      </c>
      <c r="H208" s="18">
        <f t="shared" si="16"/>
        <v>50.405374999999999</v>
      </c>
      <c r="I208" s="5"/>
      <c r="J208" s="17">
        <v>979.03510000000006</v>
      </c>
      <c r="K208" s="18">
        <v>49.390799999999999</v>
      </c>
      <c r="L208" s="18">
        <v>50.484099999999998</v>
      </c>
      <c r="M208" s="18">
        <v>51.018000000000001</v>
      </c>
      <c r="N208" s="18">
        <v>349.65030000000002</v>
      </c>
      <c r="O208" s="18">
        <f t="shared" si="17"/>
        <v>49.730862500000001</v>
      </c>
      <c r="P208" s="7"/>
      <c r="Q208" s="10"/>
      <c r="R208" s="11"/>
      <c r="S208" s="11"/>
      <c r="T208" s="26"/>
      <c r="U208" s="28">
        <f t="shared" si="18"/>
        <v>-1.7670674832836946E-2</v>
      </c>
    </row>
    <row r="209" spans="2:21" x14ac:dyDescent="0.25">
      <c r="B209" s="9"/>
      <c r="C209" s="17">
        <v>810.14</v>
      </c>
      <c r="D209" s="18">
        <v>47.14</v>
      </c>
      <c r="E209" s="18">
        <v>47.698</v>
      </c>
      <c r="F209" s="18">
        <v>48.244</v>
      </c>
      <c r="G209" s="18">
        <v>366.23</v>
      </c>
      <c r="H209" s="18">
        <f t="shared" si="16"/>
        <v>47.347750000000005</v>
      </c>
      <c r="I209" s="5"/>
      <c r="J209" s="17">
        <v>594.65909999999997</v>
      </c>
      <c r="K209" s="18">
        <v>46.670900000000003</v>
      </c>
      <c r="L209" s="18">
        <v>47.963900000000002</v>
      </c>
      <c r="M209" s="18">
        <v>48.494300000000003</v>
      </c>
      <c r="N209" s="18">
        <v>385.68669999999997</v>
      </c>
      <c r="O209" s="18">
        <f t="shared" si="17"/>
        <v>47.060450000000003</v>
      </c>
      <c r="P209" s="7"/>
      <c r="Q209" s="10"/>
      <c r="R209" s="11"/>
      <c r="S209" s="11"/>
      <c r="T209" s="26"/>
      <c r="U209" s="28">
        <f t="shared" si="18"/>
        <v>5.3126996696065187E-2</v>
      </c>
    </row>
    <row r="210" spans="2:21" ht="16.5" thickBot="1" x14ac:dyDescent="0.3">
      <c r="B210" s="12"/>
      <c r="C210" s="19">
        <v>382.92</v>
      </c>
      <c r="D210" s="20">
        <v>42.451999999999998</v>
      </c>
      <c r="E210" s="20">
        <v>43.378</v>
      </c>
      <c r="F210" s="20">
        <v>43.921999999999997</v>
      </c>
      <c r="G210" s="20">
        <v>375.78</v>
      </c>
      <c r="H210" s="20">
        <f t="shared" si="16"/>
        <v>42.751499999999993</v>
      </c>
      <c r="I210" s="5"/>
      <c r="J210" s="19">
        <v>299.94319999999999</v>
      </c>
      <c r="K210" s="20">
        <v>42.432899999999997</v>
      </c>
      <c r="L210" s="20">
        <v>44.064500000000002</v>
      </c>
      <c r="M210" s="20">
        <v>44.5428</v>
      </c>
      <c r="N210" s="20">
        <v>400.6232</v>
      </c>
      <c r="O210" s="20">
        <f t="shared" si="17"/>
        <v>42.9005875</v>
      </c>
      <c r="P210" s="7"/>
      <c r="Q210" s="13"/>
      <c r="R210" s="14"/>
      <c r="S210" s="14"/>
      <c r="T210" s="27"/>
      <c r="U210" s="28">
        <f t="shared" si="18"/>
        <v>6.6111022406727407E-2</v>
      </c>
    </row>
    <row r="211" spans="2:21" x14ac:dyDescent="0.25">
      <c r="B211" s="6" t="s">
        <v>105</v>
      </c>
      <c r="C211" s="15">
        <v>2181.4699999999998</v>
      </c>
      <c r="D211" s="16">
        <v>42.334000000000003</v>
      </c>
      <c r="E211" s="16">
        <v>44.066000000000003</v>
      </c>
      <c r="F211" s="16">
        <v>44.765000000000001</v>
      </c>
      <c r="G211" s="16">
        <v>226.7</v>
      </c>
      <c r="H211" s="16">
        <f t="shared" si="16"/>
        <v>42.854375000000005</v>
      </c>
      <c r="I211" s="5"/>
      <c r="J211" s="15">
        <v>1484.8369</v>
      </c>
      <c r="K211" s="16">
        <v>42.576099999999997</v>
      </c>
      <c r="L211" s="16">
        <v>44.924300000000002</v>
      </c>
      <c r="M211" s="16">
        <v>45.3643</v>
      </c>
      <c r="N211" s="16">
        <v>162.2938</v>
      </c>
      <c r="O211" s="16">
        <f t="shared" si="17"/>
        <v>43.218150000000001</v>
      </c>
      <c r="P211" s="7"/>
      <c r="Q211" s="8">
        <f>bdrate(C211:C214,D211:D214,J211:J214,K211:K214)</f>
        <v>-0.44212300837242957</v>
      </c>
      <c r="R211" s="8">
        <f>bdrate(C211:C214,E211:E214,J211:J214,L211:L214)</f>
        <v>-0.48491723806840936</v>
      </c>
      <c r="S211" s="8">
        <f>bdrate(C211:C214,F211:F214,J211:J214,M211:M214)</f>
        <v>-0.4438130316231812</v>
      </c>
      <c r="T211" s="25">
        <f>bdrate(C211:C214,H211:H214,J211:J214,O211:O214)</f>
        <v>-0.44716265344298367</v>
      </c>
      <c r="U211" s="28">
        <f t="shared" si="18"/>
        <v>-0.28410322011468897</v>
      </c>
    </row>
    <row r="212" spans="2:21" x14ac:dyDescent="0.25">
      <c r="B212" s="9"/>
      <c r="C212" s="17">
        <v>1455.51</v>
      </c>
      <c r="D212" s="18">
        <v>39.768999999999998</v>
      </c>
      <c r="E212" s="18">
        <v>42.387999999999998</v>
      </c>
      <c r="F212" s="18">
        <v>43.109000000000002</v>
      </c>
      <c r="G212" s="18">
        <v>260.87</v>
      </c>
      <c r="H212" s="18">
        <f t="shared" si="16"/>
        <v>40.513874999999992</v>
      </c>
      <c r="I212" s="5"/>
      <c r="J212" s="17">
        <v>995.83789999999999</v>
      </c>
      <c r="K212" s="18">
        <v>40.674399999999999</v>
      </c>
      <c r="L212" s="18">
        <v>43.469499999999996</v>
      </c>
      <c r="M212" s="18">
        <v>43.898699999999998</v>
      </c>
      <c r="N212" s="18">
        <v>245.4992</v>
      </c>
      <c r="O212" s="18">
        <f t="shared" si="17"/>
        <v>41.426825000000001</v>
      </c>
      <c r="P212" s="7"/>
      <c r="Q212" s="10"/>
      <c r="R212" s="11"/>
      <c r="S212" s="11"/>
      <c r="T212" s="26"/>
      <c r="U212" s="28">
        <f t="shared" si="18"/>
        <v>-5.8921301797830346E-2</v>
      </c>
    </row>
    <row r="213" spans="2:21" x14ac:dyDescent="0.25">
      <c r="B213" s="9"/>
      <c r="C213" s="17">
        <v>885.99</v>
      </c>
      <c r="D213" s="18">
        <v>36.896999999999998</v>
      </c>
      <c r="E213" s="18">
        <v>40.564999999999998</v>
      </c>
      <c r="F213" s="18">
        <v>41.286999999999999</v>
      </c>
      <c r="G213" s="18">
        <v>271.49</v>
      </c>
      <c r="H213" s="18">
        <f t="shared" si="16"/>
        <v>37.904249999999998</v>
      </c>
      <c r="I213" s="5"/>
      <c r="J213" s="17">
        <v>600.15930000000003</v>
      </c>
      <c r="K213" s="18">
        <v>38.098300000000002</v>
      </c>
      <c r="L213" s="18">
        <v>41.619599999999998</v>
      </c>
      <c r="M213" s="18">
        <v>42.061500000000002</v>
      </c>
      <c r="N213" s="18">
        <v>295.858</v>
      </c>
      <c r="O213" s="18">
        <f t="shared" si="17"/>
        <v>39.033862500000005</v>
      </c>
      <c r="P213" s="7"/>
      <c r="Q213" s="10"/>
      <c r="R213" s="11"/>
      <c r="S213" s="11"/>
      <c r="T213" s="26"/>
      <c r="U213" s="28">
        <f t="shared" si="18"/>
        <v>8.9756528785590609E-2</v>
      </c>
    </row>
    <row r="214" spans="2:21" ht="16.5" thickBot="1" x14ac:dyDescent="0.3">
      <c r="B214" s="12"/>
      <c r="C214" s="19">
        <v>423.43</v>
      </c>
      <c r="D214" s="20">
        <v>31.693000000000001</v>
      </c>
      <c r="E214" s="20">
        <v>38.021000000000001</v>
      </c>
      <c r="F214" s="20">
        <v>38.832000000000001</v>
      </c>
      <c r="G214" s="20">
        <v>279.98</v>
      </c>
      <c r="H214" s="20">
        <f t="shared" ref="H214:H246" si="19">(6*D214+E214+F214)/8</f>
        <v>33.376375000000003</v>
      </c>
      <c r="I214" s="5"/>
      <c r="J214" s="19">
        <v>300.05990000000003</v>
      </c>
      <c r="K214" s="20">
        <v>34.324199999999998</v>
      </c>
      <c r="L214" s="20">
        <v>39.004300000000001</v>
      </c>
      <c r="M214" s="20">
        <v>39.491500000000002</v>
      </c>
      <c r="N214" s="20">
        <v>349.65030000000002</v>
      </c>
      <c r="O214" s="20">
        <f t="shared" ref="O214:O246" si="20">(6*K214+L214+M214)/8</f>
        <v>35.555125000000004</v>
      </c>
      <c r="P214" s="7"/>
      <c r="Q214" s="13"/>
      <c r="R214" s="14"/>
      <c r="S214" s="14"/>
      <c r="T214" s="27"/>
      <c r="U214" s="28">
        <f t="shared" ref="U214:U246" si="21">(N214-G214)/G214</f>
        <v>0.2488402743053075</v>
      </c>
    </row>
    <row r="215" spans="2:21" x14ac:dyDescent="0.25">
      <c r="B215" s="6" t="s">
        <v>106</v>
      </c>
      <c r="C215" s="29">
        <v>2059.41</v>
      </c>
      <c r="D215" s="30">
        <v>38.74</v>
      </c>
      <c r="E215" s="30">
        <v>43.076000000000001</v>
      </c>
      <c r="F215" s="30">
        <v>43.073999999999998</v>
      </c>
      <c r="G215" s="16">
        <v>171.18</v>
      </c>
      <c r="H215" s="16">
        <f t="shared" si="19"/>
        <v>39.823750000000004</v>
      </c>
      <c r="I215" s="5"/>
      <c r="J215" s="29">
        <v>1505.0071</v>
      </c>
      <c r="K215" s="30">
        <v>38.974400000000003</v>
      </c>
      <c r="L215" s="30">
        <v>43.452300000000001</v>
      </c>
      <c r="M215" s="30">
        <v>43.447400000000002</v>
      </c>
      <c r="N215" s="16">
        <v>150.61500000000001</v>
      </c>
      <c r="O215" s="16">
        <f t="shared" si="20"/>
        <v>40.093262500000002</v>
      </c>
      <c r="P215" s="7"/>
      <c r="Q215" s="8">
        <f>bdrate(C215:C218,D215:D218,J215:J218,K215:K218)</f>
        <v>-0.39556890109043952</v>
      </c>
      <c r="R215" s="8">
        <f>bdrate(C215:C218,E215:E218,J215:J218,L215:L218)</f>
        <v>-0.36969911224063667</v>
      </c>
      <c r="S215" s="8">
        <f>bdrate(C215:C218,F215:F218,J215:J218,M215:M218)</f>
        <v>-0.38162727841787603</v>
      </c>
      <c r="T215" s="25">
        <f>bdrate(C215:C218,H215:H218,J215:J218,O215:O218)</f>
        <v>-0.39357577034834645</v>
      </c>
      <c r="U215" s="28">
        <f t="shared" si="21"/>
        <v>-0.12013669821240798</v>
      </c>
    </row>
    <row r="216" spans="2:21" x14ac:dyDescent="0.25">
      <c r="B216" s="9"/>
      <c r="C216" s="31">
        <v>1377.26</v>
      </c>
      <c r="D216" s="32">
        <v>36.479999999999997</v>
      </c>
      <c r="E216" s="32">
        <v>41.686999999999998</v>
      </c>
      <c r="F216" s="32">
        <v>41.603999999999999</v>
      </c>
      <c r="G216" s="18">
        <v>235.91</v>
      </c>
      <c r="H216" s="18">
        <f t="shared" si="19"/>
        <v>37.771374999999999</v>
      </c>
      <c r="I216" s="5"/>
      <c r="J216" s="31">
        <v>1002.3674999999999</v>
      </c>
      <c r="K216" s="32">
        <v>37.083100000000002</v>
      </c>
      <c r="L216" s="32">
        <v>42.156100000000002</v>
      </c>
      <c r="M216" s="32">
        <v>42.111499999999999</v>
      </c>
      <c r="N216" s="18">
        <v>235.47880000000001</v>
      </c>
      <c r="O216" s="18">
        <f t="shared" si="20"/>
        <v>38.345774999999996</v>
      </c>
      <c r="P216" s="7"/>
      <c r="Q216" s="10"/>
      <c r="R216" s="11"/>
      <c r="S216" s="11"/>
      <c r="T216" s="26"/>
      <c r="U216" s="28">
        <f t="shared" si="21"/>
        <v>-1.8278156924250342E-3</v>
      </c>
    </row>
    <row r="217" spans="2:21" x14ac:dyDescent="0.25">
      <c r="B217" s="9"/>
      <c r="C217" s="31">
        <v>841.68</v>
      </c>
      <c r="D217" s="32">
        <v>33.72</v>
      </c>
      <c r="E217" s="32">
        <v>40.188000000000002</v>
      </c>
      <c r="F217" s="32">
        <v>40.033000000000001</v>
      </c>
      <c r="G217" s="18">
        <v>245.5</v>
      </c>
      <c r="H217" s="18">
        <f t="shared" si="19"/>
        <v>35.317625</v>
      </c>
      <c r="I217" s="5"/>
      <c r="J217" s="31">
        <v>603.64400000000001</v>
      </c>
      <c r="K217" s="32">
        <v>34.744999999999997</v>
      </c>
      <c r="L217" s="32">
        <v>40.598199999999999</v>
      </c>
      <c r="M217" s="32">
        <v>40.544600000000003</v>
      </c>
      <c r="N217" s="18">
        <v>271.45229999999998</v>
      </c>
      <c r="O217" s="18">
        <f t="shared" si="20"/>
        <v>36.201599999999999</v>
      </c>
      <c r="P217" s="7"/>
      <c r="Q217" s="10"/>
      <c r="R217" s="11"/>
      <c r="S217" s="11"/>
      <c r="T217" s="26"/>
      <c r="U217" s="28">
        <f t="shared" si="21"/>
        <v>0.10571201629327893</v>
      </c>
    </row>
    <row r="218" spans="2:21" ht="16.5" thickBot="1" x14ac:dyDescent="0.3">
      <c r="B218" s="12"/>
      <c r="C218" s="33">
        <v>401.9</v>
      </c>
      <c r="D218" s="34">
        <v>29.134</v>
      </c>
      <c r="E218" s="34">
        <v>38.140999999999998</v>
      </c>
      <c r="F218" s="34">
        <v>38.000999999999998</v>
      </c>
      <c r="G218" s="20">
        <v>254.13</v>
      </c>
      <c r="H218" s="20">
        <f t="shared" si="19"/>
        <v>31.36825</v>
      </c>
      <c r="I218" s="5"/>
      <c r="J218" s="33">
        <v>303.18990000000002</v>
      </c>
      <c r="K218" s="34">
        <v>31.6464</v>
      </c>
      <c r="L218" s="34">
        <v>38.581000000000003</v>
      </c>
      <c r="M218" s="34">
        <v>38.499400000000001</v>
      </c>
      <c r="N218" s="20">
        <v>331.49169999999998</v>
      </c>
      <c r="O218" s="20">
        <f t="shared" si="20"/>
        <v>33.36985</v>
      </c>
      <c r="P218" s="7"/>
      <c r="Q218" s="13"/>
      <c r="R218" s="14"/>
      <c r="S218" s="14"/>
      <c r="T218" s="27"/>
      <c r="U218" s="28">
        <f t="shared" si="21"/>
        <v>0.30441781765238257</v>
      </c>
    </row>
    <row r="219" spans="2:21" x14ac:dyDescent="0.25">
      <c r="B219" s="6" t="s">
        <v>107</v>
      </c>
      <c r="C219" s="15">
        <v>2125.2199999999998</v>
      </c>
      <c r="D219" s="16">
        <v>37.119999999999997</v>
      </c>
      <c r="E219" s="16">
        <v>40.320999999999998</v>
      </c>
      <c r="F219" s="16">
        <v>40.875</v>
      </c>
      <c r="G219" s="16">
        <v>233.52</v>
      </c>
      <c r="H219" s="16">
        <f t="shared" si="19"/>
        <v>37.989499999999992</v>
      </c>
      <c r="I219" s="5"/>
      <c r="J219" s="15">
        <v>1505.1744000000001</v>
      </c>
      <c r="K219" s="16">
        <v>36.9617</v>
      </c>
      <c r="L219" s="16">
        <v>41.505800000000001</v>
      </c>
      <c r="M219" s="16">
        <v>42.0473</v>
      </c>
      <c r="N219" s="16">
        <v>197.19540000000001</v>
      </c>
      <c r="O219" s="16">
        <f t="shared" si="20"/>
        <v>38.165412500000002</v>
      </c>
      <c r="P219" s="7"/>
      <c r="Q219" s="8">
        <f>bdrate(C219:C222,D219:D222,J219:J222,K219:K222)</f>
        <v>-0.3409826748535808</v>
      </c>
      <c r="R219" s="8">
        <f>bdrate(C219:C222,E219:E222,J219:J222,L219:L222)</f>
        <v>-0.4900273095727864</v>
      </c>
      <c r="S219" s="8">
        <f>bdrate(C219:C222,F219:F222,J219:J222,M219:M222)</f>
        <v>-0.48982743222714575</v>
      </c>
      <c r="T219" s="25">
        <f>bdrate(C219:C222,H219:H222,J219:J222,O219:O222)</f>
        <v>-0.36881692770889585</v>
      </c>
      <c r="U219" s="28">
        <f t="shared" si="21"/>
        <v>-0.1555524152106886</v>
      </c>
    </row>
    <row r="220" spans="2:21" x14ac:dyDescent="0.25">
      <c r="B220" s="9"/>
      <c r="C220" s="17">
        <v>1418.35</v>
      </c>
      <c r="D220" s="18">
        <v>34.923000000000002</v>
      </c>
      <c r="E220" s="18">
        <v>38.905000000000001</v>
      </c>
      <c r="F220" s="18">
        <v>39.533999999999999</v>
      </c>
      <c r="G220" s="18">
        <v>263.43</v>
      </c>
      <c r="H220" s="18">
        <f t="shared" si="19"/>
        <v>35.997125000000004</v>
      </c>
      <c r="I220" s="5"/>
      <c r="J220" s="17">
        <v>1002.3344</v>
      </c>
      <c r="K220" s="18">
        <v>35.0107</v>
      </c>
      <c r="L220" s="18">
        <v>40.054699999999997</v>
      </c>
      <c r="M220" s="18">
        <v>40.648200000000003</v>
      </c>
      <c r="N220" s="18">
        <v>229.32859999999999</v>
      </c>
      <c r="O220" s="18">
        <f t="shared" si="20"/>
        <v>36.345887500000003</v>
      </c>
      <c r="P220" s="7"/>
      <c r="Q220" s="10"/>
      <c r="R220" s="11"/>
      <c r="S220" s="11"/>
      <c r="T220" s="26"/>
      <c r="U220" s="28">
        <f t="shared" si="21"/>
        <v>-0.12945146718293288</v>
      </c>
    </row>
    <row r="221" spans="2:21" x14ac:dyDescent="0.25">
      <c r="B221" s="9"/>
      <c r="C221" s="17">
        <v>861.65</v>
      </c>
      <c r="D221" s="18">
        <v>32.250999999999998</v>
      </c>
      <c r="E221" s="18">
        <v>37.369999999999997</v>
      </c>
      <c r="F221" s="18">
        <v>38.067999999999998</v>
      </c>
      <c r="G221" s="18">
        <v>275.27</v>
      </c>
      <c r="H221" s="18">
        <f t="shared" si="19"/>
        <v>33.617999999999995</v>
      </c>
      <c r="I221" s="5"/>
      <c r="J221" s="17">
        <v>600.04399999999998</v>
      </c>
      <c r="K221" s="18">
        <v>32.588900000000002</v>
      </c>
      <c r="L221" s="18">
        <v>38.335999999999999</v>
      </c>
      <c r="M221" s="18">
        <v>38.984200000000001</v>
      </c>
      <c r="N221" s="18">
        <v>276.03129999999999</v>
      </c>
      <c r="O221" s="18">
        <f t="shared" si="20"/>
        <v>34.106700000000004</v>
      </c>
      <c r="P221" s="7"/>
      <c r="Q221" s="10"/>
      <c r="R221" s="11"/>
      <c r="S221" s="11"/>
      <c r="T221" s="26"/>
      <c r="U221" s="28">
        <f t="shared" si="21"/>
        <v>2.7656482726050994E-3</v>
      </c>
    </row>
    <row r="222" spans="2:21" ht="16.5" thickBot="1" x14ac:dyDescent="0.3">
      <c r="B222" s="12"/>
      <c r="C222" s="19">
        <v>404.2</v>
      </c>
      <c r="D222" s="20">
        <v>27.835999999999999</v>
      </c>
      <c r="E222" s="20">
        <v>35.378999999999998</v>
      </c>
      <c r="F222" s="20">
        <v>36.146999999999998</v>
      </c>
      <c r="G222" s="20">
        <v>291.31</v>
      </c>
      <c r="H222" s="20">
        <f t="shared" si="19"/>
        <v>29.817749999999997</v>
      </c>
      <c r="I222" s="5"/>
      <c r="J222" s="19">
        <v>299.89850000000001</v>
      </c>
      <c r="K222" s="20">
        <v>29.348700000000001</v>
      </c>
      <c r="L222" s="20">
        <v>36.214799999999997</v>
      </c>
      <c r="M222" s="20">
        <v>36.953499999999998</v>
      </c>
      <c r="N222" s="20">
        <v>333.45679999999999</v>
      </c>
      <c r="O222" s="20">
        <f t="shared" si="20"/>
        <v>31.157562499999997</v>
      </c>
      <c r="P222" s="7"/>
      <c r="Q222" s="13"/>
      <c r="R222" s="14"/>
      <c r="S222" s="14"/>
      <c r="T222" s="27"/>
      <c r="U222" s="28">
        <f t="shared" si="21"/>
        <v>0.14468023754762963</v>
      </c>
    </row>
    <row r="223" spans="2:21" x14ac:dyDescent="0.25">
      <c r="B223" s="6" t="s">
        <v>108</v>
      </c>
      <c r="C223" s="15">
        <v>2126.0100000000002</v>
      </c>
      <c r="D223" s="16">
        <v>37.555999999999997</v>
      </c>
      <c r="E223" s="16">
        <v>42.618000000000002</v>
      </c>
      <c r="F223" s="16">
        <v>44.218000000000004</v>
      </c>
      <c r="G223" s="16">
        <v>159.57</v>
      </c>
      <c r="H223" s="16">
        <f t="shared" si="19"/>
        <v>39.021500000000003</v>
      </c>
      <c r="I223" s="5"/>
      <c r="J223" s="15">
        <v>1511.8639000000001</v>
      </c>
      <c r="K223" s="16">
        <v>37.061500000000002</v>
      </c>
      <c r="L223" s="16">
        <v>43.000799999999998</v>
      </c>
      <c r="M223" s="16">
        <v>44.3872</v>
      </c>
      <c r="N223" s="16">
        <v>191.32650000000001</v>
      </c>
      <c r="O223" s="16">
        <f t="shared" si="20"/>
        <v>38.719625000000008</v>
      </c>
      <c r="P223" s="7"/>
      <c r="Q223" s="8">
        <f>bdrate(C223:C226,D223:D226,J223:J226,K223:K226)</f>
        <v>-0.33783280190952092</v>
      </c>
      <c r="R223" s="8">
        <f>bdrate(C223:C226,E223:E226,J223:J226,L223:L226)</f>
        <v>-0.47365695165979615</v>
      </c>
      <c r="S223" s="8">
        <f>bdrate(C223:C226,F223:F226,J223:J226,M223:M226)</f>
        <v>-0.39842115235074549</v>
      </c>
      <c r="T223" s="25">
        <f>bdrate(C223:C226,H223:H226,J223:J226,O223:O226)</f>
        <v>-0.35601201455020703</v>
      </c>
      <c r="U223" s="28">
        <f t="shared" si="21"/>
        <v>0.19901297236322629</v>
      </c>
    </row>
    <row r="224" spans="2:21" x14ac:dyDescent="0.25">
      <c r="B224" s="9"/>
      <c r="C224" s="17">
        <v>1418.41</v>
      </c>
      <c r="D224" s="18">
        <v>35.710999999999999</v>
      </c>
      <c r="E224" s="18">
        <v>41.368000000000002</v>
      </c>
      <c r="F224" s="18">
        <v>42.966000000000001</v>
      </c>
      <c r="G224" s="18">
        <v>228.37</v>
      </c>
      <c r="H224" s="18">
        <f t="shared" si="19"/>
        <v>37.324999999999996</v>
      </c>
      <c r="I224" s="5"/>
      <c r="J224" s="17">
        <v>1006.2568</v>
      </c>
      <c r="K224" s="18">
        <v>35.634399999999999</v>
      </c>
      <c r="L224" s="18">
        <v>41.979500000000002</v>
      </c>
      <c r="M224" s="18">
        <v>43.235999999999997</v>
      </c>
      <c r="N224" s="18">
        <v>214.7715</v>
      </c>
      <c r="O224" s="18">
        <f t="shared" si="20"/>
        <v>37.377737500000002</v>
      </c>
      <c r="P224" s="7"/>
      <c r="Q224" s="10"/>
      <c r="R224" s="11"/>
      <c r="S224" s="11"/>
      <c r="T224" s="26"/>
      <c r="U224" s="28">
        <f t="shared" si="21"/>
        <v>-5.9545912335245442E-2</v>
      </c>
    </row>
    <row r="225" spans="2:21" x14ac:dyDescent="0.25">
      <c r="B225" s="9"/>
      <c r="C225" s="17">
        <v>863.17</v>
      </c>
      <c r="D225" s="18">
        <v>33.603000000000002</v>
      </c>
      <c r="E225" s="18">
        <v>40.021999999999998</v>
      </c>
      <c r="F225" s="18">
        <v>41.427999999999997</v>
      </c>
      <c r="G225" s="18">
        <v>241.35</v>
      </c>
      <c r="H225" s="18">
        <f t="shared" si="19"/>
        <v>35.383499999999998</v>
      </c>
      <c r="I225" s="5"/>
      <c r="J225" s="17">
        <v>605.04359999999997</v>
      </c>
      <c r="K225" s="18">
        <v>33.988399999999999</v>
      </c>
      <c r="L225" s="18">
        <v>40.838200000000001</v>
      </c>
      <c r="M225" s="18">
        <v>41.977499999999999</v>
      </c>
      <c r="N225" s="18">
        <v>266.90390000000002</v>
      </c>
      <c r="O225" s="18">
        <f t="shared" si="20"/>
        <v>35.843262500000002</v>
      </c>
      <c r="P225" s="7"/>
      <c r="Q225" s="10"/>
      <c r="R225" s="11"/>
      <c r="S225" s="11"/>
      <c r="T225" s="26"/>
      <c r="U225" s="28">
        <f t="shared" si="21"/>
        <v>0.105879013880257</v>
      </c>
    </row>
    <row r="226" spans="2:21" ht="16.5" thickBot="1" x14ac:dyDescent="0.3">
      <c r="B226" s="12"/>
      <c r="C226" s="19">
        <v>407.8</v>
      </c>
      <c r="D226" s="20">
        <v>30.844999999999999</v>
      </c>
      <c r="E226" s="20">
        <v>38.348999999999997</v>
      </c>
      <c r="F226" s="20">
        <v>39.427</v>
      </c>
      <c r="G226" s="20">
        <v>239.87</v>
      </c>
      <c r="H226" s="20">
        <f t="shared" si="19"/>
        <v>32.85575</v>
      </c>
      <c r="I226" s="5"/>
      <c r="J226" s="19">
        <v>302.28750000000002</v>
      </c>
      <c r="K226" s="20">
        <v>31.823699999999999</v>
      </c>
      <c r="L226" s="20">
        <v>39.337899999999998</v>
      </c>
      <c r="M226" s="20">
        <v>40.196300000000001</v>
      </c>
      <c r="N226" s="20">
        <v>327.8091</v>
      </c>
      <c r="O226" s="20">
        <f t="shared" si="20"/>
        <v>33.809549999999994</v>
      </c>
      <c r="P226" s="7"/>
      <c r="Q226" s="13"/>
      <c r="R226" s="14"/>
      <c r="S226" s="14"/>
      <c r="T226" s="27"/>
      <c r="U226" s="28">
        <f t="shared" si="21"/>
        <v>0.36661149789469294</v>
      </c>
    </row>
    <row r="227" spans="2:21" x14ac:dyDescent="0.25">
      <c r="B227" s="6" t="s">
        <v>109</v>
      </c>
      <c r="C227" s="15">
        <v>2215.9699999999998</v>
      </c>
      <c r="D227" s="16">
        <v>46.994999999999997</v>
      </c>
      <c r="E227" s="16">
        <v>51.284999999999997</v>
      </c>
      <c r="F227" s="16">
        <v>52.46</v>
      </c>
      <c r="G227" s="16">
        <v>237.24</v>
      </c>
      <c r="H227" s="16">
        <f t="shared" si="19"/>
        <v>48.214374999999997</v>
      </c>
      <c r="I227" s="5"/>
      <c r="J227" s="15">
        <v>1499.0119</v>
      </c>
      <c r="K227" s="16">
        <v>47.164000000000001</v>
      </c>
      <c r="L227" s="16">
        <v>52.492400000000004</v>
      </c>
      <c r="M227" s="16">
        <v>53.798499999999997</v>
      </c>
      <c r="N227" s="16">
        <v>199.512</v>
      </c>
      <c r="O227" s="16">
        <f t="shared" si="20"/>
        <v>48.6593625</v>
      </c>
      <c r="P227" s="7"/>
      <c r="Q227" s="8">
        <f>bdrate(C227:C230,D227:D230,J227:J230,K227:K230)</f>
        <v>-0.40336131345757886</v>
      </c>
      <c r="R227" s="8">
        <f>bdrate(C227:C230,E227:E230,J227:J230,L227:L230)</f>
        <v>-0.55937642629697226</v>
      </c>
      <c r="S227" s="8">
        <f>bdrate(C227:C230,F227:F230,J227:J230,M227:M230)</f>
        <v>-0.56380271513742197</v>
      </c>
      <c r="T227" s="25">
        <f>bdrate(C227:C230,H227:H230,J227:J230,O227:O230)</f>
        <v>-0.44754699293392897</v>
      </c>
      <c r="U227" s="28">
        <f t="shared" si="21"/>
        <v>-0.15902883156297423</v>
      </c>
    </row>
    <row r="228" spans="2:21" x14ac:dyDescent="0.25">
      <c r="B228" s="9"/>
      <c r="C228" s="17">
        <v>1472.46</v>
      </c>
      <c r="D228" s="18">
        <v>44.365000000000002</v>
      </c>
      <c r="E228" s="18">
        <v>48.844999999999999</v>
      </c>
      <c r="F228" s="18">
        <v>50.161999999999999</v>
      </c>
      <c r="G228" s="18">
        <v>273.74</v>
      </c>
      <c r="H228" s="18">
        <f t="shared" si="19"/>
        <v>45.649624999999993</v>
      </c>
      <c r="I228" s="5"/>
      <c r="J228" s="17">
        <v>1004.3936</v>
      </c>
      <c r="K228" s="18">
        <v>45.322699999999998</v>
      </c>
      <c r="L228" s="18">
        <v>50.857300000000002</v>
      </c>
      <c r="M228" s="18">
        <v>52.247300000000003</v>
      </c>
      <c r="N228" s="18">
        <v>270.6891</v>
      </c>
      <c r="O228" s="18">
        <f t="shared" si="20"/>
        <v>46.880099999999999</v>
      </c>
      <c r="P228" s="7"/>
      <c r="Q228" s="10"/>
      <c r="R228" s="11"/>
      <c r="S228" s="11"/>
      <c r="T228" s="26"/>
      <c r="U228" s="28">
        <f t="shared" si="21"/>
        <v>-1.1145247314970456E-2</v>
      </c>
    </row>
    <row r="229" spans="2:21" x14ac:dyDescent="0.25">
      <c r="B229" s="9"/>
      <c r="C229" s="17">
        <v>893.38</v>
      </c>
      <c r="D229" s="18">
        <v>42.146000000000001</v>
      </c>
      <c r="E229" s="18">
        <v>46.63</v>
      </c>
      <c r="F229" s="18">
        <v>48.048000000000002</v>
      </c>
      <c r="G229" s="18">
        <v>295.69</v>
      </c>
      <c r="H229" s="18">
        <f t="shared" si="19"/>
        <v>43.444250000000004</v>
      </c>
      <c r="I229" s="5"/>
      <c r="J229" s="17">
        <v>602.89639999999997</v>
      </c>
      <c r="K229" s="18">
        <v>42.857500000000002</v>
      </c>
      <c r="L229" s="18">
        <v>48.634399999999999</v>
      </c>
      <c r="M229" s="18">
        <v>49.965800000000002</v>
      </c>
      <c r="N229" s="18">
        <v>303.42380000000003</v>
      </c>
      <c r="O229" s="18">
        <f t="shared" si="20"/>
        <v>44.468150000000001</v>
      </c>
      <c r="P229" s="7"/>
      <c r="Q229" s="10"/>
      <c r="R229" s="11"/>
      <c r="S229" s="11"/>
      <c r="T229" s="26"/>
      <c r="U229" s="28">
        <f t="shared" si="21"/>
        <v>2.6155094862863236E-2</v>
      </c>
    </row>
    <row r="230" spans="2:21" ht="16.5" thickBot="1" x14ac:dyDescent="0.3">
      <c r="B230" s="12"/>
      <c r="C230" s="19">
        <v>427.08</v>
      </c>
      <c r="D230" s="20">
        <v>39.695999999999998</v>
      </c>
      <c r="E230" s="20">
        <v>43.890999999999998</v>
      </c>
      <c r="F230" s="20">
        <v>45.305</v>
      </c>
      <c r="G230" s="20">
        <v>304.04000000000002</v>
      </c>
      <c r="H230" s="20">
        <f t="shared" si="19"/>
        <v>40.921500000000002</v>
      </c>
      <c r="I230" s="5"/>
      <c r="J230" s="19">
        <v>301.06790000000001</v>
      </c>
      <c r="K230" s="20">
        <v>39.639400000000002</v>
      </c>
      <c r="L230" s="20">
        <v>45.548999999999999</v>
      </c>
      <c r="M230" s="20">
        <v>47.014899999999997</v>
      </c>
      <c r="N230" s="20">
        <v>373.23649999999998</v>
      </c>
      <c r="O230" s="20">
        <f t="shared" si="20"/>
        <v>41.300037500000002</v>
      </c>
      <c r="P230" s="7"/>
      <c r="Q230" s="13"/>
      <c r="R230" s="14"/>
      <c r="S230" s="14"/>
      <c r="T230" s="27"/>
      <c r="U230" s="28">
        <f t="shared" si="21"/>
        <v>0.22759011972108917</v>
      </c>
    </row>
    <row r="231" spans="2:21" x14ac:dyDescent="0.25">
      <c r="B231" s="6" t="s">
        <v>110</v>
      </c>
      <c r="C231" s="15">
        <v>2050.42</v>
      </c>
      <c r="D231" s="16">
        <v>31.425999999999998</v>
      </c>
      <c r="E231" s="16">
        <v>39.802</v>
      </c>
      <c r="F231" s="16">
        <v>39.171999999999997</v>
      </c>
      <c r="G231" s="16">
        <v>191.63</v>
      </c>
      <c r="H231" s="16">
        <f t="shared" si="19"/>
        <v>33.441249999999997</v>
      </c>
      <c r="I231" s="5"/>
      <c r="J231" s="15">
        <v>1496.5741</v>
      </c>
      <c r="K231" s="16">
        <v>31.958500000000001</v>
      </c>
      <c r="L231" s="16">
        <v>40.1616</v>
      </c>
      <c r="M231" s="16">
        <v>39.549300000000002</v>
      </c>
      <c r="N231" s="16">
        <v>143.96539999999999</v>
      </c>
      <c r="O231" s="16">
        <f t="shared" si="20"/>
        <v>33.932737500000002</v>
      </c>
      <c r="P231" s="7"/>
      <c r="Q231" s="8">
        <f>bdrate(C231:C234,D231:D234,J231:J234,K231:K234)</f>
        <v>-0.44463053777489292</v>
      </c>
      <c r="R231" s="8">
        <f>bdrate(C231:C234,E231:E234,J231:J234,L231:L234)</f>
        <v>-0.36324199661008605</v>
      </c>
      <c r="S231" s="8">
        <f>bdrate(C231:C234,F231:F234,J231:J234,M231:M234)</f>
        <v>-0.35181723207619231</v>
      </c>
      <c r="T231" s="25">
        <f>bdrate(C231:C234,H231:H234,J231:J234,O231:O234)</f>
        <v>-0.43364519087723241</v>
      </c>
      <c r="U231" s="28">
        <f t="shared" si="21"/>
        <v>-0.24873245316495335</v>
      </c>
    </row>
    <row r="232" spans="2:21" x14ac:dyDescent="0.25">
      <c r="B232" s="9"/>
      <c r="C232" s="17">
        <v>1364.83</v>
      </c>
      <c r="D232" s="18">
        <v>29.248000000000001</v>
      </c>
      <c r="E232" s="18">
        <v>38.781999999999996</v>
      </c>
      <c r="F232" s="18">
        <v>38.167000000000002</v>
      </c>
      <c r="G232" s="18">
        <v>214.06</v>
      </c>
      <c r="H232" s="18">
        <f t="shared" si="19"/>
        <v>31.554624999999998</v>
      </c>
      <c r="I232" s="5"/>
      <c r="J232" s="17">
        <v>995.93560000000002</v>
      </c>
      <c r="K232" s="18">
        <v>30.170400000000001</v>
      </c>
      <c r="L232" s="18">
        <v>39.197899999999997</v>
      </c>
      <c r="M232" s="18">
        <v>38.527200000000001</v>
      </c>
      <c r="N232" s="18">
        <v>191.34690000000001</v>
      </c>
      <c r="O232" s="18">
        <f t="shared" si="20"/>
        <v>32.3434375</v>
      </c>
      <c r="P232" s="7"/>
      <c r="Q232" s="10"/>
      <c r="R232" s="11"/>
      <c r="S232" s="11"/>
      <c r="T232" s="26"/>
      <c r="U232" s="28">
        <f t="shared" si="21"/>
        <v>-0.1061062318975988</v>
      </c>
    </row>
    <row r="233" spans="2:21" x14ac:dyDescent="0.25">
      <c r="B233" s="9"/>
      <c r="C233" s="17">
        <v>829.82</v>
      </c>
      <c r="D233" s="18">
        <v>26.417000000000002</v>
      </c>
      <c r="E233" s="18">
        <v>37.610999999999997</v>
      </c>
      <c r="F233" s="18">
        <v>36.99</v>
      </c>
      <c r="G233" s="18">
        <v>224.38</v>
      </c>
      <c r="H233" s="18">
        <f t="shared" si="19"/>
        <v>29.137875000000001</v>
      </c>
      <c r="I233" s="5"/>
      <c r="J233" s="17">
        <v>598.60530000000006</v>
      </c>
      <c r="K233" s="18">
        <v>27.9405</v>
      </c>
      <c r="L233" s="18">
        <v>37.852600000000002</v>
      </c>
      <c r="M233" s="18">
        <v>37.162500000000001</v>
      </c>
      <c r="N233" s="18">
        <v>231.51130000000001</v>
      </c>
      <c r="O233" s="18">
        <f t="shared" si="20"/>
        <v>30.332262499999999</v>
      </c>
      <c r="P233" s="7"/>
      <c r="Q233" s="10"/>
      <c r="R233" s="11"/>
      <c r="S233" s="11"/>
      <c r="T233" s="26"/>
      <c r="U233" s="28">
        <f t="shared" si="21"/>
        <v>3.178224440680992E-2</v>
      </c>
    </row>
    <row r="234" spans="2:21" ht="16.5" thickBot="1" x14ac:dyDescent="0.3">
      <c r="B234" s="12"/>
      <c r="C234" s="19">
        <v>386.92</v>
      </c>
      <c r="D234" s="20">
        <v>21.957000000000001</v>
      </c>
      <c r="E234" s="20">
        <v>33.554000000000002</v>
      </c>
      <c r="F234" s="20">
        <v>33.070999999999998</v>
      </c>
      <c r="G234" s="20">
        <v>228.43</v>
      </c>
      <c r="H234" s="20">
        <f t="shared" si="19"/>
        <v>24.795875000000002</v>
      </c>
      <c r="I234" s="5"/>
      <c r="J234" s="19">
        <v>299.73430000000002</v>
      </c>
      <c r="K234" s="20">
        <v>25.111499999999999</v>
      </c>
      <c r="L234" s="20">
        <v>35.488599999999998</v>
      </c>
      <c r="M234" s="20">
        <v>34.903100000000002</v>
      </c>
      <c r="N234" s="20">
        <v>298.904</v>
      </c>
      <c r="O234" s="20">
        <f t="shared" si="20"/>
        <v>27.632587499999996</v>
      </c>
      <c r="P234" s="7"/>
      <c r="Q234" s="13"/>
      <c r="R234" s="14"/>
      <c r="S234" s="14"/>
      <c r="T234" s="27"/>
      <c r="U234" s="28">
        <f t="shared" si="21"/>
        <v>0.30851464343562574</v>
      </c>
    </row>
    <row r="235" spans="2:21" x14ac:dyDescent="0.25">
      <c r="B235" s="6" t="s">
        <v>111</v>
      </c>
      <c r="C235" s="15">
        <v>2358.6999999999998</v>
      </c>
      <c r="D235" s="16">
        <v>46.08</v>
      </c>
      <c r="E235" s="16">
        <v>46.557000000000002</v>
      </c>
      <c r="F235" s="16">
        <v>46.273000000000003</v>
      </c>
      <c r="G235" s="16">
        <v>236.9</v>
      </c>
      <c r="H235" s="16">
        <f t="shared" si="19"/>
        <v>46.163750000000007</v>
      </c>
      <c r="I235" s="5"/>
      <c r="J235" s="15">
        <v>1424.9836</v>
      </c>
      <c r="K235" s="16">
        <v>44.755000000000003</v>
      </c>
      <c r="L235" s="16">
        <v>45.949800000000003</v>
      </c>
      <c r="M235" s="16">
        <v>45.8232</v>
      </c>
      <c r="N235" s="16">
        <v>181.39680000000001</v>
      </c>
      <c r="O235" s="16">
        <f t="shared" si="20"/>
        <v>45.037875</v>
      </c>
      <c r="P235" s="7"/>
      <c r="Q235" s="8">
        <f>bdrate(C235:C238,D235:D238,J235:J238,K235:K238)</f>
        <v>-0.2977288637720138</v>
      </c>
      <c r="R235" s="8">
        <f>bdrate(C235:C238,E235:E238,J235:J238,L235:L238)</f>
        <v>-0.33653712511415745</v>
      </c>
      <c r="S235" s="8">
        <f>bdrate(C235:C238,F235:F238,J235:J238,M235:M238)</f>
        <v>-0.36779083812808633</v>
      </c>
      <c r="T235" s="25">
        <f>bdrate(C235:C238,H235:H238,J235:J238,O235:O238)</f>
        <v>-0.30929353265635906</v>
      </c>
      <c r="U235" s="28">
        <f t="shared" si="21"/>
        <v>-0.23428957365977202</v>
      </c>
    </row>
    <row r="236" spans="2:21" x14ac:dyDescent="0.25">
      <c r="B236" s="9"/>
      <c r="C236" s="17">
        <v>1567.25</v>
      </c>
      <c r="D236" s="18">
        <v>43.786999999999999</v>
      </c>
      <c r="E236" s="18">
        <v>44.552</v>
      </c>
      <c r="F236" s="18">
        <v>44.225000000000001</v>
      </c>
      <c r="G236" s="18">
        <v>270.14999999999998</v>
      </c>
      <c r="H236" s="18">
        <f t="shared" si="19"/>
        <v>43.937375000000003</v>
      </c>
      <c r="I236" s="5"/>
      <c r="J236" s="17">
        <v>969.9452</v>
      </c>
      <c r="K236" s="18">
        <v>42.88</v>
      </c>
      <c r="L236" s="18">
        <v>44.3142</v>
      </c>
      <c r="M236" s="18">
        <v>44.158000000000001</v>
      </c>
      <c r="N236" s="18">
        <v>234.89490000000001</v>
      </c>
      <c r="O236" s="18">
        <f t="shared" si="20"/>
        <v>43.219025000000002</v>
      </c>
      <c r="P236" s="7"/>
      <c r="Q236" s="10"/>
      <c r="R236" s="11"/>
      <c r="S236" s="11"/>
      <c r="T236" s="26"/>
      <c r="U236" s="28">
        <f t="shared" si="21"/>
        <v>-0.13050194336479723</v>
      </c>
    </row>
    <row r="237" spans="2:21" x14ac:dyDescent="0.25">
      <c r="B237" s="9"/>
      <c r="C237" s="17">
        <v>947.23</v>
      </c>
      <c r="D237" s="18">
        <v>40.671999999999997</v>
      </c>
      <c r="E237" s="18">
        <v>42.073999999999998</v>
      </c>
      <c r="F237" s="18">
        <v>41.668999999999997</v>
      </c>
      <c r="G237" s="18">
        <v>282.70999999999998</v>
      </c>
      <c r="H237" s="18">
        <f t="shared" si="19"/>
        <v>40.971874999999997</v>
      </c>
      <c r="I237" s="5"/>
      <c r="J237" s="17">
        <v>588.04480000000001</v>
      </c>
      <c r="K237" s="18">
        <v>39.776299999999999</v>
      </c>
      <c r="L237" s="18">
        <v>41.6907</v>
      </c>
      <c r="M237" s="18">
        <v>41.595999999999997</v>
      </c>
      <c r="N237" s="18">
        <v>296.58920000000001</v>
      </c>
      <c r="O237" s="18">
        <f t="shared" si="20"/>
        <v>40.243062500000001</v>
      </c>
      <c r="P237" s="7"/>
      <c r="Q237" s="10"/>
      <c r="R237" s="11"/>
      <c r="S237" s="11"/>
      <c r="T237" s="26"/>
      <c r="U237" s="28">
        <f t="shared" si="21"/>
        <v>4.909341728272798E-2</v>
      </c>
    </row>
    <row r="238" spans="2:21" ht="16.5" thickBot="1" x14ac:dyDescent="0.3">
      <c r="B238" s="12"/>
      <c r="C238" s="19">
        <v>438.68</v>
      </c>
      <c r="D238" s="20">
        <v>34.926000000000002</v>
      </c>
      <c r="E238" s="20">
        <v>38.229999999999997</v>
      </c>
      <c r="F238" s="20">
        <v>37.826999999999998</v>
      </c>
      <c r="G238" s="20">
        <v>299.7</v>
      </c>
      <c r="H238" s="20">
        <f t="shared" si="19"/>
        <v>35.701625</v>
      </c>
      <c r="I238" s="5"/>
      <c r="J238" s="19">
        <v>296.30599999999998</v>
      </c>
      <c r="K238" s="20">
        <v>35.380499999999998</v>
      </c>
      <c r="L238" s="20">
        <v>38.363999999999997</v>
      </c>
      <c r="M238" s="20">
        <v>38.132100000000001</v>
      </c>
      <c r="N238" s="20">
        <v>349.51459999999997</v>
      </c>
      <c r="O238" s="20">
        <f t="shared" si="20"/>
        <v>36.097387499999996</v>
      </c>
      <c r="P238" s="7"/>
      <c r="Q238" s="13"/>
      <c r="R238" s="14"/>
      <c r="S238" s="14"/>
      <c r="T238" s="27"/>
      <c r="U238" s="28">
        <f t="shared" si="21"/>
        <v>0.16621488154821484</v>
      </c>
    </row>
    <row r="239" spans="2:21" x14ac:dyDescent="0.25">
      <c r="B239" s="6" t="s">
        <v>112</v>
      </c>
      <c r="C239" s="15">
        <v>2848.82</v>
      </c>
      <c r="D239" s="16">
        <v>47.22</v>
      </c>
      <c r="E239" s="16">
        <v>48.61</v>
      </c>
      <c r="F239" s="16">
        <v>48.832000000000001</v>
      </c>
      <c r="G239" s="16">
        <v>232.17</v>
      </c>
      <c r="H239" s="16">
        <f t="shared" si="19"/>
        <v>47.59525</v>
      </c>
      <c r="I239" s="5"/>
      <c r="J239" s="15">
        <v>1409.6070999999999</v>
      </c>
      <c r="K239" s="16">
        <v>45.410299999999999</v>
      </c>
      <c r="L239" s="16">
        <v>47.652900000000002</v>
      </c>
      <c r="M239" s="16">
        <v>47.911099999999998</v>
      </c>
      <c r="N239" s="16">
        <v>190.09399999999999</v>
      </c>
      <c r="O239" s="16">
        <f t="shared" si="20"/>
        <v>46.003224999999993</v>
      </c>
      <c r="P239" s="7"/>
      <c r="Q239" s="8">
        <f>bdrate(C239:C242,D239:D242,J239:J242,K239:K242)</f>
        <v>-0.37346990429096771</v>
      </c>
      <c r="R239" s="8">
        <f>bdrate(C239:C242,E239:E242,J239:J242,L239:L242)</f>
        <v>-0.42285157733806256</v>
      </c>
      <c r="S239" s="8">
        <f>bdrate(C239:C242,F239:F242,J239:J242,M239:M242)</f>
        <v>-0.42516516606531962</v>
      </c>
      <c r="T239" s="25">
        <f>bdrate(C239:C242,H239:H242,J239:J242,O239:O242)</f>
        <v>-0.38478916131856455</v>
      </c>
      <c r="U239" s="28">
        <f t="shared" si="21"/>
        <v>-0.18122927165439115</v>
      </c>
    </row>
    <row r="240" spans="2:21" x14ac:dyDescent="0.25">
      <c r="B240" s="9"/>
      <c r="C240" s="17">
        <v>1885.73</v>
      </c>
      <c r="D240" s="18">
        <v>44.545000000000002</v>
      </c>
      <c r="E240" s="18">
        <v>46.3</v>
      </c>
      <c r="F240" s="18">
        <v>46.530999999999999</v>
      </c>
      <c r="G240" s="18">
        <v>286.26</v>
      </c>
      <c r="H240" s="18">
        <f t="shared" si="19"/>
        <v>45.012625</v>
      </c>
      <c r="I240" s="5"/>
      <c r="J240" s="17">
        <v>976.98249999999996</v>
      </c>
      <c r="K240" s="18">
        <v>43.904000000000003</v>
      </c>
      <c r="L240" s="18">
        <v>46.387300000000003</v>
      </c>
      <c r="M240" s="18">
        <v>46.630899999999997</v>
      </c>
      <c r="N240" s="18">
        <v>235.41720000000001</v>
      </c>
      <c r="O240" s="18">
        <f t="shared" si="20"/>
        <v>44.555275000000002</v>
      </c>
      <c r="P240" s="7"/>
      <c r="Q240" s="10"/>
      <c r="R240" s="11"/>
      <c r="S240" s="11"/>
      <c r="T240" s="26"/>
      <c r="U240" s="28">
        <f t="shared" si="21"/>
        <v>-0.17761056382309784</v>
      </c>
    </row>
    <row r="241" spans="2:21" x14ac:dyDescent="0.25">
      <c r="B241" s="9"/>
      <c r="C241" s="17">
        <v>1126.43</v>
      </c>
      <c r="D241" s="18">
        <v>41.738999999999997</v>
      </c>
      <c r="E241" s="18">
        <v>43.99</v>
      </c>
      <c r="F241" s="18">
        <v>44.210999999999999</v>
      </c>
      <c r="G241" s="18">
        <v>307.69</v>
      </c>
      <c r="H241" s="18">
        <f t="shared" si="19"/>
        <v>42.329374999999999</v>
      </c>
      <c r="I241" s="5"/>
      <c r="J241" s="17">
        <v>636.57249999999999</v>
      </c>
      <c r="K241" s="18">
        <v>41.119900000000001</v>
      </c>
      <c r="L241" s="18">
        <v>43.879199999999997</v>
      </c>
      <c r="M241" s="18">
        <v>44.122799999999998</v>
      </c>
      <c r="N241" s="18">
        <v>262.04689999999999</v>
      </c>
      <c r="O241" s="18">
        <f t="shared" si="20"/>
        <v>41.840175000000002</v>
      </c>
      <c r="P241" s="7"/>
      <c r="Q241" s="10"/>
      <c r="R241" s="11"/>
      <c r="S241" s="11"/>
      <c r="T241" s="26"/>
      <c r="U241" s="28">
        <f t="shared" si="21"/>
        <v>-0.14834118755890671</v>
      </c>
    </row>
    <row r="242" spans="2:21" ht="16.5" thickBot="1" x14ac:dyDescent="0.3">
      <c r="B242" s="12"/>
      <c r="C242" s="19">
        <v>526.66999999999996</v>
      </c>
      <c r="D242" s="20">
        <v>37.195999999999998</v>
      </c>
      <c r="E242" s="20">
        <v>40.415999999999997</v>
      </c>
      <c r="F242" s="20">
        <v>40.658000000000001</v>
      </c>
      <c r="G242" s="20">
        <v>332.47</v>
      </c>
      <c r="H242" s="20">
        <f t="shared" si="19"/>
        <v>38.03125</v>
      </c>
      <c r="I242" s="5"/>
      <c r="J242" s="19">
        <v>337.39609999999999</v>
      </c>
      <c r="K242" s="20">
        <v>36.837299999999999</v>
      </c>
      <c r="L242" s="20">
        <v>40.1068</v>
      </c>
      <c r="M242" s="20">
        <v>40.364699999999999</v>
      </c>
      <c r="N242" s="20">
        <v>354.81959999999998</v>
      </c>
      <c r="O242" s="20">
        <f t="shared" si="20"/>
        <v>37.686912500000005</v>
      </c>
      <c r="P242" s="7"/>
      <c r="Q242" s="13"/>
      <c r="R242" s="14"/>
      <c r="S242" s="14"/>
      <c r="T242" s="27"/>
      <c r="U242" s="28">
        <f t="shared" si="21"/>
        <v>6.722290732998451E-2</v>
      </c>
    </row>
    <row r="243" spans="2:21" x14ac:dyDescent="0.25">
      <c r="B243" s="6" t="s">
        <v>113</v>
      </c>
      <c r="C243" s="29">
        <v>2133.06</v>
      </c>
      <c r="D243" s="30">
        <v>32.802</v>
      </c>
      <c r="E243" s="30">
        <v>36.438000000000002</v>
      </c>
      <c r="F243" s="30">
        <v>35.436999999999998</v>
      </c>
      <c r="G243" s="16">
        <v>222.77</v>
      </c>
      <c r="H243" s="16">
        <f t="shared" si="19"/>
        <v>33.585875000000001</v>
      </c>
      <c r="I243" s="5"/>
      <c r="J243" s="29">
        <v>1509.6984</v>
      </c>
      <c r="K243" s="30">
        <v>32.324100000000001</v>
      </c>
      <c r="L243" s="30">
        <v>36.518799999999999</v>
      </c>
      <c r="M243" s="30">
        <v>35.423999999999999</v>
      </c>
      <c r="N243" s="16">
        <v>177.67250000000001</v>
      </c>
      <c r="O243" s="16">
        <f t="shared" si="20"/>
        <v>33.235925000000002</v>
      </c>
      <c r="P243" s="7"/>
      <c r="Q243" s="8">
        <f>bdrate(C243:C246,D243:D246,J243:J246,K243:K246)</f>
        <v>-0.33808409232915537</v>
      </c>
      <c r="R243" s="8">
        <f>bdrate(C243:C246,E243:E246,J243:J246,L243:L246)</f>
        <v>-0.30881564537955186</v>
      </c>
      <c r="S243" s="8">
        <f>bdrate(C243:C246,F243:F246,J243:J246,M243:M246)</f>
        <v>-0.26344574022998624</v>
      </c>
      <c r="T243" s="25">
        <f>bdrate(C243:C246,H243:H246,J243:J246,O243:O246)</f>
        <v>-0.33242945357961173</v>
      </c>
      <c r="U243" s="28">
        <f t="shared" si="21"/>
        <v>-0.20243973605063517</v>
      </c>
    </row>
    <row r="244" spans="2:21" x14ac:dyDescent="0.25">
      <c r="B244" s="9"/>
      <c r="C244" s="31">
        <v>1411.83</v>
      </c>
      <c r="D244" s="32">
        <v>30.553000000000001</v>
      </c>
      <c r="E244" s="32">
        <v>35.338999999999999</v>
      </c>
      <c r="F244" s="32">
        <v>34.299999999999997</v>
      </c>
      <c r="G244" s="18">
        <v>246</v>
      </c>
      <c r="H244" s="18">
        <f t="shared" si="19"/>
        <v>31.619624999999999</v>
      </c>
      <c r="I244" s="5"/>
      <c r="J244" s="31">
        <v>1003.8434999999999</v>
      </c>
      <c r="K244" s="32">
        <v>30.461500000000001</v>
      </c>
      <c r="L244" s="32">
        <v>35.502400000000002</v>
      </c>
      <c r="M244" s="32">
        <v>34.3416</v>
      </c>
      <c r="N244" s="18">
        <v>216.78909999999999</v>
      </c>
      <c r="O244" s="18">
        <f t="shared" si="20"/>
        <v>31.576625</v>
      </c>
      <c r="P244" s="7"/>
      <c r="Q244" s="10"/>
      <c r="R244" s="11"/>
      <c r="S244" s="11"/>
      <c r="T244" s="26"/>
      <c r="U244" s="28">
        <f t="shared" si="21"/>
        <v>-0.11874349593495939</v>
      </c>
    </row>
    <row r="245" spans="2:21" x14ac:dyDescent="0.25">
      <c r="B245" s="9"/>
      <c r="C245" s="31">
        <v>848.08</v>
      </c>
      <c r="D245" s="32">
        <v>27.748000000000001</v>
      </c>
      <c r="E245" s="32">
        <v>34.262999999999998</v>
      </c>
      <c r="F245" s="32">
        <v>33.19</v>
      </c>
      <c r="G245" s="18">
        <v>259.22000000000003</v>
      </c>
      <c r="H245" s="18">
        <f t="shared" si="19"/>
        <v>29.242625</v>
      </c>
      <c r="I245" s="5"/>
      <c r="J245" s="31">
        <v>602.66679999999997</v>
      </c>
      <c r="K245" s="32">
        <v>28.2438</v>
      </c>
      <c r="L245" s="32">
        <v>34.228700000000003</v>
      </c>
      <c r="M245" s="32">
        <v>32.9621</v>
      </c>
      <c r="N245" s="18">
        <v>260.45429999999999</v>
      </c>
      <c r="O245" s="18">
        <f t="shared" si="20"/>
        <v>29.581700000000001</v>
      </c>
      <c r="P245" s="7"/>
      <c r="Q245" s="10"/>
      <c r="R245" s="11"/>
      <c r="S245" s="11"/>
      <c r="T245" s="26"/>
      <c r="U245" s="28">
        <f t="shared" si="21"/>
        <v>4.7615924697166955E-3</v>
      </c>
    </row>
    <row r="246" spans="2:21" ht="16.5" thickBot="1" x14ac:dyDescent="0.3">
      <c r="B246" s="12"/>
      <c r="C246" s="33">
        <v>382.09</v>
      </c>
      <c r="D246" s="34">
        <v>23.204999999999998</v>
      </c>
      <c r="E246" s="34">
        <v>31.617000000000001</v>
      </c>
      <c r="F246" s="34">
        <v>30.463000000000001</v>
      </c>
      <c r="G246" s="20">
        <v>267.58</v>
      </c>
      <c r="H246" s="20">
        <f t="shared" si="19"/>
        <v>25.163749999999997</v>
      </c>
      <c r="I246" s="5"/>
      <c r="J246" s="33">
        <v>303.15640000000002</v>
      </c>
      <c r="K246" s="34">
        <v>25.689</v>
      </c>
      <c r="L246" s="34">
        <v>32.390900000000002</v>
      </c>
      <c r="M246" s="34">
        <v>30.997399999999999</v>
      </c>
      <c r="N246" s="20">
        <v>317.79660000000001</v>
      </c>
      <c r="O246" s="20">
        <f t="shared" si="20"/>
        <v>27.1902875</v>
      </c>
      <c r="P246" s="7"/>
      <c r="Q246" s="13"/>
      <c r="R246" s="14"/>
      <c r="S246" s="14"/>
      <c r="T246" s="27"/>
      <c r="U246" s="28">
        <f t="shared" si="21"/>
        <v>0.18766948202406769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-0.43219582167251419</v>
      </c>
      <c r="R247" s="21">
        <f>AVERAGE(R131:R246)</f>
        <v>-0.50924508357828491</v>
      </c>
      <c r="S247" s="21">
        <f>AVERAGE(S131:S246)</f>
        <v>-0.50643579989963772</v>
      </c>
      <c r="T247" s="21">
        <f>AVERAGE(T131:T246)</f>
        <v>-0.44776160991918251</v>
      </c>
      <c r="U247" s="21">
        <f>AVERAGE(U131:U246)</f>
        <v>-1.2820657360526405E-2</v>
      </c>
    </row>
  </sheetData>
  <mergeCells count="12">
    <mergeCell ref="B127:B128"/>
    <mergeCell ref="C129:H129"/>
    <mergeCell ref="J129:O129"/>
    <mergeCell ref="Q129:S129"/>
    <mergeCell ref="U7:U8"/>
    <mergeCell ref="U129:U130"/>
    <mergeCell ref="C127:U128"/>
    <mergeCell ref="B5:B6"/>
    <mergeCell ref="C7:H7"/>
    <mergeCell ref="J7:O7"/>
    <mergeCell ref="Q7:S7"/>
    <mergeCell ref="C5:U6"/>
  </mergeCells>
  <phoneticPr fontId="5" type="noConversion"/>
  <conditionalFormatting sqref="Q29:T32 Q37:T44 Q9:T20">
    <cfRule type="cellIs" dxfId="411" priority="473" operator="greaterThan">
      <formula>0.03</formula>
    </cfRule>
    <cfRule type="cellIs" dxfId="410" priority="474" stopIfTrue="1" operator="lessThan">
      <formula>-0.03</formula>
    </cfRule>
  </conditionalFormatting>
  <conditionalFormatting sqref="Q33:T36">
    <cfRule type="cellIs" dxfId="409" priority="471" operator="greaterThan">
      <formula>0.03</formula>
    </cfRule>
    <cfRule type="cellIs" dxfId="408" priority="472" stopIfTrue="1" operator="lessThan">
      <formula>-0.03</formula>
    </cfRule>
  </conditionalFormatting>
  <conditionalFormatting sqref="Q46:T48 Q62:T64">
    <cfRule type="cellIs" dxfId="407" priority="469" operator="greaterThan">
      <formula>0.03</formula>
    </cfRule>
    <cfRule type="cellIs" dxfId="406" priority="470" stopIfTrue="1" operator="lessThan">
      <formula>-0.03</formula>
    </cfRule>
  </conditionalFormatting>
  <conditionalFormatting sqref="Q50:T52 Q54:T56 Q58:T60">
    <cfRule type="cellIs" dxfId="405" priority="467" operator="greaterThan">
      <formula>0.03</formula>
    </cfRule>
    <cfRule type="cellIs" dxfId="404" priority="468" stopIfTrue="1" operator="lessThan">
      <formula>-0.03</formula>
    </cfRule>
  </conditionalFormatting>
  <conditionalFormatting sqref="Q70:T72 Q74:T76">
    <cfRule type="cellIs" dxfId="403" priority="465" operator="greaterThan">
      <formula>0.03</formula>
    </cfRule>
    <cfRule type="cellIs" dxfId="402" priority="466" stopIfTrue="1" operator="lessThan">
      <formula>-0.03</formula>
    </cfRule>
  </conditionalFormatting>
  <conditionalFormatting sqref="Q66:T68">
    <cfRule type="cellIs" dxfId="401" priority="463" operator="greaterThan">
      <formula>0.03</formula>
    </cfRule>
    <cfRule type="cellIs" dxfId="400" priority="464" stopIfTrue="1" operator="lessThan">
      <formula>-0.03</formula>
    </cfRule>
  </conditionalFormatting>
  <conditionalFormatting sqref="Q78:T80">
    <cfRule type="cellIs" dxfId="399" priority="461" operator="greaterThan">
      <formula>0.03</formula>
    </cfRule>
    <cfRule type="cellIs" dxfId="398" priority="462" stopIfTrue="1" operator="lessThan">
      <formula>-0.03</formula>
    </cfRule>
  </conditionalFormatting>
  <conditionalFormatting sqref="Q21:T28">
    <cfRule type="cellIs" dxfId="397" priority="437" operator="greaterThan">
      <formula>0.03</formula>
    </cfRule>
    <cfRule type="cellIs" dxfId="396" priority="438" stopIfTrue="1" operator="lessThan">
      <formula>-0.03</formula>
    </cfRule>
  </conditionalFormatting>
  <conditionalFormatting sqref="Q151:T154 Q159:T166 Q131:T142">
    <cfRule type="cellIs" dxfId="395" priority="433" operator="greaterThan">
      <formula>0.03</formula>
    </cfRule>
    <cfRule type="cellIs" dxfId="394" priority="434" stopIfTrue="1" operator="lessThan">
      <formula>-0.03</formula>
    </cfRule>
  </conditionalFormatting>
  <conditionalFormatting sqref="Q155:T158">
    <cfRule type="cellIs" dxfId="393" priority="431" operator="greaterThan">
      <formula>0.03</formula>
    </cfRule>
    <cfRule type="cellIs" dxfId="392" priority="432" stopIfTrue="1" operator="lessThan">
      <formula>-0.03</formula>
    </cfRule>
  </conditionalFormatting>
  <conditionalFormatting sqref="Q167:T170 Q183:T186">
    <cfRule type="cellIs" dxfId="391" priority="429" operator="greaterThan">
      <formula>0.03</formula>
    </cfRule>
    <cfRule type="cellIs" dxfId="390" priority="430" stopIfTrue="1" operator="lessThan">
      <formula>-0.03</formula>
    </cfRule>
  </conditionalFormatting>
  <conditionalFormatting sqref="Q171:T182">
    <cfRule type="cellIs" dxfId="389" priority="427" operator="greaterThan">
      <formula>0.03</formula>
    </cfRule>
    <cfRule type="cellIs" dxfId="388" priority="428" stopIfTrue="1" operator="lessThan">
      <formula>-0.03</formula>
    </cfRule>
  </conditionalFormatting>
  <conditionalFormatting sqref="Q191:T198">
    <cfRule type="cellIs" dxfId="387" priority="425" operator="greaterThan">
      <formula>0.03</formula>
    </cfRule>
    <cfRule type="cellIs" dxfId="386" priority="426" stopIfTrue="1" operator="lessThan">
      <formula>-0.03</formula>
    </cfRule>
  </conditionalFormatting>
  <conditionalFormatting sqref="Q187:T190">
    <cfRule type="cellIs" dxfId="385" priority="423" operator="greaterThan">
      <formula>0.03</formula>
    </cfRule>
    <cfRule type="cellIs" dxfId="384" priority="424" stopIfTrue="1" operator="lessThan">
      <formula>-0.03</formula>
    </cfRule>
  </conditionalFormatting>
  <conditionalFormatting sqref="Q199:T202">
    <cfRule type="cellIs" dxfId="383" priority="421" operator="greaterThan">
      <formula>0.03</formula>
    </cfRule>
    <cfRule type="cellIs" dxfId="382" priority="422" stopIfTrue="1" operator="lessThan">
      <formula>-0.03</formula>
    </cfRule>
  </conditionalFormatting>
  <conditionalFormatting sqref="Q143:T150">
    <cfRule type="cellIs" dxfId="381" priority="417" operator="greaterThan">
      <formula>0.03</formula>
    </cfRule>
    <cfRule type="cellIs" dxfId="380" priority="418" stopIfTrue="1" operator="lessThan">
      <formula>-0.03</formula>
    </cfRule>
  </conditionalFormatting>
  <conditionalFormatting sqref="Q45:T45">
    <cfRule type="cellIs" dxfId="379" priority="415" operator="greaterThan">
      <formula>0.03</formula>
    </cfRule>
    <cfRule type="cellIs" dxfId="378" priority="416" stopIfTrue="1" operator="lessThan">
      <formula>-0.03</formula>
    </cfRule>
  </conditionalFormatting>
  <conditionalFormatting sqref="Q49:T49">
    <cfRule type="cellIs" dxfId="377" priority="413" operator="greaterThan">
      <formula>0.03</formula>
    </cfRule>
    <cfRule type="cellIs" dxfId="376" priority="414" stopIfTrue="1" operator="lessThan">
      <formula>-0.03</formula>
    </cfRule>
  </conditionalFormatting>
  <conditionalFormatting sqref="Q53:T53">
    <cfRule type="cellIs" dxfId="375" priority="411" operator="greaterThan">
      <formula>0.03</formula>
    </cfRule>
    <cfRule type="cellIs" dxfId="374" priority="412" stopIfTrue="1" operator="lessThan">
      <formula>-0.03</formula>
    </cfRule>
  </conditionalFormatting>
  <conditionalFormatting sqref="Q57:T57">
    <cfRule type="cellIs" dxfId="373" priority="409" operator="greaterThan">
      <formula>0.03</formula>
    </cfRule>
    <cfRule type="cellIs" dxfId="372" priority="410" stopIfTrue="1" operator="lessThan">
      <formula>-0.03</formula>
    </cfRule>
  </conditionalFormatting>
  <conditionalFormatting sqref="Q61:T61">
    <cfRule type="cellIs" dxfId="371" priority="407" operator="greaterThan">
      <formula>0.03</formula>
    </cfRule>
    <cfRule type="cellIs" dxfId="370" priority="408" stopIfTrue="1" operator="lessThan">
      <formula>-0.03</formula>
    </cfRule>
  </conditionalFormatting>
  <conditionalFormatting sqref="Q65:T65">
    <cfRule type="cellIs" dxfId="369" priority="405" operator="greaterThan">
      <formula>0.03</formula>
    </cfRule>
    <cfRule type="cellIs" dxfId="368" priority="406" stopIfTrue="1" operator="lessThan">
      <formula>-0.03</formula>
    </cfRule>
  </conditionalFormatting>
  <conditionalFormatting sqref="Q69:T69">
    <cfRule type="cellIs" dxfId="367" priority="403" operator="greaterThan">
      <formula>0.03</formula>
    </cfRule>
    <cfRule type="cellIs" dxfId="366" priority="404" stopIfTrue="1" operator="lessThan">
      <formula>-0.03</formula>
    </cfRule>
  </conditionalFormatting>
  <conditionalFormatting sqref="Q73:T73">
    <cfRule type="cellIs" dxfId="365" priority="401" operator="greaterThan">
      <formula>0.03</formula>
    </cfRule>
    <cfRule type="cellIs" dxfId="364" priority="402" stopIfTrue="1" operator="lessThan">
      <formula>-0.03</formula>
    </cfRule>
  </conditionalFormatting>
  <conditionalFormatting sqref="Q77:T77">
    <cfRule type="cellIs" dxfId="363" priority="399" operator="greaterThan">
      <formula>0.03</formula>
    </cfRule>
    <cfRule type="cellIs" dxfId="362" priority="400" stopIfTrue="1" operator="lessThan">
      <formula>-0.03</formula>
    </cfRule>
  </conditionalFormatting>
  <conditionalFormatting sqref="Q117:T117">
    <cfRule type="cellIs" dxfId="361" priority="99" operator="greaterThan">
      <formula>0.03</formula>
    </cfRule>
    <cfRule type="cellIs" dxfId="360" priority="100" stopIfTrue="1" operator="lessThan">
      <formula>-0.03</formula>
    </cfRule>
  </conditionalFormatting>
  <conditionalFormatting sqref="Q93:T96 Q101:T108 Q81:T84">
    <cfRule type="cellIs" dxfId="359" priority="113" operator="greaterThan">
      <formula>0.03</formula>
    </cfRule>
    <cfRule type="cellIs" dxfId="358" priority="114" stopIfTrue="1" operator="lessThan">
      <formula>-0.03</formula>
    </cfRule>
  </conditionalFormatting>
  <conditionalFormatting sqref="Q97:T100">
    <cfRule type="cellIs" dxfId="357" priority="111" operator="greaterThan">
      <formula>0.03</formula>
    </cfRule>
    <cfRule type="cellIs" dxfId="356" priority="112" stopIfTrue="1" operator="lessThan">
      <formula>-0.03</formula>
    </cfRule>
  </conditionalFormatting>
  <conditionalFormatting sqref="Q110:T112 Q122:T124">
    <cfRule type="cellIs" dxfId="355" priority="109" operator="greaterThan">
      <formula>0.03</formula>
    </cfRule>
    <cfRule type="cellIs" dxfId="354" priority="110" stopIfTrue="1" operator="lessThan">
      <formula>-0.03</formula>
    </cfRule>
  </conditionalFormatting>
  <conditionalFormatting sqref="Q114:T116 Q118:T120">
    <cfRule type="cellIs" dxfId="353" priority="107" operator="greaterThan">
      <formula>0.03</formula>
    </cfRule>
    <cfRule type="cellIs" dxfId="352" priority="108" stopIfTrue="1" operator="lessThan">
      <formula>-0.03</formula>
    </cfRule>
  </conditionalFormatting>
  <conditionalFormatting sqref="Q85:T92">
    <cfRule type="cellIs" dxfId="351" priority="105" operator="greaterThan">
      <formula>0.03</formula>
    </cfRule>
    <cfRule type="cellIs" dxfId="350" priority="106" stopIfTrue="1" operator="lessThan">
      <formula>-0.03</formula>
    </cfRule>
  </conditionalFormatting>
  <conditionalFormatting sqref="Q109:T109">
    <cfRule type="cellIs" dxfId="349" priority="103" operator="greaterThan">
      <formula>0.03</formula>
    </cfRule>
    <cfRule type="cellIs" dxfId="348" priority="104" stopIfTrue="1" operator="lessThan">
      <formula>-0.03</formula>
    </cfRule>
  </conditionalFormatting>
  <conditionalFormatting sqref="Q113:T113">
    <cfRule type="cellIs" dxfId="347" priority="101" operator="greaterThan">
      <formula>0.03</formula>
    </cfRule>
    <cfRule type="cellIs" dxfId="346" priority="102" stopIfTrue="1" operator="lessThan">
      <formula>-0.03</formula>
    </cfRule>
  </conditionalFormatting>
  <conditionalFormatting sqref="Q121:T121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239:T239">
    <cfRule type="cellIs" dxfId="343" priority="33" operator="greaterThan">
      <formula>0.03</formula>
    </cfRule>
    <cfRule type="cellIs" dxfId="342" priority="34" stopIfTrue="1" operator="lessThan">
      <formula>-0.03</formula>
    </cfRule>
  </conditionalFormatting>
  <conditionalFormatting sqref="Q215:T218 Q223:T230 Q203:T206">
    <cfRule type="cellIs" dxfId="341" priority="47" operator="greaterThan">
      <formula>0.03</formula>
    </cfRule>
    <cfRule type="cellIs" dxfId="340" priority="48" stopIfTrue="1" operator="lessThan">
      <formula>-0.03</formula>
    </cfRule>
  </conditionalFormatting>
  <conditionalFormatting sqref="Q219:T222">
    <cfRule type="cellIs" dxfId="339" priority="45" operator="greaterThan">
      <formula>0.03</formula>
    </cfRule>
    <cfRule type="cellIs" dxfId="338" priority="46" stopIfTrue="1" operator="lessThan">
      <formula>-0.03</formula>
    </cfRule>
  </conditionalFormatting>
  <conditionalFormatting sqref="Q232:T234 Q244:T246">
    <cfRule type="cellIs" dxfId="337" priority="43" operator="greaterThan">
      <formula>0.03</formula>
    </cfRule>
    <cfRule type="cellIs" dxfId="336" priority="44" stopIfTrue="1" operator="lessThan">
      <formula>-0.03</formula>
    </cfRule>
  </conditionalFormatting>
  <conditionalFormatting sqref="Q236:T238 Q240:T242">
    <cfRule type="cellIs" dxfId="335" priority="41" operator="greaterThan">
      <formula>0.03</formula>
    </cfRule>
    <cfRule type="cellIs" dxfId="334" priority="42" stopIfTrue="1" operator="lessThan">
      <formula>-0.03</formula>
    </cfRule>
  </conditionalFormatting>
  <conditionalFormatting sqref="Q207:T214">
    <cfRule type="cellIs" dxfId="333" priority="39" operator="greaterThan">
      <formula>0.03</formula>
    </cfRule>
    <cfRule type="cellIs" dxfId="332" priority="40" stopIfTrue="1" operator="lessThan">
      <formula>-0.03</formula>
    </cfRule>
  </conditionalFormatting>
  <conditionalFormatting sqref="Q231:T231">
    <cfRule type="cellIs" dxfId="331" priority="37" operator="greaterThan">
      <formula>0.03</formula>
    </cfRule>
    <cfRule type="cellIs" dxfId="330" priority="38" stopIfTrue="1" operator="lessThan">
      <formula>-0.03</formula>
    </cfRule>
  </conditionalFormatting>
  <conditionalFormatting sqref="Q235:T235">
    <cfRule type="cellIs" dxfId="329" priority="35" operator="greaterThan">
      <formula>0.03</formula>
    </cfRule>
    <cfRule type="cellIs" dxfId="328" priority="36" stopIfTrue="1" operator="lessThan">
      <formula>-0.03</formula>
    </cfRule>
  </conditionalFormatting>
  <conditionalFormatting sqref="Q243:T243">
    <cfRule type="cellIs" dxfId="327" priority="31" operator="greaterThan">
      <formula>0.03</formula>
    </cfRule>
    <cfRule type="cellIs" dxfId="326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100</v>
      </c>
    </row>
    <row r="2" spans="1:21" x14ac:dyDescent="0.25">
      <c r="A2" t="s">
        <v>86</v>
      </c>
    </row>
    <row r="3" spans="1:21" x14ac:dyDescent="0.25">
      <c r="A3" t="s">
        <v>90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67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3.92</v>
      </c>
      <c r="H9" s="16">
        <f t="shared" ref="H9:H80" si="0">(6*D9+E9+F9)/8</f>
        <v>38.874625000000002</v>
      </c>
      <c r="I9" s="5"/>
      <c r="J9" s="15">
        <v>3943.8719999999998</v>
      </c>
      <c r="K9" s="16">
        <v>38.464599999999997</v>
      </c>
      <c r="L9" s="16">
        <v>39.967199999999998</v>
      </c>
      <c r="M9" s="16">
        <v>42.634500000000003</v>
      </c>
      <c r="N9" s="16">
        <v>3.9487999999999999</v>
      </c>
      <c r="O9" s="16">
        <f t="shared" ref="O9:O80" si="1">(6*K9+L9+M9)/8</f>
        <v>39.173662499999999</v>
      </c>
      <c r="P9" s="7"/>
      <c r="Q9" s="8">
        <f>bdrate(C9:C12,D9:D12,J9:J12,K9:K12)</f>
        <v>-0.40160670921345898</v>
      </c>
      <c r="R9" s="8">
        <f>bdrate(C9:C12,E9:E12,J9:J12,L9:L12)</f>
        <v>-0.57664857097666</v>
      </c>
      <c r="S9" s="8">
        <f>bdrate(C9:C12,F9:F12,J9:J12,M9:M12)</f>
        <v>-0.55396780287131908</v>
      </c>
      <c r="T9" s="25">
        <f>bdrate(C9:C12,H9:H12,J9:J12,O9:O12)</f>
        <v>-0.42794782389351904</v>
      </c>
      <c r="U9" s="28">
        <f t="shared" ref="U9:U72" si="2">(N9-G9)/G9</f>
        <v>7.3469387755101881E-3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4.43</v>
      </c>
      <c r="H10" s="18">
        <f t="shared" si="0"/>
        <v>37.986375000000002</v>
      </c>
      <c r="I10" s="5"/>
      <c r="J10" s="17">
        <v>2896.3888000000002</v>
      </c>
      <c r="K10" s="18">
        <v>37.522399999999998</v>
      </c>
      <c r="L10" s="18">
        <v>39.486499999999999</v>
      </c>
      <c r="M10" s="18">
        <v>41.977499999999999</v>
      </c>
      <c r="N10" s="18">
        <v>4.6973000000000003</v>
      </c>
      <c r="O10" s="18">
        <f t="shared" si="1"/>
        <v>38.324799999999996</v>
      </c>
      <c r="P10" s="7"/>
      <c r="Q10" s="10"/>
      <c r="R10" s="11"/>
      <c r="S10" s="11"/>
      <c r="T10" s="26"/>
      <c r="U10" s="28">
        <f t="shared" si="2"/>
        <v>6.033860045146739E-2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5.15</v>
      </c>
      <c r="H11" s="18">
        <f t="shared" si="0"/>
        <v>36.584625000000003</v>
      </c>
      <c r="I11" s="5"/>
      <c r="J11" s="17">
        <v>1890.1648</v>
      </c>
      <c r="K11" s="18">
        <v>36.1539</v>
      </c>
      <c r="L11" s="18">
        <v>38.845799999999997</v>
      </c>
      <c r="M11" s="18">
        <v>41.2014</v>
      </c>
      <c r="N11" s="18">
        <v>5.7099000000000002</v>
      </c>
      <c r="O11" s="18">
        <f t="shared" si="1"/>
        <v>37.121324999999999</v>
      </c>
      <c r="P11" s="7"/>
      <c r="Q11" s="10"/>
      <c r="R11" s="11"/>
      <c r="S11" s="11"/>
      <c r="T11" s="26"/>
      <c r="U11" s="28">
        <f t="shared" si="2"/>
        <v>0.10871844660194172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6.37</v>
      </c>
      <c r="H12" s="20">
        <f t="shared" si="0"/>
        <v>33.816375000000001</v>
      </c>
      <c r="I12" s="5"/>
      <c r="J12" s="19">
        <v>940.51520000000005</v>
      </c>
      <c r="K12" s="20">
        <v>33.588200000000001</v>
      </c>
      <c r="L12" s="20">
        <v>37.5749</v>
      </c>
      <c r="M12" s="20">
        <v>39.747399999999999</v>
      </c>
      <c r="N12" s="20">
        <v>7.9138999999999999</v>
      </c>
      <c r="O12" s="20">
        <f t="shared" si="1"/>
        <v>34.856437499999998</v>
      </c>
      <c r="P12" s="7"/>
      <c r="Q12" s="13"/>
      <c r="R12" s="14"/>
      <c r="S12" s="14"/>
      <c r="T12" s="27"/>
      <c r="U12" s="28">
        <f t="shared" si="2"/>
        <v>0.24237048665620092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3</v>
      </c>
      <c r="H13" s="16">
        <f t="shared" si="0"/>
        <v>33.323125000000005</v>
      </c>
      <c r="I13" s="5"/>
      <c r="J13" s="15">
        <v>4111.1184000000003</v>
      </c>
      <c r="K13" s="16">
        <v>29.9497</v>
      </c>
      <c r="L13" s="16">
        <v>40.4801</v>
      </c>
      <c r="M13" s="16">
        <v>41.347499999999997</v>
      </c>
      <c r="N13" s="16">
        <v>2.4146999999999998</v>
      </c>
      <c r="O13" s="16">
        <f t="shared" si="1"/>
        <v>32.690725</v>
      </c>
      <c r="P13" s="7"/>
      <c r="Q13" s="8">
        <f>bdrate(C13:C16,D13:D16,J13:J16,K13:K16)</f>
        <v>-0.27997393674915239</v>
      </c>
      <c r="R13" s="8">
        <f>bdrate(C13:C16,E13:E16,J13:J16,L13:L16)</f>
        <v>-0.43987810464085053</v>
      </c>
      <c r="S13" s="8">
        <f>bdrate(C13:C16,F13:F16,J13:J16,M13:M16)</f>
        <v>-0.52601074557321403</v>
      </c>
      <c r="T13" s="25">
        <f>bdrate(C13:C16,H13:H16,J13:J16,O13:O16)</f>
        <v>-0.30775577416604483</v>
      </c>
      <c r="U13" s="28">
        <f t="shared" si="2"/>
        <v>-0.19510000000000005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3.34</v>
      </c>
      <c r="H14" s="18">
        <f t="shared" si="0"/>
        <v>32.019624999999998</v>
      </c>
      <c r="I14" s="5"/>
      <c r="J14" s="17">
        <v>3065.9520000000002</v>
      </c>
      <c r="K14" s="18">
        <v>28.633900000000001</v>
      </c>
      <c r="L14" s="18">
        <v>40.0184</v>
      </c>
      <c r="M14" s="18">
        <v>40.962600000000002</v>
      </c>
      <c r="N14" s="18">
        <v>2.8363999999999998</v>
      </c>
      <c r="O14" s="18">
        <f t="shared" si="1"/>
        <v>31.598050000000001</v>
      </c>
      <c r="P14" s="7"/>
      <c r="Q14" s="10"/>
      <c r="R14" s="11"/>
      <c r="S14" s="11"/>
      <c r="T14" s="26"/>
      <c r="U14" s="28">
        <f t="shared" si="2"/>
        <v>-0.15077844311377248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3.86</v>
      </c>
      <c r="H15" s="18">
        <f t="shared" si="0"/>
        <v>30.189625000000003</v>
      </c>
      <c r="I15" s="5"/>
      <c r="J15" s="17">
        <v>2063.2240000000002</v>
      </c>
      <c r="K15" s="18">
        <v>26.9</v>
      </c>
      <c r="L15" s="18">
        <v>39.2898</v>
      </c>
      <c r="M15" s="18">
        <v>40.323900000000002</v>
      </c>
      <c r="N15" s="18">
        <v>3.46</v>
      </c>
      <c r="O15" s="18">
        <f t="shared" si="1"/>
        <v>30.1267125</v>
      </c>
      <c r="P15" s="7"/>
      <c r="Q15" s="10"/>
      <c r="R15" s="11"/>
      <c r="S15" s="11"/>
      <c r="T15" s="26"/>
      <c r="U15" s="28">
        <f t="shared" si="2"/>
        <v>-0.10362694300518133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1389.5168000000001</v>
      </c>
      <c r="K16" s="20">
        <v>25.638200000000001</v>
      </c>
      <c r="L16" s="20">
        <v>38.121200000000002</v>
      </c>
      <c r="M16" s="20">
        <v>39.259599999999999</v>
      </c>
      <c r="N16" s="20">
        <v>3.9422999999999999</v>
      </c>
      <c r="O16" s="20">
        <f t="shared" si="1"/>
        <v>28.901250000000001</v>
      </c>
      <c r="P16" s="7"/>
      <c r="Q16" s="13"/>
      <c r="R16" s="14"/>
      <c r="S16" s="14"/>
      <c r="T16" s="27"/>
      <c r="U16" s="28">
        <f t="shared" si="2"/>
        <v>-0.17525104602510466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5.93</v>
      </c>
      <c r="H17" s="16">
        <f t="shared" si="0"/>
        <v>40.055124999999997</v>
      </c>
      <c r="I17" s="5"/>
      <c r="J17" s="15">
        <v>2156.2624000000001</v>
      </c>
      <c r="K17" s="16">
        <v>39.190399999999997</v>
      </c>
      <c r="L17" s="16">
        <v>42.0214</v>
      </c>
      <c r="M17" s="16">
        <v>43.451599999999999</v>
      </c>
      <c r="N17" s="16">
        <v>6.3102999999999998</v>
      </c>
      <c r="O17" s="16">
        <f t="shared" si="1"/>
        <v>40.076924999999996</v>
      </c>
      <c r="P17" s="7"/>
      <c r="Q17" s="8">
        <f>bdrate(C17:C20,D17:D20,J17:J20,K17:K20)</f>
        <v>-0.37028618958935877</v>
      </c>
      <c r="R17" s="8">
        <f>bdrate(C17:C20,E17:E20,J17:J20,L17:L20)</f>
        <v>-0.40039059345928141</v>
      </c>
      <c r="S17" s="8">
        <f>bdrate(C17:C20,F17:F20,J17:J20,M17:M20)</f>
        <v>-0.48338281314594367</v>
      </c>
      <c r="T17" s="25">
        <f>bdrate(C17:C20,H17:H20,J17:J20,O17:O20)</f>
        <v>-0.38056552631638896</v>
      </c>
      <c r="U17" s="28">
        <f t="shared" si="2"/>
        <v>6.4131534569983148E-2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6.74</v>
      </c>
      <c r="H18" s="18">
        <f t="shared" si="0"/>
        <v>38.802750000000003</v>
      </c>
      <c r="I18" s="5"/>
      <c r="J18" s="17">
        <v>1408.652</v>
      </c>
      <c r="K18" s="18">
        <v>37.981499999999997</v>
      </c>
      <c r="L18" s="18">
        <v>41.388199999999998</v>
      </c>
      <c r="M18" s="18">
        <v>42.675899999999999</v>
      </c>
      <c r="N18" s="18">
        <v>7.5861000000000001</v>
      </c>
      <c r="O18" s="18">
        <f t="shared" si="1"/>
        <v>38.994137500000001</v>
      </c>
      <c r="P18" s="7"/>
      <c r="Q18" s="10"/>
      <c r="R18" s="11"/>
      <c r="S18" s="11"/>
      <c r="T18" s="26"/>
      <c r="U18" s="28">
        <f t="shared" si="2"/>
        <v>0.12553412462908009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7.86</v>
      </c>
      <c r="H19" s="18">
        <f t="shared" si="0"/>
        <v>37.17</v>
      </c>
      <c r="I19" s="5"/>
      <c r="J19" s="17">
        <v>869.77279999999996</v>
      </c>
      <c r="K19" s="18">
        <v>36.465000000000003</v>
      </c>
      <c r="L19" s="18">
        <v>40.650700000000001</v>
      </c>
      <c r="M19" s="18">
        <v>41.874699999999997</v>
      </c>
      <c r="N19" s="18">
        <v>9.3922000000000008</v>
      </c>
      <c r="O19" s="18">
        <f t="shared" si="1"/>
        <v>37.664425000000001</v>
      </c>
      <c r="P19" s="7"/>
      <c r="Q19" s="10"/>
      <c r="R19" s="11"/>
      <c r="S19" s="11"/>
      <c r="T19" s="26"/>
      <c r="U19" s="28">
        <f t="shared" si="2"/>
        <v>0.19493638676844788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508.49200000000002</v>
      </c>
      <c r="K20" s="20">
        <v>34.6905</v>
      </c>
      <c r="L20" s="20">
        <v>39.919600000000003</v>
      </c>
      <c r="M20" s="20">
        <v>41.164700000000003</v>
      </c>
      <c r="N20" s="20">
        <v>11.9725</v>
      </c>
      <c r="O20" s="20">
        <f t="shared" si="1"/>
        <v>36.153412500000002</v>
      </c>
      <c r="P20" s="7"/>
      <c r="Q20" s="13"/>
      <c r="R20" s="14"/>
      <c r="S20" s="14"/>
      <c r="T20" s="27"/>
      <c r="U20" s="28">
        <f t="shared" si="2"/>
        <v>0.26827330508474584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6.57</v>
      </c>
      <c r="H21" s="16">
        <f t="shared" si="0"/>
        <v>37.613375000000005</v>
      </c>
      <c r="I21" s="5"/>
      <c r="J21" s="15">
        <v>2353.8208</v>
      </c>
      <c r="K21" s="16">
        <v>36.403700000000001</v>
      </c>
      <c r="L21" s="16">
        <v>40.178400000000003</v>
      </c>
      <c r="M21" s="16">
        <v>41.433700000000002</v>
      </c>
      <c r="N21" s="16">
        <v>6.0712000000000002</v>
      </c>
      <c r="O21" s="16">
        <f t="shared" si="1"/>
        <v>37.504287499999997</v>
      </c>
      <c r="P21" s="7"/>
      <c r="Q21" s="8">
        <f>bdrate(C21:C24,D21:D24,J21:J24,K21:K24)</f>
        <v>-0.31714122906633013</v>
      </c>
      <c r="R21" s="8">
        <f>bdrate(C21:C24,E21:E24,J21:J24,L21:L24)</f>
        <v>-0.51527471082534215</v>
      </c>
      <c r="S21" s="8">
        <f>bdrate(C21:C24,F21:F24,J21:J24,M21:M24)</f>
        <v>-0.51194433304603604</v>
      </c>
      <c r="T21" s="25">
        <f>bdrate(C21:C24,H21:H24,J21:J24,O21:O24)</f>
        <v>-0.34664910658089099</v>
      </c>
      <c r="U21" s="28">
        <f t="shared" si="2"/>
        <v>-7.5920852359208535E-2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7.19</v>
      </c>
      <c r="H22" s="18">
        <f t="shared" si="0"/>
        <v>36.355125000000001</v>
      </c>
      <c r="I22" s="5"/>
      <c r="J22" s="17">
        <v>1532.3407999999999</v>
      </c>
      <c r="K22" s="18">
        <v>35.123899999999999</v>
      </c>
      <c r="L22" s="18">
        <v>39.389600000000002</v>
      </c>
      <c r="M22" s="18">
        <v>40.615299999999998</v>
      </c>
      <c r="N22" s="18">
        <v>7.5972999999999997</v>
      </c>
      <c r="O22" s="18">
        <f t="shared" si="1"/>
        <v>36.343537500000004</v>
      </c>
      <c r="P22" s="7"/>
      <c r="Q22" s="10"/>
      <c r="R22" s="11"/>
      <c r="S22" s="11"/>
      <c r="T22" s="26"/>
      <c r="U22" s="28">
        <f t="shared" si="2"/>
        <v>5.6648122392211307E-2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953.43200000000002</v>
      </c>
      <c r="K23" s="18">
        <v>33.656700000000001</v>
      </c>
      <c r="L23" s="18">
        <v>38.502000000000002</v>
      </c>
      <c r="M23" s="18">
        <v>39.787100000000002</v>
      </c>
      <c r="N23" s="18">
        <v>9.5675000000000008</v>
      </c>
      <c r="O23" s="18">
        <f t="shared" si="1"/>
        <v>35.028662500000003</v>
      </c>
      <c r="P23" s="7"/>
      <c r="Q23" s="10"/>
      <c r="R23" s="11"/>
      <c r="S23" s="11"/>
      <c r="T23" s="26"/>
      <c r="U23" s="28">
        <f t="shared" si="2"/>
        <v>0.17971639950678192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9.35</v>
      </c>
      <c r="H24" s="20">
        <f t="shared" si="0"/>
        <v>33.260750000000002</v>
      </c>
      <c r="I24" s="5"/>
      <c r="J24" s="19">
        <v>563.94079999999997</v>
      </c>
      <c r="K24" s="20">
        <v>32.0702</v>
      </c>
      <c r="L24" s="20">
        <v>37.68</v>
      </c>
      <c r="M24" s="20">
        <v>39.087299999999999</v>
      </c>
      <c r="N24" s="20">
        <v>12.337400000000001</v>
      </c>
      <c r="O24" s="20">
        <f t="shared" si="1"/>
        <v>33.648562499999997</v>
      </c>
      <c r="P24" s="7"/>
      <c r="Q24" s="13"/>
      <c r="R24" s="14"/>
      <c r="S24" s="14"/>
      <c r="T24" s="27"/>
      <c r="U24" s="28">
        <f t="shared" si="2"/>
        <v>0.31950802139037443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7.64</v>
      </c>
      <c r="H25" s="16">
        <f t="shared" si="0"/>
        <v>35.729999999999997</v>
      </c>
      <c r="I25" s="5"/>
      <c r="J25" s="15">
        <v>2369.36</v>
      </c>
      <c r="K25" s="16">
        <v>34.836500000000001</v>
      </c>
      <c r="L25" s="16">
        <v>38.414200000000001</v>
      </c>
      <c r="M25" s="16">
        <v>40.790599999999998</v>
      </c>
      <c r="N25" s="16">
        <v>8.1617999999999995</v>
      </c>
      <c r="O25" s="16">
        <f t="shared" si="1"/>
        <v>36.027974999999998</v>
      </c>
      <c r="P25" s="7"/>
      <c r="Q25" s="8">
        <f>bdrate(C25:C28,D25:D28,J25:J28,K25:K28)</f>
        <v>-0.45666249273738457</v>
      </c>
      <c r="R25" s="8">
        <f>bdrate(C25:C28,E25:E28,J25:J28,L25:L28)</f>
        <v>-0.57818396535706351</v>
      </c>
      <c r="S25" s="8">
        <f>bdrate(C25:C28,F25:F28,J25:J28,M25:M28)</f>
        <v>-0.61507821484640379</v>
      </c>
      <c r="T25" s="25">
        <f>bdrate(C25:C28,H25:H28,J25:J28,O25:O28)</f>
        <v>-0.47989372172161027</v>
      </c>
      <c r="U25" s="28">
        <f t="shared" si="2"/>
        <v>6.8298429319371703E-2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8.6</v>
      </c>
      <c r="H26" s="18">
        <f t="shared" si="0"/>
        <v>34.492874999999998</v>
      </c>
      <c r="I26" s="5"/>
      <c r="J26" s="17">
        <v>1585.6831999999999</v>
      </c>
      <c r="K26" s="18">
        <v>33.777000000000001</v>
      </c>
      <c r="L26" s="18">
        <v>38.059100000000001</v>
      </c>
      <c r="M26" s="18">
        <v>40.020699999999998</v>
      </c>
      <c r="N26" s="18">
        <v>10.031700000000001</v>
      </c>
      <c r="O26" s="18">
        <f t="shared" si="1"/>
        <v>35.092725000000002</v>
      </c>
      <c r="P26" s="7"/>
      <c r="Q26" s="10"/>
      <c r="R26" s="11"/>
      <c r="S26" s="11"/>
      <c r="T26" s="26"/>
      <c r="U26" s="28">
        <f t="shared" si="2"/>
        <v>0.16647674418604663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10.029999999999999</v>
      </c>
      <c r="H27" s="18">
        <f t="shared" si="0"/>
        <v>32.899625</v>
      </c>
      <c r="I27" s="5"/>
      <c r="J27" s="17">
        <v>972.2944</v>
      </c>
      <c r="K27" s="18">
        <v>32.279200000000003</v>
      </c>
      <c r="L27" s="18">
        <v>37.578499999999998</v>
      </c>
      <c r="M27" s="18">
        <v>39.098799999999997</v>
      </c>
      <c r="N27" s="18">
        <v>12.7188</v>
      </c>
      <c r="O27" s="18">
        <f t="shared" si="1"/>
        <v>33.794062500000003</v>
      </c>
      <c r="P27" s="7"/>
      <c r="Q27" s="10"/>
      <c r="R27" s="11"/>
      <c r="S27" s="11"/>
      <c r="T27" s="26"/>
      <c r="U27" s="28">
        <f t="shared" si="2"/>
        <v>0.26807577268195421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11.72</v>
      </c>
      <c r="H28" s="20">
        <f t="shared" si="0"/>
        <v>31.066749999999999</v>
      </c>
      <c r="I28" s="5"/>
      <c r="J28" s="19">
        <v>595.47919999999999</v>
      </c>
      <c r="K28" s="20">
        <v>30.704999999999998</v>
      </c>
      <c r="L28" s="20">
        <v>36.962600000000002</v>
      </c>
      <c r="M28" s="20">
        <v>38.139899999999997</v>
      </c>
      <c r="N28" s="20">
        <v>16.179099999999998</v>
      </c>
      <c r="O28" s="20">
        <f t="shared" si="1"/>
        <v>32.416562499999998</v>
      </c>
      <c r="P28" s="7"/>
      <c r="Q28" s="13"/>
      <c r="R28" s="14"/>
      <c r="S28" s="14"/>
      <c r="T28" s="27"/>
      <c r="U28" s="28">
        <f t="shared" si="2"/>
        <v>0.3804692832764503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2410.2456000000002</v>
      </c>
      <c r="K29" s="30">
        <v>34.625500000000002</v>
      </c>
      <c r="L29" s="30">
        <v>40.682099999999998</v>
      </c>
      <c r="M29" s="30">
        <v>40.368400000000001</v>
      </c>
      <c r="N29" s="16">
        <v>6.9691000000000001</v>
      </c>
      <c r="O29" s="16">
        <f t="shared" si="1"/>
        <v>36.100437499999998</v>
      </c>
      <c r="P29" s="7"/>
      <c r="Q29" s="8">
        <f>bdrate(C29:C32,D29:D32,J29:J32,K29:K32)</f>
        <v>-0.48187565840686764</v>
      </c>
      <c r="R29" s="8">
        <f>bdrate(C29:C32,E29:E32,J29:J32,L29:L32)</f>
        <v>-0.6368962390949382</v>
      </c>
      <c r="S29" s="8">
        <f>bdrate(C29:C32,F29:F32,J29:J32,M29:M32)</f>
        <v>-0.58198837242473767</v>
      </c>
      <c r="T29" s="25">
        <f>bdrate(C29:C32,H29:H32,J29:J32,O29:O32)</f>
        <v>-0.5037256226988911</v>
      </c>
      <c r="U29" s="28">
        <f t="shared" si="2"/>
        <v>3.0931952662721935E-2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7.84</v>
      </c>
      <c r="H30" s="18">
        <f t="shared" si="0"/>
        <v>34.175874999999998</v>
      </c>
      <c r="I30" s="5"/>
      <c r="J30" s="31">
        <v>1603.3632</v>
      </c>
      <c r="K30" s="32">
        <v>33.341500000000003</v>
      </c>
      <c r="L30" s="32">
        <v>40.062800000000003</v>
      </c>
      <c r="M30" s="32">
        <v>39.536700000000003</v>
      </c>
      <c r="N30" s="18">
        <v>8.4212000000000007</v>
      </c>
      <c r="O30" s="18">
        <f t="shared" si="1"/>
        <v>34.956062500000009</v>
      </c>
      <c r="P30" s="7"/>
      <c r="Q30" s="10"/>
      <c r="R30" s="11"/>
      <c r="S30" s="11"/>
      <c r="T30" s="26"/>
      <c r="U30" s="28">
        <f t="shared" si="2"/>
        <v>7.4132653061224602E-2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9.4499999999999993</v>
      </c>
      <c r="H31" s="18">
        <f t="shared" si="0"/>
        <v>32.128249999999994</v>
      </c>
      <c r="I31" s="5"/>
      <c r="J31" s="31">
        <v>992.70479999999998</v>
      </c>
      <c r="K31" s="32">
        <v>31.744900000000001</v>
      </c>
      <c r="L31" s="32">
        <v>39.352499999999999</v>
      </c>
      <c r="M31" s="32">
        <v>38.533999999999999</v>
      </c>
      <c r="N31" s="18">
        <v>10.5223</v>
      </c>
      <c r="O31" s="18">
        <f t="shared" si="1"/>
        <v>33.544487500000002</v>
      </c>
      <c r="P31" s="7"/>
      <c r="Q31" s="10"/>
      <c r="R31" s="11"/>
      <c r="S31" s="11"/>
      <c r="T31" s="26"/>
      <c r="U31" s="28">
        <f t="shared" si="2"/>
        <v>0.1134708994708995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11.13</v>
      </c>
      <c r="H32" s="20">
        <f t="shared" si="0"/>
        <v>29.558</v>
      </c>
      <c r="I32" s="5"/>
      <c r="J32" s="33">
        <v>592.44799999999998</v>
      </c>
      <c r="K32" s="34">
        <v>29.9983</v>
      </c>
      <c r="L32" s="34">
        <v>38.391100000000002</v>
      </c>
      <c r="M32" s="34">
        <v>37.200400000000002</v>
      </c>
      <c r="N32" s="20">
        <v>13.438700000000001</v>
      </c>
      <c r="O32" s="20">
        <f t="shared" si="1"/>
        <v>31.9476625</v>
      </c>
      <c r="P32" s="7"/>
      <c r="Q32" s="13"/>
      <c r="R32" s="14"/>
      <c r="S32" s="14"/>
      <c r="T32" s="27"/>
      <c r="U32" s="28">
        <f t="shared" si="2"/>
        <v>0.20743036837376458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8.26</v>
      </c>
      <c r="H33" s="16">
        <f t="shared" si="0"/>
        <v>35.176000000000002</v>
      </c>
      <c r="I33" s="5"/>
      <c r="J33" s="15">
        <v>2409.3328000000001</v>
      </c>
      <c r="K33" s="16">
        <v>33.955599999999997</v>
      </c>
      <c r="L33" s="16">
        <v>40.084800000000001</v>
      </c>
      <c r="M33" s="16">
        <v>42.512500000000003</v>
      </c>
      <c r="N33" s="16">
        <v>10.4344</v>
      </c>
      <c r="O33" s="16">
        <f t="shared" si="1"/>
        <v>35.791362499999998</v>
      </c>
      <c r="P33" s="7"/>
      <c r="Q33" s="8">
        <f>bdrate(C33:C36,D33:D36,J33:J36,K33:K36)</f>
        <v>-0.58698278676349469</v>
      </c>
      <c r="R33" s="8">
        <f>bdrate(C33:C36,E33:E36,J33:J36,L33:L36)</f>
        <v>-0.71091758360075874</v>
      </c>
      <c r="S33" s="8">
        <f>bdrate(C33:C36,F33:F36,J33:J36,M33:M36)</f>
        <v>-0.66255694129708365</v>
      </c>
      <c r="T33" s="25">
        <f>bdrate(C33:C36,H33:H36,J33:J36,O33:O36)</f>
        <v>-0.60256738815739663</v>
      </c>
      <c r="U33" s="28">
        <f t="shared" si="2"/>
        <v>0.26324455205811143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9.06</v>
      </c>
      <c r="H34" s="18">
        <f t="shared" si="0"/>
        <v>34.344374999999999</v>
      </c>
      <c r="I34" s="5"/>
      <c r="J34" s="17">
        <v>1594.0992000000001</v>
      </c>
      <c r="K34" s="18">
        <v>33.366999999999997</v>
      </c>
      <c r="L34" s="18">
        <v>39.6235</v>
      </c>
      <c r="M34" s="18">
        <v>42.122199999999999</v>
      </c>
      <c r="N34" s="18">
        <v>12.9542</v>
      </c>
      <c r="O34" s="18">
        <f t="shared" si="1"/>
        <v>35.2434625</v>
      </c>
      <c r="P34" s="7"/>
      <c r="Q34" s="10"/>
      <c r="R34" s="11"/>
      <c r="S34" s="11"/>
      <c r="T34" s="26"/>
      <c r="U34" s="28">
        <f t="shared" si="2"/>
        <v>0.42982339955849885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10.119999999999999</v>
      </c>
      <c r="H35" s="18">
        <f t="shared" si="0"/>
        <v>33.153750000000002</v>
      </c>
      <c r="I35" s="5"/>
      <c r="J35" s="17">
        <v>995.53200000000004</v>
      </c>
      <c r="K35" s="18">
        <v>32.473300000000002</v>
      </c>
      <c r="L35" s="18">
        <v>39.008699999999997</v>
      </c>
      <c r="M35" s="18">
        <v>41.523699999999998</v>
      </c>
      <c r="N35" s="18">
        <v>16.2836</v>
      </c>
      <c r="O35" s="18">
        <f t="shared" si="1"/>
        <v>34.421525000000003</v>
      </c>
      <c r="P35" s="7"/>
      <c r="Q35" s="10"/>
      <c r="R35" s="11"/>
      <c r="S35" s="11"/>
      <c r="T35" s="26"/>
      <c r="U35" s="28">
        <f t="shared" si="2"/>
        <v>0.60905138339920961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11.67</v>
      </c>
      <c r="H36" s="20">
        <f t="shared" si="0"/>
        <v>31.484625000000001</v>
      </c>
      <c r="I36" s="5"/>
      <c r="J36" s="19">
        <v>587.76559999999995</v>
      </c>
      <c r="K36" s="20">
        <v>31.210999999999999</v>
      </c>
      <c r="L36" s="20">
        <v>38.457599999999999</v>
      </c>
      <c r="M36" s="20">
        <v>40.973500000000001</v>
      </c>
      <c r="N36" s="20">
        <v>20.168700000000001</v>
      </c>
      <c r="O36" s="20">
        <f t="shared" si="1"/>
        <v>33.337137499999997</v>
      </c>
      <c r="P36" s="7"/>
      <c r="Q36" s="13"/>
      <c r="R36" s="14"/>
      <c r="S36" s="14"/>
      <c r="T36" s="27"/>
      <c r="U36" s="28">
        <f t="shared" si="2"/>
        <v>0.72825192802056571</v>
      </c>
    </row>
    <row r="37" spans="1:21" x14ac:dyDescent="0.25">
      <c r="A37" s="6" t="s">
        <v>39</v>
      </c>
      <c r="B37" s="6" t="s">
        <v>53</v>
      </c>
      <c r="C37" s="15">
        <v>1549.7</v>
      </c>
      <c r="D37" s="16">
        <v>35.359000000000002</v>
      </c>
      <c r="E37" s="16">
        <v>38.744999999999997</v>
      </c>
      <c r="F37" s="16">
        <v>38.712000000000003</v>
      </c>
      <c r="G37" s="16">
        <v>30.85</v>
      </c>
      <c r="H37" s="16">
        <f t="shared" si="0"/>
        <v>36.201374999999999</v>
      </c>
      <c r="I37" s="5"/>
      <c r="J37" s="15">
        <v>1205.7808</v>
      </c>
      <c r="K37" s="16">
        <v>36.699300000000001</v>
      </c>
      <c r="L37" s="16">
        <v>40.481499999999997</v>
      </c>
      <c r="M37" s="16">
        <v>40.451700000000002</v>
      </c>
      <c r="N37" s="16">
        <v>21.424299999999999</v>
      </c>
      <c r="O37" s="16">
        <f t="shared" si="1"/>
        <v>37.641125000000002</v>
      </c>
      <c r="P37" s="7"/>
      <c r="Q37" s="8">
        <f>bdrate(C37:C40,D37:D40,J37:J40,K37:K40)</f>
        <v>-0.42761104939115113</v>
      </c>
      <c r="R37" s="8">
        <f>bdrate(C37:C40,E37:E40,J37:J40,L37:L40)</f>
        <v>-0.59008694087745583</v>
      </c>
      <c r="S37" s="8">
        <f>bdrate(C37:C40,F37:F40,J37:J40,M37:M40)</f>
        <v>-0.55616051039798142</v>
      </c>
      <c r="T37" s="25">
        <f>bdrate(C37:C40,H37:H40,J37:J40,O37:O40)</f>
        <v>-0.45880465665437231</v>
      </c>
      <c r="U37" s="28">
        <f t="shared" si="2"/>
        <v>-0.30553322528363053</v>
      </c>
    </row>
    <row r="38" spans="1:21" x14ac:dyDescent="0.25">
      <c r="A38" s="9" t="s">
        <v>40</v>
      </c>
      <c r="B38" s="9"/>
      <c r="C38" s="17">
        <v>1047.1199999999999</v>
      </c>
      <c r="D38" s="18">
        <v>33.825000000000003</v>
      </c>
      <c r="E38" s="18">
        <v>37.521999999999998</v>
      </c>
      <c r="F38" s="18">
        <v>37.363</v>
      </c>
      <c r="G38" s="18">
        <v>34.65</v>
      </c>
      <c r="H38" s="18">
        <f t="shared" si="0"/>
        <v>34.729375000000005</v>
      </c>
      <c r="I38" s="5"/>
      <c r="J38" s="17">
        <v>803.04319999999996</v>
      </c>
      <c r="K38" s="18">
        <v>34.9514</v>
      </c>
      <c r="L38" s="18">
        <v>39.223599999999998</v>
      </c>
      <c r="M38" s="18">
        <v>38.992100000000001</v>
      </c>
      <c r="N38" s="18">
        <v>25.559799999999999</v>
      </c>
      <c r="O38" s="18">
        <f t="shared" si="1"/>
        <v>35.990512500000001</v>
      </c>
      <c r="P38" s="7"/>
      <c r="Q38" s="10"/>
      <c r="R38" s="11"/>
      <c r="S38" s="11"/>
      <c r="T38" s="26"/>
      <c r="U38" s="28">
        <f t="shared" si="2"/>
        <v>-0.26234343434343432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39.909999999999997</v>
      </c>
      <c r="H39" s="18">
        <f t="shared" si="0"/>
        <v>32.924374999999998</v>
      </c>
      <c r="I39" s="5"/>
      <c r="J39" s="17">
        <v>498.33920000000001</v>
      </c>
      <c r="K39" s="18">
        <v>33.062899999999999</v>
      </c>
      <c r="L39" s="18">
        <v>37.925199999999997</v>
      </c>
      <c r="M39" s="18">
        <v>37.574100000000001</v>
      </c>
      <c r="N39" s="18">
        <v>31.5776</v>
      </c>
      <c r="O39" s="18">
        <f t="shared" si="1"/>
        <v>34.234587499999996</v>
      </c>
      <c r="P39" s="7"/>
      <c r="Q39" s="10"/>
      <c r="R39" s="11"/>
      <c r="S39" s="11"/>
      <c r="T39" s="26"/>
      <c r="U39" s="28">
        <f t="shared" si="2"/>
        <v>-0.20877975444750682</v>
      </c>
    </row>
    <row r="40" spans="1:21" ht="16.5" thickBot="1" x14ac:dyDescent="0.3">
      <c r="B40" s="12"/>
      <c r="C40" s="19">
        <v>396.23</v>
      </c>
      <c r="D40" s="20">
        <v>29.733000000000001</v>
      </c>
      <c r="E40" s="20">
        <v>35.045999999999999</v>
      </c>
      <c r="F40" s="20">
        <v>34.500999999999998</v>
      </c>
      <c r="G40" s="20">
        <v>48.05</v>
      </c>
      <c r="H40" s="20">
        <f t="shared" si="0"/>
        <v>30.993124999999999</v>
      </c>
      <c r="I40" s="5"/>
      <c r="J40" s="19">
        <v>297.87200000000001</v>
      </c>
      <c r="K40" s="20">
        <v>31.123899999999999</v>
      </c>
      <c r="L40" s="20">
        <v>36.705800000000004</v>
      </c>
      <c r="M40" s="20">
        <v>36.191499999999998</v>
      </c>
      <c r="N40" s="20">
        <v>40.264099999999999</v>
      </c>
      <c r="O40" s="20">
        <f t="shared" si="1"/>
        <v>32.455087500000005</v>
      </c>
      <c r="P40" s="7"/>
      <c r="Q40" s="13"/>
      <c r="R40" s="14"/>
      <c r="S40" s="14"/>
      <c r="T40" s="27"/>
      <c r="U40" s="28">
        <f t="shared" si="2"/>
        <v>-0.16203746097814772</v>
      </c>
    </row>
    <row r="41" spans="1:21" x14ac:dyDescent="0.25">
      <c r="B41" s="6" t="s">
        <v>54</v>
      </c>
      <c r="C41" s="15">
        <v>1559.67</v>
      </c>
      <c r="D41" s="16">
        <v>35.686</v>
      </c>
      <c r="E41" s="16">
        <v>40.110999999999997</v>
      </c>
      <c r="F41" s="16">
        <v>40.927</v>
      </c>
      <c r="G41" s="16">
        <v>34.65</v>
      </c>
      <c r="H41" s="16">
        <f t="shared" si="0"/>
        <v>36.89425</v>
      </c>
      <c r="I41" s="5"/>
      <c r="J41" s="15">
        <v>1149.0791999999999</v>
      </c>
      <c r="K41" s="16">
        <v>35.948099999999997</v>
      </c>
      <c r="L41" s="16">
        <v>41.050199999999997</v>
      </c>
      <c r="M41" s="16">
        <v>41.8889</v>
      </c>
      <c r="N41" s="16">
        <v>26.396799999999999</v>
      </c>
      <c r="O41" s="16">
        <f t="shared" si="1"/>
        <v>37.328462499999993</v>
      </c>
      <c r="P41" s="7"/>
      <c r="Q41" s="8">
        <f>bdrate(C41:C44,D41:D44,J41:J44,K41:K44)</f>
        <v>-0.3794222480814029</v>
      </c>
      <c r="R41" s="8">
        <f>bdrate(C41:C44,E41:E44,J41:J44,L41:L44)</f>
        <v>-0.50655281418829223</v>
      </c>
      <c r="S41" s="8">
        <f>bdrate(C41:C44,F41:F44,J41:J44,M41:M44)</f>
        <v>-0.49394183243862366</v>
      </c>
      <c r="T41" s="25">
        <f>bdrate(C41:C44,H41:H44,J41:J44,O41:O44)</f>
        <v>-0.39999734615824334</v>
      </c>
      <c r="U41" s="28">
        <f t="shared" si="2"/>
        <v>-0.2381875901875902</v>
      </c>
    </row>
    <row r="42" spans="1:21" x14ac:dyDescent="0.25">
      <c r="B42" s="9"/>
      <c r="C42" s="17">
        <v>1058.5899999999999</v>
      </c>
      <c r="D42" s="18">
        <v>33.985999999999997</v>
      </c>
      <c r="E42" s="18">
        <v>39.262999999999998</v>
      </c>
      <c r="F42" s="18">
        <v>39.960999999999999</v>
      </c>
      <c r="G42" s="18">
        <v>37.82</v>
      </c>
      <c r="H42" s="18">
        <f t="shared" si="0"/>
        <v>35.392499999999998</v>
      </c>
      <c r="I42" s="5"/>
      <c r="J42" s="17">
        <v>758.15039999999999</v>
      </c>
      <c r="K42" s="18">
        <v>34.405999999999999</v>
      </c>
      <c r="L42" s="18">
        <v>40.048099999999998</v>
      </c>
      <c r="M42" s="18">
        <v>40.787100000000002</v>
      </c>
      <c r="N42" s="18">
        <v>30.284700000000001</v>
      </c>
      <c r="O42" s="18">
        <f t="shared" si="1"/>
        <v>35.908899999999996</v>
      </c>
      <c r="P42" s="7"/>
      <c r="Q42" s="10"/>
      <c r="R42" s="11"/>
      <c r="S42" s="11"/>
      <c r="T42" s="26"/>
      <c r="U42" s="28">
        <f t="shared" si="2"/>
        <v>-0.19924114225277628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42.17</v>
      </c>
      <c r="H43" s="18">
        <f t="shared" si="0"/>
        <v>33.446375000000003</v>
      </c>
      <c r="I43" s="5"/>
      <c r="J43" s="17">
        <v>473.27519999999998</v>
      </c>
      <c r="K43" s="18">
        <v>32.564799999999998</v>
      </c>
      <c r="L43" s="18">
        <v>39.048999999999999</v>
      </c>
      <c r="M43" s="18">
        <v>39.671799999999998</v>
      </c>
      <c r="N43" s="18">
        <v>38.85</v>
      </c>
      <c r="O43" s="18">
        <f t="shared" si="1"/>
        <v>34.2637</v>
      </c>
      <c r="P43" s="7"/>
      <c r="Q43" s="10"/>
      <c r="R43" s="11"/>
      <c r="S43" s="11"/>
      <c r="T43" s="26"/>
      <c r="U43" s="28">
        <f t="shared" si="2"/>
        <v>-7.8728954232866966E-2</v>
      </c>
    </row>
    <row r="44" spans="1:21" ht="16.5" thickBot="1" x14ac:dyDescent="0.3">
      <c r="B44" s="12"/>
      <c r="C44" s="19">
        <v>404.48</v>
      </c>
      <c r="D44" s="20">
        <v>29.388000000000002</v>
      </c>
      <c r="E44" s="20">
        <v>37.277000000000001</v>
      </c>
      <c r="F44" s="20">
        <v>37.783999999999999</v>
      </c>
      <c r="G44" s="20">
        <v>47.78</v>
      </c>
      <c r="H44" s="20">
        <f t="shared" si="0"/>
        <v>31.423625000000001</v>
      </c>
      <c r="I44" s="5"/>
      <c r="J44" s="19">
        <v>284.03120000000001</v>
      </c>
      <c r="K44" s="20">
        <v>30.537299999999998</v>
      </c>
      <c r="L44" s="20">
        <v>37.979300000000002</v>
      </c>
      <c r="M44" s="20">
        <v>38.4816</v>
      </c>
      <c r="N44" s="20">
        <v>49.184399999999997</v>
      </c>
      <c r="O44" s="20">
        <f t="shared" si="1"/>
        <v>32.460587499999995</v>
      </c>
      <c r="P44" s="7"/>
      <c r="Q44" s="13"/>
      <c r="R44" s="14"/>
      <c r="S44" s="14"/>
      <c r="T44" s="27"/>
      <c r="U44" s="28">
        <f t="shared" si="2"/>
        <v>2.93930514859773E-2</v>
      </c>
    </row>
    <row r="45" spans="1:21" x14ac:dyDescent="0.25">
      <c r="B45" s="6" t="s">
        <v>55</v>
      </c>
      <c r="C45" s="15">
        <v>1422.97</v>
      </c>
      <c r="D45" s="16">
        <v>30.19</v>
      </c>
      <c r="E45" s="16">
        <v>35.831000000000003</v>
      </c>
      <c r="F45" s="16">
        <v>36.554000000000002</v>
      </c>
      <c r="G45" s="16">
        <v>30.58</v>
      </c>
      <c r="H45" s="16">
        <f t="shared" si="0"/>
        <v>31.690625000000001</v>
      </c>
      <c r="I45" s="5"/>
      <c r="J45" s="15">
        <v>1146.9688000000001</v>
      </c>
      <c r="K45" s="16">
        <v>30.896100000000001</v>
      </c>
      <c r="L45" s="16">
        <v>36.973100000000002</v>
      </c>
      <c r="M45" s="16">
        <v>37.759300000000003</v>
      </c>
      <c r="N45" s="16">
        <v>24.317900000000002</v>
      </c>
      <c r="O45" s="16">
        <f t="shared" si="1"/>
        <v>32.513624999999998</v>
      </c>
      <c r="P45" s="7"/>
      <c r="Q45" s="8">
        <f>bdrate(C45:C48,D45:D48,J45:J48,K45:K48)</f>
        <v>-0.38342582558828897</v>
      </c>
      <c r="R45" s="8">
        <f>bdrate(C45:C48,E45:E48,J45:J48,L45:L48)</f>
        <v>-0.5486726841147096</v>
      </c>
      <c r="S45" s="8">
        <f>bdrate(C45:C48,F45:F48,J45:J48,M45:M48)</f>
        <v>-0.53787810192711505</v>
      </c>
      <c r="T45" s="25">
        <f>bdrate(C45:C48,H45:H48,J45:J48,O45:O48)</f>
        <v>-0.40813930157390554</v>
      </c>
      <c r="U45" s="28">
        <f t="shared" si="2"/>
        <v>-0.20477763243950284</v>
      </c>
    </row>
    <row r="46" spans="1:21" x14ac:dyDescent="0.25">
      <c r="B46" s="9"/>
      <c r="C46" s="17">
        <v>966.76</v>
      </c>
      <c r="D46" s="18">
        <v>28.774999999999999</v>
      </c>
      <c r="E46" s="18">
        <v>35.237000000000002</v>
      </c>
      <c r="F46" s="18">
        <v>35.962000000000003</v>
      </c>
      <c r="G46" s="18">
        <v>33.18</v>
      </c>
      <c r="H46" s="18">
        <f t="shared" si="0"/>
        <v>30.481124999999999</v>
      </c>
      <c r="I46" s="5"/>
      <c r="J46" s="17">
        <v>763.28880000000004</v>
      </c>
      <c r="K46" s="18">
        <v>29.5349</v>
      </c>
      <c r="L46" s="18">
        <v>36.1524</v>
      </c>
      <c r="M46" s="18">
        <v>36.903300000000002</v>
      </c>
      <c r="N46" s="18">
        <v>29.085000000000001</v>
      </c>
      <c r="O46" s="18">
        <f t="shared" si="1"/>
        <v>31.283137500000002</v>
      </c>
      <c r="P46" s="7"/>
      <c r="Q46" s="10"/>
      <c r="R46" s="11"/>
      <c r="S46" s="11"/>
      <c r="T46" s="26"/>
      <c r="U46" s="28">
        <f t="shared" si="2"/>
        <v>-0.12341772151898731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36.92</v>
      </c>
      <c r="H47" s="18">
        <f t="shared" si="0"/>
        <v>29.105375000000002</v>
      </c>
      <c r="I47" s="5"/>
      <c r="J47" s="17">
        <v>478.42239999999998</v>
      </c>
      <c r="K47" s="18">
        <v>28.040500000000002</v>
      </c>
      <c r="L47" s="18">
        <v>35.375300000000003</v>
      </c>
      <c r="M47" s="18">
        <v>36.065300000000001</v>
      </c>
      <c r="N47" s="18">
        <v>38.156300000000002</v>
      </c>
      <c r="O47" s="18">
        <f t="shared" si="1"/>
        <v>29.960450000000002</v>
      </c>
      <c r="P47" s="7"/>
      <c r="Q47" s="10"/>
      <c r="R47" s="11"/>
      <c r="S47" s="11"/>
      <c r="T47" s="26"/>
      <c r="U47" s="28">
        <f t="shared" si="2"/>
        <v>3.3485915492957742E-2</v>
      </c>
    </row>
    <row r="48" spans="1:21" ht="16.5" thickBot="1" x14ac:dyDescent="0.3">
      <c r="B48" s="12"/>
      <c r="C48" s="19">
        <v>371.69</v>
      </c>
      <c r="D48" s="20">
        <v>25.623999999999999</v>
      </c>
      <c r="E48" s="20">
        <v>34.061</v>
      </c>
      <c r="F48" s="20">
        <v>34.792000000000002</v>
      </c>
      <c r="G48" s="20">
        <v>41.9</v>
      </c>
      <c r="H48" s="20">
        <f t="shared" si="0"/>
        <v>27.824625000000001</v>
      </c>
      <c r="I48" s="5"/>
      <c r="J48" s="19">
        <v>289.27519999999998</v>
      </c>
      <c r="K48" s="20">
        <v>26.552</v>
      </c>
      <c r="L48" s="20">
        <v>34.656300000000002</v>
      </c>
      <c r="M48" s="20">
        <v>35.351199999999999</v>
      </c>
      <c r="N48" s="20">
        <v>48.709200000000003</v>
      </c>
      <c r="O48" s="20">
        <f t="shared" si="1"/>
        <v>28.664937500000001</v>
      </c>
      <c r="P48" s="7"/>
      <c r="Q48" s="13"/>
      <c r="R48" s="14"/>
      <c r="S48" s="14"/>
      <c r="T48" s="27"/>
      <c r="U48" s="28">
        <f t="shared" si="2"/>
        <v>0.16251073985680201</v>
      </c>
    </row>
    <row r="49" spans="1:21" x14ac:dyDescent="0.25">
      <c r="B49" s="6" t="s">
        <v>56</v>
      </c>
      <c r="C49" s="15">
        <v>1424.49</v>
      </c>
      <c r="D49" s="16">
        <v>33.524999999999999</v>
      </c>
      <c r="E49" s="16">
        <v>37.01</v>
      </c>
      <c r="F49" s="16">
        <v>38.732999999999997</v>
      </c>
      <c r="G49" s="16">
        <v>22.39</v>
      </c>
      <c r="H49" s="16">
        <f t="shared" si="0"/>
        <v>34.611624999999997</v>
      </c>
      <c r="I49" s="5"/>
      <c r="J49" s="15">
        <v>1193.0391999999999</v>
      </c>
      <c r="K49" s="16">
        <v>33.1967</v>
      </c>
      <c r="L49" s="16">
        <v>37.405200000000001</v>
      </c>
      <c r="M49" s="16">
        <v>38.991900000000001</v>
      </c>
      <c r="N49" s="16">
        <v>15.8019</v>
      </c>
      <c r="O49" s="16">
        <f t="shared" si="1"/>
        <v>34.447162500000005</v>
      </c>
      <c r="P49" s="7"/>
      <c r="Q49" s="8">
        <f>bdrate(C49:C52,D49:D52,J49:J52,K49:K52)</f>
        <v>-0.16789538603372023</v>
      </c>
      <c r="R49" s="8">
        <f>bdrate(C49:C52,E49:E52,J49:J52,L49:L52)</f>
        <v>-0.32521026838974998</v>
      </c>
      <c r="S49" s="8">
        <f>bdrate(C49:C52,F49:F52,J49:J52,M49:M52)</f>
        <v>-0.30274467720576925</v>
      </c>
      <c r="T49" s="25">
        <f>bdrate(C49:C52,H49:H52,J49:J52,O49:O52)</f>
        <v>-0.19011091474567454</v>
      </c>
      <c r="U49" s="28">
        <f t="shared" si="2"/>
        <v>-0.29424296560964719</v>
      </c>
    </row>
    <row r="50" spans="1:21" x14ac:dyDescent="0.25">
      <c r="B50" s="9"/>
      <c r="C50" s="17">
        <v>979.48</v>
      </c>
      <c r="D50" s="18">
        <v>31.972000000000001</v>
      </c>
      <c r="E50" s="18">
        <v>36.216000000000001</v>
      </c>
      <c r="F50" s="18">
        <v>37.908999999999999</v>
      </c>
      <c r="G50" s="18">
        <v>24.98</v>
      </c>
      <c r="H50" s="18">
        <f t="shared" si="0"/>
        <v>33.244624999999999</v>
      </c>
      <c r="I50" s="5"/>
      <c r="J50" s="17">
        <v>795.08720000000005</v>
      </c>
      <c r="K50" s="18">
        <v>31.668399999999998</v>
      </c>
      <c r="L50" s="18">
        <v>36.511299999999999</v>
      </c>
      <c r="M50" s="18">
        <v>38.106699999999996</v>
      </c>
      <c r="N50" s="18">
        <v>18.9466</v>
      </c>
      <c r="O50" s="18">
        <f t="shared" si="1"/>
        <v>33.07855</v>
      </c>
      <c r="P50" s="7"/>
      <c r="Q50" s="10"/>
      <c r="R50" s="11"/>
      <c r="S50" s="11"/>
      <c r="T50" s="26"/>
      <c r="U50" s="28">
        <f t="shared" si="2"/>
        <v>-0.24152922337870297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28.28</v>
      </c>
      <c r="H51" s="18">
        <f t="shared" si="0"/>
        <v>31.553000000000001</v>
      </c>
      <c r="I51" s="5"/>
      <c r="J51" s="17">
        <v>492.62079999999997</v>
      </c>
      <c r="K51" s="18">
        <v>29.994599999999998</v>
      </c>
      <c r="L51" s="18">
        <v>35.650199999999998</v>
      </c>
      <c r="M51" s="18">
        <v>37.255000000000003</v>
      </c>
      <c r="N51" s="18">
        <v>22.8659</v>
      </c>
      <c r="O51" s="18">
        <f t="shared" si="1"/>
        <v>31.609099999999998</v>
      </c>
      <c r="P51" s="7"/>
      <c r="Q51" s="10"/>
      <c r="R51" s="11"/>
      <c r="S51" s="11"/>
      <c r="T51" s="26"/>
      <c r="U51" s="28">
        <f t="shared" si="2"/>
        <v>-0.19144625176803398</v>
      </c>
    </row>
    <row r="52" spans="1:21" ht="16.5" thickBot="1" x14ac:dyDescent="0.3">
      <c r="B52" s="12"/>
      <c r="C52" s="19">
        <v>382.43</v>
      </c>
      <c r="D52" s="20">
        <v>28.099</v>
      </c>
      <c r="E52" s="20">
        <v>34.341000000000001</v>
      </c>
      <c r="F52" s="20">
        <v>35.783999999999999</v>
      </c>
      <c r="G52" s="20">
        <v>32.99</v>
      </c>
      <c r="H52" s="20">
        <f t="shared" si="0"/>
        <v>29.839874999999999</v>
      </c>
      <c r="I52" s="5"/>
      <c r="J52" s="19">
        <v>296.79759999999999</v>
      </c>
      <c r="K52" s="20">
        <v>28.3766</v>
      </c>
      <c r="L52" s="20">
        <v>34.876199999999997</v>
      </c>
      <c r="M52" s="20">
        <v>36.4651</v>
      </c>
      <c r="N52" s="20">
        <v>29.723600000000001</v>
      </c>
      <c r="O52" s="20">
        <f t="shared" si="1"/>
        <v>30.200112500000003</v>
      </c>
      <c r="P52" s="7"/>
      <c r="Q52" s="13"/>
      <c r="R52" s="14"/>
      <c r="S52" s="14"/>
      <c r="T52" s="27"/>
      <c r="U52" s="28">
        <f t="shared" si="2"/>
        <v>-9.9011821764170976E-2</v>
      </c>
    </row>
    <row r="53" spans="1:21" x14ac:dyDescent="0.25">
      <c r="A53" s="6" t="s">
        <v>41</v>
      </c>
      <c r="B53" s="6" t="s">
        <v>57</v>
      </c>
      <c r="C53" s="15">
        <v>850.79</v>
      </c>
      <c r="D53" s="16">
        <v>36.146000000000001</v>
      </c>
      <c r="E53" s="16">
        <v>39.966999999999999</v>
      </c>
      <c r="F53" s="16">
        <v>38.777000000000001</v>
      </c>
      <c r="G53" s="16">
        <v>94.84</v>
      </c>
      <c r="H53" s="16">
        <f t="shared" si="0"/>
        <v>36.952500000000001</v>
      </c>
      <c r="I53" s="5"/>
      <c r="J53" s="15">
        <v>609.59439999999995</v>
      </c>
      <c r="K53" s="16">
        <v>35.4345</v>
      </c>
      <c r="L53" s="16">
        <v>40.421300000000002</v>
      </c>
      <c r="M53" s="16">
        <v>38.930599999999998</v>
      </c>
      <c r="N53" s="16">
        <v>65.677099999999996</v>
      </c>
      <c r="O53" s="16">
        <f t="shared" si="1"/>
        <v>36.494862499999996</v>
      </c>
      <c r="P53" s="7"/>
      <c r="Q53" s="8">
        <f>bdrate(C53:C56,D53:D56,J53:J56,K53:K56)</f>
        <v>-0.21741257070311448</v>
      </c>
      <c r="R53" s="8">
        <f>bdrate(C53:C56,E53:E56,J53:J56,L53:L56)</f>
        <v>-0.40887571760694397</v>
      </c>
      <c r="S53" s="8">
        <f>bdrate(C53:C56,F53:F56,J53:J56,M53:M56)</f>
        <v>-0.35905603067690217</v>
      </c>
      <c r="T53" s="25">
        <f>bdrate(C53:C56,H53:H56,J53:J56,O53:O56)</f>
        <v>-0.24633377608855678</v>
      </c>
      <c r="U53" s="28">
        <f t="shared" si="2"/>
        <v>-0.30749578237030795</v>
      </c>
    </row>
    <row r="54" spans="1:21" x14ac:dyDescent="0.25">
      <c r="A54" s="9" t="s">
        <v>42</v>
      </c>
      <c r="B54" s="9"/>
      <c r="C54" s="17">
        <v>532.89</v>
      </c>
      <c r="D54" s="18">
        <v>33.826999999999998</v>
      </c>
      <c r="E54" s="18">
        <v>38.631</v>
      </c>
      <c r="F54" s="18">
        <v>37.200000000000003</v>
      </c>
      <c r="G54" s="18">
        <v>106.5</v>
      </c>
      <c r="H54" s="18">
        <f t="shared" si="0"/>
        <v>34.849125000000001</v>
      </c>
      <c r="I54" s="5"/>
      <c r="J54" s="17">
        <v>405.916</v>
      </c>
      <c r="K54" s="18">
        <v>33.551299999999998</v>
      </c>
      <c r="L54" s="18">
        <v>39.251199999999997</v>
      </c>
      <c r="M54" s="18">
        <v>37.595799999999997</v>
      </c>
      <c r="N54" s="18">
        <v>78.369900000000001</v>
      </c>
      <c r="O54" s="18">
        <f t="shared" si="1"/>
        <v>34.769349999999996</v>
      </c>
      <c r="P54" s="7"/>
      <c r="Q54" s="10"/>
      <c r="R54" s="11"/>
      <c r="S54" s="11"/>
      <c r="T54" s="26"/>
      <c r="U54" s="28">
        <f t="shared" si="2"/>
        <v>-0.26413239436619718</v>
      </c>
    </row>
    <row r="55" spans="1:21" x14ac:dyDescent="0.25">
      <c r="B55" s="9"/>
      <c r="C55" s="17">
        <v>320.8</v>
      </c>
      <c r="D55" s="18">
        <v>31.478000000000002</v>
      </c>
      <c r="E55" s="18">
        <v>37.417999999999999</v>
      </c>
      <c r="F55" s="18">
        <v>35.713000000000001</v>
      </c>
      <c r="G55" s="18">
        <v>121.89</v>
      </c>
      <c r="H55" s="18">
        <f t="shared" si="0"/>
        <v>32.749875000000003</v>
      </c>
      <c r="I55" s="5"/>
      <c r="J55" s="17">
        <v>253.6936</v>
      </c>
      <c r="K55" s="18">
        <v>31.515999999999998</v>
      </c>
      <c r="L55" s="18">
        <v>38.085599999999999</v>
      </c>
      <c r="M55" s="18">
        <v>36.349699999999999</v>
      </c>
      <c r="N55" s="18">
        <v>95.950900000000004</v>
      </c>
      <c r="O55" s="18">
        <f t="shared" si="1"/>
        <v>32.941412499999998</v>
      </c>
      <c r="P55" s="7"/>
      <c r="Q55" s="10"/>
      <c r="R55" s="11"/>
      <c r="S55" s="11"/>
      <c r="T55" s="26"/>
      <c r="U55" s="28">
        <f t="shared" si="2"/>
        <v>-0.21280744933956844</v>
      </c>
    </row>
    <row r="56" spans="1:21" ht="16.5" thickBot="1" x14ac:dyDescent="0.3">
      <c r="B56" s="12"/>
      <c r="C56" s="19">
        <v>161.97999999999999</v>
      </c>
      <c r="D56" s="20">
        <v>28.443000000000001</v>
      </c>
      <c r="E56" s="20">
        <v>36.069000000000003</v>
      </c>
      <c r="F56" s="20">
        <v>34.008000000000003</v>
      </c>
      <c r="G56" s="20">
        <v>154.13</v>
      </c>
      <c r="H56" s="20">
        <f t="shared" si="0"/>
        <v>30.091875000000005</v>
      </c>
      <c r="I56" s="5"/>
      <c r="J56" s="19">
        <v>121.2512</v>
      </c>
      <c r="K56" s="20">
        <v>28.656199999999998</v>
      </c>
      <c r="L56" s="20">
        <v>36.618000000000002</v>
      </c>
      <c r="M56" s="20">
        <v>34.576799999999999</v>
      </c>
      <c r="N56" s="20">
        <v>138.15969999999999</v>
      </c>
      <c r="O56" s="20">
        <f t="shared" si="1"/>
        <v>30.391499999999997</v>
      </c>
      <c r="P56" s="7"/>
      <c r="Q56" s="13"/>
      <c r="R56" s="14"/>
      <c r="S56" s="14"/>
      <c r="T56" s="27"/>
      <c r="U56" s="28">
        <f t="shared" si="2"/>
        <v>-0.10361577888795179</v>
      </c>
    </row>
    <row r="57" spans="1:21" x14ac:dyDescent="0.25">
      <c r="B57" s="6" t="s">
        <v>119</v>
      </c>
      <c r="C57" s="15">
        <v>742.03</v>
      </c>
      <c r="D57" s="16">
        <v>32.997999999999998</v>
      </c>
      <c r="E57" s="16">
        <v>39.741999999999997</v>
      </c>
      <c r="F57" s="16">
        <v>40.506</v>
      </c>
      <c r="G57" s="16">
        <v>126.96</v>
      </c>
      <c r="H57" s="16">
        <f t="shared" si="0"/>
        <v>34.779499999999999</v>
      </c>
      <c r="I57" s="5"/>
      <c r="J57" s="15">
        <v>581.7088</v>
      </c>
      <c r="K57" s="16">
        <v>34.269799999999996</v>
      </c>
      <c r="L57" s="16">
        <v>41.517400000000002</v>
      </c>
      <c r="M57" s="16">
        <v>42.3932</v>
      </c>
      <c r="N57" s="16">
        <v>94.265500000000003</v>
      </c>
      <c r="O57" s="16">
        <f t="shared" si="1"/>
        <v>36.191174999999994</v>
      </c>
      <c r="P57" s="7"/>
      <c r="Q57" s="8">
        <f>bdrate(C57:C60,D57:D60,J57:J60,K57:K60)</f>
        <v>-0.49224448250047548</v>
      </c>
      <c r="R57" s="8">
        <f>bdrate(C57:C60,E57:E60,J57:J60,L57:L60)</f>
        <v>-0.5561861591397913</v>
      </c>
      <c r="S57" s="8">
        <f>bdrate(C57:C60,F57:F60,J57:J60,M57:M60)</f>
        <v>-0.63027231336164657</v>
      </c>
      <c r="T57" s="25">
        <f>bdrate(C57:C60,H57:H60,J57:J60,O57:O60)</f>
        <v>-0.50904186228287884</v>
      </c>
      <c r="U57" s="28">
        <f t="shared" si="2"/>
        <v>-0.25751811594202895</v>
      </c>
    </row>
    <row r="58" spans="1:21" x14ac:dyDescent="0.25">
      <c r="B58" s="9"/>
      <c r="C58" s="17">
        <v>457.53</v>
      </c>
      <c r="D58" s="18">
        <v>31.273</v>
      </c>
      <c r="E58" s="18">
        <v>39.170999999999999</v>
      </c>
      <c r="F58" s="18">
        <v>39.723999999999997</v>
      </c>
      <c r="G58" s="18">
        <v>140.91</v>
      </c>
      <c r="H58" s="18">
        <f t="shared" si="0"/>
        <v>33.316625000000002</v>
      </c>
      <c r="I58" s="5"/>
      <c r="J58" s="17">
        <v>386.04719999999998</v>
      </c>
      <c r="K58" s="18">
        <v>32.929200000000002</v>
      </c>
      <c r="L58" s="18">
        <v>40.466299999999997</v>
      </c>
      <c r="M58" s="18">
        <v>41.284500000000001</v>
      </c>
      <c r="N58" s="18">
        <v>116.8907</v>
      </c>
      <c r="O58" s="18">
        <f t="shared" si="1"/>
        <v>34.915749999999996</v>
      </c>
      <c r="P58" s="7"/>
      <c r="Q58" s="10"/>
      <c r="R58" s="11"/>
      <c r="S58" s="11"/>
      <c r="T58" s="26"/>
      <c r="U58" s="28">
        <f t="shared" si="2"/>
        <v>-0.17045844865516999</v>
      </c>
    </row>
    <row r="59" spans="1:21" x14ac:dyDescent="0.25">
      <c r="B59" s="9"/>
      <c r="C59" s="17">
        <v>271.64</v>
      </c>
      <c r="D59" s="18">
        <v>29.402000000000001</v>
      </c>
      <c r="E59" s="18">
        <v>38.652000000000001</v>
      </c>
      <c r="F59" s="18">
        <v>38.920999999999999</v>
      </c>
      <c r="G59" s="18">
        <v>156.99</v>
      </c>
      <c r="H59" s="18">
        <f t="shared" si="0"/>
        <v>31.748125000000002</v>
      </c>
      <c r="I59" s="5"/>
      <c r="J59" s="17">
        <v>232.69839999999999</v>
      </c>
      <c r="K59" s="18">
        <v>31.274100000000001</v>
      </c>
      <c r="L59" s="18">
        <v>39.499099999999999</v>
      </c>
      <c r="M59" s="18">
        <v>40.299700000000001</v>
      </c>
      <c r="N59" s="18">
        <v>161.59440000000001</v>
      </c>
      <c r="O59" s="18">
        <f t="shared" si="1"/>
        <v>33.430425</v>
      </c>
      <c r="P59" s="7"/>
      <c r="Q59" s="10"/>
      <c r="R59" s="11"/>
      <c r="S59" s="11"/>
      <c r="T59" s="26"/>
      <c r="U59" s="28">
        <f t="shared" si="2"/>
        <v>2.932925664055034E-2</v>
      </c>
    </row>
    <row r="60" spans="1:21" ht="16.5" thickBot="1" x14ac:dyDescent="0.3">
      <c r="B60" s="12"/>
      <c r="C60" s="19">
        <v>134.47</v>
      </c>
      <c r="D60" s="20">
        <v>26.803999999999998</v>
      </c>
      <c r="E60" s="20">
        <v>37.975999999999999</v>
      </c>
      <c r="F60" s="20">
        <v>38.081000000000003</v>
      </c>
      <c r="G60" s="20">
        <v>184.05</v>
      </c>
      <c r="H60" s="20">
        <f t="shared" si="0"/>
        <v>29.610124999999996</v>
      </c>
      <c r="I60" s="5"/>
      <c r="J60" s="19">
        <v>110.8784</v>
      </c>
      <c r="K60" s="20">
        <v>28.701499999999999</v>
      </c>
      <c r="L60" s="20">
        <v>38.332900000000002</v>
      </c>
      <c r="M60" s="20">
        <v>38.981900000000003</v>
      </c>
      <c r="N60" s="20">
        <v>253.05779999999999</v>
      </c>
      <c r="O60" s="20">
        <f t="shared" si="1"/>
        <v>31.190474999999999</v>
      </c>
      <c r="P60" s="7"/>
      <c r="Q60" s="13"/>
      <c r="R60" s="14"/>
      <c r="S60" s="14"/>
      <c r="T60" s="27"/>
      <c r="U60" s="28">
        <f t="shared" si="2"/>
        <v>0.37494050529747336</v>
      </c>
    </row>
    <row r="61" spans="1:21" x14ac:dyDescent="0.25">
      <c r="B61" s="6" t="s">
        <v>59</v>
      </c>
      <c r="C61" s="29">
        <v>828.98</v>
      </c>
      <c r="D61" s="30">
        <v>34.072000000000003</v>
      </c>
      <c r="E61" s="30">
        <v>37.503</v>
      </c>
      <c r="F61" s="30">
        <v>37.972999999999999</v>
      </c>
      <c r="G61" s="16">
        <v>112.46</v>
      </c>
      <c r="H61" s="16">
        <f t="shared" si="0"/>
        <v>34.988500000000002</v>
      </c>
      <c r="I61" s="5"/>
      <c r="J61" s="29">
        <v>601.03840000000002</v>
      </c>
      <c r="K61" s="30">
        <v>33.718800000000002</v>
      </c>
      <c r="L61" s="30">
        <v>38.363599999999998</v>
      </c>
      <c r="M61" s="30">
        <v>39.125300000000003</v>
      </c>
      <c r="N61" s="16">
        <v>88.308000000000007</v>
      </c>
      <c r="O61" s="16">
        <f t="shared" si="1"/>
        <v>34.975212499999998</v>
      </c>
      <c r="P61" s="7"/>
      <c r="Q61" s="8">
        <f>bdrate(C61:C64,D61:D64,J61:J64,K61:K64)</f>
        <v>-0.25457957730597658</v>
      </c>
      <c r="R61" s="8">
        <f>bdrate(C61:C64,E61:E64,J61:J64,L61:L64)</f>
        <v>-0.46812784552759557</v>
      </c>
      <c r="S61" s="8">
        <f>bdrate(C61:C64,F61:F64,J61:J64,M61:M64)</f>
        <v>-0.51932967167609934</v>
      </c>
      <c r="T61" s="25">
        <f>bdrate(C61:C64,H61:H64,J61:J64,O61:O64)</f>
        <v>-0.29752922069714127</v>
      </c>
      <c r="U61" s="28">
        <f t="shared" si="2"/>
        <v>-0.21476080384136573</v>
      </c>
    </row>
    <row r="62" spans="1:21" x14ac:dyDescent="0.25">
      <c r="B62" s="9"/>
      <c r="C62" s="31">
        <v>516.67999999999995</v>
      </c>
      <c r="D62" s="32">
        <v>32.109000000000002</v>
      </c>
      <c r="E62" s="32">
        <v>36.283000000000001</v>
      </c>
      <c r="F62" s="32">
        <v>36.744999999999997</v>
      </c>
      <c r="G62" s="18">
        <v>122.34</v>
      </c>
      <c r="H62" s="18">
        <f t="shared" si="0"/>
        <v>33.210250000000002</v>
      </c>
      <c r="I62" s="5"/>
      <c r="J62" s="31">
        <v>398.65359999999998</v>
      </c>
      <c r="K62" s="32">
        <v>32.146900000000002</v>
      </c>
      <c r="L62" s="32">
        <v>37.136099999999999</v>
      </c>
      <c r="M62" s="32">
        <v>37.873800000000003</v>
      </c>
      <c r="N62" s="18">
        <v>107.5731</v>
      </c>
      <c r="O62" s="18">
        <f t="shared" si="1"/>
        <v>33.4864125</v>
      </c>
      <c r="P62" s="7"/>
      <c r="Q62" s="10"/>
      <c r="R62" s="11"/>
      <c r="S62" s="11"/>
      <c r="T62" s="26"/>
      <c r="U62" s="28">
        <f t="shared" si="2"/>
        <v>-0.1207037763609613</v>
      </c>
    </row>
    <row r="63" spans="1:21" x14ac:dyDescent="0.25">
      <c r="B63" s="9"/>
      <c r="C63" s="31">
        <v>307.94</v>
      </c>
      <c r="D63" s="32">
        <v>30.103000000000002</v>
      </c>
      <c r="E63" s="32">
        <v>35.295000000000002</v>
      </c>
      <c r="F63" s="32">
        <v>35.789000000000001</v>
      </c>
      <c r="G63" s="18">
        <v>134.12</v>
      </c>
      <c r="H63" s="18">
        <f t="shared" si="0"/>
        <v>31.46275</v>
      </c>
      <c r="I63" s="5"/>
      <c r="J63" s="31">
        <v>247.0712</v>
      </c>
      <c r="K63" s="32">
        <v>30.404399999999999</v>
      </c>
      <c r="L63" s="32">
        <v>36.105200000000004</v>
      </c>
      <c r="M63" s="32">
        <v>36.783799999999999</v>
      </c>
      <c r="N63" s="18">
        <v>132.4503</v>
      </c>
      <c r="O63" s="18">
        <f t="shared" si="1"/>
        <v>31.914425000000001</v>
      </c>
      <c r="P63" s="7"/>
      <c r="Q63" s="10"/>
      <c r="R63" s="11"/>
      <c r="S63" s="11"/>
      <c r="T63" s="26"/>
      <c r="U63" s="28">
        <f t="shared" si="2"/>
        <v>-1.2449299135102936E-2</v>
      </c>
    </row>
    <row r="64" spans="1:21" ht="16.5" thickBot="1" x14ac:dyDescent="0.3">
      <c r="B64" s="12"/>
      <c r="C64" s="33">
        <v>151.28</v>
      </c>
      <c r="D64" s="34">
        <v>27.585000000000001</v>
      </c>
      <c r="E64" s="34">
        <v>34.149000000000001</v>
      </c>
      <c r="F64" s="34">
        <v>34.689</v>
      </c>
      <c r="G64" s="20">
        <v>157.13</v>
      </c>
      <c r="H64" s="20">
        <f t="shared" si="0"/>
        <v>29.293499999999998</v>
      </c>
      <c r="I64" s="5"/>
      <c r="J64" s="33">
        <v>118.3776</v>
      </c>
      <c r="K64" s="34">
        <v>27.948899999999998</v>
      </c>
      <c r="L64" s="34">
        <v>34.7151</v>
      </c>
      <c r="M64" s="34">
        <v>35.365400000000001</v>
      </c>
      <c r="N64" s="20">
        <v>189.68129999999999</v>
      </c>
      <c r="O64" s="20">
        <f t="shared" si="1"/>
        <v>29.7217375</v>
      </c>
      <c r="P64" s="7"/>
      <c r="Q64" s="13"/>
      <c r="R64" s="14"/>
      <c r="S64" s="14"/>
      <c r="T64" s="27"/>
      <c r="U64" s="28">
        <f t="shared" si="2"/>
        <v>0.20716158594794118</v>
      </c>
    </row>
    <row r="65" spans="1:21" x14ac:dyDescent="0.25">
      <c r="B65" s="6" t="s">
        <v>60</v>
      </c>
      <c r="C65" s="15">
        <v>764.04</v>
      </c>
      <c r="D65" s="16">
        <v>35.875999999999998</v>
      </c>
      <c r="E65" s="16">
        <v>37.972999999999999</v>
      </c>
      <c r="F65" s="16">
        <v>39.107999999999997</v>
      </c>
      <c r="G65" s="16">
        <v>73.400000000000006</v>
      </c>
      <c r="H65" s="16">
        <f t="shared" si="0"/>
        <v>36.542124999999999</v>
      </c>
      <c r="I65" s="5"/>
      <c r="J65" s="15">
        <v>613.95360000000005</v>
      </c>
      <c r="K65" s="16">
        <v>35.030099999999997</v>
      </c>
      <c r="L65" s="16">
        <v>38.4116</v>
      </c>
      <c r="M65" s="16">
        <v>39.508400000000002</v>
      </c>
      <c r="N65" s="16">
        <v>49.180300000000003</v>
      </c>
      <c r="O65" s="16">
        <f t="shared" si="1"/>
        <v>36.012574999999998</v>
      </c>
      <c r="P65" s="7"/>
      <c r="Q65" s="8">
        <f>bdrate(C65:C68,D65:D68,J65:J68,K65:K68)</f>
        <v>-9.2985444630490632E-2</v>
      </c>
      <c r="R65" s="8">
        <f>bdrate(C65:C68,E65:E68,J65:J68,L65:L68)</f>
        <v>-0.32565451833626002</v>
      </c>
      <c r="S65" s="8">
        <f>bdrate(C65:C68,F65:F68,J65:J68,M65:M68)</f>
        <v>-0.31476029244274328</v>
      </c>
      <c r="T65" s="25">
        <f>bdrate(C65:C68,H65:H68,J65:J68,O65:O68)</f>
        <v>-0.13297951115747186</v>
      </c>
      <c r="U65" s="28">
        <f t="shared" si="2"/>
        <v>-0.32996866485013626</v>
      </c>
    </row>
    <row r="66" spans="1:21" x14ac:dyDescent="0.25">
      <c r="B66" s="9"/>
      <c r="C66" s="17">
        <v>480.01</v>
      </c>
      <c r="D66" s="18">
        <v>33.563000000000002</v>
      </c>
      <c r="E66" s="18">
        <v>36.640999999999998</v>
      </c>
      <c r="F66" s="18">
        <v>37.805999999999997</v>
      </c>
      <c r="G66" s="18">
        <v>81.5</v>
      </c>
      <c r="H66" s="18">
        <f t="shared" si="0"/>
        <v>34.478124999999999</v>
      </c>
      <c r="I66" s="5"/>
      <c r="J66" s="17">
        <v>410.24880000000002</v>
      </c>
      <c r="K66" s="18">
        <v>33.128300000000003</v>
      </c>
      <c r="L66" s="18">
        <v>37.214599999999997</v>
      </c>
      <c r="M66" s="18">
        <v>38.3264</v>
      </c>
      <c r="N66" s="18">
        <v>60.471699999999998</v>
      </c>
      <c r="O66" s="18">
        <f t="shared" si="1"/>
        <v>34.288850000000004</v>
      </c>
      <c r="P66" s="7"/>
      <c r="Q66" s="10"/>
      <c r="R66" s="11"/>
      <c r="S66" s="11"/>
      <c r="T66" s="26"/>
      <c r="U66" s="28">
        <f t="shared" si="2"/>
        <v>-0.25801595092024543</v>
      </c>
    </row>
    <row r="67" spans="1:21" x14ac:dyDescent="0.25">
      <c r="B67" s="9"/>
      <c r="C67" s="17">
        <v>289.07</v>
      </c>
      <c r="D67" s="18">
        <v>31.242999999999999</v>
      </c>
      <c r="E67" s="18">
        <v>35.392000000000003</v>
      </c>
      <c r="F67" s="18">
        <v>36.533999999999999</v>
      </c>
      <c r="G67" s="18">
        <v>91.58</v>
      </c>
      <c r="H67" s="18">
        <f t="shared" si="0"/>
        <v>32.423000000000002</v>
      </c>
      <c r="I67" s="5"/>
      <c r="J67" s="17">
        <v>251.05840000000001</v>
      </c>
      <c r="K67" s="18">
        <v>31.059100000000001</v>
      </c>
      <c r="L67" s="18">
        <v>35.968200000000003</v>
      </c>
      <c r="M67" s="18">
        <v>37.093400000000003</v>
      </c>
      <c r="N67" s="18">
        <v>74.552700000000002</v>
      </c>
      <c r="O67" s="18">
        <f t="shared" si="1"/>
        <v>32.427025</v>
      </c>
      <c r="P67" s="7"/>
      <c r="Q67" s="10"/>
      <c r="R67" s="11"/>
      <c r="S67" s="11"/>
      <c r="T67" s="26"/>
      <c r="U67" s="28">
        <f t="shared" si="2"/>
        <v>-0.18592815025114651</v>
      </c>
    </row>
    <row r="68" spans="1:21" ht="16.5" thickBot="1" x14ac:dyDescent="0.3">
      <c r="B68" s="12"/>
      <c r="C68" s="19">
        <v>145.16999999999999</v>
      </c>
      <c r="D68" s="20">
        <v>28.408999999999999</v>
      </c>
      <c r="E68" s="20">
        <v>33.960999999999999</v>
      </c>
      <c r="F68" s="20">
        <v>34.948999999999998</v>
      </c>
      <c r="G68" s="20">
        <v>113.12</v>
      </c>
      <c r="H68" s="20">
        <f t="shared" si="0"/>
        <v>29.920500000000004</v>
      </c>
      <c r="I68" s="5"/>
      <c r="J68" s="19">
        <v>119.5608</v>
      </c>
      <c r="K68" s="20">
        <v>28.398800000000001</v>
      </c>
      <c r="L68" s="20">
        <v>34.542499999999997</v>
      </c>
      <c r="M68" s="20">
        <v>35.556100000000001</v>
      </c>
      <c r="N68" s="20">
        <v>110.538</v>
      </c>
      <c r="O68" s="20">
        <f t="shared" si="1"/>
        <v>30.061425</v>
      </c>
      <c r="P68" s="7"/>
      <c r="Q68" s="13"/>
      <c r="R68" s="14"/>
      <c r="S68" s="14"/>
      <c r="T68" s="27"/>
      <c r="U68" s="28">
        <f t="shared" si="2"/>
        <v>-2.2825318246110393E-2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24.3</v>
      </c>
      <c r="H69" s="16">
        <f t="shared" si="0"/>
        <v>42.616124999999997</v>
      </c>
      <c r="I69" s="5"/>
      <c r="J69" s="15">
        <v>1413.2983999999999</v>
      </c>
      <c r="K69" s="16">
        <v>41.838099999999997</v>
      </c>
      <c r="L69" s="16">
        <v>46.1357</v>
      </c>
      <c r="M69" s="16">
        <v>47.332500000000003</v>
      </c>
      <c r="N69" s="16">
        <v>22.530999999999999</v>
      </c>
      <c r="O69" s="16">
        <f t="shared" si="1"/>
        <v>43.062099999999994</v>
      </c>
      <c r="P69" s="7"/>
      <c r="Q69" s="8">
        <f>bdrate(C69:C72,D69:D72,J69:J72,K69:K72)</f>
        <v>-0.38172440754223624</v>
      </c>
      <c r="R69" s="8">
        <f>bdrate(C69:C72,E69:E72,J69:J72,L69:L72)</f>
        <v>-0.5438271756300963</v>
      </c>
      <c r="S69" s="8">
        <f>bdrate(C69:C72,F69:F72,J69:J72,M69:M72)</f>
        <v>-0.53990273942767497</v>
      </c>
      <c r="T69" s="25">
        <f>bdrate(C69:C72,H69:H72,J69:J72,O69:O72)</f>
        <v>-0.41734125076544859</v>
      </c>
      <c r="U69" s="28">
        <f t="shared" si="2"/>
        <v>-7.2798353909465097E-2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26.36</v>
      </c>
      <c r="H70" s="18">
        <f t="shared" si="0"/>
        <v>41.453749999999999</v>
      </c>
      <c r="I70" s="5"/>
      <c r="J70" s="17">
        <v>953.64800000000002</v>
      </c>
      <c r="K70" s="18">
        <v>40.905500000000004</v>
      </c>
      <c r="L70" s="18">
        <v>45.298699999999997</v>
      </c>
      <c r="M70" s="18">
        <v>46.474200000000003</v>
      </c>
      <c r="N70" s="18">
        <v>27.811299999999999</v>
      </c>
      <c r="O70" s="18">
        <f t="shared" si="1"/>
        <v>42.150737500000005</v>
      </c>
      <c r="P70" s="7"/>
      <c r="Q70" s="10"/>
      <c r="R70" s="11"/>
      <c r="S70" s="11"/>
      <c r="T70" s="26"/>
      <c r="U70" s="28">
        <f t="shared" si="2"/>
        <v>5.5056904400606975E-2</v>
      </c>
    </row>
    <row r="71" spans="1:21" x14ac:dyDescent="0.25">
      <c r="B71" s="9"/>
      <c r="C71" s="17">
        <v>740.14</v>
      </c>
      <c r="D71" s="18">
        <v>38.362000000000002</v>
      </c>
      <c r="E71" s="18">
        <v>42.456000000000003</v>
      </c>
      <c r="F71" s="18">
        <v>43.603000000000002</v>
      </c>
      <c r="G71" s="18">
        <v>29.4</v>
      </c>
      <c r="H71" s="18">
        <f t="shared" si="0"/>
        <v>39.528875000000006</v>
      </c>
      <c r="I71" s="5"/>
      <c r="J71" s="17">
        <v>562.90639999999996</v>
      </c>
      <c r="K71" s="18">
        <v>39.183</v>
      </c>
      <c r="L71" s="18">
        <v>43.898299999999999</v>
      </c>
      <c r="M71" s="18">
        <v>45.0321</v>
      </c>
      <c r="N71" s="18">
        <v>35.910899999999998</v>
      </c>
      <c r="O71" s="18">
        <f t="shared" si="1"/>
        <v>40.503550000000004</v>
      </c>
      <c r="P71" s="7"/>
      <c r="Q71" s="10"/>
      <c r="R71" s="11"/>
      <c r="S71" s="11"/>
      <c r="T71" s="26"/>
      <c r="U71" s="28">
        <f t="shared" si="2"/>
        <v>0.22145918367346937</v>
      </c>
    </row>
    <row r="72" spans="1:21" ht="16.5" thickBot="1" x14ac:dyDescent="0.3">
      <c r="B72" s="12"/>
      <c r="C72" s="19">
        <v>338.88</v>
      </c>
      <c r="D72" s="20">
        <v>34.116</v>
      </c>
      <c r="E72" s="20">
        <v>40.308999999999997</v>
      </c>
      <c r="F72" s="20">
        <v>41.255000000000003</v>
      </c>
      <c r="G72" s="20">
        <v>35.840000000000003</v>
      </c>
      <c r="H72" s="20">
        <f t="shared" si="0"/>
        <v>35.782499999999999</v>
      </c>
      <c r="I72" s="5"/>
      <c r="J72" s="19">
        <v>280.32159999999999</v>
      </c>
      <c r="K72" s="20">
        <v>36.295900000000003</v>
      </c>
      <c r="L72" s="20">
        <v>42.122500000000002</v>
      </c>
      <c r="M72" s="20">
        <v>43.224299999999999</v>
      </c>
      <c r="N72" s="20">
        <v>49.244900000000001</v>
      </c>
      <c r="O72" s="20">
        <f t="shared" si="1"/>
        <v>37.890275000000003</v>
      </c>
      <c r="P72" s="7"/>
      <c r="Q72" s="13"/>
      <c r="R72" s="14"/>
      <c r="S72" s="14"/>
      <c r="T72" s="27"/>
      <c r="U72" s="28">
        <f t="shared" si="2"/>
        <v>0.37402064732142848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23.27</v>
      </c>
      <c r="H73" s="16">
        <f t="shared" si="0"/>
        <v>43.655499999999996</v>
      </c>
      <c r="I73" s="5"/>
      <c r="J73" s="15">
        <v>1458.5648000000001</v>
      </c>
      <c r="K73" s="16">
        <v>42.896700000000003</v>
      </c>
      <c r="L73" s="16">
        <v>48.205800000000004</v>
      </c>
      <c r="M73" s="16">
        <v>48.842199999999998</v>
      </c>
      <c r="N73" s="16">
        <v>25.657499999999999</v>
      </c>
      <c r="O73" s="16">
        <f t="shared" si="1"/>
        <v>44.303525</v>
      </c>
      <c r="P73" s="7"/>
      <c r="Q73" s="8">
        <f>bdrate(C73:C76,D73:D76,J73:J76,K73:K76)</f>
        <v>-0.54460722529664651</v>
      </c>
      <c r="R73" s="8">
        <f>bdrate(C73:C76,E73:E76,J73:J76,L73:L76)</f>
        <v>-0.72027578730803243</v>
      </c>
      <c r="S73" s="8">
        <f>bdrate(C73:C76,F73:F76,J73:J76,M73:M76)</f>
        <v>-0.75336464874379017</v>
      </c>
      <c r="T73" s="25">
        <f>bdrate(C73:C76,H73:H76,J73:J76,O73:O76)</f>
        <v>-0.60776928567941724</v>
      </c>
      <c r="U73" s="28">
        <f t="shared" ref="U73:U91" si="3">(N73-G73)/G73</f>
        <v>0.10259991405242799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25.17</v>
      </c>
      <c r="H74" s="18">
        <f t="shared" si="0"/>
        <v>42.92</v>
      </c>
      <c r="I74" s="5"/>
      <c r="J74" s="17">
        <v>975.01760000000002</v>
      </c>
      <c r="K74" s="18">
        <v>42.4773</v>
      </c>
      <c r="L74" s="18">
        <v>47.780799999999999</v>
      </c>
      <c r="M74" s="18">
        <v>48.427700000000002</v>
      </c>
      <c r="N74" s="18">
        <v>31.892800000000001</v>
      </c>
      <c r="O74" s="18">
        <f t="shared" si="1"/>
        <v>43.884037499999998</v>
      </c>
      <c r="P74" s="7"/>
      <c r="Q74" s="10"/>
      <c r="R74" s="11"/>
      <c r="S74" s="11"/>
      <c r="T74" s="26"/>
      <c r="U74" s="28">
        <f t="shared" si="3"/>
        <v>0.26709574890742943</v>
      </c>
    </row>
    <row r="75" spans="1:21" x14ac:dyDescent="0.25">
      <c r="B75" s="9"/>
      <c r="C75" s="17">
        <v>762.47</v>
      </c>
      <c r="D75" s="18">
        <v>40.701999999999998</v>
      </c>
      <c r="E75" s="18">
        <v>44.783000000000001</v>
      </c>
      <c r="F75" s="18">
        <v>45.189</v>
      </c>
      <c r="G75" s="18">
        <v>27.83</v>
      </c>
      <c r="H75" s="18">
        <f t="shared" si="0"/>
        <v>41.773000000000003</v>
      </c>
      <c r="I75" s="5"/>
      <c r="J75" s="17">
        <v>574.58479999999997</v>
      </c>
      <c r="K75" s="18">
        <v>41.743400000000001</v>
      </c>
      <c r="L75" s="18">
        <v>46.9846</v>
      </c>
      <c r="M75" s="18">
        <v>47.632399999999997</v>
      </c>
      <c r="N75" s="18">
        <v>41.6233</v>
      </c>
      <c r="O75" s="18">
        <f t="shared" si="1"/>
        <v>43.134675000000001</v>
      </c>
      <c r="P75" s="7"/>
      <c r="Q75" s="10"/>
      <c r="R75" s="11"/>
      <c r="S75" s="11"/>
      <c r="T75" s="26"/>
      <c r="U75" s="28">
        <f t="shared" si="3"/>
        <v>0.49562702120014385</v>
      </c>
    </row>
    <row r="76" spans="1:21" ht="16.5" thickBot="1" x14ac:dyDescent="0.3">
      <c r="B76" s="12"/>
      <c r="C76" s="19">
        <v>333.15</v>
      </c>
      <c r="D76" s="20">
        <v>37.78</v>
      </c>
      <c r="E76" s="20">
        <v>42.140999999999998</v>
      </c>
      <c r="F76" s="20">
        <v>43.262999999999998</v>
      </c>
      <c r="G76" s="20">
        <v>33.619999999999997</v>
      </c>
      <c r="H76" s="20">
        <f t="shared" si="0"/>
        <v>39.0105</v>
      </c>
      <c r="I76" s="5"/>
      <c r="J76" s="19">
        <v>277.60399999999998</v>
      </c>
      <c r="K76" s="20">
        <v>40.190300000000001</v>
      </c>
      <c r="L76" s="20">
        <v>45.453200000000002</v>
      </c>
      <c r="M76" s="20">
        <v>45.923099999999998</v>
      </c>
      <c r="N76" s="20">
        <v>58.3658</v>
      </c>
      <c r="O76" s="20">
        <f t="shared" si="1"/>
        <v>41.564762499999993</v>
      </c>
      <c r="P76" s="7"/>
      <c r="Q76" s="13"/>
      <c r="R76" s="14"/>
      <c r="S76" s="14"/>
      <c r="T76" s="27"/>
      <c r="U76" s="28">
        <f t="shared" si="3"/>
        <v>0.73604402141582403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22.05</v>
      </c>
      <c r="H77" s="16">
        <f t="shared" si="0"/>
        <v>43.584249999999997</v>
      </c>
      <c r="I77" s="5"/>
      <c r="J77" s="15">
        <v>1471.4576</v>
      </c>
      <c r="K77" s="16">
        <v>42.799199999999999</v>
      </c>
      <c r="L77" s="16">
        <v>47.255200000000002</v>
      </c>
      <c r="M77" s="16">
        <v>48.119199999999999</v>
      </c>
      <c r="N77" s="16">
        <v>22.9621</v>
      </c>
      <c r="O77" s="16">
        <f t="shared" si="1"/>
        <v>44.0212</v>
      </c>
      <c r="P77" s="7"/>
      <c r="Q77" s="8">
        <f>bdrate(C77:C80,D77:D80,J77:J80,K77:K80)</f>
        <v>-0.42877233030918316</v>
      </c>
      <c r="R77" s="8">
        <f>bdrate(C77:C80,E77:E80,J77:J80,L77:L80)</f>
        <v>-0.62671722884974879</v>
      </c>
      <c r="S77" s="8">
        <f>bdrate(C77:C80,F77:F80,J77:J80,M77:M80)</f>
        <v>-0.63683933988456665</v>
      </c>
      <c r="T77" s="25">
        <f>bdrate(C77:C80,H77:H80,J77:J80,O77:O80)</f>
        <v>-0.48608825488346763</v>
      </c>
      <c r="U77" s="28">
        <f t="shared" si="3"/>
        <v>4.1365079365079306E-2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24.14</v>
      </c>
      <c r="H78" s="18">
        <f t="shared" si="0"/>
        <v>42.683375000000005</v>
      </c>
      <c r="I78" s="5"/>
      <c r="J78" s="17">
        <v>977.8</v>
      </c>
      <c r="K78" s="18">
        <v>42.099299999999999</v>
      </c>
      <c r="L78" s="18">
        <v>46.5959</v>
      </c>
      <c r="M78" s="18">
        <v>47.4373</v>
      </c>
      <c r="N78" s="18">
        <v>28.8309</v>
      </c>
      <c r="O78" s="18">
        <f t="shared" si="1"/>
        <v>43.328624999999995</v>
      </c>
      <c r="P78" s="7"/>
      <c r="Q78" s="10"/>
      <c r="R78" s="11"/>
      <c r="S78" s="11"/>
      <c r="T78" s="26"/>
      <c r="U78" s="28">
        <f t="shared" si="3"/>
        <v>0.1943206296603148</v>
      </c>
    </row>
    <row r="79" spans="1:21" x14ac:dyDescent="0.25">
      <c r="B79" s="9"/>
      <c r="C79" s="17">
        <v>805.56</v>
      </c>
      <c r="D79" s="18">
        <v>40.159999999999997</v>
      </c>
      <c r="E79" s="18">
        <v>43.554000000000002</v>
      </c>
      <c r="F79" s="18">
        <v>44.304000000000002</v>
      </c>
      <c r="G79" s="18">
        <v>27.41</v>
      </c>
      <c r="H79" s="18">
        <f t="shared" si="0"/>
        <v>41.102249999999998</v>
      </c>
      <c r="I79" s="5"/>
      <c r="J79" s="17">
        <v>584.47760000000005</v>
      </c>
      <c r="K79" s="18">
        <v>40.898200000000003</v>
      </c>
      <c r="L79" s="18">
        <v>45.5533</v>
      </c>
      <c r="M79" s="18">
        <v>46.3658</v>
      </c>
      <c r="N79" s="18">
        <v>37.561</v>
      </c>
      <c r="O79" s="18">
        <f t="shared" si="1"/>
        <v>42.163537499999997</v>
      </c>
      <c r="P79" s="7"/>
      <c r="Q79" s="10"/>
      <c r="R79" s="11"/>
      <c r="S79" s="11"/>
      <c r="T79" s="26"/>
      <c r="U79" s="28">
        <f t="shared" si="3"/>
        <v>0.37033929222911344</v>
      </c>
    </row>
    <row r="80" spans="1:21" ht="16.5" thickBot="1" x14ac:dyDescent="0.3">
      <c r="B80" s="12"/>
      <c r="C80" s="19">
        <v>365.63</v>
      </c>
      <c r="D80" s="20">
        <v>36.497999999999998</v>
      </c>
      <c r="E80" s="20">
        <v>41.082000000000001</v>
      </c>
      <c r="F80" s="20">
        <v>41.728999999999999</v>
      </c>
      <c r="G80" s="20">
        <v>34.65</v>
      </c>
      <c r="H80" s="20">
        <f t="shared" si="0"/>
        <v>37.724874999999997</v>
      </c>
      <c r="I80" s="5"/>
      <c r="J80" s="19">
        <v>291.00319999999999</v>
      </c>
      <c r="K80" s="20">
        <v>38.604999999999997</v>
      </c>
      <c r="L80" s="20">
        <v>43.702100000000002</v>
      </c>
      <c r="M80" s="20">
        <v>44.392200000000003</v>
      </c>
      <c r="N80" s="20">
        <v>53.196199999999997</v>
      </c>
      <c r="O80" s="20">
        <f t="shared" si="1"/>
        <v>39.965537499999996</v>
      </c>
      <c r="P80" s="7"/>
      <c r="Q80" s="13"/>
      <c r="R80" s="14"/>
      <c r="S80" s="14"/>
      <c r="T80" s="27"/>
      <c r="U80" s="28">
        <f t="shared" si="3"/>
        <v>0.53524386724386719</v>
      </c>
    </row>
    <row r="81" spans="1:21" x14ac:dyDescent="0.25">
      <c r="A81" s="6" t="s">
        <v>102</v>
      </c>
      <c r="B81" s="6" t="s">
        <v>103</v>
      </c>
      <c r="C81" s="15">
        <v>1616.6</v>
      </c>
      <c r="D81" s="16">
        <v>43.667000000000002</v>
      </c>
      <c r="E81" s="16">
        <v>47.59</v>
      </c>
      <c r="F81" s="16">
        <v>49.664000000000001</v>
      </c>
      <c r="G81" s="16">
        <v>14.99</v>
      </c>
      <c r="H81" s="16">
        <f t="shared" ref="H81:H91" si="4">(6*D81+E81+F81)/8</f>
        <v>44.906999999999996</v>
      </c>
      <c r="I81" s="5"/>
      <c r="J81" s="15">
        <v>1225.1484</v>
      </c>
      <c r="K81" s="16">
        <v>45.387300000000003</v>
      </c>
      <c r="L81" s="16">
        <v>50.906100000000002</v>
      </c>
      <c r="M81" s="16">
        <v>51.320300000000003</v>
      </c>
      <c r="N81" s="16">
        <v>11.475300000000001</v>
      </c>
      <c r="O81" s="16">
        <f t="shared" ref="O81:O91" si="5">(6*K81+L81+M81)/8</f>
        <v>46.818775000000002</v>
      </c>
      <c r="P81" s="7"/>
      <c r="Q81" s="8">
        <f>bdrate(C81:C84,D81:D84,J81:J84,K81:K84)</f>
        <v>-0.52577692998312853</v>
      </c>
      <c r="R81" s="8">
        <f>bdrate(C81:C84,E81:E84,J81:J84,L81:L84)</f>
        <v>-0.69382836017279259</v>
      </c>
      <c r="S81" s="8">
        <f>bdrate(C81:C84,F81:F84,J81:J84,M81:M84)</f>
        <v>-0.63669501914383808</v>
      </c>
      <c r="T81" s="25">
        <f>bdrate(C81:C84,H81:H84,J81:J84,O81:O84)</f>
        <v>-0.55733486589918169</v>
      </c>
      <c r="U81" s="28">
        <f t="shared" si="3"/>
        <v>-0.23446964643095394</v>
      </c>
    </row>
    <row r="82" spans="1:21" x14ac:dyDescent="0.25">
      <c r="A82" s="9" t="s">
        <v>78</v>
      </c>
      <c r="B82" s="9"/>
      <c r="C82" s="17">
        <v>1079.52</v>
      </c>
      <c r="D82" s="18">
        <v>41.301000000000002</v>
      </c>
      <c r="E82" s="18">
        <v>46.073999999999998</v>
      </c>
      <c r="F82" s="18">
        <v>48.02</v>
      </c>
      <c r="G82" s="18">
        <v>16.71</v>
      </c>
      <c r="H82" s="18">
        <f t="shared" si="4"/>
        <v>42.737499999999997</v>
      </c>
      <c r="I82" s="5"/>
      <c r="J82" s="17">
        <v>826.55370000000005</v>
      </c>
      <c r="K82" s="18">
        <v>43.618899999999996</v>
      </c>
      <c r="L82" s="18">
        <v>49.537599999999998</v>
      </c>
      <c r="M82" s="18">
        <v>50.099299999999999</v>
      </c>
      <c r="N82" s="18">
        <v>13.459099999999999</v>
      </c>
      <c r="O82" s="18">
        <f t="shared" si="5"/>
        <v>45.168787499999993</v>
      </c>
      <c r="P82" s="7"/>
      <c r="Q82" s="10"/>
      <c r="R82" s="11"/>
      <c r="S82" s="11"/>
      <c r="T82" s="26"/>
      <c r="U82" s="28">
        <f t="shared" si="3"/>
        <v>-0.19454817474566136</v>
      </c>
    </row>
    <row r="83" spans="1:21" x14ac:dyDescent="0.25">
      <c r="B83" s="9"/>
      <c r="C83" s="17">
        <v>657.8</v>
      </c>
      <c r="D83" s="18">
        <v>38.439</v>
      </c>
      <c r="E83" s="18">
        <v>43.75</v>
      </c>
      <c r="F83" s="18">
        <v>45.807000000000002</v>
      </c>
      <c r="G83" s="18">
        <v>18.98</v>
      </c>
      <c r="H83" s="18">
        <f t="shared" si="4"/>
        <v>40.023875000000004</v>
      </c>
      <c r="I83" s="5"/>
      <c r="J83" s="17">
        <v>503.60640000000001</v>
      </c>
      <c r="K83" s="18">
        <v>41.163600000000002</v>
      </c>
      <c r="L83" s="18">
        <v>47.702199999999998</v>
      </c>
      <c r="M83" s="18">
        <v>48.864400000000003</v>
      </c>
      <c r="N83" s="18">
        <v>16.807700000000001</v>
      </c>
      <c r="O83" s="18">
        <f t="shared" si="5"/>
        <v>42.943525000000001</v>
      </c>
      <c r="P83" s="7"/>
      <c r="Q83" s="10"/>
      <c r="R83" s="11"/>
      <c r="S83" s="11"/>
      <c r="T83" s="26"/>
      <c r="U83" s="28">
        <f t="shared" si="3"/>
        <v>-0.11445205479452054</v>
      </c>
    </row>
    <row r="84" spans="1:21" ht="16.5" thickBot="1" x14ac:dyDescent="0.3">
      <c r="B84" s="12"/>
      <c r="C84" s="19">
        <v>310.77</v>
      </c>
      <c r="D84" s="20">
        <v>33.451000000000001</v>
      </c>
      <c r="E84" s="20">
        <v>40.622</v>
      </c>
      <c r="F84" s="20">
        <v>43.107999999999997</v>
      </c>
      <c r="G84" s="20">
        <v>23.41</v>
      </c>
      <c r="H84" s="20">
        <f t="shared" si="4"/>
        <v>35.554500000000004</v>
      </c>
      <c r="I84" s="5"/>
      <c r="J84" s="19">
        <v>255.55850000000001</v>
      </c>
      <c r="K84" s="20">
        <v>37.663499999999999</v>
      </c>
      <c r="L84" s="20">
        <v>44.98</v>
      </c>
      <c r="M84" s="20">
        <v>46.371499999999997</v>
      </c>
      <c r="N84" s="20">
        <v>23.258199999999999</v>
      </c>
      <c r="O84" s="20">
        <f t="shared" si="5"/>
        <v>39.666562499999998</v>
      </c>
      <c r="P84" s="7"/>
      <c r="Q84" s="13"/>
      <c r="R84" s="14"/>
      <c r="S84" s="14"/>
      <c r="T84" s="27"/>
      <c r="U84" s="28">
        <f t="shared" si="3"/>
        <v>-6.4844083724904522E-3</v>
      </c>
    </row>
    <row r="85" spans="1:21" x14ac:dyDescent="0.25">
      <c r="B85" s="6" t="s">
        <v>104</v>
      </c>
      <c r="C85" s="15">
        <v>1989.03</v>
      </c>
      <c r="D85" s="16">
        <v>55.28</v>
      </c>
      <c r="E85" s="16">
        <v>55.456000000000003</v>
      </c>
      <c r="F85" s="16">
        <v>55.783999999999999</v>
      </c>
      <c r="G85" s="16">
        <v>47.42</v>
      </c>
      <c r="H85" s="16">
        <f t="shared" si="4"/>
        <v>55.365000000000002</v>
      </c>
      <c r="I85" s="5"/>
      <c r="J85" s="15">
        <v>1429.9371000000001</v>
      </c>
      <c r="K85" s="16">
        <v>53.567700000000002</v>
      </c>
      <c r="L85" s="16">
        <v>54.221299999999999</v>
      </c>
      <c r="M85" s="16">
        <v>54.790199999999999</v>
      </c>
      <c r="N85" s="16">
        <v>27.9785</v>
      </c>
      <c r="O85" s="16">
        <f t="shared" si="5"/>
        <v>53.802212499999996</v>
      </c>
      <c r="P85" s="7"/>
      <c r="Q85" s="8">
        <f>bdrate(C85:C88,D85:D88,J85:J88,K85:K88)</f>
        <v>-0.17707121943843451</v>
      </c>
      <c r="R85" s="8">
        <f>bdrate(C85:C88,E85:E88,J85:J88,L85:L88)</f>
        <v>-0.24168739623504554</v>
      </c>
      <c r="S85" s="8">
        <f>bdrate(C85:C88,F85:F88,J85:J88,M85:M88)</f>
        <v>-0.24753487940848451</v>
      </c>
      <c r="T85" s="25">
        <f>bdrate(C85:C88,H85:H88,J85:J88,O85:O88)</f>
        <v>-0.19363312495803786</v>
      </c>
      <c r="U85" s="28">
        <f t="shared" si="3"/>
        <v>-0.40998523829607764</v>
      </c>
    </row>
    <row r="86" spans="1:21" x14ac:dyDescent="0.25">
      <c r="B86" s="9"/>
      <c r="C86" s="17">
        <v>1327.85</v>
      </c>
      <c r="D86" s="18">
        <v>52.584000000000003</v>
      </c>
      <c r="E86" s="18">
        <v>52.914000000000001</v>
      </c>
      <c r="F86" s="18">
        <v>53.337000000000003</v>
      </c>
      <c r="G86" s="18">
        <v>50.54</v>
      </c>
      <c r="H86" s="18">
        <f t="shared" si="4"/>
        <v>52.719374999999999</v>
      </c>
      <c r="I86" s="5"/>
      <c r="J86" s="17">
        <v>967.06910000000005</v>
      </c>
      <c r="K86" s="18">
        <v>51.773499999999999</v>
      </c>
      <c r="L86" s="18">
        <v>52.513599999999997</v>
      </c>
      <c r="M86" s="18">
        <v>53.023699999999998</v>
      </c>
      <c r="N86" s="18">
        <v>36.353400000000001</v>
      </c>
      <c r="O86" s="18">
        <f t="shared" si="5"/>
        <v>52.022287499999997</v>
      </c>
      <c r="P86" s="7"/>
      <c r="Q86" s="10"/>
      <c r="R86" s="11"/>
      <c r="S86" s="11"/>
      <c r="T86" s="26"/>
      <c r="U86" s="28">
        <f t="shared" si="3"/>
        <v>-0.2807004352987732</v>
      </c>
    </row>
    <row r="87" spans="1:21" x14ac:dyDescent="0.25">
      <c r="B87" s="9"/>
      <c r="C87" s="17">
        <v>809.55</v>
      </c>
      <c r="D87" s="18">
        <v>49.506999999999998</v>
      </c>
      <c r="E87" s="18">
        <v>49.93</v>
      </c>
      <c r="F87" s="18">
        <v>50.466999999999999</v>
      </c>
      <c r="G87" s="18">
        <v>54.02</v>
      </c>
      <c r="H87" s="18">
        <f t="shared" si="4"/>
        <v>49.679874999999996</v>
      </c>
      <c r="I87" s="5"/>
      <c r="J87" s="17">
        <v>576.77070000000003</v>
      </c>
      <c r="K87" s="18">
        <v>48.747900000000001</v>
      </c>
      <c r="L87" s="18">
        <v>49.6828</v>
      </c>
      <c r="M87" s="18">
        <v>50.224800000000002</v>
      </c>
      <c r="N87" s="18">
        <v>46.714399999999998</v>
      </c>
      <c r="O87" s="18">
        <f t="shared" si="5"/>
        <v>49.049374999999998</v>
      </c>
      <c r="P87" s="7"/>
      <c r="Q87" s="10"/>
      <c r="R87" s="11"/>
      <c r="S87" s="11"/>
      <c r="T87" s="26"/>
      <c r="U87" s="28">
        <f t="shared" si="3"/>
        <v>-0.13523880044427999</v>
      </c>
    </row>
    <row r="88" spans="1:21" ht="16.5" thickBot="1" x14ac:dyDescent="0.3">
      <c r="B88" s="12"/>
      <c r="C88" s="19">
        <v>383.15</v>
      </c>
      <c r="D88" s="20">
        <v>44.932000000000002</v>
      </c>
      <c r="E88" s="20">
        <v>45.573</v>
      </c>
      <c r="F88" s="20">
        <v>46.009</v>
      </c>
      <c r="G88" s="20">
        <v>59.94</v>
      </c>
      <c r="H88" s="20">
        <f t="shared" si="4"/>
        <v>45.146749999999997</v>
      </c>
      <c r="I88" s="5"/>
      <c r="J88" s="19">
        <v>288.67250000000001</v>
      </c>
      <c r="K88" s="20">
        <v>44.298299999999998</v>
      </c>
      <c r="L88" s="20">
        <v>45.680700000000002</v>
      </c>
      <c r="M88" s="20">
        <v>46.224699999999999</v>
      </c>
      <c r="N88" s="20">
        <v>59.261200000000002</v>
      </c>
      <c r="O88" s="20">
        <f t="shared" si="5"/>
        <v>44.7119</v>
      </c>
      <c r="P88" s="7"/>
      <c r="Q88" s="13"/>
      <c r="R88" s="14"/>
      <c r="S88" s="14"/>
      <c r="T88" s="27"/>
      <c r="U88" s="28">
        <f t="shared" si="3"/>
        <v>-1.1324657991324582E-2</v>
      </c>
    </row>
    <row r="89" spans="1:21" x14ac:dyDescent="0.25">
      <c r="B89" s="6" t="s">
        <v>105</v>
      </c>
      <c r="C89" s="15">
        <v>2167.04</v>
      </c>
      <c r="D89" s="16">
        <v>44.707000000000001</v>
      </c>
      <c r="E89" s="16">
        <v>46.164000000000001</v>
      </c>
      <c r="F89" s="16">
        <v>46.643999999999998</v>
      </c>
      <c r="G89" s="16">
        <v>18.25</v>
      </c>
      <c r="H89" s="16">
        <f t="shared" si="4"/>
        <v>45.131250000000001</v>
      </c>
      <c r="I89" s="5"/>
      <c r="J89" s="15">
        <v>1484.5161000000001</v>
      </c>
      <c r="K89" s="16">
        <v>44.237000000000002</v>
      </c>
      <c r="L89" s="16">
        <v>46.190899999999999</v>
      </c>
      <c r="M89" s="16">
        <v>46.6297</v>
      </c>
      <c r="N89" s="16">
        <v>14.5229</v>
      </c>
      <c r="O89" s="16">
        <f t="shared" si="5"/>
        <v>44.780325000000005</v>
      </c>
      <c r="P89" s="7"/>
      <c r="Q89" s="8">
        <f>bdrate(C89:C92,D89:D92,J89:J92,K89:K92)</f>
        <v>-0.33236144112320221</v>
      </c>
      <c r="R89" s="8">
        <f>bdrate(C89:C92,E89:E92,J89:J92,L89:L92)</f>
        <v>-0.38474518927092194</v>
      </c>
      <c r="S89" s="8">
        <f>bdrate(C89:C92,F89:F92,J89:J92,M89:M92)</f>
        <v>-0.3652523629627068</v>
      </c>
      <c r="T89" s="25">
        <f>bdrate(C89:C92,H89:H92,J89:J92,O89:O92)</f>
        <v>-0.34054495101430438</v>
      </c>
      <c r="U89" s="28">
        <f t="shared" si="3"/>
        <v>-0.20422465753424657</v>
      </c>
    </row>
    <row r="90" spans="1:21" x14ac:dyDescent="0.25">
      <c r="B90" s="9"/>
      <c r="C90" s="17">
        <v>1445.91</v>
      </c>
      <c r="D90" s="18">
        <v>42.463000000000001</v>
      </c>
      <c r="E90" s="18">
        <v>44.387</v>
      </c>
      <c r="F90" s="18">
        <v>44.884999999999998</v>
      </c>
      <c r="G90" s="18">
        <v>20.190000000000001</v>
      </c>
      <c r="H90" s="18">
        <f t="shared" si="4"/>
        <v>43.006250000000001</v>
      </c>
      <c r="I90" s="5"/>
      <c r="J90" s="17">
        <v>989.88639999999998</v>
      </c>
      <c r="K90" s="18">
        <v>42.335000000000001</v>
      </c>
      <c r="L90" s="18">
        <v>44.753399999999999</v>
      </c>
      <c r="M90" s="18">
        <v>45.1419</v>
      </c>
      <c r="N90" s="18">
        <v>18.0685</v>
      </c>
      <c r="O90" s="18">
        <f t="shared" si="5"/>
        <v>42.988162500000001</v>
      </c>
      <c r="P90" s="7"/>
      <c r="Q90" s="10"/>
      <c r="R90" s="11"/>
      <c r="S90" s="11"/>
      <c r="T90" s="26"/>
      <c r="U90" s="28">
        <f t="shared" si="3"/>
        <v>-0.10507677067855378</v>
      </c>
    </row>
    <row r="91" spans="1:21" x14ac:dyDescent="0.25">
      <c r="B91" s="9"/>
      <c r="C91" s="17">
        <v>881.88</v>
      </c>
      <c r="D91" s="18">
        <v>39.579000000000001</v>
      </c>
      <c r="E91" s="18">
        <v>42.368000000000002</v>
      </c>
      <c r="F91" s="18">
        <v>42.887999999999998</v>
      </c>
      <c r="G91" s="18">
        <v>23.34</v>
      </c>
      <c r="H91" s="18">
        <f t="shared" si="4"/>
        <v>40.341249999999995</v>
      </c>
      <c r="I91" s="5"/>
      <c r="J91" s="17">
        <v>596.80970000000002</v>
      </c>
      <c r="K91" s="18">
        <v>39.714100000000002</v>
      </c>
      <c r="L91" s="18">
        <v>42.7742</v>
      </c>
      <c r="M91" s="18">
        <v>43.159100000000002</v>
      </c>
      <c r="N91" s="18">
        <v>22.496300000000002</v>
      </c>
      <c r="O91" s="18">
        <f t="shared" si="5"/>
        <v>40.527237500000005</v>
      </c>
      <c r="P91" s="7"/>
      <c r="Q91" s="10"/>
      <c r="R91" s="11"/>
      <c r="S91" s="11"/>
      <c r="T91" s="26"/>
      <c r="U91" s="28">
        <f t="shared" si="3"/>
        <v>-3.6148243359040204E-2</v>
      </c>
    </row>
    <row r="92" spans="1:21" ht="16.5" thickBot="1" x14ac:dyDescent="0.3">
      <c r="B92" s="12"/>
      <c r="C92" s="19">
        <v>420.12</v>
      </c>
      <c r="D92" s="20">
        <v>34.965000000000003</v>
      </c>
      <c r="E92" s="20">
        <v>39.478000000000002</v>
      </c>
      <c r="F92" s="20">
        <v>40.055999999999997</v>
      </c>
      <c r="G92" s="20">
        <v>28.72</v>
      </c>
      <c r="H92" s="20">
        <f t="shared" ref="H92:H124" si="6">(6*D92+E92+F92)/8</f>
        <v>36.165500000000002</v>
      </c>
      <c r="I92" s="5"/>
      <c r="J92" s="19">
        <v>299.69690000000003</v>
      </c>
      <c r="K92" s="20">
        <v>36.025399999999998</v>
      </c>
      <c r="L92" s="20">
        <v>40.319299999999998</v>
      </c>
      <c r="M92" s="20">
        <v>40.709600000000002</v>
      </c>
      <c r="N92" s="20">
        <v>29.954599999999999</v>
      </c>
      <c r="O92" s="20">
        <f t="shared" ref="O92:O124" si="7">(6*K92+L92+M92)/8</f>
        <v>37.147662500000003</v>
      </c>
      <c r="P92" s="7"/>
      <c r="Q92" s="13"/>
      <c r="R92" s="14"/>
      <c r="S92" s="14"/>
      <c r="T92" s="27"/>
      <c r="U92" s="28">
        <f t="shared" ref="U92:U124" si="8">(N92-G92)/G92</f>
        <v>4.2987465181058511E-2</v>
      </c>
    </row>
    <row r="93" spans="1:21" x14ac:dyDescent="0.25">
      <c r="B93" s="6" t="s">
        <v>106</v>
      </c>
      <c r="C93" s="29">
        <v>2055.91</v>
      </c>
      <c r="D93" s="30">
        <v>40.713000000000001</v>
      </c>
      <c r="E93" s="30">
        <v>44.478999999999999</v>
      </c>
      <c r="F93" s="30">
        <v>44.473999999999997</v>
      </c>
      <c r="G93" s="16">
        <v>14.97</v>
      </c>
      <c r="H93" s="16">
        <f t="shared" si="6"/>
        <v>41.653874999999999</v>
      </c>
      <c r="I93" s="5"/>
      <c r="J93" s="29">
        <v>1503.4232999999999</v>
      </c>
      <c r="K93" s="30">
        <v>40.0944</v>
      </c>
      <c r="L93" s="30">
        <v>44.228200000000001</v>
      </c>
      <c r="M93" s="30">
        <v>44.217700000000001</v>
      </c>
      <c r="N93" s="16">
        <v>13.1732</v>
      </c>
      <c r="O93" s="16">
        <f t="shared" si="7"/>
        <v>41.126537499999998</v>
      </c>
      <c r="P93" s="7"/>
      <c r="Q93" s="8">
        <f>bdrate(C93:C96,D93:D96,J93:J96,K93:K96)</f>
        <v>-0.26886330213039911</v>
      </c>
      <c r="R93" s="8">
        <f>bdrate(C93:C96,E93:E96,J93:J96,L93:L96)</f>
        <v>-0.31005887807186727</v>
      </c>
      <c r="S93" s="8">
        <f>bdrate(C93:C96,F93:F96,J93:J96,M93:M96)</f>
        <v>-0.31256452940045221</v>
      </c>
      <c r="T93" s="25">
        <f>bdrate(C93:C96,H93:H96,J93:J96,O93:O96)</f>
        <v>-0.27654551935345284</v>
      </c>
      <c r="U93" s="28">
        <f t="shared" si="8"/>
        <v>-0.12002672010688049</v>
      </c>
    </row>
    <row r="94" spans="1:21" x14ac:dyDescent="0.25">
      <c r="B94" s="9"/>
      <c r="C94" s="31">
        <v>1376.14</v>
      </c>
      <c r="D94" s="32">
        <v>38.582999999999998</v>
      </c>
      <c r="E94" s="32">
        <v>42.929000000000002</v>
      </c>
      <c r="F94" s="32">
        <v>42.926000000000002</v>
      </c>
      <c r="G94" s="18">
        <v>16.45</v>
      </c>
      <c r="H94" s="18">
        <f t="shared" si="6"/>
        <v>39.669125000000001</v>
      </c>
      <c r="I94" s="5"/>
      <c r="J94" s="31">
        <v>1001.7864</v>
      </c>
      <c r="K94" s="32">
        <v>38.2194</v>
      </c>
      <c r="L94" s="32">
        <v>42.976500000000001</v>
      </c>
      <c r="M94" s="32">
        <v>42.964799999999997</v>
      </c>
      <c r="N94" s="18">
        <v>15.745699999999999</v>
      </c>
      <c r="O94" s="18">
        <f t="shared" si="7"/>
        <v>39.4072125</v>
      </c>
      <c r="P94" s="7"/>
      <c r="Q94" s="10"/>
      <c r="R94" s="11"/>
      <c r="S94" s="11"/>
      <c r="T94" s="26"/>
      <c r="U94" s="28">
        <f t="shared" si="8"/>
        <v>-4.2814589665653491E-2</v>
      </c>
    </row>
    <row r="95" spans="1:21" x14ac:dyDescent="0.25">
      <c r="B95" s="9"/>
      <c r="C95" s="31">
        <v>841.9</v>
      </c>
      <c r="D95" s="32">
        <v>35.981999999999999</v>
      </c>
      <c r="E95" s="32">
        <v>41.234999999999999</v>
      </c>
      <c r="F95" s="32">
        <v>41.19</v>
      </c>
      <c r="G95" s="18">
        <v>19.14</v>
      </c>
      <c r="H95" s="18">
        <f t="shared" si="6"/>
        <v>37.289625000000001</v>
      </c>
      <c r="I95" s="5"/>
      <c r="J95" s="31">
        <v>603.18690000000004</v>
      </c>
      <c r="K95" s="32">
        <v>35.898000000000003</v>
      </c>
      <c r="L95" s="32">
        <v>41.387300000000003</v>
      </c>
      <c r="M95" s="32">
        <v>41.361899999999999</v>
      </c>
      <c r="N95" s="18">
        <v>19.372800000000002</v>
      </c>
      <c r="O95" s="18">
        <f t="shared" si="7"/>
        <v>37.267150000000001</v>
      </c>
      <c r="P95" s="7"/>
      <c r="Q95" s="10"/>
      <c r="R95" s="11"/>
      <c r="S95" s="11"/>
      <c r="T95" s="26"/>
      <c r="U95" s="28">
        <f t="shared" si="8"/>
        <v>1.2163009404388766E-2</v>
      </c>
    </row>
    <row r="96" spans="1:21" ht="16.5" thickBot="1" x14ac:dyDescent="0.3">
      <c r="B96" s="12"/>
      <c r="C96" s="33">
        <v>403.1</v>
      </c>
      <c r="D96" s="34">
        <v>31.728999999999999</v>
      </c>
      <c r="E96" s="34">
        <v>38.923000000000002</v>
      </c>
      <c r="F96" s="34">
        <v>38.771000000000001</v>
      </c>
      <c r="G96" s="20">
        <v>23.31</v>
      </c>
      <c r="H96" s="20">
        <f t="shared" si="6"/>
        <v>33.508499999999998</v>
      </c>
      <c r="I96" s="5"/>
      <c r="J96" s="33">
        <v>301.93560000000002</v>
      </c>
      <c r="K96" s="34">
        <v>32.922899999999998</v>
      </c>
      <c r="L96" s="34">
        <v>39.613599999999998</v>
      </c>
      <c r="M96" s="34">
        <v>39.548699999999997</v>
      </c>
      <c r="N96" s="20">
        <v>26.265899999999998</v>
      </c>
      <c r="O96" s="20">
        <f t="shared" si="7"/>
        <v>34.587462500000001</v>
      </c>
      <c r="P96" s="7"/>
      <c r="Q96" s="13"/>
      <c r="R96" s="14"/>
      <c r="S96" s="14"/>
      <c r="T96" s="27"/>
      <c r="U96" s="28">
        <f t="shared" si="8"/>
        <v>0.1268082368082368</v>
      </c>
    </row>
    <row r="97" spans="2:21" x14ac:dyDescent="0.25">
      <c r="B97" s="6" t="s">
        <v>107</v>
      </c>
      <c r="C97" s="15">
        <v>2119.3200000000002</v>
      </c>
      <c r="D97" s="16">
        <v>39.137999999999998</v>
      </c>
      <c r="E97" s="16">
        <v>42.082999999999998</v>
      </c>
      <c r="F97" s="16">
        <v>42.621000000000002</v>
      </c>
      <c r="G97" s="16">
        <v>18.73</v>
      </c>
      <c r="H97" s="16">
        <f t="shared" si="6"/>
        <v>39.941499999999991</v>
      </c>
      <c r="I97" s="5"/>
      <c r="J97" s="15">
        <v>1456.8471999999999</v>
      </c>
      <c r="K97" s="16">
        <v>38.271900000000002</v>
      </c>
      <c r="L97" s="16">
        <v>42.619799999999998</v>
      </c>
      <c r="M97" s="16">
        <v>43.139499999999998</v>
      </c>
      <c r="N97" s="16">
        <v>13.9438</v>
      </c>
      <c r="O97" s="16">
        <f t="shared" si="7"/>
        <v>39.423837500000005</v>
      </c>
      <c r="P97" s="7"/>
      <c r="Q97" s="8">
        <f>bdrate(C97:C100,D97:D100,J97:J100,K97:K100)</f>
        <v>-0.27025403651492585</v>
      </c>
      <c r="R97" s="8">
        <f>bdrate(C97:C100,E97:E100,J97:J100,L97:L100)</f>
        <v>-0.46932394829816226</v>
      </c>
      <c r="S97" s="8">
        <f>bdrate(C97:C100,F97:F100,J97:J100,M97:M100)</f>
        <v>-0.45812720758580516</v>
      </c>
      <c r="T97" s="25">
        <f>bdrate(C97:C100,H97:H100,J97:J100,O97:O100)</f>
        <v>-0.30805240483599894</v>
      </c>
      <c r="U97" s="28">
        <f t="shared" si="8"/>
        <v>-0.25553657234383348</v>
      </c>
    </row>
    <row r="98" spans="2:21" x14ac:dyDescent="0.25">
      <c r="B98" s="9"/>
      <c r="C98" s="17">
        <v>1415.06</v>
      </c>
      <c r="D98" s="18">
        <v>37.014000000000003</v>
      </c>
      <c r="E98" s="18">
        <v>40.470999999999997</v>
      </c>
      <c r="F98" s="18">
        <v>41.098999999999997</v>
      </c>
      <c r="G98" s="18">
        <v>20.65</v>
      </c>
      <c r="H98" s="18">
        <f t="shared" si="6"/>
        <v>37.95675</v>
      </c>
      <c r="I98" s="5"/>
      <c r="J98" s="17">
        <v>969.36689999999999</v>
      </c>
      <c r="K98" s="18">
        <v>36.407499999999999</v>
      </c>
      <c r="L98" s="18">
        <v>41.284500000000001</v>
      </c>
      <c r="M98" s="18">
        <v>41.8658</v>
      </c>
      <c r="N98" s="18">
        <v>17.503799999999998</v>
      </c>
      <c r="O98" s="18">
        <f t="shared" si="7"/>
        <v>37.699412499999994</v>
      </c>
      <c r="P98" s="7"/>
      <c r="Q98" s="10"/>
      <c r="R98" s="11"/>
      <c r="S98" s="11"/>
      <c r="T98" s="26"/>
      <c r="U98" s="28">
        <f t="shared" si="8"/>
        <v>-0.15235835351089591</v>
      </c>
    </row>
    <row r="99" spans="2:21" x14ac:dyDescent="0.25">
      <c r="B99" s="9"/>
      <c r="C99" s="17">
        <v>859.21</v>
      </c>
      <c r="D99" s="18">
        <v>34.445</v>
      </c>
      <c r="E99" s="18">
        <v>38.731000000000002</v>
      </c>
      <c r="F99" s="18">
        <v>39.479999999999997</v>
      </c>
      <c r="G99" s="18">
        <v>22.99</v>
      </c>
      <c r="H99" s="18">
        <f t="shared" si="6"/>
        <v>35.610125000000004</v>
      </c>
      <c r="I99" s="5"/>
      <c r="J99" s="17">
        <v>578.39250000000004</v>
      </c>
      <c r="K99" s="18">
        <v>34.063299999999998</v>
      </c>
      <c r="L99" s="18">
        <v>39.567399999999999</v>
      </c>
      <c r="M99" s="18">
        <v>40.166600000000003</v>
      </c>
      <c r="N99" s="18">
        <v>21.7255</v>
      </c>
      <c r="O99" s="18">
        <f t="shared" si="7"/>
        <v>35.514224999999996</v>
      </c>
      <c r="P99" s="7"/>
      <c r="Q99" s="10"/>
      <c r="R99" s="11"/>
      <c r="S99" s="11"/>
      <c r="T99" s="26"/>
      <c r="U99" s="28">
        <f t="shared" si="8"/>
        <v>-5.5002174858634116E-2</v>
      </c>
    </row>
    <row r="100" spans="2:21" ht="16.5" thickBot="1" x14ac:dyDescent="0.3">
      <c r="B100" s="12"/>
      <c r="C100" s="19">
        <v>404.4</v>
      </c>
      <c r="D100" s="20">
        <v>30.300999999999998</v>
      </c>
      <c r="E100" s="20">
        <v>36.323999999999998</v>
      </c>
      <c r="F100" s="20">
        <v>37.220999999999997</v>
      </c>
      <c r="G100" s="20">
        <v>27.37</v>
      </c>
      <c r="H100" s="20">
        <f t="shared" si="6"/>
        <v>31.918875</v>
      </c>
      <c r="I100" s="5"/>
      <c r="J100" s="19">
        <v>290.5163</v>
      </c>
      <c r="K100" s="20">
        <v>30.939699999999998</v>
      </c>
      <c r="L100" s="20">
        <v>37.485900000000001</v>
      </c>
      <c r="M100" s="20">
        <v>38.200099999999999</v>
      </c>
      <c r="N100" s="20">
        <v>29.218399999999999</v>
      </c>
      <c r="O100" s="20">
        <f t="shared" si="7"/>
        <v>32.665525000000002</v>
      </c>
      <c r="P100" s="7"/>
      <c r="Q100" s="13"/>
      <c r="R100" s="14"/>
      <c r="S100" s="14"/>
      <c r="T100" s="27"/>
      <c r="U100" s="28">
        <f t="shared" si="8"/>
        <v>6.7533796127146439E-2</v>
      </c>
    </row>
    <row r="101" spans="2:21" x14ac:dyDescent="0.25">
      <c r="B101" s="6" t="s">
        <v>108</v>
      </c>
      <c r="C101" s="15">
        <v>2109.5</v>
      </c>
      <c r="D101" s="16">
        <v>38.912999999999997</v>
      </c>
      <c r="E101" s="16">
        <v>43.835999999999999</v>
      </c>
      <c r="F101" s="16">
        <v>45.503</v>
      </c>
      <c r="G101" s="16">
        <v>13.01</v>
      </c>
      <c r="H101" s="16">
        <f t="shared" si="6"/>
        <v>40.352124999999994</v>
      </c>
      <c r="I101" s="5"/>
      <c r="J101" s="15">
        <v>1501.3352</v>
      </c>
      <c r="K101" s="16">
        <v>38.102499999999999</v>
      </c>
      <c r="L101" s="16">
        <v>43.716900000000003</v>
      </c>
      <c r="M101" s="16">
        <v>45.198999999999998</v>
      </c>
      <c r="N101" s="16">
        <v>12.9747</v>
      </c>
      <c r="O101" s="16">
        <f t="shared" si="7"/>
        <v>39.691362500000004</v>
      </c>
      <c r="P101" s="7"/>
      <c r="Q101" s="8">
        <f>bdrate(C101:C104,D101:D104,J101:J104,K101:K104)</f>
        <v>-0.26093004655929863</v>
      </c>
      <c r="R101" s="8">
        <f>bdrate(C101:C104,E101:E104,J101:J104,L101:L104)</f>
        <v>-0.40463644009662814</v>
      </c>
      <c r="S101" s="8">
        <f>bdrate(C101:C104,F101:F104,J101:J104,M101:M104)</f>
        <v>-0.33952058356648163</v>
      </c>
      <c r="T101" s="25">
        <f>bdrate(C101:C104,H101:H104,J101:J104,O101:O104)</f>
        <v>-0.28441300633382638</v>
      </c>
      <c r="U101" s="28">
        <f t="shared" si="8"/>
        <v>-2.7132974634895804E-3</v>
      </c>
    </row>
    <row r="102" spans="2:21" x14ac:dyDescent="0.25">
      <c r="B102" s="9"/>
      <c r="C102" s="17">
        <v>1408.34</v>
      </c>
      <c r="D102" s="18">
        <v>37.189</v>
      </c>
      <c r="E102" s="18">
        <v>42.551000000000002</v>
      </c>
      <c r="F102" s="18">
        <v>44.252000000000002</v>
      </c>
      <c r="G102" s="18">
        <v>14.95</v>
      </c>
      <c r="H102" s="18">
        <f t="shared" si="6"/>
        <v>38.742125000000001</v>
      </c>
      <c r="I102" s="5"/>
      <c r="J102" s="17">
        <v>998.48230000000001</v>
      </c>
      <c r="K102" s="18">
        <v>36.6571</v>
      </c>
      <c r="L102" s="18">
        <v>42.7577</v>
      </c>
      <c r="M102" s="18">
        <v>44.150300000000001</v>
      </c>
      <c r="N102" s="18">
        <v>16.6812</v>
      </c>
      <c r="O102" s="18">
        <f t="shared" si="7"/>
        <v>38.356324999999998</v>
      </c>
      <c r="P102" s="7"/>
      <c r="Q102" s="10"/>
      <c r="R102" s="11"/>
      <c r="S102" s="11"/>
      <c r="T102" s="26"/>
      <c r="U102" s="28">
        <f t="shared" si="8"/>
        <v>0.11579933110367902</v>
      </c>
    </row>
    <row r="103" spans="2:21" x14ac:dyDescent="0.25">
      <c r="B103" s="9"/>
      <c r="C103" s="17">
        <v>857.22</v>
      </c>
      <c r="D103" s="18">
        <v>35.094000000000001</v>
      </c>
      <c r="E103" s="18">
        <v>41.088000000000001</v>
      </c>
      <c r="F103" s="18">
        <v>42.686</v>
      </c>
      <c r="G103" s="18">
        <v>17.39</v>
      </c>
      <c r="H103" s="18">
        <f t="shared" si="6"/>
        <v>36.792250000000003</v>
      </c>
      <c r="I103" s="5"/>
      <c r="J103" s="17">
        <v>600.50429999999994</v>
      </c>
      <c r="K103" s="18">
        <v>34.989600000000003</v>
      </c>
      <c r="L103" s="18">
        <v>41.672199999999997</v>
      </c>
      <c r="M103" s="18">
        <v>42.953200000000002</v>
      </c>
      <c r="N103" s="18">
        <v>21.044</v>
      </c>
      <c r="O103" s="18">
        <f t="shared" si="7"/>
        <v>36.820375000000006</v>
      </c>
      <c r="P103" s="7"/>
      <c r="Q103" s="10"/>
      <c r="R103" s="11"/>
      <c r="S103" s="11"/>
      <c r="T103" s="26"/>
      <c r="U103" s="28">
        <f t="shared" si="8"/>
        <v>0.21012075905692926</v>
      </c>
    </row>
    <row r="104" spans="2:21" ht="16.5" thickBot="1" x14ac:dyDescent="0.3">
      <c r="B104" s="12"/>
      <c r="C104" s="19">
        <v>404.92</v>
      </c>
      <c r="D104" s="20">
        <v>32.170999999999999</v>
      </c>
      <c r="E104" s="20">
        <v>39.128999999999998</v>
      </c>
      <c r="F104" s="20">
        <v>40.213000000000001</v>
      </c>
      <c r="G104" s="20">
        <v>22.27</v>
      </c>
      <c r="H104" s="20">
        <f t="shared" si="6"/>
        <v>34.045999999999999</v>
      </c>
      <c r="I104" s="5"/>
      <c r="J104" s="19">
        <v>300.07389999999998</v>
      </c>
      <c r="K104" s="20">
        <v>32.890799999999999</v>
      </c>
      <c r="L104" s="20">
        <v>40.3416</v>
      </c>
      <c r="M104" s="20">
        <v>41.452199999999998</v>
      </c>
      <c r="N104" s="20">
        <v>28.5185</v>
      </c>
      <c r="O104" s="20">
        <f t="shared" si="7"/>
        <v>34.892325</v>
      </c>
      <c r="P104" s="7"/>
      <c r="Q104" s="13"/>
      <c r="R104" s="14"/>
      <c r="S104" s="14"/>
      <c r="T104" s="27"/>
      <c r="U104" s="28">
        <f t="shared" si="8"/>
        <v>0.28057925460260441</v>
      </c>
    </row>
    <row r="105" spans="2:21" x14ac:dyDescent="0.25">
      <c r="B105" s="6" t="s">
        <v>109</v>
      </c>
      <c r="C105" s="15">
        <v>2220.44</v>
      </c>
      <c r="D105" s="16">
        <v>49.820999999999998</v>
      </c>
      <c r="E105" s="16">
        <v>53.89</v>
      </c>
      <c r="F105" s="16">
        <v>55.170999999999999</v>
      </c>
      <c r="G105" s="16">
        <v>17.11</v>
      </c>
      <c r="H105" s="16">
        <f t="shared" si="6"/>
        <v>50.998374999999996</v>
      </c>
      <c r="I105" s="5"/>
      <c r="J105" s="15">
        <v>1501.7655</v>
      </c>
      <c r="K105" s="16">
        <v>49.853000000000002</v>
      </c>
      <c r="L105" s="16">
        <v>54.335099999999997</v>
      </c>
      <c r="M105" s="16">
        <v>55.683599999999998</v>
      </c>
      <c r="N105" s="16">
        <v>16.488399999999999</v>
      </c>
      <c r="O105" s="16">
        <f t="shared" si="7"/>
        <v>51.142087500000002</v>
      </c>
      <c r="P105" s="7"/>
      <c r="Q105" s="8">
        <f>bdrate(C105:C108,D105:D108,J105:J108,K105:K108)</f>
        <v>-0.44733650649462031</v>
      </c>
      <c r="R105" s="8">
        <f>bdrate(C105:C108,E105:E108,J105:J108,L105:L108)</f>
        <v>-0.52055509567537528</v>
      </c>
      <c r="S105" s="8">
        <f>bdrate(C105:C108,F105:F108,J105:J108,M105:M108)</f>
        <v>-0.52264536584984556</v>
      </c>
      <c r="T105" s="25">
        <f>bdrate(C105:C108,H105:H108,J105:J108,O105:O108)</f>
        <v>-0.46577004538149491</v>
      </c>
      <c r="U105" s="28">
        <f t="shared" si="8"/>
        <v>-3.6329631794272406E-2</v>
      </c>
    </row>
    <row r="106" spans="2:21" x14ac:dyDescent="0.25">
      <c r="B106" s="9"/>
      <c r="C106" s="17">
        <v>1472.45</v>
      </c>
      <c r="D106" s="18">
        <v>47.597000000000001</v>
      </c>
      <c r="E106" s="18">
        <v>51.649000000000001</v>
      </c>
      <c r="F106" s="18">
        <v>53.097000000000001</v>
      </c>
      <c r="G106" s="18">
        <v>19.41</v>
      </c>
      <c r="H106" s="18">
        <f t="shared" si="6"/>
        <v>48.790999999999997</v>
      </c>
      <c r="I106" s="5"/>
      <c r="J106" s="17">
        <v>1000.2749</v>
      </c>
      <c r="K106" s="18">
        <v>48.186799999999998</v>
      </c>
      <c r="L106" s="18">
        <v>52.794699999999999</v>
      </c>
      <c r="M106" s="18">
        <v>54.236800000000002</v>
      </c>
      <c r="N106" s="18">
        <v>19.8383</v>
      </c>
      <c r="O106" s="18">
        <f t="shared" si="7"/>
        <v>49.519037499999996</v>
      </c>
      <c r="P106" s="7"/>
      <c r="Q106" s="10"/>
      <c r="R106" s="11"/>
      <c r="S106" s="11"/>
      <c r="T106" s="26"/>
      <c r="U106" s="28">
        <f t="shared" si="8"/>
        <v>2.2065945388974762E-2</v>
      </c>
    </row>
    <row r="107" spans="2:21" x14ac:dyDescent="0.25">
      <c r="B107" s="9"/>
      <c r="C107" s="17">
        <v>885.09</v>
      </c>
      <c r="D107" s="18">
        <v>44.737000000000002</v>
      </c>
      <c r="E107" s="18">
        <v>49.061</v>
      </c>
      <c r="F107" s="18">
        <v>50.625999999999998</v>
      </c>
      <c r="G107" s="18">
        <v>23.58</v>
      </c>
      <c r="H107" s="18">
        <f t="shared" si="6"/>
        <v>46.013624999999998</v>
      </c>
      <c r="I107" s="5"/>
      <c r="J107" s="17">
        <v>598.6662</v>
      </c>
      <c r="K107" s="18">
        <v>46.052100000000003</v>
      </c>
      <c r="L107" s="18">
        <v>50.9176</v>
      </c>
      <c r="M107" s="18">
        <v>52.399299999999997</v>
      </c>
      <c r="N107" s="18">
        <v>25.0533</v>
      </c>
      <c r="O107" s="18">
        <f t="shared" si="7"/>
        <v>47.453687500000001</v>
      </c>
      <c r="P107" s="7"/>
      <c r="Q107" s="10"/>
      <c r="R107" s="11"/>
      <c r="S107" s="11"/>
      <c r="T107" s="26"/>
      <c r="U107" s="28">
        <f t="shared" si="8"/>
        <v>6.2480916030534434E-2</v>
      </c>
    </row>
    <row r="108" spans="2:21" ht="16.5" thickBot="1" x14ac:dyDescent="0.3">
      <c r="B108" s="12"/>
      <c r="C108" s="19">
        <v>420.01</v>
      </c>
      <c r="D108" s="20">
        <v>41.67</v>
      </c>
      <c r="E108" s="20">
        <v>45.960999999999999</v>
      </c>
      <c r="F108" s="20">
        <v>47.51</v>
      </c>
      <c r="G108" s="20">
        <v>32.950000000000003</v>
      </c>
      <c r="H108" s="20">
        <f t="shared" si="6"/>
        <v>42.936374999999998</v>
      </c>
      <c r="I108" s="5"/>
      <c r="J108" s="19">
        <v>296.72699999999998</v>
      </c>
      <c r="K108" s="20">
        <v>43.058900000000001</v>
      </c>
      <c r="L108" s="20">
        <v>48.194099999999999</v>
      </c>
      <c r="M108" s="20">
        <v>49.624499999999998</v>
      </c>
      <c r="N108" s="20">
        <v>35.094900000000003</v>
      </c>
      <c r="O108" s="20">
        <f t="shared" si="7"/>
        <v>44.521500000000003</v>
      </c>
      <c r="P108" s="7"/>
      <c r="Q108" s="13"/>
      <c r="R108" s="14"/>
      <c r="S108" s="14"/>
      <c r="T108" s="27"/>
      <c r="U108" s="28">
        <f t="shared" si="8"/>
        <v>6.5095599393019718E-2</v>
      </c>
    </row>
    <row r="109" spans="2:21" x14ac:dyDescent="0.25">
      <c r="B109" s="6" t="s">
        <v>110</v>
      </c>
      <c r="C109" s="15">
        <v>2047.68</v>
      </c>
      <c r="D109" s="16">
        <v>33.523000000000003</v>
      </c>
      <c r="E109" s="16">
        <v>41.225000000000001</v>
      </c>
      <c r="F109" s="16">
        <v>40.53</v>
      </c>
      <c r="G109" s="16">
        <v>11.5</v>
      </c>
      <c r="H109" s="16">
        <f t="shared" si="6"/>
        <v>35.361625000000004</v>
      </c>
      <c r="I109" s="5"/>
      <c r="J109" s="15">
        <v>1492.1128000000001</v>
      </c>
      <c r="K109" s="16">
        <v>33.079000000000001</v>
      </c>
      <c r="L109" s="16">
        <v>41.029499999999999</v>
      </c>
      <c r="M109" s="16">
        <v>40.468899999999998</v>
      </c>
      <c r="N109" s="16">
        <v>8.3467000000000002</v>
      </c>
      <c r="O109" s="16">
        <f t="shared" si="7"/>
        <v>34.996549999999999</v>
      </c>
      <c r="P109" s="7"/>
      <c r="Q109" s="8">
        <f>bdrate(C109:C112,D109:D112,J109:J112,K109:K112)</f>
        <v>-0.3268727293007142</v>
      </c>
      <c r="R109" s="8">
        <f>bdrate(C109:C112,E109:E112,J109:J112,L109:L112)</f>
        <v>-0.35232358228010396</v>
      </c>
      <c r="S109" s="8">
        <f>bdrate(C109:C112,F109:F112,J109:J112,M109:M112)</f>
        <v>-0.38927878820823514</v>
      </c>
      <c r="T109" s="25">
        <f>bdrate(C109:C112,H109:H112,J109:J112,O109:O112)</f>
        <v>-0.33453796450847417</v>
      </c>
      <c r="U109" s="28">
        <f t="shared" si="8"/>
        <v>-0.2742</v>
      </c>
    </row>
    <row r="110" spans="2:21" x14ac:dyDescent="0.25">
      <c r="B110" s="9"/>
      <c r="C110" s="17">
        <v>1367.9</v>
      </c>
      <c r="D110" s="18">
        <v>31.545000000000002</v>
      </c>
      <c r="E110" s="18">
        <v>40.036000000000001</v>
      </c>
      <c r="F110" s="18">
        <v>39.268999999999998</v>
      </c>
      <c r="G110" s="18">
        <v>13.07</v>
      </c>
      <c r="H110" s="18">
        <f t="shared" si="6"/>
        <v>33.571874999999999</v>
      </c>
      <c r="I110" s="5"/>
      <c r="J110" s="17">
        <v>992.75890000000004</v>
      </c>
      <c r="K110" s="18">
        <v>31.408899999999999</v>
      </c>
      <c r="L110" s="18">
        <v>40.116500000000002</v>
      </c>
      <c r="M110" s="18">
        <v>39.5501</v>
      </c>
      <c r="N110" s="18">
        <v>10.1759</v>
      </c>
      <c r="O110" s="18">
        <f t="shared" si="7"/>
        <v>33.515000000000001</v>
      </c>
      <c r="P110" s="7"/>
      <c r="Q110" s="10"/>
      <c r="R110" s="11"/>
      <c r="S110" s="11"/>
      <c r="T110" s="26"/>
      <c r="U110" s="28">
        <f t="shared" si="8"/>
        <v>-0.22143075745983165</v>
      </c>
    </row>
    <row r="111" spans="2:21" x14ac:dyDescent="0.25">
      <c r="B111" s="9"/>
      <c r="C111" s="17">
        <v>829.37</v>
      </c>
      <c r="D111" s="18">
        <v>28.815999999999999</v>
      </c>
      <c r="E111" s="18">
        <v>38.554000000000002</v>
      </c>
      <c r="F111" s="18">
        <v>37.756</v>
      </c>
      <c r="G111" s="18">
        <v>15.17</v>
      </c>
      <c r="H111" s="18">
        <f t="shared" si="6"/>
        <v>31.150749999999999</v>
      </c>
      <c r="I111" s="5"/>
      <c r="J111" s="17">
        <v>594.69730000000004</v>
      </c>
      <c r="K111" s="18">
        <v>29.282499999999999</v>
      </c>
      <c r="L111" s="18">
        <v>38.9514</v>
      </c>
      <c r="M111" s="18">
        <v>38.3431</v>
      </c>
      <c r="N111" s="18">
        <v>12.729900000000001</v>
      </c>
      <c r="O111" s="18">
        <f t="shared" si="7"/>
        <v>31.623687499999999</v>
      </c>
      <c r="P111" s="7"/>
      <c r="Q111" s="10"/>
      <c r="R111" s="11"/>
      <c r="S111" s="11"/>
      <c r="T111" s="26"/>
      <c r="U111" s="28">
        <f t="shared" si="8"/>
        <v>-0.16085036255767959</v>
      </c>
    </row>
    <row r="112" spans="2:21" ht="16.5" thickBot="1" x14ac:dyDescent="0.3">
      <c r="B112" s="12"/>
      <c r="C112" s="19">
        <v>391.41</v>
      </c>
      <c r="D112" s="20">
        <v>24.550999999999998</v>
      </c>
      <c r="E112" s="20">
        <v>36.103999999999999</v>
      </c>
      <c r="F112" s="20">
        <v>35.395000000000003</v>
      </c>
      <c r="G112" s="20">
        <v>19.2</v>
      </c>
      <c r="H112" s="20">
        <f t="shared" si="6"/>
        <v>27.350624999999997</v>
      </c>
      <c r="I112" s="5"/>
      <c r="J112" s="19">
        <v>298.0643</v>
      </c>
      <c r="K112" s="20">
        <v>26.5745</v>
      </c>
      <c r="L112" s="20">
        <v>37.0167</v>
      </c>
      <c r="M112" s="20">
        <v>36.43</v>
      </c>
      <c r="N112" s="20">
        <v>17.5276</v>
      </c>
      <c r="O112" s="20">
        <f t="shared" si="7"/>
        <v>29.111712500000003</v>
      </c>
      <c r="P112" s="7"/>
      <c r="Q112" s="13"/>
      <c r="R112" s="14"/>
      <c r="S112" s="14"/>
      <c r="T112" s="27"/>
      <c r="U112" s="28">
        <f t="shared" si="8"/>
        <v>-8.7104166666666649E-2</v>
      </c>
    </row>
    <row r="113" spans="2:21" x14ac:dyDescent="0.25">
      <c r="B113" s="6" t="s">
        <v>111</v>
      </c>
      <c r="C113" s="15">
        <v>2336.44</v>
      </c>
      <c r="D113" s="16">
        <v>48.421999999999997</v>
      </c>
      <c r="E113" s="16">
        <v>48.661000000000001</v>
      </c>
      <c r="F113" s="16">
        <v>48.398000000000003</v>
      </c>
      <c r="G113" s="16">
        <v>20.72</v>
      </c>
      <c r="H113" s="16">
        <f t="shared" si="6"/>
        <v>48.448875000000001</v>
      </c>
      <c r="I113" s="5"/>
      <c r="J113" s="15">
        <v>1397.6764000000001</v>
      </c>
      <c r="K113" s="16">
        <v>47.066899999999997</v>
      </c>
      <c r="L113" s="16">
        <v>47.948500000000003</v>
      </c>
      <c r="M113" s="16">
        <v>47.836399999999998</v>
      </c>
      <c r="N113" s="16">
        <v>14.5762</v>
      </c>
      <c r="O113" s="16">
        <f t="shared" si="7"/>
        <v>47.273287499999995</v>
      </c>
      <c r="P113" s="7"/>
      <c r="Q113" s="8">
        <f>bdrate(C113:C116,D113:D116,J113:J116,K113:K116)</f>
        <v>-0.2814623723970846</v>
      </c>
      <c r="R113" s="8">
        <f>bdrate(C113:C116,E113:E116,J113:J116,L113:L116)</f>
        <v>-0.35777957014214234</v>
      </c>
      <c r="S113" s="8">
        <f>bdrate(C113:C116,F113:F116,J113:J116,M113:M116)</f>
        <v>-0.37713914051203623</v>
      </c>
      <c r="T113" s="25">
        <f>bdrate(C113:C116,H113:H116,J113:J116,O113:O116)</f>
        <v>-0.30092483109752177</v>
      </c>
      <c r="U113" s="28">
        <f t="shared" si="8"/>
        <v>-0.296515444015444</v>
      </c>
    </row>
    <row r="114" spans="2:21" x14ac:dyDescent="0.25">
      <c r="B114" s="9"/>
      <c r="C114" s="17">
        <v>1549.62</v>
      </c>
      <c r="D114" s="18">
        <v>46.4</v>
      </c>
      <c r="E114" s="18">
        <v>46.792999999999999</v>
      </c>
      <c r="F114" s="18">
        <v>46.540999999999997</v>
      </c>
      <c r="G114" s="18">
        <v>23.2</v>
      </c>
      <c r="H114" s="18">
        <f t="shared" si="6"/>
        <v>46.466749999999998</v>
      </c>
      <c r="I114" s="5"/>
      <c r="J114" s="17">
        <v>945.52080000000001</v>
      </c>
      <c r="K114" s="18">
        <v>45.321800000000003</v>
      </c>
      <c r="L114" s="18">
        <v>46.441099999999999</v>
      </c>
      <c r="M114" s="18">
        <v>46.320900000000002</v>
      </c>
      <c r="N114" s="18">
        <v>18.9589</v>
      </c>
      <c r="O114" s="18">
        <f t="shared" si="7"/>
        <v>45.586600000000004</v>
      </c>
      <c r="P114" s="7"/>
      <c r="Q114" s="10"/>
      <c r="R114" s="11"/>
      <c r="S114" s="11"/>
      <c r="T114" s="26"/>
      <c r="U114" s="28">
        <f t="shared" si="8"/>
        <v>-0.18280603448275859</v>
      </c>
    </row>
    <row r="115" spans="2:21" x14ac:dyDescent="0.25">
      <c r="B115" s="9"/>
      <c r="C115" s="17">
        <v>931.45</v>
      </c>
      <c r="D115" s="18">
        <v>43.557000000000002</v>
      </c>
      <c r="E115" s="18">
        <v>44.316000000000003</v>
      </c>
      <c r="F115" s="18">
        <v>43.991999999999997</v>
      </c>
      <c r="G115" s="18">
        <v>26.74</v>
      </c>
      <c r="H115" s="18">
        <f t="shared" si="6"/>
        <v>43.706250000000004</v>
      </c>
      <c r="I115" s="5"/>
      <c r="J115" s="17">
        <v>583.61350000000004</v>
      </c>
      <c r="K115" s="18">
        <v>42.738700000000001</v>
      </c>
      <c r="L115" s="18">
        <v>44.269500000000001</v>
      </c>
      <c r="M115" s="18">
        <v>44.062899999999999</v>
      </c>
      <c r="N115" s="18">
        <v>24.926300000000001</v>
      </c>
      <c r="O115" s="18">
        <f t="shared" si="7"/>
        <v>43.095575000000004</v>
      </c>
      <c r="P115" s="7"/>
      <c r="Q115" s="10"/>
      <c r="R115" s="11"/>
      <c r="S115" s="11"/>
      <c r="T115" s="26"/>
      <c r="U115" s="28">
        <f t="shared" si="8"/>
        <v>-6.7827225130889957E-2</v>
      </c>
    </row>
    <row r="116" spans="2:21" ht="16.5" thickBot="1" x14ac:dyDescent="0.3">
      <c r="B116" s="12"/>
      <c r="C116" s="19">
        <v>432.54</v>
      </c>
      <c r="D116" s="20">
        <v>38.171999999999997</v>
      </c>
      <c r="E116" s="20">
        <v>40.213000000000001</v>
      </c>
      <c r="F116" s="20">
        <v>39.738999999999997</v>
      </c>
      <c r="G116" s="20">
        <v>32.36</v>
      </c>
      <c r="H116" s="20">
        <f t="shared" si="6"/>
        <v>38.622999999999998</v>
      </c>
      <c r="I116" s="5"/>
      <c r="J116" s="19">
        <v>296.49529999999999</v>
      </c>
      <c r="K116" s="20">
        <v>38.270899999999997</v>
      </c>
      <c r="L116" s="20">
        <v>40.681199999999997</v>
      </c>
      <c r="M116" s="20">
        <v>40.552500000000002</v>
      </c>
      <c r="N116" s="20">
        <v>33.280900000000003</v>
      </c>
      <c r="O116" s="20">
        <f t="shared" si="7"/>
        <v>38.857387500000002</v>
      </c>
      <c r="P116" s="7"/>
      <c r="Q116" s="13"/>
      <c r="R116" s="14"/>
      <c r="S116" s="14"/>
      <c r="T116" s="27"/>
      <c r="U116" s="28">
        <f t="shared" si="8"/>
        <v>2.8457972805933349E-2</v>
      </c>
    </row>
    <row r="117" spans="2:21" x14ac:dyDescent="0.25">
      <c r="B117" s="6" t="s">
        <v>112</v>
      </c>
      <c r="C117" s="15">
        <v>2702.46</v>
      </c>
      <c r="D117" s="16">
        <v>50.112000000000002</v>
      </c>
      <c r="E117" s="16">
        <v>51.209000000000003</v>
      </c>
      <c r="F117" s="16">
        <v>51.442</v>
      </c>
      <c r="G117" s="16">
        <v>22.11</v>
      </c>
      <c r="H117" s="16">
        <f t="shared" si="6"/>
        <v>50.415375000000004</v>
      </c>
      <c r="I117" s="5"/>
      <c r="J117" s="15">
        <v>1376.0161000000001</v>
      </c>
      <c r="K117" s="16">
        <v>47.439300000000003</v>
      </c>
      <c r="L117" s="16">
        <v>49.415199999999999</v>
      </c>
      <c r="M117" s="16">
        <v>49.511600000000001</v>
      </c>
      <c r="N117" s="16">
        <v>18.093900000000001</v>
      </c>
      <c r="O117" s="16">
        <f t="shared" si="7"/>
        <v>47.945325000000004</v>
      </c>
      <c r="P117" s="7"/>
      <c r="Q117" s="8">
        <f>bdrate(C117:C120,D117:D120,J117:J120,K117:K120)</f>
        <v>-0.27969324227753289</v>
      </c>
      <c r="R117" s="8">
        <f>bdrate(C117:C120,E117:E120,J117:J120,L117:L120)</f>
        <v>-0.34037830985427386</v>
      </c>
      <c r="S117" s="8">
        <f>bdrate(C117:C120,F117:F120,J117:J120,M117:M120)</f>
        <v>-0.33753471278984393</v>
      </c>
      <c r="T117" s="25">
        <f>bdrate(C117:C120,H117:H120,J117:J120,O117:O120)</f>
        <v>-0.29324211944010248</v>
      </c>
      <c r="U117" s="28">
        <f t="shared" si="8"/>
        <v>-0.18164179104477604</v>
      </c>
    </row>
    <row r="118" spans="2:21" x14ac:dyDescent="0.25">
      <c r="B118" s="9"/>
      <c r="C118" s="17">
        <v>1788.4</v>
      </c>
      <c r="D118" s="18">
        <v>46.965000000000003</v>
      </c>
      <c r="E118" s="18">
        <v>48.4</v>
      </c>
      <c r="F118" s="18">
        <v>48.652999999999999</v>
      </c>
      <c r="G118" s="18">
        <v>24.87</v>
      </c>
      <c r="H118" s="18">
        <f t="shared" si="6"/>
        <v>47.355375000000002</v>
      </c>
      <c r="I118" s="5"/>
      <c r="J118" s="17">
        <v>946.93409999999994</v>
      </c>
      <c r="K118" s="18">
        <v>45.892699999999998</v>
      </c>
      <c r="L118" s="18">
        <v>48.080599999999997</v>
      </c>
      <c r="M118" s="18">
        <v>48.2575</v>
      </c>
      <c r="N118" s="18">
        <v>21.518699999999999</v>
      </c>
      <c r="O118" s="18">
        <f t="shared" si="7"/>
        <v>46.4617875</v>
      </c>
      <c r="P118" s="7"/>
      <c r="Q118" s="10"/>
      <c r="R118" s="11"/>
      <c r="S118" s="11"/>
      <c r="T118" s="26"/>
      <c r="U118" s="28">
        <f t="shared" si="8"/>
        <v>-0.13475271411338971</v>
      </c>
    </row>
    <row r="119" spans="2:21" x14ac:dyDescent="0.25">
      <c r="B119" s="9"/>
      <c r="C119" s="17">
        <v>1073.45</v>
      </c>
      <c r="D119" s="18">
        <v>43.706000000000003</v>
      </c>
      <c r="E119" s="18">
        <v>45.569000000000003</v>
      </c>
      <c r="F119" s="18">
        <v>45.796999999999997</v>
      </c>
      <c r="G119" s="18">
        <v>27.92</v>
      </c>
      <c r="H119" s="18">
        <f t="shared" si="6"/>
        <v>44.200249999999997</v>
      </c>
      <c r="I119" s="5"/>
      <c r="J119" s="17">
        <v>604.69920000000002</v>
      </c>
      <c r="K119" s="18">
        <v>41.525199999999998</v>
      </c>
      <c r="L119" s="18">
        <v>44.099400000000003</v>
      </c>
      <c r="M119" s="18">
        <v>44.358199999999997</v>
      </c>
      <c r="N119" s="18">
        <v>24.529199999999999</v>
      </c>
      <c r="O119" s="18">
        <f t="shared" si="7"/>
        <v>42.201099999999997</v>
      </c>
      <c r="P119" s="7"/>
      <c r="Q119" s="10"/>
      <c r="R119" s="11"/>
      <c r="S119" s="11"/>
      <c r="T119" s="26"/>
      <c r="U119" s="28">
        <f t="shared" si="8"/>
        <v>-0.12144699140401154</v>
      </c>
    </row>
    <row r="120" spans="2:21" ht="16.5" thickBot="1" x14ac:dyDescent="0.3">
      <c r="B120" s="12"/>
      <c r="C120" s="19">
        <v>500.25</v>
      </c>
      <c r="D120" s="20">
        <v>38.872999999999998</v>
      </c>
      <c r="E120" s="20">
        <v>41.488</v>
      </c>
      <c r="F120" s="20">
        <v>41.747999999999998</v>
      </c>
      <c r="G120" s="20">
        <v>33.85</v>
      </c>
      <c r="H120" s="20">
        <f t="shared" si="6"/>
        <v>39.559249999999999</v>
      </c>
      <c r="I120" s="5"/>
      <c r="J120" s="19">
        <v>319.95890000000003</v>
      </c>
      <c r="K120" s="20">
        <v>37.795299999999997</v>
      </c>
      <c r="L120" s="20">
        <v>41.0974</v>
      </c>
      <c r="M120" s="20">
        <v>41.343000000000004</v>
      </c>
      <c r="N120" s="20">
        <v>40.628399999999999</v>
      </c>
      <c r="O120" s="20">
        <f t="shared" si="7"/>
        <v>38.651524999999999</v>
      </c>
      <c r="P120" s="7"/>
      <c r="Q120" s="13"/>
      <c r="R120" s="14"/>
      <c r="S120" s="14"/>
      <c r="T120" s="27"/>
      <c r="U120" s="28">
        <f t="shared" si="8"/>
        <v>0.20024815361890685</v>
      </c>
    </row>
    <row r="121" spans="2:21" x14ac:dyDescent="0.25">
      <c r="B121" s="6" t="s">
        <v>113</v>
      </c>
      <c r="C121" s="29">
        <v>2141.15</v>
      </c>
      <c r="D121" s="30">
        <v>34.564</v>
      </c>
      <c r="E121" s="30">
        <v>37.655999999999999</v>
      </c>
      <c r="F121" s="30">
        <v>36.590000000000003</v>
      </c>
      <c r="G121" s="16">
        <v>14.62</v>
      </c>
      <c r="H121" s="16">
        <f t="shared" si="6"/>
        <v>35.203749999999999</v>
      </c>
      <c r="I121" s="5"/>
      <c r="J121" s="29">
        <v>1512.1824999999999</v>
      </c>
      <c r="K121" s="30">
        <v>33.544499999999999</v>
      </c>
      <c r="L121" s="30">
        <v>37.450099999999999</v>
      </c>
      <c r="M121" s="30">
        <v>36.322099999999999</v>
      </c>
      <c r="N121" s="16">
        <v>10.615</v>
      </c>
      <c r="O121" s="16">
        <f t="shared" si="7"/>
        <v>34.379899999999999</v>
      </c>
      <c r="P121" s="7"/>
      <c r="Q121" s="8">
        <f>bdrate(C121:C124,D121:D124,J121:J124,K121:K124)</f>
        <v>-0.25714754785510396</v>
      </c>
      <c r="R121" s="8">
        <f>bdrate(C121:C124,E121:E124,J121:J124,L121:L124)</f>
        <v>-0.34549996569687613</v>
      </c>
      <c r="S121" s="8">
        <f>bdrate(C121:C124,F121:F124,J121:J124,M121:M124)</f>
        <v>-0.33719993584000063</v>
      </c>
      <c r="T121" s="25">
        <f>bdrate(C121:C124,H121:H124,J121:J124,O121:O124)</f>
        <v>-0.2710510798689072</v>
      </c>
      <c r="U121" s="28">
        <f t="shared" si="8"/>
        <v>-0.2739398084815321</v>
      </c>
    </row>
    <row r="122" spans="2:21" x14ac:dyDescent="0.25">
      <c r="B122" s="9"/>
      <c r="C122" s="31">
        <v>1419.43</v>
      </c>
      <c r="D122" s="32">
        <v>32.372999999999998</v>
      </c>
      <c r="E122" s="32">
        <v>36.356999999999999</v>
      </c>
      <c r="F122" s="32">
        <v>35.222999999999999</v>
      </c>
      <c r="G122" s="18">
        <v>16.25</v>
      </c>
      <c r="H122" s="18">
        <f t="shared" si="6"/>
        <v>33.227249999999998</v>
      </c>
      <c r="I122" s="5"/>
      <c r="J122" s="31">
        <v>1009.2861</v>
      </c>
      <c r="K122" s="32">
        <v>31.679400000000001</v>
      </c>
      <c r="L122" s="32">
        <v>36.4054</v>
      </c>
      <c r="M122" s="32">
        <v>35.227800000000002</v>
      </c>
      <c r="N122" s="18">
        <v>12.5746</v>
      </c>
      <c r="O122" s="18">
        <f t="shared" si="7"/>
        <v>32.713700000000003</v>
      </c>
      <c r="P122" s="7"/>
      <c r="Q122" s="10"/>
      <c r="R122" s="11"/>
      <c r="S122" s="11"/>
      <c r="T122" s="26"/>
      <c r="U122" s="28">
        <f t="shared" si="8"/>
        <v>-0.22617846153846152</v>
      </c>
    </row>
    <row r="123" spans="2:21" x14ac:dyDescent="0.25">
      <c r="B123" s="9"/>
      <c r="C123" s="31">
        <v>855.96</v>
      </c>
      <c r="D123" s="32">
        <v>29.655000000000001</v>
      </c>
      <c r="E123" s="32">
        <v>34.947000000000003</v>
      </c>
      <c r="F123" s="32">
        <v>33.718000000000004</v>
      </c>
      <c r="G123" s="18">
        <v>18.66</v>
      </c>
      <c r="H123" s="18">
        <f t="shared" si="6"/>
        <v>30.824375000000003</v>
      </c>
      <c r="I123" s="5"/>
      <c r="J123" s="31">
        <v>606.74469999999997</v>
      </c>
      <c r="K123" s="32">
        <v>29.503399999999999</v>
      </c>
      <c r="L123" s="32">
        <v>35.240099999999998</v>
      </c>
      <c r="M123" s="32">
        <v>33.996699999999997</v>
      </c>
      <c r="N123" s="18">
        <v>15.6751</v>
      </c>
      <c r="O123" s="18">
        <f t="shared" si="7"/>
        <v>30.782149999999998</v>
      </c>
      <c r="P123" s="7"/>
      <c r="Q123" s="10"/>
      <c r="R123" s="11"/>
      <c r="S123" s="11"/>
      <c r="T123" s="26"/>
      <c r="U123" s="28">
        <f t="shared" si="8"/>
        <v>-0.15996248660235796</v>
      </c>
    </row>
    <row r="124" spans="2:21" ht="16.5" thickBot="1" x14ac:dyDescent="0.3">
      <c r="B124" s="12"/>
      <c r="C124" s="33">
        <v>398.36</v>
      </c>
      <c r="D124" s="34">
        <v>25.606000000000002</v>
      </c>
      <c r="E124" s="34">
        <v>32.972999999999999</v>
      </c>
      <c r="F124" s="34">
        <v>31.568999999999999</v>
      </c>
      <c r="G124" s="20">
        <v>23.42</v>
      </c>
      <c r="H124" s="20">
        <f t="shared" si="6"/>
        <v>27.272250000000003</v>
      </c>
      <c r="I124" s="5"/>
      <c r="J124" s="33">
        <v>303.54079999999999</v>
      </c>
      <c r="K124" s="34">
        <v>27.0076</v>
      </c>
      <c r="L124" s="34">
        <v>33.701900000000002</v>
      </c>
      <c r="M124" s="34">
        <v>32.320300000000003</v>
      </c>
      <c r="N124" s="20">
        <v>21.668500000000002</v>
      </c>
      <c r="O124" s="20">
        <f t="shared" si="7"/>
        <v>28.508475000000001</v>
      </c>
      <c r="P124" s="7"/>
      <c r="Q124" s="13"/>
      <c r="R124" s="14"/>
      <c r="S124" s="14"/>
      <c r="T124" s="27"/>
      <c r="U124" s="28">
        <f t="shared" si="8"/>
        <v>-7.4786507258753201E-2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-0.34803375599941994</v>
      </c>
      <c r="R125" s="21">
        <f>AVERAGE(R9:R124)</f>
        <v>-0.47928253943854338</v>
      </c>
      <c r="S125" s="21">
        <f>AVERAGE(S9:S124)</f>
        <v>-0.47940247953984066</v>
      </c>
      <c r="T125" s="21">
        <f>AVERAGE(T9:T124)</f>
        <v>-0.3734238019625043</v>
      </c>
      <c r="U125" s="21">
        <f>AVERAGE(U9:U124)</f>
        <v>-2.351693031222193E-3</v>
      </c>
    </row>
    <row r="127" spans="2:21" s="35" customFormat="1" ht="15.75" customHeight="1" x14ac:dyDescent="0.25">
      <c r="B127" s="51" t="s">
        <v>29</v>
      </c>
      <c r="C127" s="56" t="s">
        <v>128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82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5814.4</v>
      </c>
      <c r="D131" s="16">
        <v>37.981999999999999</v>
      </c>
      <c r="E131" s="16">
        <v>39.220999999999997</v>
      </c>
      <c r="F131" s="16">
        <v>41.649000000000001</v>
      </c>
      <c r="G131" s="16">
        <v>11.74</v>
      </c>
      <c r="H131" s="16">
        <f t="shared" ref="H131:H202" si="9">(6*D131+E131+F131)/8</f>
        <v>38.59525</v>
      </c>
      <c r="I131" s="5"/>
      <c r="J131" s="15">
        <v>3878.2192</v>
      </c>
      <c r="K131" s="16">
        <v>38.3645</v>
      </c>
      <c r="L131" s="16">
        <v>39.945599999999999</v>
      </c>
      <c r="M131" s="16">
        <v>42.616900000000001</v>
      </c>
      <c r="N131" s="16">
        <v>12.309200000000001</v>
      </c>
      <c r="O131" s="16">
        <f t="shared" ref="O131:O202" si="10">(6*K131+L131+M131)/8</f>
        <v>39.093687500000001</v>
      </c>
      <c r="P131" s="7"/>
      <c r="Q131" s="8">
        <f>bdrate(C131:C134,D131:D134,J131:J134,K131:K134)</f>
        <v>-0.43998490457026096</v>
      </c>
      <c r="R131" s="8">
        <f>bdrate(C131:C134,E131:E134,J131:J134,L131:L134)</f>
        <v>-0.58072691692123724</v>
      </c>
      <c r="S131" s="8">
        <f>bdrate(C131:C134,F131:F134,J131:J134,M131:M134)</f>
        <v>-0.5636616925678497</v>
      </c>
      <c r="T131" s="25">
        <f>bdrate(C131:C134,H131:H134,J131:J134,O131:O134)</f>
        <v>-0.46071621121149831</v>
      </c>
      <c r="U131" s="28">
        <f t="shared" ref="U131:U194" si="11">(N131-G131)/G131</f>
        <v>4.8483816013628653E-2</v>
      </c>
    </row>
    <row r="132" spans="1:21" x14ac:dyDescent="0.25">
      <c r="A132" s="9" t="s">
        <v>36</v>
      </c>
      <c r="B132" s="9"/>
      <c r="C132" s="17">
        <v>4291.3</v>
      </c>
      <c r="D132" s="18">
        <v>37.018000000000001</v>
      </c>
      <c r="E132" s="18">
        <v>38.741999999999997</v>
      </c>
      <c r="F132" s="18">
        <v>41.134999999999998</v>
      </c>
      <c r="G132" s="18">
        <v>12.96</v>
      </c>
      <c r="H132" s="18">
        <f t="shared" si="9"/>
        <v>37.748125000000002</v>
      </c>
      <c r="I132" s="5"/>
      <c r="J132" s="17">
        <v>2846.1727999999998</v>
      </c>
      <c r="K132" s="18">
        <v>37.448900000000002</v>
      </c>
      <c r="L132" s="18">
        <v>39.475900000000003</v>
      </c>
      <c r="M132" s="18">
        <v>41.987900000000003</v>
      </c>
      <c r="N132" s="18">
        <v>15.2874</v>
      </c>
      <c r="O132" s="18">
        <f t="shared" si="10"/>
        <v>38.269650000000006</v>
      </c>
      <c r="P132" s="7"/>
      <c r="Q132" s="10"/>
      <c r="R132" s="11"/>
      <c r="S132" s="11"/>
      <c r="T132" s="26"/>
      <c r="U132" s="28">
        <f t="shared" si="11"/>
        <v>0.17958333333333323</v>
      </c>
    </row>
    <row r="133" spans="1:21" x14ac:dyDescent="0.25">
      <c r="B133" s="9"/>
      <c r="C133" s="17">
        <v>2817.53</v>
      </c>
      <c r="D133" s="18">
        <v>35.475000000000001</v>
      </c>
      <c r="E133" s="18">
        <v>38.042000000000002</v>
      </c>
      <c r="F133" s="18">
        <v>40.386000000000003</v>
      </c>
      <c r="G133" s="18">
        <v>13.91</v>
      </c>
      <c r="H133" s="18">
        <f t="shared" si="9"/>
        <v>36.409750000000003</v>
      </c>
      <c r="I133" s="5"/>
      <c r="J133" s="17">
        <v>1883.6751999999999</v>
      </c>
      <c r="K133" s="18">
        <v>36.078600000000002</v>
      </c>
      <c r="L133" s="18">
        <v>38.835599999999999</v>
      </c>
      <c r="M133" s="18">
        <v>41.192999999999998</v>
      </c>
      <c r="N133" s="18">
        <v>18.413900000000002</v>
      </c>
      <c r="O133" s="18">
        <f t="shared" si="10"/>
        <v>37.062525000000001</v>
      </c>
      <c r="P133" s="7"/>
      <c r="Q133" s="10"/>
      <c r="R133" s="11"/>
      <c r="S133" s="11"/>
      <c r="T133" s="26"/>
      <c r="U133" s="28">
        <f t="shared" si="11"/>
        <v>0.3237886412652769</v>
      </c>
    </row>
    <row r="134" spans="1:21" ht="16.5" thickBot="1" x14ac:dyDescent="0.3">
      <c r="B134" s="12"/>
      <c r="C134" s="19">
        <v>1397.86</v>
      </c>
      <c r="D134" s="20">
        <v>32.298000000000002</v>
      </c>
      <c r="E134" s="20">
        <v>36.923999999999999</v>
      </c>
      <c r="F134" s="20">
        <v>39.241999999999997</v>
      </c>
      <c r="G134" s="20">
        <v>14.7</v>
      </c>
      <c r="H134" s="20">
        <f t="shared" si="9"/>
        <v>33.744250000000001</v>
      </c>
      <c r="I134" s="5"/>
      <c r="J134" s="19">
        <v>909.952</v>
      </c>
      <c r="K134" s="20">
        <v>33.437199999999997</v>
      </c>
      <c r="L134" s="20">
        <v>37.548900000000003</v>
      </c>
      <c r="M134" s="20">
        <v>39.763500000000001</v>
      </c>
      <c r="N134" s="20">
        <v>25.4237</v>
      </c>
      <c r="O134" s="20">
        <f t="shared" si="10"/>
        <v>34.741950000000003</v>
      </c>
      <c r="P134" s="7"/>
      <c r="Q134" s="13"/>
      <c r="R134" s="14"/>
      <c r="S134" s="14"/>
      <c r="T134" s="27"/>
      <c r="U134" s="28">
        <f t="shared" si="11"/>
        <v>0.72950340136054437</v>
      </c>
    </row>
    <row r="135" spans="1:21" x14ac:dyDescent="0.25">
      <c r="B135" s="6" t="s">
        <v>47</v>
      </c>
      <c r="C135" s="15">
        <v>6839.46</v>
      </c>
      <c r="D135" s="16">
        <v>30.146999999999998</v>
      </c>
      <c r="E135" s="16">
        <v>39.950000000000003</v>
      </c>
      <c r="F135" s="16">
        <v>40.662999999999997</v>
      </c>
      <c r="G135" s="16">
        <v>9.14</v>
      </c>
      <c r="H135" s="16">
        <f t="shared" si="9"/>
        <v>32.686875000000001</v>
      </c>
      <c r="I135" s="5"/>
      <c r="J135" s="15">
        <v>4080.6896000000002</v>
      </c>
      <c r="K135" s="16">
        <v>29.718499999999999</v>
      </c>
      <c r="L135" s="16">
        <v>40.477600000000002</v>
      </c>
      <c r="M135" s="16">
        <v>41.357500000000002</v>
      </c>
      <c r="N135" s="16">
        <v>8.1357999999999997</v>
      </c>
      <c r="O135" s="16">
        <f t="shared" si="10"/>
        <v>32.518262499999999</v>
      </c>
      <c r="P135" s="7"/>
      <c r="Q135" s="8">
        <f>bdrate(C135:C138,D135:D138,J135:J138,K135:K138)</f>
        <v>-0.39534431922537194</v>
      </c>
      <c r="R135" s="8">
        <f>bdrate(C135:C138,E135:E138,J135:J138,L135:L138)</f>
        <v>-0.51039598154296661</v>
      </c>
      <c r="S135" s="8">
        <f>bdrate(C135:C138,F135:F138,J135:J138,M135:M138)</f>
        <v>-0.59733055625614284</v>
      </c>
      <c r="T135" s="25">
        <f>bdrate(C135:C138,H135:H138,J135:J138,O135:O138)</f>
        <v>-0.41876472753723626</v>
      </c>
      <c r="U135" s="28">
        <f t="shared" si="11"/>
        <v>-0.10986870897155369</v>
      </c>
    </row>
    <row r="136" spans="1:21" x14ac:dyDescent="0.25">
      <c r="B136" s="9"/>
      <c r="C136" s="17">
        <v>5144.6400000000003</v>
      </c>
      <c r="D136" s="18">
        <v>28.654</v>
      </c>
      <c r="E136" s="18">
        <v>39.453000000000003</v>
      </c>
      <c r="F136" s="18">
        <v>40.198</v>
      </c>
      <c r="G136" s="18">
        <v>10.11</v>
      </c>
      <c r="H136" s="18">
        <f t="shared" si="9"/>
        <v>31.446875000000002</v>
      </c>
      <c r="I136" s="5"/>
      <c r="J136" s="17">
        <v>3083.2512000000002</v>
      </c>
      <c r="K136" s="18">
        <v>28.4666</v>
      </c>
      <c r="L136" s="18">
        <v>40.033200000000001</v>
      </c>
      <c r="M136" s="18">
        <v>40.991999999999997</v>
      </c>
      <c r="N136" s="18">
        <v>9.8412000000000006</v>
      </c>
      <c r="O136" s="18">
        <f t="shared" si="10"/>
        <v>31.478099999999998</v>
      </c>
      <c r="P136" s="7"/>
      <c r="Q136" s="10"/>
      <c r="R136" s="11"/>
      <c r="S136" s="11"/>
      <c r="T136" s="26"/>
      <c r="U136" s="28">
        <f t="shared" si="11"/>
        <v>-2.6587537091988016E-2</v>
      </c>
    </row>
    <row r="137" spans="1:21" x14ac:dyDescent="0.25">
      <c r="B137" s="9"/>
      <c r="C137" s="17">
        <v>3429</v>
      </c>
      <c r="D137" s="18">
        <v>26.683</v>
      </c>
      <c r="E137" s="18">
        <v>38.826999999999998</v>
      </c>
      <c r="F137" s="18">
        <v>39.573999999999998</v>
      </c>
      <c r="G137" s="18">
        <v>11.15</v>
      </c>
      <c r="H137" s="18">
        <f t="shared" si="9"/>
        <v>29.812375000000003</v>
      </c>
      <c r="I137" s="5"/>
      <c r="J137" s="17">
        <v>2037.9775999999999</v>
      </c>
      <c r="K137" s="18">
        <v>26.690899999999999</v>
      </c>
      <c r="L137" s="18">
        <v>39.215800000000002</v>
      </c>
      <c r="M137" s="18">
        <v>40.310600000000001</v>
      </c>
      <c r="N137" s="18">
        <v>12.0463</v>
      </c>
      <c r="O137" s="18">
        <f t="shared" si="10"/>
        <v>29.958974999999999</v>
      </c>
      <c r="P137" s="7"/>
      <c r="Q137" s="10"/>
      <c r="R137" s="11"/>
      <c r="S137" s="11"/>
      <c r="T137" s="26"/>
      <c r="U137" s="28">
        <f t="shared" si="11"/>
        <v>8.0385650224215247E-2</v>
      </c>
    </row>
    <row r="138" spans="1:21" ht="16.5" thickBot="1" x14ac:dyDescent="0.3">
      <c r="B138" s="12"/>
      <c r="C138" s="19">
        <v>1654.94</v>
      </c>
      <c r="D138" s="20">
        <v>23.427</v>
      </c>
      <c r="E138" s="20">
        <v>37.423000000000002</v>
      </c>
      <c r="F138" s="20">
        <v>38.295999999999999</v>
      </c>
      <c r="G138" s="20">
        <v>12.42</v>
      </c>
      <c r="H138" s="20">
        <f t="shared" si="9"/>
        <v>27.035125000000001</v>
      </c>
      <c r="I138" s="5"/>
      <c r="J138" s="19">
        <v>1435.4208000000001</v>
      </c>
      <c r="K138" s="20">
        <v>25.617599999999999</v>
      </c>
      <c r="L138" s="20">
        <v>38.160499999999999</v>
      </c>
      <c r="M138" s="20">
        <v>39.317799999999998</v>
      </c>
      <c r="N138" s="20">
        <v>13.192600000000001</v>
      </c>
      <c r="O138" s="20">
        <f t="shared" si="10"/>
        <v>28.897987500000003</v>
      </c>
      <c r="P138" s="7"/>
      <c r="Q138" s="13"/>
      <c r="R138" s="14"/>
      <c r="S138" s="14"/>
      <c r="T138" s="27"/>
      <c r="U138" s="28">
        <f t="shared" si="11"/>
        <v>6.2206119162640953E-2</v>
      </c>
    </row>
    <row r="139" spans="1:21" x14ac:dyDescent="0.25">
      <c r="A139" s="6" t="s">
        <v>37</v>
      </c>
      <c r="B139" s="6" t="s">
        <v>48</v>
      </c>
      <c r="C139" s="15">
        <v>3037.23</v>
      </c>
      <c r="D139" s="16">
        <v>39.088000000000001</v>
      </c>
      <c r="E139" s="16">
        <v>41.853999999999999</v>
      </c>
      <c r="F139" s="16">
        <v>42.98</v>
      </c>
      <c r="G139" s="16">
        <v>18.649999999999999</v>
      </c>
      <c r="H139" s="16">
        <f t="shared" si="9"/>
        <v>39.920250000000003</v>
      </c>
      <c r="I139" s="5"/>
      <c r="J139" s="15">
        <v>2176.8000000000002</v>
      </c>
      <c r="K139" s="16">
        <v>39.072099999999999</v>
      </c>
      <c r="L139" s="16">
        <v>42.025399999999998</v>
      </c>
      <c r="M139" s="16">
        <v>43.471299999999999</v>
      </c>
      <c r="N139" s="16">
        <v>21.015799999999999</v>
      </c>
      <c r="O139" s="16">
        <f t="shared" si="10"/>
        <v>39.991162499999994</v>
      </c>
      <c r="P139" s="7"/>
      <c r="Q139" s="8">
        <f>bdrate(C139:C142,D139:D142,J139:J142,K139:K142)</f>
        <v>-0.37180181873195695</v>
      </c>
      <c r="R139" s="8">
        <f>bdrate(C139:C142,E139:E142,J139:J142,L139:L142)</f>
        <v>-0.42152834680344298</v>
      </c>
      <c r="S139" s="8">
        <f>bdrate(C139:C142,F139:F142,J139:J142,M139:M142)</f>
        <v>-0.50214324579055414</v>
      </c>
      <c r="T139" s="25">
        <f>bdrate(C139:C142,H139:H142,J139:J142,O139:O142)</f>
        <v>-0.38559333818690378</v>
      </c>
      <c r="U139" s="28">
        <f t="shared" si="11"/>
        <v>0.1268525469168901</v>
      </c>
    </row>
    <row r="140" spans="1:21" x14ac:dyDescent="0.25">
      <c r="A140" s="9" t="s">
        <v>38</v>
      </c>
      <c r="B140" s="9"/>
      <c r="C140" s="17">
        <v>1995.7</v>
      </c>
      <c r="D140" s="18">
        <v>37.64</v>
      </c>
      <c r="E140" s="18">
        <v>41.094999999999999</v>
      </c>
      <c r="F140" s="18">
        <v>42.12</v>
      </c>
      <c r="G140" s="18">
        <v>21.22</v>
      </c>
      <c r="H140" s="18">
        <f t="shared" si="9"/>
        <v>38.631875000000001</v>
      </c>
      <c r="I140" s="5"/>
      <c r="J140" s="17">
        <v>1433.3024</v>
      </c>
      <c r="K140" s="18">
        <v>37.904800000000002</v>
      </c>
      <c r="L140" s="18">
        <v>41.412300000000002</v>
      </c>
      <c r="M140" s="18">
        <v>42.731200000000001</v>
      </c>
      <c r="N140" s="18">
        <v>26.5047</v>
      </c>
      <c r="O140" s="18">
        <f t="shared" si="10"/>
        <v>38.946537500000005</v>
      </c>
      <c r="P140" s="7"/>
      <c r="Q140" s="10"/>
      <c r="R140" s="11"/>
      <c r="S140" s="11"/>
      <c r="T140" s="26"/>
      <c r="U140" s="28">
        <f t="shared" si="11"/>
        <v>0.249043355325165</v>
      </c>
    </row>
    <row r="141" spans="1:21" x14ac:dyDescent="0.25">
      <c r="B141" s="9"/>
      <c r="C141" s="17">
        <v>1233.77</v>
      </c>
      <c r="D141" s="18">
        <v>35.718000000000004</v>
      </c>
      <c r="E141" s="18">
        <v>40.301000000000002</v>
      </c>
      <c r="F141" s="18">
        <v>41.212000000000003</v>
      </c>
      <c r="G141" s="18">
        <v>23.85</v>
      </c>
      <c r="H141" s="18">
        <f t="shared" si="9"/>
        <v>36.977625000000003</v>
      </c>
      <c r="I141" s="5"/>
      <c r="J141" s="17">
        <v>886.56560000000002</v>
      </c>
      <c r="K141" s="18">
        <v>36.394599999999997</v>
      </c>
      <c r="L141" s="18">
        <v>40.678699999999999</v>
      </c>
      <c r="M141" s="18">
        <v>41.906999999999996</v>
      </c>
      <c r="N141" s="18">
        <v>32.362499999999997</v>
      </c>
      <c r="O141" s="18">
        <f t="shared" si="10"/>
        <v>37.619162499999995</v>
      </c>
      <c r="P141" s="7"/>
      <c r="Q141" s="10"/>
      <c r="R141" s="11"/>
      <c r="S141" s="11"/>
      <c r="T141" s="26"/>
      <c r="U141" s="28">
        <f t="shared" si="11"/>
        <v>0.3569182389937105</v>
      </c>
    </row>
    <row r="142" spans="1:21" ht="16.5" thickBot="1" x14ac:dyDescent="0.3">
      <c r="B142" s="12"/>
      <c r="C142" s="19">
        <v>736.2</v>
      </c>
      <c r="D142" s="20">
        <v>33.401000000000003</v>
      </c>
      <c r="E142" s="20">
        <v>39.384999999999998</v>
      </c>
      <c r="F142" s="20">
        <v>40.356000000000002</v>
      </c>
      <c r="G142" s="20">
        <v>26.66</v>
      </c>
      <c r="H142" s="20">
        <f t="shared" si="9"/>
        <v>35.018374999999999</v>
      </c>
      <c r="I142" s="5"/>
      <c r="J142" s="19">
        <v>533.79999999999995</v>
      </c>
      <c r="K142" s="20">
        <v>34.698300000000003</v>
      </c>
      <c r="L142" s="20">
        <v>39.970599999999997</v>
      </c>
      <c r="M142" s="20">
        <v>41.198599999999999</v>
      </c>
      <c r="N142" s="20">
        <v>39.741700000000002</v>
      </c>
      <c r="O142" s="20">
        <f t="shared" si="10"/>
        <v>36.169875000000005</v>
      </c>
      <c r="P142" s="7"/>
      <c r="Q142" s="13"/>
      <c r="R142" s="14"/>
      <c r="S142" s="14"/>
      <c r="T142" s="27"/>
      <c r="U142" s="28">
        <f t="shared" si="11"/>
        <v>0.49068642160540138</v>
      </c>
    </row>
    <row r="143" spans="1:21" x14ac:dyDescent="0.25">
      <c r="B143" s="6" t="s">
        <v>49</v>
      </c>
      <c r="C143" s="15">
        <v>3436.03</v>
      </c>
      <c r="D143" s="16">
        <v>36.549999999999997</v>
      </c>
      <c r="E143" s="16">
        <v>39.44</v>
      </c>
      <c r="F143" s="16">
        <v>40.624000000000002</v>
      </c>
      <c r="G143" s="16">
        <v>20.03</v>
      </c>
      <c r="H143" s="16">
        <f t="shared" si="9"/>
        <v>37.420500000000004</v>
      </c>
      <c r="I143" s="5"/>
      <c r="J143" s="15">
        <v>2281.116</v>
      </c>
      <c r="K143" s="16">
        <v>36.237900000000003</v>
      </c>
      <c r="L143" s="16">
        <v>40.100099999999998</v>
      </c>
      <c r="M143" s="16">
        <v>41.352499999999999</v>
      </c>
      <c r="N143" s="16">
        <v>20.021699999999999</v>
      </c>
      <c r="O143" s="16">
        <f t="shared" si="10"/>
        <v>37.360000000000007</v>
      </c>
      <c r="P143" s="7"/>
      <c r="Q143" s="8">
        <f>bdrate(C143:C146,D143:D146,J143:J146,K143:K146)</f>
        <v>-0.32521286038327313</v>
      </c>
      <c r="R143" s="8">
        <f>bdrate(C143:C146,E143:E146,J143:J146,L143:L146)</f>
        <v>-0.52979352164507487</v>
      </c>
      <c r="S143" s="8">
        <f>bdrate(C143:C146,F143:F146,J143:J146,M143:M146)</f>
        <v>-0.5238685847229112</v>
      </c>
      <c r="T143" s="25">
        <f>bdrate(C143:C146,H143:H146,J143:J146,O143:O146)</f>
        <v>-0.35642865421653713</v>
      </c>
      <c r="U143" s="28">
        <f t="shared" si="11"/>
        <v>-4.1437843235157123E-4</v>
      </c>
    </row>
    <row r="144" spans="1:21" x14ac:dyDescent="0.25">
      <c r="B144" s="9"/>
      <c r="C144" s="17">
        <v>2263.19</v>
      </c>
      <c r="D144" s="18">
        <v>35.164999999999999</v>
      </c>
      <c r="E144" s="18">
        <v>38.698</v>
      </c>
      <c r="F144" s="18">
        <v>39.985999999999997</v>
      </c>
      <c r="G144" s="18">
        <v>22.89</v>
      </c>
      <c r="H144" s="18">
        <f t="shared" si="9"/>
        <v>36.209250000000004</v>
      </c>
      <c r="I144" s="5"/>
      <c r="J144" s="17">
        <v>1564.2112</v>
      </c>
      <c r="K144" s="18">
        <v>35.089300000000001</v>
      </c>
      <c r="L144" s="18">
        <v>39.410499999999999</v>
      </c>
      <c r="M144" s="18">
        <v>40.6419</v>
      </c>
      <c r="N144" s="18">
        <v>25.013000000000002</v>
      </c>
      <c r="O144" s="18">
        <f t="shared" si="10"/>
        <v>36.323525000000004</v>
      </c>
      <c r="P144" s="7"/>
      <c r="Q144" s="10"/>
      <c r="R144" s="11"/>
      <c r="S144" s="11"/>
      <c r="T144" s="26"/>
      <c r="U144" s="28">
        <f t="shared" si="11"/>
        <v>9.2747924858016653E-2</v>
      </c>
    </row>
    <row r="145" spans="1:21" x14ac:dyDescent="0.25">
      <c r="B145" s="9"/>
      <c r="C145" s="17">
        <v>1408.27</v>
      </c>
      <c r="D145" s="18">
        <v>33.475000000000001</v>
      </c>
      <c r="E145" s="18">
        <v>37.924999999999997</v>
      </c>
      <c r="F145" s="18">
        <v>39.350999999999999</v>
      </c>
      <c r="G145" s="18">
        <v>25.14</v>
      </c>
      <c r="H145" s="18">
        <f t="shared" si="9"/>
        <v>34.765750000000004</v>
      </c>
      <c r="I145" s="5"/>
      <c r="J145" s="17">
        <v>955.24159999999995</v>
      </c>
      <c r="K145" s="18">
        <v>33.566800000000001</v>
      </c>
      <c r="L145" s="18">
        <v>38.512300000000003</v>
      </c>
      <c r="M145" s="18">
        <v>39.808900000000001</v>
      </c>
      <c r="N145" s="18">
        <v>30.639600000000002</v>
      </c>
      <c r="O145" s="18">
        <f t="shared" si="10"/>
        <v>34.965250000000005</v>
      </c>
      <c r="P145" s="7"/>
      <c r="Q145" s="10"/>
      <c r="R145" s="11"/>
      <c r="S145" s="11"/>
      <c r="T145" s="26"/>
      <c r="U145" s="28">
        <f t="shared" si="11"/>
        <v>0.2187589498806683</v>
      </c>
    </row>
    <row r="146" spans="1:21" ht="16.5" thickBot="1" x14ac:dyDescent="0.3">
      <c r="B146" s="12"/>
      <c r="C146" s="19">
        <v>839.46</v>
      </c>
      <c r="D146" s="20">
        <v>31.591999999999999</v>
      </c>
      <c r="E146" s="20">
        <v>37.174999999999997</v>
      </c>
      <c r="F146" s="20">
        <v>38.746000000000002</v>
      </c>
      <c r="G146" s="20">
        <v>27.37</v>
      </c>
      <c r="H146" s="20">
        <f t="shared" si="9"/>
        <v>33.184124999999995</v>
      </c>
      <c r="I146" s="5"/>
      <c r="J146" s="19">
        <v>571.69600000000003</v>
      </c>
      <c r="K146" s="20">
        <v>32.018599999999999</v>
      </c>
      <c r="L146" s="20">
        <v>37.670099999999998</v>
      </c>
      <c r="M146" s="20">
        <v>39.091299999999997</v>
      </c>
      <c r="N146" s="20">
        <v>39.043399999999998</v>
      </c>
      <c r="O146" s="20">
        <f t="shared" si="10"/>
        <v>33.609124999999999</v>
      </c>
      <c r="P146" s="7"/>
      <c r="Q146" s="13"/>
      <c r="R146" s="14"/>
      <c r="S146" s="14"/>
      <c r="T146" s="27"/>
      <c r="U146" s="28">
        <f t="shared" si="11"/>
        <v>0.4265034709535987</v>
      </c>
    </row>
    <row r="147" spans="1:21" x14ac:dyDescent="0.25">
      <c r="B147" s="6" t="s">
        <v>50</v>
      </c>
      <c r="C147" s="15">
        <v>3527.68</v>
      </c>
      <c r="D147" s="16">
        <v>34.64</v>
      </c>
      <c r="E147" s="16">
        <v>38.149000000000001</v>
      </c>
      <c r="F147" s="16">
        <v>39.862000000000002</v>
      </c>
      <c r="G147" s="16">
        <v>24.62</v>
      </c>
      <c r="H147" s="16">
        <f t="shared" si="9"/>
        <v>35.731375</v>
      </c>
      <c r="I147" s="5"/>
      <c r="J147" s="15">
        <v>2343.556</v>
      </c>
      <c r="K147" s="16">
        <v>34.7196</v>
      </c>
      <c r="L147" s="16">
        <v>38.391800000000003</v>
      </c>
      <c r="M147" s="16">
        <v>40.763199999999998</v>
      </c>
      <c r="N147" s="16">
        <v>27.8474</v>
      </c>
      <c r="O147" s="16">
        <f t="shared" si="10"/>
        <v>35.934075</v>
      </c>
      <c r="P147" s="7"/>
      <c r="Q147" s="8">
        <f>bdrate(C147:C150,D147:D150,J147:J150,K147:K150)</f>
        <v>-0.43585367706959355</v>
      </c>
      <c r="R147" s="8">
        <f>bdrate(C147:C150,E147:E150,J147:J150,L147:L150)</f>
        <v>-0.57317234326618349</v>
      </c>
      <c r="S147" s="8">
        <f>bdrate(C147:C150,F147:F150,J147:J150,M147:M150)</f>
        <v>-0.60850561684873061</v>
      </c>
      <c r="T147" s="25">
        <f>bdrate(C147:C150,H147:H150,J147:J150,O147:O150)</f>
        <v>-0.46162762282883563</v>
      </c>
      <c r="U147" s="28">
        <f t="shared" si="11"/>
        <v>0.13108854589764415</v>
      </c>
    </row>
    <row r="148" spans="1:21" x14ac:dyDescent="0.25">
      <c r="B148" s="9"/>
      <c r="C148" s="17">
        <v>2352.4699999999998</v>
      </c>
      <c r="D148" s="18">
        <v>33.226999999999997</v>
      </c>
      <c r="E148" s="18">
        <v>37.581000000000003</v>
      </c>
      <c r="F148" s="18">
        <v>38.969000000000001</v>
      </c>
      <c r="G148" s="18">
        <v>27.35</v>
      </c>
      <c r="H148" s="18">
        <f t="shared" si="9"/>
        <v>34.488999999999997</v>
      </c>
      <c r="I148" s="5"/>
      <c r="J148" s="17">
        <v>1584.116</v>
      </c>
      <c r="K148" s="18">
        <v>33.643099999999997</v>
      </c>
      <c r="L148" s="18">
        <v>38.042700000000004</v>
      </c>
      <c r="M148" s="18">
        <v>39.996200000000002</v>
      </c>
      <c r="N148" s="18">
        <v>33.969700000000003</v>
      </c>
      <c r="O148" s="18">
        <f t="shared" si="10"/>
        <v>34.987187499999997</v>
      </c>
      <c r="P148" s="7"/>
      <c r="Q148" s="10"/>
      <c r="R148" s="11"/>
      <c r="S148" s="11"/>
      <c r="T148" s="26"/>
      <c r="U148" s="28">
        <f t="shared" si="11"/>
        <v>0.24203656307129803</v>
      </c>
    </row>
    <row r="149" spans="1:21" x14ac:dyDescent="0.25">
      <c r="B149" s="9"/>
      <c r="C149" s="17">
        <v>1463.87</v>
      </c>
      <c r="D149" s="18">
        <v>31.395</v>
      </c>
      <c r="E149" s="18">
        <v>36.923000000000002</v>
      </c>
      <c r="F149" s="18">
        <v>37.832999999999998</v>
      </c>
      <c r="G149" s="18">
        <v>29.76</v>
      </c>
      <c r="H149" s="18">
        <f t="shared" si="9"/>
        <v>32.890749999999997</v>
      </c>
      <c r="I149" s="5"/>
      <c r="J149" s="17">
        <v>985.45680000000004</v>
      </c>
      <c r="K149" s="18">
        <v>32.179400000000001</v>
      </c>
      <c r="L149" s="18">
        <v>37.583300000000001</v>
      </c>
      <c r="M149" s="18">
        <v>39.092399999999998</v>
      </c>
      <c r="N149" s="18">
        <v>41.781599999999997</v>
      </c>
      <c r="O149" s="18">
        <f t="shared" si="10"/>
        <v>33.719012500000005</v>
      </c>
      <c r="P149" s="7"/>
      <c r="Q149" s="10"/>
      <c r="R149" s="11"/>
      <c r="S149" s="11"/>
      <c r="T149" s="26"/>
      <c r="U149" s="28">
        <f t="shared" si="11"/>
        <v>0.40395161290322562</v>
      </c>
    </row>
    <row r="150" spans="1:21" ht="16.5" thickBot="1" x14ac:dyDescent="0.3">
      <c r="B150" s="12"/>
      <c r="C150" s="19">
        <v>882.69</v>
      </c>
      <c r="D150" s="20">
        <v>29.251000000000001</v>
      </c>
      <c r="E150" s="20">
        <v>36.220999999999997</v>
      </c>
      <c r="F150" s="20">
        <v>36.76</v>
      </c>
      <c r="G150" s="20">
        <v>30.44</v>
      </c>
      <c r="H150" s="20">
        <f t="shared" si="9"/>
        <v>31.060874999999999</v>
      </c>
      <c r="I150" s="5"/>
      <c r="J150" s="19">
        <v>580.83199999999999</v>
      </c>
      <c r="K150" s="20">
        <v>30.457899999999999</v>
      </c>
      <c r="L150" s="20">
        <v>36.895400000000002</v>
      </c>
      <c r="M150" s="20">
        <v>38.034100000000002</v>
      </c>
      <c r="N150" s="20">
        <v>53.373199999999997</v>
      </c>
      <c r="O150" s="20">
        <f t="shared" si="10"/>
        <v>32.209612499999999</v>
      </c>
      <c r="P150" s="7"/>
      <c r="Q150" s="13"/>
      <c r="R150" s="14"/>
      <c r="S150" s="14"/>
      <c r="T150" s="27"/>
      <c r="U150" s="28">
        <f t="shared" si="11"/>
        <v>0.7533902759526937</v>
      </c>
    </row>
    <row r="151" spans="1:21" x14ac:dyDescent="0.25">
      <c r="B151" s="6" t="s">
        <v>51</v>
      </c>
      <c r="C151" s="29">
        <v>3575.71</v>
      </c>
      <c r="D151" s="30">
        <v>34.281999999999996</v>
      </c>
      <c r="E151" s="30">
        <v>39.92</v>
      </c>
      <c r="F151" s="30">
        <v>39.619999999999997</v>
      </c>
      <c r="G151" s="16">
        <v>21.67</v>
      </c>
      <c r="H151" s="16">
        <f t="shared" si="9"/>
        <v>35.653999999999996</v>
      </c>
      <c r="I151" s="5"/>
      <c r="J151" s="29">
        <v>2409.5983999999999</v>
      </c>
      <c r="K151" s="30">
        <v>34.5276</v>
      </c>
      <c r="L151" s="30">
        <v>40.665700000000001</v>
      </c>
      <c r="M151" s="30">
        <v>40.317399999999999</v>
      </c>
      <c r="N151" s="16">
        <v>23.074400000000001</v>
      </c>
      <c r="O151" s="16">
        <f t="shared" si="10"/>
        <v>36.018587500000002</v>
      </c>
      <c r="P151" s="7"/>
      <c r="Q151" s="8">
        <f>bdrate(C151:C154,D151:D154,J151:J154,K151:K154)</f>
        <v>-0.46234914941004912</v>
      </c>
      <c r="R151" s="8">
        <f>bdrate(C151:C154,E151:E154,J151:J154,L151:L154)</f>
        <v>-0.62576899570413758</v>
      </c>
      <c r="S151" s="8">
        <f>bdrate(C151:C154,F151:F154,J151:J154,M151:M154)</f>
        <v>-0.56149655304530899</v>
      </c>
      <c r="T151" s="25">
        <f>bdrate(C151:C154,H151:H154,J151:J154,O151:O154)</f>
        <v>-0.48474490699174944</v>
      </c>
      <c r="U151" s="28">
        <f t="shared" si="11"/>
        <v>6.4808491001384347E-2</v>
      </c>
    </row>
    <row r="152" spans="1:21" x14ac:dyDescent="0.25">
      <c r="B152" s="9"/>
      <c r="C152" s="31">
        <v>2378.0500000000002</v>
      </c>
      <c r="D152" s="32">
        <v>32.619999999999997</v>
      </c>
      <c r="E152" s="32">
        <v>39.075000000000003</v>
      </c>
      <c r="F152" s="32">
        <v>38.512999999999998</v>
      </c>
      <c r="G152" s="18">
        <v>25.04</v>
      </c>
      <c r="H152" s="18">
        <f t="shared" si="9"/>
        <v>34.163499999999992</v>
      </c>
      <c r="I152" s="5"/>
      <c r="J152" s="31">
        <v>1617.1479999999999</v>
      </c>
      <c r="K152" s="32">
        <v>33.246499999999997</v>
      </c>
      <c r="L152" s="32">
        <v>40.037999999999997</v>
      </c>
      <c r="M152" s="32">
        <v>39.470799999999997</v>
      </c>
      <c r="N152" s="18">
        <v>27.2896</v>
      </c>
      <c r="O152" s="18">
        <f t="shared" si="10"/>
        <v>34.873474999999999</v>
      </c>
      <c r="P152" s="7"/>
      <c r="Q152" s="10"/>
      <c r="R152" s="11"/>
      <c r="S152" s="11"/>
      <c r="T152" s="26"/>
      <c r="U152" s="28">
        <f t="shared" si="11"/>
        <v>8.9840255591054352E-2</v>
      </c>
    </row>
    <row r="153" spans="1:21" x14ac:dyDescent="0.25">
      <c r="B153" s="9"/>
      <c r="C153" s="31">
        <v>1473.32</v>
      </c>
      <c r="D153" s="32">
        <v>30.318999999999999</v>
      </c>
      <c r="E153" s="32">
        <v>38.033999999999999</v>
      </c>
      <c r="F153" s="32">
        <v>37.125999999999998</v>
      </c>
      <c r="G153" s="18">
        <v>27.61</v>
      </c>
      <c r="H153" s="18">
        <f t="shared" si="9"/>
        <v>32.134249999999994</v>
      </c>
      <c r="I153" s="5"/>
      <c r="J153" s="31">
        <v>1003.7744</v>
      </c>
      <c r="K153" s="32">
        <v>31.619800000000001</v>
      </c>
      <c r="L153" s="32">
        <v>39.32</v>
      </c>
      <c r="M153" s="32">
        <v>38.445300000000003</v>
      </c>
      <c r="N153" s="18">
        <v>34.409199999999998</v>
      </c>
      <c r="O153" s="18">
        <f t="shared" si="10"/>
        <v>33.435512500000002</v>
      </c>
      <c r="P153" s="7"/>
      <c r="Q153" s="10"/>
      <c r="R153" s="11"/>
      <c r="S153" s="11"/>
      <c r="T153" s="26"/>
      <c r="U153" s="28">
        <f t="shared" si="11"/>
        <v>0.24625860195581309</v>
      </c>
    </row>
    <row r="154" spans="1:21" ht="16.5" thickBot="1" x14ac:dyDescent="0.3">
      <c r="B154" s="12"/>
      <c r="C154" s="33">
        <v>882.97</v>
      </c>
      <c r="D154" s="34">
        <v>27.428000000000001</v>
      </c>
      <c r="E154" s="34">
        <v>36.886000000000003</v>
      </c>
      <c r="F154" s="34">
        <v>35.284999999999997</v>
      </c>
      <c r="G154" s="20">
        <v>28.31</v>
      </c>
      <c r="H154" s="20">
        <f t="shared" si="9"/>
        <v>29.592375000000001</v>
      </c>
      <c r="I154" s="5"/>
      <c r="J154" s="33">
        <v>603.12720000000002</v>
      </c>
      <c r="K154" s="34">
        <v>29.8309</v>
      </c>
      <c r="L154" s="34">
        <v>38.339500000000001</v>
      </c>
      <c r="M154" s="34">
        <v>37.042499999999997</v>
      </c>
      <c r="N154" s="20">
        <v>42.837600000000002</v>
      </c>
      <c r="O154" s="20">
        <f t="shared" si="10"/>
        <v>31.795925</v>
      </c>
      <c r="P154" s="7"/>
      <c r="Q154" s="13"/>
      <c r="R154" s="14"/>
      <c r="S154" s="14"/>
      <c r="T154" s="27"/>
      <c r="U154" s="28">
        <f t="shared" si="11"/>
        <v>0.51316142705757695</v>
      </c>
    </row>
    <row r="155" spans="1:21" x14ac:dyDescent="0.25">
      <c r="B155" s="6" t="s">
        <v>52</v>
      </c>
      <c r="C155" s="15">
        <v>3604.69</v>
      </c>
      <c r="D155" s="16">
        <v>33.375999999999998</v>
      </c>
      <c r="E155" s="16">
        <v>39.079000000000001</v>
      </c>
      <c r="F155" s="16">
        <v>41.796999999999997</v>
      </c>
      <c r="G155" s="16">
        <v>26.78</v>
      </c>
      <c r="H155" s="16">
        <f t="shared" si="9"/>
        <v>35.141499999999994</v>
      </c>
      <c r="I155" s="5"/>
      <c r="J155" s="15">
        <v>2416.1999999999998</v>
      </c>
      <c r="K155" s="16">
        <v>33.921500000000002</v>
      </c>
      <c r="L155" s="16">
        <v>40.087200000000003</v>
      </c>
      <c r="M155" s="16">
        <v>42.533999999999999</v>
      </c>
      <c r="N155" s="16">
        <v>33.611600000000003</v>
      </c>
      <c r="O155" s="16">
        <f t="shared" si="10"/>
        <v>35.768774999999998</v>
      </c>
      <c r="P155" s="7"/>
      <c r="Q155" s="8">
        <f>bdrate(C155:C158,D155:D158,J155:J158,K155:K158)</f>
        <v>-0.57335447531983763</v>
      </c>
      <c r="R155" s="8">
        <f>bdrate(C155:C158,E155:E158,J155:J158,L155:L158)</f>
        <v>-0.6941289121125831</v>
      </c>
      <c r="S155" s="8">
        <f>bdrate(C155:C158,F155:F158,J155:J158,M155:M158)</f>
        <v>-0.65174083316007947</v>
      </c>
      <c r="T155" s="25">
        <f>bdrate(C155:C158,H155:H158,J155:J158,O155:O158)</f>
        <v>-0.58874441324410154</v>
      </c>
      <c r="U155" s="28">
        <f t="shared" si="11"/>
        <v>0.25510082150858854</v>
      </c>
    </row>
    <row r="156" spans="1:21" x14ac:dyDescent="0.25">
      <c r="B156" s="9"/>
      <c r="C156" s="17">
        <v>2376.98</v>
      </c>
      <c r="D156" s="18">
        <v>32.459000000000003</v>
      </c>
      <c r="E156" s="18">
        <v>38.597999999999999</v>
      </c>
      <c r="F156" s="18">
        <v>41.276000000000003</v>
      </c>
      <c r="G156" s="18">
        <v>29.25</v>
      </c>
      <c r="H156" s="18">
        <f t="shared" si="9"/>
        <v>34.328500000000005</v>
      </c>
      <c r="I156" s="5"/>
      <c r="J156" s="17">
        <v>1611.376</v>
      </c>
      <c r="K156" s="18">
        <v>33.328000000000003</v>
      </c>
      <c r="L156" s="18">
        <v>39.615000000000002</v>
      </c>
      <c r="M156" s="18">
        <v>42.097700000000003</v>
      </c>
      <c r="N156" s="18">
        <v>42.2</v>
      </c>
      <c r="O156" s="18">
        <f t="shared" si="10"/>
        <v>35.2100875</v>
      </c>
      <c r="P156" s="7"/>
      <c r="Q156" s="10"/>
      <c r="R156" s="11"/>
      <c r="S156" s="11"/>
      <c r="T156" s="26"/>
      <c r="U156" s="28">
        <f t="shared" si="11"/>
        <v>0.44273504273504283</v>
      </c>
    </row>
    <row r="157" spans="1:21" x14ac:dyDescent="0.25">
      <c r="B157" s="9"/>
      <c r="C157" s="17">
        <v>1466.57</v>
      </c>
      <c r="D157" s="18">
        <v>31.047000000000001</v>
      </c>
      <c r="E157" s="18">
        <v>38.087000000000003</v>
      </c>
      <c r="F157" s="18">
        <v>40.877000000000002</v>
      </c>
      <c r="G157" s="18">
        <v>30.67</v>
      </c>
      <c r="H157" s="18">
        <f t="shared" si="9"/>
        <v>33.155750000000005</v>
      </c>
      <c r="I157" s="5"/>
      <c r="J157" s="17">
        <v>991.59119999999996</v>
      </c>
      <c r="K157" s="18">
        <v>32.369700000000002</v>
      </c>
      <c r="L157" s="18">
        <v>38.947200000000002</v>
      </c>
      <c r="M157" s="18">
        <v>41.514200000000002</v>
      </c>
      <c r="N157" s="18">
        <v>52.328600000000002</v>
      </c>
      <c r="O157" s="18">
        <f t="shared" si="10"/>
        <v>34.334950000000006</v>
      </c>
      <c r="P157" s="7"/>
      <c r="Q157" s="10"/>
      <c r="R157" s="11"/>
      <c r="S157" s="11"/>
      <c r="T157" s="26"/>
      <c r="U157" s="28">
        <f t="shared" si="11"/>
        <v>0.70618193674600582</v>
      </c>
    </row>
    <row r="158" spans="1:21" ht="16.5" thickBot="1" x14ac:dyDescent="0.3">
      <c r="B158" s="12"/>
      <c r="C158" s="19">
        <v>862.06</v>
      </c>
      <c r="D158" s="20">
        <v>29.076000000000001</v>
      </c>
      <c r="E158" s="20">
        <v>37.462000000000003</v>
      </c>
      <c r="F158" s="20">
        <v>39.981000000000002</v>
      </c>
      <c r="G158" s="20">
        <v>31.42</v>
      </c>
      <c r="H158" s="20">
        <f t="shared" si="9"/>
        <v>31.487375</v>
      </c>
      <c r="I158" s="5"/>
      <c r="J158" s="19">
        <v>584.04480000000001</v>
      </c>
      <c r="K158" s="20">
        <v>31.044499999999999</v>
      </c>
      <c r="L158" s="20">
        <v>38.378999999999998</v>
      </c>
      <c r="M158" s="20">
        <v>40.9099</v>
      </c>
      <c r="N158" s="20">
        <v>64.191699999999997</v>
      </c>
      <c r="O158" s="20">
        <f t="shared" si="10"/>
        <v>33.194487500000001</v>
      </c>
      <c r="P158" s="7"/>
      <c r="Q158" s="13"/>
      <c r="R158" s="14"/>
      <c r="S158" s="14"/>
      <c r="T158" s="27"/>
      <c r="U158" s="28">
        <f t="shared" si="11"/>
        <v>1.0430203691915976</v>
      </c>
    </row>
    <row r="159" spans="1:21" x14ac:dyDescent="0.25">
      <c r="A159" s="6" t="s">
        <v>39</v>
      </c>
      <c r="B159" s="6" t="s">
        <v>53</v>
      </c>
      <c r="C159" s="15">
        <v>1546.65</v>
      </c>
      <c r="D159" s="16">
        <v>35.35</v>
      </c>
      <c r="E159" s="16">
        <v>38.74</v>
      </c>
      <c r="F159" s="16">
        <v>38.683999999999997</v>
      </c>
      <c r="G159" s="16">
        <v>103.03</v>
      </c>
      <c r="H159" s="16">
        <f t="shared" si="9"/>
        <v>36.1905</v>
      </c>
      <c r="I159" s="5"/>
      <c r="J159" s="15">
        <v>1199.9104</v>
      </c>
      <c r="K159" s="16">
        <v>36.700099999999999</v>
      </c>
      <c r="L159" s="16">
        <v>40.5351</v>
      </c>
      <c r="M159" s="16">
        <v>40.478999999999999</v>
      </c>
      <c r="N159" s="16">
        <v>71.664000000000001</v>
      </c>
      <c r="O159" s="16">
        <f t="shared" si="10"/>
        <v>37.651837499999999</v>
      </c>
      <c r="P159" s="7"/>
      <c r="Q159" s="8">
        <f>bdrate(C159:C162,D159:D162,J159:J162,K159:K162)</f>
        <v>-0.42317462059206468</v>
      </c>
      <c r="R159" s="8">
        <f>bdrate(C159:C162,E159:E162,J159:J162,L159:L162)</f>
        <v>-0.58838637626537382</v>
      </c>
      <c r="S159" s="8">
        <f>bdrate(C159:C162,F159:F162,J159:J162,M159:M162)</f>
        <v>-0.55477573851214068</v>
      </c>
      <c r="T159" s="25">
        <f>bdrate(C159:C162,H159:H162,J159:J162,O159:O162)</f>
        <v>-0.45500350223145514</v>
      </c>
      <c r="U159" s="28">
        <f t="shared" si="11"/>
        <v>-0.30443560128118025</v>
      </c>
    </row>
    <row r="160" spans="1:21" x14ac:dyDescent="0.25">
      <c r="A160" s="9" t="s">
        <v>40</v>
      </c>
      <c r="B160" s="9"/>
      <c r="C160" s="17">
        <v>1046.5999999999999</v>
      </c>
      <c r="D160" s="18">
        <v>33.822000000000003</v>
      </c>
      <c r="E160" s="18">
        <v>37.537999999999997</v>
      </c>
      <c r="F160" s="18">
        <v>37.378</v>
      </c>
      <c r="G160" s="18">
        <v>117.81</v>
      </c>
      <c r="H160" s="18">
        <f t="shared" si="9"/>
        <v>34.731000000000002</v>
      </c>
      <c r="I160" s="5"/>
      <c r="J160" s="17">
        <v>800.10400000000004</v>
      </c>
      <c r="K160" s="18">
        <v>34.949599999999997</v>
      </c>
      <c r="L160" s="18">
        <v>39.233400000000003</v>
      </c>
      <c r="M160" s="18">
        <v>39.026299999999999</v>
      </c>
      <c r="N160" s="18">
        <v>84.774500000000003</v>
      </c>
      <c r="O160" s="18">
        <f t="shared" si="10"/>
        <v>35.994662499999997</v>
      </c>
      <c r="P160" s="7"/>
      <c r="Q160" s="10"/>
      <c r="R160" s="11"/>
      <c r="S160" s="11"/>
      <c r="T160" s="26"/>
      <c r="U160" s="28">
        <f t="shared" si="11"/>
        <v>-0.28041337747220096</v>
      </c>
    </row>
    <row r="161" spans="1:21" x14ac:dyDescent="0.25">
      <c r="B161" s="9"/>
      <c r="C161" s="17">
        <v>645.12</v>
      </c>
      <c r="D161" s="18">
        <v>31.861999999999998</v>
      </c>
      <c r="E161" s="18">
        <v>36.212000000000003</v>
      </c>
      <c r="F161" s="18">
        <v>35.890999999999998</v>
      </c>
      <c r="G161" s="18">
        <v>134.66</v>
      </c>
      <c r="H161" s="18">
        <f t="shared" si="9"/>
        <v>32.909375000000004</v>
      </c>
      <c r="I161" s="5"/>
      <c r="J161" s="17">
        <v>501.60320000000002</v>
      </c>
      <c r="K161" s="18">
        <v>33.049999999999997</v>
      </c>
      <c r="L161" s="18">
        <v>37.972900000000003</v>
      </c>
      <c r="M161" s="18">
        <v>37.605800000000002</v>
      </c>
      <c r="N161" s="18">
        <v>101.0509</v>
      </c>
      <c r="O161" s="18">
        <f t="shared" si="10"/>
        <v>34.234837499999998</v>
      </c>
      <c r="P161" s="7"/>
      <c r="Q161" s="10"/>
      <c r="R161" s="11"/>
      <c r="S161" s="11"/>
      <c r="T161" s="26"/>
      <c r="U161" s="28">
        <f t="shared" si="11"/>
        <v>-0.24958488043962571</v>
      </c>
    </row>
    <row r="162" spans="1:21" ht="16.5" thickBot="1" x14ac:dyDescent="0.3">
      <c r="B162" s="12"/>
      <c r="C162" s="19">
        <v>395.82</v>
      </c>
      <c r="D162" s="20">
        <v>29.736000000000001</v>
      </c>
      <c r="E162" s="20">
        <v>35.024000000000001</v>
      </c>
      <c r="F162" s="20">
        <v>34.515000000000001</v>
      </c>
      <c r="G162" s="20">
        <v>157.13</v>
      </c>
      <c r="H162" s="20">
        <f t="shared" si="9"/>
        <v>30.994374999999998</v>
      </c>
      <c r="I162" s="5"/>
      <c r="J162" s="19">
        <v>299.72000000000003</v>
      </c>
      <c r="K162" s="20">
        <v>31.039200000000001</v>
      </c>
      <c r="L162" s="20">
        <v>36.602699999999999</v>
      </c>
      <c r="M162" s="20">
        <v>36.117899999999999</v>
      </c>
      <c r="N162" s="20">
        <v>126.10339999999999</v>
      </c>
      <c r="O162" s="20">
        <f t="shared" si="10"/>
        <v>32.369475000000001</v>
      </c>
      <c r="P162" s="7"/>
      <c r="Q162" s="13"/>
      <c r="R162" s="14"/>
      <c r="S162" s="14"/>
      <c r="T162" s="27"/>
      <c r="U162" s="28">
        <f t="shared" si="11"/>
        <v>-0.19745815566728189</v>
      </c>
    </row>
    <row r="163" spans="1:21" x14ac:dyDescent="0.25">
      <c r="B163" s="6" t="s">
        <v>54</v>
      </c>
      <c r="C163" s="15">
        <v>1560.66</v>
      </c>
      <c r="D163" s="16">
        <v>35.69</v>
      </c>
      <c r="E163" s="16">
        <v>40.106999999999999</v>
      </c>
      <c r="F163" s="16">
        <v>40.924999999999997</v>
      </c>
      <c r="G163" s="16">
        <v>116.19</v>
      </c>
      <c r="H163" s="16">
        <f t="shared" si="9"/>
        <v>36.896499999999996</v>
      </c>
      <c r="I163" s="5"/>
      <c r="J163" s="15">
        <v>1210.6632</v>
      </c>
      <c r="K163" s="16">
        <v>36.019100000000002</v>
      </c>
      <c r="L163" s="16">
        <v>41.217799999999997</v>
      </c>
      <c r="M163" s="16">
        <v>42.107799999999997</v>
      </c>
      <c r="N163" s="16">
        <v>84.340699999999998</v>
      </c>
      <c r="O163" s="16">
        <f t="shared" si="10"/>
        <v>37.430025000000001</v>
      </c>
      <c r="P163" s="7"/>
      <c r="Q163" s="8">
        <f>bdrate(C163:C166,D163:D166,J163:J166,K163:K166)</f>
        <v>-0.3577264208005837</v>
      </c>
      <c r="R163" s="8">
        <f>bdrate(C163:C166,E163:E166,J163:J166,L163:L166)</f>
        <v>-0.51228814619501017</v>
      </c>
      <c r="S163" s="8">
        <f>bdrate(C163:C166,F163:F166,J163:J166,M163:M166)</f>
        <v>-0.49320740753089287</v>
      </c>
      <c r="T163" s="25">
        <f>bdrate(C163:C166,H163:H166,J163:J166,O163:O166)</f>
        <v>-0.38319376546377737</v>
      </c>
      <c r="U163" s="28">
        <f t="shared" si="11"/>
        <v>-0.27411395128668559</v>
      </c>
    </row>
    <row r="164" spans="1:21" x14ac:dyDescent="0.25">
      <c r="B164" s="9"/>
      <c r="C164" s="17">
        <v>1057.33</v>
      </c>
      <c r="D164" s="18">
        <v>33.972000000000001</v>
      </c>
      <c r="E164" s="18">
        <v>39.234000000000002</v>
      </c>
      <c r="F164" s="18">
        <v>39.94</v>
      </c>
      <c r="G164" s="18">
        <v>128.21</v>
      </c>
      <c r="H164" s="18">
        <f t="shared" si="9"/>
        <v>35.375749999999996</v>
      </c>
      <c r="I164" s="5"/>
      <c r="J164" s="17">
        <v>806.13520000000005</v>
      </c>
      <c r="K164" s="18">
        <v>34.517000000000003</v>
      </c>
      <c r="L164" s="18">
        <v>40.245100000000001</v>
      </c>
      <c r="M164" s="18">
        <v>41.003399999999999</v>
      </c>
      <c r="N164" s="18">
        <v>98.619299999999996</v>
      </c>
      <c r="O164" s="18">
        <f t="shared" si="10"/>
        <v>36.043812500000001</v>
      </c>
      <c r="P164" s="7"/>
      <c r="Q164" s="10"/>
      <c r="R164" s="11"/>
      <c r="S164" s="11"/>
      <c r="T164" s="26"/>
      <c r="U164" s="28">
        <f t="shared" si="11"/>
        <v>-0.23079868964979339</v>
      </c>
    </row>
    <row r="165" spans="1:21" x14ac:dyDescent="0.25">
      <c r="B165" s="9"/>
      <c r="C165" s="17">
        <v>654.32000000000005</v>
      </c>
      <c r="D165" s="18">
        <v>31.731999999999999</v>
      </c>
      <c r="E165" s="18">
        <v>38.225999999999999</v>
      </c>
      <c r="F165" s="18">
        <v>38.857999999999997</v>
      </c>
      <c r="G165" s="18">
        <v>139.34</v>
      </c>
      <c r="H165" s="18">
        <f t="shared" si="9"/>
        <v>33.4345</v>
      </c>
      <c r="I165" s="5"/>
      <c r="J165" s="17">
        <v>503.86239999999998</v>
      </c>
      <c r="K165" s="18">
        <v>32.671500000000002</v>
      </c>
      <c r="L165" s="18">
        <v>39.190100000000001</v>
      </c>
      <c r="M165" s="18">
        <v>39.812100000000001</v>
      </c>
      <c r="N165" s="18">
        <v>119.0712</v>
      </c>
      <c r="O165" s="18">
        <f t="shared" si="10"/>
        <v>34.378900000000002</v>
      </c>
      <c r="P165" s="7"/>
      <c r="Q165" s="10"/>
      <c r="R165" s="11"/>
      <c r="S165" s="11"/>
      <c r="T165" s="26"/>
      <c r="U165" s="28">
        <f t="shared" si="11"/>
        <v>-0.1454628965121286</v>
      </c>
    </row>
    <row r="166" spans="1:21" ht="16.5" thickBot="1" x14ac:dyDescent="0.3">
      <c r="B166" s="12"/>
      <c r="C166" s="19">
        <v>404.56</v>
      </c>
      <c r="D166" s="20">
        <v>29.382999999999999</v>
      </c>
      <c r="E166" s="20">
        <v>37.311</v>
      </c>
      <c r="F166" s="20">
        <v>37.735999999999997</v>
      </c>
      <c r="G166" s="20">
        <v>154.47999999999999</v>
      </c>
      <c r="H166" s="20">
        <f t="shared" si="9"/>
        <v>31.418125</v>
      </c>
      <c r="I166" s="5"/>
      <c r="J166" s="19">
        <v>303.2944</v>
      </c>
      <c r="K166" s="20">
        <v>30.6371</v>
      </c>
      <c r="L166" s="20">
        <v>38.0974</v>
      </c>
      <c r="M166" s="20">
        <v>38.601300000000002</v>
      </c>
      <c r="N166" s="20">
        <v>149.03129999999999</v>
      </c>
      <c r="O166" s="20">
        <f t="shared" si="10"/>
        <v>32.5651625</v>
      </c>
      <c r="P166" s="7"/>
      <c r="Q166" s="13"/>
      <c r="R166" s="14"/>
      <c r="S166" s="14"/>
      <c r="T166" s="27"/>
      <c r="U166" s="28">
        <f t="shared" si="11"/>
        <v>-3.5271232522009338E-2</v>
      </c>
    </row>
    <row r="167" spans="1:21" x14ac:dyDescent="0.25">
      <c r="B167" s="6" t="s">
        <v>55</v>
      </c>
      <c r="C167" s="15">
        <v>1423.31</v>
      </c>
      <c r="D167" s="16">
        <v>30.140999999999998</v>
      </c>
      <c r="E167" s="16">
        <v>35.822000000000003</v>
      </c>
      <c r="F167" s="16">
        <v>36.536000000000001</v>
      </c>
      <c r="G167" s="16">
        <v>104.08</v>
      </c>
      <c r="H167" s="16">
        <f t="shared" si="9"/>
        <v>31.650500000000001</v>
      </c>
      <c r="I167" s="5"/>
      <c r="J167" s="15">
        <v>1192.2344000000001</v>
      </c>
      <c r="K167" s="16">
        <v>31.032499999999999</v>
      </c>
      <c r="L167" s="16">
        <v>37.198500000000003</v>
      </c>
      <c r="M167" s="16">
        <v>38.033200000000001</v>
      </c>
      <c r="N167" s="16">
        <v>82.59</v>
      </c>
      <c r="O167" s="16">
        <f t="shared" si="10"/>
        <v>32.678337499999998</v>
      </c>
      <c r="P167" s="7"/>
      <c r="Q167" s="8">
        <f>bdrate(C167:C170,D167:D170,J167:J170,K167:K170)</f>
        <v>-0.38836003676973285</v>
      </c>
      <c r="R167" s="8">
        <f>bdrate(C167:C170,E167:E170,J167:J170,L167:L170)</f>
        <v>-0.57924000811419107</v>
      </c>
      <c r="S167" s="8">
        <f>bdrate(C167:C170,F167:F170,J167:J170,M167:M170)</f>
        <v>-0.57759758522685356</v>
      </c>
      <c r="T167" s="25">
        <f>bdrate(C167:C170,H167:H170,J167:J170,O167:O170)</f>
        <v>-0.41923996422722187</v>
      </c>
      <c r="U167" s="28">
        <f t="shared" si="11"/>
        <v>-0.20647578785549572</v>
      </c>
    </row>
    <row r="168" spans="1:21" x14ac:dyDescent="0.25">
      <c r="B168" s="9"/>
      <c r="C168" s="17">
        <v>963.68</v>
      </c>
      <c r="D168" s="18">
        <v>28.721</v>
      </c>
      <c r="E168" s="18">
        <v>35.216999999999999</v>
      </c>
      <c r="F168" s="18">
        <v>35.948</v>
      </c>
      <c r="G168" s="18">
        <v>114.47</v>
      </c>
      <c r="H168" s="18">
        <f t="shared" si="9"/>
        <v>30.436375000000002</v>
      </c>
      <c r="I168" s="5"/>
      <c r="J168" s="17">
        <v>801.67439999999999</v>
      </c>
      <c r="K168" s="18">
        <v>29.6845</v>
      </c>
      <c r="L168" s="18">
        <v>36.345300000000002</v>
      </c>
      <c r="M168" s="18">
        <v>37.142000000000003</v>
      </c>
      <c r="N168" s="18">
        <v>99.820300000000003</v>
      </c>
      <c r="O168" s="18">
        <f t="shared" si="10"/>
        <v>31.449287500000001</v>
      </c>
      <c r="P168" s="7"/>
      <c r="Q168" s="10"/>
      <c r="R168" s="11"/>
      <c r="S168" s="11"/>
      <c r="T168" s="26"/>
      <c r="U168" s="28">
        <f t="shared" si="11"/>
        <v>-0.12797850965318419</v>
      </c>
    </row>
    <row r="169" spans="1:21" x14ac:dyDescent="0.25">
      <c r="B169" s="9"/>
      <c r="C169" s="17">
        <v>599.53</v>
      </c>
      <c r="D169" s="18">
        <v>27.123000000000001</v>
      </c>
      <c r="E169" s="18">
        <v>34.595999999999997</v>
      </c>
      <c r="F169" s="18">
        <v>35.319000000000003</v>
      </c>
      <c r="G169" s="18">
        <v>127.19</v>
      </c>
      <c r="H169" s="18">
        <f t="shared" si="9"/>
        <v>29.081625000000003</v>
      </c>
      <c r="I169" s="5"/>
      <c r="J169" s="17">
        <v>504.88799999999998</v>
      </c>
      <c r="K169" s="18">
        <v>28.221699999999998</v>
      </c>
      <c r="L169" s="18">
        <v>35.592500000000001</v>
      </c>
      <c r="M169" s="18">
        <v>36.3294</v>
      </c>
      <c r="N169" s="18">
        <v>125.2191</v>
      </c>
      <c r="O169" s="18">
        <f t="shared" si="10"/>
        <v>30.156512499999998</v>
      </c>
      <c r="P169" s="7"/>
      <c r="Q169" s="10"/>
      <c r="R169" s="11"/>
      <c r="S169" s="11"/>
      <c r="T169" s="26"/>
      <c r="U169" s="28">
        <f t="shared" si="11"/>
        <v>-1.5495715071939621E-2</v>
      </c>
    </row>
    <row r="170" spans="1:21" ht="16.5" thickBot="1" x14ac:dyDescent="0.3">
      <c r="B170" s="12"/>
      <c r="C170" s="19">
        <v>370.78</v>
      </c>
      <c r="D170" s="20">
        <v>25.596</v>
      </c>
      <c r="E170" s="20">
        <v>34.052999999999997</v>
      </c>
      <c r="F170" s="20">
        <v>34.753999999999998</v>
      </c>
      <c r="G170" s="20">
        <v>138.05000000000001</v>
      </c>
      <c r="H170" s="20">
        <f t="shared" si="9"/>
        <v>27.797874999999998</v>
      </c>
      <c r="I170" s="5"/>
      <c r="J170" s="19">
        <v>306.66000000000003</v>
      </c>
      <c r="K170" s="20">
        <v>26.677399999999999</v>
      </c>
      <c r="L170" s="20">
        <v>34.744599999999998</v>
      </c>
      <c r="M170" s="20">
        <v>35.451700000000002</v>
      </c>
      <c r="N170" s="20">
        <v>154.8467</v>
      </c>
      <c r="O170" s="20">
        <f t="shared" si="10"/>
        <v>28.782587499999998</v>
      </c>
      <c r="P170" s="7"/>
      <c r="Q170" s="13"/>
      <c r="R170" s="14"/>
      <c r="S170" s="14"/>
      <c r="T170" s="27"/>
      <c r="U170" s="28">
        <f t="shared" si="11"/>
        <v>0.12167113364722916</v>
      </c>
    </row>
    <row r="171" spans="1:21" x14ac:dyDescent="0.25">
      <c r="B171" s="6" t="s">
        <v>56</v>
      </c>
      <c r="C171" s="15">
        <v>1426</v>
      </c>
      <c r="D171" s="16">
        <v>33.356000000000002</v>
      </c>
      <c r="E171" s="16">
        <v>36.948999999999998</v>
      </c>
      <c r="F171" s="16">
        <v>38.651000000000003</v>
      </c>
      <c r="G171" s="16">
        <v>68.180000000000007</v>
      </c>
      <c r="H171" s="16">
        <f t="shared" si="9"/>
        <v>34.467000000000006</v>
      </c>
      <c r="I171" s="5"/>
      <c r="J171" s="15">
        <v>1195.8984</v>
      </c>
      <c r="K171" s="16">
        <v>33.099499999999999</v>
      </c>
      <c r="L171" s="16">
        <v>37.394799999999996</v>
      </c>
      <c r="M171" s="16">
        <v>38.941499999999998</v>
      </c>
      <c r="N171" s="16">
        <v>54.764499999999998</v>
      </c>
      <c r="O171" s="16">
        <f t="shared" si="10"/>
        <v>34.366662499999997</v>
      </c>
      <c r="P171" s="7"/>
      <c r="Q171" s="8">
        <f>bdrate(C171:C174,D171:D174,J171:J174,K171:K174)</f>
        <v>-0.17193786263143485</v>
      </c>
      <c r="R171" s="8">
        <f>bdrate(C171:C174,E171:E174,J171:J174,L171:L174)</f>
        <v>-0.3287591240261547</v>
      </c>
      <c r="S171" s="8">
        <f>bdrate(C171:C174,F171:F174,J171:J174,M171:M174)</f>
        <v>-0.31713321495580993</v>
      </c>
      <c r="T171" s="25">
        <f>bdrate(C171:C174,H171:H174,J171:J174,O171:O174)</f>
        <v>-0.19544919472123201</v>
      </c>
      <c r="U171" s="28">
        <f t="shared" si="11"/>
        <v>-0.19676591375770031</v>
      </c>
    </row>
    <row r="172" spans="1:21" x14ac:dyDescent="0.25">
      <c r="B172" s="9"/>
      <c r="C172" s="17">
        <v>978.26</v>
      </c>
      <c r="D172" s="18">
        <v>31.814</v>
      </c>
      <c r="E172" s="18">
        <v>36.152000000000001</v>
      </c>
      <c r="F172" s="18">
        <v>37.828000000000003</v>
      </c>
      <c r="G172" s="18">
        <v>81.5</v>
      </c>
      <c r="H172" s="18">
        <f t="shared" si="9"/>
        <v>33.108000000000004</v>
      </c>
      <c r="I172" s="5"/>
      <c r="J172" s="17">
        <v>793.06240000000003</v>
      </c>
      <c r="K172" s="18">
        <v>31.558</v>
      </c>
      <c r="L172" s="18">
        <v>36.465400000000002</v>
      </c>
      <c r="M172" s="18">
        <v>38.0518</v>
      </c>
      <c r="N172" s="18">
        <v>65.616799999999998</v>
      </c>
      <c r="O172" s="18">
        <f t="shared" si="10"/>
        <v>32.983150000000002</v>
      </c>
      <c r="P172" s="7"/>
      <c r="Q172" s="10"/>
      <c r="R172" s="11"/>
      <c r="S172" s="11"/>
      <c r="T172" s="26"/>
      <c r="U172" s="28">
        <f t="shared" si="11"/>
        <v>-0.19488588957055217</v>
      </c>
    </row>
    <row r="173" spans="1:21" x14ac:dyDescent="0.25">
      <c r="B173" s="9"/>
      <c r="C173" s="17">
        <v>612.36</v>
      </c>
      <c r="D173" s="18">
        <v>29.907</v>
      </c>
      <c r="E173" s="18">
        <v>35.246000000000002</v>
      </c>
      <c r="F173" s="18">
        <v>36.822000000000003</v>
      </c>
      <c r="G173" s="18">
        <v>91.13</v>
      </c>
      <c r="H173" s="18">
        <f t="shared" si="9"/>
        <v>31.438750000000002</v>
      </c>
      <c r="I173" s="5"/>
      <c r="J173" s="17">
        <v>488.0736</v>
      </c>
      <c r="K173" s="18">
        <v>29.844000000000001</v>
      </c>
      <c r="L173" s="18">
        <v>35.586100000000002</v>
      </c>
      <c r="M173" s="18">
        <v>37.206299999999999</v>
      </c>
      <c r="N173" s="18">
        <v>80.085400000000007</v>
      </c>
      <c r="O173" s="18">
        <f t="shared" si="10"/>
        <v>31.482050000000001</v>
      </c>
      <c r="P173" s="7"/>
      <c r="Q173" s="10"/>
      <c r="R173" s="11"/>
      <c r="S173" s="11"/>
      <c r="T173" s="26"/>
      <c r="U173" s="28">
        <f t="shared" si="11"/>
        <v>-0.12119609349281235</v>
      </c>
    </row>
    <row r="174" spans="1:21" ht="16.5" thickBot="1" x14ac:dyDescent="0.3">
      <c r="B174" s="12"/>
      <c r="C174" s="19">
        <v>380.91</v>
      </c>
      <c r="D174" s="20">
        <v>28.027000000000001</v>
      </c>
      <c r="E174" s="20">
        <v>34.296999999999997</v>
      </c>
      <c r="F174" s="20">
        <v>35.688000000000002</v>
      </c>
      <c r="G174" s="20">
        <v>105.67</v>
      </c>
      <c r="H174" s="20">
        <f t="shared" si="9"/>
        <v>29.768374999999999</v>
      </c>
      <c r="I174" s="5"/>
      <c r="J174" s="19">
        <v>291.08960000000002</v>
      </c>
      <c r="K174" s="20">
        <v>28.183700000000002</v>
      </c>
      <c r="L174" s="20">
        <v>34.736899999999999</v>
      </c>
      <c r="M174" s="20">
        <v>36.320500000000003</v>
      </c>
      <c r="N174" s="20">
        <v>100.6374</v>
      </c>
      <c r="O174" s="20">
        <f t="shared" si="10"/>
        <v>30.019950000000001</v>
      </c>
      <c r="P174" s="7"/>
      <c r="Q174" s="13"/>
      <c r="R174" s="14"/>
      <c r="S174" s="14"/>
      <c r="T174" s="27"/>
      <c r="U174" s="28">
        <f t="shared" si="11"/>
        <v>-4.7625626951831194E-2</v>
      </c>
    </row>
    <row r="175" spans="1:21" x14ac:dyDescent="0.25">
      <c r="A175" s="6" t="s">
        <v>41</v>
      </c>
      <c r="B175" s="6" t="s">
        <v>57</v>
      </c>
      <c r="C175" s="15">
        <v>851.86</v>
      </c>
      <c r="D175" s="16">
        <v>36.134999999999998</v>
      </c>
      <c r="E175" s="16">
        <v>39.966999999999999</v>
      </c>
      <c r="F175" s="16">
        <v>38.753999999999998</v>
      </c>
      <c r="G175" s="16">
        <v>323.62</v>
      </c>
      <c r="H175" s="16">
        <f t="shared" si="9"/>
        <v>36.941375000000001</v>
      </c>
      <c r="I175" s="5"/>
      <c r="J175" s="15">
        <v>605.01440000000002</v>
      </c>
      <c r="K175" s="16">
        <v>35.324599999999997</v>
      </c>
      <c r="L175" s="16">
        <v>40.381399999999999</v>
      </c>
      <c r="M175" s="16">
        <v>38.834200000000003</v>
      </c>
      <c r="N175" s="16">
        <v>188.53700000000001</v>
      </c>
      <c r="O175" s="16">
        <f t="shared" si="10"/>
        <v>36.395399999999995</v>
      </c>
      <c r="P175" s="7"/>
      <c r="Q175" s="8">
        <f>bdrate(C175:C178,D175:D178,J175:J178,K175:K178)</f>
        <v>-0.20337105432808789</v>
      </c>
      <c r="R175" s="8">
        <f>bdrate(C175:C178,E175:E178,J175:J178,L175:L178)</f>
        <v>-0.39555583160283425</v>
      </c>
      <c r="S175" s="8">
        <f>bdrate(C175:C178,F175:F178,J175:J178,M175:M178)</f>
        <v>-0.3447576825766232</v>
      </c>
      <c r="T175" s="25">
        <f>bdrate(C175:C178,H175:H178,J175:J178,O175:O178)</f>
        <v>-0.23225291463537578</v>
      </c>
      <c r="U175" s="28">
        <f t="shared" si="11"/>
        <v>-0.41741239725604101</v>
      </c>
    </row>
    <row r="176" spans="1:21" x14ac:dyDescent="0.25">
      <c r="A176" s="9" t="s">
        <v>42</v>
      </c>
      <c r="B176" s="9"/>
      <c r="C176" s="17">
        <v>533.16</v>
      </c>
      <c r="D176" s="18">
        <v>33.820999999999998</v>
      </c>
      <c r="E176" s="18">
        <v>38.627000000000002</v>
      </c>
      <c r="F176" s="18">
        <v>37.176000000000002</v>
      </c>
      <c r="G176" s="18">
        <v>359.97</v>
      </c>
      <c r="H176" s="18">
        <f t="shared" si="9"/>
        <v>34.841124999999998</v>
      </c>
      <c r="I176" s="5"/>
      <c r="J176" s="17">
        <v>402.71120000000002</v>
      </c>
      <c r="K176" s="18">
        <v>33.444000000000003</v>
      </c>
      <c r="L176" s="18">
        <v>39.193199999999997</v>
      </c>
      <c r="M176" s="18">
        <v>37.528799999999997</v>
      </c>
      <c r="N176" s="18">
        <v>218.0549</v>
      </c>
      <c r="O176" s="18">
        <f t="shared" si="10"/>
        <v>34.673250000000003</v>
      </c>
      <c r="P176" s="7"/>
      <c r="Q176" s="10"/>
      <c r="R176" s="11"/>
      <c r="S176" s="11"/>
      <c r="T176" s="26"/>
      <c r="U176" s="28">
        <f t="shared" si="11"/>
        <v>-0.39424146456649167</v>
      </c>
    </row>
    <row r="177" spans="1:21" x14ac:dyDescent="0.25">
      <c r="B177" s="9"/>
      <c r="C177" s="17">
        <v>321.87</v>
      </c>
      <c r="D177" s="18">
        <v>31.475000000000001</v>
      </c>
      <c r="E177" s="18">
        <v>37.459000000000003</v>
      </c>
      <c r="F177" s="18">
        <v>35.716000000000001</v>
      </c>
      <c r="G177" s="18">
        <v>410.85</v>
      </c>
      <c r="H177" s="18">
        <f t="shared" si="9"/>
        <v>32.753125000000004</v>
      </c>
      <c r="I177" s="5"/>
      <c r="J177" s="17">
        <v>250.54400000000001</v>
      </c>
      <c r="K177" s="18">
        <v>31.358000000000001</v>
      </c>
      <c r="L177" s="18">
        <v>38.032299999999999</v>
      </c>
      <c r="M177" s="18">
        <v>36.228200000000001</v>
      </c>
      <c r="N177" s="18">
        <v>260.55239999999998</v>
      </c>
      <c r="O177" s="18">
        <f t="shared" si="10"/>
        <v>32.8010625</v>
      </c>
      <c r="P177" s="7"/>
      <c r="Q177" s="10"/>
      <c r="R177" s="11"/>
      <c r="S177" s="11"/>
      <c r="T177" s="26"/>
      <c r="U177" s="28">
        <f t="shared" si="11"/>
        <v>-0.36582110259218703</v>
      </c>
    </row>
    <row r="178" spans="1:21" ht="16.5" thickBot="1" x14ac:dyDescent="0.3">
      <c r="B178" s="12"/>
      <c r="C178" s="19">
        <v>162.19</v>
      </c>
      <c r="D178" s="20">
        <v>28.434000000000001</v>
      </c>
      <c r="E178" s="20">
        <v>36.078000000000003</v>
      </c>
      <c r="F178" s="20">
        <v>33.973999999999997</v>
      </c>
      <c r="G178" s="20">
        <v>517.05999999999995</v>
      </c>
      <c r="H178" s="20">
        <f t="shared" si="9"/>
        <v>30.082000000000001</v>
      </c>
      <c r="I178" s="5"/>
      <c r="J178" s="19">
        <v>119.4208</v>
      </c>
      <c r="K178" s="20">
        <v>28.444800000000001</v>
      </c>
      <c r="L178" s="20">
        <v>36.493400000000001</v>
      </c>
      <c r="M178" s="20">
        <v>34.3992</v>
      </c>
      <c r="N178" s="20">
        <v>360.23050000000001</v>
      </c>
      <c r="O178" s="20">
        <f t="shared" si="10"/>
        <v>30.195175000000003</v>
      </c>
      <c r="P178" s="7"/>
      <c r="Q178" s="13"/>
      <c r="R178" s="14"/>
      <c r="S178" s="14"/>
      <c r="T178" s="27"/>
      <c r="U178" s="28">
        <f t="shared" si="11"/>
        <v>-0.30331006072796185</v>
      </c>
    </row>
    <row r="179" spans="1:21" x14ac:dyDescent="0.25">
      <c r="B179" s="6" t="s">
        <v>58</v>
      </c>
      <c r="C179" s="15">
        <v>739.63</v>
      </c>
      <c r="D179" s="16">
        <v>32.991</v>
      </c>
      <c r="E179" s="16">
        <v>39.744</v>
      </c>
      <c r="F179" s="16">
        <v>40.487000000000002</v>
      </c>
      <c r="G179" s="16">
        <v>422.54</v>
      </c>
      <c r="H179" s="16">
        <f t="shared" si="9"/>
        <v>34.772125000000003</v>
      </c>
      <c r="I179" s="5"/>
      <c r="J179" s="15">
        <v>587.28560000000004</v>
      </c>
      <c r="K179" s="16">
        <v>34.207599999999999</v>
      </c>
      <c r="L179" s="16">
        <v>41.697600000000001</v>
      </c>
      <c r="M179" s="16">
        <v>42.603900000000003</v>
      </c>
      <c r="N179" s="16">
        <v>284.76510000000002</v>
      </c>
      <c r="O179" s="16">
        <f t="shared" si="10"/>
        <v>36.1933875</v>
      </c>
      <c r="P179" s="7"/>
      <c r="Q179" s="8">
        <f>bdrate(C179:C182,D179:D182,J179:J182,K179:K182)</f>
        <v>-0.47123043011530652</v>
      </c>
      <c r="R179" s="8">
        <f>bdrate(C179:C182,E179:E182,J179:J182,L179:L182)</f>
        <v>-0.57973381841154858</v>
      </c>
      <c r="S179" s="8">
        <f>bdrate(C179:C182,F179:F182,J179:J182,M179:M182)</f>
        <v>-0.63615466386310937</v>
      </c>
      <c r="T179" s="25">
        <f>bdrate(C179:C182,H179:H182,J179:J182,O179:O182)</f>
        <v>-0.4941363906156977</v>
      </c>
      <c r="U179" s="28">
        <f t="shared" si="11"/>
        <v>-0.32606356794622993</v>
      </c>
    </row>
    <row r="180" spans="1:21" x14ac:dyDescent="0.25">
      <c r="B180" s="9"/>
      <c r="C180" s="17">
        <v>455.57</v>
      </c>
      <c r="D180" s="18">
        <v>31.262</v>
      </c>
      <c r="E180" s="18">
        <v>39.164000000000001</v>
      </c>
      <c r="F180" s="18">
        <v>39.744</v>
      </c>
      <c r="G180" s="18">
        <v>475.06</v>
      </c>
      <c r="H180" s="18">
        <f t="shared" si="9"/>
        <v>33.31</v>
      </c>
      <c r="I180" s="5"/>
      <c r="J180" s="17">
        <v>394.85599999999999</v>
      </c>
      <c r="K180" s="18">
        <v>32.886899999999997</v>
      </c>
      <c r="L180" s="18">
        <v>40.748600000000003</v>
      </c>
      <c r="M180" s="18">
        <v>41.609200000000001</v>
      </c>
      <c r="N180" s="18">
        <v>326.08699999999999</v>
      </c>
      <c r="O180" s="18">
        <f t="shared" si="10"/>
        <v>34.959899999999998</v>
      </c>
      <c r="P180" s="7"/>
      <c r="Q180" s="10"/>
      <c r="R180" s="11"/>
      <c r="S180" s="11"/>
      <c r="T180" s="26"/>
      <c r="U180" s="28">
        <f t="shared" si="11"/>
        <v>-0.31358775733591548</v>
      </c>
    </row>
    <row r="181" spans="1:21" x14ac:dyDescent="0.25">
      <c r="B181" s="9"/>
      <c r="C181" s="17">
        <v>271.16000000000003</v>
      </c>
      <c r="D181" s="18">
        <v>29.393999999999998</v>
      </c>
      <c r="E181" s="18">
        <v>38.628</v>
      </c>
      <c r="F181" s="18">
        <v>38.911999999999999</v>
      </c>
      <c r="G181" s="18">
        <v>526.78</v>
      </c>
      <c r="H181" s="18">
        <f t="shared" si="9"/>
        <v>31.737999999999996</v>
      </c>
      <c r="I181" s="5"/>
      <c r="J181" s="17">
        <v>244.2336</v>
      </c>
      <c r="K181" s="18">
        <v>31.2973</v>
      </c>
      <c r="L181" s="18">
        <v>39.620600000000003</v>
      </c>
      <c r="M181" s="18">
        <v>40.369199999999999</v>
      </c>
      <c r="N181" s="18">
        <v>418.11849999999998</v>
      </c>
      <c r="O181" s="18">
        <f t="shared" si="10"/>
        <v>33.471699999999998</v>
      </c>
      <c r="P181" s="7"/>
      <c r="Q181" s="10"/>
      <c r="R181" s="11"/>
      <c r="S181" s="11"/>
      <c r="T181" s="26"/>
      <c r="U181" s="28">
        <f t="shared" si="11"/>
        <v>-0.20627491552450739</v>
      </c>
    </row>
    <row r="182" spans="1:21" ht="16.5" thickBot="1" x14ac:dyDescent="0.3">
      <c r="B182" s="12"/>
      <c r="C182" s="19">
        <v>134.53</v>
      </c>
      <c r="D182" s="20">
        <v>26.808</v>
      </c>
      <c r="E182" s="20">
        <v>37.975999999999999</v>
      </c>
      <c r="F182" s="20">
        <v>38.085999999999999</v>
      </c>
      <c r="G182" s="20">
        <v>601.20000000000005</v>
      </c>
      <c r="H182" s="20">
        <f t="shared" si="9"/>
        <v>29.613750000000003</v>
      </c>
      <c r="I182" s="5"/>
      <c r="J182" s="19">
        <v>117.2248</v>
      </c>
      <c r="K182" s="20">
        <v>28.772400000000001</v>
      </c>
      <c r="L182" s="20">
        <v>38.478099999999998</v>
      </c>
      <c r="M182" s="20">
        <v>39.244</v>
      </c>
      <c r="N182" s="20">
        <v>574.16269999999997</v>
      </c>
      <c r="O182" s="20">
        <f t="shared" si="10"/>
        <v>31.294562500000001</v>
      </c>
      <c r="P182" s="7"/>
      <c r="Q182" s="13"/>
      <c r="R182" s="14"/>
      <c r="S182" s="14"/>
      <c r="T182" s="27"/>
      <c r="U182" s="28">
        <f t="shared" si="11"/>
        <v>-4.4972222222222337E-2</v>
      </c>
    </row>
    <row r="183" spans="1:21" x14ac:dyDescent="0.25">
      <c r="B183" s="6" t="s">
        <v>59</v>
      </c>
      <c r="C183" s="29">
        <v>828.37</v>
      </c>
      <c r="D183" s="30">
        <v>34.066000000000003</v>
      </c>
      <c r="E183" s="30">
        <v>37.494</v>
      </c>
      <c r="F183" s="30">
        <v>37.981000000000002</v>
      </c>
      <c r="G183" s="16">
        <v>360.23</v>
      </c>
      <c r="H183" s="16">
        <f t="shared" si="9"/>
        <v>34.983875000000005</v>
      </c>
      <c r="I183" s="5"/>
      <c r="J183" s="29">
        <v>588.44399999999996</v>
      </c>
      <c r="K183" s="30">
        <v>33.591099999999997</v>
      </c>
      <c r="L183" s="30">
        <v>38.3812</v>
      </c>
      <c r="M183" s="30">
        <v>39.173000000000002</v>
      </c>
      <c r="N183" s="16">
        <v>256.41030000000001</v>
      </c>
      <c r="O183" s="16">
        <f t="shared" si="10"/>
        <v>34.887599999999999</v>
      </c>
      <c r="P183" s="7"/>
      <c r="Q183" s="8">
        <f>bdrate(C183:C186,D183:D186,J183:J186,K183:K186)</f>
        <v>-0.24664396694084845</v>
      </c>
      <c r="R183" s="8">
        <f>bdrate(C183:C186,E183:E186,J183:J186,L183:L186)</f>
        <v>-0.48837065953421599</v>
      </c>
      <c r="S183" s="8">
        <f>bdrate(C183:C186,F183:F186,J183:J186,M183:M186)</f>
        <v>-0.54050590892476413</v>
      </c>
      <c r="T183" s="25">
        <f>bdrate(C183:C186,H183:H186,J183:J186,O183:O186)</f>
        <v>-0.29604639216964401</v>
      </c>
      <c r="U183" s="28">
        <f t="shared" si="11"/>
        <v>-0.28820392526996641</v>
      </c>
    </row>
    <row r="184" spans="1:21" x14ac:dyDescent="0.25">
      <c r="B184" s="9"/>
      <c r="C184" s="31">
        <v>516.80999999999995</v>
      </c>
      <c r="D184" s="32">
        <v>32.106999999999999</v>
      </c>
      <c r="E184" s="32">
        <v>36.287999999999997</v>
      </c>
      <c r="F184" s="32">
        <v>36.756</v>
      </c>
      <c r="G184" s="18">
        <v>400.64</v>
      </c>
      <c r="H184" s="18">
        <f t="shared" si="9"/>
        <v>33.210750000000004</v>
      </c>
      <c r="I184" s="5"/>
      <c r="J184" s="31">
        <v>391.87920000000003</v>
      </c>
      <c r="K184" s="32">
        <v>32.054400000000001</v>
      </c>
      <c r="L184" s="32">
        <v>37.205199999999998</v>
      </c>
      <c r="M184" s="32">
        <v>37.9619</v>
      </c>
      <c r="N184" s="18">
        <v>294.11759999999998</v>
      </c>
      <c r="O184" s="18">
        <f t="shared" si="10"/>
        <v>33.436687499999998</v>
      </c>
      <c r="P184" s="7"/>
      <c r="Q184" s="10"/>
      <c r="R184" s="11"/>
      <c r="S184" s="11"/>
      <c r="T184" s="26"/>
      <c r="U184" s="28">
        <f t="shared" si="11"/>
        <v>-0.26588059105431311</v>
      </c>
    </row>
    <row r="185" spans="1:21" x14ac:dyDescent="0.25">
      <c r="B185" s="9"/>
      <c r="C185" s="31">
        <v>307.88</v>
      </c>
      <c r="D185" s="32">
        <v>30.084</v>
      </c>
      <c r="E185" s="32">
        <v>35.283999999999999</v>
      </c>
      <c r="F185" s="32">
        <v>35.798999999999999</v>
      </c>
      <c r="G185" s="18">
        <v>438.98</v>
      </c>
      <c r="H185" s="18">
        <f t="shared" si="9"/>
        <v>31.448374999999999</v>
      </c>
      <c r="I185" s="5"/>
      <c r="J185" s="31">
        <v>245.41040000000001</v>
      </c>
      <c r="K185" s="32">
        <v>30.3063</v>
      </c>
      <c r="L185" s="32">
        <v>36.188800000000001</v>
      </c>
      <c r="M185" s="32">
        <v>36.8748</v>
      </c>
      <c r="N185" s="18">
        <v>348.43209999999999</v>
      </c>
      <c r="O185" s="18">
        <f t="shared" si="10"/>
        <v>31.862675000000003</v>
      </c>
      <c r="P185" s="7"/>
      <c r="Q185" s="10"/>
      <c r="R185" s="11"/>
      <c r="S185" s="11"/>
      <c r="T185" s="26"/>
      <c r="U185" s="28">
        <f t="shared" si="11"/>
        <v>-0.20626885051710789</v>
      </c>
    </row>
    <row r="186" spans="1:21" ht="16.5" thickBot="1" x14ac:dyDescent="0.3">
      <c r="B186" s="12"/>
      <c r="C186" s="33">
        <v>151.54</v>
      </c>
      <c r="D186" s="34">
        <v>27.582000000000001</v>
      </c>
      <c r="E186" s="34">
        <v>34.128</v>
      </c>
      <c r="F186" s="34">
        <v>34.709000000000003</v>
      </c>
      <c r="G186" s="20">
        <v>508.65</v>
      </c>
      <c r="H186" s="20">
        <f t="shared" si="9"/>
        <v>29.291125000000001</v>
      </c>
      <c r="I186" s="5"/>
      <c r="J186" s="33">
        <v>119.1512</v>
      </c>
      <c r="K186" s="34">
        <v>27.929200000000002</v>
      </c>
      <c r="L186" s="34">
        <v>34.719799999999999</v>
      </c>
      <c r="M186" s="34">
        <v>35.4544</v>
      </c>
      <c r="N186" s="20">
        <v>471.25349999999997</v>
      </c>
      <c r="O186" s="20">
        <f t="shared" si="10"/>
        <v>29.718674999999998</v>
      </c>
      <c r="P186" s="7"/>
      <c r="Q186" s="13"/>
      <c r="R186" s="14"/>
      <c r="S186" s="14"/>
      <c r="T186" s="27"/>
      <c r="U186" s="28">
        <f t="shared" si="11"/>
        <v>-7.352108522559718E-2</v>
      </c>
    </row>
    <row r="187" spans="1:21" x14ac:dyDescent="0.25">
      <c r="B187" s="6" t="s">
        <v>60</v>
      </c>
      <c r="C187" s="15">
        <v>762.7</v>
      </c>
      <c r="D187" s="16">
        <v>35.814999999999998</v>
      </c>
      <c r="E187" s="16">
        <v>37.94</v>
      </c>
      <c r="F187" s="16">
        <v>39.094000000000001</v>
      </c>
      <c r="G187" s="16">
        <v>243.11</v>
      </c>
      <c r="H187" s="16">
        <f t="shared" si="9"/>
        <v>36.490499999999997</v>
      </c>
      <c r="I187" s="5"/>
      <c r="J187" s="15">
        <v>593.54960000000005</v>
      </c>
      <c r="K187" s="16">
        <v>34.8078</v>
      </c>
      <c r="L187" s="16">
        <v>38.285499999999999</v>
      </c>
      <c r="M187" s="16">
        <v>39.3782</v>
      </c>
      <c r="N187" s="16">
        <v>134.46879999999999</v>
      </c>
      <c r="O187" s="16">
        <f t="shared" si="10"/>
        <v>35.813812499999997</v>
      </c>
      <c r="P187" s="7"/>
      <c r="Q187" s="8">
        <f>bdrate(C187:C190,D187:D190,J187:J190,K187:K190)</f>
        <v>-7.9662630189105466E-2</v>
      </c>
      <c r="R187" s="8">
        <f>bdrate(C187:C190,E187:E190,J187:J190,L187:L190)</f>
        <v>-0.32249285820390527</v>
      </c>
      <c r="S187" s="8">
        <f>bdrate(C187:C190,F187:F190,J187:J190,M187:M190)</f>
        <v>-0.31080792456557249</v>
      </c>
      <c r="T187" s="25">
        <f>bdrate(C187:C190,H187:H190,J187:J190,O187:O190)</f>
        <v>-0.12319208906829093</v>
      </c>
      <c r="U187" s="28">
        <f t="shared" si="11"/>
        <v>-0.44688083583563004</v>
      </c>
    </row>
    <row r="188" spans="1:21" x14ac:dyDescent="0.25">
      <c r="B188" s="9"/>
      <c r="C188" s="17">
        <v>478.29</v>
      </c>
      <c r="D188" s="18">
        <v>33.497</v>
      </c>
      <c r="E188" s="18">
        <v>36.630000000000003</v>
      </c>
      <c r="F188" s="18">
        <v>37.777000000000001</v>
      </c>
      <c r="G188" s="18">
        <v>274.73</v>
      </c>
      <c r="H188" s="18">
        <f t="shared" si="9"/>
        <v>34.423625000000001</v>
      </c>
      <c r="I188" s="5"/>
      <c r="J188" s="17">
        <v>394.4504</v>
      </c>
      <c r="K188" s="18">
        <v>32.853900000000003</v>
      </c>
      <c r="L188" s="18">
        <v>37.11</v>
      </c>
      <c r="M188" s="18">
        <v>38.205800000000004</v>
      </c>
      <c r="N188" s="18">
        <v>160.25640000000001</v>
      </c>
      <c r="O188" s="18">
        <f t="shared" si="10"/>
        <v>34.054900000000004</v>
      </c>
      <c r="P188" s="7"/>
      <c r="Q188" s="10"/>
      <c r="R188" s="11"/>
      <c r="S188" s="11"/>
      <c r="T188" s="26"/>
      <c r="U188" s="28">
        <f t="shared" si="11"/>
        <v>-0.41667673716012082</v>
      </c>
    </row>
    <row r="189" spans="1:21" x14ac:dyDescent="0.25">
      <c r="B189" s="9"/>
      <c r="C189" s="17">
        <v>288.69</v>
      </c>
      <c r="D189" s="18">
        <v>31.2</v>
      </c>
      <c r="E189" s="18">
        <v>35.377000000000002</v>
      </c>
      <c r="F189" s="18">
        <v>36.503</v>
      </c>
      <c r="G189" s="18">
        <v>309.92</v>
      </c>
      <c r="H189" s="18">
        <f t="shared" si="9"/>
        <v>32.384999999999998</v>
      </c>
      <c r="I189" s="5"/>
      <c r="J189" s="17">
        <v>243.0608</v>
      </c>
      <c r="K189" s="18">
        <v>30.8291</v>
      </c>
      <c r="L189" s="18">
        <v>35.859900000000003</v>
      </c>
      <c r="M189" s="18">
        <v>36.961300000000001</v>
      </c>
      <c r="N189" s="18">
        <v>192.30770000000001</v>
      </c>
      <c r="O189" s="18">
        <f t="shared" si="10"/>
        <v>32.224475000000005</v>
      </c>
      <c r="P189" s="7"/>
      <c r="Q189" s="10"/>
      <c r="R189" s="11"/>
      <c r="S189" s="11"/>
      <c r="T189" s="26"/>
      <c r="U189" s="28">
        <f t="shared" si="11"/>
        <v>-0.37949244966442952</v>
      </c>
    </row>
    <row r="190" spans="1:21" ht="16.5" thickBot="1" x14ac:dyDescent="0.3">
      <c r="B190" s="12"/>
      <c r="C190" s="19">
        <v>144.69</v>
      </c>
      <c r="D190" s="20">
        <v>28.382000000000001</v>
      </c>
      <c r="E190" s="20">
        <v>33.959000000000003</v>
      </c>
      <c r="F190" s="20">
        <v>34.923999999999999</v>
      </c>
      <c r="G190" s="20">
        <v>376.88</v>
      </c>
      <c r="H190" s="20">
        <f t="shared" si="9"/>
        <v>29.896875000000001</v>
      </c>
      <c r="I190" s="5"/>
      <c r="J190" s="19">
        <v>117.3112</v>
      </c>
      <c r="K190" s="20">
        <v>28.218</v>
      </c>
      <c r="L190" s="20">
        <v>34.476799999999997</v>
      </c>
      <c r="M190" s="20">
        <v>35.493200000000002</v>
      </c>
      <c r="N190" s="20">
        <v>274.7253</v>
      </c>
      <c r="O190" s="20">
        <f t="shared" si="10"/>
        <v>29.909749999999999</v>
      </c>
      <c r="P190" s="7"/>
      <c r="Q190" s="13"/>
      <c r="R190" s="14"/>
      <c r="S190" s="14"/>
      <c r="T190" s="27"/>
      <c r="U190" s="28">
        <f t="shared" si="11"/>
        <v>-0.2710536510295054</v>
      </c>
    </row>
    <row r="191" spans="1:21" x14ac:dyDescent="0.25">
      <c r="A191" s="6" t="s">
        <v>43</v>
      </c>
      <c r="B191" s="6" t="s">
        <v>61</v>
      </c>
      <c r="C191" s="15">
        <v>1918.21</v>
      </c>
      <c r="D191" s="16">
        <v>41.551000000000002</v>
      </c>
      <c r="E191" s="16">
        <v>45.18</v>
      </c>
      <c r="F191" s="16">
        <v>46.383000000000003</v>
      </c>
      <c r="G191" s="16">
        <v>74.25</v>
      </c>
      <c r="H191" s="16">
        <f t="shared" si="9"/>
        <v>42.608624999999996</v>
      </c>
      <c r="I191" s="5"/>
      <c r="J191" s="15">
        <v>1443.1368</v>
      </c>
      <c r="K191" s="16">
        <v>41.834600000000002</v>
      </c>
      <c r="L191" s="16">
        <v>46.125</v>
      </c>
      <c r="M191" s="16">
        <v>47.3399</v>
      </c>
      <c r="N191" s="16">
        <v>64.205500000000001</v>
      </c>
      <c r="O191" s="16">
        <f t="shared" si="10"/>
        <v>43.059062500000003</v>
      </c>
      <c r="P191" s="7"/>
      <c r="Q191" s="8">
        <f>bdrate(C191:C194,D191:D194,J191:J194,K191:K194)</f>
        <v>-0.35230457529955084</v>
      </c>
      <c r="R191" s="8">
        <f>bdrate(C191:C194,E191:E194,J191:J194,L191:L194)</f>
        <v>-0.52704737655007428</v>
      </c>
      <c r="S191" s="8">
        <f>bdrate(C191:C194,F191:F194,J191:J194,M191:M194)</f>
        <v>-0.52046985170151672</v>
      </c>
      <c r="T191" s="25">
        <f>bdrate(C191:C194,H191:H194,J191:J194,O191:O194)</f>
        <v>-0.38964663258788879</v>
      </c>
      <c r="U191" s="28">
        <f t="shared" si="11"/>
        <v>-0.13527946127946128</v>
      </c>
    </row>
    <row r="192" spans="1:21" x14ac:dyDescent="0.25">
      <c r="A192" s="9" t="s">
        <v>44</v>
      </c>
      <c r="B192" s="9"/>
      <c r="C192" s="17">
        <v>1247.21</v>
      </c>
      <c r="D192" s="18">
        <v>40.399000000000001</v>
      </c>
      <c r="E192" s="18">
        <v>43.988999999999997</v>
      </c>
      <c r="F192" s="18">
        <v>45.113999999999997</v>
      </c>
      <c r="G192" s="18">
        <v>76.459999999999994</v>
      </c>
      <c r="H192" s="18">
        <f t="shared" si="9"/>
        <v>41.437124999999995</v>
      </c>
      <c r="I192" s="5"/>
      <c r="J192" s="17">
        <v>960.55920000000003</v>
      </c>
      <c r="K192" s="18">
        <v>40.8307</v>
      </c>
      <c r="L192" s="18">
        <v>45.203699999999998</v>
      </c>
      <c r="M192" s="18">
        <v>46.345700000000001</v>
      </c>
      <c r="N192" s="18">
        <v>77.700100000000006</v>
      </c>
      <c r="O192" s="18">
        <f t="shared" si="10"/>
        <v>42.066700000000004</v>
      </c>
      <c r="P192" s="7"/>
      <c r="Q192" s="10"/>
      <c r="R192" s="11"/>
      <c r="S192" s="11"/>
      <c r="T192" s="26"/>
      <c r="U192" s="28">
        <f t="shared" si="11"/>
        <v>1.6218938006801107E-2</v>
      </c>
    </row>
    <row r="193" spans="1:21" x14ac:dyDescent="0.25">
      <c r="B193" s="9"/>
      <c r="C193" s="17">
        <v>738.94</v>
      </c>
      <c r="D193" s="18">
        <v>38.371000000000002</v>
      </c>
      <c r="E193" s="18">
        <v>42.436999999999998</v>
      </c>
      <c r="F193" s="18">
        <v>43.633000000000003</v>
      </c>
      <c r="G193" s="18">
        <v>79.13</v>
      </c>
      <c r="H193" s="18">
        <f t="shared" si="9"/>
        <v>39.536999999999999</v>
      </c>
      <c r="I193" s="5"/>
      <c r="J193" s="17">
        <v>565.14959999999996</v>
      </c>
      <c r="K193" s="18">
        <v>39.044800000000002</v>
      </c>
      <c r="L193" s="18">
        <v>43.845300000000002</v>
      </c>
      <c r="M193" s="18">
        <v>44.964100000000002</v>
      </c>
      <c r="N193" s="18">
        <v>99.552000000000007</v>
      </c>
      <c r="O193" s="18">
        <f t="shared" si="10"/>
        <v>40.384775000000005</v>
      </c>
      <c r="P193" s="7"/>
      <c r="Q193" s="10"/>
      <c r="R193" s="11"/>
      <c r="S193" s="11"/>
      <c r="T193" s="26"/>
      <c r="U193" s="28">
        <f t="shared" si="11"/>
        <v>0.25808163781119692</v>
      </c>
    </row>
    <row r="194" spans="1:21" ht="16.5" thickBot="1" x14ac:dyDescent="0.3">
      <c r="B194" s="12"/>
      <c r="C194" s="19">
        <v>339.34</v>
      </c>
      <c r="D194" s="20">
        <v>34.149000000000001</v>
      </c>
      <c r="E194" s="20">
        <v>40.261000000000003</v>
      </c>
      <c r="F194" s="20">
        <v>41.284999999999997</v>
      </c>
      <c r="G194" s="20">
        <v>78.650000000000006</v>
      </c>
      <c r="H194" s="20">
        <f t="shared" si="9"/>
        <v>35.805</v>
      </c>
      <c r="I194" s="5"/>
      <c r="J194" s="19">
        <v>280.45519999999999</v>
      </c>
      <c r="K194" s="20">
        <v>35.893500000000003</v>
      </c>
      <c r="L194" s="20">
        <v>41.872100000000003</v>
      </c>
      <c r="M194" s="20">
        <v>43.024900000000002</v>
      </c>
      <c r="N194" s="20">
        <v>136.36359999999999</v>
      </c>
      <c r="O194" s="20">
        <f t="shared" si="10"/>
        <v>37.532250000000005</v>
      </c>
      <c r="P194" s="7"/>
      <c r="Q194" s="13"/>
      <c r="R194" s="14"/>
      <c r="S194" s="14"/>
      <c r="T194" s="27"/>
      <c r="U194" s="28">
        <f t="shared" si="11"/>
        <v>0.73380292434837868</v>
      </c>
    </row>
    <row r="195" spans="1:21" x14ac:dyDescent="0.25">
      <c r="B195" s="6" t="s">
        <v>62</v>
      </c>
      <c r="C195" s="15">
        <v>1971.13</v>
      </c>
      <c r="D195" s="16">
        <v>42.453000000000003</v>
      </c>
      <c r="E195" s="16">
        <v>46.963999999999999</v>
      </c>
      <c r="F195" s="16">
        <v>47.430999999999997</v>
      </c>
      <c r="G195" s="16">
        <v>71.489999999999995</v>
      </c>
      <c r="H195" s="16">
        <f t="shared" si="9"/>
        <v>43.639125</v>
      </c>
      <c r="I195" s="5"/>
      <c r="J195" s="15">
        <v>1463.9992</v>
      </c>
      <c r="K195" s="16">
        <v>42.856900000000003</v>
      </c>
      <c r="L195" s="16">
        <v>48.127800000000001</v>
      </c>
      <c r="M195" s="16">
        <v>48.784799999999997</v>
      </c>
      <c r="N195" s="16">
        <v>81.311800000000005</v>
      </c>
      <c r="O195" s="16">
        <f t="shared" si="10"/>
        <v>44.256750000000004</v>
      </c>
      <c r="P195" s="7"/>
      <c r="Q195" s="8">
        <f>bdrate(C195:C198,D195:D198,J195:J198,K195:K198)</f>
        <v>-0.52083744083630745</v>
      </c>
      <c r="R195" s="8">
        <f>bdrate(C195:C198,E195:E198,J195:J198,L195:L198)</f>
        <v>-0.69718261107786539</v>
      </c>
      <c r="S195" s="8">
        <f>bdrate(C195:C198,F195:F198,J195:J198,M195:M198)</f>
        <v>-0.72852197825381215</v>
      </c>
      <c r="T195" s="25">
        <f>bdrate(C195:C198,H195:H198,J195:J198,O195:O198)</f>
        <v>-0.58207887590798313</v>
      </c>
      <c r="U195" s="28">
        <f t="shared" ref="U195:U213" si="12">(N195-G195)/G195</f>
        <v>0.13738704713946021</v>
      </c>
    </row>
    <row r="196" spans="1:21" x14ac:dyDescent="0.25">
      <c r="B196" s="9"/>
      <c r="C196" s="17">
        <v>1296</v>
      </c>
      <c r="D196" s="18">
        <v>41.817</v>
      </c>
      <c r="E196" s="18">
        <v>46.097000000000001</v>
      </c>
      <c r="F196" s="18">
        <v>46.375</v>
      </c>
      <c r="G196" s="18">
        <v>72.84</v>
      </c>
      <c r="H196" s="18">
        <f t="shared" si="9"/>
        <v>42.921749999999996</v>
      </c>
      <c r="I196" s="5"/>
      <c r="J196" s="17">
        <v>971.5616</v>
      </c>
      <c r="K196" s="18">
        <v>42.42</v>
      </c>
      <c r="L196" s="18">
        <v>47.702300000000001</v>
      </c>
      <c r="M196" s="18">
        <v>48.351799999999997</v>
      </c>
      <c r="N196" s="18">
        <v>99.883499999999998</v>
      </c>
      <c r="O196" s="18">
        <f t="shared" si="10"/>
        <v>43.821762500000006</v>
      </c>
      <c r="P196" s="7"/>
      <c r="Q196" s="10"/>
      <c r="R196" s="11"/>
      <c r="S196" s="11"/>
      <c r="T196" s="26"/>
      <c r="U196" s="28">
        <f t="shared" si="12"/>
        <v>0.37127265238879725</v>
      </c>
    </row>
    <row r="197" spans="1:21" x14ac:dyDescent="0.25">
      <c r="B197" s="9"/>
      <c r="C197" s="17">
        <v>759.55</v>
      </c>
      <c r="D197" s="18">
        <v>40.652999999999999</v>
      </c>
      <c r="E197" s="18">
        <v>44.777999999999999</v>
      </c>
      <c r="F197" s="18">
        <v>45.128</v>
      </c>
      <c r="G197" s="18">
        <v>72.98</v>
      </c>
      <c r="H197" s="18">
        <f t="shared" si="9"/>
        <v>41.728000000000002</v>
      </c>
      <c r="I197" s="5"/>
      <c r="J197" s="17">
        <v>570.20320000000004</v>
      </c>
      <c r="K197" s="18">
        <v>41.630899999999997</v>
      </c>
      <c r="L197" s="18">
        <v>46.869700000000002</v>
      </c>
      <c r="M197" s="18">
        <v>47.451300000000003</v>
      </c>
      <c r="N197" s="18">
        <v>128.20509999999999</v>
      </c>
      <c r="O197" s="18">
        <f t="shared" si="10"/>
        <v>43.013300000000001</v>
      </c>
      <c r="P197" s="7"/>
      <c r="Q197" s="10"/>
      <c r="R197" s="11"/>
      <c r="S197" s="11"/>
      <c r="T197" s="26"/>
      <c r="U197" s="28">
        <f t="shared" si="12"/>
        <v>0.75671553850369933</v>
      </c>
    </row>
    <row r="198" spans="1:21" ht="16.5" thickBot="1" x14ac:dyDescent="0.3">
      <c r="B198" s="12"/>
      <c r="C198" s="19">
        <v>333.92</v>
      </c>
      <c r="D198" s="20">
        <v>37.771999999999998</v>
      </c>
      <c r="E198" s="20">
        <v>42.143999999999998</v>
      </c>
      <c r="F198" s="20">
        <v>43.281999999999996</v>
      </c>
      <c r="G198" s="20">
        <v>75.86</v>
      </c>
      <c r="H198" s="20">
        <f t="shared" si="9"/>
        <v>39.007249999999999</v>
      </c>
      <c r="I198" s="5"/>
      <c r="J198" s="19">
        <v>276.36320000000001</v>
      </c>
      <c r="K198" s="20">
        <v>39.929600000000001</v>
      </c>
      <c r="L198" s="20">
        <v>45.190800000000003</v>
      </c>
      <c r="M198" s="20">
        <v>45.782699999999998</v>
      </c>
      <c r="N198" s="20">
        <v>174.06440000000001</v>
      </c>
      <c r="O198" s="20">
        <f t="shared" si="10"/>
        <v>41.318887500000002</v>
      </c>
      <c r="P198" s="7"/>
      <c r="Q198" s="13"/>
      <c r="R198" s="14"/>
      <c r="S198" s="14"/>
      <c r="T198" s="27"/>
      <c r="U198" s="28">
        <f t="shared" si="12"/>
        <v>1.2945478513050357</v>
      </c>
    </row>
    <row r="199" spans="1:21" x14ac:dyDescent="0.25">
      <c r="B199" s="6" t="s">
        <v>63</v>
      </c>
      <c r="C199" s="15">
        <v>2052.06</v>
      </c>
      <c r="D199" s="16">
        <v>42.545000000000002</v>
      </c>
      <c r="E199" s="16">
        <v>46.331000000000003</v>
      </c>
      <c r="F199" s="16">
        <v>46.933999999999997</v>
      </c>
      <c r="G199" s="16">
        <v>67.72</v>
      </c>
      <c r="H199" s="16">
        <f t="shared" si="9"/>
        <v>43.566874999999996</v>
      </c>
      <c r="I199" s="5"/>
      <c r="J199" s="15">
        <v>1488.3463999999999</v>
      </c>
      <c r="K199" s="16">
        <v>42.766800000000003</v>
      </c>
      <c r="L199" s="16">
        <v>47.229500000000002</v>
      </c>
      <c r="M199" s="16">
        <v>48.080800000000004</v>
      </c>
      <c r="N199" s="16">
        <v>67.712400000000002</v>
      </c>
      <c r="O199" s="16">
        <f t="shared" si="10"/>
        <v>43.988887500000011</v>
      </c>
      <c r="P199" s="7"/>
      <c r="Q199" s="8">
        <f>bdrate(C199:C202,D199:D202,J199:J202,K199:K202)</f>
        <v>-0.40195833004879578</v>
      </c>
      <c r="R199" s="8">
        <f>bdrate(C199:C202,E199:E202,J199:J202,L199:L202)</f>
        <v>-0.5987608380044761</v>
      </c>
      <c r="S199" s="8">
        <f>bdrate(C199:C202,F199:F202,J199:J202,M199:M202)</f>
        <v>-0.60772251377875708</v>
      </c>
      <c r="T199" s="25">
        <f>bdrate(C199:C202,H199:H202,J199:J202,O199:O202)</f>
        <v>-0.45809017930336404</v>
      </c>
      <c r="U199" s="28">
        <f t="shared" si="12"/>
        <v>-1.1222681630237004E-4</v>
      </c>
    </row>
    <row r="200" spans="1:21" x14ac:dyDescent="0.25">
      <c r="B200" s="9"/>
      <c r="C200" s="17">
        <v>1353.78</v>
      </c>
      <c r="D200" s="18">
        <v>41.692</v>
      </c>
      <c r="E200" s="18">
        <v>45.226999999999997</v>
      </c>
      <c r="F200" s="18">
        <v>45.95</v>
      </c>
      <c r="G200" s="18">
        <v>69.8</v>
      </c>
      <c r="H200" s="18">
        <f t="shared" si="9"/>
        <v>42.666124999999994</v>
      </c>
      <c r="I200" s="5"/>
      <c r="J200" s="17">
        <v>997.43759999999997</v>
      </c>
      <c r="K200" s="18">
        <v>42.049700000000001</v>
      </c>
      <c r="L200" s="18">
        <v>46.5809</v>
      </c>
      <c r="M200" s="18">
        <v>47.431600000000003</v>
      </c>
      <c r="N200" s="18">
        <v>84.865600000000001</v>
      </c>
      <c r="O200" s="18">
        <f t="shared" si="10"/>
        <v>43.2888375</v>
      </c>
      <c r="P200" s="7"/>
      <c r="Q200" s="10"/>
      <c r="R200" s="11"/>
      <c r="S200" s="11"/>
      <c r="T200" s="26"/>
      <c r="U200" s="28">
        <f t="shared" si="12"/>
        <v>0.215839541547278</v>
      </c>
    </row>
    <row r="201" spans="1:21" x14ac:dyDescent="0.25">
      <c r="B201" s="9"/>
      <c r="C201" s="17">
        <v>805.58</v>
      </c>
      <c r="D201" s="18">
        <v>40.133000000000003</v>
      </c>
      <c r="E201" s="18">
        <v>43.53</v>
      </c>
      <c r="F201" s="18">
        <v>44.326999999999998</v>
      </c>
      <c r="G201" s="18">
        <v>72.3</v>
      </c>
      <c r="H201" s="18">
        <f t="shared" si="9"/>
        <v>41.081874999999997</v>
      </c>
      <c r="I201" s="5"/>
      <c r="J201" s="17">
        <v>584.75120000000004</v>
      </c>
      <c r="K201" s="18">
        <v>40.750300000000003</v>
      </c>
      <c r="L201" s="18">
        <v>45.338900000000002</v>
      </c>
      <c r="M201" s="18">
        <v>46.149099999999997</v>
      </c>
      <c r="N201" s="18">
        <v>109.8901</v>
      </c>
      <c r="O201" s="18">
        <f t="shared" si="10"/>
        <v>41.998725</v>
      </c>
      <c r="P201" s="7"/>
      <c r="Q201" s="10"/>
      <c r="R201" s="11"/>
      <c r="S201" s="11"/>
      <c r="T201" s="26"/>
      <c r="U201" s="28">
        <f t="shared" si="12"/>
        <v>0.51991839557399733</v>
      </c>
    </row>
    <row r="202" spans="1:21" ht="16.5" thickBot="1" x14ac:dyDescent="0.3">
      <c r="B202" s="12"/>
      <c r="C202" s="19">
        <v>365.94</v>
      </c>
      <c r="D202" s="20">
        <v>36.488</v>
      </c>
      <c r="E202" s="20">
        <v>41.045000000000002</v>
      </c>
      <c r="F202" s="20">
        <v>41.7</v>
      </c>
      <c r="G202" s="20">
        <v>73.819999999999993</v>
      </c>
      <c r="H202" s="20">
        <f t="shared" si="9"/>
        <v>37.709125</v>
      </c>
      <c r="I202" s="5"/>
      <c r="J202" s="19">
        <v>288.6728</v>
      </c>
      <c r="K202" s="20">
        <v>38.236600000000003</v>
      </c>
      <c r="L202" s="20">
        <v>43.41</v>
      </c>
      <c r="M202" s="20">
        <v>44.110500000000002</v>
      </c>
      <c r="N202" s="20">
        <v>156.90379999999999</v>
      </c>
      <c r="O202" s="20">
        <f t="shared" si="10"/>
        <v>39.617512500000004</v>
      </c>
      <c r="P202" s="7"/>
      <c r="Q202" s="13"/>
      <c r="R202" s="14"/>
      <c r="S202" s="14"/>
      <c r="T202" s="27"/>
      <c r="U202" s="28">
        <f t="shared" si="12"/>
        <v>1.1254917366567327</v>
      </c>
    </row>
    <row r="203" spans="1:21" x14ac:dyDescent="0.25">
      <c r="A203" s="6" t="s">
        <v>102</v>
      </c>
      <c r="B203" s="6" t="s">
        <v>103</v>
      </c>
      <c r="C203" s="15">
        <v>1615.79</v>
      </c>
      <c r="D203" s="16">
        <v>43.624000000000002</v>
      </c>
      <c r="E203" s="16">
        <v>47.610999999999997</v>
      </c>
      <c r="F203" s="16">
        <v>49.646000000000001</v>
      </c>
      <c r="G203" s="16">
        <v>47.99</v>
      </c>
      <c r="H203" s="16">
        <f t="shared" ref="H203:H213" si="13">(6*D203+E203+F203)/8</f>
        <v>44.875125000000004</v>
      </c>
      <c r="I203" s="5"/>
      <c r="J203" s="15">
        <v>1229.3871999999999</v>
      </c>
      <c r="K203" s="16">
        <v>45.283499999999997</v>
      </c>
      <c r="L203" s="16">
        <v>50.875500000000002</v>
      </c>
      <c r="M203" s="16">
        <v>51.296999999999997</v>
      </c>
      <c r="N203" s="16">
        <v>38.266100000000002</v>
      </c>
      <c r="O203" s="16">
        <f t="shared" ref="O203:O213" si="14">(6*K203+L203+M203)/8</f>
        <v>46.73418749999999</v>
      </c>
      <c r="P203" s="7"/>
      <c r="Q203" s="8">
        <f>bdrate(C203:C206,D203:D206,J203:J206,K203:K206)</f>
        <v>-0.51442923957201891</v>
      </c>
      <c r="R203" s="8">
        <f>bdrate(C203:C206,E203:E206,J203:J206,L203:L206)</f>
        <v>-0.69677810696481512</v>
      </c>
      <c r="S203" s="8">
        <f>bdrate(C203:C206,F203:F206,J203:J206,M203:M206)</f>
        <v>-0.62218344608258636</v>
      </c>
      <c r="T203" s="25">
        <f>bdrate(C203:C206,H203:H206,J203:J206,O203:O206)</f>
        <v>-0.54696746048674583</v>
      </c>
      <c r="U203" s="28">
        <f t="shared" si="12"/>
        <v>-0.20262346322150449</v>
      </c>
    </row>
    <row r="204" spans="1:21" x14ac:dyDescent="0.25">
      <c r="A204" s="9" t="s">
        <v>78</v>
      </c>
      <c r="B204" s="9"/>
      <c r="C204" s="17">
        <v>1079.49</v>
      </c>
      <c r="D204" s="18">
        <v>41.354999999999997</v>
      </c>
      <c r="E204" s="18">
        <v>45.817</v>
      </c>
      <c r="F204" s="18">
        <v>48.06</v>
      </c>
      <c r="G204" s="18">
        <v>52.68</v>
      </c>
      <c r="H204" s="18">
        <f t="shared" si="13"/>
        <v>42.750875000000001</v>
      </c>
      <c r="I204" s="5"/>
      <c r="J204" s="17">
        <v>829.46789999999999</v>
      </c>
      <c r="K204" s="18">
        <v>43.494599999999998</v>
      </c>
      <c r="L204" s="18">
        <v>49.467799999999997</v>
      </c>
      <c r="M204" s="18">
        <v>50.046300000000002</v>
      </c>
      <c r="N204" s="18">
        <v>44.805100000000003</v>
      </c>
      <c r="O204" s="18">
        <f t="shared" si="14"/>
        <v>45.060212500000006</v>
      </c>
      <c r="P204" s="7"/>
      <c r="Q204" s="10"/>
      <c r="R204" s="11"/>
      <c r="S204" s="11"/>
      <c r="T204" s="26"/>
      <c r="U204" s="28">
        <f t="shared" si="12"/>
        <v>-0.14948557327258916</v>
      </c>
    </row>
    <row r="205" spans="1:21" x14ac:dyDescent="0.25">
      <c r="B205" s="9"/>
      <c r="C205" s="17">
        <v>657.08</v>
      </c>
      <c r="D205" s="18">
        <v>38.271000000000001</v>
      </c>
      <c r="E205" s="18">
        <v>43.723999999999997</v>
      </c>
      <c r="F205" s="18">
        <v>45.773000000000003</v>
      </c>
      <c r="G205" s="18">
        <v>59.42</v>
      </c>
      <c r="H205" s="18">
        <f t="shared" si="13"/>
        <v>39.890375000000006</v>
      </c>
      <c r="I205" s="5"/>
      <c r="J205" s="17">
        <v>505.03469999999999</v>
      </c>
      <c r="K205" s="18">
        <v>41.042099999999998</v>
      </c>
      <c r="L205" s="18">
        <v>47.638599999999997</v>
      </c>
      <c r="M205" s="18">
        <v>48.762</v>
      </c>
      <c r="N205" s="18">
        <v>55.164000000000001</v>
      </c>
      <c r="O205" s="18">
        <f t="shared" si="14"/>
        <v>42.831649999999996</v>
      </c>
      <c r="P205" s="7"/>
      <c r="Q205" s="10"/>
      <c r="R205" s="11"/>
      <c r="S205" s="11"/>
      <c r="T205" s="26"/>
      <c r="U205" s="28">
        <f t="shared" si="12"/>
        <v>-7.1625715247391447E-2</v>
      </c>
    </row>
    <row r="206" spans="1:21" ht="16.5" thickBot="1" x14ac:dyDescent="0.3">
      <c r="B206" s="12"/>
      <c r="C206" s="19">
        <v>310.81</v>
      </c>
      <c r="D206" s="20">
        <v>33.408000000000001</v>
      </c>
      <c r="E206" s="20">
        <v>40.578000000000003</v>
      </c>
      <c r="F206" s="20">
        <v>43.143999999999998</v>
      </c>
      <c r="G206" s="20">
        <v>70.27</v>
      </c>
      <c r="H206" s="20">
        <f t="shared" si="13"/>
        <v>35.521250000000002</v>
      </c>
      <c r="I206" s="5"/>
      <c r="J206" s="19">
        <v>257.27449999999999</v>
      </c>
      <c r="K206" s="20">
        <v>37.4056</v>
      </c>
      <c r="L206" s="20">
        <v>44.772500000000001</v>
      </c>
      <c r="M206" s="20">
        <v>46.221299999999999</v>
      </c>
      <c r="N206" s="20">
        <v>76.687100000000001</v>
      </c>
      <c r="O206" s="20">
        <f t="shared" si="14"/>
        <v>39.428424999999997</v>
      </c>
      <c r="P206" s="7"/>
      <c r="Q206" s="13"/>
      <c r="R206" s="14"/>
      <c r="S206" s="14"/>
      <c r="T206" s="27"/>
      <c r="U206" s="28">
        <f t="shared" si="12"/>
        <v>9.1320620463924931E-2</v>
      </c>
    </row>
    <row r="207" spans="1:21" x14ac:dyDescent="0.25">
      <c r="B207" s="6" t="s">
        <v>104</v>
      </c>
      <c r="C207" s="15">
        <v>1991.58</v>
      </c>
      <c r="D207" s="16">
        <v>55.21</v>
      </c>
      <c r="E207" s="16">
        <v>55.4</v>
      </c>
      <c r="F207" s="16">
        <v>55.731000000000002</v>
      </c>
      <c r="G207" s="16">
        <v>140.54</v>
      </c>
      <c r="H207" s="16">
        <f t="shared" si="13"/>
        <v>55.298874999999995</v>
      </c>
      <c r="I207" s="5"/>
      <c r="J207" s="15">
        <v>1440.5824</v>
      </c>
      <c r="K207" s="16">
        <v>53.496499999999997</v>
      </c>
      <c r="L207" s="16">
        <v>54.073</v>
      </c>
      <c r="M207" s="16">
        <v>54.637999999999998</v>
      </c>
      <c r="N207" s="16">
        <v>91.682400000000001</v>
      </c>
      <c r="O207" s="16">
        <f t="shared" si="14"/>
        <v>53.711249999999993</v>
      </c>
      <c r="P207" s="7"/>
      <c r="Q207" s="8">
        <f>bdrate(C207:C210,D207:D210,J207:J210,K207:K210)</f>
        <v>-0.154362263685492</v>
      </c>
      <c r="R207" s="8">
        <f>bdrate(C207:C210,E207:E210,J207:J210,L207:L210)</f>
        <v>-0.21758561181991842</v>
      </c>
      <c r="S207" s="8">
        <f>bdrate(C207:C210,F207:F210,J207:J210,M207:M210)</f>
        <v>-0.22083102460746384</v>
      </c>
      <c r="T207" s="25">
        <f>bdrate(C207:C210,H207:H210,J207:J210,O207:O210)</f>
        <v>-0.17015485308119993</v>
      </c>
      <c r="U207" s="28">
        <f t="shared" si="12"/>
        <v>-0.34764195246904789</v>
      </c>
    </row>
    <row r="208" spans="1:21" x14ac:dyDescent="0.25">
      <c r="B208" s="9"/>
      <c r="C208" s="17">
        <v>1329.24</v>
      </c>
      <c r="D208" s="18">
        <v>52.530999999999999</v>
      </c>
      <c r="E208" s="18">
        <v>52.851999999999997</v>
      </c>
      <c r="F208" s="18">
        <v>53.281999999999996</v>
      </c>
      <c r="G208" s="18">
        <v>150.41</v>
      </c>
      <c r="H208" s="18">
        <f t="shared" si="13"/>
        <v>52.664999999999992</v>
      </c>
      <c r="I208" s="5"/>
      <c r="J208" s="17">
        <v>969.35730000000001</v>
      </c>
      <c r="K208" s="18">
        <v>51.549700000000001</v>
      </c>
      <c r="L208" s="18">
        <v>52.274099999999997</v>
      </c>
      <c r="M208" s="18">
        <v>52.8065</v>
      </c>
      <c r="N208" s="18">
        <v>111.166</v>
      </c>
      <c r="O208" s="18">
        <f t="shared" si="14"/>
        <v>51.797349999999994</v>
      </c>
      <c r="P208" s="7"/>
      <c r="Q208" s="10"/>
      <c r="R208" s="11"/>
      <c r="S208" s="11"/>
      <c r="T208" s="26"/>
      <c r="U208" s="28">
        <f t="shared" si="12"/>
        <v>-0.26091350309154976</v>
      </c>
    </row>
    <row r="209" spans="2:21" x14ac:dyDescent="0.25">
      <c r="B209" s="9"/>
      <c r="C209" s="17">
        <v>810.33</v>
      </c>
      <c r="D209" s="18">
        <v>49.460999999999999</v>
      </c>
      <c r="E209" s="18">
        <v>49.896999999999998</v>
      </c>
      <c r="F209" s="18">
        <v>50.436999999999998</v>
      </c>
      <c r="G209" s="18">
        <v>159.15</v>
      </c>
      <c r="H209" s="18">
        <f t="shared" si="13"/>
        <v>49.637499999999996</v>
      </c>
      <c r="I209" s="5"/>
      <c r="J209" s="17">
        <v>593.76170000000002</v>
      </c>
      <c r="K209" s="18">
        <v>48.724899999999998</v>
      </c>
      <c r="L209" s="18">
        <v>49.636699999999998</v>
      </c>
      <c r="M209" s="18">
        <v>50.180900000000001</v>
      </c>
      <c r="N209" s="18">
        <v>130.52940000000001</v>
      </c>
      <c r="O209" s="18">
        <f t="shared" si="14"/>
        <v>49.020875000000004</v>
      </c>
      <c r="P209" s="7"/>
      <c r="Q209" s="10"/>
      <c r="R209" s="11"/>
      <c r="S209" s="11"/>
      <c r="T209" s="26"/>
      <c r="U209" s="28">
        <f t="shared" si="12"/>
        <v>-0.17983411875589064</v>
      </c>
    </row>
    <row r="210" spans="2:21" ht="16.5" thickBot="1" x14ac:dyDescent="0.3">
      <c r="B210" s="12"/>
      <c r="C210" s="19">
        <v>383.32</v>
      </c>
      <c r="D210" s="20">
        <v>44.905999999999999</v>
      </c>
      <c r="E210" s="20">
        <v>45.512999999999998</v>
      </c>
      <c r="F210" s="20">
        <v>46.091000000000001</v>
      </c>
      <c r="G210" s="20">
        <v>169.92</v>
      </c>
      <c r="H210" s="20">
        <f t="shared" si="13"/>
        <v>45.129999999999995</v>
      </c>
      <c r="I210" s="5"/>
      <c r="J210" s="19">
        <v>297.29730000000001</v>
      </c>
      <c r="K210" s="20">
        <v>44.248600000000003</v>
      </c>
      <c r="L210" s="20">
        <v>45.592399999999998</v>
      </c>
      <c r="M210" s="20">
        <v>46.146700000000003</v>
      </c>
      <c r="N210" s="20">
        <v>161.16040000000001</v>
      </c>
      <c r="O210" s="20">
        <f t="shared" si="14"/>
        <v>44.653837500000002</v>
      </c>
      <c r="P210" s="7"/>
      <c r="Q210" s="13"/>
      <c r="R210" s="14"/>
      <c r="S210" s="14"/>
      <c r="T210" s="27"/>
      <c r="U210" s="28">
        <f t="shared" si="12"/>
        <v>-5.1551318267419835E-2</v>
      </c>
    </row>
    <row r="211" spans="2:21" x14ac:dyDescent="0.25">
      <c r="B211" s="6" t="s">
        <v>105</v>
      </c>
      <c r="C211" s="15">
        <v>2167.06</v>
      </c>
      <c r="D211" s="16">
        <v>44.674999999999997</v>
      </c>
      <c r="E211" s="16">
        <v>46.131</v>
      </c>
      <c r="F211" s="16">
        <v>46.588999999999999</v>
      </c>
      <c r="G211" s="16">
        <v>56.2</v>
      </c>
      <c r="H211" s="16">
        <f t="shared" si="13"/>
        <v>45.096249999999991</v>
      </c>
      <c r="I211" s="5"/>
      <c r="J211" s="15">
        <v>1484.7983999999999</v>
      </c>
      <c r="K211" s="16">
        <v>44.185200000000002</v>
      </c>
      <c r="L211" s="16">
        <v>46.136099999999999</v>
      </c>
      <c r="M211" s="16">
        <v>46.570799999999998</v>
      </c>
      <c r="N211" s="16">
        <v>45.731699999999996</v>
      </c>
      <c r="O211" s="16">
        <f t="shared" si="14"/>
        <v>44.727262500000002</v>
      </c>
      <c r="P211" s="7"/>
      <c r="Q211" s="8">
        <f>bdrate(C211:C214,D211:D214,J211:J214,K211:K214)</f>
        <v>-0.32434108234494397</v>
      </c>
      <c r="R211" s="8">
        <f>bdrate(C211:C214,E211:E214,J211:J214,L211:L214)</f>
        <v>-0.37967538896958364</v>
      </c>
      <c r="S211" s="8">
        <f>bdrate(C211:C214,F211:F214,J211:J214,M211:M214)</f>
        <v>-0.36331875223769294</v>
      </c>
      <c r="T211" s="25">
        <f>bdrate(C211:C214,H211:H214,J211:J214,O211:O214)</f>
        <v>-0.33342213717523983</v>
      </c>
      <c r="U211" s="28">
        <f t="shared" si="12"/>
        <v>-0.18626868327402146</v>
      </c>
    </row>
    <row r="212" spans="2:21" x14ac:dyDescent="0.25">
      <c r="B212" s="9"/>
      <c r="C212" s="17">
        <v>1445.54</v>
      </c>
      <c r="D212" s="18">
        <v>42.420999999999999</v>
      </c>
      <c r="E212" s="18">
        <v>44.356999999999999</v>
      </c>
      <c r="F212" s="18">
        <v>44.84</v>
      </c>
      <c r="G212" s="18">
        <v>62.03</v>
      </c>
      <c r="H212" s="18">
        <f t="shared" si="13"/>
        <v>42.965375000000009</v>
      </c>
      <c r="I212" s="5"/>
      <c r="J212" s="17">
        <v>988.98559999999998</v>
      </c>
      <c r="K212" s="18">
        <v>42.253300000000003</v>
      </c>
      <c r="L212" s="18">
        <v>44.699199999999998</v>
      </c>
      <c r="M212" s="18">
        <v>45.0884</v>
      </c>
      <c r="N212" s="18">
        <v>53.892200000000003</v>
      </c>
      <c r="O212" s="18">
        <f t="shared" si="14"/>
        <v>42.913425000000004</v>
      </c>
      <c r="P212" s="7"/>
      <c r="Q212" s="10"/>
      <c r="R212" s="11"/>
      <c r="S212" s="11"/>
      <c r="T212" s="26"/>
      <c r="U212" s="28">
        <f t="shared" si="12"/>
        <v>-0.13119135901982909</v>
      </c>
    </row>
    <row r="213" spans="2:21" x14ac:dyDescent="0.25">
      <c r="B213" s="9"/>
      <c r="C213" s="17">
        <v>881.32</v>
      </c>
      <c r="D213" s="18">
        <v>39.506999999999998</v>
      </c>
      <c r="E213" s="18">
        <v>42.307000000000002</v>
      </c>
      <c r="F213" s="18">
        <v>42.798999999999999</v>
      </c>
      <c r="G213" s="18">
        <v>68.56</v>
      </c>
      <c r="H213" s="18">
        <f t="shared" si="13"/>
        <v>40.268499999999996</v>
      </c>
      <c r="I213" s="5"/>
      <c r="J213" s="17">
        <v>595.70870000000002</v>
      </c>
      <c r="K213" s="18">
        <v>39.531599999999997</v>
      </c>
      <c r="L213" s="18">
        <v>42.654699999999998</v>
      </c>
      <c r="M213" s="18">
        <v>43.033700000000003</v>
      </c>
      <c r="N213" s="18">
        <v>67.071600000000004</v>
      </c>
      <c r="O213" s="18">
        <f t="shared" si="14"/>
        <v>40.359749999999998</v>
      </c>
      <c r="P213" s="7"/>
      <c r="Q213" s="10"/>
      <c r="R213" s="11"/>
      <c r="S213" s="11"/>
      <c r="T213" s="26"/>
      <c r="U213" s="28">
        <f t="shared" si="12"/>
        <v>-2.1709451575262523E-2</v>
      </c>
    </row>
    <row r="214" spans="2:21" ht="16.5" thickBot="1" x14ac:dyDescent="0.3">
      <c r="B214" s="12"/>
      <c r="C214" s="19">
        <v>419.87</v>
      </c>
      <c r="D214" s="20">
        <v>34.887</v>
      </c>
      <c r="E214" s="20">
        <v>39.420999999999999</v>
      </c>
      <c r="F214" s="20">
        <v>40.015999999999998</v>
      </c>
      <c r="G214" s="20">
        <v>76.92</v>
      </c>
      <c r="H214" s="20">
        <f t="shared" ref="H214:H246" si="15">(6*D214+E214+F214)/8</f>
        <v>36.094875000000002</v>
      </c>
      <c r="I214" s="5"/>
      <c r="J214" s="19">
        <v>300.24</v>
      </c>
      <c r="K214" s="20">
        <v>35.944899999999997</v>
      </c>
      <c r="L214" s="20">
        <v>40.3018</v>
      </c>
      <c r="M214" s="20">
        <v>40.708799999999997</v>
      </c>
      <c r="N214" s="20">
        <v>85.7102</v>
      </c>
      <c r="O214" s="20">
        <f t="shared" ref="O214:O246" si="16">(6*K214+L214+M214)/8</f>
        <v>37.085000000000001</v>
      </c>
      <c r="P214" s="7"/>
      <c r="Q214" s="13"/>
      <c r="R214" s="14"/>
      <c r="S214" s="14"/>
      <c r="T214" s="27"/>
      <c r="U214" s="28">
        <f t="shared" ref="U214:U246" si="17">(N214-G214)/G214</f>
        <v>0.11427717108684346</v>
      </c>
    </row>
    <row r="215" spans="2:21" x14ac:dyDescent="0.25">
      <c r="B215" s="6" t="s">
        <v>106</v>
      </c>
      <c r="C215" s="29">
        <v>2059.64</v>
      </c>
      <c r="D215" s="30">
        <v>40.668999999999997</v>
      </c>
      <c r="E215" s="30">
        <v>44.439</v>
      </c>
      <c r="F215" s="30">
        <v>44.460999999999999</v>
      </c>
      <c r="G215" s="16">
        <v>46.2</v>
      </c>
      <c r="H215" s="16">
        <f t="shared" si="15"/>
        <v>41.614249999999998</v>
      </c>
      <c r="I215" s="5"/>
      <c r="J215" s="29">
        <v>1502.3533</v>
      </c>
      <c r="K215" s="30">
        <v>39.987900000000003</v>
      </c>
      <c r="L215" s="30">
        <v>44.173000000000002</v>
      </c>
      <c r="M215" s="30">
        <v>44.162300000000002</v>
      </c>
      <c r="N215" s="16">
        <v>40.340699999999998</v>
      </c>
      <c r="O215" s="16">
        <f t="shared" si="16"/>
        <v>41.032837500000007</v>
      </c>
      <c r="P215" s="7"/>
      <c r="Q215" s="8">
        <f>bdrate(C215:C218,D215:D218,J215:J218,K215:K218)</f>
        <v>-0.26117856825963992</v>
      </c>
      <c r="R215" s="8">
        <f>bdrate(C215:C218,E215:E218,J215:J218,L215:L218)</f>
        <v>-0.30263593874883032</v>
      </c>
      <c r="S215" s="8">
        <f>bdrate(C215:C218,F215:F218,J215:J218,M215:M218)</f>
        <v>-0.30075339744424878</v>
      </c>
      <c r="T215" s="25">
        <f>bdrate(C215:C218,H215:H218,J215:J218,O215:O218)</f>
        <v>-0.26849973294444596</v>
      </c>
      <c r="U215" s="28">
        <f t="shared" si="17"/>
        <v>-0.12682467532467542</v>
      </c>
    </row>
    <row r="216" spans="2:21" x14ac:dyDescent="0.25">
      <c r="B216" s="9"/>
      <c r="C216" s="31">
        <v>1379.53</v>
      </c>
      <c r="D216" s="32">
        <v>38.518999999999998</v>
      </c>
      <c r="E216" s="32">
        <v>42.902999999999999</v>
      </c>
      <c r="F216" s="32">
        <v>42.904000000000003</v>
      </c>
      <c r="G216" s="18">
        <v>52.18</v>
      </c>
      <c r="H216" s="18">
        <f t="shared" si="15"/>
        <v>39.615124999999999</v>
      </c>
      <c r="I216" s="5"/>
      <c r="J216" s="31">
        <v>999.83600000000001</v>
      </c>
      <c r="K216" s="32">
        <v>38.099200000000003</v>
      </c>
      <c r="L216" s="32">
        <v>42.881999999999998</v>
      </c>
      <c r="M216" s="32">
        <v>42.8491</v>
      </c>
      <c r="N216" s="18">
        <v>49.882199999999997</v>
      </c>
      <c r="O216" s="18">
        <f t="shared" si="16"/>
        <v>39.290787500000008</v>
      </c>
      <c r="P216" s="7"/>
      <c r="Q216" s="10"/>
      <c r="R216" s="11"/>
      <c r="S216" s="11"/>
      <c r="T216" s="26"/>
      <c r="U216" s="28">
        <f t="shared" si="17"/>
        <v>-4.4036029129934887E-2</v>
      </c>
    </row>
    <row r="217" spans="2:21" x14ac:dyDescent="0.25">
      <c r="B217" s="9"/>
      <c r="C217" s="31">
        <v>843.61</v>
      </c>
      <c r="D217" s="32">
        <v>35.921999999999997</v>
      </c>
      <c r="E217" s="32">
        <v>41.201999999999998</v>
      </c>
      <c r="F217" s="32">
        <v>41.168999999999997</v>
      </c>
      <c r="G217" s="18">
        <v>57.26</v>
      </c>
      <c r="H217" s="18">
        <f t="shared" si="15"/>
        <v>37.237874999999995</v>
      </c>
      <c r="I217" s="5"/>
      <c r="J217" s="31">
        <v>602.93389999999999</v>
      </c>
      <c r="K217" s="32">
        <v>35.759399999999999</v>
      </c>
      <c r="L217" s="32">
        <v>41.327599999999997</v>
      </c>
      <c r="M217" s="32">
        <v>41.2879</v>
      </c>
      <c r="N217" s="18">
        <v>60.630600000000001</v>
      </c>
      <c r="O217" s="18">
        <f t="shared" si="16"/>
        <v>37.146487499999999</v>
      </c>
      <c r="P217" s="7"/>
      <c r="Q217" s="10"/>
      <c r="R217" s="11"/>
      <c r="S217" s="11"/>
      <c r="T217" s="26"/>
      <c r="U217" s="28">
        <f t="shared" si="17"/>
        <v>5.8864827104435961E-2</v>
      </c>
    </row>
    <row r="218" spans="2:21" ht="16.5" thickBot="1" x14ac:dyDescent="0.3">
      <c r="B218" s="12"/>
      <c r="C218" s="33">
        <v>403.79</v>
      </c>
      <c r="D218" s="34">
        <v>31.684999999999999</v>
      </c>
      <c r="E218" s="34">
        <v>38.914000000000001</v>
      </c>
      <c r="F218" s="34">
        <v>38.774000000000001</v>
      </c>
      <c r="G218" s="20">
        <v>65.67</v>
      </c>
      <c r="H218" s="20">
        <f t="shared" si="15"/>
        <v>33.47475</v>
      </c>
      <c r="I218" s="5"/>
      <c r="J218" s="33">
        <v>300.91520000000003</v>
      </c>
      <c r="K218" s="34">
        <v>32.735599999999998</v>
      </c>
      <c r="L218" s="34">
        <v>39.5017</v>
      </c>
      <c r="M218" s="34">
        <v>39.448700000000002</v>
      </c>
      <c r="N218" s="20">
        <v>83.410600000000002</v>
      </c>
      <c r="O218" s="20">
        <f t="shared" si="16"/>
        <v>34.420499999999997</v>
      </c>
      <c r="P218" s="7"/>
      <c r="Q218" s="13"/>
      <c r="R218" s="14"/>
      <c r="S218" s="14"/>
      <c r="T218" s="27"/>
      <c r="U218" s="28">
        <f t="shared" si="17"/>
        <v>0.27014770823816048</v>
      </c>
    </row>
    <row r="219" spans="2:21" x14ac:dyDescent="0.25">
      <c r="B219" s="6" t="s">
        <v>107</v>
      </c>
      <c r="C219" s="15">
        <v>2119.83</v>
      </c>
      <c r="D219" s="16">
        <v>39.121000000000002</v>
      </c>
      <c r="E219" s="16">
        <v>42.069000000000003</v>
      </c>
      <c r="F219" s="16">
        <v>42.610999999999997</v>
      </c>
      <c r="G219" s="16">
        <v>56.86</v>
      </c>
      <c r="H219" s="16">
        <f t="shared" si="15"/>
        <v>39.925750000000001</v>
      </c>
      <c r="I219" s="5"/>
      <c r="J219" s="15">
        <v>1453.3172</v>
      </c>
      <c r="K219" s="16">
        <v>38.153100000000002</v>
      </c>
      <c r="L219" s="16">
        <v>42.568100000000001</v>
      </c>
      <c r="M219" s="16">
        <v>43.084800000000001</v>
      </c>
      <c r="N219" s="16">
        <v>47.434600000000003</v>
      </c>
      <c r="O219" s="16">
        <f t="shared" si="16"/>
        <v>39.321437500000002</v>
      </c>
      <c r="P219" s="7"/>
      <c r="Q219" s="8">
        <f>bdrate(C219:C222,D219:D222,J219:J222,K219:K222)</f>
        <v>-0.24503446882775981</v>
      </c>
      <c r="R219" s="8">
        <f>bdrate(C219:C222,E219:E222,J219:J222,L219:L222)</f>
        <v>-0.45664271763947228</v>
      </c>
      <c r="S219" s="8">
        <f>bdrate(C219:C222,F219:F222,J219:J222,M219:M222)</f>
        <v>-0.4478222921498356</v>
      </c>
      <c r="T219" s="25">
        <f>bdrate(C219:C222,H219:H222,J219:J222,O219:O222)</f>
        <v>-0.2858750593775844</v>
      </c>
      <c r="U219" s="28">
        <f t="shared" si="17"/>
        <v>-0.16576503693281738</v>
      </c>
    </row>
    <row r="220" spans="2:21" x14ac:dyDescent="0.25">
      <c r="B220" s="9"/>
      <c r="C220" s="17">
        <v>1415.04</v>
      </c>
      <c r="D220" s="18">
        <v>36.985999999999997</v>
      </c>
      <c r="E220" s="18">
        <v>40.456000000000003</v>
      </c>
      <c r="F220" s="18">
        <v>41.091000000000001</v>
      </c>
      <c r="G220" s="18">
        <v>63.6</v>
      </c>
      <c r="H220" s="18">
        <f t="shared" si="15"/>
        <v>37.932875000000003</v>
      </c>
      <c r="I220" s="5"/>
      <c r="J220" s="17">
        <v>995.14829999999995</v>
      </c>
      <c r="K220" s="18">
        <v>36.373699999999999</v>
      </c>
      <c r="L220" s="18">
        <v>41.326900000000002</v>
      </c>
      <c r="M220" s="18">
        <v>41.896500000000003</v>
      </c>
      <c r="N220" s="18">
        <v>55.280900000000003</v>
      </c>
      <c r="O220" s="18">
        <f t="shared" si="16"/>
        <v>37.683199999999999</v>
      </c>
      <c r="P220" s="7"/>
      <c r="Q220" s="10"/>
      <c r="R220" s="11"/>
      <c r="S220" s="11"/>
      <c r="T220" s="26"/>
      <c r="U220" s="28">
        <f t="shared" si="17"/>
        <v>-0.13080345911949684</v>
      </c>
    </row>
    <row r="221" spans="2:21" x14ac:dyDescent="0.25">
      <c r="B221" s="9"/>
      <c r="C221" s="17">
        <v>859.67</v>
      </c>
      <c r="D221" s="18">
        <v>34.423999999999999</v>
      </c>
      <c r="E221" s="18">
        <v>38.725999999999999</v>
      </c>
      <c r="F221" s="18">
        <v>39.478999999999999</v>
      </c>
      <c r="G221" s="18">
        <v>70.48</v>
      </c>
      <c r="H221" s="18">
        <f t="shared" si="15"/>
        <v>35.593624999999996</v>
      </c>
      <c r="I221" s="5"/>
      <c r="J221" s="17">
        <v>595.37239999999997</v>
      </c>
      <c r="K221" s="18">
        <v>34.002800000000001</v>
      </c>
      <c r="L221" s="18">
        <v>39.577800000000003</v>
      </c>
      <c r="M221" s="18">
        <v>40.211100000000002</v>
      </c>
      <c r="N221" s="18">
        <v>67.789000000000001</v>
      </c>
      <c r="O221" s="18">
        <f t="shared" si="16"/>
        <v>35.4757125</v>
      </c>
      <c r="P221" s="7"/>
      <c r="Q221" s="10"/>
      <c r="R221" s="11"/>
      <c r="S221" s="11"/>
      <c r="T221" s="26"/>
      <c r="U221" s="28">
        <f t="shared" si="17"/>
        <v>-3.8181044267877447E-2</v>
      </c>
    </row>
    <row r="222" spans="2:21" ht="16.5" thickBot="1" x14ac:dyDescent="0.3">
      <c r="B222" s="12"/>
      <c r="C222" s="19">
        <v>404.65</v>
      </c>
      <c r="D222" s="20">
        <v>30.288</v>
      </c>
      <c r="E222" s="20">
        <v>36.317</v>
      </c>
      <c r="F222" s="20">
        <v>37.226999999999997</v>
      </c>
      <c r="G222" s="20">
        <v>78.599999999999994</v>
      </c>
      <c r="H222" s="20">
        <f t="shared" si="15"/>
        <v>31.909000000000002</v>
      </c>
      <c r="I222" s="5"/>
      <c r="J222" s="19">
        <v>301.50720000000001</v>
      </c>
      <c r="K222" s="20">
        <v>30.800999999999998</v>
      </c>
      <c r="L222" s="20">
        <v>37.422199999999997</v>
      </c>
      <c r="M222" s="20">
        <v>38.176099999999998</v>
      </c>
      <c r="N222" s="20">
        <v>90.402299999999997</v>
      </c>
      <c r="O222" s="20">
        <f t="shared" si="16"/>
        <v>32.550537499999997</v>
      </c>
      <c r="P222" s="7"/>
      <c r="Q222" s="13"/>
      <c r="R222" s="14"/>
      <c r="S222" s="14"/>
      <c r="T222" s="27"/>
      <c r="U222" s="28">
        <f t="shared" si="17"/>
        <v>0.15015648854961836</v>
      </c>
    </row>
    <row r="223" spans="2:21" x14ac:dyDescent="0.25">
      <c r="B223" s="6" t="s">
        <v>108</v>
      </c>
      <c r="C223" s="15">
        <v>2112.44</v>
      </c>
      <c r="D223" s="16">
        <v>38.883000000000003</v>
      </c>
      <c r="E223" s="16">
        <v>43.802</v>
      </c>
      <c r="F223" s="16">
        <v>45.482999999999997</v>
      </c>
      <c r="G223" s="16">
        <v>41.92</v>
      </c>
      <c r="H223" s="16">
        <f t="shared" si="15"/>
        <v>40.322875000000003</v>
      </c>
      <c r="I223" s="5"/>
      <c r="J223" s="15">
        <v>1497.8629000000001</v>
      </c>
      <c r="K223" s="16">
        <v>38.012</v>
      </c>
      <c r="L223" s="16">
        <v>43.690600000000003</v>
      </c>
      <c r="M223" s="16">
        <v>45.150399999999998</v>
      </c>
      <c r="N223" s="16">
        <v>44.433500000000002</v>
      </c>
      <c r="O223" s="16">
        <f t="shared" si="16"/>
        <v>39.614125000000001</v>
      </c>
      <c r="P223" s="7"/>
      <c r="Q223" s="8">
        <f>bdrate(C223:C226,D223:D226,J223:J226,K223:K226)</f>
        <v>-0.24476892409619677</v>
      </c>
      <c r="R223" s="8">
        <f>bdrate(C223:C226,E223:E226,J223:J226,L223:L226)</f>
        <v>-0.39862332541913215</v>
      </c>
      <c r="S223" s="8">
        <f>bdrate(C223:C226,F223:F226,J223:J226,M223:M226)</f>
        <v>-0.3253485753860329</v>
      </c>
      <c r="T223" s="25">
        <f>bdrate(C223:C226,H223:H226,J223:J226,O223:O226)</f>
        <v>-0.2697297703834789</v>
      </c>
      <c r="U223" s="28">
        <f t="shared" si="17"/>
        <v>5.9959446564885506E-2</v>
      </c>
    </row>
    <row r="224" spans="2:21" x14ac:dyDescent="0.25">
      <c r="B224" s="9"/>
      <c r="C224" s="17">
        <v>1409.76</v>
      </c>
      <c r="D224" s="18">
        <v>37.155000000000001</v>
      </c>
      <c r="E224" s="18">
        <v>42.518999999999998</v>
      </c>
      <c r="F224" s="18">
        <v>44.232999999999997</v>
      </c>
      <c r="G224" s="18">
        <v>48.2</v>
      </c>
      <c r="H224" s="18">
        <f t="shared" si="15"/>
        <v>38.710250000000002</v>
      </c>
      <c r="I224" s="5"/>
      <c r="J224" s="17">
        <v>1005.468</v>
      </c>
      <c r="K224" s="18">
        <v>36.612400000000001</v>
      </c>
      <c r="L224" s="18">
        <v>42.756599999999999</v>
      </c>
      <c r="M224" s="18">
        <v>44.143500000000003</v>
      </c>
      <c r="N224" s="18">
        <v>53.9148</v>
      </c>
      <c r="O224" s="18">
        <f t="shared" si="16"/>
        <v>38.3218125</v>
      </c>
      <c r="P224" s="7"/>
      <c r="Q224" s="10"/>
      <c r="R224" s="11"/>
      <c r="S224" s="11"/>
      <c r="T224" s="26"/>
      <c r="U224" s="28">
        <f t="shared" si="17"/>
        <v>0.11856431535269703</v>
      </c>
    </row>
    <row r="225" spans="2:21" x14ac:dyDescent="0.25">
      <c r="B225" s="9"/>
      <c r="C225" s="17">
        <v>858.33</v>
      </c>
      <c r="D225" s="18">
        <v>35.063000000000002</v>
      </c>
      <c r="E225" s="18">
        <v>41.052</v>
      </c>
      <c r="F225" s="18">
        <v>42.661999999999999</v>
      </c>
      <c r="G225" s="18">
        <v>52.42</v>
      </c>
      <c r="H225" s="18">
        <f t="shared" si="15"/>
        <v>36.761499999999998</v>
      </c>
      <c r="I225" s="5"/>
      <c r="J225" s="17">
        <v>602.19730000000004</v>
      </c>
      <c r="K225" s="18">
        <v>34.847000000000001</v>
      </c>
      <c r="L225" s="18">
        <v>41.585099999999997</v>
      </c>
      <c r="M225" s="18">
        <v>42.826099999999997</v>
      </c>
      <c r="N225" s="18">
        <v>66.491799999999998</v>
      </c>
      <c r="O225" s="18">
        <f t="shared" si="16"/>
        <v>36.68665</v>
      </c>
      <c r="P225" s="7"/>
      <c r="Q225" s="10"/>
      <c r="R225" s="11"/>
      <c r="S225" s="11"/>
      <c r="T225" s="26"/>
      <c r="U225" s="28">
        <f t="shared" si="17"/>
        <v>0.26844334223578781</v>
      </c>
    </row>
    <row r="226" spans="2:21" ht="16.5" thickBot="1" x14ac:dyDescent="0.3">
      <c r="B226" s="12"/>
      <c r="C226" s="19">
        <v>404.8</v>
      </c>
      <c r="D226" s="20">
        <v>32.143000000000001</v>
      </c>
      <c r="E226" s="20">
        <v>39.106000000000002</v>
      </c>
      <c r="F226" s="20">
        <v>40.192</v>
      </c>
      <c r="G226" s="20">
        <v>65.67</v>
      </c>
      <c r="H226" s="20">
        <f t="shared" si="15"/>
        <v>34.019500000000001</v>
      </c>
      <c r="I226" s="5"/>
      <c r="J226" s="19">
        <v>302.64800000000002</v>
      </c>
      <c r="K226" s="20">
        <v>32.755699999999997</v>
      </c>
      <c r="L226" s="20">
        <v>40.2881</v>
      </c>
      <c r="M226" s="20">
        <v>41.401000000000003</v>
      </c>
      <c r="N226" s="20">
        <v>88.114400000000003</v>
      </c>
      <c r="O226" s="20">
        <f t="shared" si="16"/>
        <v>34.777912499999999</v>
      </c>
      <c r="P226" s="7"/>
      <c r="Q226" s="13"/>
      <c r="R226" s="14"/>
      <c r="S226" s="14"/>
      <c r="T226" s="27"/>
      <c r="U226" s="28">
        <f t="shared" si="17"/>
        <v>0.34177554438860974</v>
      </c>
    </row>
    <row r="227" spans="2:21" x14ac:dyDescent="0.25">
      <c r="B227" s="6" t="s">
        <v>109</v>
      </c>
      <c r="C227" s="15">
        <v>2220.81</v>
      </c>
      <c r="D227" s="16">
        <v>49.82</v>
      </c>
      <c r="E227" s="16">
        <v>53.857999999999997</v>
      </c>
      <c r="F227" s="16">
        <v>55.15</v>
      </c>
      <c r="G227" s="16">
        <v>54.81</v>
      </c>
      <c r="H227" s="16">
        <f t="shared" si="15"/>
        <v>50.991</v>
      </c>
      <c r="I227" s="5"/>
      <c r="J227" s="15">
        <v>1499.682</v>
      </c>
      <c r="K227" s="16">
        <v>49.714199999999998</v>
      </c>
      <c r="L227" s="16">
        <v>54.212800000000001</v>
      </c>
      <c r="M227" s="16">
        <v>55.573399999999999</v>
      </c>
      <c r="N227" s="16">
        <v>54.424399999999999</v>
      </c>
      <c r="O227" s="16">
        <f t="shared" si="16"/>
        <v>51.008924999999998</v>
      </c>
      <c r="P227" s="7"/>
      <c r="Q227" s="8">
        <f>bdrate(C227:C230,D227:D230,J227:J230,K227:K230)</f>
        <v>-0.43576457706709981</v>
      </c>
      <c r="R227" s="8">
        <f>bdrate(C227:C230,E227:E230,J227:J230,L227:L230)</f>
        <v>-0.51852681425589875</v>
      </c>
      <c r="S227" s="8">
        <f>bdrate(C227:C230,F227:F230,J227:J230,M227:M230)</f>
        <v>-0.51998589301610854</v>
      </c>
      <c r="T227" s="25">
        <f>bdrate(C227:C230,H227:H230,J227:J230,O227:O230)</f>
        <v>-0.45534937244534379</v>
      </c>
      <c r="U227" s="28">
        <f t="shared" si="17"/>
        <v>-7.0352125524539991E-3</v>
      </c>
    </row>
    <row r="228" spans="2:21" x14ac:dyDescent="0.25">
      <c r="B228" s="9"/>
      <c r="C228" s="17">
        <v>1473.01</v>
      </c>
      <c r="D228" s="18">
        <v>47.576000000000001</v>
      </c>
      <c r="E228" s="18">
        <v>51.625</v>
      </c>
      <c r="F228" s="18">
        <v>53.072000000000003</v>
      </c>
      <c r="G228" s="18">
        <v>61.96</v>
      </c>
      <c r="H228" s="18">
        <f t="shared" si="15"/>
        <v>48.769125000000003</v>
      </c>
      <c r="I228" s="5"/>
      <c r="J228" s="17">
        <v>1000.4088</v>
      </c>
      <c r="K228" s="18">
        <v>48.093899999999998</v>
      </c>
      <c r="L228" s="18">
        <v>52.751199999999997</v>
      </c>
      <c r="M228" s="18">
        <v>54.197899999999997</v>
      </c>
      <c r="N228" s="18">
        <v>64.291300000000007</v>
      </c>
      <c r="O228" s="18">
        <f t="shared" si="16"/>
        <v>49.439062499999999</v>
      </c>
      <c r="P228" s="7"/>
      <c r="Q228" s="10"/>
      <c r="R228" s="11"/>
      <c r="S228" s="11"/>
      <c r="T228" s="26"/>
      <c r="U228" s="28">
        <f t="shared" si="17"/>
        <v>3.7625887669464265E-2</v>
      </c>
    </row>
    <row r="229" spans="2:21" x14ac:dyDescent="0.25">
      <c r="B229" s="9"/>
      <c r="C229" s="17">
        <v>885.61</v>
      </c>
      <c r="D229" s="18">
        <v>44.707999999999998</v>
      </c>
      <c r="E229" s="18">
        <v>49.021999999999998</v>
      </c>
      <c r="F229" s="18">
        <v>50.585000000000001</v>
      </c>
      <c r="G229" s="18">
        <v>71.09</v>
      </c>
      <c r="H229" s="18">
        <f t="shared" si="15"/>
        <v>45.981874999999995</v>
      </c>
      <c r="I229" s="5"/>
      <c r="J229" s="17">
        <v>598.6961</v>
      </c>
      <c r="K229" s="18">
        <v>45.932299999999998</v>
      </c>
      <c r="L229" s="18">
        <v>50.883299999999998</v>
      </c>
      <c r="M229" s="18">
        <v>52.3521</v>
      </c>
      <c r="N229" s="18">
        <v>79.499799999999993</v>
      </c>
      <c r="O229" s="18">
        <f t="shared" si="16"/>
        <v>47.353650000000002</v>
      </c>
      <c r="P229" s="7"/>
      <c r="Q229" s="10"/>
      <c r="R229" s="11"/>
      <c r="S229" s="11"/>
      <c r="T229" s="26"/>
      <c r="U229" s="28">
        <f t="shared" si="17"/>
        <v>0.11829793219862132</v>
      </c>
    </row>
    <row r="230" spans="2:21" ht="16.5" thickBot="1" x14ac:dyDescent="0.3">
      <c r="B230" s="12"/>
      <c r="C230" s="19">
        <v>419.88</v>
      </c>
      <c r="D230" s="20">
        <v>41.664000000000001</v>
      </c>
      <c r="E230" s="20">
        <v>45.957000000000001</v>
      </c>
      <c r="F230" s="20">
        <v>47.497</v>
      </c>
      <c r="G230" s="20">
        <v>77.5</v>
      </c>
      <c r="H230" s="20">
        <f t="shared" si="15"/>
        <v>42.929750000000006</v>
      </c>
      <c r="I230" s="5"/>
      <c r="J230" s="19">
        <v>296.32619999999997</v>
      </c>
      <c r="K230" s="20">
        <v>42.795900000000003</v>
      </c>
      <c r="L230" s="20">
        <v>48.020600000000002</v>
      </c>
      <c r="M230" s="20">
        <v>49.4938</v>
      </c>
      <c r="N230" s="20">
        <v>108.38</v>
      </c>
      <c r="O230" s="20">
        <f t="shared" si="16"/>
        <v>44.286225000000002</v>
      </c>
      <c r="P230" s="7"/>
      <c r="Q230" s="13"/>
      <c r="R230" s="14"/>
      <c r="S230" s="14"/>
      <c r="T230" s="27"/>
      <c r="U230" s="28">
        <f t="shared" si="17"/>
        <v>0.39845161290322573</v>
      </c>
    </row>
    <row r="231" spans="2:21" x14ac:dyDescent="0.25">
      <c r="B231" s="6" t="s">
        <v>110</v>
      </c>
      <c r="C231" s="15">
        <v>2047.95</v>
      </c>
      <c r="D231" s="16">
        <v>33.484000000000002</v>
      </c>
      <c r="E231" s="16">
        <v>41.206000000000003</v>
      </c>
      <c r="F231" s="16">
        <v>40.517000000000003</v>
      </c>
      <c r="G231" s="16">
        <v>36.47</v>
      </c>
      <c r="H231" s="16">
        <f t="shared" si="15"/>
        <v>35.328375000000001</v>
      </c>
      <c r="I231" s="5"/>
      <c r="J231" s="15">
        <v>1493.8656000000001</v>
      </c>
      <c r="K231" s="16">
        <v>33.029000000000003</v>
      </c>
      <c r="L231" s="16">
        <v>41.030700000000003</v>
      </c>
      <c r="M231" s="16">
        <v>40.468200000000003</v>
      </c>
      <c r="N231" s="16">
        <v>27.831900000000001</v>
      </c>
      <c r="O231" s="16">
        <f t="shared" si="16"/>
        <v>34.959112500000003</v>
      </c>
      <c r="P231" s="7"/>
      <c r="Q231" s="8">
        <f>bdrate(C231:C234,D231:D234,J231:J234,K231:K234)</f>
        <v>-0.31931434971578199</v>
      </c>
      <c r="R231" s="8">
        <f>bdrate(C231:C234,E231:E234,J231:J234,L231:L234)</f>
        <v>-0.3479277494931754</v>
      </c>
      <c r="S231" s="8">
        <f>bdrate(C231:C234,F231:F234,J231:J234,M231:M234)</f>
        <v>-0.38323590171265665</v>
      </c>
      <c r="T231" s="25">
        <f>bdrate(C231:C234,H231:H234,J231:J234,O231:O234)</f>
        <v>-0.32744317737994166</v>
      </c>
      <c r="U231" s="28">
        <f t="shared" si="17"/>
        <v>-0.23685494927337533</v>
      </c>
    </row>
    <row r="232" spans="2:21" x14ac:dyDescent="0.25">
      <c r="B232" s="9"/>
      <c r="C232" s="17">
        <v>1366.86</v>
      </c>
      <c r="D232" s="18">
        <v>31.495999999999999</v>
      </c>
      <c r="E232" s="18">
        <v>40.012999999999998</v>
      </c>
      <c r="F232" s="18">
        <v>39.247</v>
      </c>
      <c r="G232" s="18">
        <v>41.76</v>
      </c>
      <c r="H232" s="18">
        <f t="shared" si="15"/>
        <v>33.529499999999999</v>
      </c>
      <c r="I232" s="5"/>
      <c r="J232" s="17">
        <v>994.61109999999996</v>
      </c>
      <c r="K232" s="18">
        <v>31.343699999999998</v>
      </c>
      <c r="L232" s="18">
        <v>40.1248</v>
      </c>
      <c r="M232" s="18">
        <v>39.557499999999997</v>
      </c>
      <c r="N232" s="18">
        <v>34.633400000000002</v>
      </c>
      <c r="O232" s="18">
        <f t="shared" si="16"/>
        <v>33.468062499999995</v>
      </c>
      <c r="P232" s="7"/>
      <c r="Q232" s="10"/>
      <c r="R232" s="11"/>
      <c r="S232" s="11"/>
      <c r="T232" s="26"/>
      <c r="U232" s="28">
        <f t="shared" si="17"/>
        <v>-0.17065613026819915</v>
      </c>
    </row>
    <row r="233" spans="2:21" x14ac:dyDescent="0.25">
      <c r="B233" s="9"/>
      <c r="C233" s="17">
        <v>829.17</v>
      </c>
      <c r="D233" s="18">
        <v>28.768999999999998</v>
      </c>
      <c r="E233" s="18">
        <v>38.526000000000003</v>
      </c>
      <c r="F233" s="18">
        <v>37.75</v>
      </c>
      <c r="G233" s="18">
        <v>47.4</v>
      </c>
      <c r="H233" s="18">
        <f t="shared" si="15"/>
        <v>31.111249999999998</v>
      </c>
      <c r="I233" s="5"/>
      <c r="J233" s="17">
        <v>594.86519999999996</v>
      </c>
      <c r="K233" s="18">
        <v>29.168900000000001</v>
      </c>
      <c r="L233" s="18">
        <v>38.894100000000002</v>
      </c>
      <c r="M233" s="18">
        <v>38.293500000000002</v>
      </c>
      <c r="N233" s="18">
        <v>43.446800000000003</v>
      </c>
      <c r="O233" s="18">
        <f t="shared" si="16"/>
        <v>31.525124999999999</v>
      </c>
      <c r="P233" s="7"/>
      <c r="Q233" s="10"/>
      <c r="R233" s="11"/>
      <c r="S233" s="11"/>
      <c r="T233" s="26"/>
      <c r="U233" s="28">
        <f t="shared" si="17"/>
        <v>-8.3400843881856451E-2</v>
      </c>
    </row>
    <row r="234" spans="2:21" ht="16.5" thickBot="1" x14ac:dyDescent="0.3">
      <c r="B234" s="12"/>
      <c r="C234" s="19">
        <v>391.77</v>
      </c>
      <c r="D234" s="20">
        <v>24.53</v>
      </c>
      <c r="E234" s="20">
        <v>36.052999999999997</v>
      </c>
      <c r="F234" s="20">
        <v>35.360999999999997</v>
      </c>
      <c r="G234" s="20">
        <v>57.23</v>
      </c>
      <c r="H234" s="20">
        <f t="shared" si="15"/>
        <v>27.324249999999999</v>
      </c>
      <c r="I234" s="5"/>
      <c r="J234" s="19">
        <v>298.24189999999999</v>
      </c>
      <c r="K234" s="20">
        <v>26.385899999999999</v>
      </c>
      <c r="L234" s="20">
        <v>36.897300000000001</v>
      </c>
      <c r="M234" s="20">
        <v>36.312199999999997</v>
      </c>
      <c r="N234" s="20">
        <v>58.488999999999997</v>
      </c>
      <c r="O234" s="20">
        <f t="shared" si="16"/>
        <v>28.9406125</v>
      </c>
      <c r="P234" s="7"/>
      <c r="Q234" s="13"/>
      <c r="R234" s="14"/>
      <c r="S234" s="14"/>
      <c r="T234" s="27"/>
      <c r="U234" s="28">
        <f t="shared" si="17"/>
        <v>2.1998951598811819E-2</v>
      </c>
    </row>
    <row r="235" spans="2:21" x14ac:dyDescent="0.25">
      <c r="B235" s="6" t="s">
        <v>111</v>
      </c>
      <c r="C235" s="15">
        <v>2340.1999999999998</v>
      </c>
      <c r="D235" s="16">
        <v>48.357999999999997</v>
      </c>
      <c r="E235" s="16">
        <v>48.604999999999997</v>
      </c>
      <c r="F235" s="16">
        <v>48.338000000000001</v>
      </c>
      <c r="G235" s="16">
        <v>65.7</v>
      </c>
      <c r="H235" s="16">
        <f t="shared" si="15"/>
        <v>48.386375000000001</v>
      </c>
      <c r="I235" s="5"/>
      <c r="J235" s="15">
        <v>1407.7330999999999</v>
      </c>
      <c r="K235" s="16">
        <v>46.769100000000002</v>
      </c>
      <c r="L235" s="16">
        <v>47.729900000000001</v>
      </c>
      <c r="M235" s="16">
        <v>47.627600000000001</v>
      </c>
      <c r="N235" s="16">
        <v>46.835999999999999</v>
      </c>
      <c r="O235" s="16">
        <f t="shared" si="16"/>
        <v>46.996512499999994</v>
      </c>
      <c r="P235" s="7"/>
      <c r="Q235" s="8">
        <f>bdrate(C235:C238,D235:D238,J235:J238,K235:K238)</f>
        <v>-0.24349406283732822</v>
      </c>
      <c r="R235" s="8">
        <f>bdrate(C235:C238,E235:E238,J235:J238,L235:L238)</f>
        <v>-0.327142861662579</v>
      </c>
      <c r="S235" s="8">
        <f>bdrate(C235:C238,F235:F238,J235:J238,M235:M238)</f>
        <v>-0.35135015266076985</v>
      </c>
      <c r="T235" s="25">
        <f>bdrate(C235:C238,H235:H238,J235:J238,O235:O238)</f>
        <v>-0.26565471463057377</v>
      </c>
      <c r="U235" s="28">
        <f t="shared" si="17"/>
        <v>-0.28712328767123291</v>
      </c>
    </row>
    <row r="236" spans="2:21" x14ac:dyDescent="0.25">
      <c r="B236" s="9"/>
      <c r="C236" s="17">
        <v>1551.74</v>
      </c>
      <c r="D236" s="18">
        <v>46.351999999999997</v>
      </c>
      <c r="E236" s="18">
        <v>46.755000000000003</v>
      </c>
      <c r="F236" s="18">
        <v>46.503</v>
      </c>
      <c r="G236" s="18">
        <v>73.67</v>
      </c>
      <c r="H236" s="18">
        <f t="shared" si="15"/>
        <v>46.421249999999993</v>
      </c>
      <c r="I236" s="5"/>
      <c r="J236" s="17">
        <v>954.82190000000003</v>
      </c>
      <c r="K236" s="18">
        <v>45.1492</v>
      </c>
      <c r="L236" s="18">
        <v>46.276499999999999</v>
      </c>
      <c r="M236" s="18">
        <v>46.200800000000001</v>
      </c>
      <c r="N236" s="18">
        <v>58.496600000000001</v>
      </c>
      <c r="O236" s="18">
        <f t="shared" si="16"/>
        <v>45.4215625</v>
      </c>
      <c r="P236" s="7"/>
      <c r="Q236" s="10"/>
      <c r="R236" s="11"/>
      <c r="S236" s="11"/>
      <c r="T236" s="26"/>
      <c r="U236" s="28">
        <f t="shared" si="17"/>
        <v>-0.20596443599837111</v>
      </c>
    </row>
    <row r="237" spans="2:21" x14ac:dyDescent="0.25">
      <c r="B237" s="9"/>
      <c r="C237" s="17">
        <v>933.26</v>
      </c>
      <c r="D237" s="18">
        <v>43.531999999999996</v>
      </c>
      <c r="E237" s="18">
        <v>44.284999999999997</v>
      </c>
      <c r="F237" s="18">
        <v>43.948999999999998</v>
      </c>
      <c r="G237" s="18">
        <v>82.89</v>
      </c>
      <c r="H237" s="18">
        <f t="shared" si="15"/>
        <v>43.678249999999998</v>
      </c>
      <c r="I237" s="5"/>
      <c r="J237" s="17">
        <v>590.4221</v>
      </c>
      <c r="K237" s="18">
        <v>42.418500000000002</v>
      </c>
      <c r="L237" s="18">
        <v>44.020899999999997</v>
      </c>
      <c r="M237" s="18">
        <v>43.863199999999999</v>
      </c>
      <c r="N237" s="18">
        <v>74.337199999999996</v>
      </c>
      <c r="O237" s="18">
        <f t="shared" si="16"/>
        <v>42.799387500000002</v>
      </c>
      <c r="P237" s="7"/>
      <c r="Q237" s="10"/>
      <c r="R237" s="11"/>
      <c r="S237" s="11"/>
      <c r="T237" s="26"/>
      <c r="U237" s="28">
        <f t="shared" si="17"/>
        <v>-0.10318253106526729</v>
      </c>
    </row>
    <row r="238" spans="2:21" ht="16.5" thickBot="1" x14ac:dyDescent="0.3">
      <c r="B238" s="12"/>
      <c r="C238" s="19">
        <v>432.99</v>
      </c>
      <c r="D238" s="20">
        <v>38.152999999999999</v>
      </c>
      <c r="E238" s="20">
        <v>40.173000000000002</v>
      </c>
      <c r="F238" s="20">
        <v>39.768999999999998</v>
      </c>
      <c r="G238" s="20">
        <v>94.8</v>
      </c>
      <c r="H238" s="20">
        <f t="shared" si="15"/>
        <v>38.607500000000002</v>
      </c>
      <c r="I238" s="5"/>
      <c r="J238" s="19">
        <v>300.50389999999999</v>
      </c>
      <c r="K238" s="20">
        <v>37.918100000000003</v>
      </c>
      <c r="L238" s="20">
        <v>40.454000000000001</v>
      </c>
      <c r="M238" s="20">
        <v>40.261099999999999</v>
      </c>
      <c r="N238" s="20">
        <v>99.266499999999994</v>
      </c>
      <c r="O238" s="20">
        <f t="shared" si="16"/>
        <v>38.527962500000001</v>
      </c>
      <c r="P238" s="7"/>
      <c r="Q238" s="13"/>
      <c r="R238" s="14"/>
      <c r="S238" s="14"/>
      <c r="T238" s="27"/>
      <c r="U238" s="28">
        <f t="shared" si="17"/>
        <v>4.7114978902953547E-2</v>
      </c>
    </row>
    <row r="239" spans="2:21" x14ac:dyDescent="0.25">
      <c r="B239" s="6" t="s">
        <v>112</v>
      </c>
      <c r="C239" s="15">
        <v>2747.68</v>
      </c>
      <c r="D239" s="16">
        <v>50.146000000000001</v>
      </c>
      <c r="E239" s="16">
        <v>51.232999999999997</v>
      </c>
      <c r="F239" s="16">
        <v>51.466000000000001</v>
      </c>
      <c r="G239" s="16">
        <v>70.53</v>
      </c>
      <c r="H239" s="16">
        <f t="shared" si="15"/>
        <v>50.446874999999999</v>
      </c>
      <c r="I239" s="5"/>
      <c r="J239" s="15">
        <v>1385.9856</v>
      </c>
      <c r="K239" s="16">
        <v>47.441400000000002</v>
      </c>
      <c r="L239" s="16">
        <v>49.417400000000001</v>
      </c>
      <c r="M239" s="16">
        <v>49.509</v>
      </c>
      <c r="N239" s="16">
        <v>59.624400000000001</v>
      </c>
      <c r="O239" s="16">
        <f t="shared" si="16"/>
        <v>47.946850000000005</v>
      </c>
      <c r="P239" s="7"/>
      <c r="Q239" s="8">
        <f>bdrate(C239:C242,D239:D242,J239:J242,K239:K242)</f>
        <v>-0.31902655337303132</v>
      </c>
      <c r="R239" s="8">
        <f>bdrate(C239:C242,E239:E242,J239:J242,L239:L242)</f>
        <v>-0.38528836391060739</v>
      </c>
      <c r="S239" s="8">
        <f>bdrate(C239:C242,F239:F242,J239:J242,M239:M242)</f>
        <v>-0.38257513581204472</v>
      </c>
      <c r="T239" s="25">
        <f>bdrate(C239:C242,H239:H242,J239:J242,O239:O242)</f>
        <v>-0.33417173974703562</v>
      </c>
      <c r="U239" s="28">
        <f t="shared" si="17"/>
        <v>-0.15462356444066355</v>
      </c>
    </row>
    <row r="240" spans="2:21" x14ac:dyDescent="0.25">
      <c r="B240" s="9"/>
      <c r="C240" s="17">
        <v>1820.76</v>
      </c>
      <c r="D240" s="18">
        <v>46.973999999999997</v>
      </c>
      <c r="E240" s="18">
        <v>48.406999999999996</v>
      </c>
      <c r="F240" s="18">
        <v>48.655999999999999</v>
      </c>
      <c r="G240" s="18">
        <v>77.739999999999995</v>
      </c>
      <c r="H240" s="18">
        <f t="shared" si="15"/>
        <v>47.363374999999998</v>
      </c>
      <c r="I240" s="5"/>
      <c r="J240" s="17">
        <v>968.51869999999997</v>
      </c>
      <c r="K240" s="18">
        <v>46.053400000000003</v>
      </c>
      <c r="L240" s="18">
        <v>48.228299999999997</v>
      </c>
      <c r="M240" s="18">
        <v>48.412599999999998</v>
      </c>
      <c r="N240" s="18">
        <v>69.079300000000003</v>
      </c>
      <c r="O240" s="18">
        <f t="shared" si="16"/>
        <v>46.620162499999999</v>
      </c>
      <c r="P240" s="7"/>
      <c r="Q240" s="10"/>
      <c r="R240" s="11"/>
      <c r="S240" s="11"/>
      <c r="T240" s="26"/>
      <c r="U240" s="28">
        <f t="shared" si="17"/>
        <v>-0.11140596861332637</v>
      </c>
    </row>
    <row r="241" spans="2:21" x14ac:dyDescent="0.25">
      <c r="B241" s="9"/>
      <c r="C241" s="17">
        <v>1087.9000000000001</v>
      </c>
      <c r="D241" s="18">
        <v>43.737000000000002</v>
      </c>
      <c r="E241" s="18">
        <v>45.598999999999997</v>
      </c>
      <c r="F241" s="18">
        <v>45.823</v>
      </c>
      <c r="G241" s="18">
        <v>86.76</v>
      </c>
      <c r="H241" s="18">
        <f t="shared" si="15"/>
        <v>44.230499999999999</v>
      </c>
      <c r="I241" s="5"/>
      <c r="J241" s="17">
        <v>621.57119999999998</v>
      </c>
      <c r="K241" s="18">
        <v>42.472200000000001</v>
      </c>
      <c r="L241" s="18">
        <v>45.149799999999999</v>
      </c>
      <c r="M241" s="18">
        <v>45.369399999999999</v>
      </c>
      <c r="N241" s="18">
        <v>77.874899999999997</v>
      </c>
      <c r="O241" s="18">
        <f t="shared" si="16"/>
        <v>43.169049999999999</v>
      </c>
      <c r="P241" s="7"/>
      <c r="Q241" s="10"/>
      <c r="R241" s="11"/>
      <c r="S241" s="11"/>
      <c r="T241" s="26"/>
      <c r="U241" s="28">
        <f t="shared" si="17"/>
        <v>-0.10241009681881061</v>
      </c>
    </row>
    <row r="242" spans="2:21" ht="16.5" thickBot="1" x14ac:dyDescent="0.3">
      <c r="B242" s="12"/>
      <c r="C242" s="19">
        <v>503.91</v>
      </c>
      <c r="D242" s="20">
        <v>38.951999999999998</v>
      </c>
      <c r="E242" s="20">
        <v>41.558999999999997</v>
      </c>
      <c r="F242" s="20">
        <v>41.82</v>
      </c>
      <c r="G242" s="20">
        <v>100.86</v>
      </c>
      <c r="H242" s="20">
        <f t="shared" si="15"/>
        <v>39.636374999999994</v>
      </c>
      <c r="I242" s="5"/>
      <c r="J242" s="19">
        <v>330.48790000000002</v>
      </c>
      <c r="K242" s="20">
        <v>37.9054</v>
      </c>
      <c r="L242" s="20">
        <v>41.114100000000001</v>
      </c>
      <c r="M242" s="20">
        <v>41.372700000000002</v>
      </c>
      <c r="N242" s="20">
        <v>123.12739999999999</v>
      </c>
      <c r="O242" s="20">
        <f t="shared" si="16"/>
        <v>38.739899999999999</v>
      </c>
      <c r="P242" s="7"/>
      <c r="Q242" s="13"/>
      <c r="R242" s="14"/>
      <c r="S242" s="14"/>
      <c r="T242" s="27"/>
      <c r="U242" s="28">
        <f t="shared" si="17"/>
        <v>0.22077533214356529</v>
      </c>
    </row>
    <row r="243" spans="2:21" x14ac:dyDescent="0.25">
      <c r="B243" s="6" t="s">
        <v>113</v>
      </c>
      <c r="C243" s="29">
        <v>2140.59</v>
      </c>
      <c r="D243" s="30">
        <v>34.529000000000003</v>
      </c>
      <c r="E243" s="30">
        <v>37.640999999999998</v>
      </c>
      <c r="F243" s="30">
        <v>36.581000000000003</v>
      </c>
      <c r="G243" s="16">
        <v>47.11</v>
      </c>
      <c r="H243" s="16">
        <f t="shared" si="15"/>
        <v>35.174500000000002</v>
      </c>
      <c r="I243" s="5"/>
      <c r="J243" s="29">
        <v>1511.9196999999999</v>
      </c>
      <c r="K243" s="30">
        <v>33.483199999999997</v>
      </c>
      <c r="L243" s="30">
        <v>37.415599999999998</v>
      </c>
      <c r="M243" s="30">
        <v>36.287399999999998</v>
      </c>
      <c r="N243" s="16">
        <v>35.451900000000002</v>
      </c>
      <c r="O243" s="16">
        <f t="shared" si="16"/>
        <v>34.325274999999998</v>
      </c>
      <c r="P243" s="7"/>
      <c r="Q243" s="8">
        <f>bdrate(C243:C246,D243:D246,J243:J246,K243:K246)</f>
        <v>-0.24619717059720503</v>
      </c>
      <c r="R243" s="8">
        <f>bdrate(C243:C246,E243:E246,J243:J246,L243:L246)</f>
        <v>-0.32953091077469432</v>
      </c>
      <c r="S243" s="8">
        <f>bdrate(C243:C246,F243:F246,J243:J246,M243:M246)</f>
        <v>-0.31952330020512199</v>
      </c>
      <c r="T243" s="25">
        <f>bdrate(C243:C246,H243:H246,J243:J246,O243:O246)</f>
        <v>-0.25921039054062356</v>
      </c>
      <c r="U243" s="28">
        <f t="shared" si="17"/>
        <v>-0.24746550626194008</v>
      </c>
    </row>
    <row r="244" spans="2:21" x14ac:dyDescent="0.25">
      <c r="B244" s="9"/>
      <c r="C244" s="31">
        <v>1419.35</v>
      </c>
      <c r="D244" s="32">
        <v>32.334000000000003</v>
      </c>
      <c r="E244" s="32">
        <v>36.341000000000001</v>
      </c>
      <c r="F244" s="32">
        <v>35.204999999999998</v>
      </c>
      <c r="G244" s="18">
        <v>51.99</v>
      </c>
      <c r="H244" s="18">
        <f t="shared" si="15"/>
        <v>33.193750000000001</v>
      </c>
      <c r="I244" s="5"/>
      <c r="J244" s="31">
        <v>1008.4155</v>
      </c>
      <c r="K244" s="32">
        <v>31.558499999999999</v>
      </c>
      <c r="L244" s="32">
        <v>36.337200000000003</v>
      </c>
      <c r="M244" s="32">
        <v>35.155500000000004</v>
      </c>
      <c r="N244" s="18">
        <v>41.705300000000001</v>
      </c>
      <c r="O244" s="18">
        <f t="shared" si="16"/>
        <v>32.605462500000002</v>
      </c>
      <c r="P244" s="7"/>
      <c r="Q244" s="10"/>
      <c r="R244" s="11"/>
      <c r="S244" s="11"/>
      <c r="T244" s="26"/>
      <c r="U244" s="28">
        <f t="shared" si="17"/>
        <v>-0.19782073475668399</v>
      </c>
    </row>
    <row r="245" spans="2:21" x14ac:dyDescent="0.25">
      <c r="B245" s="9"/>
      <c r="C245" s="31">
        <v>856.1</v>
      </c>
      <c r="D245" s="32">
        <v>29.61</v>
      </c>
      <c r="E245" s="32">
        <v>34.93</v>
      </c>
      <c r="F245" s="32">
        <v>33.698999999999998</v>
      </c>
      <c r="G245" s="18">
        <v>58.04</v>
      </c>
      <c r="H245" s="18">
        <f t="shared" si="15"/>
        <v>30.786124999999998</v>
      </c>
      <c r="I245" s="5"/>
      <c r="J245" s="31">
        <v>605.50329999999997</v>
      </c>
      <c r="K245" s="32">
        <v>29.380299999999998</v>
      </c>
      <c r="L245" s="32">
        <v>35.158299999999997</v>
      </c>
      <c r="M245" s="32">
        <v>33.896700000000003</v>
      </c>
      <c r="N245" s="18">
        <v>51.874699999999997</v>
      </c>
      <c r="O245" s="18">
        <f t="shared" si="16"/>
        <v>30.667099999999998</v>
      </c>
      <c r="P245" s="7"/>
      <c r="Q245" s="10"/>
      <c r="R245" s="11"/>
      <c r="S245" s="11"/>
      <c r="T245" s="26"/>
      <c r="U245" s="28">
        <f t="shared" si="17"/>
        <v>-0.10622501722949694</v>
      </c>
    </row>
    <row r="246" spans="2:21" ht="16.5" thickBot="1" x14ac:dyDescent="0.3">
      <c r="B246" s="12"/>
      <c r="C246" s="33">
        <v>398.34</v>
      </c>
      <c r="D246" s="34">
        <v>25.57</v>
      </c>
      <c r="E246" s="34">
        <v>32.936</v>
      </c>
      <c r="F246" s="34">
        <v>31.547000000000001</v>
      </c>
      <c r="G246" s="20">
        <v>69.34</v>
      </c>
      <c r="H246" s="20">
        <f t="shared" si="15"/>
        <v>27.237875000000003</v>
      </c>
      <c r="I246" s="5"/>
      <c r="J246" s="33">
        <v>303.86410000000001</v>
      </c>
      <c r="K246" s="34">
        <v>26.786999999999999</v>
      </c>
      <c r="L246" s="34">
        <v>33.51</v>
      </c>
      <c r="M246" s="34">
        <v>32.1265</v>
      </c>
      <c r="N246" s="20">
        <v>69.294700000000006</v>
      </c>
      <c r="O246" s="20">
        <f t="shared" si="16"/>
        <v>28.294812499999995</v>
      </c>
      <c r="P246" s="7"/>
      <c r="Q246" s="13"/>
      <c r="R246" s="14"/>
      <c r="S246" s="14"/>
      <c r="T246" s="27"/>
      <c r="U246" s="28">
        <f t="shared" si="17"/>
        <v>-6.533025670608228E-4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-0.34237999426340204</v>
      </c>
      <c r="R247" s="21">
        <f>AVERAGE(R131:R246)</f>
        <v>-0.47978242950482702</v>
      </c>
      <c r="S247" s="21">
        <f>AVERAGE(S131:S246)</f>
        <v>-0.47852860081365484</v>
      </c>
      <c r="T247" s="21">
        <f>AVERAGE(T131:T246)</f>
        <v>-0.36901476494279328</v>
      </c>
      <c r="U247" s="21">
        <f>AVERAGE(U131:U246)</f>
        <v>3.7953397911748947E-2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25" priority="453" operator="greaterThan">
      <formula>0.03</formula>
    </cfRule>
    <cfRule type="cellIs" dxfId="324" priority="454" stopIfTrue="1" operator="lessThan">
      <formula>-0.03</formula>
    </cfRule>
  </conditionalFormatting>
  <conditionalFormatting sqref="Q33:T36">
    <cfRule type="cellIs" dxfId="323" priority="451" operator="greaterThan">
      <formula>0.03</formula>
    </cfRule>
    <cfRule type="cellIs" dxfId="322" priority="452" stopIfTrue="1" operator="lessThan">
      <formula>-0.03</formula>
    </cfRule>
  </conditionalFormatting>
  <conditionalFormatting sqref="Q46:T48 Q62:T64">
    <cfRule type="cellIs" dxfId="321" priority="449" operator="greaterThan">
      <formula>0.03</formula>
    </cfRule>
    <cfRule type="cellIs" dxfId="320" priority="450" stopIfTrue="1" operator="lessThan">
      <formula>-0.03</formula>
    </cfRule>
  </conditionalFormatting>
  <conditionalFormatting sqref="Q50:T52 Q54:T56 Q58:T60">
    <cfRule type="cellIs" dxfId="319" priority="447" operator="greaterThan">
      <formula>0.03</formula>
    </cfRule>
    <cfRule type="cellIs" dxfId="318" priority="448" stopIfTrue="1" operator="lessThan">
      <formula>-0.03</formula>
    </cfRule>
  </conditionalFormatting>
  <conditionalFormatting sqref="Q70:T72 Q74:T76">
    <cfRule type="cellIs" dxfId="317" priority="445" operator="greaterThan">
      <formula>0.03</formula>
    </cfRule>
    <cfRule type="cellIs" dxfId="316" priority="446" stopIfTrue="1" operator="lessThan">
      <formula>-0.03</formula>
    </cfRule>
  </conditionalFormatting>
  <conditionalFormatting sqref="Q66:T68">
    <cfRule type="cellIs" dxfId="315" priority="443" operator="greaterThan">
      <formula>0.03</formula>
    </cfRule>
    <cfRule type="cellIs" dxfId="314" priority="444" stopIfTrue="1" operator="lessThan">
      <formula>-0.03</formula>
    </cfRule>
  </conditionalFormatting>
  <conditionalFormatting sqref="Q78:T80">
    <cfRule type="cellIs" dxfId="313" priority="441" operator="greaterThan">
      <formula>0.03</formula>
    </cfRule>
    <cfRule type="cellIs" dxfId="312" priority="442" stopIfTrue="1" operator="lessThan">
      <formula>-0.03</formula>
    </cfRule>
  </conditionalFormatting>
  <conditionalFormatting sqref="Q21:T28">
    <cfRule type="cellIs" dxfId="311" priority="423" operator="greaterThan">
      <formula>0.03</formula>
    </cfRule>
    <cfRule type="cellIs" dxfId="310" priority="424" stopIfTrue="1" operator="lessThan">
      <formula>-0.03</formula>
    </cfRule>
  </conditionalFormatting>
  <conditionalFormatting sqref="Q151:T154 Q159:T166 Q131:T142">
    <cfRule type="cellIs" dxfId="309" priority="419" operator="greaterThan">
      <formula>0.03</formula>
    </cfRule>
    <cfRule type="cellIs" dxfId="308" priority="420" stopIfTrue="1" operator="lessThan">
      <formula>-0.03</formula>
    </cfRule>
  </conditionalFormatting>
  <conditionalFormatting sqref="Q155:T158">
    <cfRule type="cellIs" dxfId="307" priority="417" operator="greaterThan">
      <formula>0.03</formula>
    </cfRule>
    <cfRule type="cellIs" dxfId="306" priority="418" stopIfTrue="1" operator="lessThan">
      <formula>-0.03</formula>
    </cfRule>
  </conditionalFormatting>
  <conditionalFormatting sqref="Q167:T170 Q183:T186">
    <cfRule type="cellIs" dxfId="305" priority="415" operator="greaterThan">
      <formula>0.03</formula>
    </cfRule>
    <cfRule type="cellIs" dxfId="304" priority="416" stopIfTrue="1" operator="lessThan">
      <formula>-0.03</formula>
    </cfRule>
  </conditionalFormatting>
  <conditionalFormatting sqref="Q171:T182">
    <cfRule type="cellIs" dxfId="303" priority="413" operator="greaterThan">
      <formula>0.03</formula>
    </cfRule>
    <cfRule type="cellIs" dxfId="302" priority="414" stopIfTrue="1" operator="lessThan">
      <formula>-0.03</formula>
    </cfRule>
  </conditionalFormatting>
  <conditionalFormatting sqref="Q191:T198">
    <cfRule type="cellIs" dxfId="301" priority="411" operator="greaterThan">
      <formula>0.03</formula>
    </cfRule>
    <cfRule type="cellIs" dxfId="300" priority="412" stopIfTrue="1" operator="lessThan">
      <formula>-0.03</formula>
    </cfRule>
  </conditionalFormatting>
  <conditionalFormatting sqref="Q187:T190">
    <cfRule type="cellIs" dxfId="299" priority="409" operator="greaterThan">
      <formula>0.03</formula>
    </cfRule>
    <cfRule type="cellIs" dxfId="298" priority="410" stopIfTrue="1" operator="lessThan">
      <formula>-0.03</formula>
    </cfRule>
  </conditionalFormatting>
  <conditionalFormatting sqref="Q199:T202">
    <cfRule type="cellIs" dxfId="297" priority="407" operator="greaterThan">
      <formula>0.03</formula>
    </cfRule>
    <cfRule type="cellIs" dxfId="296" priority="408" stopIfTrue="1" operator="lessThan">
      <formula>-0.03</formula>
    </cfRule>
  </conditionalFormatting>
  <conditionalFormatting sqref="Q143:T150">
    <cfRule type="cellIs" dxfId="295" priority="405" operator="greaterThan">
      <formula>0.03</formula>
    </cfRule>
    <cfRule type="cellIs" dxfId="294" priority="406" stopIfTrue="1" operator="lessThan">
      <formula>-0.03</formula>
    </cfRule>
  </conditionalFormatting>
  <conditionalFormatting sqref="Q45:T45">
    <cfRule type="cellIs" dxfId="293" priority="403" operator="greaterThan">
      <formula>0.03</formula>
    </cfRule>
    <cfRule type="cellIs" dxfId="292" priority="404" stopIfTrue="1" operator="lessThan">
      <formula>-0.03</formula>
    </cfRule>
  </conditionalFormatting>
  <conditionalFormatting sqref="Q49:T49">
    <cfRule type="cellIs" dxfId="291" priority="401" operator="greaterThan">
      <formula>0.03</formula>
    </cfRule>
    <cfRule type="cellIs" dxfId="290" priority="402" stopIfTrue="1" operator="lessThan">
      <formula>-0.03</formula>
    </cfRule>
  </conditionalFormatting>
  <conditionalFormatting sqref="Q53:T53">
    <cfRule type="cellIs" dxfId="289" priority="399" operator="greaterThan">
      <formula>0.03</formula>
    </cfRule>
    <cfRule type="cellIs" dxfId="288" priority="400" stopIfTrue="1" operator="lessThan">
      <formula>-0.03</formula>
    </cfRule>
  </conditionalFormatting>
  <conditionalFormatting sqref="Q57:T57">
    <cfRule type="cellIs" dxfId="287" priority="397" operator="greaterThan">
      <formula>0.03</formula>
    </cfRule>
    <cfRule type="cellIs" dxfId="286" priority="398" stopIfTrue="1" operator="lessThan">
      <formula>-0.03</formula>
    </cfRule>
  </conditionalFormatting>
  <conditionalFormatting sqref="Q61:T61">
    <cfRule type="cellIs" dxfId="285" priority="395" operator="greaterThan">
      <formula>0.03</formula>
    </cfRule>
    <cfRule type="cellIs" dxfId="284" priority="396" stopIfTrue="1" operator="lessThan">
      <formula>-0.03</formula>
    </cfRule>
  </conditionalFormatting>
  <conditionalFormatting sqref="Q65:T65">
    <cfRule type="cellIs" dxfId="283" priority="393" operator="greaterThan">
      <formula>0.03</formula>
    </cfRule>
    <cfRule type="cellIs" dxfId="282" priority="394" stopIfTrue="1" operator="lessThan">
      <formula>-0.03</formula>
    </cfRule>
  </conditionalFormatting>
  <conditionalFormatting sqref="Q69:T69">
    <cfRule type="cellIs" dxfId="281" priority="391" operator="greaterThan">
      <formula>0.03</formula>
    </cfRule>
    <cfRule type="cellIs" dxfId="280" priority="392" stopIfTrue="1" operator="lessThan">
      <formula>-0.03</formula>
    </cfRule>
  </conditionalFormatting>
  <conditionalFormatting sqref="Q73:T73">
    <cfRule type="cellIs" dxfId="279" priority="389" operator="greaterThan">
      <formula>0.03</formula>
    </cfRule>
    <cfRule type="cellIs" dxfId="278" priority="390" stopIfTrue="1" operator="lessThan">
      <formula>-0.03</formula>
    </cfRule>
  </conditionalFormatting>
  <conditionalFormatting sqref="Q77:T77">
    <cfRule type="cellIs" dxfId="277" priority="387" operator="greaterThan">
      <formula>0.03</formula>
    </cfRule>
    <cfRule type="cellIs" dxfId="276" priority="388" stopIfTrue="1" operator="lessThan">
      <formula>-0.03</formula>
    </cfRule>
  </conditionalFormatting>
  <conditionalFormatting sqref="Q117:T117">
    <cfRule type="cellIs" dxfId="275" priority="99" operator="greaterThan">
      <formula>0.03</formula>
    </cfRule>
    <cfRule type="cellIs" dxfId="274" priority="100" stopIfTrue="1" operator="lessThan">
      <formula>-0.03</formula>
    </cfRule>
  </conditionalFormatting>
  <conditionalFormatting sqref="Q93:T96 Q101:T108 Q81:T84">
    <cfRule type="cellIs" dxfId="273" priority="113" operator="greaterThan">
      <formula>0.03</formula>
    </cfRule>
    <cfRule type="cellIs" dxfId="272" priority="114" stopIfTrue="1" operator="lessThan">
      <formula>-0.03</formula>
    </cfRule>
  </conditionalFormatting>
  <conditionalFormatting sqref="Q97:T100">
    <cfRule type="cellIs" dxfId="271" priority="111" operator="greaterThan">
      <formula>0.03</formula>
    </cfRule>
    <cfRule type="cellIs" dxfId="270" priority="112" stopIfTrue="1" operator="lessThan">
      <formula>-0.03</formula>
    </cfRule>
  </conditionalFormatting>
  <conditionalFormatting sqref="Q110:T112 Q122:T124">
    <cfRule type="cellIs" dxfId="269" priority="109" operator="greaterThan">
      <formula>0.03</formula>
    </cfRule>
    <cfRule type="cellIs" dxfId="268" priority="110" stopIfTrue="1" operator="lessThan">
      <formula>-0.03</formula>
    </cfRule>
  </conditionalFormatting>
  <conditionalFormatting sqref="Q114:T116 Q118:T120">
    <cfRule type="cellIs" dxfId="267" priority="107" operator="greaterThan">
      <formula>0.03</formula>
    </cfRule>
    <cfRule type="cellIs" dxfId="266" priority="108" stopIfTrue="1" operator="lessThan">
      <formula>-0.03</formula>
    </cfRule>
  </conditionalFormatting>
  <conditionalFormatting sqref="Q85:T92">
    <cfRule type="cellIs" dxfId="265" priority="105" operator="greaterThan">
      <formula>0.03</formula>
    </cfRule>
    <cfRule type="cellIs" dxfId="264" priority="106" stopIfTrue="1" operator="lessThan">
      <formula>-0.03</formula>
    </cfRule>
  </conditionalFormatting>
  <conditionalFormatting sqref="Q109:T109">
    <cfRule type="cellIs" dxfId="263" priority="103" operator="greaterThan">
      <formula>0.03</formula>
    </cfRule>
    <cfRule type="cellIs" dxfId="262" priority="104" stopIfTrue="1" operator="lessThan">
      <formula>-0.03</formula>
    </cfRule>
  </conditionalFormatting>
  <conditionalFormatting sqref="Q113:T113">
    <cfRule type="cellIs" dxfId="261" priority="101" operator="greaterThan">
      <formula>0.03</formula>
    </cfRule>
    <cfRule type="cellIs" dxfId="260" priority="102" stopIfTrue="1" operator="lessThan">
      <formula>-0.03</formula>
    </cfRule>
  </conditionalFormatting>
  <conditionalFormatting sqref="Q121:T121">
    <cfRule type="cellIs" dxfId="259" priority="97" operator="greaterThan">
      <formula>0.03</formula>
    </cfRule>
    <cfRule type="cellIs" dxfId="258" priority="98" stopIfTrue="1" operator="lessThan">
      <formula>-0.03</formula>
    </cfRule>
  </conditionalFormatting>
  <conditionalFormatting sqref="Q239:T239">
    <cfRule type="cellIs" dxfId="257" priority="33" operator="greaterThan">
      <formula>0.03</formula>
    </cfRule>
    <cfRule type="cellIs" dxfId="256" priority="34" stopIfTrue="1" operator="lessThan">
      <formula>-0.03</formula>
    </cfRule>
  </conditionalFormatting>
  <conditionalFormatting sqref="Q215:T218 Q223:T230 Q203:T206">
    <cfRule type="cellIs" dxfId="255" priority="47" operator="greaterThan">
      <formula>0.03</formula>
    </cfRule>
    <cfRule type="cellIs" dxfId="254" priority="48" stopIfTrue="1" operator="lessThan">
      <formula>-0.03</formula>
    </cfRule>
  </conditionalFormatting>
  <conditionalFormatting sqref="Q219:T222">
    <cfRule type="cellIs" dxfId="253" priority="45" operator="greaterThan">
      <formula>0.03</formula>
    </cfRule>
    <cfRule type="cellIs" dxfId="252" priority="46" stopIfTrue="1" operator="lessThan">
      <formula>-0.03</formula>
    </cfRule>
  </conditionalFormatting>
  <conditionalFormatting sqref="Q232:T234 Q244:T246">
    <cfRule type="cellIs" dxfId="251" priority="43" operator="greaterThan">
      <formula>0.03</formula>
    </cfRule>
    <cfRule type="cellIs" dxfId="250" priority="44" stopIfTrue="1" operator="lessThan">
      <formula>-0.03</formula>
    </cfRule>
  </conditionalFormatting>
  <conditionalFormatting sqref="Q236:T238 Q240:T242">
    <cfRule type="cellIs" dxfId="249" priority="41" operator="greaterThan">
      <formula>0.03</formula>
    </cfRule>
    <cfRule type="cellIs" dxfId="248" priority="42" stopIfTrue="1" operator="lessThan">
      <formula>-0.03</formula>
    </cfRule>
  </conditionalFormatting>
  <conditionalFormatting sqref="Q207:T214">
    <cfRule type="cellIs" dxfId="247" priority="39" operator="greaterThan">
      <formula>0.03</formula>
    </cfRule>
    <cfRule type="cellIs" dxfId="246" priority="40" stopIfTrue="1" operator="lessThan">
      <formula>-0.03</formula>
    </cfRule>
  </conditionalFormatting>
  <conditionalFormatting sqref="Q231:T231">
    <cfRule type="cellIs" dxfId="245" priority="37" operator="greaterThan">
      <formula>0.03</formula>
    </cfRule>
    <cfRule type="cellIs" dxfId="244" priority="38" stopIfTrue="1" operator="lessThan">
      <formula>-0.03</formula>
    </cfRule>
  </conditionalFormatting>
  <conditionalFormatting sqref="Q235:T235">
    <cfRule type="cellIs" dxfId="243" priority="35" operator="greaterThan">
      <formula>0.03</formula>
    </cfRule>
    <cfRule type="cellIs" dxfId="242" priority="36" stopIfTrue="1" operator="lessThan">
      <formula>-0.03</formula>
    </cfRule>
  </conditionalFormatting>
  <conditionalFormatting sqref="Q243:T243">
    <cfRule type="cellIs" dxfId="241" priority="31" operator="greaterThan">
      <formula>0.03</formula>
    </cfRule>
    <cfRule type="cellIs" dxfId="2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99</v>
      </c>
    </row>
    <row r="2" spans="1:21" x14ac:dyDescent="0.25">
      <c r="A2" t="s">
        <v>86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130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81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3957.4751999999999</v>
      </c>
      <c r="K9" s="16">
        <v>38.7517</v>
      </c>
      <c r="L9" s="16">
        <v>40.171599999999998</v>
      </c>
      <c r="M9" s="16">
        <v>42.899000000000001</v>
      </c>
      <c r="N9" s="16">
        <v>1.4285000000000001</v>
      </c>
      <c r="O9" s="16">
        <f t="shared" ref="O9:O80" si="1">(6*K9+L9+M9)/8</f>
        <v>39.447600000000001</v>
      </c>
      <c r="P9" s="7"/>
      <c r="Q9" s="8">
        <f>bdrate(C9:C12,D9:D12,J9:J12,K9:K12)</f>
        <v>-0.37777451768873616</v>
      </c>
      <c r="R9" s="8">
        <f>bdrate(C9:C12,E9:E12,J9:J12,L9:L12)</f>
        <v>-0.49180102279438076</v>
      </c>
      <c r="S9" s="8">
        <f>bdrate(C9:C12,F9:F12,J9:J12,M9:M12)</f>
        <v>-0.49216999956594842</v>
      </c>
      <c r="T9" s="25">
        <f>bdrate(C9:C12,H9:H12,J9:J12,O9:O12)</f>
        <v>-0.39633339841317183</v>
      </c>
      <c r="U9" s="28">
        <f t="shared" ref="U9:U72" si="2">(N9-G9)/G9</f>
        <v>0.48802083333333351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1.02</v>
      </c>
      <c r="H10" s="18">
        <f t="shared" si="0"/>
        <v>38.306750000000008</v>
      </c>
      <c r="I10" s="5"/>
      <c r="J10" s="17">
        <v>2874.8240000000001</v>
      </c>
      <c r="K10" s="18">
        <v>37.789700000000003</v>
      </c>
      <c r="L10" s="18">
        <v>39.6569</v>
      </c>
      <c r="M10" s="18">
        <v>42.1995</v>
      </c>
      <c r="N10" s="18">
        <v>1.6960999999999999</v>
      </c>
      <c r="O10" s="18">
        <f t="shared" si="1"/>
        <v>38.574325000000002</v>
      </c>
      <c r="P10" s="7"/>
      <c r="Q10" s="10"/>
      <c r="R10" s="11"/>
      <c r="S10" s="11"/>
      <c r="T10" s="26"/>
      <c r="U10" s="28">
        <f t="shared" si="2"/>
        <v>0.66284313725490185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1.1399999999999999</v>
      </c>
      <c r="H11" s="18">
        <f t="shared" si="0"/>
        <v>36.887249999999995</v>
      </c>
      <c r="I11" s="5"/>
      <c r="J11" s="17">
        <v>1862.6192000000001</v>
      </c>
      <c r="K11" s="18">
        <v>36.341900000000003</v>
      </c>
      <c r="L11" s="18">
        <v>38.948799999999999</v>
      </c>
      <c r="M11" s="18">
        <v>41.353700000000003</v>
      </c>
      <c r="N11" s="18">
        <v>2.1156000000000001</v>
      </c>
      <c r="O11" s="18">
        <f t="shared" si="1"/>
        <v>37.294237500000001</v>
      </c>
      <c r="P11" s="7"/>
      <c r="Q11" s="10"/>
      <c r="R11" s="11"/>
      <c r="S11" s="11"/>
      <c r="T11" s="26"/>
      <c r="U11" s="28">
        <f t="shared" si="2"/>
        <v>0.85578947368421077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1.42</v>
      </c>
      <c r="H12" s="20">
        <f t="shared" si="0"/>
        <v>34.038499999999999</v>
      </c>
      <c r="I12" s="5"/>
      <c r="J12" s="19">
        <v>906.32320000000004</v>
      </c>
      <c r="K12" s="20">
        <v>33.646099999999997</v>
      </c>
      <c r="L12" s="20">
        <v>37.564500000000002</v>
      </c>
      <c r="M12" s="20">
        <v>39.816899999999997</v>
      </c>
      <c r="N12" s="20">
        <v>3.0724999999999998</v>
      </c>
      <c r="O12" s="20">
        <f t="shared" si="1"/>
        <v>34.907249999999998</v>
      </c>
      <c r="P12" s="7"/>
      <c r="Q12" s="13"/>
      <c r="R12" s="14"/>
      <c r="S12" s="14"/>
      <c r="T12" s="27"/>
      <c r="U12" s="28">
        <f t="shared" si="2"/>
        <v>1.1637323943661972</v>
      </c>
    </row>
    <row r="13" spans="1:21" x14ac:dyDescent="0.25">
      <c r="B13" s="6" t="s">
        <v>47</v>
      </c>
      <c r="C13" s="15">
        <v>6793.03</v>
      </c>
      <c r="D13" s="16">
        <v>30.728999999999999</v>
      </c>
      <c r="E13" s="16">
        <v>40.478999999999999</v>
      </c>
      <c r="F13" s="16">
        <v>41.115000000000002</v>
      </c>
      <c r="G13" s="16">
        <v>0.88</v>
      </c>
      <c r="H13" s="16">
        <f t="shared" si="0"/>
        <v>33.246000000000002</v>
      </c>
      <c r="I13" s="5"/>
      <c r="J13" s="15">
        <v>4063.5616</v>
      </c>
      <c r="K13" s="16">
        <v>30.113099999999999</v>
      </c>
      <c r="L13" s="16">
        <v>40.886000000000003</v>
      </c>
      <c r="M13" s="16">
        <v>41.744799999999998</v>
      </c>
      <c r="N13" s="16">
        <v>0.97009999999999996</v>
      </c>
      <c r="O13" s="16">
        <f t="shared" si="1"/>
        <v>32.913674999999998</v>
      </c>
      <c r="P13" s="7"/>
      <c r="Q13" s="8">
        <f>bdrate(C13:C16,D13:D16,J13:J16,K13:K16)</f>
        <v>-0.38316363880262405</v>
      </c>
      <c r="R13" s="8">
        <f>bdrate(C13:C16,E13:E16,J13:J16,L13:L16)</f>
        <v>-0.49316042561202311</v>
      </c>
      <c r="S13" s="8">
        <f>bdrate(C13:C16,F13:F16,J13:J16,M13:M16)</f>
        <v>-0.58463934375215532</v>
      </c>
      <c r="T13" s="25">
        <f>bdrate(C13:C16,H13:H16,J13:J16,O13:O16)</f>
        <v>-0.40578557150526262</v>
      </c>
      <c r="U13" s="28">
        <f t="shared" si="2"/>
        <v>0.10238636363636359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0.97</v>
      </c>
      <c r="H14" s="18">
        <f t="shared" si="0"/>
        <v>31.978249999999999</v>
      </c>
      <c r="I14" s="5"/>
      <c r="J14" s="17">
        <v>3053.7296000000001</v>
      </c>
      <c r="K14" s="18">
        <v>28.836300000000001</v>
      </c>
      <c r="L14" s="18">
        <v>40.358899999999998</v>
      </c>
      <c r="M14" s="18">
        <v>41.322099999999999</v>
      </c>
      <c r="N14" s="18">
        <v>1.1145</v>
      </c>
      <c r="O14" s="18">
        <f t="shared" si="1"/>
        <v>31.837350000000004</v>
      </c>
      <c r="P14" s="7"/>
      <c r="Q14" s="10"/>
      <c r="R14" s="11"/>
      <c r="S14" s="11"/>
      <c r="T14" s="26"/>
      <c r="U14" s="28">
        <f t="shared" si="2"/>
        <v>0.14896907216494853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1.1200000000000001</v>
      </c>
      <c r="H15" s="18">
        <f t="shared" si="0"/>
        <v>30.218250000000001</v>
      </c>
      <c r="I15" s="5"/>
      <c r="J15" s="17">
        <v>2040.8368</v>
      </c>
      <c r="K15" s="18">
        <v>27.072299999999998</v>
      </c>
      <c r="L15" s="18">
        <v>39.541899999999998</v>
      </c>
      <c r="M15" s="18">
        <v>40.6511</v>
      </c>
      <c r="N15" s="18">
        <v>1.3693</v>
      </c>
      <c r="O15" s="18">
        <f t="shared" si="1"/>
        <v>30.32835</v>
      </c>
      <c r="P15" s="7"/>
      <c r="Q15" s="10"/>
      <c r="R15" s="11"/>
      <c r="S15" s="11"/>
      <c r="T15" s="26"/>
      <c r="U15" s="28">
        <f t="shared" si="2"/>
        <v>0.22258928571428557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1.34</v>
      </c>
      <c r="H16" s="20">
        <f t="shared" si="0"/>
        <v>27.26275</v>
      </c>
      <c r="I16" s="5"/>
      <c r="J16" s="19">
        <v>1384.76</v>
      </c>
      <c r="K16" s="20">
        <v>25.843399999999999</v>
      </c>
      <c r="L16" s="20">
        <v>38.381399999999999</v>
      </c>
      <c r="M16" s="20">
        <v>39.5533</v>
      </c>
      <c r="N16" s="20">
        <v>1.5677000000000001</v>
      </c>
      <c r="O16" s="20">
        <f t="shared" si="1"/>
        <v>29.124387500000001</v>
      </c>
      <c r="P16" s="7"/>
      <c r="Q16" s="13"/>
      <c r="R16" s="14"/>
      <c r="S16" s="14"/>
      <c r="T16" s="27"/>
      <c r="U16" s="28">
        <f t="shared" si="2"/>
        <v>0.16992537313432834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1.29</v>
      </c>
      <c r="H17" s="16">
        <f t="shared" si="0"/>
        <v>40.133249999999997</v>
      </c>
      <c r="I17" s="5"/>
      <c r="J17" s="15">
        <v>2392.7575999999999</v>
      </c>
      <c r="K17" s="16">
        <v>39.628300000000003</v>
      </c>
      <c r="L17" s="16">
        <v>42.469299999999997</v>
      </c>
      <c r="M17" s="16">
        <v>44.128399999999999</v>
      </c>
      <c r="N17" s="16">
        <v>1.7233000000000001</v>
      </c>
      <c r="O17" s="16">
        <f t="shared" si="1"/>
        <v>40.545937500000001</v>
      </c>
      <c r="P17" s="7"/>
      <c r="Q17" s="8">
        <f>bdrate(C17:C20,D17:D20,J17:J20,K17:K20)</f>
        <v>-0.36854842918987241</v>
      </c>
      <c r="R17" s="8">
        <f>bdrate(C17:C20,E17:E20,J17:J20,L17:L20)</f>
        <v>-0.46495838715521831</v>
      </c>
      <c r="S17" s="8">
        <f>bdrate(C17:C20,F17:F20,J17:J20,M17:M20)</f>
        <v>-0.54054223848232974</v>
      </c>
      <c r="T17" s="25">
        <f>bdrate(C17:C20,H17:H20,J17:J20,O17:O20)</f>
        <v>-0.3906677848564607</v>
      </c>
      <c r="U17" s="28">
        <f t="shared" si="2"/>
        <v>0.33589147286821708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1.5</v>
      </c>
      <c r="H18" s="18">
        <f t="shared" si="0"/>
        <v>38.868500000000004</v>
      </c>
      <c r="I18" s="5"/>
      <c r="J18" s="17">
        <v>1557.7791999999999</v>
      </c>
      <c r="K18" s="18">
        <v>38.467700000000001</v>
      </c>
      <c r="L18" s="18">
        <v>41.8337</v>
      </c>
      <c r="M18" s="18">
        <v>43.2667</v>
      </c>
      <c r="N18" s="18">
        <v>2.1671</v>
      </c>
      <c r="O18" s="18">
        <f t="shared" si="1"/>
        <v>39.488325000000003</v>
      </c>
      <c r="P18" s="7"/>
      <c r="Q18" s="10"/>
      <c r="R18" s="11"/>
      <c r="S18" s="11"/>
      <c r="T18" s="26"/>
      <c r="U18" s="28">
        <f t="shared" si="2"/>
        <v>0.44473333333333337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1.7</v>
      </c>
      <c r="H19" s="18">
        <f t="shared" si="0"/>
        <v>37.234250000000003</v>
      </c>
      <c r="I19" s="5"/>
      <c r="J19" s="17">
        <v>936.49279999999999</v>
      </c>
      <c r="K19" s="18">
        <v>36.861199999999997</v>
      </c>
      <c r="L19" s="18">
        <v>41.044800000000002</v>
      </c>
      <c r="M19" s="18">
        <v>42.296500000000002</v>
      </c>
      <c r="N19" s="18">
        <v>2.8149999999999999</v>
      </c>
      <c r="O19" s="18">
        <f t="shared" si="1"/>
        <v>38.063562499999996</v>
      </c>
      <c r="P19" s="7"/>
      <c r="Q19" s="10"/>
      <c r="R19" s="11"/>
      <c r="S19" s="11"/>
      <c r="T19" s="26"/>
      <c r="U19" s="28">
        <f t="shared" si="2"/>
        <v>0.65588235294117647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548.23199999999997</v>
      </c>
      <c r="K20" s="20">
        <v>35.042400000000001</v>
      </c>
      <c r="L20" s="20">
        <v>40.292000000000002</v>
      </c>
      <c r="M20" s="20">
        <v>41.521099999999997</v>
      </c>
      <c r="N20" s="20">
        <v>3.7141000000000002</v>
      </c>
      <c r="O20" s="20">
        <f t="shared" si="1"/>
        <v>36.508437499999999</v>
      </c>
      <c r="P20" s="7"/>
      <c r="Q20" s="13"/>
      <c r="R20" s="14"/>
      <c r="S20" s="14"/>
      <c r="T20" s="27"/>
      <c r="U20" s="28">
        <f t="shared" si="2"/>
        <v>0.7602369668246447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1.25</v>
      </c>
      <c r="H21" s="16">
        <f t="shared" si="0"/>
        <v>37.809625000000004</v>
      </c>
      <c r="I21" s="5"/>
      <c r="J21" s="15">
        <v>2497.4407999999999</v>
      </c>
      <c r="K21" s="16">
        <v>36.8247</v>
      </c>
      <c r="L21" s="16">
        <v>40.738199999999999</v>
      </c>
      <c r="M21" s="16">
        <v>42.032899999999998</v>
      </c>
      <c r="N21" s="16">
        <v>2.1057000000000001</v>
      </c>
      <c r="O21" s="16">
        <f t="shared" si="1"/>
        <v>37.964912499999997</v>
      </c>
      <c r="P21" s="7"/>
      <c r="Q21" s="8">
        <f>bdrate(C21:C24,D21:D24,J21:J24,K21:K24)</f>
        <v>-0.28605717515708995</v>
      </c>
      <c r="R21" s="8">
        <f>bdrate(C21:C24,E21:E24,J21:J24,L21:L24)</f>
        <v>-0.54534327452978348</v>
      </c>
      <c r="S21" s="8">
        <f>bdrate(C21:C24,F21:F24,J21:J24,M21:M24)</f>
        <v>-0.54396142975790596</v>
      </c>
      <c r="T21" s="25">
        <f>bdrate(C21:C24,H21:H24,J21:J24,O21:O24)</f>
        <v>-0.33237996090518906</v>
      </c>
      <c r="U21" s="28">
        <f t="shared" si="2"/>
        <v>0.68456000000000006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1.38</v>
      </c>
      <c r="H22" s="18">
        <f t="shared" si="0"/>
        <v>36.568000000000005</v>
      </c>
      <c r="I22" s="5"/>
      <c r="J22" s="17">
        <v>1657.7064</v>
      </c>
      <c r="K22" s="18">
        <v>35.5822</v>
      </c>
      <c r="L22" s="18">
        <v>39.900100000000002</v>
      </c>
      <c r="M22" s="18">
        <v>41.107300000000002</v>
      </c>
      <c r="N22" s="18">
        <v>2.5954000000000002</v>
      </c>
      <c r="O22" s="18">
        <f t="shared" si="1"/>
        <v>36.812575000000002</v>
      </c>
      <c r="P22" s="7"/>
      <c r="Q22" s="10"/>
      <c r="R22" s="11"/>
      <c r="S22" s="11"/>
      <c r="T22" s="26"/>
      <c r="U22" s="28">
        <f t="shared" si="2"/>
        <v>0.88072463768115972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</v>
      </c>
      <c r="H23" s="18">
        <f t="shared" si="0"/>
        <v>35.087874999999997</v>
      </c>
      <c r="I23" s="5"/>
      <c r="J23" s="17">
        <v>1014.8128</v>
      </c>
      <c r="K23" s="18">
        <v>34.000599999999999</v>
      </c>
      <c r="L23" s="18">
        <v>38.909199999999998</v>
      </c>
      <c r="M23" s="18">
        <v>40.144799999999996</v>
      </c>
      <c r="N23" s="18">
        <v>3.2791999999999999</v>
      </c>
      <c r="O23" s="18">
        <f t="shared" si="1"/>
        <v>35.382199999999997</v>
      </c>
      <c r="P23" s="7"/>
      <c r="Q23" s="10"/>
      <c r="R23" s="11"/>
      <c r="S23" s="11"/>
      <c r="T23" s="26"/>
      <c r="U23" s="28">
        <f t="shared" si="2"/>
        <v>1.1861333333333333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587.37919999999997</v>
      </c>
      <c r="K24" s="20">
        <v>32.3001</v>
      </c>
      <c r="L24" s="20">
        <v>37.950600000000001</v>
      </c>
      <c r="M24" s="20">
        <v>39.344700000000003</v>
      </c>
      <c r="N24" s="20">
        <v>4.3041999999999998</v>
      </c>
      <c r="O24" s="20">
        <f t="shared" si="1"/>
        <v>33.886987500000004</v>
      </c>
      <c r="P24" s="7"/>
      <c r="Q24" s="13"/>
      <c r="R24" s="14"/>
      <c r="S24" s="14"/>
      <c r="T24" s="27"/>
      <c r="U24" s="28">
        <f t="shared" si="2"/>
        <v>1.4317514124293784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1.59</v>
      </c>
      <c r="H25" s="16">
        <f t="shared" si="0"/>
        <v>36.101999999999997</v>
      </c>
      <c r="I25" s="5"/>
      <c r="J25" s="15">
        <v>2401.8072000000002</v>
      </c>
      <c r="K25" s="16">
        <v>35.161099999999998</v>
      </c>
      <c r="L25" s="16">
        <v>38.680500000000002</v>
      </c>
      <c r="M25" s="16">
        <v>41.197699999999998</v>
      </c>
      <c r="N25" s="16">
        <v>2.7271000000000001</v>
      </c>
      <c r="O25" s="16">
        <f t="shared" si="1"/>
        <v>36.355599999999995</v>
      </c>
      <c r="P25" s="7"/>
      <c r="Q25" s="8">
        <f>bdrate(C25:C28,D25:D28,J25:J28,K25:K28)</f>
        <v>-0.42238081792354976</v>
      </c>
      <c r="R25" s="8">
        <f>bdrate(C25:C28,E25:E28,J25:J28,L25:L28)</f>
        <v>-0.58414561911215501</v>
      </c>
      <c r="S25" s="8">
        <f>bdrate(C25:C28,F25:F28,J25:J28,M25:M28)</f>
        <v>-0.62236374446970055</v>
      </c>
      <c r="T25" s="25">
        <f>bdrate(C25:C28,H25:H28,J25:J28,O25:O28)</f>
        <v>-0.45342809093659298</v>
      </c>
      <c r="U25" s="28">
        <f t="shared" si="2"/>
        <v>0.71515723270440246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1600.44</v>
      </c>
      <c r="K26" s="18">
        <v>34.046900000000001</v>
      </c>
      <c r="L26" s="18">
        <v>38.282299999999999</v>
      </c>
      <c r="M26" s="18">
        <v>40.369599999999998</v>
      </c>
      <c r="N26" s="18">
        <v>3.3468</v>
      </c>
      <c r="O26" s="18">
        <f t="shared" si="1"/>
        <v>35.366662500000004</v>
      </c>
      <c r="P26" s="7"/>
      <c r="Q26" s="10"/>
      <c r="R26" s="11"/>
      <c r="S26" s="11"/>
      <c r="T26" s="26"/>
      <c r="U26" s="28">
        <f t="shared" si="2"/>
        <v>0.83890109890109887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2.2200000000000002</v>
      </c>
      <c r="H27" s="18">
        <f t="shared" si="0"/>
        <v>33.212875000000004</v>
      </c>
      <c r="I27" s="5"/>
      <c r="J27" s="17">
        <v>986.60640000000001</v>
      </c>
      <c r="K27" s="18">
        <v>32.480899999999998</v>
      </c>
      <c r="L27" s="18">
        <v>37.757399999999997</v>
      </c>
      <c r="M27" s="18">
        <v>39.380299999999998</v>
      </c>
      <c r="N27" s="18">
        <v>4.2667000000000002</v>
      </c>
      <c r="O27" s="18">
        <f t="shared" si="1"/>
        <v>34.0028875</v>
      </c>
      <c r="P27" s="7"/>
      <c r="Q27" s="10"/>
      <c r="R27" s="11"/>
      <c r="S27" s="11"/>
      <c r="T27" s="26"/>
      <c r="U27" s="28">
        <f t="shared" si="2"/>
        <v>0.92193693693693679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2.87</v>
      </c>
      <c r="H28" s="20">
        <f t="shared" si="0"/>
        <v>31.292625000000001</v>
      </c>
      <c r="I28" s="5"/>
      <c r="J28" s="19">
        <v>584.97199999999998</v>
      </c>
      <c r="K28" s="20">
        <v>30.706499999999998</v>
      </c>
      <c r="L28" s="20">
        <v>37.088299999999997</v>
      </c>
      <c r="M28" s="20">
        <v>38.318800000000003</v>
      </c>
      <c r="N28" s="20">
        <v>5.7241999999999997</v>
      </c>
      <c r="O28" s="20">
        <f t="shared" si="1"/>
        <v>32.455762499999999</v>
      </c>
      <c r="P28" s="7"/>
      <c r="Q28" s="13"/>
      <c r="R28" s="14"/>
      <c r="S28" s="14"/>
      <c r="T28" s="27"/>
      <c r="U28" s="28">
        <f t="shared" si="2"/>
        <v>0.9944947735191636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2440.6167999999998</v>
      </c>
      <c r="K29" s="30">
        <v>34.944000000000003</v>
      </c>
      <c r="L29" s="30">
        <v>41.214700000000001</v>
      </c>
      <c r="M29" s="30">
        <v>40.9893</v>
      </c>
      <c r="N29" s="16">
        <v>2.3237000000000001</v>
      </c>
      <c r="O29" s="16">
        <f t="shared" si="1"/>
        <v>36.483499999999999</v>
      </c>
      <c r="P29" s="7"/>
      <c r="Q29" s="8">
        <f>bdrate(C29:C32,D29:D32,J29:J32,K29:K32)</f>
        <v>-0.46834470387192562</v>
      </c>
      <c r="R29" s="8">
        <f>bdrate(C29:C32,E29:E32,J29:J32,L29:L32)</f>
        <v>-0.68576165785169463</v>
      </c>
      <c r="S29" s="8">
        <f>bdrate(C29:C32,F29:F32,J29:J32,M29:M32)</f>
        <v>-0.61428668078674897</v>
      </c>
      <c r="T29" s="25">
        <f>bdrate(C29:C32,H29:H32,J29:J32,O29:O32)</f>
        <v>-0.50140498823674862</v>
      </c>
      <c r="U29" s="28">
        <f t="shared" si="2"/>
        <v>0.80131782945736441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1.65</v>
      </c>
      <c r="H30" s="18">
        <f t="shared" si="0"/>
        <v>34.457999999999998</v>
      </c>
      <c r="I30" s="5"/>
      <c r="J30" s="31">
        <v>1628.1152</v>
      </c>
      <c r="K30" s="32">
        <v>33.644300000000001</v>
      </c>
      <c r="L30" s="32">
        <v>40.530099999999997</v>
      </c>
      <c r="M30" s="32">
        <v>40.0655</v>
      </c>
      <c r="N30" s="18">
        <v>2.8492999999999999</v>
      </c>
      <c r="O30" s="18">
        <f t="shared" si="1"/>
        <v>35.307675000000003</v>
      </c>
      <c r="P30" s="7"/>
      <c r="Q30" s="10"/>
      <c r="R30" s="11"/>
      <c r="S30" s="11"/>
      <c r="T30" s="26"/>
      <c r="U30" s="28">
        <f t="shared" si="2"/>
        <v>0.72684848484848485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2.2599999999999998</v>
      </c>
      <c r="H31" s="18">
        <f t="shared" si="0"/>
        <v>32.370375000000003</v>
      </c>
      <c r="I31" s="5"/>
      <c r="J31" s="31">
        <v>1013.7288</v>
      </c>
      <c r="K31" s="32">
        <v>32.011299999999999</v>
      </c>
      <c r="L31" s="32">
        <v>39.810099999999998</v>
      </c>
      <c r="M31" s="32">
        <v>39.008200000000002</v>
      </c>
      <c r="N31" s="18">
        <v>3.6989000000000001</v>
      </c>
      <c r="O31" s="18">
        <f t="shared" si="1"/>
        <v>33.8607625</v>
      </c>
      <c r="P31" s="7"/>
      <c r="Q31" s="10"/>
      <c r="R31" s="11"/>
      <c r="S31" s="11"/>
      <c r="T31" s="26"/>
      <c r="U31" s="28">
        <f t="shared" si="2"/>
        <v>0.63668141592920369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3.19</v>
      </c>
      <c r="H32" s="20">
        <f t="shared" si="0"/>
        <v>29.674750000000003</v>
      </c>
      <c r="I32" s="5"/>
      <c r="J32" s="33">
        <v>604.88720000000001</v>
      </c>
      <c r="K32" s="34">
        <v>30.146100000000001</v>
      </c>
      <c r="L32" s="34">
        <v>38.829099999999997</v>
      </c>
      <c r="M32" s="34">
        <v>37.571100000000001</v>
      </c>
      <c r="N32" s="20">
        <v>4.9497999999999998</v>
      </c>
      <c r="O32" s="20">
        <f t="shared" si="1"/>
        <v>32.159599999999998</v>
      </c>
      <c r="P32" s="7"/>
      <c r="Q32" s="13"/>
      <c r="R32" s="14"/>
      <c r="S32" s="14"/>
      <c r="T32" s="27"/>
      <c r="U32" s="28">
        <f t="shared" si="2"/>
        <v>0.55166144200626954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1.34</v>
      </c>
      <c r="H33" s="16">
        <f t="shared" si="0"/>
        <v>35.568125000000002</v>
      </c>
      <c r="I33" s="5"/>
      <c r="J33" s="15">
        <v>2390.3607999999999</v>
      </c>
      <c r="K33" s="16">
        <v>34.139600000000002</v>
      </c>
      <c r="L33" s="16">
        <v>40.290900000000001</v>
      </c>
      <c r="M33" s="16">
        <v>42.724800000000002</v>
      </c>
      <c r="N33" s="16">
        <v>3.3018999999999998</v>
      </c>
      <c r="O33" s="16">
        <f t="shared" si="1"/>
        <v>35.981662499999999</v>
      </c>
      <c r="P33" s="7"/>
      <c r="Q33" s="8">
        <f>bdrate(C33:C36,D33:D36,J33:J36,K33:K36)</f>
        <v>-0.47607993367033441</v>
      </c>
      <c r="R33" s="8">
        <f>bdrate(C33:C36,E33:E36,J33:J36,L33:L36)</f>
        <v>-0.64151093160374884</v>
      </c>
      <c r="S33" s="8">
        <f>bdrate(C33:C36,F33:F36,J33:J36,M33:M36)</f>
        <v>-0.6239833096263635</v>
      </c>
      <c r="T33" s="25">
        <f>bdrate(C33:C36,H33:H36,J33:J36,O33:O36)</f>
        <v>-0.5018928514312132</v>
      </c>
      <c r="U33" s="28">
        <f t="shared" si="2"/>
        <v>1.4641044776119401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1.52</v>
      </c>
      <c r="H34" s="18">
        <f t="shared" si="0"/>
        <v>34.862499999999997</v>
      </c>
      <c r="I34" s="5"/>
      <c r="J34" s="17">
        <v>1588.4</v>
      </c>
      <c r="K34" s="18">
        <v>33.5077</v>
      </c>
      <c r="L34" s="18">
        <v>39.8414</v>
      </c>
      <c r="M34" s="18">
        <v>42.324199999999998</v>
      </c>
      <c r="N34" s="18">
        <v>4.2359999999999998</v>
      </c>
      <c r="O34" s="18">
        <f t="shared" si="1"/>
        <v>35.401474999999998</v>
      </c>
      <c r="P34" s="7"/>
      <c r="Q34" s="10"/>
      <c r="R34" s="11"/>
      <c r="S34" s="11"/>
      <c r="T34" s="26"/>
      <c r="U34" s="28">
        <f t="shared" si="2"/>
        <v>1.7868421052631578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1.83</v>
      </c>
      <c r="H35" s="18">
        <f t="shared" si="0"/>
        <v>33.743375</v>
      </c>
      <c r="I35" s="5"/>
      <c r="J35" s="17">
        <v>982.0104</v>
      </c>
      <c r="K35" s="18">
        <v>32.520800000000001</v>
      </c>
      <c r="L35" s="18">
        <v>39.124899999999997</v>
      </c>
      <c r="M35" s="18">
        <v>41.738900000000001</v>
      </c>
      <c r="N35" s="18">
        <v>5.6395</v>
      </c>
      <c r="O35" s="18">
        <f t="shared" si="1"/>
        <v>34.498575000000002</v>
      </c>
      <c r="P35" s="7"/>
      <c r="Q35" s="10"/>
      <c r="R35" s="11"/>
      <c r="S35" s="11"/>
      <c r="T35" s="26"/>
      <c r="U35" s="28">
        <f t="shared" si="2"/>
        <v>2.081693989071038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581.44479999999999</v>
      </c>
      <c r="K36" s="20">
        <v>31.1097</v>
      </c>
      <c r="L36" s="20">
        <v>38.552300000000002</v>
      </c>
      <c r="M36" s="20">
        <v>41.173999999999999</v>
      </c>
      <c r="N36" s="20">
        <v>7.7283999999999997</v>
      </c>
      <c r="O36" s="20">
        <f t="shared" si="1"/>
        <v>33.2980625</v>
      </c>
      <c r="P36" s="7"/>
      <c r="Q36" s="13"/>
      <c r="R36" s="14"/>
      <c r="S36" s="14"/>
      <c r="T36" s="27"/>
      <c r="U36" s="28">
        <f t="shared" si="2"/>
        <v>2.3896491228070174</v>
      </c>
    </row>
    <row r="37" spans="1:21" x14ac:dyDescent="0.25">
      <c r="A37" s="6" t="s">
        <v>39</v>
      </c>
      <c r="B37" s="6" t="s">
        <v>53</v>
      </c>
      <c r="C37" s="15">
        <v>1544.87</v>
      </c>
      <c r="D37" s="16">
        <v>35.991999999999997</v>
      </c>
      <c r="E37" s="16">
        <v>39.396000000000001</v>
      </c>
      <c r="F37" s="16">
        <v>39.319000000000003</v>
      </c>
      <c r="G37" s="16">
        <v>6.89</v>
      </c>
      <c r="H37" s="16">
        <f t="shared" si="0"/>
        <v>36.833375000000004</v>
      </c>
      <c r="I37" s="5"/>
      <c r="J37" s="15">
        <v>1201.4680000000001</v>
      </c>
      <c r="K37" s="16">
        <v>37.0974</v>
      </c>
      <c r="L37" s="16">
        <v>41.059399999999997</v>
      </c>
      <c r="M37" s="16">
        <v>41.074399999999997</v>
      </c>
      <c r="N37" s="16">
        <v>7.1627000000000001</v>
      </c>
      <c r="O37" s="16">
        <f t="shared" si="1"/>
        <v>38.089775000000003</v>
      </c>
      <c r="P37" s="7"/>
      <c r="Q37" s="8">
        <f>bdrate(C37:C40,D37:D40,J37:J40,K37:K40)</f>
        <v>-0.37672802068193589</v>
      </c>
      <c r="R37" s="8">
        <f>bdrate(C37:C40,E37:E40,J37:J40,L37:L40)</f>
        <v>-0.57399467113292135</v>
      </c>
      <c r="S37" s="8">
        <f>bdrate(C37:C40,F37:F40,J37:J40,M37:M40)</f>
        <v>-0.54698724604929416</v>
      </c>
      <c r="T37" s="25">
        <f>bdrate(C37:C40,H37:H40,J37:J40,O37:O40)</f>
        <v>-0.41828256512300344</v>
      </c>
      <c r="U37" s="28">
        <f t="shared" si="2"/>
        <v>3.9579100145137942E-2</v>
      </c>
    </row>
    <row r="38" spans="1:21" x14ac:dyDescent="0.25">
      <c r="A38" s="9" t="s">
        <v>40</v>
      </c>
      <c r="B38" s="9"/>
      <c r="C38" s="17">
        <v>1047.28</v>
      </c>
      <c r="D38" s="18">
        <v>34.429000000000002</v>
      </c>
      <c r="E38" s="18">
        <v>38.017000000000003</v>
      </c>
      <c r="F38" s="18">
        <v>37.841000000000001</v>
      </c>
      <c r="G38" s="18">
        <v>7.85</v>
      </c>
      <c r="H38" s="18">
        <f t="shared" si="0"/>
        <v>35.304000000000002</v>
      </c>
      <c r="I38" s="5"/>
      <c r="J38" s="17">
        <v>799.91279999999995</v>
      </c>
      <c r="K38" s="18">
        <v>35.254199999999997</v>
      </c>
      <c r="L38" s="18">
        <v>39.704900000000002</v>
      </c>
      <c r="M38" s="18">
        <v>39.517000000000003</v>
      </c>
      <c r="N38" s="18">
        <v>8.548</v>
      </c>
      <c r="O38" s="18">
        <f t="shared" si="1"/>
        <v>36.343387499999999</v>
      </c>
      <c r="P38" s="7"/>
      <c r="Q38" s="10"/>
      <c r="R38" s="11"/>
      <c r="S38" s="11"/>
      <c r="T38" s="26"/>
      <c r="U38" s="28">
        <f t="shared" si="2"/>
        <v>8.8917197452229355E-2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9.33</v>
      </c>
      <c r="H39" s="18">
        <f t="shared" si="0"/>
        <v>33.387125000000005</v>
      </c>
      <c r="I39" s="5"/>
      <c r="J39" s="17">
        <v>500.04880000000003</v>
      </c>
      <c r="K39" s="18">
        <v>33.277900000000002</v>
      </c>
      <c r="L39" s="18">
        <v>38.360100000000003</v>
      </c>
      <c r="M39" s="18">
        <v>38.041899999999998</v>
      </c>
      <c r="N39" s="18">
        <v>10.6546</v>
      </c>
      <c r="O39" s="18">
        <f t="shared" si="1"/>
        <v>34.508675000000004</v>
      </c>
      <c r="P39" s="7"/>
      <c r="Q39" s="10"/>
      <c r="R39" s="11"/>
      <c r="S39" s="11"/>
      <c r="T39" s="26"/>
      <c r="U39" s="28">
        <f t="shared" si="2"/>
        <v>0.14197213290460881</v>
      </c>
    </row>
    <row r="40" spans="1:21" ht="16.5" thickBot="1" x14ac:dyDescent="0.3">
      <c r="B40" s="12"/>
      <c r="C40" s="19">
        <v>394.93</v>
      </c>
      <c r="D40" s="20">
        <v>30.12</v>
      </c>
      <c r="E40" s="20">
        <v>35.286000000000001</v>
      </c>
      <c r="F40" s="20">
        <v>34.82</v>
      </c>
      <c r="G40" s="20">
        <v>12.35</v>
      </c>
      <c r="H40" s="20">
        <f t="shared" si="0"/>
        <v>31.353249999999999</v>
      </c>
      <c r="I40" s="5"/>
      <c r="J40" s="19">
        <v>299.6712</v>
      </c>
      <c r="K40" s="20">
        <v>31.249400000000001</v>
      </c>
      <c r="L40" s="20">
        <v>37.0715</v>
      </c>
      <c r="M40" s="20">
        <v>36.426499999999997</v>
      </c>
      <c r="N40" s="20">
        <v>13.8301</v>
      </c>
      <c r="O40" s="20">
        <f t="shared" si="1"/>
        <v>32.624299999999998</v>
      </c>
      <c r="P40" s="7"/>
      <c r="Q40" s="13"/>
      <c r="R40" s="14"/>
      <c r="S40" s="14"/>
      <c r="T40" s="27"/>
      <c r="U40" s="28">
        <f t="shared" si="2"/>
        <v>0.11984615384615387</v>
      </c>
    </row>
    <row r="41" spans="1:21" x14ac:dyDescent="0.25">
      <c r="B41" s="6" t="s">
        <v>54</v>
      </c>
      <c r="C41" s="15">
        <v>1575.73</v>
      </c>
      <c r="D41" s="16">
        <v>36.189</v>
      </c>
      <c r="E41" s="16">
        <v>40.359000000000002</v>
      </c>
      <c r="F41" s="16">
        <v>41.207000000000001</v>
      </c>
      <c r="G41" s="16">
        <v>7.59</v>
      </c>
      <c r="H41" s="16">
        <f t="shared" si="0"/>
        <v>37.337499999999999</v>
      </c>
      <c r="I41" s="5"/>
      <c r="J41" s="15">
        <v>1209.9064000000001</v>
      </c>
      <c r="K41" s="16">
        <v>36.404499999999999</v>
      </c>
      <c r="L41" s="16">
        <v>41.659799999999997</v>
      </c>
      <c r="M41" s="16">
        <v>42.686799999999998</v>
      </c>
      <c r="N41" s="16">
        <v>8.9709000000000003</v>
      </c>
      <c r="O41" s="16">
        <f t="shared" si="1"/>
        <v>37.846699999999998</v>
      </c>
      <c r="P41" s="7"/>
      <c r="Q41" s="8">
        <f>bdrate(C41:C44,D41:D44,J41:J44,K41:K44)</f>
        <v>-0.33548539261618626</v>
      </c>
      <c r="R41" s="8">
        <f>bdrate(C41:C44,E41:E44,J41:J44,L41:L44)</f>
        <v>-0.5586154799170715</v>
      </c>
      <c r="S41" s="8">
        <f>bdrate(C41:C44,F41:F44,J41:J44,M41:M44)</f>
        <v>-0.55671296497966039</v>
      </c>
      <c r="T41" s="25">
        <f>bdrate(C41:C44,H41:H44,J41:J44,O41:O44)</f>
        <v>-0.37778145806358432</v>
      </c>
      <c r="U41" s="28">
        <f t="shared" si="2"/>
        <v>0.1819367588932807</v>
      </c>
    </row>
    <row r="42" spans="1:21" x14ac:dyDescent="0.25">
      <c r="B42" s="9"/>
      <c r="C42" s="17">
        <v>1068.0899999999999</v>
      </c>
      <c r="D42" s="18">
        <v>34.51</v>
      </c>
      <c r="E42" s="18">
        <v>39.432000000000002</v>
      </c>
      <c r="F42" s="18">
        <v>40.192999999999998</v>
      </c>
      <c r="G42" s="18">
        <v>8.2799999999999994</v>
      </c>
      <c r="H42" s="18">
        <f t="shared" si="0"/>
        <v>35.835625</v>
      </c>
      <c r="I42" s="5"/>
      <c r="J42" s="17">
        <v>807.46400000000006</v>
      </c>
      <c r="K42" s="18">
        <v>34.8887</v>
      </c>
      <c r="L42" s="18">
        <v>40.732399999999998</v>
      </c>
      <c r="M42" s="18">
        <v>41.628700000000002</v>
      </c>
      <c r="N42" s="18">
        <v>10.989000000000001</v>
      </c>
      <c r="O42" s="18">
        <f t="shared" si="1"/>
        <v>36.461662499999996</v>
      </c>
      <c r="P42" s="7"/>
      <c r="Q42" s="10"/>
      <c r="R42" s="11"/>
      <c r="S42" s="11"/>
      <c r="T42" s="26"/>
      <c r="U42" s="28">
        <f t="shared" si="2"/>
        <v>0.32717391304347848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9.3699999999999992</v>
      </c>
      <c r="H43" s="18">
        <f t="shared" si="0"/>
        <v>33.875874999999994</v>
      </c>
      <c r="I43" s="5"/>
      <c r="J43" s="17">
        <v>505.38799999999998</v>
      </c>
      <c r="K43" s="18">
        <v>33.019300000000001</v>
      </c>
      <c r="L43" s="18">
        <v>39.597999999999999</v>
      </c>
      <c r="M43" s="18">
        <v>40.346200000000003</v>
      </c>
      <c r="N43" s="18">
        <v>13.723699999999999</v>
      </c>
      <c r="O43" s="18">
        <f t="shared" si="1"/>
        <v>34.7575</v>
      </c>
      <c r="P43" s="7"/>
      <c r="Q43" s="10"/>
      <c r="R43" s="11"/>
      <c r="S43" s="11"/>
      <c r="T43" s="26"/>
      <c r="U43" s="28">
        <f t="shared" si="2"/>
        <v>0.46464247598719322</v>
      </c>
    </row>
    <row r="44" spans="1:21" ht="16.5" thickBot="1" x14ac:dyDescent="0.3">
      <c r="B44" s="12"/>
      <c r="C44" s="19">
        <v>405.9</v>
      </c>
      <c r="D44" s="20">
        <v>29.831</v>
      </c>
      <c r="E44" s="20">
        <v>37.381999999999998</v>
      </c>
      <c r="F44" s="20">
        <v>37.957999999999998</v>
      </c>
      <c r="G44" s="20">
        <v>10.82</v>
      </c>
      <c r="H44" s="20">
        <f t="shared" si="0"/>
        <v>31.790749999999999</v>
      </c>
      <c r="I44" s="5"/>
      <c r="J44" s="19">
        <v>302.88479999999998</v>
      </c>
      <c r="K44" s="20">
        <v>30.909400000000002</v>
      </c>
      <c r="L44" s="20">
        <v>38.409799999999997</v>
      </c>
      <c r="M44" s="20">
        <v>39.102800000000002</v>
      </c>
      <c r="N44" s="20">
        <v>17.5136</v>
      </c>
      <c r="O44" s="20">
        <f t="shared" si="1"/>
        <v>32.871124999999999</v>
      </c>
      <c r="P44" s="7"/>
      <c r="Q44" s="13"/>
      <c r="R44" s="14"/>
      <c r="S44" s="14"/>
      <c r="T44" s="27"/>
      <c r="U44" s="28">
        <f t="shared" si="2"/>
        <v>0.61863216266173748</v>
      </c>
    </row>
    <row r="45" spans="1:21" x14ac:dyDescent="0.25">
      <c r="B45" s="6" t="s">
        <v>55</v>
      </c>
      <c r="C45" s="15">
        <v>1414.66</v>
      </c>
      <c r="D45" s="16">
        <v>30.631</v>
      </c>
      <c r="E45" s="16">
        <v>36.012999999999998</v>
      </c>
      <c r="F45" s="16">
        <v>36.722000000000001</v>
      </c>
      <c r="G45" s="16">
        <v>6.08</v>
      </c>
      <c r="H45" s="16">
        <f t="shared" si="0"/>
        <v>32.065125000000002</v>
      </c>
      <c r="I45" s="5"/>
      <c r="J45" s="15">
        <v>1188.796</v>
      </c>
      <c r="K45" s="16">
        <v>31.3477</v>
      </c>
      <c r="L45" s="16">
        <v>37.615900000000003</v>
      </c>
      <c r="M45" s="16">
        <v>38.466799999999999</v>
      </c>
      <c r="N45" s="16">
        <v>9.4981000000000009</v>
      </c>
      <c r="O45" s="16">
        <f t="shared" si="1"/>
        <v>33.021112500000001</v>
      </c>
      <c r="P45" s="7"/>
      <c r="Q45" s="8">
        <f>bdrate(C45:C48,D45:D48,J45:J48,K45:K48)</f>
        <v>-0.35093917476901026</v>
      </c>
      <c r="R45" s="8">
        <f>bdrate(C45:C48,E45:E48,J45:J48,L45:L48)</f>
        <v>-0.60940349593067977</v>
      </c>
      <c r="S45" s="8">
        <f>bdrate(C45:C48,F45:F48,J45:J48,M45:M48)</f>
        <v>-0.60842412589684836</v>
      </c>
      <c r="T45" s="25">
        <f>bdrate(C45:C48,H45:H48,J45:J48,O45:O48)</f>
        <v>-0.39662728664429503</v>
      </c>
      <c r="U45" s="28">
        <f t="shared" si="2"/>
        <v>0.56218750000000017</v>
      </c>
    </row>
    <row r="46" spans="1:21" x14ac:dyDescent="0.25">
      <c r="B46" s="9"/>
      <c r="C46" s="17">
        <v>961.17</v>
      </c>
      <c r="D46" s="18">
        <v>29.16</v>
      </c>
      <c r="E46" s="18">
        <v>35.340000000000003</v>
      </c>
      <c r="F46" s="18">
        <v>36.076000000000001</v>
      </c>
      <c r="G46" s="18">
        <v>6.57</v>
      </c>
      <c r="H46" s="18">
        <f t="shared" si="0"/>
        <v>30.797000000000001</v>
      </c>
      <c r="I46" s="5"/>
      <c r="J46" s="17">
        <v>796.89679999999998</v>
      </c>
      <c r="K46" s="18">
        <v>29.939699999999998</v>
      </c>
      <c r="L46" s="18">
        <v>36.7271</v>
      </c>
      <c r="M46" s="18">
        <v>37.542999999999999</v>
      </c>
      <c r="N46" s="18">
        <v>11.658799999999999</v>
      </c>
      <c r="O46" s="18">
        <f t="shared" si="1"/>
        <v>31.7385375</v>
      </c>
      <c r="P46" s="7"/>
      <c r="Q46" s="10"/>
      <c r="R46" s="11"/>
      <c r="S46" s="11"/>
      <c r="T46" s="26"/>
      <c r="U46" s="28">
        <f t="shared" si="2"/>
        <v>0.7745509893455097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7.2</v>
      </c>
      <c r="H47" s="18">
        <f t="shared" si="0"/>
        <v>29.376374999999999</v>
      </c>
      <c r="I47" s="5"/>
      <c r="J47" s="17">
        <v>500.43920000000003</v>
      </c>
      <c r="K47" s="18">
        <v>28.4026</v>
      </c>
      <c r="L47" s="18">
        <v>35.849699999999999</v>
      </c>
      <c r="M47" s="18">
        <v>36.581499999999998</v>
      </c>
      <c r="N47" s="18">
        <v>14.623699999999999</v>
      </c>
      <c r="O47" s="18">
        <f t="shared" si="1"/>
        <v>30.355849999999997</v>
      </c>
      <c r="P47" s="7"/>
      <c r="Q47" s="10"/>
      <c r="R47" s="11"/>
      <c r="S47" s="11"/>
      <c r="T47" s="26"/>
      <c r="U47" s="28">
        <f t="shared" si="2"/>
        <v>1.0310694444444444</v>
      </c>
    </row>
    <row r="48" spans="1:21" ht="16.5" thickBot="1" x14ac:dyDescent="0.3">
      <c r="B48" s="12"/>
      <c r="C48" s="19">
        <v>368.91</v>
      </c>
      <c r="D48" s="20">
        <v>25.834</v>
      </c>
      <c r="E48" s="20">
        <v>34.118000000000002</v>
      </c>
      <c r="F48" s="20">
        <v>34.854999999999997</v>
      </c>
      <c r="G48" s="20">
        <v>7.91</v>
      </c>
      <c r="H48" s="20">
        <f t="shared" si="0"/>
        <v>27.997124999999997</v>
      </c>
      <c r="I48" s="5"/>
      <c r="J48" s="19">
        <v>304.33120000000002</v>
      </c>
      <c r="K48" s="20">
        <v>26.881499999999999</v>
      </c>
      <c r="L48" s="20">
        <v>34.975499999999997</v>
      </c>
      <c r="M48" s="20">
        <v>35.7057</v>
      </c>
      <c r="N48" s="20">
        <v>18.7942</v>
      </c>
      <c r="O48" s="20">
        <f t="shared" si="1"/>
        <v>28.996275000000001</v>
      </c>
      <c r="P48" s="7"/>
      <c r="Q48" s="13"/>
      <c r="R48" s="14"/>
      <c r="S48" s="14"/>
      <c r="T48" s="27"/>
      <c r="U48" s="28">
        <f t="shared" si="2"/>
        <v>1.3760050568900126</v>
      </c>
    </row>
    <row r="49" spans="1:21" x14ac:dyDescent="0.25">
      <c r="B49" s="6" t="s">
        <v>56</v>
      </c>
      <c r="C49" s="15">
        <v>1417.43</v>
      </c>
      <c r="D49" s="16">
        <v>33.695999999999998</v>
      </c>
      <c r="E49" s="16">
        <v>37.109000000000002</v>
      </c>
      <c r="F49" s="16">
        <v>38.881</v>
      </c>
      <c r="G49" s="16">
        <v>4.91</v>
      </c>
      <c r="H49" s="16">
        <f t="shared" si="0"/>
        <v>34.77075</v>
      </c>
      <c r="I49" s="5"/>
      <c r="J49" s="15">
        <v>1188.2816</v>
      </c>
      <c r="K49" s="16">
        <v>33.581699999999998</v>
      </c>
      <c r="L49" s="16">
        <v>37.956099999999999</v>
      </c>
      <c r="M49" s="16">
        <v>39.625</v>
      </c>
      <c r="N49" s="16">
        <v>5.4945000000000004</v>
      </c>
      <c r="O49" s="16">
        <f t="shared" si="1"/>
        <v>34.883912499999994</v>
      </c>
      <c r="P49" s="7"/>
      <c r="Q49" s="8">
        <f>bdrate(C49:C52,D49:D52,J49:J52,K49:K52)</f>
        <v>-0.17737570745738973</v>
      </c>
      <c r="R49" s="8">
        <f>bdrate(C49:C52,E49:E52,J49:J52,L49:L52)</f>
        <v>-0.43154133175613818</v>
      </c>
      <c r="S49" s="8">
        <f>bdrate(C49:C52,F49:F52,J49:J52,M49:M52)</f>
        <v>-0.42508247630967366</v>
      </c>
      <c r="T49" s="25">
        <f>bdrate(C49:C52,H49:H52,J49:J52,O49:O52)</f>
        <v>-0.21881927999084849</v>
      </c>
      <c r="U49" s="28">
        <f t="shared" si="2"/>
        <v>0.11904276985743385</v>
      </c>
    </row>
    <row r="50" spans="1:21" x14ac:dyDescent="0.25">
      <c r="B50" s="9"/>
      <c r="C50" s="17">
        <v>971.44</v>
      </c>
      <c r="D50" s="18">
        <v>32.177999999999997</v>
      </c>
      <c r="E50" s="18">
        <v>36.316000000000003</v>
      </c>
      <c r="F50" s="18">
        <v>38.064999999999998</v>
      </c>
      <c r="G50" s="18">
        <v>5.5</v>
      </c>
      <c r="H50" s="18">
        <f t="shared" si="0"/>
        <v>33.431124999999994</v>
      </c>
      <c r="I50" s="5"/>
      <c r="J50" s="17">
        <v>787.26959999999997</v>
      </c>
      <c r="K50" s="18">
        <v>31.9846</v>
      </c>
      <c r="L50" s="18">
        <v>37.001199999999997</v>
      </c>
      <c r="M50" s="18">
        <v>38.718499999999999</v>
      </c>
      <c r="N50" s="18">
        <v>6.5585000000000004</v>
      </c>
      <c r="O50" s="18">
        <f t="shared" si="1"/>
        <v>33.453412499999999</v>
      </c>
      <c r="P50" s="7"/>
      <c r="Q50" s="10"/>
      <c r="R50" s="11"/>
      <c r="S50" s="11"/>
      <c r="T50" s="26"/>
      <c r="U50" s="28">
        <f t="shared" si="2"/>
        <v>0.19245454545454554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6.15</v>
      </c>
      <c r="H51" s="18">
        <f t="shared" si="0"/>
        <v>31.795374999999996</v>
      </c>
      <c r="I51" s="5"/>
      <c r="J51" s="17">
        <v>491.80959999999999</v>
      </c>
      <c r="K51" s="18">
        <v>30.254300000000001</v>
      </c>
      <c r="L51" s="18">
        <v>36.100499999999997</v>
      </c>
      <c r="M51" s="18">
        <v>37.816800000000001</v>
      </c>
      <c r="N51" s="18">
        <v>8.0117999999999991</v>
      </c>
      <c r="O51" s="18">
        <f t="shared" si="1"/>
        <v>31.930387500000002</v>
      </c>
      <c r="P51" s="7"/>
      <c r="Q51" s="10"/>
      <c r="R51" s="11"/>
      <c r="S51" s="11"/>
      <c r="T51" s="26"/>
      <c r="U51" s="28">
        <f t="shared" si="2"/>
        <v>0.30273170731707294</v>
      </c>
    </row>
    <row r="52" spans="1:21" ht="16.5" thickBot="1" x14ac:dyDescent="0.3">
      <c r="B52" s="12"/>
      <c r="C52" s="19">
        <v>380.4</v>
      </c>
      <c r="D52" s="20">
        <v>28.36</v>
      </c>
      <c r="E52" s="20">
        <v>34.587000000000003</v>
      </c>
      <c r="F52" s="20">
        <v>36.134</v>
      </c>
      <c r="G52" s="20">
        <v>7.34</v>
      </c>
      <c r="H52" s="20">
        <f t="shared" si="0"/>
        <v>30.110125000000004</v>
      </c>
      <c r="I52" s="5"/>
      <c r="J52" s="19">
        <v>290.93439999999998</v>
      </c>
      <c r="K52" s="20">
        <v>28.5045</v>
      </c>
      <c r="L52" s="20">
        <v>35.191600000000001</v>
      </c>
      <c r="M52" s="20">
        <v>36.898499999999999</v>
      </c>
      <c r="N52" s="20">
        <v>10.261699999999999</v>
      </c>
      <c r="O52" s="20">
        <f t="shared" si="1"/>
        <v>30.389637499999999</v>
      </c>
      <c r="P52" s="7"/>
      <c r="Q52" s="13"/>
      <c r="R52" s="14"/>
      <c r="S52" s="14"/>
      <c r="T52" s="27"/>
      <c r="U52" s="28">
        <f t="shared" si="2"/>
        <v>0.39805177111716616</v>
      </c>
    </row>
    <row r="53" spans="1:21" x14ac:dyDescent="0.25">
      <c r="A53" s="6" t="s">
        <v>41</v>
      </c>
      <c r="B53" s="6" t="s">
        <v>57</v>
      </c>
      <c r="C53" s="15">
        <v>845.97</v>
      </c>
      <c r="D53" s="16">
        <v>36.514000000000003</v>
      </c>
      <c r="E53" s="16">
        <v>40.103999999999999</v>
      </c>
      <c r="F53" s="16">
        <v>38.972999999999999</v>
      </c>
      <c r="G53" s="16">
        <v>23.71</v>
      </c>
      <c r="H53" s="16">
        <f t="shared" si="0"/>
        <v>37.270125</v>
      </c>
      <c r="I53" s="5"/>
      <c r="J53" s="15">
        <v>602.17840000000001</v>
      </c>
      <c r="K53" s="16">
        <v>35.894500000000001</v>
      </c>
      <c r="L53" s="16">
        <v>41.111699999999999</v>
      </c>
      <c r="M53" s="16">
        <v>39.615900000000003</v>
      </c>
      <c r="N53" s="16">
        <v>20.0425</v>
      </c>
      <c r="O53" s="16">
        <f t="shared" si="1"/>
        <v>37.011825000000002</v>
      </c>
      <c r="P53" s="7"/>
      <c r="Q53" s="8">
        <f>bdrate(C53:C56,D53:D56,J53:J56,K53:K56)</f>
        <v>-0.21247493404309314</v>
      </c>
      <c r="R53" s="8">
        <f>bdrate(C53:C56,E53:E56,J53:J56,L53:L56)</f>
        <v>-0.50850059832174122</v>
      </c>
      <c r="S53" s="8">
        <f>bdrate(C53:C56,F53:F56,J53:J56,M53:M56)</f>
        <v>-0.43135156577083977</v>
      </c>
      <c r="T53" s="25">
        <f>bdrate(C53:C56,H53:H56,J53:J56,O53:O56)</f>
        <v>-0.26061674637640653</v>
      </c>
      <c r="U53" s="28">
        <f t="shared" si="2"/>
        <v>-0.15468156895824547</v>
      </c>
    </row>
    <row r="54" spans="1:21" x14ac:dyDescent="0.25">
      <c r="A54" s="9" t="s">
        <v>42</v>
      </c>
      <c r="B54" s="9"/>
      <c r="C54" s="17">
        <v>531.1</v>
      </c>
      <c r="D54" s="18">
        <v>34.186</v>
      </c>
      <c r="E54" s="18">
        <v>38.706000000000003</v>
      </c>
      <c r="F54" s="18">
        <v>37.377000000000002</v>
      </c>
      <c r="G54" s="18">
        <v>25.38</v>
      </c>
      <c r="H54" s="18">
        <f t="shared" si="0"/>
        <v>35.149875000000002</v>
      </c>
      <c r="I54" s="5"/>
      <c r="J54" s="17">
        <v>399.32639999999998</v>
      </c>
      <c r="K54" s="18">
        <v>33.869</v>
      </c>
      <c r="L54" s="18">
        <v>39.8767</v>
      </c>
      <c r="M54" s="18">
        <v>38.181600000000003</v>
      </c>
      <c r="N54" s="18">
        <v>23.5505</v>
      </c>
      <c r="O54" s="18">
        <f t="shared" si="1"/>
        <v>35.159037499999997</v>
      </c>
      <c r="P54" s="7"/>
      <c r="Q54" s="10"/>
      <c r="R54" s="11"/>
      <c r="S54" s="11"/>
      <c r="T54" s="26"/>
      <c r="U54" s="28">
        <f t="shared" si="2"/>
        <v>-7.2084318360914085E-2</v>
      </c>
    </row>
    <row r="55" spans="1:21" x14ac:dyDescent="0.25">
      <c r="B55" s="9"/>
      <c r="C55" s="17">
        <v>320.13</v>
      </c>
      <c r="D55" s="18">
        <v>31.803999999999998</v>
      </c>
      <c r="E55" s="18">
        <v>37.476999999999997</v>
      </c>
      <c r="F55" s="18">
        <v>35.921999999999997</v>
      </c>
      <c r="G55" s="18">
        <v>28.75</v>
      </c>
      <c r="H55" s="18">
        <f t="shared" si="0"/>
        <v>33.027874999999995</v>
      </c>
      <c r="I55" s="5"/>
      <c r="J55" s="17">
        <v>248.3792</v>
      </c>
      <c r="K55" s="18">
        <v>31.705500000000001</v>
      </c>
      <c r="L55" s="18">
        <v>38.579599999999999</v>
      </c>
      <c r="M55" s="18">
        <v>36.830399999999997</v>
      </c>
      <c r="N55" s="18">
        <v>28.438199999999998</v>
      </c>
      <c r="O55" s="18">
        <f t="shared" si="1"/>
        <v>33.205375000000004</v>
      </c>
      <c r="P55" s="7"/>
      <c r="Q55" s="10"/>
      <c r="R55" s="11"/>
      <c r="S55" s="11"/>
      <c r="T55" s="26"/>
      <c r="U55" s="28">
        <f t="shared" si="2"/>
        <v>-1.0845217391304405E-2</v>
      </c>
    </row>
    <row r="56" spans="1:21" ht="16.5" thickBot="1" x14ac:dyDescent="0.3">
      <c r="B56" s="12"/>
      <c r="C56" s="19">
        <v>160.91999999999999</v>
      </c>
      <c r="D56" s="20">
        <v>28.69</v>
      </c>
      <c r="E56" s="20">
        <v>36.125</v>
      </c>
      <c r="F56" s="20">
        <v>34.186</v>
      </c>
      <c r="G56" s="20">
        <v>38.520000000000003</v>
      </c>
      <c r="H56" s="20">
        <f t="shared" si="0"/>
        <v>30.306375000000003</v>
      </c>
      <c r="I56" s="5"/>
      <c r="J56" s="19">
        <v>119.38079999999999</v>
      </c>
      <c r="K56" s="20">
        <v>28.7194</v>
      </c>
      <c r="L56" s="20">
        <v>36.927799999999998</v>
      </c>
      <c r="M56" s="20">
        <v>34.892299999999999</v>
      </c>
      <c r="N56" s="20">
        <v>38.8018</v>
      </c>
      <c r="O56" s="20">
        <f t="shared" si="1"/>
        <v>30.517062499999998</v>
      </c>
      <c r="P56" s="7"/>
      <c r="Q56" s="13"/>
      <c r="R56" s="14"/>
      <c r="S56" s="14"/>
      <c r="T56" s="27"/>
      <c r="U56" s="28">
        <f t="shared" si="2"/>
        <v>7.315680166147376E-3</v>
      </c>
    </row>
    <row r="57" spans="1:21" x14ac:dyDescent="0.25">
      <c r="B57" s="6" t="s">
        <v>58</v>
      </c>
      <c r="C57" s="15">
        <v>742.15</v>
      </c>
      <c r="D57" s="16">
        <v>33.451999999999998</v>
      </c>
      <c r="E57" s="16">
        <v>39.929000000000002</v>
      </c>
      <c r="F57" s="16">
        <v>40.741999999999997</v>
      </c>
      <c r="G57" s="16">
        <v>23.82</v>
      </c>
      <c r="H57" s="16">
        <f t="shared" si="0"/>
        <v>35.172874999999998</v>
      </c>
      <c r="I57" s="5"/>
      <c r="J57" s="15">
        <v>593.41359999999997</v>
      </c>
      <c r="K57" s="16">
        <v>34.621099999999998</v>
      </c>
      <c r="L57" s="16">
        <v>41.9754</v>
      </c>
      <c r="M57" s="16">
        <v>42.961100000000002</v>
      </c>
      <c r="N57" s="16">
        <v>28.937999999999999</v>
      </c>
      <c r="O57" s="16">
        <f t="shared" si="1"/>
        <v>36.582887499999998</v>
      </c>
      <c r="P57" s="7"/>
      <c r="Q57" s="8">
        <f>bdrate(C57:C60,D57:D60,J57:J60,K57:K60)</f>
        <v>-0.44273159649577842</v>
      </c>
      <c r="R57" s="8">
        <f>bdrate(C57:C60,E57:E60,J57:J60,L57:L60)</f>
        <v>-0.65172661661062126</v>
      </c>
      <c r="S57" s="8">
        <f>bdrate(C57:C60,F57:F60,J57:J60,M57:M60)</f>
        <v>-0.68834357476345287</v>
      </c>
      <c r="T57" s="25">
        <f>bdrate(C57:C60,H57:H60,J57:J60,O57:O60)</f>
        <v>-0.48126588013050486</v>
      </c>
      <c r="U57" s="28">
        <f t="shared" si="2"/>
        <v>0.21486146095717878</v>
      </c>
    </row>
    <row r="58" spans="1:21" x14ac:dyDescent="0.25">
      <c r="B58" s="9"/>
      <c r="C58" s="17">
        <v>456.71</v>
      </c>
      <c r="D58" s="18">
        <v>31.706</v>
      </c>
      <c r="E58" s="18">
        <v>39.268000000000001</v>
      </c>
      <c r="F58" s="18">
        <v>39.863</v>
      </c>
      <c r="G58" s="18">
        <v>26.33</v>
      </c>
      <c r="H58" s="18">
        <f t="shared" si="0"/>
        <v>33.670874999999995</v>
      </c>
      <c r="I58" s="5"/>
      <c r="J58" s="17">
        <v>394.4744</v>
      </c>
      <c r="K58" s="18">
        <v>33.209899999999998</v>
      </c>
      <c r="L58" s="18">
        <v>40.979900000000001</v>
      </c>
      <c r="M58" s="18">
        <v>41.88</v>
      </c>
      <c r="N58" s="18">
        <v>36.451999999999998</v>
      </c>
      <c r="O58" s="18">
        <f t="shared" si="1"/>
        <v>35.264912499999994</v>
      </c>
      <c r="P58" s="7"/>
      <c r="Q58" s="10"/>
      <c r="R58" s="11"/>
      <c r="S58" s="11"/>
      <c r="T58" s="26"/>
      <c r="U58" s="28">
        <f t="shared" si="2"/>
        <v>0.38442840865932398</v>
      </c>
    </row>
    <row r="59" spans="1:21" x14ac:dyDescent="0.25">
      <c r="B59" s="9"/>
      <c r="C59" s="17">
        <v>270.95</v>
      </c>
      <c r="D59" s="18">
        <v>29.797000000000001</v>
      </c>
      <c r="E59" s="18">
        <v>38.715000000000003</v>
      </c>
      <c r="F59" s="18">
        <v>38.966000000000001</v>
      </c>
      <c r="G59" s="18">
        <v>31.76</v>
      </c>
      <c r="H59" s="18">
        <f t="shared" si="0"/>
        <v>32.057875000000003</v>
      </c>
      <c r="I59" s="5"/>
      <c r="J59" s="17">
        <v>242.76480000000001</v>
      </c>
      <c r="K59" s="18">
        <v>31.540400000000002</v>
      </c>
      <c r="L59" s="18">
        <v>40.004199999999997</v>
      </c>
      <c r="M59" s="18">
        <v>40.853999999999999</v>
      </c>
      <c r="N59" s="18">
        <v>49.249000000000002</v>
      </c>
      <c r="O59" s="18">
        <f t="shared" si="1"/>
        <v>33.762574999999998</v>
      </c>
      <c r="P59" s="7"/>
      <c r="Q59" s="10"/>
      <c r="R59" s="11"/>
      <c r="S59" s="11"/>
      <c r="T59" s="26"/>
      <c r="U59" s="28">
        <f t="shared" si="2"/>
        <v>0.55066120906801008</v>
      </c>
    </row>
    <row r="60" spans="1:21" ht="16.5" thickBot="1" x14ac:dyDescent="0.3">
      <c r="B60" s="12"/>
      <c r="C60" s="19">
        <v>134</v>
      </c>
      <c r="D60" s="20">
        <v>27.085999999999999</v>
      </c>
      <c r="E60" s="20">
        <v>38.061</v>
      </c>
      <c r="F60" s="20">
        <v>38.066000000000003</v>
      </c>
      <c r="G60" s="20">
        <v>39.25</v>
      </c>
      <c r="H60" s="20">
        <f t="shared" si="0"/>
        <v>29.830375</v>
      </c>
      <c r="I60" s="5"/>
      <c r="J60" s="19">
        <v>116.2016</v>
      </c>
      <c r="K60" s="20">
        <v>28.854399999999998</v>
      </c>
      <c r="L60" s="20">
        <v>38.761099999999999</v>
      </c>
      <c r="M60" s="20">
        <v>39.503799999999998</v>
      </c>
      <c r="N60" s="20">
        <v>75.566800000000001</v>
      </c>
      <c r="O60" s="20">
        <f t="shared" si="1"/>
        <v>31.4239125</v>
      </c>
      <c r="P60" s="7"/>
      <c r="Q60" s="13"/>
      <c r="R60" s="14"/>
      <c r="S60" s="14"/>
      <c r="T60" s="27"/>
      <c r="U60" s="28">
        <f t="shared" si="2"/>
        <v>0.92526878980891725</v>
      </c>
    </row>
    <row r="61" spans="1:21" x14ac:dyDescent="0.25">
      <c r="B61" s="6" t="s">
        <v>59</v>
      </c>
      <c r="C61" s="29">
        <v>826.78</v>
      </c>
      <c r="D61" s="30">
        <v>34.514000000000003</v>
      </c>
      <c r="E61" s="30">
        <v>38.015999999999998</v>
      </c>
      <c r="F61" s="30">
        <v>38.503999999999998</v>
      </c>
      <c r="G61" s="16">
        <v>25.06</v>
      </c>
      <c r="H61" s="16">
        <f t="shared" si="0"/>
        <v>35.450499999999998</v>
      </c>
      <c r="I61" s="5"/>
      <c r="J61" s="29">
        <v>587.14959999999996</v>
      </c>
      <c r="K61" s="30">
        <v>34.039499999999997</v>
      </c>
      <c r="L61" s="30">
        <v>38.902900000000002</v>
      </c>
      <c r="M61" s="30">
        <v>39.78</v>
      </c>
      <c r="N61" s="16">
        <v>23.848099999999999</v>
      </c>
      <c r="O61" s="16">
        <f t="shared" si="1"/>
        <v>35.364987499999998</v>
      </c>
      <c r="P61" s="7"/>
      <c r="Q61" s="8">
        <f>bdrate(C61:C64,D61:D64,J61:J64,K61:K64)</f>
        <v>-0.23044299038392646</v>
      </c>
      <c r="R61" s="8">
        <f>bdrate(C61:C64,E61:E64,J61:J64,L61:L64)</f>
        <v>-0.51064717805021353</v>
      </c>
      <c r="S61" s="8">
        <f>bdrate(C61:C64,F61:F64,J61:J64,M61:M64)</f>
        <v>-0.57472557843643268</v>
      </c>
      <c r="T61" s="25">
        <f>bdrate(C61:C64,H61:H64,J61:J64,O61:O64)</f>
        <v>-0.29376671914660013</v>
      </c>
      <c r="U61" s="28">
        <f t="shared" si="2"/>
        <v>-4.8359936153232246E-2</v>
      </c>
    </row>
    <row r="62" spans="1:21" x14ac:dyDescent="0.25">
      <c r="B62" s="9"/>
      <c r="C62" s="31">
        <v>516.29999999999995</v>
      </c>
      <c r="D62" s="32">
        <v>32.564999999999998</v>
      </c>
      <c r="E62" s="32">
        <v>36.643000000000001</v>
      </c>
      <c r="F62" s="32">
        <v>37.115000000000002</v>
      </c>
      <c r="G62" s="18">
        <v>26.25</v>
      </c>
      <c r="H62" s="18">
        <f t="shared" si="0"/>
        <v>33.643499999999996</v>
      </c>
      <c r="I62" s="5"/>
      <c r="J62" s="31">
        <v>393.16</v>
      </c>
      <c r="K62" s="32">
        <v>32.431199999999997</v>
      </c>
      <c r="L62" s="32">
        <v>37.730200000000004</v>
      </c>
      <c r="M62" s="32">
        <v>38.600099999999998</v>
      </c>
      <c r="N62" s="18">
        <v>28.668099999999999</v>
      </c>
      <c r="O62" s="18">
        <f t="shared" si="1"/>
        <v>33.864687500000002</v>
      </c>
      <c r="P62" s="7"/>
      <c r="Q62" s="10"/>
      <c r="R62" s="11"/>
      <c r="S62" s="11"/>
      <c r="T62" s="26"/>
      <c r="U62" s="28">
        <f t="shared" si="2"/>
        <v>9.2118095238095207E-2</v>
      </c>
    </row>
    <row r="63" spans="1:21" x14ac:dyDescent="0.25">
      <c r="B63" s="9"/>
      <c r="C63" s="31">
        <v>308.33</v>
      </c>
      <c r="D63" s="32">
        <v>30.518999999999998</v>
      </c>
      <c r="E63" s="32">
        <v>35.512999999999998</v>
      </c>
      <c r="F63" s="32">
        <v>35.988</v>
      </c>
      <c r="G63" s="18">
        <v>27.72</v>
      </c>
      <c r="H63" s="18">
        <f t="shared" si="0"/>
        <v>31.826874999999998</v>
      </c>
      <c r="I63" s="5"/>
      <c r="J63" s="31">
        <v>243.99039999999999</v>
      </c>
      <c r="K63" s="32">
        <v>30.657900000000001</v>
      </c>
      <c r="L63" s="32">
        <v>36.569499999999998</v>
      </c>
      <c r="M63" s="32">
        <v>37.393700000000003</v>
      </c>
      <c r="N63" s="18">
        <v>35.415799999999997</v>
      </c>
      <c r="O63" s="18">
        <f t="shared" si="1"/>
        <v>32.238825000000006</v>
      </c>
      <c r="P63" s="7"/>
      <c r="Q63" s="10"/>
      <c r="R63" s="11"/>
      <c r="S63" s="11"/>
      <c r="T63" s="26"/>
      <c r="U63" s="28">
        <f t="shared" si="2"/>
        <v>0.27762626262626255</v>
      </c>
    </row>
    <row r="64" spans="1:21" ht="16.5" thickBot="1" x14ac:dyDescent="0.3">
      <c r="B64" s="12"/>
      <c r="C64" s="33">
        <v>151.91999999999999</v>
      </c>
      <c r="D64" s="34">
        <v>27.96</v>
      </c>
      <c r="E64" s="34">
        <v>34.265999999999998</v>
      </c>
      <c r="F64" s="34">
        <v>34.805</v>
      </c>
      <c r="G64" s="20">
        <v>31.18</v>
      </c>
      <c r="H64" s="20">
        <f t="shared" si="0"/>
        <v>29.603874999999999</v>
      </c>
      <c r="I64" s="5"/>
      <c r="J64" s="33">
        <v>117.44</v>
      </c>
      <c r="K64" s="34">
        <v>28.094200000000001</v>
      </c>
      <c r="L64" s="34">
        <v>35.141599999999997</v>
      </c>
      <c r="M64" s="34">
        <v>35.819800000000001</v>
      </c>
      <c r="N64" s="20">
        <v>48.192799999999998</v>
      </c>
      <c r="O64" s="20">
        <f t="shared" si="1"/>
        <v>29.940824999999997</v>
      </c>
      <c r="P64" s="7"/>
      <c r="Q64" s="13"/>
      <c r="R64" s="14"/>
      <c r="S64" s="14"/>
      <c r="T64" s="27"/>
      <c r="U64" s="28">
        <f t="shared" si="2"/>
        <v>0.5456318152661962</v>
      </c>
    </row>
    <row r="65" spans="1:21" x14ac:dyDescent="0.25">
      <c r="B65" s="6" t="s">
        <v>60</v>
      </c>
      <c r="C65" s="15">
        <v>756.32</v>
      </c>
      <c r="D65" s="16">
        <v>36.183</v>
      </c>
      <c r="E65" s="16">
        <v>38.198</v>
      </c>
      <c r="F65" s="16">
        <v>39.402999999999999</v>
      </c>
      <c r="G65" s="16">
        <v>20.07</v>
      </c>
      <c r="H65" s="16">
        <f t="shared" si="0"/>
        <v>36.837375000000002</v>
      </c>
      <c r="I65" s="5"/>
      <c r="J65" s="15">
        <v>597.13919999999996</v>
      </c>
      <c r="K65" s="16">
        <v>35.485100000000003</v>
      </c>
      <c r="L65" s="16">
        <v>39.057099999999998</v>
      </c>
      <c r="M65" s="16">
        <v>40.207700000000003</v>
      </c>
      <c r="N65" s="16">
        <v>12.708600000000001</v>
      </c>
      <c r="O65" s="16">
        <f t="shared" si="1"/>
        <v>36.521925000000003</v>
      </c>
      <c r="P65" s="7"/>
      <c r="Q65" s="8">
        <f>bdrate(C65:C68,D65:D68,J65:J68,K65:K68)</f>
        <v>-9.9484055657836357E-2</v>
      </c>
      <c r="R65" s="8">
        <f>bdrate(C65:C68,E65:E68,J65:J68,L65:L68)</f>
        <v>-0.42610776044001408</v>
      </c>
      <c r="S65" s="8">
        <f>bdrate(C65:C68,F65:F68,J65:J68,M65:M68)</f>
        <v>-0.42128945870119094</v>
      </c>
      <c r="T65" s="25">
        <f>bdrate(C65:C68,H65:H68,J65:J68,O65:O68)</f>
        <v>-0.16165416276719069</v>
      </c>
      <c r="U65" s="28">
        <f t="shared" si="2"/>
        <v>-0.36678624813153959</v>
      </c>
    </row>
    <row r="66" spans="1:21" x14ac:dyDescent="0.25">
      <c r="B66" s="9"/>
      <c r="C66" s="17">
        <v>477.54</v>
      </c>
      <c r="D66" s="18">
        <v>33.884</v>
      </c>
      <c r="E66" s="18">
        <v>36.795999999999999</v>
      </c>
      <c r="F66" s="18">
        <v>38.024999999999999</v>
      </c>
      <c r="G66" s="18">
        <v>21.78</v>
      </c>
      <c r="H66" s="18">
        <f t="shared" si="0"/>
        <v>34.765625</v>
      </c>
      <c r="I66" s="5"/>
      <c r="J66" s="17">
        <v>398.14080000000001</v>
      </c>
      <c r="K66" s="18">
        <v>33.467500000000001</v>
      </c>
      <c r="L66" s="18">
        <v>37.817999999999998</v>
      </c>
      <c r="M66" s="18">
        <v>39.024299999999997</v>
      </c>
      <c r="N66" s="18">
        <v>15.3233</v>
      </c>
      <c r="O66" s="18">
        <f t="shared" si="1"/>
        <v>34.705912499999997</v>
      </c>
      <c r="P66" s="7"/>
      <c r="Q66" s="10"/>
      <c r="R66" s="11"/>
      <c r="S66" s="11"/>
      <c r="T66" s="26"/>
      <c r="U66" s="28">
        <f t="shared" si="2"/>
        <v>-0.29645087235996331</v>
      </c>
    </row>
    <row r="67" spans="1:21" x14ac:dyDescent="0.25">
      <c r="B67" s="9"/>
      <c r="C67" s="17">
        <v>287.33</v>
      </c>
      <c r="D67" s="18">
        <v>31.568000000000001</v>
      </c>
      <c r="E67" s="18">
        <v>35.572000000000003</v>
      </c>
      <c r="F67" s="18">
        <v>36.72</v>
      </c>
      <c r="G67" s="18">
        <v>23.03</v>
      </c>
      <c r="H67" s="18">
        <f t="shared" si="0"/>
        <v>32.712500000000006</v>
      </c>
      <c r="I67" s="5"/>
      <c r="J67" s="17">
        <v>247.316</v>
      </c>
      <c r="K67" s="18">
        <v>31.334800000000001</v>
      </c>
      <c r="L67" s="18">
        <v>36.522300000000001</v>
      </c>
      <c r="M67" s="18">
        <v>37.689100000000003</v>
      </c>
      <c r="N67" s="18">
        <v>18.706700000000001</v>
      </c>
      <c r="O67" s="18">
        <f t="shared" si="1"/>
        <v>32.777525000000004</v>
      </c>
      <c r="P67" s="7"/>
      <c r="Q67" s="10"/>
      <c r="R67" s="11"/>
      <c r="S67" s="11"/>
      <c r="T67" s="26"/>
      <c r="U67" s="28">
        <f t="shared" si="2"/>
        <v>-0.1877247069040382</v>
      </c>
    </row>
    <row r="68" spans="1:21" ht="16.5" thickBot="1" x14ac:dyDescent="0.3">
      <c r="B68" s="12"/>
      <c r="C68" s="19">
        <v>143.91</v>
      </c>
      <c r="D68" s="20">
        <v>28.667000000000002</v>
      </c>
      <c r="E68" s="20">
        <v>34.151000000000003</v>
      </c>
      <c r="F68" s="20">
        <v>35.201000000000001</v>
      </c>
      <c r="G68" s="20">
        <v>27.39</v>
      </c>
      <c r="H68" s="20">
        <f t="shared" si="0"/>
        <v>30.169250000000002</v>
      </c>
      <c r="I68" s="5"/>
      <c r="J68" s="19">
        <v>118.19759999999999</v>
      </c>
      <c r="K68" s="20">
        <v>28.514199999999999</v>
      </c>
      <c r="L68" s="20">
        <v>34.958300000000001</v>
      </c>
      <c r="M68" s="20">
        <v>36.092599999999997</v>
      </c>
      <c r="N68" s="20">
        <v>26.0168</v>
      </c>
      <c r="O68" s="20">
        <f t="shared" si="1"/>
        <v>30.2670125</v>
      </c>
      <c r="P68" s="7"/>
      <c r="Q68" s="13"/>
      <c r="R68" s="14"/>
      <c r="S68" s="14"/>
      <c r="T68" s="27"/>
      <c r="U68" s="28">
        <f t="shared" si="2"/>
        <v>-5.0135085797736421E-2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4.6900000000000004</v>
      </c>
      <c r="H69" s="16">
        <f t="shared" si="0"/>
        <v>43.024000000000001</v>
      </c>
      <c r="I69" s="5"/>
      <c r="J69" s="15">
        <v>1495.5296000000001</v>
      </c>
      <c r="K69" s="16">
        <v>42.1008</v>
      </c>
      <c r="L69" s="16">
        <v>46.502000000000002</v>
      </c>
      <c r="M69" s="16">
        <v>47.775799999999997</v>
      </c>
      <c r="N69" s="16">
        <v>6.0873999999999997</v>
      </c>
      <c r="O69" s="16">
        <f t="shared" si="1"/>
        <v>43.360325000000003</v>
      </c>
      <c r="P69" s="7"/>
      <c r="Q69" s="8">
        <f>bdrate(C69:C72,D69:D72,J69:J72,K69:K72)</f>
        <v>-0.29212397133237522</v>
      </c>
      <c r="R69" s="8">
        <f>bdrate(C69:C72,E69:E72,J69:J72,L69:L72)</f>
        <v>-0.48259635161693948</v>
      </c>
      <c r="S69" s="8">
        <f>bdrate(C69:C72,F69:F72,J69:J72,M69:M72)</f>
        <v>-0.48537400398150399</v>
      </c>
      <c r="T69" s="25">
        <f>bdrate(C69:C72,H69:H72,J69:J72,O69:O72)</f>
        <v>-0.33592731988200886</v>
      </c>
      <c r="U69" s="28">
        <f t="shared" si="2"/>
        <v>0.29795309168443479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5.37</v>
      </c>
      <c r="H70" s="18">
        <f t="shared" si="0"/>
        <v>41.882125000000002</v>
      </c>
      <c r="I70" s="5"/>
      <c r="J70" s="17">
        <v>982.16319999999996</v>
      </c>
      <c r="K70" s="18">
        <v>41.058599999999998</v>
      </c>
      <c r="L70" s="18">
        <v>45.561500000000002</v>
      </c>
      <c r="M70" s="18">
        <v>46.798299999999998</v>
      </c>
      <c r="N70" s="18">
        <v>7.7365000000000004</v>
      </c>
      <c r="O70" s="18">
        <f t="shared" si="1"/>
        <v>42.338924999999996</v>
      </c>
      <c r="P70" s="7"/>
      <c r="Q70" s="10"/>
      <c r="R70" s="11"/>
      <c r="S70" s="11"/>
      <c r="T70" s="26"/>
      <c r="U70" s="28">
        <f t="shared" si="2"/>
        <v>0.44068901303538177</v>
      </c>
    </row>
    <row r="71" spans="1:21" x14ac:dyDescent="0.25">
      <c r="B71" s="9"/>
      <c r="C71" s="17">
        <v>722.73</v>
      </c>
      <c r="D71" s="18">
        <v>38.771000000000001</v>
      </c>
      <c r="E71" s="18">
        <v>42.78</v>
      </c>
      <c r="F71" s="18">
        <v>43.933</v>
      </c>
      <c r="G71" s="18">
        <v>6.17</v>
      </c>
      <c r="H71" s="18">
        <f t="shared" si="0"/>
        <v>39.917375</v>
      </c>
      <c r="I71" s="5"/>
      <c r="J71" s="17">
        <v>573.93679999999995</v>
      </c>
      <c r="K71" s="18">
        <v>39.233600000000003</v>
      </c>
      <c r="L71" s="18">
        <v>44.098599999999998</v>
      </c>
      <c r="M71" s="18">
        <v>45.275599999999997</v>
      </c>
      <c r="N71" s="18">
        <v>10.2803</v>
      </c>
      <c r="O71" s="18">
        <f t="shared" si="1"/>
        <v>40.596975</v>
      </c>
      <c r="P71" s="7"/>
      <c r="Q71" s="10"/>
      <c r="R71" s="11"/>
      <c r="S71" s="11"/>
      <c r="T71" s="26"/>
      <c r="U71" s="28">
        <f t="shared" si="2"/>
        <v>0.66617504051863863</v>
      </c>
    </row>
    <row r="72" spans="1:21" ht="16.5" thickBot="1" x14ac:dyDescent="0.3">
      <c r="B72" s="12"/>
      <c r="C72" s="19">
        <v>333.16</v>
      </c>
      <c r="D72" s="20">
        <v>34.585000000000001</v>
      </c>
      <c r="E72" s="20">
        <v>40.518000000000001</v>
      </c>
      <c r="F72" s="20">
        <v>41.816000000000003</v>
      </c>
      <c r="G72" s="20">
        <v>8.0500000000000007</v>
      </c>
      <c r="H72" s="20">
        <f t="shared" si="0"/>
        <v>36.230499999999999</v>
      </c>
      <c r="I72" s="5"/>
      <c r="J72" s="19">
        <v>282.67919999999998</v>
      </c>
      <c r="K72" s="20">
        <v>36.116300000000003</v>
      </c>
      <c r="L72" s="20">
        <v>42.180900000000001</v>
      </c>
      <c r="M72" s="20">
        <v>43.352699999999999</v>
      </c>
      <c r="N72" s="20">
        <v>15.1661</v>
      </c>
      <c r="O72" s="20">
        <f t="shared" si="1"/>
        <v>37.778925000000001</v>
      </c>
      <c r="P72" s="7"/>
      <c r="Q72" s="13"/>
      <c r="R72" s="14"/>
      <c r="S72" s="14"/>
      <c r="T72" s="27"/>
      <c r="U72" s="28">
        <f t="shared" si="2"/>
        <v>0.88398757763975144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1489.1848</v>
      </c>
      <c r="K73" s="16">
        <v>43.028799999999997</v>
      </c>
      <c r="L73" s="16">
        <v>48.389899999999997</v>
      </c>
      <c r="M73" s="16">
        <v>49.088900000000002</v>
      </c>
      <c r="N73" s="16">
        <v>6.9443999999999999</v>
      </c>
      <c r="O73" s="16">
        <f t="shared" si="1"/>
        <v>44.456450000000004</v>
      </c>
      <c r="P73" s="7"/>
      <c r="Q73" s="8">
        <f>bdrate(C73:C76,D73:D76,J73:J76,K73:K76)</f>
        <v>-0.45740621994424568</v>
      </c>
      <c r="R73" s="8">
        <f>bdrate(C73:C76,E73:E76,J73:J76,L73:L76)</f>
        <v>-0.62371466434092904</v>
      </c>
      <c r="S73" s="8">
        <f>bdrate(C73:C76,F73:F76,J73:J76,M73:M76)</f>
        <v>-0.64961729957279457</v>
      </c>
      <c r="T73" s="25">
        <f>bdrate(C73:C76,H73:H76,J73:J76,O73:O76)</f>
        <v>-0.51170063431805568</v>
      </c>
      <c r="U73" s="28">
        <f t="shared" ref="U73:U91" si="3">(N73-G73)/G73</f>
        <v>0.83714285714285719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4.28</v>
      </c>
      <c r="H74" s="18">
        <f t="shared" si="0"/>
        <v>43.365124999999999</v>
      </c>
      <c r="I74" s="5"/>
      <c r="J74" s="17">
        <v>969.06880000000001</v>
      </c>
      <c r="K74" s="18">
        <v>42.576500000000003</v>
      </c>
      <c r="L74" s="18">
        <v>47.946800000000003</v>
      </c>
      <c r="M74" s="18">
        <v>48.6006</v>
      </c>
      <c r="N74" s="18">
        <v>8.7401999999999997</v>
      </c>
      <c r="O74" s="18">
        <f t="shared" si="1"/>
        <v>44.000799999999998</v>
      </c>
      <c r="P74" s="7"/>
      <c r="Q74" s="10"/>
      <c r="R74" s="11"/>
      <c r="S74" s="11"/>
      <c r="T74" s="26"/>
      <c r="U74" s="28">
        <f t="shared" si="3"/>
        <v>1.0421028037383175</v>
      </c>
    </row>
    <row r="75" spans="1:21" x14ac:dyDescent="0.25">
      <c r="B75" s="9"/>
      <c r="C75" s="17">
        <v>748.88</v>
      </c>
      <c r="D75" s="18">
        <v>41.098999999999997</v>
      </c>
      <c r="E75" s="18">
        <v>45.554000000000002</v>
      </c>
      <c r="F75" s="18">
        <v>46.17</v>
      </c>
      <c r="G75" s="18">
        <v>4.84</v>
      </c>
      <c r="H75" s="18">
        <f t="shared" si="0"/>
        <v>42.289750000000005</v>
      </c>
      <c r="I75" s="5"/>
      <c r="J75" s="17">
        <v>568.45519999999999</v>
      </c>
      <c r="K75" s="18">
        <v>41.796300000000002</v>
      </c>
      <c r="L75" s="18">
        <v>47.179200000000002</v>
      </c>
      <c r="M75" s="18">
        <v>47.808399999999999</v>
      </c>
      <c r="N75" s="18">
        <v>11.8432</v>
      </c>
      <c r="O75" s="18">
        <f t="shared" si="1"/>
        <v>43.220675</v>
      </c>
      <c r="P75" s="7"/>
      <c r="Q75" s="10"/>
      <c r="R75" s="11"/>
      <c r="S75" s="11"/>
      <c r="T75" s="26"/>
      <c r="U75" s="28">
        <f t="shared" si="3"/>
        <v>1.4469421487603304</v>
      </c>
    </row>
    <row r="76" spans="1:21" ht="16.5" thickBot="1" x14ac:dyDescent="0.3">
      <c r="B76" s="12"/>
      <c r="C76" s="19">
        <v>327.55</v>
      </c>
      <c r="D76" s="20">
        <v>38.435000000000002</v>
      </c>
      <c r="E76" s="20">
        <v>42.954999999999998</v>
      </c>
      <c r="F76" s="20">
        <v>43.749000000000002</v>
      </c>
      <c r="G76" s="20">
        <v>6.47</v>
      </c>
      <c r="H76" s="20">
        <f t="shared" si="0"/>
        <v>39.664250000000003</v>
      </c>
      <c r="I76" s="5"/>
      <c r="J76" s="19">
        <v>272.00560000000002</v>
      </c>
      <c r="K76" s="20">
        <v>40.029699999999998</v>
      </c>
      <c r="L76" s="20">
        <v>45.308300000000003</v>
      </c>
      <c r="M76" s="20">
        <v>45.9392</v>
      </c>
      <c r="N76" s="20">
        <v>17.7043</v>
      </c>
      <c r="O76" s="20">
        <f t="shared" si="1"/>
        <v>41.428212500000001</v>
      </c>
      <c r="P76" s="7"/>
      <c r="Q76" s="13"/>
      <c r="R76" s="14"/>
      <c r="S76" s="14"/>
      <c r="T76" s="27"/>
      <c r="U76" s="28">
        <f t="shared" si="3"/>
        <v>1.7363678516228751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3.96</v>
      </c>
      <c r="H77" s="16">
        <f t="shared" si="0"/>
        <v>43.929499999999997</v>
      </c>
      <c r="I77" s="5"/>
      <c r="J77" s="15">
        <v>1516.5768</v>
      </c>
      <c r="K77" s="16">
        <v>42.983400000000003</v>
      </c>
      <c r="L77" s="16">
        <v>47.580500000000001</v>
      </c>
      <c r="M77" s="16">
        <v>48.493000000000002</v>
      </c>
      <c r="N77" s="16">
        <v>6.2432999999999996</v>
      </c>
      <c r="O77" s="16">
        <f t="shared" si="1"/>
        <v>44.246737500000002</v>
      </c>
      <c r="P77" s="7"/>
      <c r="Q77" s="8">
        <f>bdrate(C77:C80,D77:D80,J77:J80,K77:K80)</f>
        <v>-0.37455510971132755</v>
      </c>
      <c r="R77" s="8">
        <f>bdrate(C77:C80,E77:E80,J77:J80,L77:L80)</f>
        <v>-0.53531468020197537</v>
      </c>
      <c r="S77" s="8">
        <f>bdrate(C77:C80,F77:F80,J77:J80,M77:M80)</f>
        <v>-0.58566155700099476</v>
      </c>
      <c r="T77" s="25">
        <f>bdrate(C77:C80,H77:H80,J77:J80,O77:O80)</f>
        <v>-0.42545712094433741</v>
      </c>
      <c r="U77" s="28">
        <f t="shared" si="3"/>
        <v>0.57659090909090904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4.51</v>
      </c>
      <c r="H78" s="18">
        <f t="shared" si="0"/>
        <v>43.018499999999996</v>
      </c>
      <c r="I78" s="5"/>
      <c r="J78" s="17">
        <v>1004.9776000000001</v>
      </c>
      <c r="K78" s="18">
        <v>42.238100000000003</v>
      </c>
      <c r="L78" s="18">
        <v>46.877899999999997</v>
      </c>
      <c r="M78" s="18">
        <v>47.742899999999999</v>
      </c>
      <c r="N78" s="18">
        <v>7.7907000000000002</v>
      </c>
      <c r="O78" s="18">
        <f t="shared" si="1"/>
        <v>43.506175000000006</v>
      </c>
      <c r="P78" s="7"/>
      <c r="Q78" s="10"/>
      <c r="R78" s="11"/>
      <c r="S78" s="11"/>
      <c r="T78" s="26"/>
      <c r="U78" s="28">
        <f t="shared" si="3"/>
        <v>0.72742793791574289</v>
      </c>
    </row>
    <row r="79" spans="1:21" x14ac:dyDescent="0.25">
      <c r="B79" s="9"/>
      <c r="C79" s="17">
        <v>793.89</v>
      </c>
      <c r="D79" s="18">
        <v>40.365000000000002</v>
      </c>
      <c r="E79" s="18">
        <v>44.247</v>
      </c>
      <c r="F79" s="18">
        <v>44.668999999999997</v>
      </c>
      <c r="G79" s="18">
        <v>5.26</v>
      </c>
      <c r="H79" s="18">
        <f t="shared" si="0"/>
        <v>41.388249999999999</v>
      </c>
      <c r="I79" s="5"/>
      <c r="J79" s="17">
        <v>586.82159999999999</v>
      </c>
      <c r="K79" s="18">
        <v>40.904200000000003</v>
      </c>
      <c r="L79" s="18">
        <v>45.633899999999997</v>
      </c>
      <c r="M79" s="18">
        <v>46.475299999999997</v>
      </c>
      <c r="N79" s="18">
        <v>10.3573</v>
      </c>
      <c r="O79" s="18">
        <f t="shared" si="1"/>
        <v>42.191800000000001</v>
      </c>
      <c r="P79" s="7"/>
      <c r="Q79" s="10"/>
      <c r="R79" s="11"/>
      <c r="S79" s="11"/>
      <c r="T79" s="26"/>
      <c r="U79" s="28">
        <f t="shared" si="3"/>
        <v>0.96906844106463896</v>
      </c>
    </row>
    <row r="80" spans="1:21" ht="16.5" thickBot="1" x14ac:dyDescent="0.3">
      <c r="B80" s="12"/>
      <c r="C80" s="19">
        <v>361.34</v>
      </c>
      <c r="D80" s="20">
        <v>36.673999999999999</v>
      </c>
      <c r="E80" s="20">
        <v>41.587000000000003</v>
      </c>
      <c r="F80" s="20">
        <v>42.232999999999997</v>
      </c>
      <c r="G80" s="20">
        <v>7.48</v>
      </c>
      <c r="H80" s="20">
        <f t="shared" si="0"/>
        <v>37.982999999999997</v>
      </c>
      <c r="I80" s="5"/>
      <c r="J80" s="19">
        <v>289.1816</v>
      </c>
      <c r="K80" s="20">
        <v>38.459299999999999</v>
      </c>
      <c r="L80" s="20">
        <v>43.768300000000004</v>
      </c>
      <c r="M80" s="20">
        <v>44.776899999999998</v>
      </c>
      <c r="N80" s="20">
        <v>15.8261</v>
      </c>
      <c r="O80" s="20">
        <f t="shared" si="1"/>
        <v>39.912624999999998</v>
      </c>
      <c r="P80" s="7"/>
      <c r="Q80" s="13"/>
      <c r="R80" s="14"/>
      <c r="S80" s="14"/>
      <c r="T80" s="27"/>
      <c r="U80" s="28">
        <f t="shared" si="3"/>
        <v>1.1157887700534759</v>
      </c>
    </row>
    <row r="81" spans="1:21" x14ac:dyDescent="0.25">
      <c r="A81" s="6" t="s">
        <v>102</v>
      </c>
      <c r="B81" s="6" t="s">
        <v>103</v>
      </c>
      <c r="C81" s="15">
        <v>1620.32</v>
      </c>
      <c r="D81" s="16">
        <v>44.247</v>
      </c>
      <c r="E81" s="16">
        <v>48.183</v>
      </c>
      <c r="F81" s="16">
        <v>50.152999999999999</v>
      </c>
      <c r="G81" s="16">
        <v>3.67</v>
      </c>
      <c r="H81" s="16">
        <f t="shared" ref="H81:H91" si="4">(6*D81+E81+F81)/8</f>
        <v>45.477249999999998</v>
      </c>
      <c r="I81" s="5"/>
      <c r="J81" s="15">
        <v>1229.8975</v>
      </c>
      <c r="K81" s="16">
        <v>45.746200000000002</v>
      </c>
      <c r="L81" s="16">
        <v>51.573999999999998</v>
      </c>
      <c r="M81" s="16">
        <v>52.219099999999997</v>
      </c>
      <c r="N81" s="16">
        <v>3.4943</v>
      </c>
      <c r="O81" s="16">
        <f t="shared" ref="O81:O91" si="5">(6*K81+L81+M81)/8</f>
        <v>47.283787500000003</v>
      </c>
      <c r="P81" s="7"/>
      <c r="Q81" s="8">
        <f>bdrate(C81:C84,D81:D84,J81:J84,K81:K84)</f>
        <v>-0.49905333822772413</v>
      </c>
      <c r="R81" s="8">
        <f>bdrate(C81:C84,E81:E84,J81:J84,L81:L84)</f>
        <v>-0.70894152921828302</v>
      </c>
      <c r="S81" s="8">
        <f>bdrate(C81:C84,F81:F84,J81:J84,M81:M84)</f>
        <v>-0.64864748134966321</v>
      </c>
      <c r="T81" s="25">
        <f>bdrate(C81:C84,H81:H84,J81:J84,O81:O84)</f>
        <v>-0.54430865028632414</v>
      </c>
      <c r="U81" s="28">
        <f t="shared" si="3"/>
        <v>-4.7874659400544951E-2</v>
      </c>
    </row>
    <row r="82" spans="1:21" x14ac:dyDescent="0.25">
      <c r="A82" s="9" t="s">
        <v>78</v>
      </c>
      <c r="B82" s="9"/>
      <c r="C82" s="17">
        <v>1082.06</v>
      </c>
      <c r="D82" s="18">
        <v>42.042999999999999</v>
      </c>
      <c r="E82" s="18">
        <v>46.414000000000001</v>
      </c>
      <c r="F82" s="18">
        <v>48.561</v>
      </c>
      <c r="G82" s="18">
        <v>4.07</v>
      </c>
      <c r="H82" s="18">
        <f t="shared" si="4"/>
        <v>43.404124999999993</v>
      </c>
      <c r="I82" s="5"/>
      <c r="J82" s="17">
        <v>830.19680000000005</v>
      </c>
      <c r="K82" s="18">
        <v>44.063899999999997</v>
      </c>
      <c r="L82" s="18">
        <v>50.3461</v>
      </c>
      <c r="M82" s="18">
        <v>51.005800000000001</v>
      </c>
      <c r="N82" s="18">
        <v>4.1109</v>
      </c>
      <c r="O82" s="18">
        <f t="shared" si="5"/>
        <v>45.716912499999999</v>
      </c>
      <c r="P82" s="7"/>
      <c r="Q82" s="10"/>
      <c r="R82" s="11"/>
      <c r="S82" s="11"/>
      <c r="T82" s="26"/>
      <c r="U82" s="28">
        <f t="shared" si="3"/>
        <v>1.0049140049139978E-2</v>
      </c>
    </row>
    <row r="83" spans="1:21" x14ac:dyDescent="0.25">
      <c r="B83" s="9"/>
      <c r="C83" s="17">
        <v>658.89</v>
      </c>
      <c r="D83" s="18">
        <v>39.149000000000001</v>
      </c>
      <c r="E83" s="18">
        <v>43.7</v>
      </c>
      <c r="F83" s="18">
        <v>45.872</v>
      </c>
      <c r="G83" s="18">
        <v>4.74</v>
      </c>
      <c r="H83" s="18">
        <f t="shared" si="4"/>
        <v>40.558250000000001</v>
      </c>
      <c r="I83" s="5"/>
      <c r="J83" s="17">
        <v>504.9853</v>
      </c>
      <c r="K83" s="18">
        <v>41.570399999999999</v>
      </c>
      <c r="L83" s="18">
        <v>48.2774</v>
      </c>
      <c r="M83" s="18">
        <v>49.531300000000002</v>
      </c>
      <c r="N83" s="18">
        <v>5.1405000000000003</v>
      </c>
      <c r="O83" s="18">
        <f t="shared" si="5"/>
        <v>43.403887499999996</v>
      </c>
      <c r="P83" s="7"/>
      <c r="Q83" s="10"/>
      <c r="R83" s="11"/>
      <c r="S83" s="11"/>
      <c r="T83" s="26"/>
      <c r="U83" s="28">
        <f t="shared" si="3"/>
        <v>8.4493670886075956E-2</v>
      </c>
    </row>
    <row r="84" spans="1:21" ht="16.5" thickBot="1" x14ac:dyDescent="0.3">
      <c r="B84" s="12"/>
      <c r="C84" s="19">
        <v>311.18</v>
      </c>
      <c r="D84" s="20">
        <v>34.170999999999999</v>
      </c>
      <c r="E84" s="20">
        <v>41</v>
      </c>
      <c r="F84" s="20">
        <v>42.695</v>
      </c>
      <c r="G84" s="20">
        <v>6.94</v>
      </c>
      <c r="H84" s="20">
        <f t="shared" si="4"/>
        <v>36.090125</v>
      </c>
      <c r="I84" s="5"/>
      <c r="J84" s="19">
        <v>257.89600000000002</v>
      </c>
      <c r="K84" s="20">
        <v>38.063600000000001</v>
      </c>
      <c r="L84" s="20">
        <v>45.806699999999999</v>
      </c>
      <c r="M84" s="20">
        <v>46.924799999999998</v>
      </c>
      <c r="N84" s="20">
        <v>7.3540999999999999</v>
      </c>
      <c r="O84" s="20">
        <f t="shared" si="5"/>
        <v>40.139137499999997</v>
      </c>
      <c r="P84" s="7"/>
      <c r="Q84" s="13"/>
      <c r="R84" s="14"/>
      <c r="S84" s="14"/>
      <c r="T84" s="27"/>
      <c r="U84" s="28">
        <f t="shared" si="3"/>
        <v>5.9668587896253525E-2</v>
      </c>
    </row>
    <row r="85" spans="1:21" x14ac:dyDescent="0.25">
      <c r="B85" s="6" t="s">
        <v>104</v>
      </c>
      <c r="C85" s="15">
        <v>1996.65</v>
      </c>
      <c r="D85" s="16">
        <v>56.838999999999999</v>
      </c>
      <c r="E85" s="16">
        <v>57.008000000000003</v>
      </c>
      <c r="F85" s="16">
        <v>57.325000000000003</v>
      </c>
      <c r="G85" s="16">
        <v>13.46</v>
      </c>
      <c r="H85" s="16">
        <f t="shared" si="4"/>
        <v>56.920874999999995</v>
      </c>
      <c r="I85" s="5"/>
      <c r="J85" s="15">
        <v>1459.6144999999999</v>
      </c>
      <c r="K85" s="16">
        <v>53.972900000000003</v>
      </c>
      <c r="L85" s="16">
        <v>54.644799999999996</v>
      </c>
      <c r="M85" s="16">
        <v>55.2333</v>
      </c>
      <c r="N85" s="16">
        <v>10.446300000000001</v>
      </c>
      <c r="O85" s="16">
        <f t="shared" si="5"/>
        <v>54.214437499999995</v>
      </c>
      <c r="P85" s="7"/>
      <c r="Q85" s="8">
        <f>bdrate(C85:C88,D85:D88,J85:J88,K85:K88)</f>
        <v>6.1844255372811574E-5</v>
      </c>
      <c r="R85" s="8">
        <f>bdrate(C85:C88,E85:E88,J85:J88,L85:L88)</f>
        <v>-9.1147529841616781E-2</v>
      </c>
      <c r="S85" s="8">
        <f>bdrate(C85:C88,F85:F88,J85:J88,M85:M88)</f>
        <v>-0.1077891753994823</v>
      </c>
      <c r="T85" s="25">
        <f>bdrate(C85:C88,H85:H88,J85:J88,O85:O88)</f>
        <v>-2.4046420905747268E-2</v>
      </c>
      <c r="U85" s="28">
        <f t="shared" si="3"/>
        <v>-0.2239004457652303</v>
      </c>
    </row>
    <row r="86" spans="1:21" x14ac:dyDescent="0.25">
      <c r="B86" s="9"/>
      <c r="C86" s="17">
        <v>1332.49</v>
      </c>
      <c r="D86" s="18">
        <v>54.116</v>
      </c>
      <c r="E86" s="18">
        <v>54.459000000000003</v>
      </c>
      <c r="F86" s="18">
        <v>54.853000000000002</v>
      </c>
      <c r="G86" s="18">
        <v>14.26</v>
      </c>
      <c r="H86" s="18">
        <f t="shared" si="4"/>
        <v>54.251000000000005</v>
      </c>
      <c r="I86" s="5"/>
      <c r="J86" s="17">
        <v>977.11530000000005</v>
      </c>
      <c r="K86" s="18">
        <v>52.048699999999997</v>
      </c>
      <c r="L86" s="18">
        <v>52.893799999999999</v>
      </c>
      <c r="M86" s="18">
        <v>53.447699999999998</v>
      </c>
      <c r="N86" s="18">
        <v>11.453799999999999</v>
      </c>
      <c r="O86" s="18">
        <f t="shared" si="5"/>
        <v>52.329212499999997</v>
      </c>
      <c r="P86" s="7"/>
      <c r="Q86" s="10"/>
      <c r="R86" s="11"/>
      <c r="S86" s="11"/>
      <c r="T86" s="26"/>
      <c r="U86" s="28">
        <f t="shared" si="3"/>
        <v>-0.19678821879382893</v>
      </c>
    </row>
    <row r="87" spans="1:21" x14ac:dyDescent="0.25">
      <c r="B87" s="9"/>
      <c r="C87" s="17">
        <v>811.97</v>
      </c>
      <c r="D87" s="18">
        <v>50.962000000000003</v>
      </c>
      <c r="E87" s="18">
        <v>51.476999999999997</v>
      </c>
      <c r="F87" s="18">
        <v>51.923999999999999</v>
      </c>
      <c r="G87" s="18">
        <v>14.99</v>
      </c>
      <c r="H87" s="18">
        <f t="shared" si="4"/>
        <v>51.146625</v>
      </c>
      <c r="I87" s="5"/>
      <c r="J87" s="17">
        <v>598.39049999999997</v>
      </c>
      <c r="K87" s="18">
        <v>49.211799999999997</v>
      </c>
      <c r="L87" s="18">
        <v>50.394799999999996</v>
      </c>
      <c r="M87" s="18">
        <v>50.943100000000001</v>
      </c>
      <c r="N87" s="18">
        <v>13.7355</v>
      </c>
      <c r="O87" s="18">
        <f t="shared" si="5"/>
        <v>49.5760875</v>
      </c>
      <c r="P87" s="7"/>
      <c r="Q87" s="10"/>
      <c r="R87" s="11"/>
      <c r="S87" s="11"/>
      <c r="T87" s="26"/>
      <c r="U87" s="28">
        <f t="shared" si="3"/>
        <v>-8.3689126084056042E-2</v>
      </c>
    </row>
    <row r="88" spans="1:21" ht="16.5" thickBot="1" x14ac:dyDescent="0.3">
      <c r="B88" s="12"/>
      <c r="C88" s="19">
        <v>384.04</v>
      </c>
      <c r="D88" s="20">
        <v>46.277000000000001</v>
      </c>
      <c r="E88" s="20">
        <v>46.938000000000002</v>
      </c>
      <c r="F88" s="20">
        <v>47.405000000000001</v>
      </c>
      <c r="G88" s="20">
        <v>16.78</v>
      </c>
      <c r="H88" s="20">
        <f t="shared" si="4"/>
        <v>46.500624999999999</v>
      </c>
      <c r="I88" s="5"/>
      <c r="J88" s="19">
        <v>301.54090000000002</v>
      </c>
      <c r="K88" s="20">
        <v>44.657400000000003</v>
      </c>
      <c r="L88" s="20">
        <v>46.342300000000002</v>
      </c>
      <c r="M88" s="20">
        <v>46.914099999999998</v>
      </c>
      <c r="N88" s="20">
        <v>18.6189</v>
      </c>
      <c r="O88" s="20">
        <f t="shared" si="5"/>
        <v>45.150100000000009</v>
      </c>
      <c r="P88" s="7"/>
      <c r="Q88" s="13"/>
      <c r="R88" s="14"/>
      <c r="S88" s="14"/>
      <c r="T88" s="27"/>
      <c r="U88" s="28">
        <f t="shared" si="3"/>
        <v>0.10958879618593556</v>
      </c>
    </row>
    <row r="89" spans="1:21" x14ac:dyDescent="0.25">
      <c r="B89" s="6" t="s">
        <v>105</v>
      </c>
      <c r="C89" s="15">
        <v>2177.31</v>
      </c>
      <c r="D89" s="16">
        <v>45.502000000000002</v>
      </c>
      <c r="E89" s="16">
        <v>46.862000000000002</v>
      </c>
      <c r="F89" s="16">
        <v>47.338000000000001</v>
      </c>
      <c r="G89" s="16">
        <v>3.97</v>
      </c>
      <c r="H89" s="16">
        <f t="shared" si="4"/>
        <v>45.901500000000006</v>
      </c>
      <c r="I89" s="5"/>
      <c r="J89" s="15">
        <v>1485.9347</v>
      </c>
      <c r="K89" s="16">
        <v>44.915700000000001</v>
      </c>
      <c r="L89" s="16">
        <v>46.976399999999998</v>
      </c>
      <c r="M89" s="16">
        <v>47.405900000000003</v>
      </c>
      <c r="N89" s="16">
        <v>4.3742000000000001</v>
      </c>
      <c r="O89" s="16">
        <f t="shared" si="5"/>
        <v>45.484562499999996</v>
      </c>
      <c r="P89" s="7"/>
      <c r="Q89" s="8">
        <f>bdrate(C89:C92,D89:D92,J89:J92,K89:K92)</f>
        <v>-0.31810722882970366</v>
      </c>
      <c r="R89" s="8">
        <f>bdrate(C89:C92,E89:E92,J89:J92,L89:L92)</f>
        <v>-0.40530170595462545</v>
      </c>
      <c r="S89" s="8">
        <f>bdrate(C89:C92,F89:F92,J89:J92,M89:M92)</f>
        <v>-0.39402140177973777</v>
      </c>
      <c r="T89" s="25">
        <f>bdrate(C89:C92,H89:H92,J89:J92,O89:O92)</f>
        <v>-0.33428038911898783</v>
      </c>
      <c r="U89" s="28">
        <f t="shared" si="3"/>
        <v>0.10181360201511332</v>
      </c>
    </row>
    <row r="90" spans="1:21" x14ac:dyDescent="0.25">
      <c r="B90" s="9"/>
      <c r="C90" s="17">
        <v>1454.14</v>
      </c>
      <c r="D90" s="18">
        <v>43.277999999999999</v>
      </c>
      <c r="E90" s="18">
        <v>45.067</v>
      </c>
      <c r="F90" s="18">
        <v>45.561</v>
      </c>
      <c r="G90" s="18">
        <v>4.3899999999999997</v>
      </c>
      <c r="H90" s="18">
        <f t="shared" si="4"/>
        <v>43.786999999999999</v>
      </c>
      <c r="I90" s="5"/>
      <c r="J90" s="17">
        <v>992.63840000000005</v>
      </c>
      <c r="K90" s="18">
        <v>43.043599999999998</v>
      </c>
      <c r="L90" s="18">
        <v>45.534300000000002</v>
      </c>
      <c r="M90" s="18">
        <v>45.954599999999999</v>
      </c>
      <c r="N90" s="18">
        <v>5.1768999999999998</v>
      </c>
      <c r="O90" s="18">
        <f t="shared" si="5"/>
        <v>43.718812499999999</v>
      </c>
      <c r="P90" s="7"/>
      <c r="Q90" s="10"/>
      <c r="R90" s="11"/>
      <c r="S90" s="11"/>
      <c r="T90" s="26"/>
      <c r="U90" s="28">
        <f t="shared" si="3"/>
        <v>0.17924829157175404</v>
      </c>
    </row>
    <row r="91" spans="1:21" x14ac:dyDescent="0.25">
      <c r="B91" s="9"/>
      <c r="C91" s="17">
        <v>885.01</v>
      </c>
      <c r="D91" s="18">
        <v>40.332999999999998</v>
      </c>
      <c r="E91" s="18">
        <v>42.901000000000003</v>
      </c>
      <c r="F91" s="18">
        <v>43.384999999999998</v>
      </c>
      <c r="G91" s="18">
        <v>5.0599999999999996</v>
      </c>
      <c r="H91" s="18">
        <f t="shared" si="4"/>
        <v>41.035499999999999</v>
      </c>
      <c r="I91" s="5"/>
      <c r="J91" s="17">
        <v>597.13559999999995</v>
      </c>
      <c r="K91" s="18">
        <v>40.313699999999997</v>
      </c>
      <c r="L91" s="18">
        <v>43.484699999999997</v>
      </c>
      <c r="M91" s="18">
        <v>43.881500000000003</v>
      </c>
      <c r="N91" s="18">
        <v>6.4892000000000003</v>
      </c>
      <c r="O91" s="18">
        <f t="shared" si="5"/>
        <v>41.15605</v>
      </c>
      <c r="P91" s="7"/>
      <c r="Q91" s="10"/>
      <c r="R91" s="11"/>
      <c r="S91" s="11"/>
      <c r="T91" s="26"/>
      <c r="U91" s="28">
        <f t="shared" si="3"/>
        <v>0.28245059288537566</v>
      </c>
    </row>
    <row r="92" spans="1:21" ht="16.5" thickBot="1" x14ac:dyDescent="0.3">
      <c r="B92" s="12"/>
      <c r="C92" s="19">
        <v>421.55</v>
      </c>
      <c r="D92" s="20">
        <v>35.576999999999998</v>
      </c>
      <c r="E92" s="20">
        <v>39.954000000000001</v>
      </c>
      <c r="F92" s="20">
        <v>40.468000000000004</v>
      </c>
      <c r="G92" s="20">
        <v>6.84</v>
      </c>
      <c r="H92" s="20">
        <f t="shared" ref="H92:H124" si="6">(6*D92+E92+F92)/8</f>
        <v>36.735500000000002</v>
      </c>
      <c r="I92" s="5"/>
      <c r="J92" s="19">
        <v>300.10270000000003</v>
      </c>
      <c r="K92" s="20">
        <v>36.446300000000001</v>
      </c>
      <c r="L92" s="20">
        <v>40.909500000000001</v>
      </c>
      <c r="M92" s="20">
        <v>41.355600000000003</v>
      </c>
      <c r="N92" s="20">
        <v>8.8618000000000006</v>
      </c>
      <c r="O92" s="20">
        <f t="shared" ref="O92:O124" si="7">(6*K92+L92+M92)/8</f>
        <v>37.617862499999994</v>
      </c>
      <c r="P92" s="7"/>
      <c r="Q92" s="13"/>
      <c r="R92" s="14"/>
      <c r="S92" s="14"/>
      <c r="T92" s="27"/>
      <c r="U92" s="28">
        <f t="shared" ref="U92:U124" si="8">(N92-G92)/G92</f>
        <v>0.29558479532163756</v>
      </c>
    </row>
    <row r="93" spans="1:21" x14ac:dyDescent="0.25">
      <c r="B93" s="6" t="s">
        <v>106</v>
      </c>
      <c r="C93" s="29">
        <v>2059.5500000000002</v>
      </c>
      <c r="D93" s="30">
        <v>41.055</v>
      </c>
      <c r="E93" s="30">
        <v>44.685000000000002</v>
      </c>
      <c r="F93" s="30">
        <v>44.716000000000001</v>
      </c>
      <c r="G93" s="16">
        <v>3.28</v>
      </c>
      <c r="H93" s="16">
        <f t="shared" si="6"/>
        <v>41.966374999999999</v>
      </c>
      <c r="I93" s="5"/>
      <c r="J93" s="29">
        <v>1503.0763999999999</v>
      </c>
      <c r="K93" s="30">
        <v>40.667499999999997</v>
      </c>
      <c r="L93" s="30">
        <v>45.002800000000001</v>
      </c>
      <c r="M93" s="30">
        <v>44.990099999999998</v>
      </c>
      <c r="N93" s="16">
        <v>3.7698999999999998</v>
      </c>
      <c r="O93" s="16">
        <f t="shared" si="7"/>
        <v>41.749737499999995</v>
      </c>
      <c r="P93" s="7"/>
      <c r="Q93" s="8">
        <f>bdrate(C93:C96,D93:D96,J93:J96,K93:K96)</f>
        <v>-0.29359319506943771</v>
      </c>
      <c r="R93" s="8">
        <f>bdrate(C93:C96,E93:E96,J93:J96,L93:L96)</f>
        <v>-0.41406277501328936</v>
      </c>
      <c r="S93" s="8">
        <f>bdrate(C93:C96,F93:F96,J93:J96,M93:M96)</f>
        <v>-0.4057079058087979</v>
      </c>
      <c r="T93" s="25">
        <f>bdrate(C93:C96,H93:H96,J93:J96,O93:O96)</f>
        <v>-0.31500745103397809</v>
      </c>
      <c r="U93" s="28">
        <f t="shared" si="8"/>
        <v>0.149359756097561</v>
      </c>
    </row>
    <row r="94" spans="1:21" x14ac:dyDescent="0.25">
      <c r="B94" s="9"/>
      <c r="C94" s="31">
        <v>1379.48</v>
      </c>
      <c r="D94" s="32">
        <v>38.908999999999999</v>
      </c>
      <c r="E94" s="32">
        <v>43.125</v>
      </c>
      <c r="F94" s="32">
        <v>43.161999999999999</v>
      </c>
      <c r="G94" s="18">
        <v>3.61</v>
      </c>
      <c r="H94" s="18">
        <f t="shared" si="6"/>
        <v>39.967624999999998</v>
      </c>
      <c r="I94" s="5"/>
      <c r="J94" s="31">
        <v>999.71029999999996</v>
      </c>
      <c r="K94" s="32">
        <v>38.726599999999998</v>
      </c>
      <c r="L94" s="32">
        <v>43.692100000000003</v>
      </c>
      <c r="M94" s="32">
        <v>43.665199999999999</v>
      </c>
      <c r="N94" s="18">
        <v>4.4915000000000003</v>
      </c>
      <c r="O94" s="18">
        <f t="shared" si="7"/>
        <v>39.964612500000001</v>
      </c>
      <c r="P94" s="7"/>
      <c r="Q94" s="10"/>
      <c r="R94" s="11"/>
      <c r="S94" s="11"/>
      <c r="T94" s="26"/>
      <c r="U94" s="28">
        <f t="shared" si="8"/>
        <v>0.24418282548476467</v>
      </c>
    </row>
    <row r="95" spans="1:21" x14ac:dyDescent="0.25">
      <c r="B95" s="9"/>
      <c r="C95" s="31">
        <v>843.75</v>
      </c>
      <c r="D95" s="32">
        <v>36.277999999999999</v>
      </c>
      <c r="E95" s="32">
        <v>41.384</v>
      </c>
      <c r="F95" s="32">
        <v>41.34</v>
      </c>
      <c r="G95" s="18">
        <v>4.1900000000000004</v>
      </c>
      <c r="H95" s="18">
        <f t="shared" si="6"/>
        <v>37.549000000000007</v>
      </c>
      <c r="I95" s="5"/>
      <c r="J95" s="31">
        <v>600.16409999999996</v>
      </c>
      <c r="K95" s="32">
        <v>36.353999999999999</v>
      </c>
      <c r="L95" s="32">
        <v>42.111699999999999</v>
      </c>
      <c r="M95" s="32">
        <v>42.043199999999999</v>
      </c>
      <c r="N95" s="18">
        <v>5.6566999999999998</v>
      </c>
      <c r="O95" s="18">
        <f t="shared" si="7"/>
        <v>37.784862500000003</v>
      </c>
      <c r="P95" s="7"/>
      <c r="Q95" s="10"/>
      <c r="R95" s="11"/>
      <c r="S95" s="11"/>
      <c r="T95" s="26"/>
      <c r="U95" s="28">
        <f t="shared" si="8"/>
        <v>0.35004773269689721</v>
      </c>
    </row>
    <row r="96" spans="1:21" ht="16.5" thickBot="1" x14ac:dyDescent="0.3">
      <c r="B96" s="12"/>
      <c r="C96" s="33">
        <v>404</v>
      </c>
      <c r="D96" s="34">
        <v>31.927</v>
      </c>
      <c r="E96" s="34">
        <v>39.094999999999999</v>
      </c>
      <c r="F96" s="34">
        <v>38.917999999999999</v>
      </c>
      <c r="G96" s="20">
        <v>5.72</v>
      </c>
      <c r="H96" s="20">
        <f t="shared" si="6"/>
        <v>33.696874999999999</v>
      </c>
      <c r="I96" s="5"/>
      <c r="J96" s="33">
        <v>302.43090000000001</v>
      </c>
      <c r="K96" s="34">
        <v>33.190100000000001</v>
      </c>
      <c r="L96" s="34">
        <v>40.142699999999998</v>
      </c>
      <c r="M96" s="34">
        <v>40.063299999999998</v>
      </c>
      <c r="N96" s="20">
        <v>7.8661000000000003</v>
      </c>
      <c r="O96" s="20">
        <f t="shared" si="7"/>
        <v>34.918324999999996</v>
      </c>
      <c r="P96" s="7"/>
      <c r="Q96" s="13"/>
      <c r="R96" s="14"/>
      <c r="S96" s="14"/>
      <c r="T96" s="27"/>
      <c r="U96" s="28">
        <f t="shared" si="8"/>
        <v>0.37519230769230782</v>
      </c>
    </row>
    <row r="97" spans="2:21" x14ac:dyDescent="0.25">
      <c r="B97" s="6" t="s">
        <v>107</v>
      </c>
      <c r="C97" s="15">
        <v>2120.34</v>
      </c>
      <c r="D97" s="16">
        <v>39.633000000000003</v>
      </c>
      <c r="E97" s="16">
        <v>42.581000000000003</v>
      </c>
      <c r="F97" s="16">
        <v>43.098999999999997</v>
      </c>
      <c r="G97" s="16">
        <v>4.6399999999999997</v>
      </c>
      <c r="H97" s="16">
        <f t="shared" si="6"/>
        <v>40.434750000000001</v>
      </c>
      <c r="I97" s="5"/>
      <c r="J97" s="15">
        <v>1510.3303000000001</v>
      </c>
      <c r="K97" s="16">
        <v>38.984999999999999</v>
      </c>
      <c r="L97" s="16">
        <v>43.489199999999997</v>
      </c>
      <c r="M97" s="16">
        <v>43.986899999999999</v>
      </c>
      <c r="N97" s="16">
        <v>4.8981000000000003</v>
      </c>
      <c r="O97" s="16">
        <f t="shared" si="7"/>
        <v>40.1732625</v>
      </c>
      <c r="P97" s="7"/>
      <c r="Q97" s="8">
        <f>bdrate(C97:C100,D97:D100,J97:J100,K97:K100)</f>
        <v>-0.23462948925680427</v>
      </c>
      <c r="R97" s="8">
        <f>bdrate(C97:C100,E97:E100,J97:J100,L97:L100)</f>
        <v>-0.47250127104826944</v>
      </c>
      <c r="S97" s="8">
        <f>bdrate(C97:C100,F97:F100,J97:J100,M97:M100)</f>
        <v>-0.46676627234098278</v>
      </c>
      <c r="T97" s="25">
        <f>bdrate(C97:C100,H97:H100,J97:J100,O97:O100)</f>
        <v>-0.28380246635209638</v>
      </c>
      <c r="U97" s="28">
        <f t="shared" si="8"/>
        <v>5.5625000000000147E-2</v>
      </c>
    </row>
    <row r="98" spans="2:21" x14ac:dyDescent="0.25">
      <c r="B98" s="9"/>
      <c r="C98" s="17">
        <v>1415.07</v>
      </c>
      <c r="D98" s="18">
        <v>37.509</v>
      </c>
      <c r="E98" s="18">
        <v>40.909999999999997</v>
      </c>
      <c r="F98" s="18">
        <v>41.505000000000003</v>
      </c>
      <c r="G98" s="18">
        <v>5.08</v>
      </c>
      <c r="H98" s="18">
        <f t="shared" si="6"/>
        <v>38.433624999999999</v>
      </c>
      <c r="I98" s="5"/>
      <c r="J98" s="17">
        <v>1005.9837</v>
      </c>
      <c r="K98" s="18">
        <v>36.973599999999998</v>
      </c>
      <c r="L98" s="18">
        <v>42.024700000000003</v>
      </c>
      <c r="M98" s="18">
        <v>42.573599999999999</v>
      </c>
      <c r="N98" s="18">
        <v>5.8979999999999997</v>
      </c>
      <c r="O98" s="18">
        <f t="shared" si="7"/>
        <v>38.304987499999996</v>
      </c>
      <c r="P98" s="7"/>
      <c r="Q98" s="10"/>
      <c r="R98" s="11"/>
      <c r="S98" s="11"/>
      <c r="T98" s="26"/>
      <c r="U98" s="28">
        <f t="shared" si="8"/>
        <v>0.16102362204724402</v>
      </c>
    </row>
    <row r="99" spans="2:21" x14ac:dyDescent="0.25">
      <c r="B99" s="9"/>
      <c r="C99" s="17">
        <v>859.8</v>
      </c>
      <c r="D99" s="18">
        <v>34.945</v>
      </c>
      <c r="E99" s="18">
        <v>39.087000000000003</v>
      </c>
      <c r="F99" s="18">
        <v>39.777000000000001</v>
      </c>
      <c r="G99" s="18">
        <v>5.74</v>
      </c>
      <c r="H99" s="18">
        <f t="shared" si="6"/>
        <v>36.066749999999999</v>
      </c>
      <c r="I99" s="5"/>
      <c r="J99" s="17">
        <v>606.72450000000003</v>
      </c>
      <c r="K99" s="18">
        <v>34.497100000000003</v>
      </c>
      <c r="L99" s="18">
        <v>40.117100000000001</v>
      </c>
      <c r="M99" s="18">
        <v>40.704099999999997</v>
      </c>
      <c r="N99" s="18">
        <v>7.2968000000000002</v>
      </c>
      <c r="O99" s="18">
        <f t="shared" si="7"/>
        <v>35.975475000000003</v>
      </c>
      <c r="P99" s="7"/>
      <c r="Q99" s="10"/>
      <c r="R99" s="11"/>
      <c r="S99" s="11"/>
      <c r="T99" s="26"/>
      <c r="U99" s="28">
        <f t="shared" si="8"/>
        <v>0.27121951219512191</v>
      </c>
    </row>
    <row r="100" spans="2:21" ht="16.5" thickBot="1" x14ac:dyDescent="0.3">
      <c r="B100" s="12"/>
      <c r="C100" s="19">
        <v>404.35</v>
      </c>
      <c r="D100" s="20">
        <v>30.773</v>
      </c>
      <c r="E100" s="20">
        <v>36.533000000000001</v>
      </c>
      <c r="F100" s="20">
        <v>37.462000000000003</v>
      </c>
      <c r="G100" s="20">
        <v>7.01</v>
      </c>
      <c r="H100" s="20">
        <f t="shared" si="6"/>
        <v>32.329124999999998</v>
      </c>
      <c r="I100" s="5"/>
      <c r="J100" s="19">
        <v>303.202</v>
      </c>
      <c r="K100" s="20">
        <v>31.168600000000001</v>
      </c>
      <c r="L100" s="20">
        <v>37.8489</v>
      </c>
      <c r="M100" s="20">
        <v>38.560899999999997</v>
      </c>
      <c r="N100" s="20">
        <v>9.8573000000000004</v>
      </c>
      <c r="O100" s="20">
        <f t="shared" si="7"/>
        <v>32.927675000000001</v>
      </c>
      <c r="P100" s="7"/>
      <c r="Q100" s="13"/>
      <c r="R100" s="14"/>
      <c r="S100" s="14"/>
      <c r="T100" s="27"/>
      <c r="U100" s="28">
        <f t="shared" si="8"/>
        <v>0.40617689015691877</v>
      </c>
    </row>
    <row r="101" spans="2:21" x14ac:dyDescent="0.25">
      <c r="B101" s="6" t="s">
        <v>108</v>
      </c>
      <c r="C101" s="15">
        <v>2110.44</v>
      </c>
      <c r="D101" s="16">
        <v>39.244999999999997</v>
      </c>
      <c r="E101" s="16">
        <v>44.183999999999997</v>
      </c>
      <c r="F101" s="16">
        <v>45.889000000000003</v>
      </c>
      <c r="G101" s="16">
        <v>2.56</v>
      </c>
      <c r="H101" s="16">
        <f t="shared" si="6"/>
        <v>40.692875000000001</v>
      </c>
      <c r="I101" s="5"/>
      <c r="J101" s="15">
        <v>1513.9822999999999</v>
      </c>
      <c r="K101" s="16">
        <v>38.624299999999998</v>
      </c>
      <c r="L101" s="16">
        <v>44.406999999999996</v>
      </c>
      <c r="M101" s="16">
        <v>45.984699999999997</v>
      </c>
      <c r="N101" s="16">
        <v>3.4262000000000001</v>
      </c>
      <c r="O101" s="16">
        <f t="shared" si="7"/>
        <v>40.267187499999991</v>
      </c>
      <c r="P101" s="7"/>
      <c r="Q101" s="8">
        <f>bdrate(C101:C104,D101:D104,J101:J104,K101:K104)</f>
        <v>-0.27122810767762828</v>
      </c>
      <c r="R101" s="8">
        <f>bdrate(C101:C104,E101:E104,J101:J104,L101:L104)</f>
        <v>-0.45647796302306742</v>
      </c>
      <c r="S101" s="8">
        <f>bdrate(C101:C104,F101:F104,J101:J104,M101:M104)</f>
        <v>-0.40088719849912624</v>
      </c>
      <c r="T101" s="25">
        <f>bdrate(C101:C104,H101:H104,J101:J104,O101:O104)</f>
        <v>-0.30389813123408616</v>
      </c>
      <c r="U101" s="28">
        <f t="shared" si="8"/>
        <v>0.33835937500000002</v>
      </c>
    </row>
    <row r="102" spans="2:21" x14ac:dyDescent="0.25">
      <c r="B102" s="9"/>
      <c r="C102" s="17">
        <v>1407.27</v>
      </c>
      <c r="D102" s="18">
        <v>37.517000000000003</v>
      </c>
      <c r="E102" s="18">
        <v>42.936</v>
      </c>
      <c r="F102" s="18">
        <v>44.677</v>
      </c>
      <c r="G102" s="18">
        <v>2.82</v>
      </c>
      <c r="H102" s="18">
        <f t="shared" si="6"/>
        <v>39.089375000000004</v>
      </c>
      <c r="I102" s="5"/>
      <c r="J102" s="17">
        <v>1006.2855</v>
      </c>
      <c r="K102" s="18">
        <v>37.136800000000001</v>
      </c>
      <c r="L102" s="18">
        <v>43.455199999999998</v>
      </c>
      <c r="M102" s="18">
        <v>44.9617</v>
      </c>
      <c r="N102" s="18">
        <v>4.1313000000000004</v>
      </c>
      <c r="O102" s="18">
        <f t="shared" si="7"/>
        <v>38.904712500000002</v>
      </c>
      <c r="P102" s="7"/>
      <c r="Q102" s="10"/>
      <c r="R102" s="11"/>
      <c r="S102" s="11"/>
      <c r="T102" s="26"/>
      <c r="U102" s="28">
        <f t="shared" si="8"/>
        <v>0.46500000000000025</v>
      </c>
    </row>
    <row r="103" spans="2:21" x14ac:dyDescent="0.25">
      <c r="B103" s="9"/>
      <c r="C103" s="17">
        <v>856.99</v>
      </c>
      <c r="D103" s="18">
        <v>35.414000000000001</v>
      </c>
      <c r="E103" s="18">
        <v>41.484000000000002</v>
      </c>
      <c r="F103" s="18">
        <v>43.143000000000001</v>
      </c>
      <c r="G103" s="18">
        <v>3.31</v>
      </c>
      <c r="H103" s="18">
        <f t="shared" si="6"/>
        <v>37.138874999999999</v>
      </c>
      <c r="I103" s="5"/>
      <c r="J103" s="17">
        <v>603.65440000000001</v>
      </c>
      <c r="K103" s="18">
        <v>35.366</v>
      </c>
      <c r="L103" s="18">
        <v>42.284399999999998</v>
      </c>
      <c r="M103" s="18">
        <v>43.676600000000001</v>
      </c>
      <c r="N103" s="18">
        <v>5.2577999999999996</v>
      </c>
      <c r="O103" s="18">
        <f t="shared" si="7"/>
        <v>37.269624999999998</v>
      </c>
      <c r="P103" s="7"/>
      <c r="Q103" s="10"/>
      <c r="R103" s="11"/>
      <c r="S103" s="11"/>
      <c r="T103" s="26"/>
      <c r="U103" s="28">
        <f t="shared" si="8"/>
        <v>0.5884592145015104</v>
      </c>
    </row>
    <row r="104" spans="2:21" ht="16.5" thickBot="1" x14ac:dyDescent="0.3">
      <c r="B104" s="12"/>
      <c r="C104" s="19">
        <v>405.34</v>
      </c>
      <c r="D104" s="20">
        <v>32.451000000000001</v>
      </c>
      <c r="E104" s="20">
        <v>39.512999999999998</v>
      </c>
      <c r="F104" s="20">
        <v>40.703000000000003</v>
      </c>
      <c r="G104" s="20">
        <v>4.8499999999999996</v>
      </c>
      <c r="H104" s="20">
        <f t="shared" si="6"/>
        <v>34.365250000000003</v>
      </c>
      <c r="I104" s="5"/>
      <c r="J104" s="19">
        <v>301.9289</v>
      </c>
      <c r="K104" s="20">
        <v>33.136099999999999</v>
      </c>
      <c r="L104" s="20">
        <v>40.843499999999999</v>
      </c>
      <c r="M104" s="20">
        <v>42.102200000000003</v>
      </c>
      <c r="N104" s="20">
        <v>7.4908000000000001</v>
      </c>
      <c r="O104" s="20">
        <f t="shared" si="7"/>
        <v>35.220287499999998</v>
      </c>
      <c r="P104" s="7"/>
      <c r="Q104" s="13"/>
      <c r="R104" s="14"/>
      <c r="S104" s="14"/>
      <c r="T104" s="27"/>
      <c r="U104" s="28">
        <f t="shared" si="8"/>
        <v>0.54449484536082493</v>
      </c>
    </row>
    <row r="105" spans="2:21" x14ac:dyDescent="0.25">
      <c r="B105" s="6" t="s">
        <v>109</v>
      </c>
      <c r="C105" s="15">
        <v>2229.42</v>
      </c>
      <c r="D105" s="16">
        <v>51.084000000000003</v>
      </c>
      <c r="E105" s="16">
        <v>54.875999999999998</v>
      </c>
      <c r="F105" s="16">
        <v>56.128999999999998</v>
      </c>
      <c r="G105" s="16">
        <v>4.29</v>
      </c>
      <c r="H105" s="16">
        <f t="shared" si="6"/>
        <v>52.188625000000002</v>
      </c>
      <c r="I105" s="5"/>
      <c r="J105" s="15">
        <v>1495.5794000000001</v>
      </c>
      <c r="K105" s="16">
        <v>50.596899999999998</v>
      </c>
      <c r="L105" s="16">
        <v>55.283700000000003</v>
      </c>
      <c r="M105" s="16">
        <v>56.623199999999997</v>
      </c>
      <c r="N105" s="16">
        <v>4.0019</v>
      </c>
      <c r="O105" s="16">
        <f t="shared" si="7"/>
        <v>51.936037499999998</v>
      </c>
      <c r="P105" s="7"/>
      <c r="Q105" s="8">
        <f>bdrate(C105:C108,D105:D108,J105:J108,K105:K108)</f>
        <v>-0.39606533860200244</v>
      </c>
      <c r="R105" s="8">
        <f>bdrate(C105:C108,E105:E108,J105:J108,L105:L108)</f>
        <v>-0.53186803751298006</v>
      </c>
      <c r="S105" s="8">
        <f>bdrate(C105:C108,F105:F108,J105:J108,M105:M108)</f>
        <v>-0.53939487907178174</v>
      </c>
      <c r="T105" s="25">
        <f>bdrate(C105:C108,H105:H108,J105:J108,O105:O108)</f>
        <v>-0.42971435397137214</v>
      </c>
      <c r="U105" s="28">
        <f t="shared" si="8"/>
        <v>-6.7156177156177166E-2</v>
      </c>
    </row>
    <row r="106" spans="2:21" x14ac:dyDescent="0.25">
      <c r="B106" s="9"/>
      <c r="C106" s="17">
        <v>1480.16</v>
      </c>
      <c r="D106" s="18">
        <v>48.956000000000003</v>
      </c>
      <c r="E106" s="18">
        <v>52.713999999999999</v>
      </c>
      <c r="F106" s="18">
        <v>54.143999999999998</v>
      </c>
      <c r="G106" s="18">
        <v>4.6900000000000004</v>
      </c>
      <c r="H106" s="18">
        <f t="shared" si="6"/>
        <v>50.074249999999999</v>
      </c>
      <c r="I106" s="5"/>
      <c r="J106" s="17">
        <v>999.37869999999998</v>
      </c>
      <c r="K106" s="18">
        <v>48.930700000000002</v>
      </c>
      <c r="L106" s="18">
        <v>53.832900000000002</v>
      </c>
      <c r="M106" s="18">
        <v>55.277900000000002</v>
      </c>
      <c r="N106" s="18">
        <v>4.8979999999999997</v>
      </c>
      <c r="O106" s="18">
        <f t="shared" si="7"/>
        <v>50.336874999999999</v>
      </c>
      <c r="P106" s="7"/>
      <c r="Q106" s="10"/>
      <c r="R106" s="11"/>
      <c r="S106" s="11"/>
      <c r="T106" s="26"/>
      <c r="U106" s="28">
        <f t="shared" si="8"/>
        <v>4.4349680170575542E-2</v>
      </c>
    </row>
    <row r="107" spans="2:21" x14ac:dyDescent="0.25">
      <c r="B107" s="9"/>
      <c r="C107" s="17">
        <v>889.1</v>
      </c>
      <c r="D107" s="18">
        <v>45.826000000000001</v>
      </c>
      <c r="E107" s="18">
        <v>49.845999999999997</v>
      </c>
      <c r="F107" s="18">
        <v>51.372</v>
      </c>
      <c r="G107" s="18">
        <v>5.5</v>
      </c>
      <c r="H107" s="18">
        <f t="shared" si="6"/>
        <v>47.021750000000004</v>
      </c>
      <c r="I107" s="5"/>
      <c r="J107" s="17">
        <v>598.24300000000005</v>
      </c>
      <c r="K107" s="18">
        <v>46.710700000000003</v>
      </c>
      <c r="L107" s="18">
        <v>51.979399999999998</v>
      </c>
      <c r="M107" s="18">
        <v>53.474299999999999</v>
      </c>
      <c r="N107" s="18">
        <v>6.4893999999999998</v>
      </c>
      <c r="O107" s="18">
        <f t="shared" si="7"/>
        <v>48.214737499999998</v>
      </c>
      <c r="P107" s="7"/>
      <c r="Q107" s="10"/>
      <c r="R107" s="11"/>
      <c r="S107" s="11"/>
      <c r="T107" s="26"/>
      <c r="U107" s="28">
        <f t="shared" si="8"/>
        <v>0.17989090909090907</v>
      </c>
    </row>
    <row r="108" spans="2:21" ht="16.5" thickBot="1" x14ac:dyDescent="0.3">
      <c r="B108" s="12"/>
      <c r="C108" s="19">
        <v>416.78</v>
      </c>
      <c r="D108" s="20">
        <v>41.904000000000003</v>
      </c>
      <c r="E108" s="20">
        <v>46.194000000000003</v>
      </c>
      <c r="F108" s="20">
        <v>47.773000000000003</v>
      </c>
      <c r="G108" s="20">
        <v>7.89</v>
      </c>
      <c r="H108" s="20">
        <f t="shared" si="6"/>
        <v>43.17387500000001</v>
      </c>
      <c r="I108" s="5"/>
      <c r="J108" s="19">
        <v>298.80680000000001</v>
      </c>
      <c r="K108" s="20">
        <v>43.5276</v>
      </c>
      <c r="L108" s="20">
        <v>49.142699999999998</v>
      </c>
      <c r="M108" s="20">
        <v>50.650399999999998</v>
      </c>
      <c r="N108" s="20">
        <v>9.8612000000000002</v>
      </c>
      <c r="O108" s="20">
        <f t="shared" si="7"/>
        <v>45.119837499999996</v>
      </c>
      <c r="P108" s="7"/>
      <c r="Q108" s="13"/>
      <c r="R108" s="14"/>
      <c r="S108" s="14"/>
      <c r="T108" s="27"/>
      <c r="U108" s="28">
        <f t="shared" si="8"/>
        <v>0.24983523447401781</v>
      </c>
    </row>
    <row r="109" spans="2:21" x14ac:dyDescent="0.25">
      <c r="B109" s="6" t="s">
        <v>110</v>
      </c>
      <c r="C109" s="15">
        <v>2049.9499999999998</v>
      </c>
      <c r="D109" s="16">
        <v>34.015000000000001</v>
      </c>
      <c r="E109" s="16">
        <v>41.473999999999997</v>
      </c>
      <c r="F109" s="16">
        <v>40.817</v>
      </c>
      <c r="G109" s="16">
        <v>3.11</v>
      </c>
      <c r="H109" s="16">
        <f t="shared" si="6"/>
        <v>35.797624999999996</v>
      </c>
      <c r="I109" s="5"/>
      <c r="J109" s="15">
        <v>1494.1297</v>
      </c>
      <c r="K109" s="16">
        <v>33.670900000000003</v>
      </c>
      <c r="L109" s="16">
        <v>41.795000000000002</v>
      </c>
      <c r="M109" s="16">
        <v>41.2502</v>
      </c>
      <c r="N109" s="16">
        <v>2.9474</v>
      </c>
      <c r="O109" s="16">
        <f t="shared" si="7"/>
        <v>35.633825000000002</v>
      </c>
      <c r="P109" s="7"/>
      <c r="Q109" s="8">
        <f>bdrate(C109:C112,D109:D112,J109:J112,K109:K112)</f>
        <v>-0.30821756012840962</v>
      </c>
      <c r="R109" s="8">
        <f>bdrate(C109:C112,E109:E112,J109:J112,L109:L112)</f>
        <v>-0.42279621363320941</v>
      </c>
      <c r="S109" s="8">
        <f>bdrate(C109:C112,F109:F112,J109:J112,M109:M112)</f>
        <v>-0.45347659483540492</v>
      </c>
      <c r="T109" s="25">
        <f>bdrate(C109:C112,H109:H112,J109:J112,O109:O112)</f>
        <v>-0.33001185379412479</v>
      </c>
      <c r="U109" s="28">
        <f t="shared" si="8"/>
        <v>-5.2282958199356869E-2</v>
      </c>
    </row>
    <row r="110" spans="2:21" x14ac:dyDescent="0.25">
      <c r="B110" s="9"/>
      <c r="C110" s="17">
        <v>1367.27</v>
      </c>
      <c r="D110" s="18">
        <v>32.131</v>
      </c>
      <c r="E110" s="18">
        <v>40.332000000000001</v>
      </c>
      <c r="F110" s="18">
        <v>39.621000000000002</v>
      </c>
      <c r="G110" s="18">
        <v>3.5</v>
      </c>
      <c r="H110" s="18">
        <f t="shared" si="6"/>
        <v>34.092374999999997</v>
      </c>
      <c r="I110" s="5"/>
      <c r="J110" s="17">
        <v>996.36279999999999</v>
      </c>
      <c r="K110" s="18">
        <v>31.9879</v>
      </c>
      <c r="L110" s="18">
        <v>40.86</v>
      </c>
      <c r="M110" s="18">
        <v>40.3063</v>
      </c>
      <c r="N110" s="18">
        <v>3.5070999999999999</v>
      </c>
      <c r="O110" s="18">
        <f t="shared" si="7"/>
        <v>34.136712500000002</v>
      </c>
      <c r="P110" s="7"/>
      <c r="Q110" s="10"/>
      <c r="R110" s="11"/>
      <c r="S110" s="11"/>
      <c r="T110" s="26"/>
      <c r="U110" s="28">
        <f t="shared" si="8"/>
        <v>2.0285714285713957E-3</v>
      </c>
    </row>
    <row r="111" spans="2:21" x14ac:dyDescent="0.25">
      <c r="B111" s="9"/>
      <c r="C111" s="17">
        <v>829.69</v>
      </c>
      <c r="D111" s="18">
        <v>29.518999999999998</v>
      </c>
      <c r="E111" s="18">
        <v>38.927999999999997</v>
      </c>
      <c r="F111" s="18">
        <v>38.149000000000001</v>
      </c>
      <c r="G111" s="18">
        <v>4.3</v>
      </c>
      <c r="H111" s="18">
        <f t="shared" si="6"/>
        <v>31.773874999999997</v>
      </c>
      <c r="I111" s="5"/>
      <c r="J111" s="17">
        <v>596.75329999999997</v>
      </c>
      <c r="K111" s="18">
        <v>29.766100000000002</v>
      </c>
      <c r="L111" s="18">
        <v>39.596600000000002</v>
      </c>
      <c r="M111" s="18">
        <v>39.009500000000003</v>
      </c>
      <c r="N111" s="18">
        <v>4.4884000000000004</v>
      </c>
      <c r="O111" s="18">
        <f t="shared" si="7"/>
        <v>32.150337500000006</v>
      </c>
      <c r="P111" s="7"/>
      <c r="Q111" s="10"/>
      <c r="R111" s="11"/>
      <c r="S111" s="11"/>
      <c r="T111" s="26"/>
      <c r="U111" s="28">
        <f t="shared" si="8"/>
        <v>4.3813953488372227E-2</v>
      </c>
    </row>
    <row r="112" spans="2:21" ht="16.5" thickBot="1" x14ac:dyDescent="0.3">
      <c r="B112" s="12"/>
      <c r="C112" s="19">
        <v>391.47</v>
      </c>
      <c r="D112" s="20">
        <v>25.073</v>
      </c>
      <c r="E112" s="20">
        <v>36.648000000000003</v>
      </c>
      <c r="F112" s="20">
        <v>35.99</v>
      </c>
      <c r="G112" s="20">
        <v>5.99</v>
      </c>
      <c r="H112" s="20">
        <f t="shared" si="6"/>
        <v>27.884499999999999</v>
      </c>
      <c r="I112" s="5"/>
      <c r="J112" s="19">
        <v>298.81389999999999</v>
      </c>
      <c r="K112" s="20">
        <v>26.884699999999999</v>
      </c>
      <c r="L112" s="20">
        <v>37.603999999999999</v>
      </c>
      <c r="M112" s="20">
        <v>36.985199999999999</v>
      </c>
      <c r="N112" s="20">
        <v>6.4706000000000001</v>
      </c>
      <c r="O112" s="20">
        <f t="shared" si="7"/>
        <v>29.487174999999997</v>
      </c>
      <c r="P112" s="7"/>
      <c r="Q112" s="13"/>
      <c r="R112" s="14"/>
      <c r="S112" s="14"/>
      <c r="T112" s="27"/>
      <c r="U112" s="28">
        <f t="shared" si="8"/>
        <v>8.0233722871452404E-2</v>
      </c>
    </row>
    <row r="113" spans="2:21" x14ac:dyDescent="0.25">
      <c r="B113" s="6" t="s">
        <v>111</v>
      </c>
      <c r="C113" s="15">
        <v>2340.2399999999998</v>
      </c>
      <c r="D113" s="16">
        <v>49.494</v>
      </c>
      <c r="E113" s="16">
        <v>49.683</v>
      </c>
      <c r="F113" s="16">
        <v>49.488999999999997</v>
      </c>
      <c r="G113" s="16">
        <v>5.44</v>
      </c>
      <c r="H113" s="16">
        <f t="shared" si="6"/>
        <v>49.516999999999996</v>
      </c>
      <c r="I113" s="5"/>
      <c r="J113" s="15">
        <v>1400.7014999999999</v>
      </c>
      <c r="K113" s="16">
        <v>47.558399999999999</v>
      </c>
      <c r="L113" s="16">
        <v>48.6096</v>
      </c>
      <c r="M113" s="16">
        <v>48.563699999999997</v>
      </c>
      <c r="N113" s="16">
        <v>4.7146999999999997</v>
      </c>
      <c r="O113" s="16">
        <f t="shared" si="7"/>
        <v>47.815462499999995</v>
      </c>
      <c r="P113" s="7"/>
      <c r="Q113" s="8">
        <f>bdrate(C113:C116,D113:D116,J113:J116,K113:K116)</f>
        <v>-0.21084589409243781</v>
      </c>
      <c r="R113" s="8">
        <f>bdrate(C113:C116,E113:E116,J113:J116,L113:L116)</f>
        <v>-0.32667322219824357</v>
      </c>
      <c r="S113" s="8">
        <f>bdrate(C113:C116,F113:F116,J113:J116,M113:M116)</f>
        <v>-0.34770570035040493</v>
      </c>
      <c r="T113" s="25">
        <f>bdrate(C113:C116,H113:H116,J113:J116,O113:O116)</f>
        <v>-0.24095547099673897</v>
      </c>
      <c r="U113" s="28">
        <f t="shared" si="8"/>
        <v>-0.13332720588235306</v>
      </c>
    </row>
    <row r="114" spans="2:21" x14ac:dyDescent="0.25">
      <c r="B114" s="9"/>
      <c r="C114" s="17">
        <v>1545.03</v>
      </c>
      <c r="D114" s="18">
        <v>47.451000000000001</v>
      </c>
      <c r="E114" s="18">
        <v>47.780999999999999</v>
      </c>
      <c r="F114" s="18">
        <v>47.555</v>
      </c>
      <c r="G114" s="18">
        <v>5.87</v>
      </c>
      <c r="H114" s="18">
        <f t="shared" si="6"/>
        <v>47.505250000000004</v>
      </c>
      <c r="I114" s="5"/>
      <c r="J114" s="17">
        <v>949.92240000000004</v>
      </c>
      <c r="K114" s="18">
        <v>45.9681</v>
      </c>
      <c r="L114" s="18">
        <v>47.205500000000001</v>
      </c>
      <c r="M114" s="18">
        <v>47.1145</v>
      </c>
      <c r="N114" s="18">
        <v>5.6102999999999996</v>
      </c>
      <c r="O114" s="18">
        <f t="shared" si="7"/>
        <v>46.266075000000001</v>
      </c>
      <c r="P114" s="7"/>
      <c r="Q114" s="10"/>
      <c r="R114" s="11"/>
      <c r="S114" s="11"/>
      <c r="T114" s="26"/>
      <c r="U114" s="28">
        <f t="shared" si="8"/>
        <v>-4.4241908006814393E-2</v>
      </c>
    </row>
    <row r="115" spans="2:21" x14ac:dyDescent="0.25">
      <c r="B115" s="9"/>
      <c r="C115" s="17">
        <v>925.48</v>
      </c>
      <c r="D115" s="18">
        <v>44.607999999999997</v>
      </c>
      <c r="E115" s="18">
        <v>45.192</v>
      </c>
      <c r="F115" s="18">
        <v>44.9</v>
      </c>
      <c r="G115" s="18">
        <v>6.68</v>
      </c>
      <c r="H115" s="18">
        <f t="shared" si="6"/>
        <v>44.717499999999994</v>
      </c>
      <c r="I115" s="5"/>
      <c r="J115" s="17">
        <v>591.14909999999998</v>
      </c>
      <c r="K115" s="18">
        <v>43.351399999999998</v>
      </c>
      <c r="L115" s="18">
        <v>45.007800000000003</v>
      </c>
      <c r="M115" s="18">
        <v>44.893099999999997</v>
      </c>
      <c r="N115" s="18">
        <v>6.9710000000000001</v>
      </c>
      <c r="O115" s="18">
        <f t="shared" si="7"/>
        <v>43.751162499999992</v>
      </c>
      <c r="P115" s="7"/>
      <c r="Q115" s="10"/>
      <c r="R115" s="11"/>
      <c r="S115" s="11"/>
      <c r="T115" s="26"/>
      <c r="U115" s="28">
        <f t="shared" si="8"/>
        <v>4.3562874251497061E-2</v>
      </c>
    </row>
    <row r="116" spans="2:21" ht="16.5" thickBot="1" x14ac:dyDescent="0.3">
      <c r="B116" s="12"/>
      <c r="C116" s="19">
        <v>427.84</v>
      </c>
      <c r="D116" s="20">
        <v>39.24</v>
      </c>
      <c r="E116" s="20">
        <v>40.947000000000003</v>
      </c>
      <c r="F116" s="20">
        <v>40.58</v>
      </c>
      <c r="G116" s="20">
        <v>8.6999999999999993</v>
      </c>
      <c r="H116" s="20">
        <f t="shared" si="6"/>
        <v>39.620874999999998</v>
      </c>
      <c r="I116" s="5"/>
      <c r="J116" s="19">
        <v>301.97230000000002</v>
      </c>
      <c r="K116" s="20">
        <v>38.698500000000003</v>
      </c>
      <c r="L116" s="20">
        <v>41.344499999999996</v>
      </c>
      <c r="M116" s="20">
        <v>41.145299999999999</v>
      </c>
      <c r="N116" s="20">
        <v>9.5815999999999999</v>
      </c>
      <c r="O116" s="20">
        <f t="shared" si="7"/>
        <v>39.335100000000004</v>
      </c>
      <c r="P116" s="7"/>
      <c r="Q116" s="13"/>
      <c r="R116" s="14"/>
      <c r="S116" s="14"/>
      <c r="T116" s="27"/>
      <c r="U116" s="28">
        <f t="shared" si="8"/>
        <v>0.10133333333333341</v>
      </c>
    </row>
    <row r="117" spans="2:21" x14ac:dyDescent="0.25">
      <c r="B117" s="6" t="s">
        <v>112</v>
      </c>
      <c r="C117" s="15">
        <v>2764.84</v>
      </c>
      <c r="D117" s="16">
        <v>51.796999999999997</v>
      </c>
      <c r="E117" s="16">
        <v>52.8</v>
      </c>
      <c r="F117" s="16">
        <v>53.061</v>
      </c>
      <c r="G117" s="16">
        <v>5.53</v>
      </c>
      <c r="H117" s="16">
        <f t="shared" si="6"/>
        <v>52.080374999999997</v>
      </c>
      <c r="I117" s="5"/>
      <c r="J117" s="15">
        <v>1407.9309000000001</v>
      </c>
      <c r="K117" s="16">
        <v>47.646500000000003</v>
      </c>
      <c r="L117" s="16">
        <v>50.178100000000001</v>
      </c>
      <c r="M117" s="16">
        <v>50.228000000000002</v>
      </c>
      <c r="N117" s="16">
        <v>6.0956000000000001</v>
      </c>
      <c r="O117" s="16">
        <f t="shared" si="7"/>
        <v>48.2856375</v>
      </c>
      <c r="P117" s="7"/>
      <c r="Q117" s="8">
        <f>bdrate(C117:C120,D117:D120,J117:J120,K117:K120)</f>
        <v>-0.28315745457342345</v>
      </c>
      <c r="R117" s="8">
        <f>bdrate(C117:C120,E117:E120,J117:J120,L117:L120)</f>
        <v>-0.37754529848601193</v>
      </c>
      <c r="S117" s="8">
        <f>bdrate(C117:C120,F117:F120,J117:J120,M117:M120)</f>
        <v>-0.37398826281383846</v>
      </c>
      <c r="T117" s="25">
        <f>bdrate(C117:C120,H117:H120,J117:J120,O117:O120)</f>
        <v>-0.30503131600148381</v>
      </c>
      <c r="U117" s="28">
        <f t="shared" si="8"/>
        <v>0.1022784810126582</v>
      </c>
    </row>
    <row r="118" spans="2:21" x14ac:dyDescent="0.25">
      <c r="B118" s="9"/>
      <c r="C118" s="17">
        <v>1827.95</v>
      </c>
      <c r="D118" s="18">
        <v>48.256999999999998</v>
      </c>
      <c r="E118" s="18">
        <v>49.637999999999998</v>
      </c>
      <c r="F118" s="18">
        <v>49.902000000000001</v>
      </c>
      <c r="G118" s="18">
        <v>5.73</v>
      </c>
      <c r="H118" s="18">
        <f t="shared" si="6"/>
        <v>48.635249999999992</v>
      </c>
      <c r="I118" s="5"/>
      <c r="J118" s="17">
        <v>973.65830000000005</v>
      </c>
      <c r="K118" s="18">
        <v>46.371299999999998</v>
      </c>
      <c r="L118" s="18">
        <v>49.142200000000003</v>
      </c>
      <c r="M118" s="18">
        <v>49.225700000000003</v>
      </c>
      <c r="N118" s="18">
        <v>7.2272999999999996</v>
      </c>
      <c r="O118" s="18">
        <f t="shared" si="7"/>
        <v>47.074462500000003</v>
      </c>
      <c r="P118" s="7"/>
      <c r="Q118" s="10"/>
      <c r="R118" s="11"/>
      <c r="S118" s="11"/>
      <c r="T118" s="26"/>
      <c r="U118" s="28">
        <f t="shared" si="8"/>
        <v>0.26130890052356004</v>
      </c>
    </row>
    <row r="119" spans="2:21" x14ac:dyDescent="0.25">
      <c r="B119" s="9"/>
      <c r="C119" s="17">
        <v>1086.1300000000001</v>
      </c>
      <c r="D119" s="18">
        <v>44.64</v>
      </c>
      <c r="E119" s="18">
        <v>46.613</v>
      </c>
      <c r="F119" s="18">
        <v>46.85</v>
      </c>
      <c r="G119" s="18">
        <v>6.3</v>
      </c>
      <c r="H119" s="18">
        <f t="shared" si="6"/>
        <v>45.162875000000007</v>
      </c>
      <c r="I119" s="5"/>
      <c r="J119" s="17">
        <v>633.77689999999996</v>
      </c>
      <c r="K119" s="18">
        <v>43.309800000000003</v>
      </c>
      <c r="L119" s="18">
        <v>46.216500000000003</v>
      </c>
      <c r="M119" s="18">
        <v>46.472299999999997</v>
      </c>
      <c r="N119" s="18">
        <v>8.5021000000000004</v>
      </c>
      <c r="O119" s="18">
        <f t="shared" si="7"/>
        <v>44.068450000000006</v>
      </c>
      <c r="P119" s="7"/>
      <c r="Q119" s="10"/>
      <c r="R119" s="11"/>
      <c r="S119" s="11"/>
      <c r="T119" s="26"/>
      <c r="U119" s="28">
        <f t="shared" si="8"/>
        <v>0.34953968253968265</v>
      </c>
    </row>
    <row r="120" spans="2:21" ht="16.5" thickBot="1" x14ac:dyDescent="0.3">
      <c r="B120" s="12"/>
      <c r="C120" s="19">
        <v>499.74</v>
      </c>
      <c r="D120" s="20">
        <v>39.415999999999997</v>
      </c>
      <c r="E120" s="20">
        <v>41.968000000000004</v>
      </c>
      <c r="F120" s="20">
        <v>42.232999999999997</v>
      </c>
      <c r="G120" s="20">
        <v>7.82</v>
      </c>
      <c r="H120" s="20">
        <f t="shared" si="6"/>
        <v>40.087125</v>
      </c>
      <c r="I120" s="5"/>
      <c r="J120" s="19">
        <v>344.02609999999999</v>
      </c>
      <c r="K120" s="20">
        <v>38.762099999999997</v>
      </c>
      <c r="L120" s="20">
        <v>42.173400000000001</v>
      </c>
      <c r="M120" s="20">
        <v>42.458300000000001</v>
      </c>
      <c r="N120" s="20">
        <v>12.569599999999999</v>
      </c>
      <c r="O120" s="20">
        <f t="shared" si="7"/>
        <v>39.650537499999999</v>
      </c>
      <c r="P120" s="7"/>
      <c r="Q120" s="13"/>
      <c r="R120" s="14"/>
      <c r="S120" s="14"/>
      <c r="T120" s="27"/>
      <c r="U120" s="28">
        <f t="shared" si="8"/>
        <v>0.60736572890025564</v>
      </c>
    </row>
    <row r="121" spans="2:21" x14ac:dyDescent="0.25">
      <c r="B121" s="6" t="s">
        <v>113</v>
      </c>
      <c r="C121" s="29">
        <v>2128.41</v>
      </c>
      <c r="D121" s="30">
        <v>35.081000000000003</v>
      </c>
      <c r="E121" s="30">
        <v>37.988</v>
      </c>
      <c r="F121" s="30">
        <v>36.933999999999997</v>
      </c>
      <c r="G121" s="16">
        <v>3.58</v>
      </c>
      <c r="H121" s="16">
        <f t="shared" si="6"/>
        <v>35.676000000000002</v>
      </c>
      <c r="I121" s="5"/>
      <c r="J121" s="29">
        <v>1513.9614999999999</v>
      </c>
      <c r="K121" s="30">
        <v>33.981999999999999</v>
      </c>
      <c r="L121" s="30">
        <v>38.0045</v>
      </c>
      <c r="M121" s="30">
        <v>36.856999999999999</v>
      </c>
      <c r="N121" s="16">
        <v>3.8677000000000001</v>
      </c>
      <c r="O121" s="16">
        <f t="shared" si="7"/>
        <v>34.844187500000004</v>
      </c>
      <c r="P121" s="7"/>
      <c r="Q121" s="8">
        <f>bdrate(C121:C124,D121:D124,J121:J124,K121:K124)</f>
        <v>-0.21998632083196779</v>
      </c>
      <c r="R121" s="8">
        <f>bdrate(C121:C124,E121:E124,J121:J124,L121:L124)</f>
        <v>-0.36668007051197782</v>
      </c>
      <c r="S121" s="8">
        <f>bdrate(C121:C124,F121:F124,J121:J124,M121:M124)</f>
        <v>-0.34802048246597972</v>
      </c>
      <c r="T121" s="25">
        <f>bdrate(C121:C124,H121:H124,J121:J124,O121:O124)</f>
        <v>-0.24324964525004567</v>
      </c>
      <c r="U121" s="28">
        <f t="shared" si="8"/>
        <v>8.0363128491620126E-2</v>
      </c>
    </row>
    <row r="122" spans="2:21" x14ac:dyDescent="0.25">
      <c r="B122" s="9"/>
      <c r="C122" s="31">
        <v>1414.09</v>
      </c>
      <c r="D122" s="32">
        <v>32.915999999999997</v>
      </c>
      <c r="E122" s="32">
        <v>36.658000000000001</v>
      </c>
      <c r="F122" s="32">
        <v>35.533999999999999</v>
      </c>
      <c r="G122" s="18">
        <v>4.0199999999999996</v>
      </c>
      <c r="H122" s="18">
        <f t="shared" si="6"/>
        <v>33.710999999999999</v>
      </c>
      <c r="I122" s="5"/>
      <c r="J122" s="31">
        <v>1008.8901</v>
      </c>
      <c r="K122" s="32">
        <v>32.0212</v>
      </c>
      <c r="L122" s="32">
        <v>36.866</v>
      </c>
      <c r="M122" s="32">
        <v>35.674399999999999</v>
      </c>
      <c r="N122" s="18">
        <v>4.4907000000000004</v>
      </c>
      <c r="O122" s="18">
        <f t="shared" si="7"/>
        <v>33.083449999999999</v>
      </c>
      <c r="P122" s="7"/>
      <c r="Q122" s="10"/>
      <c r="R122" s="11"/>
      <c r="S122" s="11"/>
      <c r="T122" s="26"/>
      <c r="U122" s="28">
        <f t="shared" si="8"/>
        <v>0.11708955223880618</v>
      </c>
    </row>
    <row r="123" spans="2:21" x14ac:dyDescent="0.25">
      <c r="B123" s="9"/>
      <c r="C123" s="31">
        <v>850.96</v>
      </c>
      <c r="D123" s="32">
        <v>30.146999999999998</v>
      </c>
      <c r="E123" s="32">
        <v>35.182000000000002</v>
      </c>
      <c r="F123" s="32">
        <v>33.988</v>
      </c>
      <c r="G123" s="18">
        <v>4.76</v>
      </c>
      <c r="H123" s="18">
        <f t="shared" si="6"/>
        <v>31.256500000000003</v>
      </c>
      <c r="I123" s="5"/>
      <c r="J123" s="31">
        <v>606.02829999999994</v>
      </c>
      <c r="K123" s="32">
        <v>29.715599999999998</v>
      </c>
      <c r="L123" s="32">
        <v>35.591700000000003</v>
      </c>
      <c r="M123" s="32">
        <v>34.326300000000003</v>
      </c>
      <c r="N123" s="18">
        <v>5.5814000000000004</v>
      </c>
      <c r="O123" s="18">
        <f t="shared" si="7"/>
        <v>31.026450000000001</v>
      </c>
      <c r="P123" s="7"/>
      <c r="Q123" s="10"/>
      <c r="R123" s="11"/>
      <c r="S123" s="11"/>
      <c r="T123" s="26"/>
      <c r="U123" s="28">
        <f t="shared" si="8"/>
        <v>0.17256302521008415</v>
      </c>
    </row>
    <row r="124" spans="2:21" ht="16.5" thickBot="1" x14ac:dyDescent="0.3">
      <c r="B124" s="12"/>
      <c r="C124" s="33">
        <v>395.29</v>
      </c>
      <c r="D124" s="34">
        <v>25.971</v>
      </c>
      <c r="E124" s="34">
        <v>33.334000000000003</v>
      </c>
      <c r="F124" s="34">
        <v>31.94</v>
      </c>
      <c r="G124" s="20">
        <v>6.64</v>
      </c>
      <c r="H124" s="20">
        <f t="shared" si="6"/>
        <v>27.637499999999999</v>
      </c>
      <c r="I124" s="5"/>
      <c r="J124" s="33">
        <v>303.37110000000001</v>
      </c>
      <c r="K124" s="34">
        <v>27.093699999999998</v>
      </c>
      <c r="L124" s="34">
        <v>33.964199999999998</v>
      </c>
      <c r="M124" s="34">
        <v>32.560899999999997</v>
      </c>
      <c r="N124" s="20">
        <v>7.7243000000000004</v>
      </c>
      <c r="O124" s="20">
        <f t="shared" si="7"/>
        <v>28.6359125</v>
      </c>
      <c r="P124" s="7"/>
      <c r="Q124" s="13"/>
      <c r="R124" s="14"/>
      <c r="S124" s="14"/>
      <c r="T124" s="27"/>
      <c r="U124" s="28">
        <f t="shared" si="8"/>
        <v>0.16329819277108445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-0.3161006369803932</v>
      </c>
      <c r="R125" s="21">
        <f>AVERAGE(R9:R124)</f>
        <v>-0.49630481942826971</v>
      </c>
      <c r="S125" s="21">
        <f>AVERAGE(S9:S124)</f>
        <v>-0.49937661905582886</v>
      </c>
      <c r="T125" s="21">
        <f>AVERAGE(T9:T124)</f>
        <v>-0.35234820581436072</v>
      </c>
      <c r="U125" s="21">
        <f>AVERAGE(U9:U124)</f>
        <v>0.43288762991956037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39" priority="337" operator="greaterThan">
      <formula>0.03</formula>
    </cfRule>
    <cfRule type="cellIs" dxfId="238" priority="338" stopIfTrue="1" operator="lessThan">
      <formula>-0.03</formula>
    </cfRule>
  </conditionalFormatting>
  <conditionalFormatting sqref="Q33:T36">
    <cfRule type="cellIs" dxfId="237" priority="335" operator="greaterThan">
      <formula>0.03</formula>
    </cfRule>
    <cfRule type="cellIs" dxfId="236" priority="336" stopIfTrue="1" operator="lessThan">
      <formula>-0.03</formula>
    </cfRule>
  </conditionalFormatting>
  <conditionalFormatting sqref="Q45:T48 Q61:T64">
    <cfRule type="cellIs" dxfId="235" priority="333" operator="greaterThan">
      <formula>0.03</formula>
    </cfRule>
    <cfRule type="cellIs" dxfId="234" priority="334" stopIfTrue="1" operator="lessThan">
      <formula>-0.03</formula>
    </cfRule>
  </conditionalFormatting>
  <conditionalFormatting sqref="Q49:T60">
    <cfRule type="cellIs" dxfId="233" priority="331" operator="greaterThan">
      <formula>0.03</formula>
    </cfRule>
    <cfRule type="cellIs" dxfId="232" priority="332" stopIfTrue="1" operator="lessThan">
      <formula>-0.03</formula>
    </cfRule>
  </conditionalFormatting>
  <conditionalFormatting sqref="Q69:T76">
    <cfRule type="cellIs" dxfId="231" priority="329" operator="greaterThan">
      <formula>0.03</formula>
    </cfRule>
    <cfRule type="cellIs" dxfId="230" priority="330" stopIfTrue="1" operator="lessThan">
      <formula>-0.03</formula>
    </cfRule>
  </conditionalFormatting>
  <conditionalFormatting sqref="Q65:T68">
    <cfRule type="cellIs" dxfId="229" priority="327" operator="greaterThan">
      <formula>0.03</formula>
    </cfRule>
    <cfRule type="cellIs" dxfId="228" priority="328" stopIfTrue="1" operator="lessThan">
      <formula>-0.03</formula>
    </cfRule>
  </conditionalFormatting>
  <conditionalFormatting sqref="Q77:T80">
    <cfRule type="cellIs" dxfId="227" priority="325" operator="greaterThan">
      <formula>0.03</formula>
    </cfRule>
    <cfRule type="cellIs" dxfId="226" priority="326" stopIfTrue="1" operator="lessThan">
      <formula>-0.03</formula>
    </cfRule>
  </conditionalFormatting>
  <conditionalFormatting sqref="Q21:T28">
    <cfRule type="cellIs" dxfId="225" priority="323" operator="greaterThan">
      <formula>0.03</formula>
    </cfRule>
    <cfRule type="cellIs" dxfId="224" priority="324" stopIfTrue="1" operator="lessThan">
      <formula>-0.03</formula>
    </cfRule>
  </conditionalFormatting>
  <conditionalFormatting sqref="Q117:T117">
    <cfRule type="cellIs" dxfId="223" priority="33" operator="greaterThan">
      <formula>0.03</formula>
    </cfRule>
    <cfRule type="cellIs" dxfId="222" priority="34" stopIfTrue="1" operator="lessThan">
      <formula>-0.03</formula>
    </cfRule>
  </conditionalFormatting>
  <conditionalFormatting sqref="Q93:T96 Q101:T108 Q81:T84">
    <cfRule type="cellIs" dxfId="221" priority="47" operator="greaterThan">
      <formula>0.03</formula>
    </cfRule>
    <cfRule type="cellIs" dxfId="220" priority="48" stopIfTrue="1" operator="lessThan">
      <formula>-0.03</formula>
    </cfRule>
  </conditionalFormatting>
  <conditionalFormatting sqref="Q97:T100">
    <cfRule type="cellIs" dxfId="219" priority="45" operator="greaterThan">
      <formula>0.03</formula>
    </cfRule>
    <cfRule type="cellIs" dxfId="218" priority="46" stopIfTrue="1" operator="lessThan">
      <formula>-0.03</formula>
    </cfRule>
  </conditionalFormatting>
  <conditionalFormatting sqref="Q110:T112 Q122:T124">
    <cfRule type="cellIs" dxfId="217" priority="43" operator="greaterThan">
      <formula>0.03</formula>
    </cfRule>
    <cfRule type="cellIs" dxfId="216" priority="44" stopIfTrue="1" operator="lessThan">
      <formula>-0.03</formula>
    </cfRule>
  </conditionalFormatting>
  <conditionalFormatting sqref="Q114:T116 Q118:T120">
    <cfRule type="cellIs" dxfId="215" priority="41" operator="greaterThan">
      <formula>0.03</formula>
    </cfRule>
    <cfRule type="cellIs" dxfId="214" priority="42" stopIfTrue="1" operator="lessThan">
      <formula>-0.03</formula>
    </cfRule>
  </conditionalFormatting>
  <conditionalFormatting sqref="Q85:T92">
    <cfRule type="cellIs" dxfId="213" priority="39" operator="greaterThan">
      <formula>0.03</formula>
    </cfRule>
    <cfRule type="cellIs" dxfId="212" priority="40" stopIfTrue="1" operator="lessThan">
      <formula>-0.03</formula>
    </cfRule>
  </conditionalFormatting>
  <conditionalFormatting sqref="Q109:T109">
    <cfRule type="cellIs" dxfId="211" priority="37" operator="greaterThan">
      <formula>0.03</formula>
    </cfRule>
    <cfRule type="cellIs" dxfId="210" priority="38" stopIfTrue="1" operator="lessThan">
      <formula>-0.03</formula>
    </cfRule>
  </conditionalFormatting>
  <conditionalFormatting sqref="Q113:T113">
    <cfRule type="cellIs" dxfId="209" priority="35" operator="greaterThan">
      <formula>0.03</formula>
    </cfRule>
    <cfRule type="cellIs" dxfId="208" priority="36" stopIfTrue="1" operator="lessThan">
      <formula>-0.03</formula>
    </cfRule>
  </conditionalFormatting>
  <conditionalFormatting sqref="Q121:T121">
    <cfRule type="cellIs" dxfId="207" priority="31" operator="greaterThan">
      <formula>0.03</formula>
    </cfRule>
    <cfRule type="cellIs" dxfId="206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98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87</v>
      </c>
    </row>
    <row r="5" spans="1:21" s="35" customFormat="1" ht="15.75" customHeight="1" x14ac:dyDescent="0.25">
      <c r="B5" s="51" t="s">
        <v>29</v>
      </c>
      <c r="C5" s="56" t="s">
        <v>132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66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3826.85</v>
      </c>
      <c r="D9" s="16">
        <v>36.093000000000004</v>
      </c>
      <c r="E9" s="16">
        <v>37.982999999999997</v>
      </c>
      <c r="F9" s="16">
        <v>40.270000000000003</v>
      </c>
      <c r="G9" s="16">
        <v>9.56</v>
      </c>
      <c r="H9" s="16">
        <f t="shared" ref="H9:H80" si="0">(6*D9+E9+F9)/8</f>
        <v>36.851375000000004</v>
      </c>
      <c r="I9" s="5"/>
      <c r="J9" s="15">
        <v>4012.6032</v>
      </c>
      <c r="K9" s="16">
        <v>37.915100000000002</v>
      </c>
      <c r="L9" s="16">
        <v>39.460799999999999</v>
      </c>
      <c r="M9" s="16">
        <v>41.940899999999999</v>
      </c>
      <c r="N9" s="16">
        <v>16.268999999999998</v>
      </c>
      <c r="O9" s="16">
        <f t="shared" ref="O9:O80" si="1">(6*K9+L9+M9)/8</f>
        <v>38.611537500000004</v>
      </c>
      <c r="P9" s="7"/>
      <c r="Q9" s="8">
        <f>bdrate(C9:C12,D9:D12,J9:J12,K9:K12)</f>
        <v>-0.31498675696680223</v>
      </c>
      <c r="R9" s="8">
        <f>bdrate(C9:C12,E9:E12,J9:J12,L9:L12)</f>
        <v>-0.53293782115723642</v>
      </c>
      <c r="S9" s="8">
        <f>bdrate(C9:C12,F9:F12,J9:J12,M9:M12)</f>
        <v>-0.50970171606961134</v>
      </c>
      <c r="T9" s="25">
        <f>bdrate(C9:C12,H9:H12,J9:J12,O9:O12)</f>
        <v>-0.34323919554513016</v>
      </c>
      <c r="U9" s="28">
        <f t="shared" ref="U9:U72" si="2">(N9-G9)/G9</f>
        <v>0.70177824267782396</v>
      </c>
    </row>
    <row r="10" spans="1:21" x14ac:dyDescent="0.25">
      <c r="A10" s="9" t="s">
        <v>36</v>
      </c>
      <c r="B10" s="9"/>
      <c r="C10" s="17">
        <v>2854.79</v>
      </c>
      <c r="D10" s="18">
        <v>35.156999999999996</v>
      </c>
      <c r="E10" s="18">
        <v>37.520000000000003</v>
      </c>
      <c r="F10" s="18">
        <v>39.832999999999998</v>
      </c>
      <c r="G10" s="18">
        <v>10.119999999999999</v>
      </c>
      <c r="H10" s="18">
        <f t="shared" si="0"/>
        <v>36.036874999999995</v>
      </c>
      <c r="I10" s="5"/>
      <c r="J10" s="17">
        <v>2912.6016</v>
      </c>
      <c r="K10" s="18">
        <v>36.925400000000003</v>
      </c>
      <c r="L10" s="18">
        <v>38.8887</v>
      </c>
      <c r="M10" s="18">
        <v>41.231699999999996</v>
      </c>
      <c r="N10" s="18">
        <v>18.742999999999999</v>
      </c>
      <c r="O10" s="18">
        <f t="shared" si="1"/>
        <v>37.709099999999999</v>
      </c>
      <c r="P10" s="7"/>
      <c r="Q10" s="10"/>
      <c r="R10" s="11"/>
      <c r="S10" s="11"/>
      <c r="T10" s="26"/>
      <c r="U10" s="28">
        <f t="shared" si="2"/>
        <v>0.85207509881422927</v>
      </c>
    </row>
    <row r="11" spans="1:21" x14ac:dyDescent="0.25">
      <c r="B11" s="9"/>
      <c r="C11" s="17">
        <v>1861.94</v>
      </c>
      <c r="D11" s="18">
        <v>33.93</v>
      </c>
      <c r="E11" s="18">
        <v>37.073</v>
      </c>
      <c r="F11" s="18">
        <v>39.363999999999997</v>
      </c>
      <c r="G11" s="18">
        <v>12.05</v>
      </c>
      <c r="H11" s="18">
        <f t="shared" si="0"/>
        <v>35.002124999999999</v>
      </c>
      <c r="I11" s="5"/>
      <c r="J11" s="17">
        <v>1935.6592000000001</v>
      </c>
      <c r="K11" s="18">
        <v>35.401400000000002</v>
      </c>
      <c r="L11" s="18">
        <v>38.237499999999997</v>
      </c>
      <c r="M11" s="18">
        <v>40.530700000000003</v>
      </c>
      <c r="N11" s="18">
        <v>21.904199999999999</v>
      </c>
      <c r="O11" s="18">
        <f t="shared" si="1"/>
        <v>36.397075000000008</v>
      </c>
      <c r="P11" s="7"/>
      <c r="Q11" s="10"/>
      <c r="R11" s="11"/>
      <c r="S11" s="11"/>
      <c r="T11" s="26"/>
      <c r="U11" s="28">
        <f t="shared" si="2"/>
        <v>0.81777593360995837</v>
      </c>
    </row>
    <row r="12" spans="1:21" ht="16.5" thickBot="1" x14ac:dyDescent="0.3">
      <c r="B12" s="12"/>
      <c r="C12" s="19">
        <v>882.37</v>
      </c>
      <c r="D12" s="20">
        <v>31.516999999999999</v>
      </c>
      <c r="E12" s="20">
        <v>36.463000000000001</v>
      </c>
      <c r="F12" s="20">
        <v>38.704000000000001</v>
      </c>
      <c r="G12" s="20">
        <v>16.11</v>
      </c>
      <c r="H12" s="20">
        <f t="shared" si="0"/>
        <v>33.033625000000001</v>
      </c>
      <c r="I12" s="5"/>
      <c r="J12" s="19">
        <v>927.78240000000005</v>
      </c>
      <c r="K12" s="20">
        <v>32.524500000000003</v>
      </c>
      <c r="L12" s="20">
        <v>36.9497</v>
      </c>
      <c r="M12" s="20">
        <v>39.166499999999999</v>
      </c>
      <c r="N12" s="20">
        <v>28.8795</v>
      </c>
      <c r="O12" s="20">
        <f t="shared" si="1"/>
        <v>33.907900000000005</v>
      </c>
      <c r="P12" s="7"/>
      <c r="Q12" s="13"/>
      <c r="R12" s="14"/>
      <c r="S12" s="14"/>
      <c r="T12" s="27"/>
      <c r="U12" s="28">
        <f t="shared" si="2"/>
        <v>0.79264432029795162</v>
      </c>
    </row>
    <row r="13" spans="1:21" x14ac:dyDescent="0.25">
      <c r="B13" s="6" t="s">
        <v>47</v>
      </c>
      <c r="C13" s="15">
        <v>4096.1000000000004</v>
      </c>
      <c r="D13" s="16">
        <v>28.893000000000001</v>
      </c>
      <c r="E13" s="16">
        <v>38.241</v>
      </c>
      <c r="F13" s="16">
        <v>39.247999999999998</v>
      </c>
      <c r="G13" s="16">
        <v>7.51</v>
      </c>
      <c r="H13" s="16">
        <f t="shared" si="0"/>
        <v>31.355874999999997</v>
      </c>
      <c r="I13" s="5"/>
      <c r="J13" s="15">
        <v>4050.1311999999998</v>
      </c>
      <c r="K13" s="16">
        <v>29.506900000000002</v>
      </c>
      <c r="L13" s="16">
        <v>39.366100000000003</v>
      </c>
      <c r="M13" s="16">
        <v>40.256</v>
      </c>
      <c r="N13" s="16">
        <v>11.812900000000001</v>
      </c>
      <c r="O13" s="16">
        <f t="shared" si="1"/>
        <v>32.0829375</v>
      </c>
      <c r="P13" s="7"/>
      <c r="Q13" s="8">
        <f>bdrate(C13:C16,D13:D16,J13:J16,K13:K16)</f>
        <v>-0.10176245871793366</v>
      </c>
      <c r="R13" s="8">
        <f>bdrate(C13:C16,E13:E16,J13:J16,L13:L16)</f>
        <v>-0.448950655394176</v>
      </c>
      <c r="S13" s="8">
        <f>bdrate(C13:C16,F13:F16,J13:J16,M13:M16)</f>
        <v>-0.47254885309421668</v>
      </c>
      <c r="T13" s="25">
        <f>bdrate(C13:C16,H13:H16,J13:J16,O13:O16)</f>
        <v>-0.16297294449775279</v>
      </c>
      <c r="U13" s="28">
        <f t="shared" si="2"/>
        <v>0.57295605858854881</v>
      </c>
    </row>
    <row r="14" spans="1:21" x14ac:dyDescent="0.25">
      <c r="B14" s="9"/>
      <c r="C14" s="17">
        <v>3058.9</v>
      </c>
      <c r="D14" s="18">
        <v>27.712</v>
      </c>
      <c r="E14" s="18">
        <v>37.78</v>
      </c>
      <c r="F14" s="18">
        <v>38.829000000000001</v>
      </c>
      <c r="G14" s="18">
        <v>7.08</v>
      </c>
      <c r="H14" s="18">
        <f t="shared" si="0"/>
        <v>30.360125</v>
      </c>
      <c r="I14" s="5"/>
      <c r="J14" s="17">
        <v>3030.96</v>
      </c>
      <c r="K14" s="18">
        <v>28.186900000000001</v>
      </c>
      <c r="L14" s="18">
        <v>38.863</v>
      </c>
      <c r="M14" s="18">
        <v>39.857300000000002</v>
      </c>
      <c r="N14" s="18">
        <v>13.8748</v>
      </c>
      <c r="O14" s="18">
        <f t="shared" si="1"/>
        <v>30.9802125</v>
      </c>
      <c r="P14" s="7"/>
      <c r="Q14" s="10"/>
      <c r="R14" s="11"/>
      <c r="S14" s="11"/>
      <c r="T14" s="26"/>
      <c r="U14" s="28">
        <f t="shared" si="2"/>
        <v>0.95971751412429385</v>
      </c>
    </row>
    <row r="15" spans="1:21" x14ac:dyDescent="0.25">
      <c r="B15" s="9"/>
      <c r="C15" s="17">
        <v>2026.36</v>
      </c>
      <c r="D15" s="18">
        <v>26.1</v>
      </c>
      <c r="E15" s="18">
        <v>36.780999999999999</v>
      </c>
      <c r="F15" s="18">
        <v>37.94</v>
      </c>
      <c r="G15" s="18">
        <v>8.61</v>
      </c>
      <c r="H15" s="18">
        <f t="shared" si="0"/>
        <v>28.915125000000003</v>
      </c>
      <c r="I15" s="5"/>
      <c r="J15" s="17">
        <v>2021.2896000000001</v>
      </c>
      <c r="K15" s="18">
        <v>26.4132</v>
      </c>
      <c r="L15" s="18">
        <v>38.162199999999999</v>
      </c>
      <c r="M15" s="18">
        <v>39.262099999999997</v>
      </c>
      <c r="N15" s="18">
        <v>17.324999999999999</v>
      </c>
      <c r="O15" s="18">
        <f t="shared" si="1"/>
        <v>29.487937499999997</v>
      </c>
      <c r="P15" s="7"/>
      <c r="Q15" s="10"/>
      <c r="R15" s="11"/>
      <c r="S15" s="11"/>
      <c r="T15" s="26"/>
      <c r="U15" s="28">
        <f t="shared" si="2"/>
        <v>1.0121951219512195</v>
      </c>
    </row>
    <row r="16" spans="1:21" ht="16.5" thickBot="1" x14ac:dyDescent="0.3">
      <c r="B16" s="12"/>
      <c r="C16" s="19">
        <v>1010.47</v>
      </c>
      <c r="D16" s="20">
        <v>23.178000000000001</v>
      </c>
      <c r="E16" s="20">
        <v>35.453000000000003</v>
      </c>
      <c r="F16" s="20">
        <v>36.591000000000001</v>
      </c>
      <c r="G16" s="20">
        <v>10.68</v>
      </c>
      <c r="H16" s="20">
        <f t="shared" si="0"/>
        <v>26.389000000000003</v>
      </c>
      <c r="I16" s="5"/>
      <c r="J16" s="19">
        <v>1109.8240000000001</v>
      </c>
      <c r="K16" s="20">
        <v>24.218800000000002</v>
      </c>
      <c r="L16" s="20">
        <v>36.656300000000002</v>
      </c>
      <c r="M16" s="20">
        <v>37.8996</v>
      </c>
      <c r="N16" s="20">
        <v>22.730699999999999</v>
      </c>
      <c r="O16" s="20">
        <f t="shared" si="1"/>
        <v>27.483587500000002</v>
      </c>
      <c r="P16" s="7"/>
      <c r="Q16" s="13"/>
      <c r="R16" s="14"/>
      <c r="S16" s="14"/>
      <c r="T16" s="27"/>
      <c r="U16" s="28">
        <f t="shared" si="2"/>
        <v>1.1283426966292134</v>
      </c>
    </row>
    <row r="17" spans="1:21" x14ac:dyDescent="0.25">
      <c r="A17" s="6" t="s">
        <v>37</v>
      </c>
      <c r="B17" s="6" t="s">
        <v>48</v>
      </c>
      <c r="C17" s="15">
        <v>2011.75</v>
      </c>
      <c r="D17" s="16">
        <v>38.378</v>
      </c>
      <c r="E17" s="16">
        <v>40.963000000000001</v>
      </c>
      <c r="F17" s="16">
        <v>42.104999999999997</v>
      </c>
      <c r="G17" s="16">
        <v>15.57</v>
      </c>
      <c r="H17" s="16">
        <f t="shared" si="0"/>
        <v>39.167000000000002</v>
      </c>
      <c r="I17" s="5"/>
      <c r="J17" s="15">
        <v>2389.4335999999998</v>
      </c>
      <c r="K17" s="16">
        <v>39.072699999999998</v>
      </c>
      <c r="L17" s="16">
        <v>41.874499999999998</v>
      </c>
      <c r="M17" s="16">
        <v>43.2027</v>
      </c>
      <c r="N17" s="16">
        <v>31.140499999999999</v>
      </c>
      <c r="O17" s="16">
        <f t="shared" si="1"/>
        <v>39.939174999999999</v>
      </c>
      <c r="P17" s="7"/>
      <c r="Q17" s="8">
        <f>bdrate(C17:C20,D17:D20,J17:J20,K17:K20)</f>
        <v>-7.419557836439894E-2</v>
      </c>
      <c r="R17" s="8">
        <f>bdrate(C17:C20,E17:E20,J17:J20,L17:L20)</f>
        <v>-0.38481709236670969</v>
      </c>
      <c r="S17" s="8">
        <f>bdrate(C17:C20,F17:F20,J17:J20,M17:M20)</f>
        <v>-0.3959392193301845</v>
      </c>
      <c r="T17" s="25">
        <f>bdrate(C17:C20,H17:H20,J17:J20,O17:O20)</f>
        <v>-0.12602384401599742</v>
      </c>
      <c r="U17" s="28">
        <f t="shared" si="2"/>
        <v>1.0000321130378933</v>
      </c>
    </row>
    <row r="18" spans="1:21" x14ac:dyDescent="0.25">
      <c r="A18" s="9" t="s">
        <v>38</v>
      </c>
      <c r="B18" s="9"/>
      <c r="C18" s="17">
        <v>1315.44</v>
      </c>
      <c r="D18" s="18">
        <v>37.049999999999997</v>
      </c>
      <c r="E18" s="18">
        <v>40.131</v>
      </c>
      <c r="F18" s="18">
        <v>41.298999999999999</v>
      </c>
      <c r="G18" s="18">
        <v>15.29</v>
      </c>
      <c r="H18" s="18">
        <f t="shared" si="0"/>
        <v>37.966249999999995</v>
      </c>
      <c r="I18" s="5"/>
      <c r="J18" s="17">
        <v>1563.3832</v>
      </c>
      <c r="K18" s="18">
        <v>37.8095</v>
      </c>
      <c r="L18" s="18">
        <v>41.179900000000004</v>
      </c>
      <c r="M18" s="18">
        <v>42.403300000000002</v>
      </c>
      <c r="N18" s="18">
        <v>35.692999999999998</v>
      </c>
      <c r="O18" s="18">
        <f t="shared" si="1"/>
        <v>38.805025000000001</v>
      </c>
      <c r="P18" s="7"/>
      <c r="Q18" s="10"/>
      <c r="R18" s="11"/>
      <c r="S18" s="11"/>
      <c r="T18" s="26"/>
      <c r="U18" s="28">
        <f t="shared" si="2"/>
        <v>1.3344015696533682</v>
      </c>
    </row>
    <row r="19" spans="1:21" x14ac:dyDescent="0.25">
      <c r="B19" s="9"/>
      <c r="C19" s="17">
        <v>808.34</v>
      </c>
      <c r="D19" s="18">
        <v>35.408000000000001</v>
      </c>
      <c r="E19" s="18">
        <v>39.350999999999999</v>
      </c>
      <c r="F19" s="18">
        <v>40.609000000000002</v>
      </c>
      <c r="G19" s="18">
        <v>17.7</v>
      </c>
      <c r="H19" s="18">
        <f t="shared" si="0"/>
        <v>36.551000000000002</v>
      </c>
      <c r="I19" s="5"/>
      <c r="J19" s="17">
        <v>947.77120000000002</v>
      </c>
      <c r="K19" s="18">
        <v>36.212200000000003</v>
      </c>
      <c r="L19" s="18">
        <v>40.392299999999999</v>
      </c>
      <c r="M19" s="18">
        <v>41.573599999999999</v>
      </c>
      <c r="N19" s="18">
        <v>42.031500000000001</v>
      </c>
      <c r="O19" s="18">
        <f t="shared" si="1"/>
        <v>37.404887500000001</v>
      </c>
      <c r="P19" s="7"/>
      <c r="Q19" s="10"/>
      <c r="R19" s="11"/>
      <c r="S19" s="11"/>
      <c r="T19" s="26"/>
      <c r="U19" s="28">
        <f t="shared" si="2"/>
        <v>1.3746610169491527</v>
      </c>
    </row>
    <row r="20" spans="1:21" ht="16.5" thickBot="1" x14ac:dyDescent="0.3">
      <c r="B20" s="12"/>
      <c r="C20" s="19">
        <v>479.47</v>
      </c>
      <c r="D20" s="20">
        <v>33.58</v>
      </c>
      <c r="E20" s="20">
        <v>38.54</v>
      </c>
      <c r="F20" s="20">
        <v>39.994</v>
      </c>
      <c r="G20" s="20">
        <v>20.239999999999998</v>
      </c>
      <c r="H20" s="20">
        <f t="shared" si="0"/>
        <v>35.001750000000001</v>
      </c>
      <c r="I20" s="5"/>
      <c r="J20" s="19">
        <v>550.18560000000002</v>
      </c>
      <c r="K20" s="20">
        <v>34.4116</v>
      </c>
      <c r="L20" s="20">
        <v>39.671199999999999</v>
      </c>
      <c r="M20" s="20">
        <v>40.892699999999998</v>
      </c>
      <c r="N20" s="20">
        <v>51.107300000000002</v>
      </c>
      <c r="O20" s="20">
        <f t="shared" si="1"/>
        <v>35.8791875</v>
      </c>
      <c r="P20" s="7"/>
      <c r="Q20" s="13"/>
      <c r="R20" s="14"/>
      <c r="S20" s="14"/>
      <c r="T20" s="27"/>
      <c r="U20" s="28">
        <f t="shared" si="2"/>
        <v>1.5250642292490122</v>
      </c>
    </row>
    <row r="21" spans="1:21" x14ac:dyDescent="0.25">
      <c r="B21" s="6" t="s">
        <v>49</v>
      </c>
      <c r="C21" s="15">
        <v>2306.29</v>
      </c>
      <c r="D21" s="16">
        <v>34.615000000000002</v>
      </c>
      <c r="E21" s="16">
        <v>38.307000000000002</v>
      </c>
      <c r="F21" s="16">
        <v>39.508000000000003</v>
      </c>
      <c r="G21" s="16">
        <v>19.329999999999998</v>
      </c>
      <c r="H21" s="16">
        <f t="shared" si="0"/>
        <v>35.688124999999999</v>
      </c>
      <c r="I21" s="5"/>
      <c r="J21" s="15">
        <v>2476.3144000000002</v>
      </c>
      <c r="K21" s="16">
        <v>36.0321</v>
      </c>
      <c r="L21" s="16">
        <v>39.944699999999997</v>
      </c>
      <c r="M21" s="16">
        <v>41.149900000000002</v>
      </c>
      <c r="N21" s="16">
        <v>27.972000000000001</v>
      </c>
      <c r="O21" s="16">
        <f t="shared" si="1"/>
        <v>37.160899999999998</v>
      </c>
      <c r="P21" s="7"/>
      <c r="Q21" s="8">
        <f>bdrate(C21:C24,D21:D24,J21:J24,K21:K24)</f>
        <v>-0.29240716574231151</v>
      </c>
      <c r="R21" s="8">
        <f>bdrate(C21:C24,E21:E24,J21:J24,L21:L24)</f>
        <v>-0.55559299272743923</v>
      </c>
      <c r="S21" s="8">
        <f>bdrate(C21:C24,F21:F24,J21:J24,M21:M24)</f>
        <v>-0.56605884201989887</v>
      </c>
      <c r="T21" s="25">
        <f>bdrate(C21:C24,H21:H24,J21:J24,O21:O24)</f>
        <v>-0.33977887253271111</v>
      </c>
      <c r="U21" s="28">
        <f t="shared" si="2"/>
        <v>0.44707708225556148</v>
      </c>
    </row>
    <row r="22" spans="1:21" x14ac:dyDescent="0.25">
      <c r="B22" s="9"/>
      <c r="C22" s="17">
        <v>1527.98</v>
      </c>
      <c r="D22" s="18">
        <v>33.426000000000002</v>
      </c>
      <c r="E22" s="18">
        <v>37.540999999999997</v>
      </c>
      <c r="F22" s="18">
        <v>38.963000000000001</v>
      </c>
      <c r="G22" s="18">
        <v>17.850000000000001</v>
      </c>
      <c r="H22" s="18">
        <f t="shared" si="0"/>
        <v>34.6325</v>
      </c>
      <c r="I22" s="5"/>
      <c r="J22" s="17">
        <v>1660.8943999999999</v>
      </c>
      <c r="K22" s="18">
        <v>34.760800000000003</v>
      </c>
      <c r="L22" s="18">
        <v>39.165599999999998</v>
      </c>
      <c r="M22" s="18">
        <v>40.376300000000001</v>
      </c>
      <c r="N22" s="18">
        <v>33.8123</v>
      </c>
      <c r="O22" s="18">
        <f t="shared" si="1"/>
        <v>36.013337500000006</v>
      </c>
      <c r="P22" s="7"/>
      <c r="Q22" s="10"/>
      <c r="R22" s="11"/>
      <c r="S22" s="11"/>
      <c r="T22" s="26"/>
      <c r="U22" s="28">
        <f t="shared" si="2"/>
        <v>0.89424649859943961</v>
      </c>
    </row>
    <row r="23" spans="1:21" x14ac:dyDescent="0.25">
      <c r="B23" s="9"/>
      <c r="C23" s="17">
        <v>945.3</v>
      </c>
      <c r="D23" s="18">
        <v>32.11</v>
      </c>
      <c r="E23" s="18">
        <v>36.801000000000002</v>
      </c>
      <c r="F23" s="18">
        <v>38.49</v>
      </c>
      <c r="G23" s="18">
        <v>21.05</v>
      </c>
      <c r="H23" s="18">
        <f t="shared" si="0"/>
        <v>33.493875000000003</v>
      </c>
      <c r="I23" s="5"/>
      <c r="J23" s="17">
        <v>1009.6848</v>
      </c>
      <c r="K23" s="18">
        <v>33.26</v>
      </c>
      <c r="L23" s="18">
        <v>38.232599999999998</v>
      </c>
      <c r="M23" s="18">
        <v>39.522399999999998</v>
      </c>
      <c r="N23" s="18">
        <v>41.357900000000001</v>
      </c>
      <c r="O23" s="18">
        <f t="shared" si="1"/>
        <v>34.664375</v>
      </c>
      <c r="P23" s="7"/>
      <c r="Q23" s="10"/>
      <c r="R23" s="11"/>
      <c r="S23" s="11"/>
      <c r="T23" s="26"/>
      <c r="U23" s="28">
        <f t="shared" si="2"/>
        <v>0.9647458432304038</v>
      </c>
    </row>
    <row r="24" spans="1:21" ht="16.5" thickBot="1" x14ac:dyDescent="0.3">
      <c r="B24" s="12"/>
      <c r="C24" s="19">
        <v>558.42999999999995</v>
      </c>
      <c r="D24" s="20">
        <v>30.663</v>
      </c>
      <c r="E24" s="20">
        <v>36.087000000000003</v>
      </c>
      <c r="F24" s="20">
        <v>37.994999999999997</v>
      </c>
      <c r="G24" s="20">
        <v>24.23</v>
      </c>
      <c r="H24" s="20">
        <f t="shared" si="0"/>
        <v>32.2575</v>
      </c>
      <c r="I24" s="5"/>
      <c r="J24" s="19">
        <v>584.11120000000005</v>
      </c>
      <c r="K24" s="20">
        <v>31.619499999999999</v>
      </c>
      <c r="L24" s="20">
        <v>37.319400000000002</v>
      </c>
      <c r="M24" s="20">
        <v>38.805900000000001</v>
      </c>
      <c r="N24" s="20">
        <v>49.782200000000003</v>
      </c>
      <c r="O24" s="20">
        <f t="shared" si="1"/>
        <v>33.230287499999996</v>
      </c>
      <c r="P24" s="7"/>
      <c r="Q24" s="13"/>
      <c r="R24" s="14"/>
      <c r="S24" s="14"/>
      <c r="T24" s="27"/>
      <c r="U24" s="28">
        <f t="shared" si="2"/>
        <v>1.0545687164671895</v>
      </c>
    </row>
    <row r="25" spans="1:21" x14ac:dyDescent="0.25">
      <c r="B25" s="6" t="s">
        <v>50</v>
      </c>
      <c r="C25" s="15">
        <v>2388.9699999999998</v>
      </c>
      <c r="D25" s="16">
        <v>32.872999999999998</v>
      </c>
      <c r="E25" s="16">
        <v>37.195</v>
      </c>
      <c r="F25" s="16">
        <v>38.500999999999998</v>
      </c>
      <c r="G25" s="16">
        <v>19.649999999999999</v>
      </c>
      <c r="H25" s="16">
        <f t="shared" si="0"/>
        <v>34.116749999999996</v>
      </c>
      <c r="I25" s="5"/>
      <c r="J25" s="15">
        <v>2411.2624000000001</v>
      </c>
      <c r="K25" s="16">
        <v>34.128799999999998</v>
      </c>
      <c r="L25" s="16">
        <v>38.107599999999998</v>
      </c>
      <c r="M25" s="16">
        <v>40.113900000000001</v>
      </c>
      <c r="N25" s="16">
        <v>39.422800000000002</v>
      </c>
      <c r="O25" s="16">
        <f t="shared" si="1"/>
        <v>35.374287499999994</v>
      </c>
      <c r="P25" s="7"/>
      <c r="Q25" s="8">
        <f>bdrate(C25:C28,D25:D28,J25:J28,K25:K28)</f>
        <v>-0.25198436962168025</v>
      </c>
      <c r="R25" s="8">
        <f>bdrate(C25:C28,E25:E28,J25:J28,L25:L28)</f>
        <v>-0.52661170259871459</v>
      </c>
      <c r="S25" s="8">
        <f>bdrate(C25:C28,F25:F28,J25:J28,M25:M28)</f>
        <v>-0.51552938972096263</v>
      </c>
      <c r="T25" s="25">
        <f>bdrate(C25:C28,H25:H28,J25:J28,O25:O28)</f>
        <v>-0.29882155932069676</v>
      </c>
      <c r="U25" s="28">
        <f t="shared" si="2"/>
        <v>1.0062493638676848</v>
      </c>
    </row>
    <row r="26" spans="1:21" x14ac:dyDescent="0.25">
      <c r="B26" s="9"/>
      <c r="C26" s="17">
        <v>1579.19</v>
      </c>
      <c r="D26" s="18">
        <v>31.824999999999999</v>
      </c>
      <c r="E26" s="18">
        <v>36.786000000000001</v>
      </c>
      <c r="F26" s="18">
        <v>37.828000000000003</v>
      </c>
      <c r="G26" s="18">
        <v>21.7</v>
      </c>
      <c r="H26" s="18">
        <f t="shared" si="0"/>
        <v>33.195499999999996</v>
      </c>
      <c r="I26" s="5"/>
      <c r="J26" s="17">
        <v>1605.788</v>
      </c>
      <c r="K26" s="18">
        <v>32.928899999999999</v>
      </c>
      <c r="L26" s="18">
        <v>37.685200000000002</v>
      </c>
      <c r="M26" s="18">
        <v>39.323500000000003</v>
      </c>
      <c r="N26" s="18">
        <v>47.276899999999998</v>
      </c>
      <c r="O26" s="18">
        <f t="shared" si="1"/>
        <v>34.322762500000003</v>
      </c>
      <c r="P26" s="7"/>
      <c r="Q26" s="10"/>
      <c r="R26" s="11"/>
      <c r="S26" s="11"/>
      <c r="T26" s="26"/>
      <c r="U26" s="28">
        <f t="shared" si="2"/>
        <v>1.1786589861751151</v>
      </c>
    </row>
    <row r="27" spans="1:21" x14ac:dyDescent="0.25">
      <c r="B27" s="9"/>
      <c r="C27" s="17">
        <v>976.47</v>
      </c>
      <c r="D27" s="18">
        <v>30.523</v>
      </c>
      <c r="E27" s="18">
        <v>36.24</v>
      </c>
      <c r="F27" s="18">
        <v>36.96</v>
      </c>
      <c r="G27" s="18">
        <v>27.8</v>
      </c>
      <c r="H27" s="18">
        <f t="shared" si="0"/>
        <v>32.042250000000003</v>
      </c>
      <c r="I27" s="5"/>
      <c r="J27" s="17">
        <v>995.88080000000002</v>
      </c>
      <c r="K27" s="18">
        <v>31.369499999999999</v>
      </c>
      <c r="L27" s="18">
        <v>37.116700000000002</v>
      </c>
      <c r="M27" s="18">
        <v>38.333100000000002</v>
      </c>
      <c r="N27" s="18">
        <v>56.331699999999998</v>
      </c>
      <c r="O27" s="18">
        <f t="shared" si="1"/>
        <v>32.958349999999996</v>
      </c>
      <c r="P27" s="7"/>
      <c r="Q27" s="10"/>
      <c r="R27" s="11"/>
      <c r="S27" s="11"/>
      <c r="T27" s="26"/>
      <c r="U27" s="28">
        <f t="shared" si="2"/>
        <v>1.0263201438848919</v>
      </c>
    </row>
    <row r="28" spans="1:21" ht="16.5" thickBot="1" x14ac:dyDescent="0.3">
      <c r="B28" s="12"/>
      <c r="C28" s="19">
        <v>574.4</v>
      </c>
      <c r="D28" s="20">
        <v>28.925999999999998</v>
      </c>
      <c r="E28" s="20">
        <v>35.469000000000001</v>
      </c>
      <c r="F28" s="20">
        <v>35.773000000000003</v>
      </c>
      <c r="G28" s="20">
        <v>31.15</v>
      </c>
      <c r="H28" s="20">
        <f t="shared" si="0"/>
        <v>30.599749999999997</v>
      </c>
      <c r="I28" s="5"/>
      <c r="J28" s="19">
        <v>585.45119999999997</v>
      </c>
      <c r="K28" s="20">
        <v>29.617000000000001</v>
      </c>
      <c r="L28" s="20">
        <v>36.475499999999997</v>
      </c>
      <c r="M28" s="20">
        <v>37.282800000000002</v>
      </c>
      <c r="N28" s="20">
        <v>68.055000000000007</v>
      </c>
      <c r="O28" s="20">
        <f t="shared" si="1"/>
        <v>31.432537500000002</v>
      </c>
      <c r="P28" s="7"/>
      <c r="Q28" s="13"/>
      <c r="R28" s="14"/>
      <c r="S28" s="14"/>
      <c r="T28" s="27"/>
      <c r="U28" s="28">
        <f t="shared" si="2"/>
        <v>1.1847512038523278</v>
      </c>
    </row>
    <row r="29" spans="1:21" x14ac:dyDescent="0.25">
      <c r="B29" s="6" t="s">
        <v>51</v>
      </c>
      <c r="C29" s="29">
        <v>2402.64</v>
      </c>
      <c r="D29" s="30">
        <v>33.472000000000001</v>
      </c>
      <c r="E29" s="30">
        <v>39.401000000000003</v>
      </c>
      <c r="F29" s="30">
        <v>38.86</v>
      </c>
      <c r="G29" s="16">
        <v>20.04</v>
      </c>
      <c r="H29" s="16">
        <f t="shared" si="0"/>
        <v>34.886625000000002</v>
      </c>
      <c r="I29" s="5"/>
      <c r="J29" s="29">
        <v>2410.8184000000001</v>
      </c>
      <c r="K29" s="30">
        <v>34.044800000000002</v>
      </c>
      <c r="L29" s="30">
        <v>40.281799999999997</v>
      </c>
      <c r="M29" s="30">
        <v>39.887900000000002</v>
      </c>
      <c r="N29" s="16">
        <v>34.8748</v>
      </c>
      <c r="O29" s="16">
        <f t="shared" si="1"/>
        <v>35.554812499999997</v>
      </c>
      <c r="P29" s="7"/>
      <c r="Q29" s="8">
        <f>bdrate(C29:C32,D29:D32,J29:J32,K29:K32)</f>
        <v>-0.12393093721954174</v>
      </c>
      <c r="R29" s="8">
        <f>bdrate(C29:C32,E29:E32,J29:J32,L29:L32)</f>
        <v>-0.30979160454066423</v>
      </c>
      <c r="S29" s="8">
        <f>bdrate(C29:C32,F29:F32,J29:J32,M29:M32)</f>
        <v>-0.33706784837628778</v>
      </c>
      <c r="T29" s="25">
        <f>bdrate(C29:C32,H29:H32,J29:J32,O29:O32)</f>
        <v>-0.16663463555819058</v>
      </c>
      <c r="U29" s="28">
        <f t="shared" si="2"/>
        <v>0.74025948103792427</v>
      </c>
    </row>
    <row r="30" spans="1:21" x14ac:dyDescent="0.25">
      <c r="B30" s="9"/>
      <c r="C30" s="31">
        <v>1593.82</v>
      </c>
      <c r="D30" s="32">
        <v>32.143000000000001</v>
      </c>
      <c r="E30" s="32">
        <v>38.612000000000002</v>
      </c>
      <c r="F30" s="32">
        <v>37.81</v>
      </c>
      <c r="G30" s="18">
        <v>19.54</v>
      </c>
      <c r="H30" s="18">
        <f t="shared" si="0"/>
        <v>33.659999999999997</v>
      </c>
      <c r="I30" s="5"/>
      <c r="J30" s="31">
        <v>1604.4752000000001</v>
      </c>
      <c r="K30" s="32">
        <v>32.678400000000003</v>
      </c>
      <c r="L30" s="32">
        <v>39.560400000000001</v>
      </c>
      <c r="M30" s="32">
        <v>38.96</v>
      </c>
      <c r="N30" s="18">
        <v>41.569699999999997</v>
      </c>
      <c r="O30" s="18">
        <f t="shared" si="1"/>
        <v>34.32385</v>
      </c>
      <c r="P30" s="7"/>
      <c r="Q30" s="10"/>
      <c r="R30" s="11"/>
      <c r="S30" s="11"/>
      <c r="T30" s="26"/>
      <c r="U30" s="28">
        <f t="shared" si="2"/>
        <v>1.1274155578300922</v>
      </c>
    </row>
    <row r="31" spans="1:21" x14ac:dyDescent="0.25">
      <c r="B31" s="9"/>
      <c r="C31" s="31">
        <v>989.27</v>
      </c>
      <c r="D31" s="32">
        <v>30.501999999999999</v>
      </c>
      <c r="E31" s="32">
        <v>37.780999999999999</v>
      </c>
      <c r="F31" s="32">
        <v>36.585999999999999</v>
      </c>
      <c r="G31" s="18">
        <v>21.6</v>
      </c>
      <c r="H31" s="18">
        <f t="shared" si="0"/>
        <v>32.172375000000002</v>
      </c>
      <c r="I31" s="5"/>
      <c r="J31" s="31">
        <v>997.6816</v>
      </c>
      <c r="K31" s="32">
        <v>30.946899999999999</v>
      </c>
      <c r="L31" s="32">
        <v>38.558100000000003</v>
      </c>
      <c r="M31" s="32">
        <v>37.721400000000003</v>
      </c>
      <c r="N31" s="18">
        <v>50.317</v>
      </c>
      <c r="O31" s="18">
        <f t="shared" si="1"/>
        <v>32.745112499999998</v>
      </c>
      <c r="P31" s="7"/>
      <c r="Q31" s="10"/>
      <c r="R31" s="11"/>
      <c r="S31" s="11"/>
      <c r="T31" s="26"/>
      <c r="U31" s="28">
        <f t="shared" si="2"/>
        <v>1.3294907407407406</v>
      </c>
    </row>
    <row r="32" spans="1:21" ht="16.5" thickBot="1" x14ac:dyDescent="0.3">
      <c r="B32" s="12"/>
      <c r="C32" s="33">
        <v>587.53</v>
      </c>
      <c r="D32" s="34">
        <v>28.626999999999999</v>
      </c>
      <c r="E32" s="34">
        <v>36.210999999999999</v>
      </c>
      <c r="F32" s="34">
        <v>34.738999999999997</v>
      </c>
      <c r="G32" s="20">
        <v>24.85</v>
      </c>
      <c r="H32" s="20">
        <f t="shared" si="0"/>
        <v>30.339000000000002</v>
      </c>
      <c r="I32" s="5"/>
      <c r="J32" s="33">
        <v>591.49519999999995</v>
      </c>
      <c r="K32" s="34">
        <v>29.09</v>
      </c>
      <c r="L32" s="34">
        <v>37.079000000000001</v>
      </c>
      <c r="M32" s="34">
        <v>36.096200000000003</v>
      </c>
      <c r="N32" s="20">
        <v>61.0501</v>
      </c>
      <c r="O32" s="20">
        <f t="shared" si="1"/>
        <v>30.964400000000001</v>
      </c>
      <c r="P32" s="7"/>
      <c r="Q32" s="13"/>
      <c r="R32" s="14"/>
      <c r="S32" s="14"/>
      <c r="T32" s="27"/>
      <c r="U32" s="28">
        <f t="shared" si="2"/>
        <v>1.4567444668008047</v>
      </c>
    </row>
    <row r="33" spans="1:21" x14ac:dyDescent="0.25">
      <c r="B33" s="6" t="s">
        <v>52</v>
      </c>
      <c r="C33" s="15">
        <v>2399</v>
      </c>
      <c r="D33" s="16">
        <v>31.795000000000002</v>
      </c>
      <c r="E33" s="16">
        <v>38.362000000000002</v>
      </c>
      <c r="F33" s="16">
        <v>41.042999999999999</v>
      </c>
      <c r="G33" s="16">
        <v>28.03</v>
      </c>
      <c r="H33" s="16">
        <f t="shared" si="0"/>
        <v>33.771875000000001</v>
      </c>
      <c r="I33" s="5"/>
      <c r="J33" s="15">
        <v>2425.7280000000001</v>
      </c>
      <c r="K33" s="16">
        <v>33.607799999999997</v>
      </c>
      <c r="L33" s="16">
        <v>39.759599999999999</v>
      </c>
      <c r="M33" s="16">
        <v>42.205599999999997</v>
      </c>
      <c r="N33" s="16">
        <v>44.4148</v>
      </c>
      <c r="O33" s="16">
        <f t="shared" si="1"/>
        <v>35.451499999999996</v>
      </c>
      <c r="P33" s="7"/>
      <c r="Q33" s="8">
        <f>bdrate(C33:C36,D33:D36,J33:J36,K33:K36)</f>
        <v>-0.55965463166830032</v>
      </c>
      <c r="R33" s="8">
        <f>bdrate(C33:C36,E33:E36,J33:J36,L33:L36)</f>
        <v>-0.65408288962078254</v>
      </c>
      <c r="S33" s="8">
        <f>bdrate(C33:C36,F33:F36,J33:J36,M33:M36)</f>
        <v>-0.57218319185316269</v>
      </c>
      <c r="T33" s="25">
        <f>bdrate(C33:C36,H33:H36,J33:J36,O33:O36)</f>
        <v>-0.56567266912973346</v>
      </c>
      <c r="U33" s="28">
        <f t="shared" si="2"/>
        <v>0.58454513021762389</v>
      </c>
    </row>
    <row r="34" spans="1:21" x14ac:dyDescent="0.25">
      <c r="B34" s="9"/>
      <c r="C34" s="17">
        <v>1557.53</v>
      </c>
      <c r="D34" s="18">
        <v>30.873000000000001</v>
      </c>
      <c r="E34" s="18">
        <v>38.017000000000003</v>
      </c>
      <c r="F34" s="18">
        <v>40.753999999999998</v>
      </c>
      <c r="G34" s="18">
        <v>30.26</v>
      </c>
      <c r="H34" s="18">
        <f t="shared" si="0"/>
        <v>33.001125000000002</v>
      </c>
      <c r="I34" s="5"/>
      <c r="J34" s="17">
        <v>1604.4552000000001</v>
      </c>
      <c r="K34" s="18">
        <v>32.898899999999998</v>
      </c>
      <c r="L34" s="18">
        <v>39.290399999999998</v>
      </c>
      <c r="M34" s="18">
        <v>41.760100000000001</v>
      </c>
      <c r="N34" s="18">
        <v>50.877600000000001</v>
      </c>
      <c r="O34" s="18">
        <f t="shared" si="1"/>
        <v>34.805487499999998</v>
      </c>
      <c r="P34" s="7"/>
      <c r="Q34" s="10"/>
      <c r="R34" s="11"/>
      <c r="S34" s="11"/>
      <c r="T34" s="26"/>
      <c r="U34" s="28">
        <f t="shared" si="2"/>
        <v>0.6813483146067415</v>
      </c>
    </row>
    <row r="35" spans="1:21" x14ac:dyDescent="0.25">
      <c r="B35" s="9"/>
      <c r="C35" s="17">
        <v>936.33</v>
      </c>
      <c r="D35" s="18">
        <v>29.571000000000002</v>
      </c>
      <c r="E35" s="18">
        <v>37.56</v>
      </c>
      <c r="F35" s="18">
        <v>40.311999999999998</v>
      </c>
      <c r="G35" s="18">
        <v>34.25</v>
      </c>
      <c r="H35" s="18">
        <f t="shared" si="0"/>
        <v>31.91225</v>
      </c>
      <c r="I35" s="5"/>
      <c r="J35" s="17">
        <v>1020.4952</v>
      </c>
      <c r="K35" s="18">
        <v>31.8523</v>
      </c>
      <c r="L35" s="18">
        <v>38.635800000000003</v>
      </c>
      <c r="M35" s="18">
        <v>41.148899999999998</v>
      </c>
      <c r="N35" s="18">
        <v>59.171599999999998</v>
      </c>
      <c r="O35" s="18">
        <f t="shared" si="1"/>
        <v>33.862312500000002</v>
      </c>
      <c r="P35" s="7"/>
      <c r="Q35" s="10"/>
      <c r="R35" s="11"/>
      <c r="S35" s="11"/>
      <c r="T35" s="26"/>
      <c r="U35" s="28">
        <f t="shared" si="2"/>
        <v>0.72763795620437954</v>
      </c>
    </row>
    <row r="36" spans="1:21" ht="16.5" thickBot="1" x14ac:dyDescent="0.3">
      <c r="B36" s="12"/>
      <c r="C36" s="19">
        <v>491.48</v>
      </c>
      <c r="D36" s="20">
        <v>27.009</v>
      </c>
      <c r="E36" s="20">
        <v>36.497</v>
      </c>
      <c r="F36" s="20">
        <v>39.497999999999998</v>
      </c>
      <c r="G36" s="20">
        <v>37.380000000000003</v>
      </c>
      <c r="H36" s="20">
        <f t="shared" si="0"/>
        <v>29.756124999999997</v>
      </c>
      <c r="I36" s="5"/>
      <c r="J36" s="19">
        <v>599.58079999999995</v>
      </c>
      <c r="K36" s="20">
        <v>30.438800000000001</v>
      </c>
      <c r="L36" s="20">
        <v>38.083399999999997</v>
      </c>
      <c r="M36" s="20">
        <v>40.627600000000001</v>
      </c>
      <c r="N36" s="20">
        <v>67.121600000000001</v>
      </c>
      <c r="O36" s="20">
        <f t="shared" si="1"/>
        <v>32.667974999999998</v>
      </c>
      <c r="P36" s="7"/>
      <c r="Q36" s="13"/>
      <c r="R36" s="14"/>
      <c r="S36" s="14"/>
      <c r="T36" s="27"/>
      <c r="U36" s="28">
        <f t="shared" si="2"/>
        <v>0.79565543071161038</v>
      </c>
    </row>
    <row r="37" spans="1:21" x14ac:dyDescent="0.25">
      <c r="A37" s="6" t="s">
        <v>39</v>
      </c>
      <c r="B37" s="6" t="s">
        <v>53</v>
      </c>
      <c r="C37" s="15">
        <v>1221.8800000000001</v>
      </c>
      <c r="D37" s="16">
        <v>33.655000000000001</v>
      </c>
      <c r="E37" s="16">
        <v>37.313000000000002</v>
      </c>
      <c r="F37" s="16">
        <v>37.113999999999997</v>
      </c>
      <c r="G37" s="16">
        <v>65.69</v>
      </c>
      <c r="H37" s="16">
        <f t="shared" si="0"/>
        <v>34.544624999999996</v>
      </c>
      <c r="I37" s="5"/>
      <c r="J37" s="15">
        <v>1215.8416</v>
      </c>
      <c r="K37" s="16">
        <v>35.044800000000002</v>
      </c>
      <c r="L37" s="16">
        <v>39.0413</v>
      </c>
      <c r="M37" s="16">
        <v>38.879800000000003</v>
      </c>
      <c r="N37" s="16">
        <v>127.7139</v>
      </c>
      <c r="O37" s="16">
        <f t="shared" si="1"/>
        <v>36.023737500000003</v>
      </c>
      <c r="P37" s="7"/>
      <c r="Q37" s="8">
        <f>bdrate(C37:C40,D37:D40,J37:J40,K37:K40)</f>
        <v>-0.26621224187389281</v>
      </c>
      <c r="R37" s="8">
        <f>bdrate(C37:C40,E37:E40,J37:J40,L37:L40)</f>
        <v>-0.44162992479241714</v>
      </c>
      <c r="S37" s="8">
        <f>bdrate(C37:C40,F37:F40,J37:J40,M37:M40)</f>
        <v>-0.41310909812084695</v>
      </c>
      <c r="T37" s="25">
        <f>bdrate(C37:C40,H37:H40,J37:J40,O37:O40)</f>
        <v>-0.29897317550191527</v>
      </c>
      <c r="U37" s="28">
        <f t="shared" si="2"/>
        <v>0.94419089663571321</v>
      </c>
    </row>
    <row r="38" spans="1:21" x14ac:dyDescent="0.25">
      <c r="A38" s="9" t="s">
        <v>40</v>
      </c>
      <c r="B38" s="9"/>
      <c r="C38" s="17">
        <v>818.07</v>
      </c>
      <c r="D38" s="18">
        <v>32.314</v>
      </c>
      <c r="E38" s="18">
        <v>36.402000000000001</v>
      </c>
      <c r="F38" s="18">
        <v>36.030999999999999</v>
      </c>
      <c r="G38" s="18">
        <v>70.599999999999994</v>
      </c>
      <c r="H38" s="18">
        <f t="shared" si="0"/>
        <v>33.289625000000001</v>
      </c>
      <c r="I38" s="5"/>
      <c r="J38" s="17">
        <v>810.51599999999996</v>
      </c>
      <c r="K38" s="18">
        <v>33.549399999999999</v>
      </c>
      <c r="L38" s="18">
        <v>37.911999999999999</v>
      </c>
      <c r="M38" s="18">
        <v>37.598199999999999</v>
      </c>
      <c r="N38" s="18">
        <v>151.88339999999999</v>
      </c>
      <c r="O38" s="18">
        <f t="shared" si="1"/>
        <v>34.600825</v>
      </c>
      <c r="P38" s="7"/>
      <c r="Q38" s="10"/>
      <c r="R38" s="11"/>
      <c r="S38" s="11"/>
      <c r="T38" s="26"/>
      <c r="U38" s="28">
        <f t="shared" si="2"/>
        <v>1.1513229461756376</v>
      </c>
    </row>
    <row r="39" spans="1:21" x14ac:dyDescent="0.25">
      <c r="B39" s="9"/>
      <c r="C39" s="17">
        <v>508.93</v>
      </c>
      <c r="D39" s="18">
        <v>30.78</v>
      </c>
      <c r="E39" s="18">
        <v>35.511000000000003</v>
      </c>
      <c r="F39" s="18">
        <v>35.011000000000003</v>
      </c>
      <c r="G39" s="18">
        <v>79.92</v>
      </c>
      <c r="H39" s="18">
        <f t="shared" si="0"/>
        <v>31.90025</v>
      </c>
      <c r="I39" s="5"/>
      <c r="J39" s="17">
        <v>506.68079999999998</v>
      </c>
      <c r="K39" s="18">
        <v>31.784300000000002</v>
      </c>
      <c r="L39" s="18">
        <v>36.7209</v>
      </c>
      <c r="M39" s="18">
        <v>36.234099999999998</v>
      </c>
      <c r="N39" s="18">
        <v>189.60939999999999</v>
      </c>
      <c r="O39" s="18">
        <f t="shared" si="1"/>
        <v>32.957599999999999</v>
      </c>
      <c r="P39" s="7"/>
      <c r="Q39" s="10"/>
      <c r="R39" s="11"/>
      <c r="S39" s="11"/>
      <c r="T39" s="26"/>
      <c r="U39" s="28">
        <f t="shared" si="2"/>
        <v>1.3724899899899898</v>
      </c>
    </row>
    <row r="40" spans="1:21" ht="16.5" thickBot="1" x14ac:dyDescent="0.3">
      <c r="B40" s="12"/>
      <c r="C40" s="19">
        <v>300.72000000000003</v>
      </c>
      <c r="D40" s="20">
        <v>29.151</v>
      </c>
      <c r="E40" s="20">
        <v>34.463000000000001</v>
      </c>
      <c r="F40" s="20">
        <v>33.779000000000003</v>
      </c>
      <c r="G40" s="20">
        <v>94.54</v>
      </c>
      <c r="H40" s="20">
        <f t="shared" si="0"/>
        <v>30.3935</v>
      </c>
      <c r="I40" s="5"/>
      <c r="J40" s="19">
        <v>303.23680000000002</v>
      </c>
      <c r="K40" s="20">
        <v>29.8278</v>
      </c>
      <c r="L40" s="20">
        <v>35.4129</v>
      </c>
      <c r="M40" s="20">
        <v>34.858600000000003</v>
      </c>
      <c r="N40" s="20">
        <v>237.4169</v>
      </c>
      <c r="O40" s="20">
        <f t="shared" si="1"/>
        <v>31.154787500000001</v>
      </c>
      <c r="P40" s="7"/>
      <c r="Q40" s="13"/>
      <c r="R40" s="14"/>
      <c r="S40" s="14"/>
      <c r="T40" s="27"/>
      <c r="U40" s="28">
        <f t="shared" si="2"/>
        <v>1.5112851702982861</v>
      </c>
    </row>
    <row r="41" spans="1:21" x14ac:dyDescent="0.25">
      <c r="B41" s="6" t="s">
        <v>54</v>
      </c>
      <c r="C41" s="15">
        <v>1232.51</v>
      </c>
      <c r="D41" s="16">
        <v>33.447000000000003</v>
      </c>
      <c r="E41" s="16">
        <v>38.759</v>
      </c>
      <c r="F41" s="16">
        <v>39.545999999999999</v>
      </c>
      <c r="G41" s="16">
        <v>76.31</v>
      </c>
      <c r="H41" s="16">
        <f t="shared" si="0"/>
        <v>34.873375000000003</v>
      </c>
      <c r="I41" s="5"/>
      <c r="J41" s="15">
        <v>1245.4952000000001</v>
      </c>
      <c r="K41" s="16">
        <v>35.256900000000002</v>
      </c>
      <c r="L41" s="16">
        <v>40.4741</v>
      </c>
      <c r="M41" s="16">
        <v>41.313000000000002</v>
      </c>
      <c r="N41" s="16">
        <v>132.626</v>
      </c>
      <c r="O41" s="16">
        <f t="shared" si="1"/>
        <v>36.666062500000002</v>
      </c>
      <c r="P41" s="7"/>
      <c r="Q41" s="8">
        <f>bdrate(C41:C44,D41:D44,J41:J44,K41:K44)</f>
        <v>-0.3319922009183438</v>
      </c>
      <c r="R41" s="8">
        <f>bdrate(C41:C44,E41:E44,J41:J44,L41:L44)</f>
        <v>-0.52725317749582579</v>
      </c>
      <c r="S41" s="8">
        <f>bdrate(C41:C44,F41:F44,J41:J44,M41:M44)</f>
        <v>-0.49083862616187046</v>
      </c>
      <c r="T41" s="25">
        <f>bdrate(C41:C44,H41:H44,J41:J44,O41:O44)</f>
        <v>-0.36521129641467909</v>
      </c>
      <c r="U41" s="28">
        <f t="shared" si="2"/>
        <v>0.73798977853492331</v>
      </c>
    </row>
    <row r="42" spans="1:21" x14ac:dyDescent="0.25">
      <c r="B42" s="9"/>
      <c r="C42" s="17">
        <v>821.21</v>
      </c>
      <c r="D42" s="18">
        <v>32.006999999999998</v>
      </c>
      <c r="E42" s="18">
        <v>37.866</v>
      </c>
      <c r="F42" s="18">
        <v>38.606000000000002</v>
      </c>
      <c r="G42" s="18">
        <v>85.67</v>
      </c>
      <c r="H42" s="18">
        <f t="shared" si="0"/>
        <v>33.564249999999994</v>
      </c>
      <c r="I42" s="5"/>
      <c r="J42" s="17">
        <v>829.97360000000003</v>
      </c>
      <c r="K42" s="18">
        <v>33.708399999999997</v>
      </c>
      <c r="L42" s="18">
        <v>39.499899999999997</v>
      </c>
      <c r="M42" s="18">
        <v>40.240299999999998</v>
      </c>
      <c r="N42" s="18">
        <v>157.6044</v>
      </c>
      <c r="O42" s="18">
        <f t="shared" si="1"/>
        <v>35.248824999999997</v>
      </c>
      <c r="P42" s="7"/>
      <c r="Q42" s="10"/>
      <c r="R42" s="11"/>
      <c r="S42" s="11"/>
      <c r="T42" s="26"/>
      <c r="U42" s="28">
        <f t="shared" si="2"/>
        <v>0.83966849538928445</v>
      </c>
    </row>
    <row r="43" spans="1:21" x14ac:dyDescent="0.25">
      <c r="B43" s="9"/>
      <c r="C43" s="17">
        <v>511.54</v>
      </c>
      <c r="D43" s="18">
        <v>30.359000000000002</v>
      </c>
      <c r="E43" s="18">
        <v>36.957999999999998</v>
      </c>
      <c r="F43" s="18">
        <v>37.463000000000001</v>
      </c>
      <c r="G43" s="18">
        <v>97.37</v>
      </c>
      <c r="H43" s="18">
        <f t="shared" si="0"/>
        <v>32.071874999999999</v>
      </c>
      <c r="I43" s="5"/>
      <c r="J43" s="17">
        <v>518.68640000000005</v>
      </c>
      <c r="K43" s="18">
        <v>31.8477</v>
      </c>
      <c r="L43" s="18">
        <v>38.459600000000002</v>
      </c>
      <c r="M43" s="18">
        <v>39.097000000000001</v>
      </c>
      <c r="N43" s="18">
        <v>195.24889999999999</v>
      </c>
      <c r="O43" s="18">
        <f t="shared" si="1"/>
        <v>33.580349999999996</v>
      </c>
      <c r="P43" s="7"/>
      <c r="Q43" s="10"/>
      <c r="R43" s="11"/>
      <c r="S43" s="11"/>
      <c r="T43" s="26"/>
      <c r="U43" s="28">
        <f t="shared" si="2"/>
        <v>1.0052264557872033</v>
      </c>
    </row>
    <row r="44" spans="1:21" ht="16.5" thickBot="1" x14ac:dyDescent="0.3">
      <c r="B44" s="12"/>
      <c r="C44" s="19">
        <v>302.37</v>
      </c>
      <c r="D44" s="20">
        <v>28.507000000000001</v>
      </c>
      <c r="E44" s="20">
        <v>35.865000000000002</v>
      </c>
      <c r="F44" s="20">
        <v>36.238</v>
      </c>
      <c r="G44" s="20">
        <v>116.55</v>
      </c>
      <c r="H44" s="20">
        <f t="shared" si="0"/>
        <v>30.393125000000001</v>
      </c>
      <c r="I44" s="5"/>
      <c r="J44" s="19">
        <v>310.74720000000002</v>
      </c>
      <c r="K44" s="20">
        <v>29.790500000000002</v>
      </c>
      <c r="L44" s="20">
        <v>37.474600000000002</v>
      </c>
      <c r="M44" s="20">
        <v>37.9328</v>
      </c>
      <c r="N44" s="20">
        <v>243.40770000000001</v>
      </c>
      <c r="O44" s="20">
        <f t="shared" si="1"/>
        <v>31.768799999999999</v>
      </c>
      <c r="P44" s="7"/>
      <c r="Q44" s="13"/>
      <c r="R44" s="14"/>
      <c r="S44" s="14"/>
      <c r="T44" s="27"/>
      <c r="U44" s="28">
        <f t="shared" si="2"/>
        <v>1.0884401544401545</v>
      </c>
    </row>
    <row r="45" spans="1:21" x14ac:dyDescent="0.25">
      <c r="B45" s="6" t="s">
        <v>55</v>
      </c>
      <c r="C45" s="15">
        <v>1098.23</v>
      </c>
      <c r="D45" s="16">
        <v>27.911999999999999</v>
      </c>
      <c r="E45" s="16">
        <v>34.454999999999998</v>
      </c>
      <c r="F45" s="16">
        <v>35.262</v>
      </c>
      <c r="G45" s="16">
        <v>75.95</v>
      </c>
      <c r="H45" s="16">
        <f t="shared" si="0"/>
        <v>29.648624999999996</v>
      </c>
      <c r="I45" s="5"/>
      <c r="J45" s="15">
        <v>1229.8088</v>
      </c>
      <c r="K45" s="16">
        <v>30.39</v>
      </c>
      <c r="L45" s="16">
        <v>36.770000000000003</v>
      </c>
      <c r="M45" s="16">
        <v>37.53</v>
      </c>
      <c r="N45" s="16">
        <v>120.048</v>
      </c>
      <c r="O45" s="16">
        <f t="shared" si="1"/>
        <v>32.08</v>
      </c>
      <c r="P45" s="7"/>
      <c r="Q45" s="8">
        <f>bdrate(C45:C48,D45:D48,J45:J48,K45:K48)</f>
        <v>-0.47357042293466123</v>
      </c>
      <c r="R45" s="8">
        <f>bdrate(C45:C48,E45:E48,J45:J48,L45:L48)</f>
        <v>-0.68211632223034702</v>
      </c>
      <c r="S45" s="8">
        <f>bdrate(C45:C48,F45:F48,J45:J48,M45:M48)</f>
        <v>-0.65808681231873645</v>
      </c>
      <c r="T45" s="25">
        <f>bdrate(C45:C48,H45:H48,J45:J48,O45:O48)</f>
        <v>-0.5078235433397682</v>
      </c>
      <c r="U45" s="28">
        <f t="shared" si="2"/>
        <v>0.58061882817643184</v>
      </c>
    </row>
    <row r="46" spans="1:21" x14ac:dyDescent="0.25">
      <c r="B46" s="9"/>
      <c r="C46" s="17">
        <v>729.53</v>
      </c>
      <c r="D46" s="18">
        <v>26.678000000000001</v>
      </c>
      <c r="E46" s="18">
        <v>33.881</v>
      </c>
      <c r="F46" s="18">
        <v>34.694000000000003</v>
      </c>
      <c r="G46" s="18">
        <v>83.7</v>
      </c>
      <c r="H46" s="18">
        <f t="shared" si="0"/>
        <v>28.580375000000004</v>
      </c>
      <c r="I46" s="5"/>
      <c r="J46" s="17">
        <v>816.63520000000005</v>
      </c>
      <c r="K46" s="18">
        <v>29.04</v>
      </c>
      <c r="L46" s="18">
        <v>35.939900000000002</v>
      </c>
      <c r="M46" s="18">
        <v>36.663800000000002</v>
      </c>
      <c r="N46" s="18">
        <v>146.3272</v>
      </c>
      <c r="O46" s="18">
        <f t="shared" si="1"/>
        <v>30.855462500000002</v>
      </c>
      <c r="P46" s="7"/>
      <c r="Q46" s="10"/>
      <c r="R46" s="11"/>
      <c r="S46" s="11"/>
      <c r="T46" s="26"/>
      <c r="U46" s="28">
        <f t="shared" si="2"/>
        <v>0.74823416965352452</v>
      </c>
    </row>
    <row r="47" spans="1:21" x14ac:dyDescent="0.25">
      <c r="B47" s="9"/>
      <c r="C47" s="17">
        <v>451.35</v>
      </c>
      <c r="D47" s="18">
        <v>25.344000000000001</v>
      </c>
      <c r="E47" s="18">
        <v>33.197000000000003</v>
      </c>
      <c r="F47" s="18">
        <v>34.091000000000001</v>
      </c>
      <c r="G47" s="18">
        <v>94.82</v>
      </c>
      <c r="H47" s="18">
        <f t="shared" si="0"/>
        <v>27.419000000000004</v>
      </c>
      <c r="I47" s="5"/>
      <c r="J47" s="17">
        <v>516.49279999999999</v>
      </c>
      <c r="K47" s="18">
        <v>27.581600000000002</v>
      </c>
      <c r="L47" s="18">
        <v>35.106999999999999</v>
      </c>
      <c r="M47" s="18">
        <v>35.816200000000002</v>
      </c>
      <c r="N47" s="18">
        <v>172.3544</v>
      </c>
      <c r="O47" s="18">
        <f t="shared" si="1"/>
        <v>29.551600000000001</v>
      </c>
      <c r="P47" s="7"/>
      <c r="Q47" s="10"/>
      <c r="R47" s="11"/>
      <c r="S47" s="11"/>
      <c r="T47" s="26"/>
      <c r="U47" s="28">
        <f t="shared" si="2"/>
        <v>0.81770090698164954</v>
      </c>
    </row>
    <row r="48" spans="1:21" ht="16.5" thickBot="1" x14ac:dyDescent="0.3">
      <c r="B48" s="12"/>
      <c r="C48" s="19">
        <v>261.33</v>
      </c>
      <c r="D48" s="20">
        <v>23.829000000000001</v>
      </c>
      <c r="E48" s="20">
        <v>32.328000000000003</v>
      </c>
      <c r="F48" s="20">
        <v>33.195999999999998</v>
      </c>
      <c r="G48" s="20">
        <v>115.69</v>
      </c>
      <c r="H48" s="20">
        <f t="shared" si="0"/>
        <v>26.062249999999999</v>
      </c>
      <c r="I48" s="5"/>
      <c r="J48" s="19">
        <v>309.5616</v>
      </c>
      <c r="K48" s="20">
        <v>26.027799999999999</v>
      </c>
      <c r="L48" s="20">
        <v>34.278700000000001</v>
      </c>
      <c r="M48" s="20">
        <v>34.970999999999997</v>
      </c>
      <c r="N48" s="20">
        <v>228.93770000000001</v>
      </c>
      <c r="O48" s="20">
        <f t="shared" si="1"/>
        <v>28.177062499999998</v>
      </c>
      <c r="P48" s="7"/>
      <c r="Q48" s="13"/>
      <c r="R48" s="14"/>
      <c r="S48" s="14"/>
      <c r="T48" s="27"/>
      <c r="U48" s="28">
        <f t="shared" si="2"/>
        <v>0.97888927305730844</v>
      </c>
    </row>
    <row r="49" spans="1:21" x14ac:dyDescent="0.25">
      <c r="B49" s="6" t="s">
        <v>56</v>
      </c>
      <c r="C49" s="15">
        <v>1125.1199999999999</v>
      </c>
      <c r="D49" s="16">
        <v>31.405999999999999</v>
      </c>
      <c r="E49" s="16">
        <v>35.915999999999997</v>
      </c>
      <c r="F49" s="16">
        <v>37.555999999999997</v>
      </c>
      <c r="G49" s="16">
        <v>48.44</v>
      </c>
      <c r="H49" s="16">
        <f t="shared" si="0"/>
        <v>32.738499999999995</v>
      </c>
      <c r="I49" s="5"/>
      <c r="J49" s="15">
        <v>1211.9367999999999</v>
      </c>
      <c r="K49" s="16">
        <v>32.370100000000001</v>
      </c>
      <c r="L49" s="16">
        <v>36.847200000000001</v>
      </c>
      <c r="M49" s="16">
        <v>38.410699999999999</v>
      </c>
      <c r="N49" s="16">
        <v>85.861500000000007</v>
      </c>
      <c r="O49" s="16">
        <f t="shared" si="1"/>
        <v>33.6848125</v>
      </c>
      <c r="P49" s="7"/>
      <c r="Q49" s="8">
        <f>bdrate(C49:C52,D49:D52,J49:J52,K49:K52)</f>
        <v>-0.11498423023895588</v>
      </c>
      <c r="R49" s="8">
        <f>bdrate(C49:C52,E49:E52,J49:J52,L49:L52)</f>
        <v>-0.3179837504516092</v>
      </c>
      <c r="S49" s="8">
        <f>bdrate(C49:C52,F49:F52,J49:J52,M49:M52)</f>
        <v>-0.30782046563567622</v>
      </c>
      <c r="T49" s="25">
        <f>bdrate(C49:C52,H49:H52,J49:J52,O49:O52)</f>
        <v>-0.15315629902712746</v>
      </c>
      <c r="U49" s="28">
        <f t="shared" si="2"/>
        <v>0.77253303055326195</v>
      </c>
    </row>
    <row r="50" spans="1:21" x14ac:dyDescent="0.25">
      <c r="B50" s="9"/>
      <c r="C50" s="17">
        <v>755.61</v>
      </c>
      <c r="D50" s="18">
        <v>30.09</v>
      </c>
      <c r="E50" s="18">
        <v>35.167000000000002</v>
      </c>
      <c r="F50" s="18">
        <v>36.731999999999999</v>
      </c>
      <c r="G50" s="18">
        <v>52.54</v>
      </c>
      <c r="H50" s="18">
        <f t="shared" si="0"/>
        <v>31.554874999999999</v>
      </c>
      <c r="I50" s="5"/>
      <c r="J50" s="17">
        <v>807.44159999999999</v>
      </c>
      <c r="K50" s="18">
        <v>30.859000000000002</v>
      </c>
      <c r="L50" s="18">
        <v>35.9878</v>
      </c>
      <c r="M50" s="18">
        <v>37.544899999999998</v>
      </c>
      <c r="N50" s="18">
        <v>103.377</v>
      </c>
      <c r="O50" s="18">
        <f t="shared" si="1"/>
        <v>32.335837499999997</v>
      </c>
      <c r="P50" s="7"/>
      <c r="Q50" s="10"/>
      <c r="R50" s="11"/>
      <c r="S50" s="11"/>
      <c r="T50" s="26"/>
      <c r="U50" s="28">
        <f t="shared" si="2"/>
        <v>0.9675866006851922</v>
      </c>
    </row>
    <row r="51" spans="1:21" x14ac:dyDescent="0.25">
      <c r="B51" s="9"/>
      <c r="C51" s="17">
        <v>481.46</v>
      </c>
      <c r="D51" s="18">
        <v>28.777000000000001</v>
      </c>
      <c r="E51" s="18">
        <v>34.344000000000001</v>
      </c>
      <c r="F51" s="18">
        <v>35.789000000000001</v>
      </c>
      <c r="G51" s="18">
        <v>72.569999999999993</v>
      </c>
      <c r="H51" s="18">
        <f t="shared" si="0"/>
        <v>30.349375000000002</v>
      </c>
      <c r="I51" s="5"/>
      <c r="J51" s="17">
        <v>503.68799999999999</v>
      </c>
      <c r="K51" s="18">
        <v>29.223500000000001</v>
      </c>
      <c r="L51" s="18">
        <v>35.126399999999997</v>
      </c>
      <c r="M51" s="18">
        <v>36.653399999999998</v>
      </c>
      <c r="N51" s="18">
        <v>129.9264</v>
      </c>
      <c r="O51" s="18">
        <f t="shared" si="1"/>
        <v>30.8901</v>
      </c>
      <c r="P51" s="7"/>
      <c r="Q51" s="10"/>
      <c r="R51" s="11"/>
      <c r="S51" s="11"/>
      <c r="T51" s="26"/>
      <c r="U51" s="28">
        <f t="shared" si="2"/>
        <v>0.79035965274907005</v>
      </c>
    </row>
    <row r="52" spans="1:21" ht="16.5" thickBot="1" x14ac:dyDescent="0.3">
      <c r="B52" s="12"/>
      <c r="C52" s="19">
        <v>290.77999999999997</v>
      </c>
      <c r="D52" s="20">
        <v>27.417999999999999</v>
      </c>
      <c r="E52" s="20">
        <v>33.411999999999999</v>
      </c>
      <c r="F52" s="20">
        <v>34.74</v>
      </c>
      <c r="G52" s="20">
        <v>74.239999999999995</v>
      </c>
      <c r="H52" s="20">
        <f t="shared" si="0"/>
        <v>29.0825</v>
      </c>
      <c r="I52" s="5"/>
      <c r="J52" s="19">
        <v>302.9144</v>
      </c>
      <c r="K52" s="20">
        <v>27.638000000000002</v>
      </c>
      <c r="L52" s="20">
        <v>34.2239</v>
      </c>
      <c r="M52" s="20">
        <v>35.677700000000002</v>
      </c>
      <c r="N52" s="20">
        <v>167.22409999999999</v>
      </c>
      <c r="O52" s="20">
        <f t="shared" si="1"/>
        <v>29.466200000000001</v>
      </c>
      <c r="P52" s="7"/>
      <c r="Q52" s="13"/>
      <c r="R52" s="14"/>
      <c r="S52" s="14"/>
      <c r="T52" s="27"/>
      <c r="U52" s="28">
        <f t="shared" si="2"/>
        <v>1.2524797952586209</v>
      </c>
    </row>
    <row r="53" spans="1:21" x14ac:dyDescent="0.25">
      <c r="A53" s="6" t="s">
        <v>41</v>
      </c>
      <c r="B53" s="6" t="s">
        <v>57</v>
      </c>
      <c r="C53" s="15">
        <v>642.21</v>
      </c>
      <c r="D53" s="16">
        <v>33.454999999999998</v>
      </c>
      <c r="E53" s="16">
        <v>38.365000000000002</v>
      </c>
      <c r="F53" s="16">
        <v>37.08</v>
      </c>
      <c r="G53" s="16">
        <v>201.53</v>
      </c>
      <c r="H53" s="16">
        <f t="shared" si="0"/>
        <v>34.521875000000001</v>
      </c>
      <c r="I53" s="5"/>
      <c r="J53" s="15">
        <v>605.30799999999999</v>
      </c>
      <c r="K53" s="16">
        <v>34.405000000000001</v>
      </c>
      <c r="L53" s="16">
        <v>39.671999999999997</v>
      </c>
      <c r="M53" s="16">
        <v>38.193199999999997</v>
      </c>
      <c r="N53" s="16">
        <v>344.5899</v>
      </c>
      <c r="O53" s="16">
        <f t="shared" si="1"/>
        <v>35.536900000000003</v>
      </c>
      <c r="P53" s="7"/>
      <c r="Q53" s="8">
        <f>bdrate(C53:C56,D53:D56,J53:J56,K53:K56)</f>
        <v>-0.15862321704874416</v>
      </c>
      <c r="R53" s="8">
        <f>bdrate(C53:C56,E53:E56,J53:J56,L53:L56)</f>
        <v>-0.41561678098217658</v>
      </c>
      <c r="S53" s="8">
        <f>bdrate(C53:C56,F53:F56,J53:J56,M53:M56)</f>
        <v>-0.35500405785088573</v>
      </c>
      <c r="T53" s="25">
        <f>bdrate(C53:C56,H53:H56,J53:J56,O53:O56)</f>
        <v>-0.20425166038784193</v>
      </c>
      <c r="U53" s="28">
        <f t="shared" si="2"/>
        <v>0.70986900213367732</v>
      </c>
    </row>
    <row r="54" spans="1:21" x14ac:dyDescent="0.25">
      <c r="A54" s="9" t="s">
        <v>42</v>
      </c>
      <c r="B54" s="9"/>
      <c r="C54" s="17">
        <v>426.56</v>
      </c>
      <c r="D54" s="18">
        <v>31.882000000000001</v>
      </c>
      <c r="E54" s="18">
        <v>37.368000000000002</v>
      </c>
      <c r="F54" s="18">
        <v>35.878999999999998</v>
      </c>
      <c r="G54" s="18">
        <v>260.55</v>
      </c>
      <c r="H54" s="18">
        <f t="shared" si="0"/>
        <v>33.067374999999998</v>
      </c>
      <c r="I54" s="5"/>
      <c r="J54" s="17">
        <v>405.63600000000002</v>
      </c>
      <c r="K54" s="18">
        <v>32.6295</v>
      </c>
      <c r="L54" s="18">
        <v>38.475499999999997</v>
      </c>
      <c r="M54" s="18">
        <v>36.891300000000001</v>
      </c>
      <c r="N54" s="18">
        <v>400.64100000000002</v>
      </c>
      <c r="O54" s="18">
        <f t="shared" si="1"/>
        <v>33.892975</v>
      </c>
      <c r="P54" s="7"/>
      <c r="Q54" s="10"/>
      <c r="R54" s="11"/>
      <c r="S54" s="11"/>
      <c r="T54" s="26"/>
      <c r="U54" s="28">
        <f t="shared" si="2"/>
        <v>0.53767415083477266</v>
      </c>
    </row>
    <row r="55" spans="1:21" x14ac:dyDescent="0.25">
      <c r="B55" s="9"/>
      <c r="C55" s="17">
        <v>266.81</v>
      </c>
      <c r="D55" s="18">
        <v>30.254999999999999</v>
      </c>
      <c r="E55" s="18">
        <v>36.381999999999998</v>
      </c>
      <c r="F55" s="18">
        <v>34.630000000000003</v>
      </c>
      <c r="G55" s="18">
        <v>254.45</v>
      </c>
      <c r="H55" s="18">
        <f t="shared" si="0"/>
        <v>31.56775</v>
      </c>
      <c r="I55" s="5"/>
      <c r="J55" s="17">
        <v>254.74719999999999</v>
      </c>
      <c r="K55" s="18">
        <v>30.695499999999999</v>
      </c>
      <c r="L55" s="18">
        <v>37.4392</v>
      </c>
      <c r="M55" s="18">
        <v>35.6753</v>
      </c>
      <c r="N55" s="18">
        <v>500.50049999999999</v>
      </c>
      <c r="O55" s="18">
        <f t="shared" si="1"/>
        <v>32.160937500000003</v>
      </c>
      <c r="P55" s="7"/>
      <c r="Q55" s="10"/>
      <c r="R55" s="11"/>
      <c r="S55" s="11"/>
      <c r="T55" s="26"/>
      <c r="U55" s="28">
        <f t="shared" si="2"/>
        <v>0.96698958538023194</v>
      </c>
    </row>
    <row r="56" spans="1:21" ht="16.5" thickBot="1" x14ac:dyDescent="0.3">
      <c r="B56" s="12"/>
      <c r="C56" s="19">
        <v>128.62</v>
      </c>
      <c r="D56" s="20">
        <v>27.916</v>
      </c>
      <c r="E56" s="20">
        <v>35.084000000000003</v>
      </c>
      <c r="F56" s="20">
        <v>32.831000000000003</v>
      </c>
      <c r="G56" s="20">
        <v>320.51</v>
      </c>
      <c r="H56" s="20">
        <f t="shared" si="0"/>
        <v>29.426375</v>
      </c>
      <c r="I56" s="5"/>
      <c r="J56" s="19">
        <v>123.04</v>
      </c>
      <c r="K56" s="20">
        <v>27.941600000000001</v>
      </c>
      <c r="L56" s="20">
        <v>35.903300000000002</v>
      </c>
      <c r="M56" s="20">
        <v>33.849299999999999</v>
      </c>
      <c r="N56" s="20">
        <v>712.25070000000005</v>
      </c>
      <c r="O56" s="20">
        <f t="shared" si="1"/>
        <v>29.675275000000003</v>
      </c>
      <c r="P56" s="7"/>
      <c r="Q56" s="13"/>
      <c r="R56" s="14"/>
      <c r="S56" s="14"/>
      <c r="T56" s="27"/>
      <c r="U56" s="28">
        <f t="shared" si="2"/>
        <v>1.2222417397273098</v>
      </c>
    </row>
    <row r="57" spans="1:21" x14ac:dyDescent="0.25">
      <c r="B57" s="6" t="s">
        <v>58</v>
      </c>
      <c r="C57" s="15">
        <v>555.44000000000005</v>
      </c>
      <c r="D57" s="16">
        <v>30.132999999999999</v>
      </c>
      <c r="E57" s="16">
        <v>38.488999999999997</v>
      </c>
      <c r="F57" s="16">
        <v>39.100999999999999</v>
      </c>
      <c r="G57" s="16">
        <v>325.91000000000003</v>
      </c>
      <c r="H57" s="16">
        <f t="shared" si="0"/>
        <v>32.298500000000004</v>
      </c>
      <c r="I57" s="5"/>
      <c r="J57" s="15">
        <v>604.45600000000002</v>
      </c>
      <c r="K57" s="16">
        <v>33.667999999999999</v>
      </c>
      <c r="L57" s="16">
        <v>41.232100000000003</v>
      </c>
      <c r="M57" s="16">
        <v>42.0732</v>
      </c>
      <c r="N57" s="16">
        <v>404.85829999999999</v>
      </c>
      <c r="O57" s="16">
        <f t="shared" si="1"/>
        <v>35.664162499999996</v>
      </c>
      <c r="P57" s="7"/>
      <c r="Q57" s="8">
        <f>bdrate(C57:C60,D57:D60,J57:J60,K57:K60)</f>
        <v>-0.6335923131116199</v>
      </c>
      <c r="R57" s="8">
        <f>bdrate(C57:C60,E57:E60,J57:J60,L57:L60)</f>
        <v>-0.73851312258247703</v>
      </c>
      <c r="S57" s="8">
        <f>bdrate(C57:C60,F57:F60,J57:J60,M57:M60)</f>
        <v>-0.73443844420706106</v>
      </c>
      <c r="T57" s="25">
        <f>bdrate(C57:C60,H57:H60,J57:J60,O57:O60)</f>
        <v>-0.64735867117900281</v>
      </c>
      <c r="U57" s="28">
        <f t="shared" si="2"/>
        <v>0.24223957534288593</v>
      </c>
    </row>
    <row r="58" spans="1:21" x14ac:dyDescent="0.25">
      <c r="B58" s="9"/>
      <c r="C58" s="17">
        <v>367.3</v>
      </c>
      <c r="D58" s="18">
        <v>28.795999999999999</v>
      </c>
      <c r="E58" s="18">
        <v>38.046999999999997</v>
      </c>
      <c r="F58" s="18">
        <v>38.691000000000003</v>
      </c>
      <c r="G58" s="18">
        <v>373.37</v>
      </c>
      <c r="H58" s="18">
        <f t="shared" si="0"/>
        <v>31.189250000000001</v>
      </c>
      <c r="I58" s="5"/>
      <c r="J58" s="17">
        <v>402.34</v>
      </c>
      <c r="K58" s="18">
        <v>32.405799999999999</v>
      </c>
      <c r="L58" s="18">
        <v>40.421799999999998</v>
      </c>
      <c r="M58" s="18">
        <v>41.167499999999997</v>
      </c>
      <c r="N58" s="18">
        <v>512.82050000000004</v>
      </c>
      <c r="O58" s="18">
        <f t="shared" si="1"/>
        <v>34.503012499999997</v>
      </c>
      <c r="P58" s="7"/>
      <c r="Q58" s="10"/>
      <c r="R58" s="11"/>
      <c r="S58" s="11"/>
      <c r="T58" s="26"/>
      <c r="U58" s="28">
        <f t="shared" si="2"/>
        <v>0.37349144280472463</v>
      </c>
    </row>
    <row r="59" spans="1:21" x14ac:dyDescent="0.25">
      <c r="B59" s="9"/>
      <c r="C59" s="17">
        <v>229.05</v>
      </c>
      <c r="D59" s="18">
        <v>27.358000000000001</v>
      </c>
      <c r="E59" s="18">
        <v>37.652000000000001</v>
      </c>
      <c r="F59" s="18">
        <v>38.237000000000002</v>
      </c>
      <c r="G59" s="18">
        <v>409</v>
      </c>
      <c r="H59" s="18">
        <f t="shared" si="0"/>
        <v>30.004625000000001</v>
      </c>
      <c r="I59" s="5"/>
      <c r="J59" s="17">
        <v>251.51679999999999</v>
      </c>
      <c r="K59" s="18">
        <v>30.902000000000001</v>
      </c>
      <c r="L59" s="18">
        <v>39.461300000000001</v>
      </c>
      <c r="M59" s="18">
        <v>40.189100000000003</v>
      </c>
      <c r="N59" s="18">
        <v>651.46579999999994</v>
      </c>
      <c r="O59" s="18">
        <f t="shared" si="1"/>
        <v>33.132800000000003</v>
      </c>
      <c r="P59" s="7"/>
      <c r="Q59" s="10"/>
      <c r="R59" s="11"/>
      <c r="S59" s="11"/>
      <c r="T59" s="26"/>
      <c r="U59" s="28">
        <f t="shared" si="2"/>
        <v>0.59282591687041553</v>
      </c>
    </row>
    <row r="60" spans="1:21" ht="16.5" thickBot="1" x14ac:dyDescent="0.3">
      <c r="B60" s="12"/>
      <c r="C60" s="19">
        <v>105.52</v>
      </c>
      <c r="D60" s="20">
        <v>24.940999999999999</v>
      </c>
      <c r="E60" s="20">
        <v>36.895000000000003</v>
      </c>
      <c r="F60" s="20">
        <v>37.332999999999998</v>
      </c>
      <c r="G60" s="20">
        <v>486.62</v>
      </c>
      <c r="H60" s="20">
        <f t="shared" si="0"/>
        <v>27.984249999999999</v>
      </c>
      <c r="I60" s="5"/>
      <c r="J60" s="19">
        <v>120.8736</v>
      </c>
      <c r="K60" s="20">
        <v>28.3674</v>
      </c>
      <c r="L60" s="20">
        <v>38.246000000000002</v>
      </c>
      <c r="M60" s="20">
        <v>38.848999999999997</v>
      </c>
      <c r="N60" s="20">
        <v>874.63559999999995</v>
      </c>
      <c r="O60" s="20">
        <f t="shared" si="1"/>
        <v>30.912424999999999</v>
      </c>
      <c r="P60" s="7"/>
      <c r="Q60" s="13"/>
      <c r="R60" s="14"/>
      <c r="S60" s="14"/>
      <c r="T60" s="27"/>
      <c r="U60" s="28">
        <f t="shared" si="2"/>
        <v>0.79736878878796591</v>
      </c>
    </row>
    <row r="61" spans="1:21" x14ac:dyDescent="0.25">
      <c r="B61" s="6" t="s">
        <v>59</v>
      </c>
      <c r="C61" s="29">
        <v>643.64</v>
      </c>
      <c r="D61" s="30">
        <v>31.148</v>
      </c>
      <c r="E61" s="30">
        <v>35.844000000000001</v>
      </c>
      <c r="F61" s="30">
        <v>36.372</v>
      </c>
      <c r="G61" s="16">
        <v>246.55</v>
      </c>
      <c r="H61" s="16">
        <f t="shared" si="0"/>
        <v>32.387999999999998</v>
      </c>
      <c r="I61" s="5"/>
      <c r="J61" s="29">
        <v>644.33280000000002</v>
      </c>
      <c r="K61" s="30">
        <v>33.231200000000001</v>
      </c>
      <c r="L61" s="30">
        <v>38.1096</v>
      </c>
      <c r="M61" s="30">
        <v>38.883499999999998</v>
      </c>
      <c r="N61" s="16">
        <v>368.45979999999997</v>
      </c>
      <c r="O61" s="16">
        <f t="shared" si="1"/>
        <v>34.547537500000004</v>
      </c>
      <c r="P61" s="7"/>
      <c r="Q61" s="8">
        <f>bdrate(C61:C64,D61:D64,J61:J64,K61:K64)</f>
        <v>-0.41723138166479801</v>
      </c>
      <c r="R61" s="8">
        <f>bdrate(C61:C64,E61:E64,J61:J64,L61:L64)</f>
        <v>-0.61779472650437883</v>
      </c>
      <c r="S61" s="8">
        <f>bdrate(C61:C64,F61:F64,J61:J64,M61:M64)</f>
        <v>-0.65065886070168288</v>
      </c>
      <c r="T61" s="25">
        <f>bdrate(C61:C64,H61:H64,J61:J64,O61:O64)</f>
        <v>-0.46293854852234395</v>
      </c>
      <c r="U61" s="28">
        <f t="shared" si="2"/>
        <v>0.49446278645305192</v>
      </c>
    </row>
    <row r="62" spans="1:21" x14ac:dyDescent="0.25">
      <c r="B62" s="9"/>
      <c r="C62" s="31">
        <v>427.71</v>
      </c>
      <c r="D62" s="32">
        <v>29.734999999999999</v>
      </c>
      <c r="E62" s="32">
        <v>34.927</v>
      </c>
      <c r="F62" s="32">
        <v>35.484000000000002</v>
      </c>
      <c r="G62" s="18">
        <v>283.61</v>
      </c>
      <c r="H62" s="18">
        <f t="shared" si="0"/>
        <v>31.102625</v>
      </c>
      <c r="I62" s="5"/>
      <c r="J62" s="31">
        <v>428.488</v>
      </c>
      <c r="K62" s="32">
        <v>31.687799999999999</v>
      </c>
      <c r="L62" s="32">
        <v>37.093699999999998</v>
      </c>
      <c r="M62" s="32">
        <v>37.854300000000002</v>
      </c>
      <c r="N62" s="18">
        <v>438.98160000000001</v>
      </c>
      <c r="O62" s="18">
        <f t="shared" si="1"/>
        <v>33.134350000000005</v>
      </c>
      <c r="P62" s="7"/>
      <c r="Q62" s="10"/>
      <c r="R62" s="11"/>
      <c r="S62" s="11"/>
      <c r="T62" s="26"/>
      <c r="U62" s="28">
        <f t="shared" si="2"/>
        <v>0.5478354077782871</v>
      </c>
    </row>
    <row r="63" spans="1:21" x14ac:dyDescent="0.25">
      <c r="B63" s="9"/>
      <c r="C63" s="31">
        <v>265.5</v>
      </c>
      <c r="D63" s="32">
        <v>28.263999999999999</v>
      </c>
      <c r="E63" s="32">
        <v>34.04</v>
      </c>
      <c r="F63" s="32">
        <v>34.588000000000001</v>
      </c>
      <c r="G63" s="18">
        <v>314.27</v>
      </c>
      <c r="H63" s="18">
        <f t="shared" si="0"/>
        <v>29.776499999999999</v>
      </c>
      <c r="I63" s="5"/>
      <c r="J63" s="31">
        <v>267.26319999999998</v>
      </c>
      <c r="K63" s="32">
        <v>30.0215</v>
      </c>
      <c r="L63" s="32">
        <v>35.997700000000002</v>
      </c>
      <c r="M63" s="32">
        <v>36.747300000000003</v>
      </c>
      <c r="N63" s="18">
        <v>552.48620000000005</v>
      </c>
      <c r="O63" s="18">
        <f t="shared" si="1"/>
        <v>31.609249999999999</v>
      </c>
      <c r="P63" s="7"/>
      <c r="Q63" s="10"/>
      <c r="R63" s="11"/>
      <c r="S63" s="11"/>
      <c r="T63" s="26"/>
      <c r="U63" s="28">
        <f t="shared" si="2"/>
        <v>0.75799853629045111</v>
      </c>
    </row>
    <row r="64" spans="1:21" ht="16.5" thickBot="1" x14ac:dyDescent="0.3">
      <c r="B64" s="12"/>
      <c r="C64" s="33">
        <v>125.21</v>
      </c>
      <c r="D64" s="34">
        <v>26.157</v>
      </c>
      <c r="E64" s="34">
        <v>32.622</v>
      </c>
      <c r="F64" s="34">
        <v>33.231000000000002</v>
      </c>
      <c r="G64" s="20">
        <v>372.58</v>
      </c>
      <c r="H64" s="20">
        <f t="shared" si="0"/>
        <v>27.849375000000002</v>
      </c>
      <c r="I64" s="5"/>
      <c r="J64" s="33">
        <v>129.76</v>
      </c>
      <c r="K64" s="34">
        <v>27.618099999999998</v>
      </c>
      <c r="L64" s="34">
        <v>34.4651</v>
      </c>
      <c r="M64" s="34">
        <v>35.1922</v>
      </c>
      <c r="N64" s="20">
        <v>781.25</v>
      </c>
      <c r="O64" s="20">
        <f t="shared" si="1"/>
        <v>29.420737500000001</v>
      </c>
      <c r="P64" s="7"/>
      <c r="Q64" s="13"/>
      <c r="R64" s="14"/>
      <c r="S64" s="14"/>
      <c r="T64" s="27"/>
      <c r="U64" s="28">
        <f t="shared" si="2"/>
        <v>1.0968651027967149</v>
      </c>
    </row>
    <row r="65" spans="1:21" x14ac:dyDescent="0.25">
      <c r="B65" s="6" t="s">
        <v>60</v>
      </c>
      <c r="C65" s="15">
        <v>582.1</v>
      </c>
      <c r="D65" s="16">
        <v>32.585000000000001</v>
      </c>
      <c r="E65" s="16">
        <v>36.554000000000002</v>
      </c>
      <c r="F65" s="16">
        <v>37.654000000000003</v>
      </c>
      <c r="G65" s="16">
        <v>153.85</v>
      </c>
      <c r="H65" s="16">
        <f t="shared" si="0"/>
        <v>33.714750000000002</v>
      </c>
      <c r="I65" s="5"/>
      <c r="J65" s="15">
        <v>607.85040000000004</v>
      </c>
      <c r="K65" s="16">
        <v>33.990900000000003</v>
      </c>
      <c r="L65" s="16">
        <v>37.729999999999997</v>
      </c>
      <c r="M65" s="16">
        <v>38.824300000000001</v>
      </c>
      <c r="N65" s="16">
        <v>240.38460000000001</v>
      </c>
      <c r="O65" s="16">
        <f t="shared" si="1"/>
        <v>35.062462500000002</v>
      </c>
      <c r="P65" s="7"/>
      <c r="Q65" s="8">
        <f>bdrate(C65:C68,D65:D68,J65:J68,K65:K68)</f>
        <v>-0.17388503889495677</v>
      </c>
      <c r="R65" s="8">
        <f>bdrate(C65:C68,E65:E68,J65:J68,L65:L68)</f>
        <v>-0.3251700189676201</v>
      </c>
      <c r="S65" s="8">
        <f>bdrate(C65:C68,F65:F68,J65:J68,M65:M68)</f>
        <v>-0.34116922252629611</v>
      </c>
      <c r="T65" s="25">
        <f>bdrate(C65:C68,H65:H68,J65:J68,O65:O68)</f>
        <v>-0.20758263915671915</v>
      </c>
      <c r="U65" s="28">
        <f t="shared" si="2"/>
        <v>0.56246083847903816</v>
      </c>
    </row>
    <row r="66" spans="1:21" x14ac:dyDescent="0.25">
      <c r="B66" s="9"/>
      <c r="C66" s="17">
        <v>390.85</v>
      </c>
      <c r="D66" s="18">
        <v>31.064</v>
      </c>
      <c r="E66" s="18">
        <v>35.521999999999998</v>
      </c>
      <c r="F66" s="18">
        <v>36.529000000000003</v>
      </c>
      <c r="G66" s="18">
        <v>178.04</v>
      </c>
      <c r="H66" s="18">
        <f t="shared" si="0"/>
        <v>32.304375</v>
      </c>
      <c r="I66" s="5"/>
      <c r="J66" s="17">
        <v>404.52960000000002</v>
      </c>
      <c r="K66" s="18">
        <v>32.109400000000001</v>
      </c>
      <c r="L66" s="18">
        <v>36.555199999999999</v>
      </c>
      <c r="M66" s="18">
        <v>37.636899999999997</v>
      </c>
      <c r="N66" s="18">
        <v>291.54520000000002</v>
      </c>
      <c r="O66" s="18">
        <f t="shared" si="1"/>
        <v>33.356062500000007</v>
      </c>
      <c r="P66" s="7"/>
      <c r="Q66" s="10"/>
      <c r="R66" s="11"/>
      <c r="S66" s="11"/>
      <c r="T66" s="26"/>
      <c r="U66" s="28">
        <f t="shared" si="2"/>
        <v>0.63752639856212112</v>
      </c>
    </row>
    <row r="67" spans="1:21" x14ac:dyDescent="0.25">
      <c r="B67" s="9"/>
      <c r="C67" s="17">
        <v>246.05</v>
      </c>
      <c r="D67" s="18">
        <v>29.518000000000001</v>
      </c>
      <c r="E67" s="18">
        <v>34.473999999999997</v>
      </c>
      <c r="F67" s="18">
        <v>35.396999999999998</v>
      </c>
      <c r="G67" s="18">
        <v>206.75</v>
      </c>
      <c r="H67" s="18">
        <f t="shared" si="0"/>
        <v>30.872374999999998</v>
      </c>
      <c r="I67" s="5"/>
      <c r="J67" s="17">
        <v>253.22640000000001</v>
      </c>
      <c r="K67" s="18">
        <v>30.258299999999998</v>
      </c>
      <c r="L67" s="18">
        <v>35.394199999999998</v>
      </c>
      <c r="M67" s="18">
        <v>36.4649</v>
      </c>
      <c r="N67" s="18">
        <v>369.91370000000001</v>
      </c>
      <c r="O67" s="18">
        <f t="shared" si="1"/>
        <v>31.676112500000002</v>
      </c>
      <c r="P67" s="7"/>
      <c r="Q67" s="10"/>
      <c r="R67" s="11"/>
      <c r="S67" s="11"/>
      <c r="T67" s="26"/>
      <c r="U67" s="28">
        <f t="shared" si="2"/>
        <v>0.78918355501813786</v>
      </c>
    </row>
    <row r="68" spans="1:21" ht="16.5" thickBot="1" x14ac:dyDescent="0.3">
      <c r="B68" s="12"/>
      <c r="C68" s="19">
        <v>117.52</v>
      </c>
      <c r="D68" s="20">
        <v>27.388000000000002</v>
      </c>
      <c r="E68" s="20">
        <v>32.822000000000003</v>
      </c>
      <c r="F68" s="20">
        <v>33.713999999999999</v>
      </c>
      <c r="G68" s="20">
        <v>259.97000000000003</v>
      </c>
      <c r="H68" s="20">
        <f t="shared" si="0"/>
        <v>28.858000000000001</v>
      </c>
      <c r="I68" s="5"/>
      <c r="J68" s="19">
        <v>122.2976</v>
      </c>
      <c r="K68" s="20">
        <v>27.770900000000001</v>
      </c>
      <c r="L68" s="20">
        <v>33.951999999999998</v>
      </c>
      <c r="M68" s="20">
        <v>34.896299999999997</v>
      </c>
      <c r="N68" s="20">
        <v>533.80780000000004</v>
      </c>
      <c r="O68" s="20">
        <f t="shared" si="1"/>
        <v>29.434212500000001</v>
      </c>
      <c r="P68" s="7"/>
      <c r="Q68" s="13"/>
      <c r="R68" s="14"/>
      <c r="S68" s="14"/>
      <c r="T68" s="27"/>
      <c r="U68" s="28">
        <f t="shared" si="2"/>
        <v>1.0533438473670038</v>
      </c>
    </row>
    <row r="69" spans="1:21" x14ac:dyDescent="0.25">
      <c r="A69" s="6" t="s">
        <v>43</v>
      </c>
      <c r="B69" s="6" t="s">
        <v>61</v>
      </c>
      <c r="C69" s="15">
        <v>1383.08</v>
      </c>
      <c r="D69" s="16">
        <v>39.732999999999997</v>
      </c>
      <c r="E69" s="16">
        <v>43.978999999999999</v>
      </c>
      <c r="F69" s="16">
        <v>45.188000000000002</v>
      </c>
      <c r="G69" s="16">
        <v>48.38</v>
      </c>
      <c r="H69" s="16">
        <f t="shared" si="0"/>
        <v>40.945624999999993</v>
      </c>
      <c r="I69" s="5"/>
      <c r="J69" s="15">
        <v>1493.2360000000001</v>
      </c>
      <c r="K69" s="16">
        <v>41.329500000000003</v>
      </c>
      <c r="L69" s="16">
        <v>45.549599999999998</v>
      </c>
      <c r="M69" s="16">
        <v>46.7331</v>
      </c>
      <c r="N69" s="16">
        <v>104.8035</v>
      </c>
      <c r="O69" s="16">
        <f t="shared" si="1"/>
        <v>42.532462500000001</v>
      </c>
      <c r="P69" s="7"/>
      <c r="Q69" s="8">
        <f>bdrate(C69:C72,D69:D72,J69:J72,K69:K72)</f>
        <v>-0.33554514246811817</v>
      </c>
      <c r="R69" s="8">
        <f>bdrate(C69:C72,E69:E72,J69:J72,L69:L72)</f>
        <v>-0.40497793345308908</v>
      </c>
      <c r="S69" s="8">
        <f>bdrate(C69:C72,F69:F72,J69:J72,M69:M72)</f>
        <v>-0.40809302877142672</v>
      </c>
      <c r="T69" s="25">
        <f>bdrate(C69:C72,H69:H72,J69:J72,O69:O72)</f>
        <v>-0.34738800492590005</v>
      </c>
      <c r="U69" s="28">
        <f t="shared" si="2"/>
        <v>1.1662567176519221</v>
      </c>
    </row>
    <row r="70" spans="1:21" x14ac:dyDescent="0.25">
      <c r="A70" s="9" t="s">
        <v>44</v>
      </c>
      <c r="B70" s="9"/>
      <c r="C70" s="17">
        <v>915.49</v>
      </c>
      <c r="D70" s="18">
        <v>38.375</v>
      </c>
      <c r="E70" s="18">
        <v>42.914999999999999</v>
      </c>
      <c r="F70" s="18">
        <v>44.06</v>
      </c>
      <c r="G70" s="18">
        <v>56.07</v>
      </c>
      <c r="H70" s="18">
        <f t="shared" si="0"/>
        <v>39.653125000000003</v>
      </c>
      <c r="I70" s="5"/>
      <c r="J70" s="17">
        <v>977.65440000000001</v>
      </c>
      <c r="K70" s="18">
        <v>40.2224</v>
      </c>
      <c r="L70" s="18">
        <v>44.690100000000001</v>
      </c>
      <c r="M70" s="18">
        <v>45.837699999999998</v>
      </c>
      <c r="N70" s="18">
        <v>121.7039</v>
      </c>
      <c r="O70" s="18">
        <f t="shared" si="1"/>
        <v>41.482774999999997</v>
      </c>
      <c r="P70" s="7"/>
      <c r="Q70" s="10"/>
      <c r="R70" s="11"/>
      <c r="S70" s="11"/>
      <c r="T70" s="26"/>
      <c r="U70" s="28">
        <f t="shared" si="2"/>
        <v>1.1705707151774569</v>
      </c>
    </row>
    <row r="71" spans="1:21" x14ac:dyDescent="0.25">
      <c r="B71" s="9"/>
      <c r="C71" s="17">
        <v>543.63</v>
      </c>
      <c r="D71" s="18">
        <v>36.451000000000001</v>
      </c>
      <c r="E71" s="18">
        <v>41.988</v>
      </c>
      <c r="F71" s="18">
        <v>43.039000000000001</v>
      </c>
      <c r="G71" s="18">
        <v>74.83</v>
      </c>
      <c r="H71" s="18">
        <f t="shared" si="0"/>
        <v>37.966625000000001</v>
      </c>
      <c r="I71" s="5"/>
      <c r="J71" s="17">
        <v>568.17999999999995</v>
      </c>
      <c r="K71" s="18">
        <v>38.228999999999999</v>
      </c>
      <c r="L71" s="18">
        <v>43.133699999999997</v>
      </c>
      <c r="M71" s="18">
        <v>44.266399999999997</v>
      </c>
      <c r="N71" s="18">
        <v>141.94460000000001</v>
      </c>
      <c r="O71" s="18">
        <f t="shared" si="1"/>
        <v>39.596762499999997</v>
      </c>
      <c r="P71" s="7"/>
      <c r="Q71" s="10"/>
      <c r="R71" s="11"/>
      <c r="S71" s="11"/>
      <c r="T71" s="26"/>
      <c r="U71" s="28">
        <f t="shared" si="2"/>
        <v>0.89689429373246043</v>
      </c>
    </row>
    <row r="72" spans="1:21" ht="16.5" thickBot="1" x14ac:dyDescent="0.3">
      <c r="B72" s="12"/>
      <c r="C72" s="19">
        <v>259.14999999999998</v>
      </c>
      <c r="D72" s="20">
        <v>34.341999999999999</v>
      </c>
      <c r="E72" s="20">
        <v>41.011000000000003</v>
      </c>
      <c r="F72" s="20">
        <v>41.921999999999997</v>
      </c>
      <c r="G72" s="20">
        <v>85.09</v>
      </c>
      <c r="H72" s="20">
        <f t="shared" si="0"/>
        <v>36.123125000000002</v>
      </c>
      <c r="I72" s="5"/>
      <c r="J72" s="19">
        <v>278.10320000000002</v>
      </c>
      <c r="K72" s="20">
        <v>35.184899999999999</v>
      </c>
      <c r="L72" s="20">
        <v>41.493000000000002</v>
      </c>
      <c r="M72" s="20">
        <v>42.571800000000003</v>
      </c>
      <c r="N72" s="20">
        <v>176.4187</v>
      </c>
      <c r="O72" s="20">
        <f t="shared" si="1"/>
        <v>36.896774999999998</v>
      </c>
      <c r="P72" s="7"/>
      <c r="Q72" s="13"/>
      <c r="R72" s="14"/>
      <c r="S72" s="14"/>
      <c r="T72" s="27"/>
      <c r="U72" s="28">
        <f t="shared" si="2"/>
        <v>1.0733188388764836</v>
      </c>
    </row>
    <row r="73" spans="1:21" x14ac:dyDescent="0.25">
      <c r="B73" s="6" t="s">
        <v>62</v>
      </c>
      <c r="C73" s="15">
        <v>1437.24</v>
      </c>
      <c r="D73" s="16">
        <v>41.619</v>
      </c>
      <c r="E73" s="16">
        <v>46.417999999999999</v>
      </c>
      <c r="F73" s="16">
        <v>46.975000000000001</v>
      </c>
      <c r="G73" s="16">
        <v>52.47</v>
      </c>
      <c r="H73" s="16">
        <f t="shared" si="0"/>
        <v>42.888375000000003</v>
      </c>
      <c r="I73" s="5"/>
      <c r="J73" s="15">
        <v>1527.2704000000001</v>
      </c>
      <c r="K73" s="16">
        <v>42.615400000000001</v>
      </c>
      <c r="L73" s="16">
        <v>47.624200000000002</v>
      </c>
      <c r="M73" s="16">
        <v>48.3035</v>
      </c>
      <c r="N73" s="16">
        <v>118.6944</v>
      </c>
      <c r="O73" s="16">
        <f t="shared" si="1"/>
        <v>43.952512499999997</v>
      </c>
      <c r="P73" s="7"/>
      <c r="Q73" s="8">
        <f>bdrate(C73:C76,D73:D76,J73:J76,K73:K76)</f>
        <v>-0.4477939201105281</v>
      </c>
      <c r="R73" s="8">
        <f>bdrate(C73:C76,E73:E76,J73:J76,L73:L76)</f>
        <v>-0.51182250053300593</v>
      </c>
      <c r="S73" s="8">
        <f>bdrate(C73:C76,F73:F76,J73:J76,M73:M76)</f>
        <v>-0.53890279985582756</v>
      </c>
      <c r="T73" s="25">
        <f>bdrate(C73:C76,H73:H76,J73:J76,O73:O76)</f>
        <v>-0.46782169486415015</v>
      </c>
      <c r="U73" s="28">
        <f t="shared" ref="U73:U91" si="3">(N73-G73)/G73</f>
        <v>1.2621383647798743</v>
      </c>
    </row>
    <row r="74" spans="1:21" x14ac:dyDescent="0.25">
      <c r="B74" s="9"/>
      <c r="C74" s="17">
        <v>948.04</v>
      </c>
      <c r="D74" s="18">
        <v>40.921999999999997</v>
      </c>
      <c r="E74" s="18">
        <v>45.765000000000001</v>
      </c>
      <c r="F74" s="18">
        <v>46.262</v>
      </c>
      <c r="G74" s="18">
        <v>71.23</v>
      </c>
      <c r="H74" s="18">
        <f t="shared" si="0"/>
        <v>42.194874999999996</v>
      </c>
      <c r="I74" s="5"/>
      <c r="J74" s="17">
        <v>972.1712</v>
      </c>
      <c r="K74" s="18">
        <v>42.070799999999998</v>
      </c>
      <c r="L74" s="18">
        <v>47.137500000000003</v>
      </c>
      <c r="M74" s="18">
        <v>47.819499999999998</v>
      </c>
      <c r="N74" s="18">
        <v>139.37280000000001</v>
      </c>
      <c r="O74" s="18">
        <f t="shared" si="1"/>
        <v>43.422725</v>
      </c>
      <c r="P74" s="7"/>
      <c r="Q74" s="10"/>
      <c r="R74" s="11"/>
      <c r="S74" s="11"/>
      <c r="T74" s="26"/>
      <c r="U74" s="28">
        <f t="shared" si="3"/>
        <v>0.95665871121718382</v>
      </c>
    </row>
    <row r="75" spans="1:21" x14ac:dyDescent="0.25">
      <c r="B75" s="9"/>
      <c r="C75" s="17">
        <v>560.92999999999995</v>
      </c>
      <c r="D75" s="18">
        <v>39.874000000000002</v>
      </c>
      <c r="E75" s="18">
        <v>44.783999999999999</v>
      </c>
      <c r="F75" s="18">
        <v>45.179000000000002</v>
      </c>
      <c r="G75" s="18">
        <v>77.239999999999995</v>
      </c>
      <c r="H75" s="18">
        <f t="shared" si="0"/>
        <v>41.150874999999999</v>
      </c>
      <c r="I75" s="5"/>
      <c r="J75" s="17">
        <v>576.15359999999998</v>
      </c>
      <c r="K75" s="18">
        <v>41.181600000000003</v>
      </c>
      <c r="L75" s="18">
        <v>46.256599999999999</v>
      </c>
      <c r="M75" s="18">
        <v>46.875900000000001</v>
      </c>
      <c r="N75" s="18">
        <v>158.89830000000001</v>
      </c>
      <c r="O75" s="18">
        <f t="shared" si="1"/>
        <v>42.527762500000001</v>
      </c>
      <c r="P75" s="7"/>
      <c r="Q75" s="10"/>
      <c r="R75" s="11"/>
      <c r="S75" s="11"/>
      <c r="T75" s="26"/>
      <c r="U75" s="28">
        <f t="shared" si="3"/>
        <v>1.0572022268254793</v>
      </c>
    </row>
    <row r="76" spans="1:21" ht="16.5" thickBot="1" x14ac:dyDescent="0.3">
      <c r="B76" s="12"/>
      <c r="C76" s="19">
        <v>268.58999999999997</v>
      </c>
      <c r="D76" s="20">
        <v>37.963000000000001</v>
      </c>
      <c r="E76" s="20">
        <v>43.557000000000002</v>
      </c>
      <c r="F76" s="20">
        <v>43.923999999999999</v>
      </c>
      <c r="G76" s="20">
        <v>86.83</v>
      </c>
      <c r="H76" s="20">
        <f t="shared" si="0"/>
        <v>39.407375000000002</v>
      </c>
      <c r="I76" s="5"/>
      <c r="J76" s="19">
        <v>280.49759999999998</v>
      </c>
      <c r="K76" s="20">
        <v>39.421300000000002</v>
      </c>
      <c r="L76" s="20">
        <v>44.600999999999999</v>
      </c>
      <c r="M76" s="20">
        <v>45.156500000000001</v>
      </c>
      <c r="N76" s="20">
        <v>185.7585</v>
      </c>
      <c r="O76" s="20">
        <f t="shared" si="1"/>
        <v>40.785662500000001</v>
      </c>
      <c r="P76" s="7"/>
      <c r="Q76" s="13"/>
      <c r="R76" s="14"/>
      <c r="S76" s="14"/>
      <c r="T76" s="27"/>
      <c r="U76" s="28">
        <f t="shared" si="3"/>
        <v>1.1393354831279512</v>
      </c>
    </row>
    <row r="77" spans="1:21" x14ac:dyDescent="0.25">
      <c r="B77" s="6" t="s">
        <v>63</v>
      </c>
      <c r="C77" s="15">
        <v>1507.42</v>
      </c>
      <c r="D77" s="16">
        <v>41.328000000000003</v>
      </c>
      <c r="E77" s="16">
        <v>45.475999999999999</v>
      </c>
      <c r="F77" s="16">
        <v>46.274999999999999</v>
      </c>
      <c r="G77" s="16">
        <v>41.4</v>
      </c>
      <c r="H77" s="16">
        <f t="shared" si="0"/>
        <v>42.464874999999999</v>
      </c>
      <c r="I77" s="5"/>
      <c r="J77" s="15">
        <v>1527.808</v>
      </c>
      <c r="K77" s="16">
        <v>42.472200000000001</v>
      </c>
      <c r="L77" s="16">
        <v>46.694400000000002</v>
      </c>
      <c r="M77" s="16">
        <v>47.543300000000002</v>
      </c>
      <c r="N77" s="16">
        <v>103.95010000000001</v>
      </c>
      <c r="O77" s="16">
        <f t="shared" si="1"/>
        <v>43.633862499999999</v>
      </c>
      <c r="P77" s="7"/>
      <c r="Q77" s="8">
        <f>bdrate(C77:C80,D77:D80,J77:J80,K77:K80)</f>
        <v>-0.38920323503343246</v>
      </c>
      <c r="R77" s="8">
        <f>bdrate(C77:C80,E77:E80,J77:J80,L77:L80)</f>
        <v>-0.42625322619331052</v>
      </c>
      <c r="S77" s="8">
        <f>bdrate(C77:C80,F77:F80,J77:J80,M77:M80)</f>
        <v>-0.40330378847082871</v>
      </c>
      <c r="T77" s="25">
        <f>bdrate(C77:C80,H77:H80,J77:J80,O77:O80)</f>
        <v>-0.3946968912374702</v>
      </c>
      <c r="U77" s="28">
        <f t="shared" si="3"/>
        <v>1.5108719806763287</v>
      </c>
    </row>
    <row r="78" spans="1:21" x14ac:dyDescent="0.25">
      <c r="B78" s="9"/>
      <c r="C78" s="17">
        <v>997.39</v>
      </c>
      <c r="D78" s="18">
        <v>40.237000000000002</v>
      </c>
      <c r="E78" s="18">
        <v>44.546999999999997</v>
      </c>
      <c r="F78" s="18">
        <v>45.334000000000003</v>
      </c>
      <c r="G78" s="18">
        <v>55.99</v>
      </c>
      <c r="H78" s="18">
        <f t="shared" si="0"/>
        <v>41.412875000000007</v>
      </c>
      <c r="I78" s="5"/>
      <c r="J78" s="17">
        <v>1011.272</v>
      </c>
      <c r="K78" s="18">
        <v>41.637500000000003</v>
      </c>
      <c r="L78" s="18">
        <v>45.943600000000004</v>
      </c>
      <c r="M78" s="18">
        <v>46.789700000000003</v>
      </c>
      <c r="N78" s="18">
        <v>122.1001</v>
      </c>
      <c r="O78" s="18">
        <f t="shared" si="1"/>
        <v>42.819787499999997</v>
      </c>
      <c r="P78" s="7"/>
      <c r="Q78" s="10"/>
      <c r="R78" s="11"/>
      <c r="S78" s="11"/>
      <c r="T78" s="26"/>
      <c r="U78" s="28">
        <f t="shared" si="3"/>
        <v>1.1807483479192711</v>
      </c>
    </row>
    <row r="79" spans="1:21" x14ac:dyDescent="0.25">
      <c r="B79" s="9"/>
      <c r="C79" s="17">
        <v>594.07000000000005</v>
      </c>
      <c r="D79" s="18">
        <v>38.707999999999998</v>
      </c>
      <c r="E79" s="18">
        <v>43.308</v>
      </c>
      <c r="F79" s="18">
        <v>44.197000000000003</v>
      </c>
      <c r="G79" s="18">
        <v>71.36</v>
      </c>
      <c r="H79" s="18">
        <f t="shared" si="0"/>
        <v>39.969124999999998</v>
      </c>
      <c r="I79" s="5"/>
      <c r="J79" s="17">
        <v>602.94320000000005</v>
      </c>
      <c r="K79" s="18">
        <v>40.3217</v>
      </c>
      <c r="L79" s="18">
        <v>44.784999999999997</v>
      </c>
      <c r="M79" s="18">
        <v>45.500500000000002</v>
      </c>
      <c r="N79" s="18">
        <v>141.37610000000001</v>
      </c>
      <c r="O79" s="18">
        <f t="shared" si="1"/>
        <v>41.526962499999996</v>
      </c>
      <c r="P79" s="7"/>
      <c r="Q79" s="10"/>
      <c r="R79" s="11"/>
      <c r="S79" s="11"/>
      <c r="T79" s="26"/>
      <c r="U79" s="28">
        <f t="shared" si="3"/>
        <v>0.98116732062780287</v>
      </c>
    </row>
    <row r="80" spans="1:21" ht="16.5" thickBot="1" x14ac:dyDescent="0.3">
      <c r="B80" s="12"/>
      <c r="C80" s="19">
        <v>286.36</v>
      </c>
      <c r="D80" s="20">
        <v>36.460999999999999</v>
      </c>
      <c r="E80" s="20">
        <v>42.045000000000002</v>
      </c>
      <c r="F80" s="20">
        <v>42.957999999999998</v>
      </c>
      <c r="G80" s="20">
        <v>81.150000000000006</v>
      </c>
      <c r="H80" s="20">
        <f t="shared" si="0"/>
        <v>37.971125000000001</v>
      </c>
      <c r="I80" s="5"/>
      <c r="J80" s="19">
        <v>294.07600000000002</v>
      </c>
      <c r="K80" s="20">
        <v>37.695999999999998</v>
      </c>
      <c r="L80" s="20">
        <v>42.6736</v>
      </c>
      <c r="M80" s="20">
        <v>43.5015</v>
      </c>
      <c r="N80" s="20">
        <v>170.9402</v>
      </c>
      <c r="O80" s="20">
        <f t="shared" si="1"/>
        <v>39.043887500000004</v>
      </c>
      <c r="P80" s="7"/>
      <c r="Q80" s="13"/>
      <c r="R80" s="14"/>
      <c r="S80" s="14"/>
      <c r="T80" s="27"/>
      <c r="U80" s="28">
        <f t="shared" si="3"/>
        <v>1.1064719654959949</v>
      </c>
    </row>
    <row r="81" spans="1:21" x14ac:dyDescent="0.25">
      <c r="A81" s="6" t="s">
        <v>102</v>
      </c>
      <c r="B81" s="6" t="s">
        <v>103</v>
      </c>
      <c r="C81" s="15">
        <v>1206.73</v>
      </c>
      <c r="D81" s="16">
        <v>41.627000000000002</v>
      </c>
      <c r="E81" s="16">
        <v>47.142000000000003</v>
      </c>
      <c r="F81" s="16">
        <v>48.073999999999998</v>
      </c>
      <c r="G81" s="16">
        <v>34.19</v>
      </c>
      <c r="H81" s="16">
        <f t="shared" ref="H81:H124" si="4">(6*D81+E81+F81)/8</f>
        <v>43.122250000000001</v>
      </c>
      <c r="I81" s="5"/>
      <c r="J81" s="15">
        <v>1286.7708</v>
      </c>
      <c r="K81" s="16">
        <v>43.730200000000004</v>
      </c>
      <c r="L81" s="16">
        <v>48.8337</v>
      </c>
      <c r="M81" s="16">
        <v>50.005800000000001</v>
      </c>
      <c r="N81" s="16">
        <v>60.6633</v>
      </c>
      <c r="O81" s="16">
        <f t="shared" ref="O81:O91" si="5">(6*K81+L81+M81)/8</f>
        <v>45.15258750000001</v>
      </c>
      <c r="P81" s="7"/>
      <c r="Q81" s="8">
        <f>bdrate(C81:C84,D81:D84,J81:J84,K81:K84)</f>
        <v>-0.31620958652124709</v>
      </c>
      <c r="R81" s="8">
        <f>bdrate(C81:C84,E81:E84,J81:J84,L81:L84)</f>
        <v>-0.46055293257044239</v>
      </c>
      <c r="S81" s="8">
        <f>bdrate(C81:C84,F81:F84,J81:J84,M81:M84)</f>
        <v>-0.45453382121711483</v>
      </c>
      <c r="T81" s="25">
        <f>bdrate(C81:C84,H81:H84,J81:J84,O81:O84)</f>
        <v>-0.34568822046933134</v>
      </c>
      <c r="U81" s="28">
        <f t="shared" si="3"/>
        <v>0.77429950277859039</v>
      </c>
    </row>
    <row r="82" spans="1:21" x14ac:dyDescent="0.25">
      <c r="A82" s="9" t="s">
        <v>78</v>
      </c>
      <c r="B82" s="9"/>
      <c r="C82" s="17">
        <v>808.75</v>
      </c>
      <c r="D82" s="18">
        <v>39.692999999999998</v>
      </c>
      <c r="E82" s="18">
        <v>45.503999999999998</v>
      </c>
      <c r="F82" s="18">
        <v>46.628999999999998</v>
      </c>
      <c r="G82" s="18">
        <v>38.369999999999997</v>
      </c>
      <c r="H82" s="18">
        <f t="shared" si="4"/>
        <v>41.286375</v>
      </c>
      <c r="I82" s="5"/>
      <c r="J82" s="17">
        <v>872.61770000000001</v>
      </c>
      <c r="K82" s="18">
        <v>41.846600000000002</v>
      </c>
      <c r="L82" s="18">
        <v>47.5989</v>
      </c>
      <c r="M82" s="18">
        <v>48.771799999999999</v>
      </c>
      <c r="N82" s="18">
        <v>71.137799999999999</v>
      </c>
      <c r="O82" s="18">
        <f t="shared" si="5"/>
        <v>43.431287500000003</v>
      </c>
      <c r="P82" s="7"/>
      <c r="Q82" s="10"/>
      <c r="R82" s="11"/>
      <c r="S82" s="11"/>
      <c r="T82" s="26"/>
      <c r="U82" s="28">
        <f t="shared" si="3"/>
        <v>0.8539953088350275</v>
      </c>
    </row>
    <row r="83" spans="1:21" x14ac:dyDescent="0.25">
      <c r="B83" s="9"/>
      <c r="C83" s="17">
        <v>489.89</v>
      </c>
      <c r="D83" s="18">
        <v>37.395000000000003</v>
      </c>
      <c r="E83" s="18">
        <v>43.863</v>
      </c>
      <c r="F83" s="18">
        <v>44.945</v>
      </c>
      <c r="G83" s="18">
        <v>41.02</v>
      </c>
      <c r="H83" s="18">
        <f t="shared" si="4"/>
        <v>39.14725</v>
      </c>
      <c r="I83" s="5"/>
      <c r="J83" s="17">
        <v>542.86040000000003</v>
      </c>
      <c r="K83" s="18">
        <v>39.586500000000001</v>
      </c>
      <c r="L83" s="18">
        <v>46.279600000000002</v>
      </c>
      <c r="M83" s="18">
        <v>47.253100000000003</v>
      </c>
      <c r="N83" s="18">
        <v>89.166300000000007</v>
      </c>
      <c r="O83" s="18">
        <f t="shared" si="5"/>
        <v>41.381462500000005</v>
      </c>
      <c r="P83" s="7"/>
      <c r="Q83" s="10"/>
      <c r="R83" s="11"/>
      <c r="S83" s="11"/>
      <c r="T83" s="26"/>
      <c r="U83" s="28">
        <f t="shared" si="3"/>
        <v>1.1737274500243784</v>
      </c>
    </row>
    <row r="84" spans="1:21" ht="16.5" thickBot="1" x14ac:dyDescent="0.3">
      <c r="B84" s="12"/>
      <c r="C84" s="19">
        <v>249.52</v>
      </c>
      <c r="D84" s="20">
        <v>34.429000000000002</v>
      </c>
      <c r="E84" s="20">
        <v>41.575000000000003</v>
      </c>
      <c r="F84" s="20">
        <v>42.801000000000002</v>
      </c>
      <c r="G84" s="20">
        <v>51.33</v>
      </c>
      <c r="H84" s="20">
        <f t="shared" si="4"/>
        <v>36.368749999999999</v>
      </c>
      <c r="I84" s="5"/>
      <c r="J84" s="19">
        <v>278.42129999999997</v>
      </c>
      <c r="K84" s="20">
        <v>36.647100000000002</v>
      </c>
      <c r="L84" s="20">
        <v>44.098999999999997</v>
      </c>
      <c r="M84" s="20">
        <v>45.336500000000001</v>
      </c>
      <c r="N84" s="20">
        <v>117.7394</v>
      </c>
      <c r="O84" s="20">
        <f t="shared" si="5"/>
        <v>38.664762500000002</v>
      </c>
      <c r="P84" s="7"/>
      <c r="Q84" s="13"/>
      <c r="R84" s="14"/>
      <c r="S84" s="14"/>
      <c r="T84" s="27"/>
      <c r="U84" s="28">
        <f t="shared" si="3"/>
        <v>1.2937736216637445</v>
      </c>
    </row>
    <row r="85" spans="1:21" x14ac:dyDescent="0.25">
      <c r="B85" s="6" t="s">
        <v>104</v>
      </c>
      <c r="C85" s="15">
        <v>1479.26</v>
      </c>
      <c r="D85" s="16">
        <v>48.863999999999997</v>
      </c>
      <c r="E85" s="16">
        <v>49.960999999999999</v>
      </c>
      <c r="F85" s="16">
        <v>50.436999999999998</v>
      </c>
      <c r="G85" s="16">
        <v>54.38</v>
      </c>
      <c r="H85" s="16">
        <f t="shared" si="4"/>
        <v>49.197749999999999</v>
      </c>
      <c r="I85" s="5"/>
      <c r="J85" s="15">
        <v>1461.07</v>
      </c>
      <c r="K85" s="16">
        <v>51.560899999999997</v>
      </c>
      <c r="L85" s="16">
        <v>52.543599999999998</v>
      </c>
      <c r="M85" s="16">
        <v>53.040799999999997</v>
      </c>
      <c r="N85" s="16">
        <v>109.7829</v>
      </c>
      <c r="O85" s="16">
        <f t="shared" si="5"/>
        <v>51.868724999999998</v>
      </c>
      <c r="P85" s="7"/>
      <c r="Q85" s="8">
        <f>bdrate(C85:C88,D85:D88,J85:J88,K85:K88)</f>
        <v>-0.43641746578948371</v>
      </c>
      <c r="R85" s="8">
        <f>bdrate(C85:C88,E85:E88,J85:J88,L85:L88)</f>
        <v>-0.43192191489196119</v>
      </c>
      <c r="S85" s="8">
        <f>bdrate(C85:C88,F85:F88,J85:J88,M85:M88)</f>
        <v>-0.43539507320717108</v>
      </c>
      <c r="T85" s="25">
        <f>bdrate(C85:C88,H85:H88,J85:J88,O85:O88)</f>
        <v>-0.43580500745374717</v>
      </c>
      <c r="U85" s="28">
        <f t="shared" si="3"/>
        <v>1.0188102243471864</v>
      </c>
    </row>
    <row r="86" spans="1:21" x14ac:dyDescent="0.25">
      <c r="B86" s="9"/>
      <c r="C86" s="17">
        <v>981.67</v>
      </c>
      <c r="D86" s="18">
        <v>46.195</v>
      </c>
      <c r="E86" s="18">
        <v>47.558</v>
      </c>
      <c r="F86" s="18">
        <v>48.091999999999999</v>
      </c>
      <c r="G86" s="18">
        <v>65.67</v>
      </c>
      <c r="H86" s="18">
        <f t="shared" si="4"/>
        <v>46.602499999999999</v>
      </c>
      <c r="I86" s="5"/>
      <c r="J86" s="17">
        <v>981.91150000000005</v>
      </c>
      <c r="K86" s="18">
        <v>49.643500000000003</v>
      </c>
      <c r="L86" s="18">
        <v>50.726500000000001</v>
      </c>
      <c r="M86" s="18">
        <v>51.270699999999998</v>
      </c>
      <c r="N86" s="18">
        <v>138.18520000000001</v>
      </c>
      <c r="O86" s="18">
        <f t="shared" si="5"/>
        <v>49.982274999999994</v>
      </c>
      <c r="P86" s="7"/>
      <c r="Q86" s="10"/>
      <c r="R86" s="11"/>
      <c r="S86" s="11"/>
      <c r="T86" s="26"/>
      <c r="U86" s="28">
        <f t="shared" si="3"/>
        <v>1.104236333181057</v>
      </c>
    </row>
    <row r="87" spans="1:21" x14ac:dyDescent="0.25">
      <c r="B87" s="9"/>
      <c r="C87" s="17">
        <v>591.42999999999995</v>
      </c>
      <c r="D87" s="18">
        <v>43.274999999999999</v>
      </c>
      <c r="E87" s="18">
        <v>44.927</v>
      </c>
      <c r="F87" s="18">
        <v>45.436999999999998</v>
      </c>
      <c r="G87" s="18">
        <v>64.14</v>
      </c>
      <c r="H87" s="18">
        <f t="shared" si="4"/>
        <v>43.751750000000001</v>
      </c>
      <c r="I87" s="5"/>
      <c r="J87" s="17">
        <v>600.62649999999996</v>
      </c>
      <c r="K87" s="18">
        <v>46.706200000000003</v>
      </c>
      <c r="L87" s="18">
        <v>48.003599999999999</v>
      </c>
      <c r="M87" s="18">
        <v>48.545299999999997</v>
      </c>
      <c r="N87" s="18">
        <v>156.14160000000001</v>
      </c>
      <c r="O87" s="18">
        <f t="shared" si="5"/>
        <v>47.098262500000004</v>
      </c>
      <c r="P87" s="7"/>
      <c r="Q87" s="10"/>
      <c r="R87" s="11"/>
      <c r="S87" s="11"/>
      <c r="T87" s="26"/>
      <c r="U87" s="28">
        <f t="shared" si="3"/>
        <v>1.4343872778297475</v>
      </c>
    </row>
    <row r="88" spans="1:21" ht="16.5" thickBot="1" x14ac:dyDescent="0.3">
      <c r="B88" s="12"/>
      <c r="C88" s="19">
        <v>294.14</v>
      </c>
      <c r="D88" s="20">
        <v>39.816000000000003</v>
      </c>
      <c r="E88" s="20">
        <v>41.896000000000001</v>
      </c>
      <c r="F88" s="20">
        <v>42.451000000000001</v>
      </c>
      <c r="G88" s="20">
        <v>76.06</v>
      </c>
      <c r="H88" s="20">
        <f t="shared" si="4"/>
        <v>40.405375000000006</v>
      </c>
      <c r="I88" s="5"/>
      <c r="J88" s="19">
        <v>300.98759999999999</v>
      </c>
      <c r="K88" s="20">
        <v>42.695399999999999</v>
      </c>
      <c r="L88" s="20">
        <v>44.282899999999998</v>
      </c>
      <c r="M88" s="20">
        <v>44.849200000000003</v>
      </c>
      <c r="N88" s="20">
        <v>184.31290000000001</v>
      </c>
      <c r="O88" s="20">
        <f t="shared" si="5"/>
        <v>43.163062499999995</v>
      </c>
      <c r="P88" s="7"/>
      <c r="Q88" s="13"/>
      <c r="R88" s="14"/>
      <c r="S88" s="14"/>
      <c r="T88" s="27"/>
      <c r="U88" s="28">
        <f t="shared" si="3"/>
        <v>1.4232566394951356</v>
      </c>
    </row>
    <row r="89" spans="1:21" x14ac:dyDescent="0.25">
      <c r="B89" s="6" t="s">
        <v>105</v>
      </c>
      <c r="C89" s="15">
        <v>1553.91</v>
      </c>
      <c r="D89" s="16">
        <v>40.628999999999998</v>
      </c>
      <c r="E89" s="16">
        <v>43.33</v>
      </c>
      <c r="F89" s="16">
        <v>43.844999999999999</v>
      </c>
      <c r="G89" s="16">
        <v>45.57</v>
      </c>
      <c r="H89" s="16">
        <f t="shared" si="4"/>
        <v>41.368624999999994</v>
      </c>
      <c r="I89" s="5"/>
      <c r="J89" s="15">
        <v>1488.9609</v>
      </c>
      <c r="K89" s="16">
        <v>42.661200000000001</v>
      </c>
      <c r="L89" s="16">
        <v>45.003900000000002</v>
      </c>
      <c r="M89" s="16">
        <v>45.440800000000003</v>
      </c>
      <c r="N89" s="16">
        <v>78.332400000000007</v>
      </c>
      <c r="O89" s="16">
        <f t="shared" si="5"/>
        <v>43.3014875</v>
      </c>
      <c r="P89" s="7"/>
      <c r="Q89" s="8">
        <f>bdrate(C89:C92,D89:D92,J89:J92,K89:K92)</f>
        <v>-0.36061045045250262</v>
      </c>
      <c r="R89" s="8">
        <f>bdrate(C89:C92,E89:E92,J89:J92,L89:L92)</f>
        <v>-0.39183560306911813</v>
      </c>
      <c r="S89" s="8">
        <f>bdrate(C89:C92,F89:F92,J89:J92,M89:M92)</f>
        <v>-0.37455280895580623</v>
      </c>
      <c r="T89" s="25">
        <f>bdrate(C89:C92,H89:H92,J89:J92,O89:O92)</f>
        <v>-0.36496740404282468</v>
      </c>
      <c r="U89" s="28">
        <f t="shared" si="3"/>
        <v>0.71894667544437141</v>
      </c>
    </row>
    <row r="90" spans="1:21" x14ac:dyDescent="0.25">
      <c r="B90" s="9"/>
      <c r="C90" s="17">
        <v>1033.97</v>
      </c>
      <c r="D90" s="18">
        <v>38.630000000000003</v>
      </c>
      <c r="E90" s="18">
        <v>41.822000000000003</v>
      </c>
      <c r="F90" s="18">
        <v>42.351999999999997</v>
      </c>
      <c r="G90" s="18">
        <v>45.41</v>
      </c>
      <c r="H90" s="18">
        <f t="shared" si="4"/>
        <v>39.494250000000001</v>
      </c>
      <c r="I90" s="5"/>
      <c r="J90" s="17">
        <v>993.82730000000004</v>
      </c>
      <c r="K90" s="18">
        <v>40.725700000000003</v>
      </c>
      <c r="L90" s="18">
        <v>43.518000000000001</v>
      </c>
      <c r="M90" s="18">
        <v>43.9557</v>
      </c>
      <c r="N90" s="18">
        <v>93.201499999999996</v>
      </c>
      <c r="O90" s="18">
        <f t="shared" si="5"/>
        <v>41.4784875</v>
      </c>
      <c r="P90" s="7"/>
      <c r="Q90" s="10"/>
      <c r="R90" s="11"/>
      <c r="S90" s="11"/>
      <c r="T90" s="26"/>
      <c r="U90" s="28">
        <f t="shared" si="3"/>
        <v>1.0524443955075975</v>
      </c>
    </row>
    <row r="91" spans="1:21" x14ac:dyDescent="0.25">
      <c r="B91" s="9"/>
      <c r="C91" s="17">
        <v>621.97</v>
      </c>
      <c r="D91" s="18">
        <v>36.136000000000003</v>
      </c>
      <c r="E91" s="18">
        <v>40.094000000000001</v>
      </c>
      <c r="F91" s="18">
        <v>40.639000000000003</v>
      </c>
      <c r="G91" s="18">
        <v>50.21</v>
      </c>
      <c r="H91" s="18">
        <f t="shared" si="4"/>
        <v>37.193625000000004</v>
      </c>
      <c r="I91" s="5"/>
      <c r="J91" s="17">
        <v>597.90729999999996</v>
      </c>
      <c r="K91" s="18">
        <v>38.200200000000002</v>
      </c>
      <c r="L91" s="18">
        <v>41.714199999999998</v>
      </c>
      <c r="M91" s="18">
        <v>42.1387</v>
      </c>
      <c r="N91" s="18">
        <v>110.0985</v>
      </c>
      <c r="O91" s="18">
        <f t="shared" si="5"/>
        <v>39.131762500000008</v>
      </c>
      <c r="P91" s="7"/>
      <c r="Q91" s="10"/>
      <c r="R91" s="11"/>
      <c r="S91" s="11"/>
      <c r="T91" s="26"/>
      <c r="U91" s="28">
        <f t="shared" si="3"/>
        <v>1.1927604062935671</v>
      </c>
    </row>
    <row r="92" spans="1:21" ht="16.5" thickBot="1" x14ac:dyDescent="0.3">
      <c r="B92" s="12"/>
      <c r="C92" s="19">
        <v>312.5</v>
      </c>
      <c r="D92" s="20">
        <v>32.805</v>
      </c>
      <c r="E92" s="20">
        <v>37.801000000000002</v>
      </c>
      <c r="F92" s="20">
        <v>38.329000000000001</v>
      </c>
      <c r="G92" s="20">
        <v>60.86</v>
      </c>
      <c r="H92" s="20">
        <f t="shared" si="4"/>
        <v>34.119999999999997</v>
      </c>
      <c r="I92" s="5"/>
      <c r="J92" s="19">
        <v>299.93169999999998</v>
      </c>
      <c r="K92" s="20">
        <v>34.530099999999997</v>
      </c>
      <c r="L92" s="20">
        <v>39.152700000000003</v>
      </c>
      <c r="M92" s="20">
        <v>39.620199999999997</v>
      </c>
      <c r="N92" s="20">
        <v>138.02619999999999</v>
      </c>
      <c r="O92" s="20">
        <f t="shared" ref="O92:O124" si="6">(6*K92+L92+M92)/8</f>
        <v>35.744187499999995</v>
      </c>
      <c r="P92" s="7"/>
      <c r="Q92" s="13"/>
      <c r="R92" s="14"/>
      <c r="S92" s="14"/>
      <c r="T92" s="27"/>
      <c r="U92" s="28">
        <f t="shared" ref="U92:U124" si="7">(N92-G92)/G92</f>
        <v>1.2679296746631612</v>
      </c>
    </row>
    <row r="93" spans="1:21" x14ac:dyDescent="0.25">
      <c r="B93" s="6" t="s">
        <v>106</v>
      </c>
      <c r="C93" s="29">
        <v>1372.84</v>
      </c>
      <c r="D93" s="30">
        <v>37.314</v>
      </c>
      <c r="E93" s="30">
        <v>42.072000000000003</v>
      </c>
      <c r="F93" s="30">
        <v>42.073</v>
      </c>
      <c r="G93" s="16">
        <v>35.08</v>
      </c>
      <c r="H93" s="16">
        <f t="shared" si="4"/>
        <v>38.503625</v>
      </c>
      <c r="I93" s="5"/>
      <c r="J93" s="29">
        <v>1508.8572999999999</v>
      </c>
      <c r="K93" s="30">
        <v>39.0366</v>
      </c>
      <c r="L93" s="30">
        <v>43.4621</v>
      </c>
      <c r="M93" s="30">
        <v>43.451799999999999</v>
      </c>
      <c r="N93" s="16">
        <v>66.543400000000005</v>
      </c>
      <c r="O93" s="16">
        <f t="shared" si="6"/>
        <v>40.141687500000003</v>
      </c>
      <c r="P93" s="7"/>
      <c r="Q93" s="8">
        <f>bdrate(C93:C96,D93:D96,J93:J96,K93:K96)</f>
        <v>-0.18569852669304754</v>
      </c>
      <c r="R93" s="8">
        <f>bdrate(C93:C96,E93:E96,J93:J96,L93:L96)</f>
        <v>-0.30618544449841811</v>
      </c>
      <c r="S93" s="8">
        <f>bdrate(C93:C96,F93:F96,J93:J96,M93:M96)</f>
        <v>-0.28933429402282862</v>
      </c>
      <c r="T93" s="25">
        <f>bdrate(C93:C96,H93:H96,J93:J96,O93:O96)</f>
        <v>-0.20899175196492947</v>
      </c>
      <c r="U93" s="28">
        <f t="shared" si="7"/>
        <v>0.89690421892816441</v>
      </c>
    </row>
    <row r="94" spans="1:21" x14ac:dyDescent="0.25">
      <c r="B94" s="9"/>
      <c r="C94" s="31">
        <v>913.21</v>
      </c>
      <c r="D94" s="32">
        <v>35.645000000000003</v>
      </c>
      <c r="E94" s="32">
        <v>40.863</v>
      </c>
      <c r="F94" s="32">
        <v>40.817999999999998</v>
      </c>
      <c r="G94" s="18">
        <v>40.340000000000003</v>
      </c>
      <c r="H94" s="18">
        <f t="shared" si="4"/>
        <v>36.943874999999998</v>
      </c>
      <c r="I94" s="5"/>
      <c r="J94" s="31">
        <v>1003.8952</v>
      </c>
      <c r="K94" s="32">
        <v>37.170900000000003</v>
      </c>
      <c r="L94" s="32">
        <v>42.195300000000003</v>
      </c>
      <c r="M94" s="32">
        <v>42.146700000000003</v>
      </c>
      <c r="N94" s="18">
        <v>79.522900000000007</v>
      </c>
      <c r="O94" s="18">
        <f t="shared" si="6"/>
        <v>38.420925000000004</v>
      </c>
      <c r="P94" s="7"/>
      <c r="Q94" s="10"/>
      <c r="R94" s="11"/>
      <c r="S94" s="11"/>
      <c r="T94" s="26"/>
      <c r="U94" s="28">
        <f t="shared" si="7"/>
        <v>0.97131631135349528</v>
      </c>
    </row>
    <row r="95" spans="1:21" x14ac:dyDescent="0.25">
      <c r="B95" s="9"/>
      <c r="C95" s="31">
        <v>545.57000000000005</v>
      </c>
      <c r="D95" s="32">
        <v>33.639000000000003</v>
      </c>
      <c r="E95" s="32">
        <v>39.295999999999999</v>
      </c>
      <c r="F95" s="32">
        <v>39.322000000000003</v>
      </c>
      <c r="G95" s="18">
        <v>46.32</v>
      </c>
      <c r="H95" s="18">
        <f t="shared" si="4"/>
        <v>35.0565</v>
      </c>
      <c r="I95" s="5"/>
      <c r="J95" s="31">
        <v>603.58090000000004</v>
      </c>
      <c r="K95" s="32">
        <v>34.856200000000001</v>
      </c>
      <c r="L95" s="32">
        <v>40.683700000000002</v>
      </c>
      <c r="M95" s="32">
        <v>40.612299999999998</v>
      </c>
      <c r="N95" s="18">
        <v>95.359200000000001</v>
      </c>
      <c r="O95" s="18">
        <f t="shared" si="6"/>
        <v>36.30415</v>
      </c>
      <c r="P95" s="7"/>
      <c r="Q95" s="10"/>
      <c r="R95" s="11"/>
      <c r="S95" s="11"/>
      <c r="T95" s="26"/>
      <c r="U95" s="28">
        <f t="shared" si="7"/>
        <v>1.0587046632124353</v>
      </c>
    </row>
    <row r="96" spans="1:21" ht="16.5" thickBot="1" x14ac:dyDescent="0.3">
      <c r="B96" s="12"/>
      <c r="C96" s="33">
        <v>271.63</v>
      </c>
      <c r="D96" s="34">
        <v>30.869</v>
      </c>
      <c r="E96" s="34">
        <v>37.268999999999998</v>
      </c>
      <c r="F96" s="34">
        <v>37.281999999999996</v>
      </c>
      <c r="G96" s="20">
        <v>55.29</v>
      </c>
      <c r="H96" s="20">
        <f t="shared" si="4"/>
        <v>32.470624999999998</v>
      </c>
      <c r="I96" s="5"/>
      <c r="J96" s="33">
        <v>303.02269999999999</v>
      </c>
      <c r="K96" s="34">
        <v>31.842400000000001</v>
      </c>
      <c r="L96" s="34">
        <v>38.732799999999997</v>
      </c>
      <c r="M96" s="34">
        <v>38.6083</v>
      </c>
      <c r="N96" s="20">
        <v>123.018</v>
      </c>
      <c r="O96" s="20">
        <f t="shared" si="6"/>
        <v>33.549437500000003</v>
      </c>
      <c r="P96" s="7"/>
      <c r="Q96" s="13"/>
      <c r="R96" s="14"/>
      <c r="S96" s="14"/>
      <c r="T96" s="27"/>
      <c r="U96" s="28">
        <f t="shared" si="7"/>
        <v>1.2249593054801955</v>
      </c>
    </row>
    <row r="97" spans="2:21" x14ac:dyDescent="0.25">
      <c r="B97" s="6" t="s">
        <v>107</v>
      </c>
      <c r="C97" s="15">
        <v>1529.84</v>
      </c>
      <c r="D97" s="16">
        <v>34.344000000000001</v>
      </c>
      <c r="E97" s="16">
        <v>38.911999999999999</v>
      </c>
      <c r="F97" s="16">
        <v>39.470999999999997</v>
      </c>
      <c r="G97" s="16">
        <v>45.68</v>
      </c>
      <c r="H97" s="16">
        <f t="shared" si="4"/>
        <v>35.555875</v>
      </c>
      <c r="I97" s="5"/>
      <c r="J97" s="15">
        <v>1499.4214999999999</v>
      </c>
      <c r="K97" s="16">
        <v>36.945300000000003</v>
      </c>
      <c r="L97" s="16">
        <v>41.444000000000003</v>
      </c>
      <c r="M97" s="16">
        <v>41.970599999999997</v>
      </c>
      <c r="N97" s="16">
        <v>67.554900000000004</v>
      </c>
      <c r="O97" s="16">
        <f t="shared" si="6"/>
        <v>38.135800000000003</v>
      </c>
      <c r="P97" s="7"/>
      <c r="Q97" s="8">
        <f>bdrate(C97:C100,D97:D100,J97:J100,K97:K100)</f>
        <v>-0.39971124329714613</v>
      </c>
      <c r="R97" s="8">
        <f>bdrate(C97:C100,E97:E100,J97:J100,L97:L100)</f>
        <v>-0.54683901624826636</v>
      </c>
      <c r="S97" s="8">
        <f>bdrate(C97:C100,F97:F100,J97:J100,M97:M100)</f>
        <v>-0.55621191595645536</v>
      </c>
      <c r="T97" s="25">
        <f>bdrate(C97:C100,H97:H100,J97:J100,O97:O100)</f>
        <v>-0.43051263941063966</v>
      </c>
      <c r="U97" s="28">
        <f t="shared" si="7"/>
        <v>0.47887259194395804</v>
      </c>
    </row>
    <row r="98" spans="2:21" x14ac:dyDescent="0.25">
      <c r="B98" s="9"/>
      <c r="C98" s="17">
        <v>1021.06</v>
      </c>
      <c r="D98" s="18">
        <v>32.677</v>
      </c>
      <c r="E98" s="18">
        <v>37.600999999999999</v>
      </c>
      <c r="F98" s="18">
        <v>38.213999999999999</v>
      </c>
      <c r="G98" s="18">
        <v>50.21</v>
      </c>
      <c r="H98" s="18">
        <f t="shared" si="4"/>
        <v>33.984625000000001</v>
      </c>
      <c r="I98" s="5"/>
      <c r="J98" s="17">
        <v>1006.4716</v>
      </c>
      <c r="K98" s="18">
        <v>35.074599999999997</v>
      </c>
      <c r="L98" s="18">
        <v>40.085099999999997</v>
      </c>
      <c r="M98" s="18">
        <v>40.670699999999997</v>
      </c>
      <c r="N98" s="18">
        <v>79.194000000000003</v>
      </c>
      <c r="O98" s="18">
        <f t="shared" si="6"/>
        <v>36.400424999999998</v>
      </c>
      <c r="P98" s="7"/>
      <c r="Q98" s="10"/>
      <c r="R98" s="11"/>
      <c r="S98" s="11"/>
      <c r="T98" s="26"/>
      <c r="U98" s="28">
        <f t="shared" si="7"/>
        <v>0.57725552678749259</v>
      </c>
    </row>
    <row r="99" spans="2:21" x14ac:dyDescent="0.25">
      <c r="B99" s="9"/>
      <c r="C99" s="17">
        <v>613.01</v>
      </c>
      <c r="D99" s="18">
        <v>30.667999999999999</v>
      </c>
      <c r="E99" s="18">
        <v>36.284999999999997</v>
      </c>
      <c r="F99" s="18">
        <v>36.956000000000003</v>
      </c>
      <c r="G99" s="18">
        <v>49.37</v>
      </c>
      <c r="H99" s="18">
        <f t="shared" si="4"/>
        <v>32.156124999999996</v>
      </c>
      <c r="I99" s="5"/>
      <c r="J99" s="17">
        <v>598.72119999999995</v>
      </c>
      <c r="K99" s="18">
        <v>32.697600000000001</v>
      </c>
      <c r="L99" s="18">
        <v>38.431100000000001</v>
      </c>
      <c r="M99" s="18">
        <v>39.066499999999998</v>
      </c>
      <c r="N99" s="18">
        <v>95.283500000000004</v>
      </c>
      <c r="O99" s="18">
        <f t="shared" si="6"/>
        <v>34.210400000000007</v>
      </c>
      <c r="P99" s="7"/>
      <c r="Q99" s="10"/>
      <c r="R99" s="11"/>
      <c r="S99" s="11"/>
      <c r="T99" s="26"/>
      <c r="U99" s="28">
        <f t="shared" si="7"/>
        <v>0.92998784687056935</v>
      </c>
    </row>
    <row r="100" spans="2:21" ht="16.5" thickBot="1" x14ac:dyDescent="0.3">
      <c r="B100" s="12"/>
      <c r="C100" s="19">
        <v>306.14999999999998</v>
      </c>
      <c r="D100" s="20">
        <v>27.937999999999999</v>
      </c>
      <c r="E100" s="20">
        <v>34.415999999999997</v>
      </c>
      <c r="F100" s="20">
        <v>35.313000000000002</v>
      </c>
      <c r="G100" s="20">
        <v>65.41</v>
      </c>
      <c r="H100" s="20">
        <f t="shared" si="4"/>
        <v>29.669624999999996</v>
      </c>
      <c r="I100" s="5"/>
      <c r="J100" s="19">
        <v>300.70269999999999</v>
      </c>
      <c r="K100" s="20">
        <v>29.553699999999999</v>
      </c>
      <c r="L100" s="20">
        <v>36.379399999999997</v>
      </c>
      <c r="M100" s="20">
        <v>37.1</v>
      </c>
      <c r="N100" s="20">
        <v>122.1001</v>
      </c>
      <c r="O100" s="20">
        <f t="shared" si="6"/>
        <v>31.350200000000001</v>
      </c>
      <c r="P100" s="7"/>
      <c r="Q100" s="13"/>
      <c r="R100" s="14"/>
      <c r="S100" s="14"/>
      <c r="T100" s="27"/>
      <c r="U100" s="28">
        <f t="shared" si="7"/>
        <v>0.86668857972787039</v>
      </c>
    </row>
    <row r="101" spans="2:21" x14ac:dyDescent="0.25">
      <c r="B101" s="6" t="s">
        <v>108</v>
      </c>
      <c r="C101" s="15">
        <v>1495.33</v>
      </c>
      <c r="D101" s="16">
        <v>36.018000000000001</v>
      </c>
      <c r="E101" s="16">
        <v>41.616</v>
      </c>
      <c r="F101" s="16">
        <v>43.067999999999998</v>
      </c>
      <c r="G101" s="16">
        <v>32.81</v>
      </c>
      <c r="H101" s="16">
        <f t="shared" si="4"/>
        <v>37.598999999999997</v>
      </c>
      <c r="I101" s="5"/>
      <c r="J101" s="15">
        <v>1513.7394999999999</v>
      </c>
      <c r="K101" s="16">
        <v>37.116500000000002</v>
      </c>
      <c r="L101" s="16">
        <v>43.0242</v>
      </c>
      <c r="M101" s="16">
        <v>44.426699999999997</v>
      </c>
      <c r="N101" s="16">
        <v>64.750500000000002</v>
      </c>
      <c r="O101" s="16">
        <f t="shared" si="6"/>
        <v>38.7687375</v>
      </c>
      <c r="P101" s="7"/>
      <c r="Q101" s="8">
        <f>bdrate(C101:C104,D101:D104,J101:J104,K101:K104)</f>
        <v>-0.2494174757456501</v>
      </c>
      <c r="R101" s="8">
        <f>bdrate(C101:C104,E101:E104,J101:J104,L101:L104)</f>
        <v>-0.45547231074966887</v>
      </c>
      <c r="S101" s="8">
        <f>bdrate(C101:C104,F101:F104,J101:J104,M101:M104)</f>
        <v>-0.42483850272705559</v>
      </c>
      <c r="T101" s="25">
        <f>bdrate(C101:C104,H101:H104,J101:J104,O101:O104)</f>
        <v>-0.29364227871960824</v>
      </c>
      <c r="U101" s="28">
        <f t="shared" si="7"/>
        <v>0.97349893325205727</v>
      </c>
    </row>
    <row r="102" spans="2:21" x14ac:dyDescent="0.25">
      <c r="B102" s="9"/>
      <c r="C102" s="17">
        <v>997.66</v>
      </c>
      <c r="D102" s="18">
        <v>34.704000000000001</v>
      </c>
      <c r="E102" s="18">
        <v>40.604999999999997</v>
      </c>
      <c r="F102" s="18">
        <v>41.866</v>
      </c>
      <c r="G102" s="18">
        <v>37.96</v>
      </c>
      <c r="H102" s="18">
        <f t="shared" si="4"/>
        <v>36.336874999999999</v>
      </c>
      <c r="I102" s="5"/>
      <c r="J102" s="17">
        <v>1008.6839</v>
      </c>
      <c r="K102" s="18">
        <v>35.708199999999998</v>
      </c>
      <c r="L102" s="18">
        <v>42.054299999999998</v>
      </c>
      <c r="M102" s="18">
        <v>43.306800000000003</v>
      </c>
      <c r="N102" s="18">
        <v>75.465400000000002</v>
      </c>
      <c r="O102" s="18">
        <f t="shared" si="6"/>
        <v>37.451287499999999</v>
      </c>
      <c r="P102" s="7"/>
      <c r="Q102" s="10"/>
      <c r="R102" s="11"/>
      <c r="S102" s="11"/>
      <c r="T102" s="26"/>
      <c r="U102" s="28">
        <f t="shared" si="7"/>
        <v>0.98802423603793466</v>
      </c>
    </row>
    <row r="103" spans="2:21" x14ac:dyDescent="0.25">
      <c r="B103" s="9"/>
      <c r="C103" s="17">
        <v>600.97</v>
      </c>
      <c r="D103" s="18">
        <v>33.159999999999997</v>
      </c>
      <c r="E103" s="18">
        <v>39.481000000000002</v>
      </c>
      <c r="F103" s="18">
        <v>40.500999999999998</v>
      </c>
      <c r="G103" s="18">
        <v>42.55</v>
      </c>
      <c r="H103" s="18">
        <f t="shared" si="4"/>
        <v>34.867749999999994</v>
      </c>
      <c r="I103" s="5"/>
      <c r="J103" s="17">
        <v>603.90239999999994</v>
      </c>
      <c r="K103" s="18">
        <v>34.0289</v>
      </c>
      <c r="L103" s="18">
        <v>40.8245</v>
      </c>
      <c r="M103" s="18">
        <v>41.971800000000002</v>
      </c>
      <c r="N103" s="18">
        <v>91.864900000000006</v>
      </c>
      <c r="O103" s="18">
        <f t="shared" si="6"/>
        <v>35.871212499999999</v>
      </c>
      <c r="P103" s="7"/>
      <c r="Q103" s="10"/>
      <c r="R103" s="11"/>
      <c r="S103" s="11"/>
      <c r="T103" s="26"/>
      <c r="U103" s="28">
        <f t="shared" si="7"/>
        <v>1.1589870740305526</v>
      </c>
    </row>
    <row r="104" spans="2:21" ht="16.5" thickBot="1" x14ac:dyDescent="0.3">
      <c r="B104" s="12"/>
      <c r="C104" s="19">
        <v>306.01</v>
      </c>
      <c r="D104" s="20">
        <v>31.25</v>
      </c>
      <c r="E104" s="20">
        <v>38.195999999999998</v>
      </c>
      <c r="F104" s="20">
        <v>38.872999999999998</v>
      </c>
      <c r="G104" s="20">
        <v>49.65</v>
      </c>
      <c r="H104" s="20">
        <f t="shared" si="4"/>
        <v>33.071125000000002</v>
      </c>
      <c r="I104" s="5"/>
      <c r="J104" s="19">
        <v>302.64679999999998</v>
      </c>
      <c r="K104" s="20">
        <v>31.986899999999999</v>
      </c>
      <c r="L104" s="20">
        <v>39.405700000000003</v>
      </c>
      <c r="M104" s="20">
        <v>40.338700000000003</v>
      </c>
      <c r="N104" s="20">
        <v>118.2188</v>
      </c>
      <c r="O104" s="20">
        <f t="shared" si="6"/>
        <v>33.958224999999999</v>
      </c>
      <c r="P104" s="7"/>
      <c r="Q104" s="13"/>
      <c r="R104" s="14"/>
      <c r="S104" s="14"/>
      <c r="T104" s="27"/>
      <c r="U104" s="28">
        <f t="shared" si="7"/>
        <v>1.3810433031218532</v>
      </c>
    </row>
    <row r="105" spans="2:21" x14ac:dyDescent="0.25">
      <c r="B105" s="6" t="s">
        <v>109</v>
      </c>
      <c r="C105" s="15">
        <v>1592.48</v>
      </c>
      <c r="D105" s="16">
        <v>45.253999999999998</v>
      </c>
      <c r="E105" s="16">
        <v>50.411999999999999</v>
      </c>
      <c r="F105" s="16">
        <v>51.784999999999997</v>
      </c>
      <c r="G105" s="16">
        <v>44.51</v>
      </c>
      <c r="H105" s="16">
        <f t="shared" si="4"/>
        <v>46.715125</v>
      </c>
      <c r="I105" s="5"/>
      <c r="J105" s="15">
        <v>1501.0913</v>
      </c>
      <c r="K105" s="16">
        <v>47.267899999999997</v>
      </c>
      <c r="L105" s="16">
        <v>52.572000000000003</v>
      </c>
      <c r="M105" s="16">
        <v>53.899000000000001</v>
      </c>
      <c r="N105" s="16">
        <v>80.362700000000004</v>
      </c>
      <c r="O105" s="16">
        <f t="shared" si="6"/>
        <v>48.759799999999998</v>
      </c>
      <c r="P105" s="7"/>
      <c r="Q105" s="8">
        <f>bdrate(C105:C108,D105:D108,J105:J108,K105:K108)</f>
        <v>-0.36820175075393313</v>
      </c>
      <c r="R105" s="8">
        <f>bdrate(C105:C108,E105:E108,J105:J108,L105:L108)</f>
        <v>-0.41057553434204308</v>
      </c>
      <c r="S105" s="8">
        <f>bdrate(C105:C108,F105:F108,J105:J108,M105:M108)</f>
        <v>-0.39164282386501803</v>
      </c>
      <c r="T105" s="25">
        <f>bdrate(C105:C108,H105:H108,J105:J108,O105:O108)</f>
        <v>-0.37620414619314935</v>
      </c>
      <c r="U105" s="28">
        <f t="shared" si="7"/>
        <v>0.80549764097955534</v>
      </c>
    </row>
    <row r="106" spans="2:21" x14ac:dyDescent="0.25">
      <c r="B106" s="9"/>
      <c r="C106" s="17">
        <v>1059.3399999999999</v>
      </c>
      <c r="D106" s="18">
        <v>43.505000000000003</v>
      </c>
      <c r="E106" s="18">
        <v>48.866999999999997</v>
      </c>
      <c r="F106" s="18">
        <v>50.295000000000002</v>
      </c>
      <c r="G106" s="18">
        <v>45.1</v>
      </c>
      <c r="H106" s="18">
        <f t="shared" si="4"/>
        <v>45.024000000000008</v>
      </c>
      <c r="I106" s="5"/>
      <c r="J106" s="17">
        <v>1005.7071</v>
      </c>
      <c r="K106" s="18">
        <v>45.433599999999998</v>
      </c>
      <c r="L106" s="18">
        <v>50.953499999999998</v>
      </c>
      <c r="M106" s="18">
        <v>52.378100000000003</v>
      </c>
      <c r="N106" s="18">
        <v>96.908000000000001</v>
      </c>
      <c r="O106" s="18">
        <f t="shared" si="6"/>
        <v>46.99165</v>
      </c>
      <c r="P106" s="7"/>
      <c r="Q106" s="10"/>
      <c r="R106" s="11"/>
      <c r="S106" s="11"/>
      <c r="T106" s="26"/>
      <c r="U106" s="28">
        <f t="shared" si="7"/>
        <v>1.1487361419068736</v>
      </c>
    </row>
    <row r="107" spans="2:21" x14ac:dyDescent="0.25">
      <c r="B107" s="9"/>
      <c r="C107" s="17">
        <v>636.57000000000005</v>
      </c>
      <c r="D107" s="18">
        <v>41.296999999999997</v>
      </c>
      <c r="E107" s="18">
        <v>46.953000000000003</v>
      </c>
      <c r="F107" s="18">
        <v>48.43</v>
      </c>
      <c r="G107" s="18">
        <v>62.27</v>
      </c>
      <c r="H107" s="18">
        <f t="shared" si="4"/>
        <v>42.895625000000003</v>
      </c>
      <c r="I107" s="5"/>
      <c r="J107" s="17">
        <v>603.79340000000002</v>
      </c>
      <c r="K107" s="18">
        <v>43.050400000000003</v>
      </c>
      <c r="L107" s="18">
        <v>48.831000000000003</v>
      </c>
      <c r="M107" s="18">
        <v>50.12</v>
      </c>
      <c r="N107" s="18">
        <v>117.0767</v>
      </c>
      <c r="O107" s="18">
        <f t="shared" si="6"/>
        <v>44.656675000000007</v>
      </c>
      <c r="P107" s="7"/>
      <c r="Q107" s="10"/>
      <c r="R107" s="11"/>
      <c r="S107" s="11"/>
      <c r="T107" s="26"/>
      <c r="U107" s="28">
        <f t="shared" si="7"/>
        <v>0.8801461377870563</v>
      </c>
    </row>
    <row r="108" spans="2:21" ht="16.5" thickBot="1" x14ac:dyDescent="0.3">
      <c r="B108" s="12"/>
      <c r="C108" s="19">
        <v>320.69</v>
      </c>
      <c r="D108" s="20">
        <v>38.463000000000001</v>
      </c>
      <c r="E108" s="20">
        <v>44.442</v>
      </c>
      <c r="F108" s="20">
        <v>45.991</v>
      </c>
      <c r="G108" s="20">
        <v>72.75</v>
      </c>
      <c r="H108" s="20">
        <f t="shared" si="4"/>
        <v>40.151375000000002</v>
      </c>
      <c r="I108" s="5"/>
      <c r="J108" s="19">
        <v>300.72629999999998</v>
      </c>
      <c r="K108" s="20">
        <v>39.984000000000002</v>
      </c>
      <c r="L108" s="20">
        <v>45.843899999999998</v>
      </c>
      <c r="M108" s="20">
        <v>47.229199999999999</v>
      </c>
      <c r="N108" s="20">
        <v>149.95419999999999</v>
      </c>
      <c r="O108" s="20">
        <f t="shared" si="6"/>
        <v>41.622137500000001</v>
      </c>
      <c r="P108" s="7"/>
      <c r="Q108" s="13"/>
      <c r="R108" s="14"/>
      <c r="S108" s="14"/>
      <c r="T108" s="27"/>
      <c r="U108" s="28">
        <f t="shared" si="7"/>
        <v>1.0612261168384878</v>
      </c>
    </row>
    <row r="109" spans="2:21" x14ac:dyDescent="0.25">
      <c r="B109" s="6" t="s">
        <v>110</v>
      </c>
      <c r="C109" s="15">
        <v>1463.42</v>
      </c>
      <c r="D109" s="16">
        <v>30.981999999999999</v>
      </c>
      <c r="E109" s="16">
        <v>38.883000000000003</v>
      </c>
      <c r="F109" s="16">
        <v>38.256</v>
      </c>
      <c r="G109" s="16">
        <v>29.53</v>
      </c>
      <c r="H109" s="16">
        <f t="shared" si="4"/>
        <v>32.878875000000001</v>
      </c>
      <c r="I109" s="5"/>
      <c r="J109" s="15">
        <v>1497.3915</v>
      </c>
      <c r="K109" s="16">
        <v>32.0105</v>
      </c>
      <c r="L109" s="16">
        <v>40.176900000000003</v>
      </c>
      <c r="M109" s="16">
        <v>39.577800000000003</v>
      </c>
      <c r="N109" s="16">
        <v>48.156700000000001</v>
      </c>
      <c r="O109" s="16">
        <f t="shared" si="6"/>
        <v>33.9772125</v>
      </c>
      <c r="P109" s="7"/>
      <c r="Q109" s="8">
        <f>bdrate(C109:C112,D109:D112,J109:J112,K109:K112)</f>
        <v>-0.15253006215949871</v>
      </c>
      <c r="R109" s="8">
        <f>bdrate(C109:C112,E109:E112,J109:J112,L109:L112)</f>
        <v>-0.41241736895235892</v>
      </c>
      <c r="S109" s="8">
        <f>bdrate(C109:C112,F109:F112,J109:J112,M109:M112)</f>
        <v>-0.40936656635838176</v>
      </c>
      <c r="T109" s="25">
        <f>bdrate(C109:C112,H109:H112,J109:J112,O109:O112)</f>
        <v>-0.20961322325780229</v>
      </c>
      <c r="U109" s="28">
        <f t="shared" si="7"/>
        <v>0.63077209617338292</v>
      </c>
    </row>
    <row r="110" spans="2:21" x14ac:dyDescent="0.25">
      <c r="B110" s="9"/>
      <c r="C110" s="17">
        <v>975.65</v>
      </c>
      <c r="D110" s="18">
        <v>29.358000000000001</v>
      </c>
      <c r="E110" s="18">
        <v>37.728000000000002</v>
      </c>
      <c r="F110" s="18">
        <v>37.076999999999998</v>
      </c>
      <c r="G110" s="18">
        <v>33.25</v>
      </c>
      <c r="H110" s="18">
        <f t="shared" si="4"/>
        <v>31.369125</v>
      </c>
      <c r="I110" s="5"/>
      <c r="J110" s="17">
        <v>996.98310000000004</v>
      </c>
      <c r="K110" s="18">
        <v>30.2453</v>
      </c>
      <c r="L110" s="18">
        <v>39.243200000000002</v>
      </c>
      <c r="M110" s="18">
        <v>38.5794</v>
      </c>
      <c r="N110" s="18">
        <v>57.262799999999999</v>
      </c>
      <c r="O110" s="18">
        <f t="shared" si="6"/>
        <v>32.411799999999999</v>
      </c>
      <c r="P110" s="7"/>
      <c r="Q110" s="10"/>
      <c r="R110" s="11"/>
      <c r="S110" s="11"/>
      <c r="T110" s="26"/>
      <c r="U110" s="28">
        <f t="shared" si="7"/>
        <v>0.72218947368421049</v>
      </c>
    </row>
    <row r="111" spans="2:21" x14ac:dyDescent="0.25">
      <c r="B111" s="9"/>
      <c r="C111" s="17">
        <v>585.03</v>
      </c>
      <c r="D111" s="18">
        <v>27.347999999999999</v>
      </c>
      <c r="E111" s="18">
        <v>36.292999999999999</v>
      </c>
      <c r="F111" s="18">
        <v>35.637999999999998</v>
      </c>
      <c r="G111" s="18">
        <v>38.51</v>
      </c>
      <c r="H111" s="18">
        <f t="shared" si="4"/>
        <v>29.502375000000001</v>
      </c>
      <c r="I111" s="5"/>
      <c r="J111" s="17">
        <v>599.0539</v>
      </c>
      <c r="K111" s="18">
        <v>28.064800000000002</v>
      </c>
      <c r="L111" s="18">
        <v>37.936100000000003</v>
      </c>
      <c r="M111" s="18">
        <v>37.249400000000001</v>
      </c>
      <c r="N111" s="18">
        <v>73.776499999999999</v>
      </c>
      <c r="O111" s="18">
        <f t="shared" si="6"/>
        <v>30.446787500000003</v>
      </c>
      <c r="P111" s="7"/>
      <c r="Q111" s="10"/>
      <c r="R111" s="11"/>
      <c r="S111" s="11"/>
      <c r="T111" s="26"/>
      <c r="U111" s="28">
        <f t="shared" si="7"/>
        <v>0.91577512334458588</v>
      </c>
    </row>
    <row r="112" spans="2:21" ht="16.5" thickBot="1" x14ac:dyDescent="0.3">
      <c r="B112" s="12"/>
      <c r="C112" s="19">
        <v>292.37</v>
      </c>
      <c r="D112" s="20">
        <v>24.748999999999999</v>
      </c>
      <c r="E112" s="20">
        <v>33.926000000000002</v>
      </c>
      <c r="F112" s="20">
        <v>33.375999999999998</v>
      </c>
      <c r="G112" s="20">
        <v>48</v>
      </c>
      <c r="H112" s="20">
        <f t="shared" si="4"/>
        <v>26.974500000000003</v>
      </c>
      <c r="I112" s="5"/>
      <c r="J112" s="19">
        <v>299.73759999999999</v>
      </c>
      <c r="K112" s="20">
        <v>25.3065</v>
      </c>
      <c r="L112" s="20">
        <v>35.673999999999999</v>
      </c>
      <c r="M112" s="20">
        <v>35.079000000000001</v>
      </c>
      <c r="N112" s="20">
        <v>101.7467</v>
      </c>
      <c r="O112" s="20">
        <f t="shared" si="6"/>
        <v>27.824000000000002</v>
      </c>
      <c r="P112" s="7"/>
      <c r="Q112" s="13"/>
      <c r="R112" s="14"/>
      <c r="S112" s="14"/>
      <c r="T112" s="27"/>
      <c r="U112" s="28">
        <f t="shared" si="7"/>
        <v>1.1197229166666667</v>
      </c>
    </row>
    <row r="113" spans="2:21" x14ac:dyDescent="0.25">
      <c r="B113" s="6" t="s">
        <v>111</v>
      </c>
      <c r="C113" s="15">
        <v>1510.8</v>
      </c>
      <c r="D113" s="16">
        <v>42.161999999999999</v>
      </c>
      <c r="E113" s="16">
        <v>43.515999999999998</v>
      </c>
      <c r="F113" s="16">
        <v>43.412999999999997</v>
      </c>
      <c r="G113" s="16">
        <v>47.8</v>
      </c>
      <c r="H113" s="16">
        <f t="shared" si="4"/>
        <v>42.487625000000001</v>
      </c>
      <c r="I113" s="5"/>
      <c r="J113" s="15">
        <v>1418.0202999999999</v>
      </c>
      <c r="K113" s="16">
        <v>44.813400000000001</v>
      </c>
      <c r="L113" s="16">
        <v>45.995699999999999</v>
      </c>
      <c r="M113" s="16">
        <v>45.872599999999998</v>
      </c>
      <c r="N113" s="16">
        <v>68.720699999999994</v>
      </c>
      <c r="O113" s="16">
        <f t="shared" si="6"/>
        <v>45.093587499999998</v>
      </c>
      <c r="P113" s="7"/>
      <c r="Q113" s="8">
        <f>bdrate(C113:C116,D113:D116,J113:J116,K113:K116)</f>
        <v>-0.40502648157077925</v>
      </c>
      <c r="R113" s="8">
        <f>bdrate(C113:C116,E113:E116,J113:J116,L113:L116)</f>
        <v>-0.44705312846475065</v>
      </c>
      <c r="S113" s="8">
        <f>bdrate(C113:C116,F113:F116,J113:J116,M113:M116)</f>
        <v>-0.44686476530252062</v>
      </c>
      <c r="T113" s="25">
        <f>bdrate(C113:C116,H113:H116,J113:J116,O113:O116)</f>
        <v>-0.41439489693246812</v>
      </c>
      <c r="U113" s="28">
        <f t="shared" si="7"/>
        <v>0.43767154811715475</v>
      </c>
    </row>
    <row r="114" spans="2:21" x14ac:dyDescent="0.25">
      <c r="B114" s="9"/>
      <c r="C114" s="17">
        <v>1007.3</v>
      </c>
      <c r="D114" s="18">
        <v>39.991</v>
      </c>
      <c r="E114" s="18">
        <v>41.603999999999999</v>
      </c>
      <c r="F114" s="18">
        <v>41.494999999999997</v>
      </c>
      <c r="G114" s="18">
        <v>44.76</v>
      </c>
      <c r="H114" s="18">
        <f t="shared" si="4"/>
        <v>40.380625000000002</v>
      </c>
      <c r="I114" s="5"/>
      <c r="J114" s="17">
        <v>962.90610000000004</v>
      </c>
      <c r="K114" s="18">
        <v>42.964799999999997</v>
      </c>
      <c r="L114" s="18">
        <v>44.403599999999997</v>
      </c>
      <c r="M114" s="18">
        <v>44.243899999999996</v>
      </c>
      <c r="N114" s="18">
        <v>87.6083</v>
      </c>
      <c r="O114" s="18">
        <f t="shared" si="6"/>
        <v>43.304537499999995</v>
      </c>
      <c r="P114" s="7"/>
      <c r="Q114" s="10"/>
      <c r="R114" s="11"/>
      <c r="S114" s="11"/>
      <c r="T114" s="26"/>
      <c r="U114" s="28">
        <f t="shared" si="7"/>
        <v>0.95728999106344959</v>
      </c>
    </row>
    <row r="115" spans="2:21" x14ac:dyDescent="0.25">
      <c r="B115" s="9"/>
      <c r="C115" s="17">
        <v>604.51</v>
      </c>
      <c r="D115" s="18">
        <v>37.225999999999999</v>
      </c>
      <c r="E115" s="18">
        <v>39.372</v>
      </c>
      <c r="F115" s="18">
        <v>39.034999999999997</v>
      </c>
      <c r="G115" s="18">
        <v>53.59</v>
      </c>
      <c r="H115" s="18">
        <f t="shared" si="4"/>
        <v>37.720375000000004</v>
      </c>
      <c r="I115" s="5"/>
      <c r="J115" s="17">
        <v>588.21109999999999</v>
      </c>
      <c r="K115" s="18">
        <v>40.047199999999997</v>
      </c>
      <c r="L115" s="18">
        <v>41.965000000000003</v>
      </c>
      <c r="M115" s="18">
        <v>41.774900000000002</v>
      </c>
      <c r="N115" s="18">
        <v>109.4691</v>
      </c>
      <c r="O115" s="18">
        <f t="shared" si="6"/>
        <v>40.5028875</v>
      </c>
      <c r="P115" s="7"/>
      <c r="Q115" s="10"/>
      <c r="R115" s="11"/>
      <c r="S115" s="11"/>
      <c r="T115" s="26"/>
      <c r="U115" s="28">
        <f t="shared" si="7"/>
        <v>1.0427150587796228</v>
      </c>
    </row>
    <row r="116" spans="2:21" ht="16.5" thickBot="1" x14ac:dyDescent="0.3">
      <c r="B116" s="12"/>
      <c r="C116" s="19">
        <v>301.83999999999997</v>
      </c>
      <c r="D116" s="20">
        <v>33.499000000000002</v>
      </c>
      <c r="E116" s="20">
        <v>36.424999999999997</v>
      </c>
      <c r="F116" s="20">
        <v>36.335999999999999</v>
      </c>
      <c r="G116" s="20">
        <v>64.39</v>
      </c>
      <c r="H116" s="20">
        <f t="shared" si="4"/>
        <v>34.219375000000007</v>
      </c>
      <c r="I116" s="5"/>
      <c r="J116" s="19">
        <v>294.83999999999997</v>
      </c>
      <c r="K116" s="20">
        <v>35.663699999999999</v>
      </c>
      <c r="L116" s="20">
        <v>38.551099999999998</v>
      </c>
      <c r="M116" s="20">
        <v>38.323399999999999</v>
      </c>
      <c r="N116" s="20">
        <v>137.53059999999999</v>
      </c>
      <c r="O116" s="20">
        <f t="shared" si="6"/>
        <v>36.357087499999999</v>
      </c>
      <c r="P116" s="7"/>
      <c r="Q116" s="13"/>
      <c r="R116" s="14"/>
      <c r="S116" s="14"/>
      <c r="T116" s="27"/>
      <c r="U116" s="28">
        <f t="shared" si="7"/>
        <v>1.135899984469638</v>
      </c>
    </row>
    <row r="117" spans="2:21" x14ac:dyDescent="0.25">
      <c r="B117" s="6" t="s">
        <v>112</v>
      </c>
      <c r="C117" s="15">
        <v>1999.86</v>
      </c>
      <c r="D117" s="16">
        <v>42.286000000000001</v>
      </c>
      <c r="E117" s="16">
        <v>44.463000000000001</v>
      </c>
      <c r="F117" s="16">
        <v>44.670999999999999</v>
      </c>
      <c r="G117" s="16">
        <v>40.99</v>
      </c>
      <c r="H117" s="16">
        <f t="shared" si="4"/>
        <v>42.856250000000003</v>
      </c>
      <c r="I117" s="5"/>
      <c r="J117" s="15">
        <v>1399.6375</v>
      </c>
      <c r="K117" s="16">
        <v>45.478000000000002</v>
      </c>
      <c r="L117" s="16">
        <v>47.729100000000003</v>
      </c>
      <c r="M117" s="16">
        <v>47.964500000000001</v>
      </c>
      <c r="N117" s="16">
        <v>66.504099999999994</v>
      </c>
      <c r="O117" s="16">
        <f t="shared" si="6"/>
        <v>46.0702</v>
      </c>
      <c r="P117" s="7"/>
      <c r="Q117" s="8">
        <f>bdrate(C117:C120,D117:D120,J117:J120,K117:K120)</f>
        <v>-0.56443703799401801</v>
      </c>
      <c r="R117" s="8">
        <f>bdrate(C117:C120,E117:E120,J117:J120,L117:L120)</f>
        <v>-0.60715035868548983</v>
      </c>
      <c r="S117" s="8">
        <f>bdrate(C117:C120,F117:F120,J117:J120,M117:M120)</f>
        <v>-0.61107812689021346</v>
      </c>
      <c r="T117" s="25">
        <f>bdrate(C117:C120,H117:H120,J117:J120,O117:O120)</f>
        <v>-0.57499739035357722</v>
      </c>
      <c r="U117" s="28">
        <f t="shared" si="7"/>
        <v>0.62244693827762843</v>
      </c>
    </row>
    <row r="118" spans="2:21" x14ac:dyDescent="0.25">
      <c r="B118" s="9"/>
      <c r="C118" s="17">
        <v>1305.93</v>
      </c>
      <c r="D118" s="18">
        <v>40.234000000000002</v>
      </c>
      <c r="E118" s="18">
        <v>42.631999999999998</v>
      </c>
      <c r="F118" s="18">
        <v>42.847000000000001</v>
      </c>
      <c r="G118" s="18">
        <v>48.14</v>
      </c>
      <c r="H118" s="18">
        <f t="shared" si="4"/>
        <v>40.860374999999998</v>
      </c>
      <c r="I118" s="5"/>
      <c r="J118" s="17">
        <v>972.98530000000005</v>
      </c>
      <c r="K118" s="18">
        <v>43.877600000000001</v>
      </c>
      <c r="L118" s="18">
        <v>46.368299999999998</v>
      </c>
      <c r="M118" s="18">
        <v>46.619199999999999</v>
      </c>
      <c r="N118" s="18">
        <v>75.862899999999996</v>
      </c>
      <c r="O118" s="18">
        <f t="shared" si="6"/>
        <v>44.531637499999995</v>
      </c>
      <c r="P118" s="7"/>
      <c r="Q118" s="10"/>
      <c r="R118" s="11"/>
      <c r="S118" s="11"/>
      <c r="T118" s="26"/>
      <c r="U118" s="28">
        <f t="shared" si="7"/>
        <v>0.57588076443705849</v>
      </c>
    </row>
    <row r="119" spans="2:21" x14ac:dyDescent="0.25">
      <c r="B119" s="9"/>
      <c r="C119" s="17">
        <v>762.27</v>
      </c>
      <c r="D119" s="18">
        <v>37.906999999999996</v>
      </c>
      <c r="E119" s="18">
        <v>40.557000000000002</v>
      </c>
      <c r="F119" s="18">
        <v>40.804000000000002</v>
      </c>
      <c r="G119" s="18">
        <v>52.26</v>
      </c>
      <c r="H119" s="18">
        <f t="shared" si="4"/>
        <v>38.600375</v>
      </c>
      <c r="I119" s="5"/>
      <c r="J119" s="17">
        <v>634.58399999999995</v>
      </c>
      <c r="K119" s="18">
        <v>41.2378</v>
      </c>
      <c r="L119" s="18">
        <v>43.976900000000001</v>
      </c>
      <c r="M119" s="18">
        <v>44.238100000000003</v>
      </c>
      <c r="N119" s="18">
        <v>87.281199999999998</v>
      </c>
      <c r="O119" s="18">
        <f t="shared" si="6"/>
        <v>41.955224999999999</v>
      </c>
      <c r="P119" s="7"/>
      <c r="Q119" s="10"/>
      <c r="R119" s="11"/>
      <c r="S119" s="11"/>
      <c r="T119" s="26"/>
      <c r="U119" s="28">
        <f t="shared" si="7"/>
        <v>0.67013394565633377</v>
      </c>
    </row>
    <row r="120" spans="2:21" ht="16.5" thickBot="1" x14ac:dyDescent="0.3">
      <c r="B120" s="12"/>
      <c r="C120" s="19">
        <v>365.36</v>
      </c>
      <c r="D120" s="20">
        <v>34.844000000000001</v>
      </c>
      <c r="E120" s="20">
        <v>38.122999999999998</v>
      </c>
      <c r="F120" s="20">
        <v>38.427</v>
      </c>
      <c r="G120" s="20">
        <v>63.68</v>
      </c>
      <c r="H120" s="20">
        <f t="shared" si="4"/>
        <v>35.701750000000004</v>
      </c>
      <c r="I120" s="5"/>
      <c r="J120" s="19">
        <v>339.29689999999999</v>
      </c>
      <c r="K120" s="20">
        <v>37.155000000000001</v>
      </c>
      <c r="L120" s="20">
        <v>40.394199999999998</v>
      </c>
      <c r="M120" s="20">
        <v>40.672199999999997</v>
      </c>
      <c r="N120" s="20">
        <v>136.3843</v>
      </c>
      <c r="O120" s="20">
        <f t="shared" si="6"/>
        <v>37.999549999999999</v>
      </c>
      <c r="P120" s="7"/>
      <c r="Q120" s="13"/>
      <c r="R120" s="14"/>
      <c r="S120" s="14"/>
      <c r="T120" s="27"/>
      <c r="U120" s="28">
        <f t="shared" si="7"/>
        <v>1.1417132537688441</v>
      </c>
    </row>
    <row r="121" spans="2:21" x14ac:dyDescent="0.25">
      <c r="B121" s="6" t="s">
        <v>113</v>
      </c>
      <c r="C121" s="29">
        <v>1537.26</v>
      </c>
      <c r="D121" s="30">
        <v>31.265000000000001</v>
      </c>
      <c r="E121" s="30">
        <v>35.159999999999997</v>
      </c>
      <c r="F121" s="30">
        <v>34.082999999999998</v>
      </c>
      <c r="G121" s="16">
        <v>35.729999999999997</v>
      </c>
      <c r="H121" s="16">
        <f t="shared" si="4"/>
        <v>32.104124999999996</v>
      </c>
      <c r="I121" s="5"/>
      <c r="J121" s="29">
        <v>1505.7908</v>
      </c>
      <c r="K121" s="30">
        <v>32.3705</v>
      </c>
      <c r="L121" s="30">
        <v>36.555900000000001</v>
      </c>
      <c r="M121" s="30">
        <v>35.455599999999997</v>
      </c>
      <c r="N121" s="16">
        <v>58.660600000000002</v>
      </c>
      <c r="O121" s="16">
        <f t="shared" si="6"/>
        <v>33.279312500000003</v>
      </c>
      <c r="P121" s="7"/>
      <c r="Q121" s="8">
        <f>bdrate(C121:C124,D121:D124,J121:J124,K121:K124)</f>
        <v>-0.16992072741400277</v>
      </c>
      <c r="R121" s="8">
        <f>bdrate(C121:C124,E121:E124,J121:J124,L121:L124)</f>
        <v>-0.4428019553013538</v>
      </c>
      <c r="S121" s="8">
        <f>bdrate(C121:C124,F121:F124,J121:J124,M121:M124)</f>
        <v>-0.41977373454782096</v>
      </c>
      <c r="T121" s="25">
        <f>bdrate(C121:C124,H121:H124,J121:J124,O121:O124)</f>
        <v>-0.22483311418179508</v>
      </c>
      <c r="U121" s="28">
        <f t="shared" si="7"/>
        <v>0.64177441925552781</v>
      </c>
    </row>
    <row r="122" spans="2:21" x14ac:dyDescent="0.25">
      <c r="B122" s="9"/>
      <c r="C122" s="31">
        <v>1018.74</v>
      </c>
      <c r="D122" s="32">
        <v>29.643999999999998</v>
      </c>
      <c r="E122" s="32">
        <v>34.103000000000002</v>
      </c>
      <c r="F122" s="32">
        <v>32.957000000000001</v>
      </c>
      <c r="G122" s="18">
        <v>39.69</v>
      </c>
      <c r="H122" s="18">
        <f t="shared" si="4"/>
        <v>30.615499999999997</v>
      </c>
      <c r="I122" s="5"/>
      <c r="J122" s="31">
        <v>1003.7211</v>
      </c>
      <c r="K122" s="32">
        <v>30.5001</v>
      </c>
      <c r="L122" s="32">
        <v>35.526600000000002</v>
      </c>
      <c r="M122" s="32">
        <v>34.371600000000001</v>
      </c>
      <c r="N122" s="18">
        <v>70.271299999999997</v>
      </c>
      <c r="O122" s="18">
        <f t="shared" si="6"/>
        <v>31.612349999999999</v>
      </c>
      <c r="P122" s="7"/>
      <c r="Q122" s="10"/>
      <c r="R122" s="11"/>
      <c r="S122" s="11"/>
      <c r="T122" s="26"/>
      <c r="U122" s="28">
        <f t="shared" si="7"/>
        <v>0.77050390526581003</v>
      </c>
    </row>
    <row r="123" spans="2:21" x14ac:dyDescent="0.25">
      <c r="B123" s="9"/>
      <c r="C123" s="31">
        <v>609.19000000000005</v>
      </c>
      <c r="D123" s="32">
        <v>27.75</v>
      </c>
      <c r="E123" s="32">
        <v>32.860999999999997</v>
      </c>
      <c r="F123" s="32">
        <v>31.617999999999999</v>
      </c>
      <c r="G123" s="18">
        <v>38.99</v>
      </c>
      <c r="H123" s="18">
        <f t="shared" si="4"/>
        <v>28.872374999999998</v>
      </c>
      <c r="I123" s="5"/>
      <c r="J123" s="31">
        <v>602.77729999999997</v>
      </c>
      <c r="K123" s="32">
        <v>28.329899999999999</v>
      </c>
      <c r="L123" s="32">
        <v>34.279400000000003</v>
      </c>
      <c r="M123" s="32">
        <v>33.033299999999997</v>
      </c>
      <c r="N123" s="18">
        <v>88.010999999999996</v>
      </c>
      <c r="O123" s="18">
        <f t="shared" si="6"/>
        <v>29.661512500000001</v>
      </c>
      <c r="P123" s="7"/>
      <c r="Q123" s="10"/>
      <c r="R123" s="11"/>
      <c r="S123" s="11"/>
      <c r="T123" s="26"/>
      <c r="U123" s="28">
        <f t="shared" si="7"/>
        <v>1.2572710951526029</v>
      </c>
    </row>
    <row r="124" spans="2:21" ht="16.5" thickBot="1" x14ac:dyDescent="0.3">
      <c r="B124" s="12"/>
      <c r="C124" s="33">
        <v>301.44</v>
      </c>
      <c r="D124" s="34">
        <v>25.358000000000001</v>
      </c>
      <c r="E124" s="34">
        <v>31.114999999999998</v>
      </c>
      <c r="F124" s="34">
        <v>29.794</v>
      </c>
      <c r="G124" s="20">
        <v>55.45</v>
      </c>
      <c r="H124" s="20">
        <f t="shared" si="4"/>
        <v>26.632125000000002</v>
      </c>
      <c r="I124" s="5"/>
      <c r="J124" s="33">
        <v>302.94510000000002</v>
      </c>
      <c r="K124" s="34">
        <v>25.845300000000002</v>
      </c>
      <c r="L124" s="34">
        <v>32.534799999999997</v>
      </c>
      <c r="M124" s="34">
        <v>31.169899999999998</v>
      </c>
      <c r="N124" s="20">
        <v>118.2266</v>
      </c>
      <c r="O124" s="20">
        <f t="shared" si="6"/>
        <v>27.3470625</v>
      </c>
      <c r="P124" s="7"/>
      <c r="Q124" s="13"/>
      <c r="R124" s="14"/>
      <c r="S124" s="14"/>
      <c r="T124" s="27"/>
      <c r="U124" s="28">
        <f t="shared" si="7"/>
        <v>1.1321298467087466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-0.31274951899966646</v>
      </c>
      <c r="R125" s="21">
        <f>AVERAGE(R9:R124)</f>
        <v>-0.47361109690916725</v>
      </c>
      <c r="S125" s="21">
        <f>AVERAGE(S9:S124)</f>
        <v>-0.46496712752192593</v>
      </c>
      <c r="T125" s="21">
        <f>AVERAGE(T9:T124)</f>
        <v>-0.34275849028058636</v>
      </c>
      <c r="U125" s="21">
        <f>AVERAGE(U9:U124)</f>
        <v>0.94998873376129156</v>
      </c>
    </row>
    <row r="127" spans="2:21" s="35" customFormat="1" ht="15.75" customHeight="1" x14ac:dyDescent="0.25">
      <c r="B127" s="51" t="s">
        <v>29</v>
      </c>
      <c r="C127" s="56" t="s">
        <v>133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80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3743.51</v>
      </c>
      <c r="D131" s="16">
        <v>35.9</v>
      </c>
      <c r="E131" s="16">
        <v>37.869999999999997</v>
      </c>
      <c r="F131" s="16">
        <v>40.185000000000002</v>
      </c>
      <c r="G131" s="16">
        <v>24.4</v>
      </c>
      <c r="H131" s="16">
        <f t="shared" ref="H131:H202" si="8">(6*D131+E131+F131)/8</f>
        <v>36.681874999999998</v>
      </c>
      <c r="I131" s="5"/>
      <c r="J131" s="15">
        <v>4010.9872</v>
      </c>
      <c r="K131" s="16">
        <v>37.885100000000001</v>
      </c>
      <c r="L131" s="16">
        <v>39.445999999999998</v>
      </c>
      <c r="M131" s="16">
        <v>41.920699999999997</v>
      </c>
      <c r="N131" s="16">
        <v>36.973100000000002</v>
      </c>
      <c r="O131" s="16">
        <f t="shared" ref="O131:O202" si="9">(6*K131+L131+M131)/8</f>
        <v>38.584662500000007</v>
      </c>
      <c r="P131" s="7"/>
      <c r="Q131" s="8">
        <f>bdrate(C131:C134,D131:D134,J131:J134,K131:K134)</f>
        <v>-0.3147630519568444</v>
      </c>
      <c r="R131" s="8">
        <f>bdrate(C131:C134,E131:E134,J131:J134,L131:L134)</f>
        <v>-0.53706029605597361</v>
      </c>
      <c r="S131" s="8">
        <f>bdrate(C131:C134,F131:F134,J131:J134,M131:M134)</f>
        <v>-0.5023695636891512</v>
      </c>
      <c r="T131" s="25">
        <f>bdrate(C131:C134,H131:H134,J131:J134,O131:O134)</f>
        <v>-0.34225703024355258</v>
      </c>
      <c r="U131" s="28">
        <f t="shared" ref="U131:U194" si="10">(N131-G131)/G131</f>
        <v>0.51529098360655756</v>
      </c>
    </row>
    <row r="132" spans="1:21" x14ac:dyDescent="0.25">
      <c r="A132" s="9" t="s">
        <v>36</v>
      </c>
      <c r="B132" s="9"/>
      <c r="C132" s="17">
        <v>2812.64</v>
      </c>
      <c r="D132" s="18">
        <v>35.021000000000001</v>
      </c>
      <c r="E132" s="18">
        <v>37.465000000000003</v>
      </c>
      <c r="F132" s="18">
        <v>39.786000000000001</v>
      </c>
      <c r="G132" s="18">
        <v>26.86</v>
      </c>
      <c r="H132" s="18">
        <f t="shared" si="8"/>
        <v>35.922125000000001</v>
      </c>
      <c r="I132" s="5"/>
      <c r="J132" s="17">
        <v>2928.4063999999998</v>
      </c>
      <c r="K132" s="18">
        <v>36.866700000000002</v>
      </c>
      <c r="L132" s="18">
        <v>38.869500000000002</v>
      </c>
      <c r="M132" s="18">
        <v>41.226100000000002</v>
      </c>
      <c r="N132" s="18">
        <v>51.405099999999997</v>
      </c>
      <c r="O132" s="18">
        <f t="shared" si="9"/>
        <v>37.661974999999998</v>
      </c>
      <c r="P132" s="7"/>
      <c r="Q132" s="10"/>
      <c r="R132" s="11"/>
      <c r="S132" s="11"/>
      <c r="T132" s="26"/>
      <c r="U132" s="28">
        <f t="shared" si="10"/>
        <v>0.91381608339538345</v>
      </c>
    </row>
    <row r="133" spans="1:21" x14ac:dyDescent="0.25">
      <c r="B133" s="9"/>
      <c r="C133" s="17">
        <v>1840.97</v>
      </c>
      <c r="D133" s="18">
        <v>33.759</v>
      </c>
      <c r="E133" s="18">
        <v>37.033000000000001</v>
      </c>
      <c r="F133" s="18">
        <v>39.334000000000003</v>
      </c>
      <c r="G133" s="18">
        <v>29.67</v>
      </c>
      <c r="H133" s="18">
        <f t="shared" si="8"/>
        <v>34.865124999999999</v>
      </c>
      <c r="I133" s="5"/>
      <c r="J133" s="17">
        <v>1942.056</v>
      </c>
      <c r="K133" s="18">
        <v>35.320099999999996</v>
      </c>
      <c r="L133" s="18">
        <v>38.227899999999998</v>
      </c>
      <c r="M133" s="18">
        <v>40.521900000000002</v>
      </c>
      <c r="N133" s="18">
        <v>61.249499999999998</v>
      </c>
      <c r="O133" s="18">
        <f t="shared" si="9"/>
        <v>36.333799999999997</v>
      </c>
      <c r="P133" s="7"/>
      <c r="Q133" s="10"/>
      <c r="R133" s="11"/>
      <c r="S133" s="11"/>
      <c r="T133" s="26"/>
      <c r="U133" s="28">
        <f t="shared" si="10"/>
        <v>1.0643579373104144</v>
      </c>
    </row>
    <row r="134" spans="1:21" ht="16.5" thickBot="1" x14ac:dyDescent="0.3">
      <c r="B134" s="12"/>
      <c r="C134" s="19">
        <v>859.17</v>
      </c>
      <c r="D134" s="20">
        <v>31.131</v>
      </c>
      <c r="E134" s="20">
        <v>36.421999999999997</v>
      </c>
      <c r="F134" s="20">
        <v>38.595999999999997</v>
      </c>
      <c r="G134" s="20">
        <v>32.71</v>
      </c>
      <c r="H134" s="20">
        <f t="shared" si="8"/>
        <v>32.725499999999997</v>
      </c>
      <c r="I134" s="5"/>
      <c r="J134" s="19">
        <v>919.58240000000001</v>
      </c>
      <c r="K134" s="20">
        <v>32.332900000000002</v>
      </c>
      <c r="L134" s="20">
        <v>36.917499999999997</v>
      </c>
      <c r="M134" s="20">
        <v>39.106200000000001</v>
      </c>
      <c r="N134" s="20">
        <v>73.927999999999997</v>
      </c>
      <c r="O134" s="20">
        <f t="shared" si="9"/>
        <v>33.752637500000006</v>
      </c>
      <c r="P134" s="7"/>
      <c r="Q134" s="13"/>
      <c r="R134" s="14"/>
      <c r="S134" s="14"/>
      <c r="T134" s="27"/>
      <c r="U134" s="28">
        <f t="shared" si="10"/>
        <v>1.2601039437480892</v>
      </c>
    </row>
    <row r="135" spans="1:21" x14ac:dyDescent="0.25">
      <c r="B135" s="6" t="s">
        <v>47</v>
      </c>
      <c r="C135" s="15">
        <v>4043.75</v>
      </c>
      <c r="D135" s="16">
        <v>28.693999999999999</v>
      </c>
      <c r="E135" s="16">
        <v>38.198</v>
      </c>
      <c r="F135" s="16">
        <v>39.200000000000003</v>
      </c>
      <c r="G135" s="16">
        <v>18.28</v>
      </c>
      <c r="H135" s="16">
        <f t="shared" si="8"/>
        <v>31.195250000000001</v>
      </c>
      <c r="I135" s="5"/>
      <c r="J135" s="15">
        <v>4058.9056</v>
      </c>
      <c r="K135" s="16">
        <v>29.451499999999999</v>
      </c>
      <c r="L135" s="16">
        <v>39.344499999999996</v>
      </c>
      <c r="M135" s="16">
        <v>40.264000000000003</v>
      </c>
      <c r="N135" s="16">
        <v>31.0045</v>
      </c>
      <c r="O135" s="16">
        <f t="shared" si="9"/>
        <v>32.039687499999999</v>
      </c>
      <c r="P135" s="7"/>
      <c r="Q135" s="8">
        <f>bdrate(C135:C138,D135:D138,J135:J138,K135:K138)</f>
        <v>-0.12285180873121515</v>
      </c>
      <c r="R135" s="8">
        <f>bdrate(C135:C138,E135:E138,J135:J138,L135:L138)</f>
        <v>-0.45200684555775705</v>
      </c>
      <c r="S135" s="8">
        <f>bdrate(C135:C138,F135:F138,J135:J138,M135:M138)</f>
        <v>-0.47215748277268432</v>
      </c>
      <c r="T135" s="25">
        <f>bdrate(C135:C138,H135:H138,J135:J138,O135:O138)</f>
        <v>-0.18158629270766147</v>
      </c>
      <c r="U135" s="28">
        <f t="shared" si="10"/>
        <v>0.69608862144420125</v>
      </c>
    </row>
    <row r="136" spans="1:21" x14ac:dyDescent="0.25">
      <c r="B136" s="9"/>
      <c r="C136" s="17">
        <v>3026.81</v>
      </c>
      <c r="D136" s="18">
        <v>27.507000000000001</v>
      </c>
      <c r="E136" s="18">
        <v>37.71</v>
      </c>
      <c r="F136" s="18">
        <v>38.795000000000002</v>
      </c>
      <c r="G136" s="18">
        <v>20.68</v>
      </c>
      <c r="H136" s="18">
        <f t="shared" si="8"/>
        <v>30.193375000000003</v>
      </c>
      <c r="I136" s="5"/>
      <c r="J136" s="17">
        <v>3035.6224000000002</v>
      </c>
      <c r="K136" s="18">
        <v>28.089500000000001</v>
      </c>
      <c r="L136" s="18">
        <v>38.843699999999998</v>
      </c>
      <c r="M136" s="18">
        <v>39.829900000000002</v>
      </c>
      <c r="N136" s="18">
        <v>43.503500000000003</v>
      </c>
      <c r="O136" s="18">
        <f t="shared" si="9"/>
        <v>30.901325</v>
      </c>
      <c r="P136" s="7"/>
      <c r="Q136" s="10"/>
      <c r="R136" s="11"/>
      <c r="S136" s="11"/>
      <c r="T136" s="26"/>
      <c r="U136" s="28">
        <f t="shared" si="10"/>
        <v>1.1036508704061898</v>
      </c>
    </row>
    <row r="137" spans="1:21" x14ac:dyDescent="0.25">
      <c r="B137" s="9"/>
      <c r="C137" s="17">
        <v>1990.91</v>
      </c>
      <c r="D137" s="18">
        <v>25.817</v>
      </c>
      <c r="E137" s="18">
        <v>36.628</v>
      </c>
      <c r="F137" s="18">
        <v>37.795000000000002</v>
      </c>
      <c r="G137" s="18">
        <v>22.79</v>
      </c>
      <c r="H137" s="18">
        <f t="shared" si="8"/>
        <v>28.665624999999999</v>
      </c>
      <c r="I137" s="5"/>
      <c r="J137" s="17">
        <v>2012.5920000000001</v>
      </c>
      <c r="K137" s="18">
        <v>26.309000000000001</v>
      </c>
      <c r="L137" s="18">
        <v>38.137099999999997</v>
      </c>
      <c r="M137" s="18">
        <v>39.2361</v>
      </c>
      <c r="N137" s="18">
        <v>52.246600000000001</v>
      </c>
      <c r="O137" s="18">
        <f t="shared" si="9"/>
        <v>29.403400000000001</v>
      </c>
      <c r="P137" s="7"/>
      <c r="Q137" s="10"/>
      <c r="R137" s="11"/>
      <c r="S137" s="11"/>
      <c r="T137" s="26"/>
      <c r="U137" s="28">
        <f t="shared" si="10"/>
        <v>1.2925230364194824</v>
      </c>
    </row>
    <row r="138" spans="1:21" ht="16.5" thickBot="1" x14ac:dyDescent="0.3">
      <c r="B138" s="12"/>
      <c r="C138" s="19">
        <v>1001.14</v>
      </c>
      <c r="D138" s="20">
        <v>22.728999999999999</v>
      </c>
      <c r="E138" s="20">
        <v>35.298000000000002</v>
      </c>
      <c r="F138" s="20">
        <v>36.439</v>
      </c>
      <c r="G138" s="20">
        <v>27.63</v>
      </c>
      <c r="H138" s="20">
        <f t="shared" si="8"/>
        <v>26.013874999999999</v>
      </c>
      <c r="I138" s="5"/>
      <c r="J138" s="19">
        <v>1145.6559999999999</v>
      </c>
      <c r="K138" s="20">
        <v>24.207899999999999</v>
      </c>
      <c r="L138" s="20">
        <v>36.619399999999999</v>
      </c>
      <c r="M138" s="20">
        <v>37.894300000000001</v>
      </c>
      <c r="N138" s="20">
        <v>62.814100000000003</v>
      </c>
      <c r="O138" s="20">
        <f t="shared" si="9"/>
        <v>27.4701375</v>
      </c>
      <c r="P138" s="7"/>
      <c r="Q138" s="13"/>
      <c r="R138" s="14"/>
      <c r="S138" s="14"/>
      <c r="T138" s="27"/>
      <c r="U138" s="28">
        <f t="shared" si="10"/>
        <v>1.2734020991675716</v>
      </c>
    </row>
    <row r="139" spans="1:21" x14ac:dyDescent="0.25">
      <c r="A139" s="6" t="s">
        <v>37</v>
      </c>
      <c r="B139" s="6" t="s">
        <v>48</v>
      </c>
      <c r="C139" s="15">
        <v>2002.67</v>
      </c>
      <c r="D139" s="16">
        <v>38.270000000000003</v>
      </c>
      <c r="E139" s="16">
        <v>40.918999999999997</v>
      </c>
      <c r="F139" s="16">
        <v>42.06</v>
      </c>
      <c r="G139" s="16">
        <v>37.07</v>
      </c>
      <c r="H139" s="16">
        <f t="shared" si="8"/>
        <v>39.074874999999999</v>
      </c>
      <c r="I139" s="5"/>
      <c r="J139" s="15">
        <v>2381.1655999999998</v>
      </c>
      <c r="K139" s="16">
        <v>39.046999999999997</v>
      </c>
      <c r="L139" s="16">
        <v>41.871699999999997</v>
      </c>
      <c r="M139" s="16">
        <v>43.197299999999998</v>
      </c>
      <c r="N139" s="16">
        <v>78.0488</v>
      </c>
      <c r="O139" s="16">
        <f t="shared" si="9"/>
        <v>39.918874999999993</v>
      </c>
      <c r="P139" s="7"/>
      <c r="Q139" s="8">
        <f>bdrate(C139:C142,D139:D142,J139:J142,K139:K142)</f>
        <v>-9.8123736236187864E-2</v>
      </c>
      <c r="R139" s="8">
        <f>bdrate(C139:C142,E139:E142,J139:J142,L139:L142)</f>
        <v>-0.39682266766284147</v>
      </c>
      <c r="S139" s="8">
        <f>bdrate(C139:C142,F139:F142,J139:J142,M139:M142)</f>
        <v>-0.41364695300817733</v>
      </c>
      <c r="T139" s="25">
        <f>bdrate(C139:C142,H139:H142,J139:J142,O139:O142)</f>
        <v>-0.14840884835466994</v>
      </c>
      <c r="U139" s="28">
        <f t="shared" si="10"/>
        <v>1.1054437550579983</v>
      </c>
    </row>
    <row r="140" spans="1:21" x14ac:dyDescent="0.25">
      <c r="A140" s="9" t="s">
        <v>38</v>
      </c>
      <c r="B140" s="9"/>
      <c r="C140" s="17">
        <v>1309.04</v>
      </c>
      <c r="D140" s="18">
        <v>36.902999999999999</v>
      </c>
      <c r="E140" s="18">
        <v>40.098999999999997</v>
      </c>
      <c r="F140" s="18">
        <v>41.253</v>
      </c>
      <c r="G140" s="18">
        <v>41.58</v>
      </c>
      <c r="H140" s="18">
        <f t="shared" si="8"/>
        <v>37.846249999999998</v>
      </c>
      <c r="I140" s="5"/>
      <c r="J140" s="17">
        <v>1559.2311999999999</v>
      </c>
      <c r="K140" s="18">
        <v>37.764099999999999</v>
      </c>
      <c r="L140" s="18">
        <v>41.178600000000003</v>
      </c>
      <c r="M140" s="18">
        <v>42.420099999999998</v>
      </c>
      <c r="N140" s="18">
        <v>109.04130000000001</v>
      </c>
      <c r="O140" s="18">
        <f t="shared" si="9"/>
        <v>38.772912499999997</v>
      </c>
      <c r="P140" s="7"/>
      <c r="Q140" s="10"/>
      <c r="R140" s="11"/>
      <c r="S140" s="11"/>
      <c r="T140" s="26"/>
      <c r="U140" s="28">
        <f t="shared" si="10"/>
        <v>1.6224458874458878</v>
      </c>
    </row>
    <row r="141" spans="1:21" x14ac:dyDescent="0.25">
      <c r="B141" s="9"/>
      <c r="C141" s="17">
        <v>803.13</v>
      </c>
      <c r="D141" s="18">
        <v>35.237000000000002</v>
      </c>
      <c r="E141" s="18">
        <v>39.286000000000001</v>
      </c>
      <c r="F141" s="18">
        <v>40.548999999999999</v>
      </c>
      <c r="G141" s="18">
        <v>47.78</v>
      </c>
      <c r="H141" s="18">
        <f t="shared" si="8"/>
        <v>36.407125000000001</v>
      </c>
      <c r="I141" s="5"/>
      <c r="J141" s="17">
        <v>949.16560000000004</v>
      </c>
      <c r="K141" s="18">
        <v>36.166600000000003</v>
      </c>
      <c r="L141" s="18">
        <v>40.395600000000002</v>
      </c>
      <c r="M141" s="18">
        <v>41.5837</v>
      </c>
      <c r="N141" s="18">
        <v>124.03100000000001</v>
      </c>
      <c r="O141" s="18">
        <f t="shared" si="9"/>
        <v>37.372362500000008</v>
      </c>
      <c r="P141" s="7"/>
      <c r="Q141" s="10"/>
      <c r="R141" s="11"/>
      <c r="S141" s="11"/>
      <c r="T141" s="26"/>
      <c r="U141" s="28">
        <f t="shared" si="10"/>
        <v>1.5958769359564673</v>
      </c>
    </row>
    <row r="142" spans="1:21" ht="16.5" thickBot="1" x14ac:dyDescent="0.3">
      <c r="B142" s="12"/>
      <c r="C142" s="19">
        <v>477.54</v>
      </c>
      <c r="D142" s="20">
        <v>33.353000000000002</v>
      </c>
      <c r="E142" s="20">
        <v>38.514000000000003</v>
      </c>
      <c r="F142" s="20">
        <v>39.936999999999998</v>
      </c>
      <c r="G142" s="20">
        <v>53.05</v>
      </c>
      <c r="H142" s="20">
        <f t="shared" si="8"/>
        <v>34.821125000000002</v>
      </c>
      <c r="I142" s="5"/>
      <c r="J142" s="19">
        <v>547.91840000000002</v>
      </c>
      <c r="K142" s="20">
        <v>34.330800000000004</v>
      </c>
      <c r="L142" s="20">
        <v>39.669400000000003</v>
      </c>
      <c r="M142" s="20">
        <v>40.886099999999999</v>
      </c>
      <c r="N142" s="20">
        <v>141.01060000000001</v>
      </c>
      <c r="O142" s="20">
        <f t="shared" si="9"/>
        <v>35.8175375</v>
      </c>
      <c r="P142" s="7"/>
      <c r="Q142" s="13"/>
      <c r="R142" s="14"/>
      <c r="S142" s="14"/>
      <c r="T142" s="27"/>
      <c r="U142" s="28">
        <f t="shared" si="10"/>
        <v>1.6580697455230917</v>
      </c>
    </row>
    <row r="143" spans="1:21" x14ac:dyDescent="0.25">
      <c r="B143" s="6" t="s">
        <v>49</v>
      </c>
      <c r="C143" s="15">
        <v>2291.2399999999998</v>
      </c>
      <c r="D143" s="16">
        <v>34.496000000000002</v>
      </c>
      <c r="E143" s="16">
        <v>38.298000000000002</v>
      </c>
      <c r="F143" s="16">
        <v>39.488999999999997</v>
      </c>
      <c r="G143" s="16">
        <v>43.21</v>
      </c>
      <c r="H143" s="16">
        <f t="shared" si="8"/>
        <v>35.595374999999997</v>
      </c>
      <c r="I143" s="5"/>
      <c r="J143" s="15">
        <v>2477.8607999999999</v>
      </c>
      <c r="K143" s="16">
        <v>36.007599999999996</v>
      </c>
      <c r="L143" s="16">
        <v>39.912399999999998</v>
      </c>
      <c r="M143" s="16">
        <v>41.105699999999999</v>
      </c>
      <c r="N143" s="16">
        <v>65.699399999999997</v>
      </c>
      <c r="O143" s="16">
        <f t="shared" si="9"/>
        <v>37.132962499999998</v>
      </c>
      <c r="P143" s="7"/>
      <c r="Q143" s="8">
        <f>bdrate(C143:C146,D143:D146,J143:J146,K143:K146)</f>
        <v>-0.30234021342654072</v>
      </c>
      <c r="R143" s="8">
        <f>bdrate(C143:C146,E143:E146,J143:J146,L143:L146)</f>
        <v>-0.5490163402593019</v>
      </c>
      <c r="S143" s="8">
        <f>bdrate(C143:C146,F143:F146,J143:J146,M143:M146)</f>
        <v>-0.56427520882928328</v>
      </c>
      <c r="T143" s="25">
        <f>bdrate(C143:C146,H143:H146,J143:J146,O143:O146)</f>
        <v>-0.34633055982096173</v>
      </c>
      <c r="U143" s="28">
        <f t="shared" si="10"/>
        <v>0.52046748437861601</v>
      </c>
    </row>
    <row r="144" spans="1:21" x14ac:dyDescent="0.25">
      <c r="B144" s="9"/>
      <c r="C144" s="17">
        <v>1515.82</v>
      </c>
      <c r="D144" s="18">
        <v>33.305</v>
      </c>
      <c r="E144" s="18">
        <v>37.506</v>
      </c>
      <c r="F144" s="18">
        <v>38.932000000000002</v>
      </c>
      <c r="G144" s="18">
        <v>48.37</v>
      </c>
      <c r="H144" s="18">
        <f t="shared" si="8"/>
        <v>34.533499999999997</v>
      </c>
      <c r="I144" s="5"/>
      <c r="J144" s="17">
        <v>1629.0088000000001</v>
      </c>
      <c r="K144" s="18">
        <v>34.731999999999999</v>
      </c>
      <c r="L144" s="18">
        <v>39.1571</v>
      </c>
      <c r="M144" s="18">
        <v>40.357999999999997</v>
      </c>
      <c r="N144" s="18">
        <v>103.22580000000001</v>
      </c>
      <c r="O144" s="18">
        <f t="shared" si="9"/>
        <v>35.988387500000002</v>
      </c>
      <c r="P144" s="7"/>
      <c r="Q144" s="10"/>
      <c r="R144" s="11"/>
      <c r="S144" s="11"/>
      <c r="T144" s="26"/>
      <c r="U144" s="28">
        <f t="shared" si="10"/>
        <v>1.1340872441596033</v>
      </c>
    </row>
    <row r="145" spans="1:21" x14ac:dyDescent="0.25">
      <c r="B145" s="9"/>
      <c r="C145" s="17">
        <v>942.12</v>
      </c>
      <c r="D145" s="18">
        <v>31.991</v>
      </c>
      <c r="E145" s="18">
        <v>36.767000000000003</v>
      </c>
      <c r="F145" s="18">
        <v>38.451000000000001</v>
      </c>
      <c r="G145" s="18">
        <v>52.69</v>
      </c>
      <c r="H145" s="18">
        <f t="shared" si="8"/>
        <v>33.395499999999998</v>
      </c>
      <c r="I145" s="5"/>
      <c r="J145" s="17">
        <v>1023.152</v>
      </c>
      <c r="K145" s="18">
        <v>33.223300000000002</v>
      </c>
      <c r="L145" s="18">
        <v>38.215800000000002</v>
      </c>
      <c r="M145" s="18">
        <v>39.516300000000001</v>
      </c>
      <c r="N145" s="18">
        <v>120.1803</v>
      </c>
      <c r="O145" s="18">
        <f t="shared" si="9"/>
        <v>34.633987500000003</v>
      </c>
      <c r="P145" s="7"/>
      <c r="Q145" s="10"/>
      <c r="R145" s="11"/>
      <c r="S145" s="11"/>
      <c r="T145" s="26"/>
      <c r="U145" s="28">
        <f t="shared" si="10"/>
        <v>1.280893907762384</v>
      </c>
    </row>
    <row r="146" spans="1:21" ht="16.5" thickBot="1" x14ac:dyDescent="0.3">
      <c r="B146" s="12"/>
      <c r="C146" s="19">
        <v>556.04999999999995</v>
      </c>
      <c r="D146" s="20">
        <v>30.483000000000001</v>
      </c>
      <c r="E146" s="20">
        <v>36.036999999999999</v>
      </c>
      <c r="F146" s="20">
        <v>37.970999999999997</v>
      </c>
      <c r="G146" s="20">
        <v>57.4</v>
      </c>
      <c r="H146" s="20">
        <f t="shared" si="8"/>
        <v>32.113250000000001</v>
      </c>
      <c r="I146" s="5"/>
      <c r="J146" s="19">
        <v>581.28800000000001</v>
      </c>
      <c r="K146" s="20">
        <v>31.535299999999999</v>
      </c>
      <c r="L146" s="20">
        <v>37.287199999999999</v>
      </c>
      <c r="M146" s="20">
        <v>38.785600000000002</v>
      </c>
      <c r="N146" s="20">
        <v>137.22130000000001</v>
      </c>
      <c r="O146" s="20">
        <f t="shared" si="9"/>
        <v>33.160574999999994</v>
      </c>
      <c r="P146" s="7"/>
      <c r="Q146" s="13"/>
      <c r="R146" s="14"/>
      <c r="S146" s="14"/>
      <c r="T146" s="27"/>
      <c r="U146" s="28">
        <f t="shared" si="10"/>
        <v>1.3906149825783973</v>
      </c>
    </row>
    <row r="147" spans="1:21" x14ac:dyDescent="0.25">
      <c r="B147" s="6" t="s">
        <v>50</v>
      </c>
      <c r="C147" s="15">
        <v>2384.06</v>
      </c>
      <c r="D147" s="16">
        <v>32.755000000000003</v>
      </c>
      <c r="E147" s="16">
        <v>37.159999999999997</v>
      </c>
      <c r="F147" s="16">
        <v>38.427</v>
      </c>
      <c r="G147" s="16">
        <v>49.01</v>
      </c>
      <c r="H147" s="16">
        <f t="shared" si="8"/>
        <v>34.014625000000002</v>
      </c>
      <c r="I147" s="5"/>
      <c r="J147" s="15">
        <v>2411.2424000000001</v>
      </c>
      <c r="K147" s="16">
        <v>34.049700000000001</v>
      </c>
      <c r="L147" s="16">
        <v>38.087600000000002</v>
      </c>
      <c r="M147" s="16">
        <v>40.0807</v>
      </c>
      <c r="N147" s="16">
        <v>83.015100000000004</v>
      </c>
      <c r="O147" s="16">
        <f t="shared" si="9"/>
        <v>35.3083125</v>
      </c>
      <c r="P147" s="7"/>
      <c r="Q147" s="8">
        <f>bdrate(C147:C150,D147:D150,J147:J150,K147:K150)</f>
        <v>-0.26589347343052749</v>
      </c>
      <c r="R147" s="8">
        <f>bdrate(C147:C150,E147:E150,J147:J150,L147:L150)</f>
        <v>-0.52345769474060866</v>
      </c>
      <c r="S147" s="8">
        <f>bdrate(C147:C150,F147:F150,J147:J150,M147:M150)</f>
        <v>-0.5163001214532934</v>
      </c>
      <c r="T147" s="25">
        <f>bdrate(C147:C150,H147:H150,J147:J150,O147:O150)</f>
        <v>-0.30980237786438236</v>
      </c>
      <c r="U147" s="28">
        <f t="shared" si="10"/>
        <v>0.69384003264639882</v>
      </c>
    </row>
    <row r="148" spans="1:21" x14ac:dyDescent="0.25">
      <c r="B148" s="9"/>
      <c r="C148" s="17">
        <v>1574.78</v>
      </c>
      <c r="D148" s="18">
        <v>31.655000000000001</v>
      </c>
      <c r="E148" s="18">
        <v>36.719000000000001</v>
      </c>
      <c r="F148" s="18">
        <v>37.713999999999999</v>
      </c>
      <c r="G148" s="18">
        <v>53.42</v>
      </c>
      <c r="H148" s="18">
        <f t="shared" si="8"/>
        <v>33.045375</v>
      </c>
      <c r="I148" s="5"/>
      <c r="J148" s="17">
        <v>1606.2624000000001</v>
      </c>
      <c r="K148" s="18">
        <v>32.832299999999996</v>
      </c>
      <c r="L148" s="18">
        <v>37.650500000000001</v>
      </c>
      <c r="M148" s="18">
        <v>39.2804</v>
      </c>
      <c r="N148" s="18">
        <v>130.82159999999999</v>
      </c>
      <c r="O148" s="18">
        <f t="shared" si="9"/>
        <v>34.240587499999997</v>
      </c>
      <c r="P148" s="7"/>
      <c r="Q148" s="10"/>
      <c r="R148" s="11"/>
      <c r="S148" s="11"/>
      <c r="T148" s="26"/>
      <c r="U148" s="28">
        <f t="shared" si="10"/>
        <v>1.4489254960688878</v>
      </c>
    </row>
    <row r="149" spans="1:21" x14ac:dyDescent="0.25">
      <c r="B149" s="9"/>
      <c r="C149" s="17">
        <v>974.04</v>
      </c>
      <c r="D149" s="18">
        <v>30.245999999999999</v>
      </c>
      <c r="E149" s="18">
        <v>36.139000000000003</v>
      </c>
      <c r="F149" s="18">
        <v>36.771999999999998</v>
      </c>
      <c r="G149" s="18">
        <v>57.44</v>
      </c>
      <c r="H149" s="18">
        <f t="shared" si="8"/>
        <v>31.798375</v>
      </c>
      <c r="I149" s="5"/>
      <c r="J149" s="17">
        <v>1002.1856</v>
      </c>
      <c r="K149" s="18">
        <v>31.2347</v>
      </c>
      <c r="L149" s="18">
        <v>37.0794</v>
      </c>
      <c r="M149" s="18">
        <v>38.273299999999999</v>
      </c>
      <c r="N149" s="18">
        <v>154.13069999999999</v>
      </c>
      <c r="O149" s="18">
        <f t="shared" si="9"/>
        <v>32.845112499999999</v>
      </c>
      <c r="P149" s="7"/>
      <c r="Q149" s="10"/>
      <c r="R149" s="11"/>
      <c r="S149" s="11"/>
      <c r="T149" s="26"/>
      <c r="U149" s="28">
        <f t="shared" si="10"/>
        <v>1.6833339136490251</v>
      </c>
    </row>
    <row r="150" spans="1:21" ht="16.5" thickBot="1" x14ac:dyDescent="0.3">
      <c r="B150" s="12"/>
      <c r="C150" s="19">
        <v>568.19000000000005</v>
      </c>
      <c r="D150" s="20">
        <v>28.456</v>
      </c>
      <c r="E150" s="20">
        <v>35.219000000000001</v>
      </c>
      <c r="F150" s="20">
        <v>35.375999999999998</v>
      </c>
      <c r="G150" s="20">
        <v>62.72</v>
      </c>
      <c r="H150" s="20">
        <f t="shared" si="8"/>
        <v>30.166374999999999</v>
      </c>
      <c r="I150" s="5"/>
      <c r="J150" s="19">
        <v>598.23680000000002</v>
      </c>
      <c r="K150" s="20">
        <v>29.468699999999998</v>
      </c>
      <c r="L150" s="20">
        <v>36.398200000000003</v>
      </c>
      <c r="M150" s="20">
        <v>37.171399999999998</v>
      </c>
      <c r="N150" s="20">
        <v>171.3502</v>
      </c>
      <c r="O150" s="20">
        <f t="shared" si="9"/>
        <v>31.297725</v>
      </c>
      <c r="P150" s="7"/>
      <c r="Q150" s="13"/>
      <c r="R150" s="14"/>
      <c r="S150" s="14"/>
      <c r="T150" s="27"/>
      <c r="U150" s="28">
        <f t="shared" si="10"/>
        <v>1.7319866071428571</v>
      </c>
    </row>
    <row r="151" spans="1:21" x14ac:dyDescent="0.25">
      <c r="B151" s="6" t="s">
        <v>51</v>
      </c>
      <c r="C151" s="29">
        <v>2390.37</v>
      </c>
      <c r="D151" s="30">
        <v>33.299999999999997</v>
      </c>
      <c r="E151" s="30">
        <v>39.347999999999999</v>
      </c>
      <c r="F151" s="30">
        <v>38.749000000000002</v>
      </c>
      <c r="G151" s="16">
        <v>38.44</v>
      </c>
      <c r="H151" s="16">
        <f t="shared" si="8"/>
        <v>34.737124999999999</v>
      </c>
      <c r="I151" s="5"/>
      <c r="J151" s="29">
        <v>2418.1152000000002</v>
      </c>
      <c r="K151" s="30">
        <v>33.986699999999999</v>
      </c>
      <c r="L151" s="30">
        <v>40.255000000000003</v>
      </c>
      <c r="M151" s="30">
        <v>39.8461</v>
      </c>
      <c r="N151" s="16">
        <v>82.385900000000007</v>
      </c>
      <c r="O151" s="16">
        <f t="shared" si="9"/>
        <v>35.5026625</v>
      </c>
      <c r="P151" s="7"/>
      <c r="Q151" s="8">
        <f>bdrate(C151:C154,D151:D154,J151:J154,K151:K154)</f>
        <v>-0.15219429042828392</v>
      </c>
      <c r="R151" s="8">
        <f>bdrate(C151:C154,E151:E154,J151:J154,L151:L154)</f>
        <v>-0.32500881942086612</v>
      </c>
      <c r="S151" s="8">
        <f>bdrate(C151:C154,F151:F154,J151:J154,M151:M154)</f>
        <v>-0.34972527150750266</v>
      </c>
      <c r="T151" s="25">
        <f>bdrate(C151:C154,H151:H154,J151:J154,O151:O154)</f>
        <v>-0.19158156937560633</v>
      </c>
      <c r="U151" s="28">
        <f t="shared" si="10"/>
        <v>1.1432336108220607</v>
      </c>
    </row>
    <row r="152" spans="1:21" x14ac:dyDescent="0.25">
      <c r="B152" s="9"/>
      <c r="C152" s="31">
        <v>1588.78</v>
      </c>
      <c r="D152" s="32">
        <v>31.911000000000001</v>
      </c>
      <c r="E152" s="32">
        <v>38.503999999999998</v>
      </c>
      <c r="F152" s="32">
        <v>37.676000000000002</v>
      </c>
      <c r="G152" s="18">
        <v>50.56</v>
      </c>
      <c r="H152" s="18">
        <f t="shared" si="8"/>
        <v>33.455750000000002</v>
      </c>
      <c r="I152" s="5"/>
      <c r="J152" s="31">
        <v>1610.4864</v>
      </c>
      <c r="K152" s="32">
        <v>32.584099999999999</v>
      </c>
      <c r="L152" s="32">
        <v>39.5291</v>
      </c>
      <c r="M152" s="32">
        <v>38.8919</v>
      </c>
      <c r="N152" s="18">
        <v>118.7085</v>
      </c>
      <c r="O152" s="18">
        <f t="shared" si="9"/>
        <v>34.240699999999997</v>
      </c>
      <c r="P152" s="7"/>
      <c r="Q152" s="10"/>
      <c r="R152" s="11"/>
      <c r="S152" s="11"/>
      <c r="T152" s="26"/>
      <c r="U152" s="28">
        <f t="shared" si="10"/>
        <v>1.3478738132911392</v>
      </c>
    </row>
    <row r="153" spans="1:21" x14ac:dyDescent="0.25">
      <c r="B153" s="9"/>
      <c r="C153" s="31">
        <v>984.15</v>
      </c>
      <c r="D153" s="32">
        <v>30.151</v>
      </c>
      <c r="E153" s="32">
        <v>37.591000000000001</v>
      </c>
      <c r="F153" s="32">
        <v>36.332000000000001</v>
      </c>
      <c r="G153" s="18">
        <v>54.23</v>
      </c>
      <c r="H153" s="18">
        <f t="shared" si="8"/>
        <v>31.853625000000001</v>
      </c>
      <c r="I153" s="5"/>
      <c r="J153" s="31">
        <v>998.14319999999998</v>
      </c>
      <c r="K153" s="32">
        <v>30.783200000000001</v>
      </c>
      <c r="L153" s="32">
        <v>38.530999999999999</v>
      </c>
      <c r="M153" s="32">
        <v>37.6586</v>
      </c>
      <c r="N153" s="18">
        <v>134.66200000000001</v>
      </c>
      <c r="O153" s="18">
        <f t="shared" si="9"/>
        <v>32.6111</v>
      </c>
      <c r="P153" s="7"/>
      <c r="Q153" s="10"/>
      <c r="R153" s="11"/>
      <c r="S153" s="11"/>
      <c r="T153" s="26"/>
      <c r="U153" s="28">
        <f t="shared" si="10"/>
        <v>1.4831643002028401</v>
      </c>
    </row>
    <row r="154" spans="1:21" ht="16.5" thickBot="1" x14ac:dyDescent="0.3">
      <c r="B154" s="12"/>
      <c r="C154" s="33">
        <v>584.16</v>
      </c>
      <c r="D154" s="34">
        <v>28.126999999999999</v>
      </c>
      <c r="E154" s="34">
        <v>35.761000000000003</v>
      </c>
      <c r="F154" s="34">
        <v>34.353000000000002</v>
      </c>
      <c r="G154" s="20">
        <v>59.57</v>
      </c>
      <c r="H154" s="20">
        <f t="shared" si="8"/>
        <v>29.859500000000001</v>
      </c>
      <c r="I154" s="5"/>
      <c r="J154" s="33">
        <v>597.29280000000006</v>
      </c>
      <c r="K154" s="34">
        <v>28.864000000000001</v>
      </c>
      <c r="L154" s="34">
        <v>36.860399999999998</v>
      </c>
      <c r="M154" s="34">
        <v>35.881</v>
      </c>
      <c r="N154" s="20">
        <v>158.32810000000001</v>
      </c>
      <c r="O154" s="20">
        <f t="shared" si="9"/>
        <v>30.740675</v>
      </c>
      <c r="P154" s="7"/>
      <c r="Q154" s="13"/>
      <c r="R154" s="14"/>
      <c r="S154" s="14"/>
      <c r="T154" s="27"/>
      <c r="U154" s="28">
        <f t="shared" si="10"/>
        <v>1.6578495887191542</v>
      </c>
    </row>
    <row r="155" spans="1:21" x14ac:dyDescent="0.25">
      <c r="B155" s="6" t="s">
        <v>52</v>
      </c>
      <c r="C155" s="15">
        <v>2388.86</v>
      </c>
      <c r="D155" s="16">
        <v>31.698</v>
      </c>
      <c r="E155" s="16">
        <v>38.338999999999999</v>
      </c>
      <c r="F155" s="16">
        <v>41.05</v>
      </c>
      <c r="G155" s="16">
        <v>52.98</v>
      </c>
      <c r="H155" s="16">
        <f t="shared" si="8"/>
        <v>33.697125</v>
      </c>
      <c r="I155" s="5"/>
      <c r="J155" s="15">
        <v>2416.4160000000002</v>
      </c>
      <c r="K155" s="16">
        <v>33.5732</v>
      </c>
      <c r="L155" s="16">
        <v>39.742600000000003</v>
      </c>
      <c r="M155" s="16">
        <v>42.1922</v>
      </c>
      <c r="N155" s="16">
        <v>87.616799999999998</v>
      </c>
      <c r="O155" s="16">
        <f t="shared" si="9"/>
        <v>35.421750000000003</v>
      </c>
      <c r="P155" s="7"/>
      <c r="Q155" s="8">
        <f>bdrate(C155:C158,D155:D158,J155:J158,K155:K158)</f>
        <v>-0.55451878368409102</v>
      </c>
      <c r="R155" s="8">
        <f>bdrate(C155:C158,E155:E158,J155:J158,L155:L158)</f>
        <v>-0.64385508440547956</v>
      </c>
      <c r="S155" s="8">
        <f>bdrate(C155:C158,F155:F158,J155:J158,M155:M158)</f>
        <v>-0.56224997868674453</v>
      </c>
      <c r="T155" s="25">
        <f>bdrate(C155:C158,H155:H158,J155:J158,O155:O158)</f>
        <v>-0.55996256630871466</v>
      </c>
      <c r="U155" s="28">
        <f t="shared" si="10"/>
        <v>0.65377123442808616</v>
      </c>
    </row>
    <row r="156" spans="1:21" x14ac:dyDescent="0.25">
      <c r="B156" s="9"/>
      <c r="C156" s="17">
        <v>1548.1</v>
      </c>
      <c r="D156" s="18">
        <v>30.713000000000001</v>
      </c>
      <c r="E156" s="18">
        <v>37.987000000000002</v>
      </c>
      <c r="F156" s="18">
        <v>40.741</v>
      </c>
      <c r="G156" s="18">
        <v>61.74</v>
      </c>
      <c r="H156" s="18">
        <f t="shared" si="8"/>
        <v>32.875750000000004</v>
      </c>
      <c r="I156" s="5"/>
      <c r="J156" s="17">
        <v>1611.664</v>
      </c>
      <c r="K156" s="18">
        <v>32.8596</v>
      </c>
      <c r="L156" s="18">
        <v>39.269799999999996</v>
      </c>
      <c r="M156" s="18">
        <v>41.752099999999999</v>
      </c>
      <c r="N156" s="18">
        <v>136.3946</v>
      </c>
      <c r="O156" s="18">
        <f t="shared" si="9"/>
        <v>34.772437500000002</v>
      </c>
      <c r="P156" s="7"/>
      <c r="Q156" s="10"/>
      <c r="R156" s="11"/>
      <c r="S156" s="11"/>
      <c r="T156" s="26"/>
      <c r="U156" s="28">
        <f t="shared" si="10"/>
        <v>1.2091771946873986</v>
      </c>
    </row>
    <row r="157" spans="1:21" x14ac:dyDescent="0.25">
      <c r="B157" s="9"/>
      <c r="C157" s="17">
        <v>926.76</v>
      </c>
      <c r="D157" s="18">
        <v>29.228999999999999</v>
      </c>
      <c r="E157" s="18">
        <v>37.412999999999997</v>
      </c>
      <c r="F157" s="18">
        <v>40.200000000000003</v>
      </c>
      <c r="G157" s="18">
        <v>64.86</v>
      </c>
      <c r="H157" s="18">
        <f t="shared" si="8"/>
        <v>31.623374999999996</v>
      </c>
      <c r="I157" s="5"/>
      <c r="J157" s="17">
        <v>1029.2416000000001</v>
      </c>
      <c r="K157" s="18">
        <v>31.7517</v>
      </c>
      <c r="L157" s="18">
        <v>38.6233</v>
      </c>
      <c r="M157" s="18">
        <v>41.132399999999997</v>
      </c>
      <c r="N157" s="18">
        <v>154.47989999999999</v>
      </c>
      <c r="O157" s="18">
        <f t="shared" si="9"/>
        <v>33.783237499999998</v>
      </c>
      <c r="P157" s="7"/>
      <c r="Q157" s="10"/>
      <c r="R157" s="11"/>
      <c r="S157" s="11"/>
      <c r="T157" s="26"/>
      <c r="U157" s="28">
        <f t="shared" si="10"/>
        <v>1.3817437557816834</v>
      </c>
    </row>
    <row r="158" spans="1:21" ht="16.5" thickBot="1" x14ac:dyDescent="0.3">
      <c r="B158" s="12"/>
      <c r="C158" s="19">
        <v>473.77</v>
      </c>
      <c r="D158" s="20">
        <v>26.113</v>
      </c>
      <c r="E158" s="20">
        <v>36.186</v>
      </c>
      <c r="F158" s="20">
        <v>38.923000000000002</v>
      </c>
      <c r="G158" s="20">
        <v>68.930000000000007</v>
      </c>
      <c r="H158" s="20">
        <f t="shared" si="8"/>
        <v>28.973375000000001</v>
      </c>
      <c r="I158" s="5"/>
      <c r="J158" s="19">
        <v>598.09040000000005</v>
      </c>
      <c r="K158" s="20">
        <v>30.245100000000001</v>
      </c>
      <c r="L158" s="20">
        <v>38.030700000000003</v>
      </c>
      <c r="M158" s="20">
        <v>40.604300000000002</v>
      </c>
      <c r="N158" s="20">
        <v>167.87909999999999</v>
      </c>
      <c r="O158" s="20">
        <f t="shared" si="9"/>
        <v>32.513199999999998</v>
      </c>
      <c r="P158" s="7"/>
      <c r="Q158" s="13"/>
      <c r="R158" s="14"/>
      <c r="S158" s="14"/>
      <c r="T158" s="27"/>
      <c r="U158" s="28">
        <f t="shared" si="10"/>
        <v>1.4355012331350643</v>
      </c>
    </row>
    <row r="159" spans="1:21" x14ac:dyDescent="0.25">
      <c r="A159" s="6" t="s">
        <v>39</v>
      </c>
      <c r="B159" s="6" t="s">
        <v>53</v>
      </c>
      <c r="C159" s="15">
        <v>1218.1300000000001</v>
      </c>
      <c r="D159" s="16">
        <v>33.503999999999998</v>
      </c>
      <c r="E159" s="16">
        <v>37.21</v>
      </c>
      <c r="F159" s="16">
        <v>36.988999999999997</v>
      </c>
      <c r="G159" s="16">
        <v>179.02</v>
      </c>
      <c r="H159" s="16">
        <f t="shared" si="8"/>
        <v>34.402875000000002</v>
      </c>
      <c r="I159" s="5"/>
      <c r="J159" s="15">
        <v>1207.8152</v>
      </c>
      <c r="K159" s="16">
        <v>34.9651</v>
      </c>
      <c r="L159" s="16">
        <v>38.987099999999998</v>
      </c>
      <c r="M159" s="16">
        <v>38.846299999999999</v>
      </c>
      <c r="N159" s="16">
        <v>390.93040000000002</v>
      </c>
      <c r="O159" s="16">
        <f t="shared" si="9"/>
        <v>35.952999999999996</v>
      </c>
      <c r="P159" s="7"/>
      <c r="Q159" s="8">
        <f>bdrate(C159:C162,D159:D162,J159:J162,K159:K162)</f>
        <v>-0.27586142804245173</v>
      </c>
      <c r="R159" s="8">
        <f>bdrate(C159:C162,E159:E162,J159:J162,L159:L162)</f>
        <v>-0.44368607097068935</v>
      </c>
      <c r="S159" s="8">
        <f>bdrate(C159:C162,F159:F162,J159:J162,M159:M162)</f>
        <v>-0.41460967452759478</v>
      </c>
      <c r="T159" s="25">
        <f>bdrate(C159:C162,H159:H162,J159:J162,O159:O162)</f>
        <v>-0.3078003970639519</v>
      </c>
      <c r="U159" s="28">
        <f t="shared" si="10"/>
        <v>1.1837247234945816</v>
      </c>
    </row>
    <row r="160" spans="1:21" x14ac:dyDescent="0.25">
      <c r="A160" s="9" t="s">
        <v>40</v>
      </c>
      <c r="B160" s="9"/>
      <c r="C160" s="17">
        <v>812.67</v>
      </c>
      <c r="D160" s="18">
        <v>32.109000000000002</v>
      </c>
      <c r="E160" s="18">
        <v>36.296999999999997</v>
      </c>
      <c r="F160" s="18">
        <v>35.911000000000001</v>
      </c>
      <c r="G160" s="18">
        <v>179.02</v>
      </c>
      <c r="H160" s="18">
        <f t="shared" si="8"/>
        <v>33.107749999999996</v>
      </c>
      <c r="I160" s="5"/>
      <c r="J160" s="17">
        <v>804.21439999999996</v>
      </c>
      <c r="K160" s="18">
        <v>33.423699999999997</v>
      </c>
      <c r="L160" s="18">
        <v>37.825400000000002</v>
      </c>
      <c r="M160" s="18">
        <v>37.501100000000001</v>
      </c>
      <c r="N160" s="18">
        <v>445.23599999999999</v>
      </c>
      <c r="O160" s="18">
        <f t="shared" si="9"/>
        <v>34.483587499999999</v>
      </c>
      <c r="P160" s="7"/>
      <c r="Q160" s="10"/>
      <c r="R160" s="11"/>
      <c r="S160" s="11"/>
      <c r="T160" s="26"/>
      <c r="U160" s="28">
        <f t="shared" si="10"/>
        <v>1.4870740699363199</v>
      </c>
    </row>
    <row r="161" spans="1:21" x14ac:dyDescent="0.25">
      <c r="B161" s="9"/>
      <c r="C161" s="17">
        <v>504.94</v>
      </c>
      <c r="D161" s="18">
        <v>30.527000000000001</v>
      </c>
      <c r="E161" s="18">
        <v>35.262</v>
      </c>
      <c r="F161" s="18">
        <v>34.774000000000001</v>
      </c>
      <c r="G161" s="18">
        <v>228.94</v>
      </c>
      <c r="H161" s="18">
        <f t="shared" si="8"/>
        <v>31.649750000000001</v>
      </c>
      <c r="I161" s="5"/>
      <c r="J161" s="17">
        <v>502.72879999999998</v>
      </c>
      <c r="K161" s="18">
        <v>31.603999999999999</v>
      </c>
      <c r="L161" s="18">
        <v>36.593200000000003</v>
      </c>
      <c r="M161" s="18">
        <v>36.116300000000003</v>
      </c>
      <c r="N161" s="18">
        <v>525.21010000000001</v>
      </c>
      <c r="O161" s="18">
        <f t="shared" si="9"/>
        <v>32.791687500000002</v>
      </c>
      <c r="P161" s="7"/>
      <c r="Q161" s="10"/>
      <c r="R161" s="11"/>
      <c r="S161" s="11"/>
      <c r="T161" s="26"/>
      <c r="U161" s="28">
        <f t="shared" si="10"/>
        <v>1.2940949593780031</v>
      </c>
    </row>
    <row r="162" spans="1:21" ht="16.5" thickBot="1" x14ac:dyDescent="0.3">
      <c r="B162" s="12"/>
      <c r="C162" s="19">
        <v>299.77</v>
      </c>
      <c r="D162" s="20">
        <v>28.841000000000001</v>
      </c>
      <c r="E162" s="20">
        <v>34.121000000000002</v>
      </c>
      <c r="F162" s="20">
        <v>33.411999999999999</v>
      </c>
      <c r="G162" s="20">
        <v>250.38</v>
      </c>
      <c r="H162" s="20">
        <f t="shared" si="8"/>
        <v>30.072375000000001</v>
      </c>
      <c r="I162" s="5"/>
      <c r="J162" s="19">
        <v>300.90640000000002</v>
      </c>
      <c r="K162" s="20">
        <v>29.5943</v>
      </c>
      <c r="L162" s="20">
        <v>35.258099999999999</v>
      </c>
      <c r="M162" s="20">
        <v>34.636400000000002</v>
      </c>
      <c r="N162" s="20">
        <v>593.11980000000005</v>
      </c>
      <c r="O162" s="20">
        <f t="shared" si="9"/>
        <v>30.932537499999999</v>
      </c>
      <c r="P162" s="7"/>
      <c r="Q162" s="13"/>
      <c r="R162" s="14"/>
      <c r="S162" s="14"/>
      <c r="T162" s="27"/>
      <c r="U162" s="28">
        <f t="shared" si="10"/>
        <v>1.3688785046728975</v>
      </c>
    </row>
    <row r="163" spans="1:21" x14ac:dyDescent="0.25">
      <c r="B163" s="6" t="s">
        <v>54</v>
      </c>
      <c r="C163" s="15">
        <v>1227.0899999999999</v>
      </c>
      <c r="D163" s="16">
        <v>33.323</v>
      </c>
      <c r="E163" s="16">
        <v>38.710999999999999</v>
      </c>
      <c r="F163" s="16">
        <v>39.484999999999999</v>
      </c>
      <c r="G163" s="16">
        <v>204.57</v>
      </c>
      <c r="H163" s="16">
        <f t="shared" si="8"/>
        <v>34.766750000000002</v>
      </c>
      <c r="I163" s="5"/>
      <c r="J163" s="15">
        <v>1233.2904000000001</v>
      </c>
      <c r="K163" s="16">
        <v>35.166800000000002</v>
      </c>
      <c r="L163" s="16">
        <v>40.4619</v>
      </c>
      <c r="M163" s="16">
        <v>41.294499999999999</v>
      </c>
      <c r="N163" s="16">
        <v>392.41329999999999</v>
      </c>
      <c r="O163" s="16">
        <f t="shared" si="9"/>
        <v>36.594650000000001</v>
      </c>
      <c r="P163" s="7"/>
      <c r="Q163" s="8">
        <f>bdrate(C163:C166,D163:D166,J163:J166,K163:K166)</f>
        <v>-0.34107209618827494</v>
      </c>
      <c r="R163" s="8">
        <f>bdrate(C163:C166,E163:E166,J163:J166,L163:L166)</f>
        <v>-0.53702236602772835</v>
      </c>
      <c r="S163" s="8">
        <f>bdrate(C163:C166,F163:F166,J163:J166,M163:M166)</f>
        <v>-0.50037527526945647</v>
      </c>
      <c r="T163" s="25">
        <f>bdrate(C163:C166,H163:H166,J163:J166,O163:O166)</f>
        <v>-0.37416361127807773</v>
      </c>
      <c r="U163" s="28">
        <f t="shared" si="10"/>
        <v>0.91823483404213724</v>
      </c>
    </row>
    <row r="164" spans="1:21" x14ac:dyDescent="0.25">
      <c r="B164" s="9"/>
      <c r="C164" s="17">
        <v>816.55</v>
      </c>
      <c r="D164" s="18">
        <v>31.844999999999999</v>
      </c>
      <c r="E164" s="18">
        <v>37.780999999999999</v>
      </c>
      <c r="F164" s="18">
        <v>38.456000000000003</v>
      </c>
      <c r="G164" s="18">
        <v>223.63</v>
      </c>
      <c r="H164" s="18">
        <f t="shared" si="8"/>
        <v>33.413375000000002</v>
      </c>
      <c r="I164" s="5"/>
      <c r="J164" s="17">
        <v>821.09760000000006</v>
      </c>
      <c r="K164" s="18">
        <v>33.601799999999997</v>
      </c>
      <c r="L164" s="18">
        <v>39.492699999999999</v>
      </c>
      <c r="M164" s="18">
        <v>40.2149</v>
      </c>
      <c r="N164" s="18">
        <v>474.68349999999998</v>
      </c>
      <c r="O164" s="18">
        <f t="shared" si="9"/>
        <v>35.1648</v>
      </c>
      <c r="P164" s="7"/>
      <c r="Q164" s="10"/>
      <c r="R164" s="11"/>
      <c r="S164" s="11"/>
      <c r="T164" s="26"/>
      <c r="U164" s="28">
        <f t="shared" si="10"/>
        <v>1.1226288959441935</v>
      </c>
    </row>
    <row r="165" spans="1:21" x14ac:dyDescent="0.25">
      <c r="B165" s="9"/>
      <c r="C165" s="17">
        <v>506.85</v>
      </c>
      <c r="D165" s="18">
        <v>30.094000000000001</v>
      </c>
      <c r="E165" s="18">
        <v>36.808</v>
      </c>
      <c r="F165" s="18">
        <v>37.337000000000003</v>
      </c>
      <c r="G165" s="18">
        <v>254.67</v>
      </c>
      <c r="H165" s="18">
        <f t="shared" si="8"/>
        <v>31.838625</v>
      </c>
      <c r="I165" s="5"/>
      <c r="J165" s="17">
        <v>513.1848</v>
      </c>
      <c r="K165" s="18">
        <v>31.6875</v>
      </c>
      <c r="L165" s="18">
        <v>38.426400000000001</v>
      </c>
      <c r="M165" s="18">
        <v>39.0105</v>
      </c>
      <c r="N165" s="18">
        <v>541.51620000000003</v>
      </c>
      <c r="O165" s="18">
        <f t="shared" si="9"/>
        <v>33.445237499999998</v>
      </c>
      <c r="P165" s="7"/>
      <c r="Q165" s="10"/>
      <c r="R165" s="11"/>
      <c r="S165" s="11"/>
      <c r="T165" s="26"/>
      <c r="U165" s="28">
        <f t="shared" si="10"/>
        <v>1.1263446813523386</v>
      </c>
    </row>
    <row r="166" spans="1:21" ht="16.5" thickBot="1" x14ac:dyDescent="0.3">
      <c r="B166" s="12"/>
      <c r="C166" s="19">
        <v>298.79000000000002</v>
      </c>
      <c r="D166" s="20">
        <v>28.128</v>
      </c>
      <c r="E166" s="20">
        <v>35.618000000000002</v>
      </c>
      <c r="F166" s="20">
        <v>35.878999999999998</v>
      </c>
      <c r="G166" s="20">
        <v>282.89</v>
      </c>
      <c r="H166" s="20">
        <f t="shared" si="8"/>
        <v>30.033124999999998</v>
      </c>
      <c r="I166" s="5"/>
      <c r="J166" s="19">
        <v>307.57760000000002</v>
      </c>
      <c r="K166" s="20">
        <v>29.609300000000001</v>
      </c>
      <c r="L166" s="20">
        <v>37.418700000000001</v>
      </c>
      <c r="M166" s="20">
        <v>37.8279</v>
      </c>
      <c r="N166" s="20">
        <v>630.91480000000001</v>
      </c>
      <c r="O166" s="20">
        <f t="shared" si="9"/>
        <v>31.6128</v>
      </c>
      <c r="P166" s="7"/>
      <c r="Q166" s="13"/>
      <c r="R166" s="14"/>
      <c r="S166" s="14"/>
      <c r="T166" s="27"/>
      <c r="U166" s="28">
        <f t="shared" si="10"/>
        <v>1.2302477994980383</v>
      </c>
    </row>
    <row r="167" spans="1:21" x14ac:dyDescent="0.25">
      <c r="B167" s="6" t="s">
        <v>55</v>
      </c>
      <c r="C167" s="15">
        <v>1097.9100000000001</v>
      </c>
      <c r="D167" s="16">
        <v>27.814</v>
      </c>
      <c r="E167" s="16">
        <v>34.406999999999996</v>
      </c>
      <c r="F167" s="16">
        <v>35.229999999999997</v>
      </c>
      <c r="G167" s="16">
        <v>201.61</v>
      </c>
      <c r="H167" s="16">
        <f t="shared" si="8"/>
        <v>29.565124999999998</v>
      </c>
      <c r="I167" s="5"/>
      <c r="J167" s="15">
        <v>1212.7272</v>
      </c>
      <c r="K167" s="16">
        <v>30.288</v>
      </c>
      <c r="L167" s="16">
        <v>36.692799999999998</v>
      </c>
      <c r="M167" s="16">
        <v>37.446800000000003</v>
      </c>
      <c r="N167" s="16">
        <v>364.43150000000003</v>
      </c>
      <c r="O167" s="16">
        <f t="shared" si="9"/>
        <v>31.983450000000001</v>
      </c>
      <c r="P167" s="7"/>
      <c r="Q167" s="8">
        <f>bdrate(C167:C170,D167:D170,J167:J170,K167:K170)</f>
        <v>-0.48219515556011161</v>
      </c>
      <c r="R167" s="8">
        <f>bdrate(C167:C170,E167:E170,J167:J170,L167:L170)</f>
        <v>-0.68048689004704421</v>
      </c>
      <c r="S167" s="8">
        <f>bdrate(C167:C170,F167:F170,J167:J170,M167:M170)</f>
        <v>-0.65088103179884538</v>
      </c>
      <c r="T167" s="25">
        <f>bdrate(C167:C170,H167:H170,J167:J170,O167:O170)</f>
        <v>-0.51384400158350596</v>
      </c>
      <c r="U167" s="28">
        <f t="shared" si="10"/>
        <v>0.80760626953028125</v>
      </c>
    </row>
    <row r="168" spans="1:21" x14ac:dyDescent="0.25">
      <c r="B168" s="9"/>
      <c r="C168" s="17">
        <v>726.51</v>
      </c>
      <c r="D168" s="18">
        <v>26.544</v>
      </c>
      <c r="E168" s="18">
        <v>33.829000000000001</v>
      </c>
      <c r="F168" s="18">
        <v>34.661000000000001</v>
      </c>
      <c r="G168" s="18">
        <v>227.27</v>
      </c>
      <c r="H168" s="18">
        <f t="shared" si="8"/>
        <v>28.469250000000002</v>
      </c>
      <c r="I168" s="5"/>
      <c r="J168" s="17">
        <v>812.24959999999999</v>
      </c>
      <c r="K168" s="18">
        <v>28.971599999999999</v>
      </c>
      <c r="L168" s="18">
        <v>35.926699999999997</v>
      </c>
      <c r="M168" s="18">
        <v>36.6815</v>
      </c>
      <c r="N168" s="18">
        <v>438.59649999999999</v>
      </c>
      <c r="O168" s="18">
        <f t="shared" si="9"/>
        <v>30.804725000000001</v>
      </c>
      <c r="P168" s="7"/>
      <c r="Q168" s="10"/>
      <c r="R168" s="11"/>
      <c r="S168" s="11"/>
      <c r="T168" s="26"/>
      <c r="U168" s="28">
        <f t="shared" si="10"/>
        <v>0.92984775817309795</v>
      </c>
    </row>
    <row r="169" spans="1:21" x14ac:dyDescent="0.25">
      <c r="B169" s="9"/>
      <c r="C169" s="17">
        <v>448.65</v>
      </c>
      <c r="D169" s="18">
        <v>25.152000000000001</v>
      </c>
      <c r="E169" s="18">
        <v>33.1</v>
      </c>
      <c r="F169" s="18">
        <v>34.012999999999998</v>
      </c>
      <c r="G169" s="18">
        <v>254.32</v>
      </c>
      <c r="H169" s="18">
        <f t="shared" si="8"/>
        <v>27.253125000000001</v>
      </c>
      <c r="I169" s="5"/>
      <c r="J169" s="17">
        <v>509.5376</v>
      </c>
      <c r="K169" s="18">
        <v>27.481400000000001</v>
      </c>
      <c r="L169" s="18">
        <v>35.042099999999998</v>
      </c>
      <c r="M169" s="18">
        <v>35.781700000000001</v>
      </c>
      <c r="N169" s="18">
        <v>525.21010000000001</v>
      </c>
      <c r="O169" s="18">
        <f t="shared" si="9"/>
        <v>29.464024999999999</v>
      </c>
      <c r="P169" s="7"/>
      <c r="Q169" s="10"/>
      <c r="R169" s="11"/>
      <c r="S169" s="11"/>
      <c r="T169" s="26"/>
      <c r="U169" s="28">
        <f t="shared" si="10"/>
        <v>1.0651545297263292</v>
      </c>
    </row>
    <row r="170" spans="1:21" ht="16.5" thickBot="1" x14ac:dyDescent="0.3">
      <c r="B170" s="12"/>
      <c r="C170" s="19">
        <v>257.54000000000002</v>
      </c>
      <c r="D170" s="20">
        <v>23.516999999999999</v>
      </c>
      <c r="E170" s="20">
        <v>32.097000000000001</v>
      </c>
      <c r="F170" s="20">
        <v>32.893999999999998</v>
      </c>
      <c r="G170" s="20">
        <v>278.70999999999998</v>
      </c>
      <c r="H170" s="20">
        <f t="shared" si="8"/>
        <v>25.761625000000002</v>
      </c>
      <c r="I170" s="5"/>
      <c r="J170" s="19">
        <v>305.21600000000001</v>
      </c>
      <c r="K170" s="20">
        <v>25.906099999999999</v>
      </c>
      <c r="L170" s="20">
        <v>34.205399999999997</v>
      </c>
      <c r="M170" s="20">
        <v>34.882100000000001</v>
      </c>
      <c r="N170" s="20">
        <v>616.52279999999996</v>
      </c>
      <c r="O170" s="20">
        <f t="shared" si="9"/>
        <v>28.065512500000001</v>
      </c>
      <c r="P170" s="7"/>
      <c r="Q170" s="13"/>
      <c r="R170" s="14"/>
      <c r="S170" s="14"/>
      <c r="T170" s="27"/>
      <c r="U170" s="28">
        <f t="shared" si="10"/>
        <v>1.2120584119694306</v>
      </c>
    </row>
    <row r="171" spans="1:21" x14ac:dyDescent="0.25">
      <c r="B171" s="6" t="s">
        <v>56</v>
      </c>
      <c r="C171" s="15">
        <v>1118.53</v>
      </c>
      <c r="D171" s="16">
        <v>31.295000000000002</v>
      </c>
      <c r="E171" s="16">
        <v>35.853999999999999</v>
      </c>
      <c r="F171" s="16">
        <v>37.491999999999997</v>
      </c>
      <c r="G171" s="16">
        <v>136.36000000000001</v>
      </c>
      <c r="H171" s="16">
        <f t="shared" si="8"/>
        <v>32.639500000000005</v>
      </c>
      <c r="I171" s="5"/>
      <c r="J171" s="15">
        <v>1203.1967999999999</v>
      </c>
      <c r="K171" s="16">
        <v>32.320900000000002</v>
      </c>
      <c r="L171" s="16">
        <v>36.8307</v>
      </c>
      <c r="M171" s="16">
        <v>38.403599999999997</v>
      </c>
      <c r="N171" s="16">
        <v>282.75209999999998</v>
      </c>
      <c r="O171" s="16">
        <f t="shared" si="9"/>
        <v>33.644962500000005</v>
      </c>
      <c r="P171" s="7"/>
      <c r="Q171" s="8">
        <f>bdrate(C171:C174,D171:D174,J171:J174,K171:K174)</f>
        <v>-0.12812992096717291</v>
      </c>
      <c r="R171" s="8">
        <f>bdrate(C171:C174,E171:E174,J171:J174,L171:L174)</f>
        <v>-0.31968536805521863</v>
      </c>
      <c r="S171" s="8">
        <f>bdrate(C171:C174,F171:F174,J171:J174,M171:M174)</f>
        <v>-0.30892932867888978</v>
      </c>
      <c r="T171" s="25">
        <f>bdrate(C171:C174,H171:H174,J171:J174,O171:O174)</f>
        <v>-0.16424062038237819</v>
      </c>
      <c r="U171" s="28">
        <f t="shared" si="10"/>
        <v>1.0735706952185389</v>
      </c>
    </row>
    <row r="172" spans="1:21" x14ac:dyDescent="0.25">
      <c r="B172" s="9"/>
      <c r="C172" s="17">
        <v>753.39</v>
      </c>
      <c r="D172" s="18">
        <v>29.954999999999998</v>
      </c>
      <c r="E172" s="18">
        <v>35.113999999999997</v>
      </c>
      <c r="F172" s="18">
        <v>36.676000000000002</v>
      </c>
      <c r="G172" s="18">
        <v>153.85</v>
      </c>
      <c r="H172" s="18">
        <f t="shared" si="8"/>
        <v>31.439999999999998</v>
      </c>
      <c r="I172" s="5"/>
      <c r="J172" s="17">
        <v>801.49680000000001</v>
      </c>
      <c r="K172" s="18">
        <v>30.7714</v>
      </c>
      <c r="L172" s="18">
        <v>35.9664</v>
      </c>
      <c r="M172" s="18">
        <v>37.519599999999997</v>
      </c>
      <c r="N172" s="18">
        <v>343.24939999999998</v>
      </c>
      <c r="O172" s="18">
        <f t="shared" si="9"/>
        <v>32.264299999999999</v>
      </c>
      <c r="P172" s="7"/>
      <c r="Q172" s="10"/>
      <c r="R172" s="11"/>
      <c r="S172" s="11"/>
      <c r="T172" s="26"/>
      <c r="U172" s="28">
        <f t="shared" si="10"/>
        <v>1.2310653233669158</v>
      </c>
    </row>
    <row r="173" spans="1:21" x14ac:dyDescent="0.25">
      <c r="B173" s="9"/>
      <c r="C173" s="17">
        <v>479.7</v>
      </c>
      <c r="D173" s="18">
        <v>28.594999999999999</v>
      </c>
      <c r="E173" s="18">
        <v>34.262999999999998</v>
      </c>
      <c r="F173" s="18">
        <v>35.707999999999998</v>
      </c>
      <c r="G173" s="18">
        <v>173.31</v>
      </c>
      <c r="H173" s="18">
        <f t="shared" si="8"/>
        <v>30.192625</v>
      </c>
      <c r="I173" s="5"/>
      <c r="J173" s="17">
        <v>501.06799999999998</v>
      </c>
      <c r="K173" s="18">
        <v>29.101199999999999</v>
      </c>
      <c r="L173" s="18">
        <v>35.066299999999998</v>
      </c>
      <c r="M173" s="18">
        <v>36.586100000000002</v>
      </c>
      <c r="N173" s="18">
        <v>409.27690000000001</v>
      </c>
      <c r="O173" s="18">
        <f t="shared" si="9"/>
        <v>30.782449999999997</v>
      </c>
      <c r="P173" s="7"/>
      <c r="Q173" s="10"/>
      <c r="R173" s="11"/>
      <c r="S173" s="11"/>
      <c r="T173" s="26"/>
      <c r="U173" s="28">
        <f t="shared" si="10"/>
        <v>1.3615307829900178</v>
      </c>
    </row>
    <row r="174" spans="1:21" ht="16.5" thickBot="1" x14ac:dyDescent="0.3">
      <c r="B174" s="12"/>
      <c r="C174" s="19">
        <v>289.75</v>
      </c>
      <c r="D174" s="20">
        <v>27.241</v>
      </c>
      <c r="E174" s="20">
        <v>33.295999999999999</v>
      </c>
      <c r="F174" s="20">
        <v>34.567</v>
      </c>
      <c r="G174" s="20">
        <v>202.43</v>
      </c>
      <c r="H174" s="20">
        <f t="shared" si="8"/>
        <v>28.913625</v>
      </c>
      <c r="I174" s="5"/>
      <c r="J174" s="19">
        <v>302.7088</v>
      </c>
      <c r="K174" s="20">
        <v>27.500699999999998</v>
      </c>
      <c r="L174" s="20">
        <v>34.137999999999998</v>
      </c>
      <c r="M174" s="20">
        <v>35.595599999999997</v>
      </c>
      <c r="N174" s="20">
        <v>480.76920000000001</v>
      </c>
      <c r="O174" s="20">
        <f t="shared" si="9"/>
        <v>29.342224999999999</v>
      </c>
      <c r="P174" s="7"/>
      <c r="Q174" s="13"/>
      <c r="R174" s="14"/>
      <c r="S174" s="14"/>
      <c r="T174" s="27"/>
      <c r="U174" s="28">
        <f t="shared" si="10"/>
        <v>1.3749898730425332</v>
      </c>
    </row>
    <row r="175" spans="1:21" x14ac:dyDescent="0.25">
      <c r="A175" s="6" t="s">
        <v>41</v>
      </c>
      <c r="B175" s="6" t="s">
        <v>57</v>
      </c>
      <c r="C175" s="15">
        <v>640.55999999999995</v>
      </c>
      <c r="D175" s="16">
        <v>33.308999999999997</v>
      </c>
      <c r="E175" s="16">
        <v>38.29</v>
      </c>
      <c r="F175" s="16">
        <v>36.965000000000003</v>
      </c>
      <c r="G175" s="16">
        <v>517.05999999999995</v>
      </c>
      <c r="H175" s="16">
        <f t="shared" si="8"/>
        <v>34.388624999999998</v>
      </c>
      <c r="I175" s="5"/>
      <c r="J175" s="15">
        <v>601.9864</v>
      </c>
      <c r="K175" s="16">
        <v>34.326999999999998</v>
      </c>
      <c r="L175" s="16">
        <v>39.604999999999997</v>
      </c>
      <c r="M175" s="16">
        <v>38.131</v>
      </c>
      <c r="N175" s="16">
        <v>889.67970000000003</v>
      </c>
      <c r="O175" s="16">
        <f t="shared" si="9"/>
        <v>35.462249999999997</v>
      </c>
      <c r="P175" s="7"/>
      <c r="Q175" s="8">
        <f>bdrate(C175:C178,D175:D178,J175:J178,K175:K178)</f>
        <v>-0.17897160668857093</v>
      </c>
      <c r="R175" s="8">
        <f>bdrate(C175:C178,E175:E178,J175:J178,L175:L178)</f>
        <v>-0.42271715312766611</v>
      </c>
      <c r="S175" s="8">
        <f>bdrate(C175:C178,F175:F178,J175:J178,M175:M178)</f>
        <v>-0.36986002372665672</v>
      </c>
      <c r="T175" s="25">
        <f>bdrate(C175:C178,H175:H178,J175:J178,O175:O178)</f>
        <v>-0.2229658257954501</v>
      </c>
      <c r="U175" s="28">
        <f t="shared" si="10"/>
        <v>0.72065079487873773</v>
      </c>
    </row>
    <row r="176" spans="1:21" x14ac:dyDescent="0.25">
      <c r="A176" s="9" t="s">
        <v>42</v>
      </c>
      <c r="B176" s="9"/>
      <c r="C176" s="17">
        <v>427.58</v>
      </c>
      <c r="D176" s="18">
        <v>31.724</v>
      </c>
      <c r="E176" s="18">
        <v>37.290999999999997</v>
      </c>
      <c r="F176" s="18">
        <v>35.749000000000002</v>
      </c>
      <c r="G176" s="18">
        <v>593.82000000000005</v>
      </c>
      <c r="H176" s="18">
        <f t="shared" si="8"/>
        <v>32.923000000000002</v>
      </c>
      <c r="I176" s="5"/>
      <c r="J176" s="17">
        <v>403.8888</v>
      </c>
      <c r="K176" s="18">
        <v>32.545499999999997</v>
      </c>
      <c r="L176" s="18">
        <v>38.451900000000002</v>
      </c>
      <c r="M176" s="18">
        <v>36.826700000000002</v>
      </c>
      <c r="N176" s="18">
        <v>1144.1648</v>
      </c>
      <c r="O176" s="18">
        <f t="shared" si="9"/>
        <v>33.818949999999994</v>
      </c>
      <c r="P176" s="7"/>
      <c r="Q176" s="10"/>
      <c r="R176" s="11"/>
      <c r="S176" s="11"/>
      <c r="T176" s="26"/>
      <c r="U176" s="28">
        <f t="shared" si="10"/>
        <v>0.92678724192516238</v>
      </c>
    </row>
    <row r="177" spans="1:21" x14ac:dyDescent="0.25">
      <c r="B177" s="9"/>
      <c r="C177" s="17">
        <v>267.42</v>
      </c>
      <c r="D177" s="18">
        <v>30.067</v>
      </c>
      <c r="E177" s="18">
        <v>36.319000000000003</v>
      </c>
      <c r="F177" s="18">
        <v>34.51</v>
      </c>
      <c r="G177" s="18">
        <v>667.56</v>
      </c>
      <c r="H177" s="18">
        <f t="shared" si="8"/>
        <v>31.403874999999999</v>
      </c>
      <c r="I177" s="5"/>
      <c r="J177" s="17">
        <v>252.804</v>
      </c>
      <c r="K177" s="18">
        <v>30.570900000000002</v>
      </c>
      <c r="L177" s="18">
        <v>37.367899999999999</v>
      </c>
      <c r="M177" s="18">
        <v>35.601100000000002</v>
      </c>
      <c r="N177" s="18">
        <v>1392.7577000000001</v>
      </c>
      <c r="O177" s="18">
        <f t="shared" si="9"/>
        <v>32.049300000000002</v>
      </c>
      <c r="P177" s="7"/>
      <c r="Q177" s="10"/>
      <c r="R177" s="11"/>
      <c r="S177" s="11"/>
      <c r="T177" s="26"/>
      <c r="U177" s="28">
        <f t="shared" si="10"/>
        <v>1.0863408532566365</v>
      </c>
    </row>
    <row r="178" spans="1:21" ht="16.5" thickBot="1" x14ac:dyDescent="0.3">
      <c r="B178" s="12"/>
      <c r="C178" s="19">
        <v>128.13999999999999</v>
      </c>
      <c r="D178" s="20">
        <v>27.626000000000001</v>
      </c>
      <c r="E178" s="20">
        <v>34.825000000000003</v>
      </c>
      <c r="F178" s="20">
        <v>32.533000000000001</v>
      </c>
      <c r="G178" s="20">
        <v>844.59</v>
      </c>
      <c r="H178" s="20">
        <f t="shared" si="8"/>
        <v>29.139250000000004</v>
      </c>
      <c r="I178" s="5"/>
      <c r="J178" s="19">
        <v>121.76</v>
      </c>
      <c r="K178" s="20">
        <v>27.7422</v>
      </c>
      <c r="L178" s="20">
        <v>35.831600000000002</v>
      </c>
      <c r="M178" s="20">
        <v>33.694600000000001</v>
      </c>
      <c r="N178" s="20">
        <v>1779.3594000000001</v>
      </c>
      <c r="O178" s="20">
        <f t="shared" si="9"/>
        <v>29.497425000000003</v>
      </c>
      <c r="P178" s="7"/>
      <c r="Q178" s="13"/>
      <c r="R178" s="14"/>
      <c r="S178" s="14"/>
      <c r="T178" s="27"/>
      <c r="U178" s="28">
        <f t="shared" si="10"/>
        <v>1.1067729904450681</v>
      </c>
    </row>
    <row r="179" spans="1:21" x14ac:dyDescent="0.25">
      <c r="B179" s="6" t="s">
        <v>58</v>
      </c>
      <c r="C179" s="15">
        <v>554.62</v>
      </c>
      <c r="D179" s="16">
        <v>30.052</v>
      </c>
      <c r="E179" s="16">
        <v>38.456000000000003</v>
      </c>
      <c r="F179" s="16">
        <v>39.07</v>
      </c>
      <c r="G179" s="16">
        <v>835.65</v>
      </c>
      <c r="H179" s="16">
        <f t="shared" si="8"/>
        <v>32.229750000000003</v>
      </c>
      <c r="I179" s="5"/>
      <c r="J179" s="15">
        <v>599.62720000000002</v>
      </c>
      <c r="K179" s="16">
        <v>33.603999999999999</v>
      </c>
      <c r="L179" s="16">
        <v>41.269100000000002</v>
      </c>
      <c r="M179" s="16">
        <v>42.047899999999998</v>
      </c>
      <c r="N179" s="16">
        <v>1098.9011</v>
      </c>
      <c r="O179" s="16">
        <f t="shared" si="9"/>
        <v>35.617625000000004</v>
      </c>
      <c r="P179" s="7"/>
      <c r="Q179" s="8">
        <f>bdrate(C179:C182,D179:D182,J179:J182,K179:K182)</f>
        <v>-0.63387732188523616</v>
      </c>
      <c r="R179" s="8">
        <f>bdrate(C179:C182,E179:E182,J179:J182,L179:L182)</f>
        <v>-0.75545504278157483</v>
      </c>
      <c r="S179" s="8">
        <f>bdrate(C179:C182,F179:F182,J179:J182,M179:M182)</f>
        <v>-0.72826139219691366</v>
      </c>
      <c r="T179" s="25">
        <f>bdrate(C179:C182,H179:H182,J179:J182,O179:O182)</f>
        <v>-0.64772463390660984</v>
      </c>
      <c r="U179" s="28">
        <f t="shared" si="10"/>
        <v>0.31502554897385276</v>
      </c>
    </row>
    <row r="180" spans="1:21" x14ac:dyDescent="0.25">
      <c r="B180" s="9"/>
      <c r="C180" s="17">
        <v>366.39</v>
      </c>
      <c r="D180" s="18">
        <v>28.66</v>
      </c>
      <c r="E180" s="18">
        <v>38.04</v>
      </c>
      <c r="F180" s="18">
        <v>38.600999999999999</v>
      </c>
      <c r="G180" s="18">
        <v>961.54</v>
      </c>
      <c r="H180" s="18">
        <f t="shared" si="8"/>
        <v>31.075125</v>
      </c>
      <c r="I180" s="5"/>
      <c r="J180" s="17">
        <v>400.26080000000002</v>
      </c>
      <c r="K180" s="18">
        <v>32.320399999999999</v>
      </c>
      <c r="L180" s="18">
        <v>40.392299999999999</v>
      </c>
      <c r="M180" s="18">
        <v>41.179600000000001</v>
      </c>
      <c r="N180" s="18">
        <v>1327.4336000000001</v>
      </c>
      <c r="O180" s="18">
        <f t="shared" si="9"/>
        <v>34.436787500000001</v>
      </c>
      <c r="P180" s="7"/>
      <c r="Q180" s="10"/>
      <c r="R180" s="11"/>
      <c r="S180" s="11"/>
      <c r="T180" s="26"/>
      <c r="U180" s="28">
        <f t="shared" si="10"/>
        <v>0.38052873515402386</v>
      </c>
    </row>
    <row r="181" spans="1:21" x14ac:dyDescent="0.25">
      <c r="B181" s="9"/>
      <c r="C181" s="17">
        <v>228.84</v>
      </c>
      <c r="D181" s="18">
        <v>27.189</v>
      </c>
      <c r="E181" s="18">
        <v>37.595999999999997</v>
      </c>
      <c r="F181" s="18">
        <v>38.133000000000003</v>
      </c>
      <c r="G181" s="18">
        <v>1069.52</v>
      </c>
      <c r="H181" s="18">
        <f t="shared" si="8"/>
        <v>29.857875000000003</v>
      </c>
      <c r="I181" s="5"/>
      <c r="J181" s="17">
        <v>250.19280000000001</v>
      </c>
      <c r="K181" s="18">
        <v>30.8018</v>
      </c>
      <c r="L181" s="18">
        <v>39.435400000000001</v>
      </c>
      <c r="M181" s="18">
        <v>40.116799999999998</v>
      </c>
      <c r="N181" s="18">
        <v>1671.3091999999999</v>
      </c>
      <c r="O181" s="18">
        <f t="shared" si="9"/>
        <v>33.045375</v>
      </c>
      <c r="P181" s="7"/>
      <c r="Q181" s="10"/>
      <c r="R181" s="11"/>
      <c r="S181" s="11"/>
      <c r="T181" s="26"/>
      <c r="U181" s="28">
        <f t="shared" si="10"/>
        <v>0.56267222679332785</v>
      </c>
    </row>
    <row r="182" spans="1:21" ht="16.5" thickBot="1" x14ac:dyDescent="0.3">
      <c r="B182" s="12"/>
      <c r="C182" s="19">
        <v>104.14</v>
      </c>
      <c r="D182" s="20">
        <v>24.521999999999998</v>
      </c>
      <c r="E182" s="20">
        <v>36.902000000000001</v>
      </c>
      <c r="F182" s="20">
        <v>37.204999999999998</v>
      </c>
      <c r="G182" s="20">
        <v>1165.05</v>
      </c>
      <c r="H182" s="20">
        <f t="shared" si="8"/>
        <v>27.654874999999997</v>
      </c>
      <c r="I182" s="5"/>
      <c r="J182" s="19">
        <v>119.464</v>
      </c>
      <c r="K182" s="20">
        <v>28.201799999999999</v>
      </c>
      <c r="L182" s="20">
        <v>38.307600000000001</v>
      </c>
      <c r="M182" s="20">
        <v>38.7468</v>
      </c>
      <c r="N182" s="20">
        <v>1923.0769</v>
      </c>
      <c r="O182" s="20">
        <f t="shared" si="9"/>
        <v>30.783150000000003</v>
      </c>
      <c r="P182" s="7"/>
      <c r="Q182" s="13"/>
      <c r="R182" s="14"/>
      <c r="S182" s="14"/>
      <c r="T182" s="27"/>
      <c r="U182" s="28">
        <f t="shared" si="10"/>
        <v>0.65063894253465526</v>
      </c>
    </row>
    <row r="183" spans="1:21" x14ac:dyDescent="0.25">
      <c r="B183" s="6" t="s">
        <v>59</v>
      </c>
      <c r="C183" s="29">
        <v>641.79</v>
      </c>
      <c r="D183" s="30">
        <v>31.029</v>
      </c>
      <c r="E183" s="30">
        <v>35.753</v>
      </c>
      <c r="F183" s="30">
        <v>36.261000000000003</v>
      </c>
      <c r="G183" s="16">
        <v>628.14</v>
      </c>
      <c r="H183" s="16">
        <f t="shared" si="8"/>
        <v>32.273500000000006</v>
      </c>
      <c r="I183" s="5"/>
      <c r="J183" s="29">
        <v>643.21839999999997</v>
      </c>
      <c r="K183" s="30">
        <v>33.114699999999999</v>
      </c>
      <c r="L183" s="30">
        <v>38.090699999999998</v>
      </c>
      <c r="M183" s="30">
        <v>38.858400000000003</v>
      </c>
      <c r="N183" s="16">
        <v>972.76260000000002</v>
      </c>
      <c r="O183" s="16">
        <f t="shared" si="9"/>
        <v>34.454662499999998</v>
      </c>
      <c r="P183" s="7"/>
      <c r="Q183" s="8">
        <f>bdrate(C183:C186,D183:D186,J183:J186,K183:K186)</f>
        <v>-0.43024245194162603</v>
      </c>
      <c r="R183" s="8">
        <f>bdrate(C183:C186,E183:E186,J183:J186,L183:L186)</f>
        <v>-0.62469149474760644</v>
      </c>
      <c r="S183" s="8">
        <f>bdrate(C183:C186,F183:F186,J183:J186,M183:M186)</f>
        <v>-0.65785571617366179</v>
      </c>
      <c r="T183" s="25">
        <f>bdrate(C183:C186,H183:H186,J183:J186,O183:O186)</f>
        <v>-0.4737282601255367</v>
      </c>
      <c r="U183" s="28">
        <f t="shared" si="10"/>
        <v>0.54863979367656901</v>
      </c>
    </row>
    <row r="184" spans="1:21" x14ac:dyDescent="0.25">
      <c r="B184" s="9"/>
      <c r="C184" s="31">
        <v>425.6</v>
      </c>
      <c r="D184" s="32">
        <v>29.605</v>
      </c>
      <c r="E184" s="32">
        <v>34.822000000000003</v>
      </c>
      <c r="F184" s="32">
        <v>35.369999999999997</v>
      </c>
      <c r="G184" s="18">
        <v>746.27</v>
      </c>
      <c r="H184" s="18">
        <f t="shared" si="8"/>
        <v>30.97775</v>
      </c>
      <c r="I184" s="5"/>
      <c r="J184" s="31">
        <v>427.00479999999999</v>
      </c>
      <c r="K184" s="32">
        <v>31.636500000000002</v>
      </c>
      <c r="L184" s="32">
        <v>37.061300000000003</v>
      </c>
      <c r="M184" s="32">
        <v>37.841700000000003</v>
      </c>
      <c r="N184" s="18">
        <v>1187.6485</v>
      </c>
      <c r="O184" s="18">
        <f t="shared" si="9"/>
        <v>33.090250000000005</v>
      </c>
      <c r="P184" s="7"/>
      <c r="Q184" s="10"/>
      <c r="R184" s="11"/>
      <c r="S184" s="11"/>
      <c r="T184" s="26"/>
      <c r="U184" s="28">
        <f t="shared" si="10"/>
        <v>0.59144612539697439</v>
      </c>
    </row>
    <row r="185" spans="1:21" x14ac:dyDescent="0.25">
      <c r="B185" s="9"/>
      <c r="C185" s="31">
        <v>264.22000000000003</v>
      </c>
      <c r="D185" s="32">
        <v>28.111999999999998</v>
      </c>
      <c r="E185" s="32">
        <v>33.930999999999997</v>
      </c>
      <c r="F185" s="32">
        <v>34.497999999999998</v>
      </c>
      <c r="G185" s="18">
        <v>822.37</v>
      </c>
      <c r="H185" s="18">
        <f t="shared" si="8"/>
        <v>29.637625</v>
      </c>
      <c r="I185" s="5"/>
      <c r="J185" s="31">
        <v>265.00560000000002</v>
      </c>
      <c r="K185" s="32">
        <v>29.936499999999999</v>
      </c>
      <c r="L185" s="32">
        <v>35.896500000000003</v>
      </c>
      <c r="M185" s="32">
        <v>36.6434</v>
      </c>
      <c r="N185" s="18">
        <v>1396.6479999999999</v>
      </c>
      <c r="O185" s="18">
        <f t="shared" si="9"/>
        <v>31.519862500000002</v>
      </c>
      <c r="P185" s="7"/>
      <c r="Q185" s="10"/>
      <c r="R185" s="11"/>
      <c r="S185" s="11"/>
      <c r="T185" s="26"/>
      <c r="U185" s="28">
        <f t="shared" si="10"/>
        <v>0.698320707224242</v>
      </c>
    </row>
    <row r="186" spans="1:21" ht="16.5" thickBot="1" x14ac:dyDescent="0.3">
      <c r="B186" s="12"/>
      <c r="C186" s="33">
        <v>123.67</v>
      </c>
      <c r="D186" s="34">
        <v>25.859000000000002</v>
      </c>
      <c r="E186" s="34">
        <v>32.420999999999999</v>
      </c>
      <c r="F186" s="34">
        <v>33.021000000000001</v>
      </c>
      <c r="G186" s="20">
        <v>1002</v>
      </c>
      <c r="H186" s="20">
        <f t="shared" si="8"/>
        <v>27.5745</v>
      </c>
      <c r="I186" s="5"/>
      <c r="J186" s="33">
        <v>126.8104</v>
      </c>
      <c r="K186" s="34">
        <v>27.514600000000002</v>
      </c>
      <c r="L186" s="34">
        <v>34.4114</v>
      </c>
      <c r="M186" s="34">
        <v>35.122100000000003</v>
      </c>
      <c r="N186" s="20">
        <v>1779.3594000000001</v>
      </c>
      <c r="O186" s="20">
        <f t="shared" si="9"/>
        <v>29.327637500000002</v>
      </c>
      <c r="P186" s="7"/>
      <c r="Q186" s="13"/>
      <c r="R186" s="14"/>
      <c r="S186" s="14"/>
      <c r="T186" s="27"/>
      <c r="U186" s="28">
        <f t="shared" si="10"/>
        <v>0.77580778443113774</v>
      </c>
    </row>
    <row r="187" spans="1:21" x14ac:dyDescent="0.25">
      <c r="B187" s="6" t="s">
        <v>60</v>
      </c>
      <c r="C187" s="15">
        <v>580.75</v>
      </c>
      <c r="D187" s="16">
        <v>32.475000000000001</v>
      </c>
      <c r="E187" s="16">
        <v>36.475999999999999</v>
      </c>
      <c r="F187" s="16">
        <v>37.585999999999999</v>
      </c>
      <c r="G187" s="16">
        <v>418.41</v>
      </c>
      <c r="H187" s="16">
        <f t="shared" si="8"/>
        <v>33.614000000000004</v>
      </c>
      <c r="I187" s="5"/>
      <c r="J187" s="15">
        <v>601.82560000000001</v>
      </c>
      <c r="K187" s="16">
        <v>33.891199999999998</v>
      </c>
      <c r="L187" s="16">
        <v>37.697000000000003</v>
      </c>
      <c r="M187" s="16">
        <v>38.7607</v>
      </c>
      <c r="N187" s="16">
        <v>662.25170000000003</v>
      </c>
      <c r="O187" s="16">
        <f t="shared" si="9"/>
        <v>34.975612499999997</v>
      </c>
      <c r="P187" s="7"/>
      <c r="Q187" s="8">
        <f>bdrate(C187:C190,D187:D190,J187:J190,K187:K190)</f>
        <v>-0.1986387673539195</v>
      </c>
      <c r="R187" s="8">
        <f>bdrate(C187:C190,E187:E190,J187:J190,L187:L190)</f>
        <v>-0.35059728416901881</v>
      </c>
      <c r="S187" s="8">
        <f>bdrate(C187:C190,F187:F190,J187:J190,M187:M190)</f>
        <v>-0.35020272592788715</v>
      </c>
      <c r="T187" s="25">
        <f>bdrate(C187:C190,H187:H190,J187:J190,O187:O190)</f>
        <v>-0.23102294514428678</v>
      </c>
      <c r="U187" s="28">
        <f t="shared" si="10"/>
        <v>0.58278172127817207</v>
      </c>
    </row>
    <row r="188" spans="1:21" x14ac:dyDescent="0.25">
      <c r="B188" s="9"/>
      <c r="C188" s="17">
        <v>388.92</v>
      </c>
      <c r="D188" s="18">
        <v>30.913</v>
      </c>
      <c r="E188" s="18">
        <v>35.415999999999997</v>
      </c>
      <c r="F188" s="18">
        <v>36.466000000000001</v>
      </c>
      <c r="G188" s="18">
        <v>468.75</v>
      </c>
      <c r="H188" s="18">
        <f t="shared" si="8"/>
        <v>32.17</v>
      </c>
      <c r="I188" s="5"/>
      <c r="J188" s="17">
        <v>401.38400000000001</v>
      </c>
      <c r="K188" s="18">
        <v>32.044400000000003</v>
      </c>
      <c r="L188" s="18">
        <v>36.551299999999998</v>
      </c>
      <c r="M188" s="18">
        <v>37.614199999999997</v>
      </c>
      <c r="N188" s="18">
        <v>802.13900000000001</v>
      </c>
      <c r="O188" s="18">
        <f t="shared" si="9"/>
        <v>33.303987500000005</v>
      </c>
      <c r="P188" s="7"/>
      <c r="Q188" s="10"/>
      <c r="R188" s="11"/>
      <c r="S188" s="11"/>
      <c r="T188" s="26"/>
      <c r="U188" s="28">
        <f t="shared" si="10"/>
        <v>0.71122986666666665</v>
      </c>
    </row>
    <row r="189" spans="1:21" x14ac:dyDescent="0.25">
      <c r="B189" s="9"/>
      <c r="C189" s="17">
        <v>244.68</v>
      </c>
      <c r="D189" s="18">
        <v>29.341999999999999</v>
      </c>
      <c r="E189" s="18">
        <v>34.351999999999997</v>
      </c>
      <c r="F189" s="18">
        <v>35.268999999999998</v>
      </c>
      <c r="G189" s="18">
        <v>549.45000000000005</v>
      </c>
      <c r="H189" s="18">
        <f t="shared" si="8"/>
        <v>30.709125</v>
      </c>
      <c r="I189" s="5"/>
      <c r="J189" s="17">
        <v>250.73679999999999</v>
      </c>
      <c r="K189" s="18">
        <v>30.1813</v>
      </c>
      <c r="L189" s="18">
        <v>35.357799999999997</v>
      </c>
      <c r="M189" s="18">
        <v>36.382599999999996</v>
      </c>
      <c r="N189" s="18">
        <v>1010.101</v>
      </c>
      <c r="O189" s="18">
        <f t="shared" si="9"/>
        <v>31.603525000000001</v>
      </c>
      <c r="P189" s="7"/>
      <c r="Q189" s="10"/>
      <c r="R189" s="11"/>
      <c r="S189" s="11"/>
      <c r="T189" s="26"/>
      <c r="U189" s="28">
        <f t="shared" si="10"/>
        <v>0.83838565838565826</v>
      </c>
    </row>
    <row r="190" spans="1:21" ht="16.5" thickBot="1" x14ac:dyDescent="0.3">
      <c r="B190" s="12"/>
      <c r="C190" s="19">
        <v>117.31</v>
      </c>
      <c r="D190" s="20">
        <v>27.172000000000001</v>
      </c>
      <c r="E190" s="20">
        <v>32.639000000000003</v>
      </c>
      <c r="F190" s="20">
        <v>33.527000000000001</v>
      </c>
      <c r="G190" s="20">
        <v>686.5</v>
      </c>
      <c r="H190" s="20">
        <f t="shared" si="8"/>
        <v>28.649750000000004</v>
      </c>
      <c r="I190" s="5"/>
      <c r="J190" s="19">
        <v>120.9832</v>
      </c>
      <c r="K190" s="20">
        <v>27.673200000000001</v>
      </c>
      <c r="L190" s="20">
        <v>33.923200000000001</v>
      </c>
      <c r="M190" s="20">
        <v>34.850999999999999</v>
      </c>
      <c r="N190" s="20">
        <v>1282.0513000000001</v>
      </c>
      <c r="O190" s="20">
        <f t="shared" si="9"/>
        <v>29.351675</v>
      </c>
      <c r="P190" s="7"/>
      <c r="Q190" s="13"/>
      <c r="R190" s="14"/>
      <c r="S190" s="14"/>
      <c r="T190" s="27"/>
      <c r="U190" s="28">
        <f t="shared" si="10"/>
        <v>0.86751828113619822</v>
      </c>
    </row>
    <row r="191" spans="1:21" x14ac:dyDescent="0.25">
      <c r="A191" s="6" t="s">
        <v>43</v>
      </c>
      <c r="B191" s="6" t="s">
        <v>61</v>
      </c>
      <c r="C191" s="15">
        <v>1376.51</v>
      </c>
      <c r="D191" s="16">
        <v>39.575000000000003</v>
      </c>
      <c r="E191" s="16">
        <v>43.768000000000001</v>
      </c>
      <c r="F191" s="16">
        <v>44.945999999999998</v>
      </c>
      <c r="G191" s="16">
        <v>122.9</v>
      </c>
      <c r="H191" s="16">
        <f t="shared" si="8"/>
        <v>40.770499999999998</v>
      </c>
      <c r="I191" s="5"/>
      <c r="J191" s="15">
        <v>1496.0512000000001</v>
      </c>
      <c r="K191" s="16">
        <v>41.323300000000003</v>
      </c>
      <c r="L191" s="16">
        <v>45.560200000000002</v>
      </c>
      <c r="M191" s="16">
        <v>46.7376</v>
      </c>
      <c r="N191" s="16">
        <v>217.3126</v>
      </c>
      <c r="O191" s="16">
        <f t="shared" si="9"/>
        <v>42.529699999999998</v>
      </c>
      <c r="P191" s="7"/>
      <c r="Q191" s="8">
        <f>bdrate(C191:C194,D191:D194,J191:J194,K191:K194)</f>
        <v>-0.34991839685163306</v>
      </c>
      <c r="R191" s="8">
        <f>bdrate(C191:C194,E191:E194,J191:J194,L191:L194)</f>
        <v>-0.41566556104923191</v>
      </c>
      <c r="S191" s="8">
        <f>bdrate(C191:C194,F191:F194,J191:J194,M191:M194)</f>
        <v>-0.41062586093507913</v>
      </c>
      <c r="T191" s="25">
        <f>bdrate(C191:C194,H191:H194,J191:J194,O191:O194)</f>
        <v>-0.36046682035462174</v>
      </c>
      <c r="U191" s="28">
        <f t="shared" si="10"/>
        <v>0.76820667209113092</v>
      </c>
    </row>
    <row r="192" spans="1:21" x14ac:dyDescent="0.25">
      <c r="A192" s="9" t="s">
        <v>44</v>
      </c>
      <c r="B192" s="9"/>
      <c r="C192" s="17">
        <v>914.24</v>
      </c>
      <c r="D192" s="18">
        <v>38.142000000000003</v>
      </c>
      <c r="E192" s="18">
        <v>42.746000000000002</v>
      </c>
      <c r="F192" s="18">
        <v>43.875999999999998</v>
      </c>
      <c r="G192" s="18">
        <v>134.44</v>
      </c>
      <c r="H192" s="18">
        <f t="shared" si="8"/>
        <v>39.434249999999999</v>
      </c>
      <c r="I192" s="5"/>
      <c r="J192" s="17">
        <v>981.99519999999995</v>
      </c>
      <c r="K192" s="18">
        <v>40.160899999999998</v>
      </c>
      <c r="L192" s="18">
        <v>44.645600000000002</v>
      </c>
      <c r="M192" s="18">
        <v>45.7761</v>
      </c>
      <c r="N192" s="18">
        <v>298.06259999999997</v>
      </c>
      <c r="O192" s="18">
        <f t="shared" si="9"/>
        <v>41.423387499999997</v>
      </c>
      <c r="P192" s="7"/>
      <c r="Q192" s="10"/>
      <c r="R192" s="11"/>
      <c r="S192" s="11"/>
      <c r="T192" s="26"/>
      <c r="U192" s="28">
        <f t="shared" si="10"/>
        <v>1.2170678369532875</v>
      </c>
    </row>
    <row r="193" spans="1:21" x14ac:dyDescent="0.25">
      <c r="B193" s="9"/>
      <c r="C193" s="17">
        <v>541.05999999999995</v>
      </c>
      <c r="D193" s="18">
        <v>36.167000000000002</v>
      </c>
      <c r="E193" s="18">
        <v>41.838000000000001</v>
      </c>
      <c r="F193" s="18">
        <v>42.887</v>
      </c>
      <c r="G193" s="18">
        <v>144.61000000000001</v>
      </c>
      <c r="H193" s="18">
        <f t="shared" si="8"/>
        <v>37.715875000000004</v>
      </c>
      <c r="I193" s="5"/>
      <c r="J193" s="17">
        <v>573.18719999999996</v>
      </c>
      <c r="K193" s="18">
        <v>38.2121</v>
      </c>
      <c r="L193" s="18">
        <v>43.167700000000004</v>
      </c>
      <c r="M193" s="18">
        <v>44.271999999999998</v>
      </c>
      <c r="N193" s="18">
        <v>328.76710000000003</v>
      </c>
      <c r="O193" s="18">
        <f t="shared" si="9"/>
        <v>39.589037500000003</v>
      </c>
      <c r="P193" s="7"/>
      <c r="Q193" s="10"/>
      <c r="R193" s="11"/>
      <c r="S193" s="11"/>
      <c r="T193" s="26"/>
      <c r="U193" s="28">
        <f t="shared" si="10"/>
        <v>1.2734741719106561</v>
      </c>
    </row>
    <row r="194" spans="1:21" ht="16.5" thickBot="1" x14ac:dyDescent="0.3">
      <c r="B194" s="12"/>
      <c r="C194" s="19">
        <v>257.19</v>
      </c>
      <c r="D194" s="20">
        <v>33.799999999999997</v>
      </c>
      <c r="E194" s="20">
        <v>40.795000000000002</v>
      </c>
      <c r="F194" s="20">
        <v>41.587000000000003</v>
      </c>
      <c r="G194" s="20">
        <v>154.47999999999999</v>
      </c>
      <c r="H194" s="20">
        <f t="shared" si="8"/>
        <v>35.647749999999995</v>
      </c>
      <c r="I194" s="5"/>
      <c r="J194" s="19">
        <v>280.90719999999999</v>
      </c>
      <c r="K194" s="20">
        <v>34.788600000000002</v>
      </c>
      <c r="L194" s="20">
        <v>41.227899999999998</v>
      </c>
      <c r="M194" s="20">
        <v>42.228000000000002</v>
      </c>
      <c r="N194" s="20">
        <v>366.30040000000002</v>
      </c>
      <c r="O194" s="20">
        <f t="shared" si="9"/>
        <v>36.5234375</v>
      </c>
      <c r="P194" s="7"/>
      <c r="Q194" s="13"/>
      <c r="R194" s="14"/>
      <c r="S194" s="14"/>
      <c r="T194" s="27"/>
      <c r="U194" s="28">
        <f t="shared" si="10"/>
        <v>1.3711833247022271</v>
      </c>
    </row>
    <row r="195" spans="1:21" x14ac:dyDescent="0.25">
      <c r="B195" s="6" t="s">
        <v>62</v>
      </c>
      <c r="C195" s="15">
        <v>1428.15</v>
      </c>
      <c r="D195" s="16">
        <v>41.506</v>
      </c>
      <c r="E195" s="16">
        <v>46.311999999999998</v>
      </c>
      <c r="F195" s="16">
        <v>46.906999999999996</v>
      </c>
      <c r="G195" s="16">
        <v>124.48</v>
      </c>
      <c r="H195" s="16">
        <f t="shared" si="8"/>
        <v>42.781874999999999</v>
      </c>
      <c r="I195" s="5"/>
      <c r="J195" s="15">
        <v>1466.4831999999999</v>
      </c>
      <c r="K195" s="16">
        <v>42.5869</v>
      </c>
      <c r="L195" s="16">
        <v>47.569899999999997</v>
      </c>
      <c r="M195" s="16">
        <v>48.258499999999998</v>
      </c>
      <c r="N195" s="16">
        <v>165.10730000000001</v>
      </c>
      <c r="O195" s="16">
        <f t="shared" si="9"/>
        <v>43.918724999999995</v>
      </c>
      <c r="P195" s="7"/>
      <c r="Q195" s="8">
        <f>bdrate(C195:C198,D195:D198,J195:J198,K195:K198)</f>
        <v>-0.46310570146906371</v>
      </c>
      <c r="R195" s="8">
        <f>bdrate(C195:C198,E195:E198,J195:J198,L195:L198)</f>
        <v>-0.53660948131851205</v>
      </c>
      <c r="S195" s="8">
        <f>bdrate(C195:C198,F195:F198,J195:J198,M195:M198)</f>
        <v>-0.53199846769185011</v>
      </c>
      <c r="T195" s="25">
        <f>bdrate(C195:C198,H195:H198,J195:J198,O195:O198)</f>
        <v>-0.48048159717310301</v>
      </c>
      <c r="U195" s="28">
        <f t="shared" ref="U195:U213" si="11">(N195-G195)/G195</f>
        <v>0.32637612467866328</v>
      </c>
    </row>
    <row r="196" spans="1:21" x14ac:dyDescent="0.25">
      <c r="B196" s="9"/>
      <c r="C196" s="17">
        <v>942.43</v>
      </c>
      <c r="D196" s="18">
        <v>40.765000000000001</v>
      </c>
      <c r="E196" s="18">
        <v>45.567999999999998</v>
      </c>
      <c r="F196" s="18">
        <v>46.201000000000001</v>
      </c>
      <c r="G196" s="18">
        <v>137.36000000000001</v>
      </c>
      <c r="H196" s="18">
        <f t="shared" si="8"/>
        <v>42.044875000000005</v>
      </c>
      <c r="I196" s="5"/>
      <c r="J196" s="17">
        <v>961.54880000000003</v>
      </c>
      <c r="K196" s="18">
        <v>42.0182</v>
      </c>
      <c r="L196" s="18">
        <v>47.074300000000001</v>
      </c>
      <c r="M196" s="18">
        <v>47.7194</v>
      </c>
      <c r="N196" s="18">
        <v>343.24939999999998</v>
      </c>
      <c r="O196" s="18">
        <f t="shared" si="9"/>
        <v>43.362862499999999</v>
      </c>
      <c r="P196" s="7"/>
      <c r="Q196" s="10"/>
      <c r="R196" s="11"/>
      <c r="S196" s="11"/>
      <c r="T196" s="26"/>
      <c r="U196" s="28">
        <f t="shared" si="11"/>
        <v>1.4989036109493299</v>
      </c>
    </row>
    <row r="197" spans="1:21" x14ac:dyDescent="0.25">
      <c r="B197" s="9"/>
      <c r="C197" s="17">
        <v>555.34</v>
      </c>
      <c r="D197" s="18">
        <v>39.643999999999998</v>
      </c>
      <c r="E197" s="18">
        <v>44.59</v>
      </c>
      <c r="F197" s="18">
        <v>45.079000000000001</v>
      </c>
      <c r="G197" s="18">
        <v>142.99</v>
      </c>
      <c r="H197" s="18">
        <f t="shared" si="8"/>
        <v>40.941624999999995</v>
      </c>
      <c r="I197" s="5"/>
      <c r="J197" s="17">
        <v>572.7088</v>
      </c>
      <c r="K197" s="18">
        <v>41.115600000000001</v>
      </c>
      <c r="L197" s="18">
        <v>46.200299999999999</v>
      </c>
      <c r="M197" s="18">
        <v>46.793999999999997</v>
      </c>
      <c r="N197" s="18">
        <v>359.49669999999998</v>
      </c>
      <c r="O197" s="18">
        <f t="shared" si="9"/>
        <v>42.460987500000002</v>
      </c>
      <c r="P197" s="7"/>
      <c r="Q197" s="10"/>
      <c r="R197" s="11"/>
      <c r="S197" s="11"/>
      <c r="T197" s="26"/>
      <c r="U197" s="28">
        <f t="shared" si="11"/>
        <v>1.5141387509616053</v>
      </c>
    </row>
    <row r="198" spans="1:21" ht="16.5" thickBot="1" x14ac:dyDescent="0.3">
      <c r="B198" s="12"/>
      <c r="C198" s="19">
        <v>263.45</v>
      </c>
      <c r="D198" s="20">
        <v>37.414999999999999</v>
      </c>
      <c r="E198" s="20">
        <v>43.295000000000002</v>
      </c>
      <c r="F198" s="20">
        <v>43.784999999999997</v>
      </c>
      <c r="G198" s="20">
        <v>153.22</v>
      </c>
      <c r="H198" s="20">
        <f t="shared" si="8"/>
        <v>38.946250000000006</v>
      </c>
      <c r="I198" s="5"/>
      <c r="J198" s="19">
        <v>276.64479999999998</v>
      </c>
      <c r="K198" s="20">
        <v>39.1736</v>
      </c>
      <c r="L198" s="20">
        <v>44.459299999999999</v>
      </c>
      <c r="M198" s="20">
        <v>45.0015</v>
      </c>
      <c r="N198" s="20">
        <v>422.53519999999997</v>
      </c>
      <c r="O198" s="20">
        <f t="shared" si="9"/>
        <v>40.562800000000003</v>
      </c>
      <c r="P198" s="7"/>
      <c r="Q198" s="13"/>
      <c r="R198" s="14"/>
      <c r="S198" s="14"/>
      <c r="T198" s="27"/>
      <c r="U198" s="28">
        <f t="shared" si="11"/>
        <v>1.7577026497846235</v>
      </c>
    </row>
    <row r="199" spans="1:21" x14ac:dyDescent="0.25">
      <c r="B199" s="6" t="s">
        <v>63</v>
      </c>
      <c r="C199" s="15">
        <v>1495.57</v>
      </c>
      <c r="D199" s="16">
        <v>41.185000000000002</v>
      </c>
      <c r="E199" s="16">
        <v>45.335000000000001</v>
      </c>
      <c r="F199" s="16">
        <v>46.164000000000001</v>
      </c>
      <c r="G199" s="16">
        <v>114.48</v>
      </c>
      <c r="H199" s="16">
        <f t="shared" si="8"/>
        <v>42.326124999999998</v>
      </c>
      <c r="I199" s="5"/>
      <c r="J199" s="15">
        <v>1525.7008000000001</v>
      </c>
      <c r="K199" s="16">
        <v>42.457500000000003</v>
      </c>
      <c r="L199" s="16">
        <v>46.704099999999997</v>
      </c>
      <c r="M199" s="16">
        <v>47.559100000000001</v>
      </c>
      <c r="N199" s="16">
        <v>217.3126</v>
      </c>
      <c r="O199" s="16">
        <f t="shared" si="9"/>
        <v>43.626024999999998</v>
      </c>
      <c r="P199" s="7"/>
      <c r="Q199" s="8">
        <f>bdrate(C199:C202,D199:D202,J199:J202,K199:K202)</f>
        <v>-0.41255886277224318</v>
      </c>
      <c r="R199" s="8">
        <f>bdrate(C199:C202,E199:E202,J199:J202,L199:L202)</f>
        <v>-0.45880799393216065</v>
      </c>
      <c r="S199" s="8">
        <f>bdrate(C199:C202,F199:F202,J199:J202,M199:M202)</f>
        <v>-0.43123228057251417</v>
      </c>
      <c r="T199" s="25">
        <f>bdrate(C199:C202,H199:H202,J199:J202,O199:O202)</f>
        <v>-0.41945325876494821</v>
      </c>
      <c r="U199" s="28">
        <f t="shared" si="11"/>
        <v>0.89825821104122983</v>
      </c>
    </row>
    <row r="200" spans="1:21" x14ac:dyDescent="0.25">
      <c r="B200" s="9"/>
      <c r="C200" s="17">
        <v>992.79</v>
      </c>
      <c r="D200" s="18">
        <v>40.073</v>
      </c>
      <c r="E200" s="18">
        <v>44.316000000000003</v>
      </c>
      <c r="F200" s="18">
        <v>45.232999999999997</v>
      </c>
      <c r="G200" s="18">
        <v>128.62</v>
      </c>
      <c r="H200" s="18">
        <f t="shared" si="8"/>
        <v>41.248375000000003</v>
      </c>
      <c r="I200" s="5"/>
      <c r="J200" s="17">
        <v>1003.9263999999999</v>
      </c>
      <c r="K200" s="18">
        <v>41.597000000000001</v>
      </c>
      <c r="L200" s="18">
        <v>45.955199999999998</v>
      </c>
      <c r="M200" s="18">
        <v>46.779000000000003</v>
      </c>
      <c r="N200" s="18">
        <v>295.858</v>
      </c>
      <c r="O200" s="18">
        <f t="shared" si="9"/>
        <v>42.789524999999998</v>
      </c>
      <c r="P200" s="7"/>
      <c r="Q200" s="10"/>
      <c r="R200" s="11"/>
      <c r="S200" s="11"/>
      <c r="T200" s="26"/>
      <c r="U200" s="28">
        <f t="shared" si="11"/>
        <v>1.3002487948997046</v>
      </c>
    </row>
    <row r="201" spans="1:21" x14ac:dyDescent="0.25">
      <c r="B201" s="9"/>
      <c r="C201" s="17">
        <v>588.33000000000004</v>
      </c>
      <c r="D201" s="18">
        <v>38.325000000000003</v>
      </c>
      <c r="E201" s="18">
        <v>43.11</v>
      </c>
      <c r="F201" s="18">
        <v>44.029000000000003</v>
      </c>
      <c r="G201" s="18">
        <v>138.34</v>
      </c>
      <c r="H201" s="18">
        <f t="shared" si="8"/>
        <v>39.636125</v>
      </c>
      <c r="I201" s="5"/>
      <c r="J201" s="17">
        <v>597.34960000000001</v>
      </c>
      <c r="K201" s="18">
        <v>40.213700000000003</v>
      </c>
      <c r="L201" s="18">
        <v>44.746299999999998</v>
      </c>
      <c r="M201" s="18">
        <v>45.500799999999998</v>
      </c>
      <c r="N201" s="18">
        <v>346.62049999999999</v>
      </c>
      <c r="O201" s="18">
        <f t="shared" si="9"/>
        <v>41.441162500000004</v>
      </c>
      <c r="P201" s="7"/>
      <c r="Q201" s="10"/>
      <c r="R201" s="11"/>
      <c r="S201" s="11"/>
      <c r="T201" s="26"/>
      <c r="U201" s="28">
        <f t="shared" si="11"/>
        <v>1.5055696111030792</v>
      </c>
    </row>
    <row r="202" spans="1:21" ht="16.5" thickBot="1" x14ac:dyDescent="0.3">
      <c r="B202" s="12"/>
      <c r="C202" s="19">
        <v>280.36</v>
      </c>
      <c r="D202" s="20">
        <v>35.886000000000003</v>
      </c>
      <c r="E202" s="20">
        <v>41.677</v>
      </c>
      <c r="F202" s="20">
        <v>42.642000000000003</v>
      </c>
      <c r="G202" s="20">
        <v>150.83000000000001</v>
      </c>
      <c r="H202" s="20">
        <f t="shared" si="8"/>
        <v>37.454375000000006</v>
      </c>
      <c r="I202" s="5"/>
      <c r="J202" s="19">
        <v>293.9984</v>
      </c>
      <c r="K202" s="20">
        <v>37.463099999999997</v>
      </c>
      <c r="L202" s="20">
        <v>42.556100000000001</v>
      </c>
      <c r="M202" s="20">
        <v>43.429099999999998</v>
      </c>
      <c r="N202" s="20">
        <v>400.53399999999999</v>
      </c>
      <c r="O202" s="20">
        <f t="shared" si="9"/>
        <v>38.845475</v>
      </c>
      <c r="P202" s="7"/>
      <c r="Q202" s="13"/>
      <c r="R202" s="14"/>
      <c r="S202" s="14"/>
      <c r="T202" s="27"/>
      <c r="U202" s="28">
        <f t="shared" si="11"/>
        <v>1.6555327189551148</v>
      </c>
    </row>
    <row r="203" spans="1:21" x14ac:dyDescent="0.25">
      <c r="A203" s="6" t="s">
        <v>102</v>
      </c>
      <c r="B203" s="6" t="s">
        <v>103</v>
      </c>
      <c r="C203" s="15">
        <v>1207.49</v>
      </c>
      <c r="D203" s="16">
        <v>41.472999999999999</v>
      </c>
      <c r="E203" s="16">
        <v>47.012</v>
      </c>
      <c r="F203" s="16">
        <v>48.033000000000001</v>
      </c>
      <c r="G203" s="16">
        <v>82.41</v>
      </c>
      <c r="H203" s="16">
        <f t="shared" ref="H203:H246" si="12">(6*D203+E203+F203)/8</f>
        <v>42.985375000000005</v>
      </c>
      <c r="I203" s="5"/>
      <c r="J203" s="15">
        <v>1286.2589</v>
      </c>
      <c r="K203" s="16">
        <v>43.535600000000002</v>
      </c>
      <c r="L203" s="16">
        <v>48.847200000000001</v>
      </c>
      <c r="M203" s="16">
        <v>50.013100000000001</v>
      </c>
      <c r="N203" s="16">
        <v>177.47980000000001</v>
      </c>
      <c r="O203" s="16">
        <f t="shared" ref="O203:O213" si="13">(6*K203+L203+M203)/8</f>
        <v>45.009237500000005</v>
      </c>
      <c r="P203" s="7"/>
      <c r="Q203" s="8">
        <f>bdrate(C203:C206,D203:D206,J203:J206,K203:K206)</f>
        <v>-0.34677561668536461</v>
      </c>
      <c r="R203" s="8">
        <f>bdrate(C203:C206,E203:E206,J203:J206,L203:L206)</f>
        <v>-0.41874326930472616</v>
      </c>
      <c r="S203" s="8">
        <f>bdrate(C203:C206,F203:F206,J203:J206,M203:M206)</f>
        <v>-0.4601563937358778</v>
      </c>
      <c r="T203" s="25">
        <f>bdrate(C203:C206,H203:H206,J203:J206,O203:O206)</f>
        <v>-0.36427791228614737</v>
      </c>
      <c r="U203" s="28">
        <f t="shared" si="11"/>
        <v>1.1536197063463174</v>
      </c>
    </row>
    <row r="204" spans="1:21" x14ac:dyDescent="0.25">
      <c r="A204" s="9" t="s">
        <v>78</v>
      </c>
      <c r="B204" s="9"/>
      <c r="C204" s="17">
        <v>808.86</v>
      </c>
      <c r="D204" s="18">
        <v>39.488999999999997</v>
      </c>
      <c r="E204" s="18">
        <v>45.395000000000003</v>
      </c>
      <c r="F204" s="18">
        <v>46.481999999999999</v>
      </c>
      <c r="G204" s="18">
        <v>92.16</v>
      </c>
      <c r="H204" s="18">
        <f t="shared" si="12"/>
        <v>41.10137499999999</v>
      </c>
      <c r="I204" s="5"/>
      <c r="J204" s="17">
        <v>876.35389999999995</v>
      </c>
      <c r="K204" s="18">
        <v>41.779899999999998</v>
      </c>
      <c r="L204" s="18">
        <v>47.573599999999999</v>
      </c>
      <c r="M204" s="18">
        <v>48.720799999999997</v>
      </c>
      <c r="N204" s="18">
        <v>210.8963</v>
      </c>
      <c r="O204" s="18">
        <f t="shared" si="13"/>
        <v>43.371724999999998</v>
      </c>
      <c r="P204" s="7"/>
      <c r="Q204" s="10"/>
      <c r="R204" s="11"/>
      <c r="S204" s="11"/>
      <c r="T204" s="26"/>
      <c r="U204" s="28">
        <f t="shared" si="11"/>
        <v>1.288371310763889</v>
      </c>
    </row>
    <row r="205" spans="1:21" x14ac:dyDescent="0.25">
      <c r="B205" s="9"/>
      <c r="C205" s="17">
        <v>490.82</v>
      </c>
      <c r="D205" s="18">
        <v>36.536000000000001</v>
      </c>
      <c r="E205" s="18">
        <v>43.679000000000002</v>
      </c>
      <c r="F205" s="18">
        <v>44.71</v>
      </c>
      <c r="G205" s="18">
        <v>102.56</v>
      </c>
      <c r="H205" s="18">
        <f t="shared" si="12"/>
        <v>38.450624999999995</v>
      </c>
      <c r="I205" s="5"/>
      <c r="J205" s="17">
        <v>543.06410000000005</v>
      </c>
      <c r="K205" s="18">
        <v>39.393000000000001</v>
      </c>
      <c r="L205" s="18">
        <v>45.869</v>
      </c>
      <c r="M205" s="18">
        <v>47.1815</v>
      </c>
      <c r="N205" s="18">
        <v>261.05869999999999</v>
      </c>
      <c r="O205" s="18">
        <f t="shared" si="13"/>
        <v>41.1760625</v>
      </c>
      <c r="P205" s="7"/>
      <c r="Q205" s="10"/>
      <c r="R205" s="11"/>
      <c r="S205" s="11"/>
      <c r="T205" s="26"/>
      <c r="U205" s="28">
        <f t="shared" si="11"/>
        <v>1.5454241419656785</v>
      </c>
    </row>
    <row r="206" spans="1:21" ht="16.5" thickBot="1" x14ac:dyDescent="0.3">
      <c r="B206" s="12"/>
      <c r="C206" s="19">
        <v>249.1</v>
      </c>
      <c r="D206" s="20">
        <v>34.087000000000003</v>
      </c>
      <c r="E206" s="20">
        <v>41.353999999999999</v>
      </c>
      <c r="F206" s="20">
        <v>42.469000000000001</v>
      </c>
      <c r="G206" s="20">
        <v>117.12</v>
      </c>
      <c r="H206" s="20">
        <f t="shared" si="12"/>
        <v>36.043125000000003</v>
      </c>
      <c r="I206" s="5"/>
      <c r="J206" s="19">
        <v>280.62509999999997</v>
      </c>
      <c r="K206" s="20">
        <v>36.4148</v>
      </c>
      <c r="L206" s="20">
        <v>43.8583</v>
      </c>
      <c r="M206" s="20">
        <v>45.1907</v>
      </c>
      <c r="N206" s="20">
        <v>311.79629999999997</v>
      </c>
      <c r="O206" s="20">
        <f t="shared" si="13"/>
        <v>38.442225000000001</v>
      </c>
      <c r="P206" s="7"/>
      <c r="Q206" s="13"/>
      <c r="R206" s="14"/>
      <c r="S206" s="14"/>
      <c r="T206" s="27"/>
      <c r="U206" s="28">
        <f t="shared" si="11"/>
        <v>1.6621951844262293</v>
      </c>
    </row>
    <row r="207" spans="1:21" x14ac:dyDescent="0.25">
      <c r="B207" s="6" t="s">
        <v>104</v>
      </c>
      <c r="C207" s="15">
        <v>1472.86</v>
      </c>
      <c r="D207" s="16">
        <v>48.670999999999999</v>
      </c>
      <c r="E207" s="16">
        <v>49.722999999999999</v>
      </c>
      <c r="F207" s="16">
        <v>50.197000000000003</v>
      </c>
      <c r="G207" s="16">
        <v>148.31</v>
      </c>
      <c r="H207" s="16">
        <f t="shared" si="12"/>
        <v>48.993250000000003</v>
      </c>
      <c r="I207" s="5"/>
      <c r="J207" s="15">
        <v>1449.654</v>
      </c>
      <c r="K207" s="16">
        <v>51.379300000000001</v>
      </c>
      <c r="L207" s="16">
        <v>52.353200000000001</v>
      </c>
      <c r="M207" s="16">
        <v>52.874600000000001</v>
      </c>
      <c r="N207" s="16">
        <v>221.8115</v>
      </c>
      <c r="O207" s="16">
        <f t="shared" si="13"/>
        <v>51.687950000000001</v>
      </c>
      <c r="P207" s="7"/>
      <c r="Q207" s="8">
        <f>bdrate(C207:C210,D207:D210,J207:J210,K207:K210)</f>
        <v>-0.45021251869323886</v>
      </c>
      <c r="R207" s="8">
        <f>bdrate(C207:C210,E207:E210,J207:J210,L207:L210)</f>
        <v>-0.45479700667930523</v>
      </c>
      <c r="S207" s="8">
        <f>bdrate(C207:C210,F207:F210,J207:J210,M207:M210)</f>
        <v>-0.45315059576490846</v>
      </c>
      <c r="T207" s="25">
        <f>bdrate(C207:C210,H207:H210,J207:J210,O207:O210)</f>
        <v>-0.45112251998280639</v>
      </c>
      <c r="U207" s="28">
        <f t="shared" si="11"/>
        <v>0.49559368889488231</v>
      </c>
    </row>
    <row r="208" spans="1:21" x14ac:dyDescent="0.25">
      <c r="B208" s="9"/>
      <c r="C208" s="17">
        <v>979.69</v>
      </c>
      <c r="D208" s="18">
        <v>45.973999999999997</v>
      </c>
      <c r="E208" s="18">
        <v>47.262999999999998</v>
      </c>
      <c r="F208" s="18">
        <v>47.811</v>
      </c>
      <c r="G208" s="18">
        <v>163.66999999999999</v>
      </c>
      <c r="H208" s="18">
        <f t="shared" si="12"/>
        <v>46.364749999999994</v>
      </c>
      <c r="I208" s="5"/>
      <c r="J208" s="17">
        <v>979.03510000000006</v>
      </c>
      <c r="K208" s="18">
        <v>49.390799999999999</v>
      </c>
      <c r="L208" s="18">
        <v>50.484099999999998</v>
      </c>
      <c r="M208" s="18">
        <v>51.018000000000001</v>
      </c>
      <c r="N208" s="18">
        <v>349.65030000000002</v>
      </c>
      <c r="O208" s="18">
        <f t="shared" si="13"/>
        <v>49.730862500000001</v>
      </c>
      <c r="P208" s="7"/>
      <c r="Q208" s="10"/>
      <c r="R208" s="11"/>
      <c r="S208" s="11"/>
      <c r="T208" s="26"/>
      <c r="U208" s="28">
        <f t="shared" si="11"/>
        <v>1.1363127023889537</v>
      </c>
    </row>
    <row r="209" spans="2:21" x14ac:dyDescent="0.25">
      <c r="B209" s="9"/>
      <c r="C209" s="17">
        <v>589.66</v>
      </c>
      <c r="D209" s="18">
        <v>43.046999999999997</v>
      </c>
      <c r="E209" s="18">
        <v>44.634999999999998</v>
      </c>
      <c r="F209" s="18">
        <v>45.17</v>
      </c>
      <c r="G209" s="18">
        <v>172.73</v>
      </c>
      <c r="H209" s="18">
        <f t="shared" si="12"/>
        <v>43.510874999999999</v>
      </c>
      <c r="I209" s="5"/>
      <c r="J209" s="17">
        <v>594.65909999999997</v>
      </c>
      <c r="K209" s="18">
        <v>46.670900000000003</v>
      </c>
      <c r="L209" s="18">
        <v>47.963900000000002</v>
      </c>
      <c r="M209" s="18">
        <v>48.494300000000003</v>
      </c>
      <c r="N209" s="18">
        <v>385.68669999999997</v>
      </c>
      <c r="O209" s="18">
        <f t="shared" si="13"/>
        <v>47.060450000000003</v>
      </c>
      <c r="P209" s="7"/>
      <c r="Q209" s="10"/>
      <c r="R209" s="11"/>
      <c r="S209" s="11"/>
      <c r="T209" s="26"/>
      <c r="U209" s="28">
        <f t="shared" si="11"/>
        <v>1.2328877438777281</v>
      </c>
    </row>
    <row r="210" spans="2:21" ht="16.5" thickBot="1" x14ac:dyDescent="0.3">
      <c r="B210" s="12"/>
      <c r="C210" s="19">
        <v>295.20999999999998</v>
      </c>
      <c r="D210" s="20">
        <v>39.460999999999999</v>
      </c>
      <c r="E210" s="20">
        <v>41.539000000000001</v>
      </c>
      <c r="F210" s="20">
        <v>42.064999999999998</v>
      </c>
      <c r="G210" s="20">
        <v>181.71</v>
      </c>
      <c r="H210" s="20">
        <f t="shared" si="12"/>
        <v>40.046250000000001</v>
      </c>
      <c r="I210" s="5"/>
      <c r="J210" s="19">
        <v>299.94319999999999</v>
      </c>
      <c r="K210" s="20">
        <v>42.432899999999997</v>
      </c>
      <c r="L210" s="20">
        <v>44.064500000000002</v>
      </c>
      <c r="M210" s="20">
        <v>44.5428</v>
      </c>
      <c r="N210" s="20">
        <v>400.6232</v>
      </c>
      <c r="O210" s="20">
        <f t="shared" si="13"/>
        <v>42.9005875</v>
      </c>
      <c r="P210" s="7"/>
      <c r="Q210" s="13"/>
      <c r="R210" s="14"/>
      <c r="S210" s="14"/>
      <c r="T210" s="27"/>
      <c r="U210" s="28">
        <f t="shared" si="11"/>
        <v>1.2047394199548731</v>
      </c>
    </row>
    <row r="211" spans="2:21" x14ac:dyDescent="0.25">
      <c r="B211" s="6" t="s">
        <v>105</v>
      </c>
      <c r="C211" s="15">
        <v>1554.03</v>
      </c>
      <c r="D211" s="16">
        <v>40.509</v>
      </c>
      <c r="E211" s="16">
        <v>43.182000000000002</v>
      </c>
      <c r="F211" s="16">
        <v>43.707000000000001</v>
      </c>
      <c r="G211" s="16">
        <v>101.04</v>
      </c>
      <c r="H211" s="16">
        <f t="shared" si="12"/>
        <v>41.242874999999998</v>
      </c>
      <c r="I211" s="5"/>
      <c r="J211" s="15">
        <v>1484.8369</v>
      </c>
      <c r="K211" s="16">
        <v>42.576099999999997</v>
      </c>
      <c r="L211" s="16">
        <v>44.924300000000002</v>
      </c>
      <c r="M211" s="16">
        <v>45.3643</v>
      </c>
      <c r="N211" s="16">
        <v>162.2938</v>
      </c>
      <c r="O211" s="16">
        <f t="shared" si="13"/>
        <v>43.218150000000001</v>
      </c>
      <c r="P211" s="7"/>
      <c r="Q211" s="8">
        <f>bdrate(C211:C214,D211:D214,J211:J214,K211:K214)</f>
        <v>-0.3753777339552723</v>
      </c>
      <c r="R211" s="8">
        <f>bdrate(C211:C214,E211:E214,J211:J214,L211:L214)</f>
        <v>-0.40308804262924014</v>
      </c>
      <c r="S211" s="8">
        <f>bdrate(C211:C214,F211:F214,J211:J214,M211:M214)</f>
        <v>-0.39555051295180899</v>
      </c>
      <c r="T211" s="25">
        <f>bdrate(C211:C214,H211:H214,J211:J214,O211:O214)</f>
        <v>-0.37997821179016922</v>
      </c>
      <c r="U211" s="28">
        <f t="shared" si="11"/>
        <v>0.60623317498020579</v>
      </c>
    </row>
    <row r="212" spans="2:21" x14ac:dyDescent="0.25">
      <c r="B212" s="9"/>
      <c r="C212" s="17">
        <v>1034.0899999999999</v>
      </c>
      <c r="D212" s="18">
        <v>38.478999999999999</v>
      </c>
      <c r="E212" s="18">
        <v>41.683999999999997</v>
      </c>
      <c r="F212" s="18">
        <v>42.212000000000003</v>
      </c>
      <c r="G212" s="18">
        <v>113.46</v>
      </c>
      <c r="H212" s="18">
        <f t="shared" si="12"/>
        <v>39.346249999999998</v>
      </c>
      <c r="I212" s="5"/>
      <c r="J212" s="17">
        <v>995.83789999999999</v>
      </c>
      <c r="K212" s="18">
        <v>40.674399999999999</v>
      </c>
      <c r="L212" s="18">
        <v>43.469499999999996</v>
      </c>
      <c r="M212" s="18">
        <v>43.898699999999998</v>
      </c>
      <c r="N212" s="18">
        <v>245.4992</v>
      </c>
      <c r="O212" s="18">
        <f t="shared" si="13"/>
        <v>41.426825000000001</v>
      </c>
      <c r="P212" s="7"/>
      <c r="Q212" s="10"/>
      <c r="R212" s="11"/>
      <c r="S212" s="11"/>
      <c r="T212" s="26"/>
      <c r="U212" s="28">
        <f t="shared" si="11"/>
        <v>1.1637511017098536</v>
      </c>
    </row>
    <row r="213" spans="2:21" x14ac:dyDescent="0.25">
      <c r="B213" s="9"/>
      <c r="C213" s="17">
        <v>622.37</v>
      </c>
      <c r="D213" s="18">
        <v>35.765000000000001</v>
      </c>
      <c r="E213" s="18">
        <v>39.868000000000002</v>
      </c>
      <c r="F213" s="18">
        <v>40.322000000000003</v>
      </c>
      <c r="G213" s="18">
        <v>121.71</v>
      </c>
      <c r="H213" s="18">
        <f t="shared" si="12"/>
        <v>36.847499999999997</v>
      </c>
      <c r="I213" s="5"/>
      <c r="J213" s="17">
        <v>600.15930000000003</v>
      </c>
      <c r="K213" s="18">
        <v>38.098300000000002</v>
      </c>
      <c r="L213" s="18">
        <v>41.619599999999998</v>
      </c>
      <c r="M213" s="18">
        <v>42.061500000000002</v>
      </c>
      <c r="N213" s="18">
        <v>295.858</v>
      </c>
      <c r="O213" s="18">
        <f t="shared" si="13"/>
        <v>39.033862500000005</v>
      </c>
      <c r="P213" s="7"/>
      <c r="Q213" s="10"/>
      <c r="R213" s="11"/>
      <c r="S213" s="11"/>
      <c r="T213" s="26"/>
      <c r="U213" s="28">
        <f t="shared" si="11"/>
        <v>1.4308438090543096</v>
      </c>
    </row>
    <row r="214" spans="2:21" ht="16.5" thickBot="1" x14ac:dyDescent="0.3">
      <c r="B214" s="12"/>
      <c r="C214" s="19">
        <v>313.37</v>
      </c>
      <c r="D214" s="20">
        <v>32.389000000000003</v>
      </c>
      <c r="E214" s="20">
        <v>37.430999999999997</v>
      </c>
      <c r="F214" s="20">
        <v>38.026000000000003</v>
      </c>
      <c r="G214" s="20">
        <v>134.94999999999999</v>
      </c>
      <c r="H214" s="20">
        <f t="shared" si="12"/>
        <v>33.723875</v>
      </c>
      <c r="I214" s="5"/>
      <c r="J214" s="19">
        <v>300.05990000000003</v>
      </c>
      <c r="K214" s="20">
        <v>34.324199999999998</v>
      </c>
      <c r="L214" s="20">
        <v>39.004300000000001</v>
      </c>
      <c r="M214" s="20">
        <v>39.491500000000002</v>
      </c>
      <c r="N214" s="20">
        <v>349.65030000000002</v>
      </c>
      <c r="O214" s="20">
        <f t="shared" ref="O214:O246" si="14">(6*K214+L214+M214)/8</f>
        <v>35.555125000000004</v>
      </c>
      <c r="P214" s="7"/>
      <c r="Q214" s="13"/>
      <c r="R214" s="14"/>
      <c r="S214" s="14"/>
      <c r="T214" s="27"/>
      <c r="U214" s="28">
        <f t="shared" ref="U214:U246" si="15">(N214-G214)/G214</f>
        <v>1.5909618377176735</v>
      </c>
    </row>
    <row r="215" spans="2:21" x14ac:dyDescent="0.25">
      <c r="B215" s="6" t="s">
        <v>106</v>
      </c>
      <c r="C215" s="29">
        <v>1371</v>
      </c>
      <c r="D215" s="30">
        <v>37.201999999999998</v>
      </c>
      <c r="E215" s="30">
        <v>41.975999999999999</v>
      </c>
      <c r="F215" s="30">
        <v>41.984999999999999</v>
      </c>
      <c r="G215" s="16">
        <v>88.47</v>
      </c>
      <c r="H215" s="16">
        <f t="shared" si="12"/>
        <v>38.396625</v>
      </c>
      <c r="I215" s="5"/>
      <c r="J215" s="29">
        <v>1505.0071</v>
      </c>
      <c r="K215" s="30">
        <v>38.974400000000003</v>
      </c>
      <c r="L215" s="30">
        <v>43.452300000000001</v>
      </c>
      <c r="M215" s="30">
        <v>43.447400000000002</v>
      </c>
      <c r="N215" s="16">
        <v>150.61500000000001</v>
      </c>
      <c r="O215" s="16">
        <f t="shared" si="14"/>
        <v>40.093262500000002</v>
      </c>
      <c r="P215" s="7"/>
      <c r="Q215" s="8">
        <f>bdrate(C215:C218,D215:D218,J215:J218,K215:K218)</f>
        <v>-0.20218678856280481</v>
      </c>
      <c r="R215" s="8">
        <f>bdrate(C215:C218,E215:E218,J215:J218,L215:L218)</f>
        <v>-0.3135926630939545</v>
      </c>
      <c r="S215" s="8">
        <f>bdrate(C215:C218,F215:F218,J215:J218,M215:M218)</f>
        <v>-0.30706754323748031</v>
      </c>
      <c r="T215" s="25">
        <f>bdrate(C215:C218,H215:H218,J215:J218,O215:O218)</f>
        <v>-0.22439531900724174</v>
      </c>
      <c r="U215" s="28">
        <f t="shared" si="15"/>
        <v>0.70244150559511709</v>
      </c>
    </row>
    <row r="216" spans="2:21" x14ac:dyDescent="0.25">
      <c r="B216" s="9"/>
      <c r="C216" s="31">
        <v>910.43</v>
      </c>
      <c r="D216" s="32">
        <v>35.476999999999997</v>
      </c>
      <c r="E216" s="32">
        <v>40.732999999999997</v>
      </c>
      <c r="F216" s="32">
        <v>40.673999999999999</v>
      </c>
      <c r="G216" s="18">
        <v>97.61</v>
      </c>
      <c r="H216" s="18">
        <f t="shared" si="12"/>
        <v>36.783624999999994</v>
      </c>
      <c r="I216" s="5"/>
      <c r="J216" s="31">
        <v>1002.3674999999999</v>
      </c>
      <c r="K216" s="32">
        <v>37.083100000000002</v>
      </c>
      <c r="L216" s="32">
        <v>42.156100000000002</v>
      </c>
      <c r="M216" s="32">
        <v>42.111499999999999</v>
      </c>
      <c r="N216" s="18">
        <v>235.47880000000001</v>
      </c>
      <c r="O216" s="18">
        <f t="shared" si="14"/>
        <v>38.345774999999996</v>
      </c>
      <c r="P216" s="7"/>
      <c r="Q216" s="10"/>
      <c r="R216" s="11"/>
      <c r="S216" s="11"/>
      <c r="T216" s="26"/>
      <c r="U216" s="28">
        <f t="shared" si="15"/>
        <v>1.4124454461633031</v>
      </c>
    </row>
    <row r="217" spans="2:21" x14ac:dyDescent="0.25">
      <c r="B217" s="9"/>
      <c r="C217" s="31">
        <v>545.59</v>
      </c>
      <c r="D217" s="32">
        <v>33.384999999999998</v>
      </c>
      <c r="E217" s="32">
        <v>39.146999999999998</v>
      </c>
      <c r="F217" s="32">
        <v>39.136000000000003</v>
      </c>
      <c r="G217" s="18">
        <v>107.42</v>
      </c>
      <c r="H217" s="18">
        <f t="shared" si="12"/>
        <v>34.824125000000002</v>
      </c>
      <c r="I217" s="5"/>
      <c r="J217" s="31">
        <v>603.64400000000001</v>
      </c>
      <c r="K217" s="32">
        <v>34.744999999999997</v>
      </c>
      <c r="L217" s="32">
        <v>40.598199999999999</v>
      </c>
      <c r="M217" s="32">
        <v>40.544600000000003</v>
      </c>
      <c r="N217" s="18">
        <v>271.45229999999998</v>
      </c>
      <c r="O217" s="18">
        <f t="shared" si="14"/>
        <v>36.201599999999999</v>
      </c>
      <c r="P217" s="7"/>
      <c r="Q217" s="10"/>
      <c r="R217" s="11"/>
      <c r="S217" s="11"/>
      <c r="T217" s="26"/>
      <c r="U217" s="28">
        <f t="shared" si="15"/>
        <v>1.5270182461366595</v>
      </c>
    </row>
    <row r="218" spans="2:21" ht="16.5" thickBot="1" x14ac:dyDescent="0.3">
      <c r="B218" s="12"/>
      <c r="C218" s="33">
        <v>271.64</v>
      </c>
      <c r="D218" s="34">
        <v>30.456</v>
      </c>
      <c r="E218" s="34">
        <v>36.988999999999997</v>
      </c>
      <c r="F218" s="34">
        <v>37.034999999999997</v>
      </c>
      <c r="G218" s="20">
        <v>122.1</v>
      </c>
      <c r="H218" s="20">
        <f t="shared" si="12"/>
        <v>32.094999999999999</v>
      </c>
      <c r="I218" s="5"/>
      <c r="J218" s="33">
        <v>303.18990000000002</v>
      </c>
      <c r="K218" s="34">
        <v>31.6464</v>
      </c>
      <c r="L218" s="34">
        <v>38.581000000000003</v>
      </c>
      <c r="M218" s="34">
        <v>38.499400000000001</v>
      </c>
      <c r="N218" s="20">
        <v>331.49169999999998</v>
      </c>
      <c r="O218" s="20">
        <f t="shared" si="14"/>
        <v>33.36985</v>
      </c>
      <c r="P218" s="7"/>
      <c r="Q218" s="13"/>
      <c r="R218" s="14"/>
      <c r="S218" s="14"/>
      <c r="T218" s="27"/>
      <c r="U218" s="28">
        <f t="shared" si="15"/>
        <v>1.7149197379197378</v>
      </c>
    </row>
    <row r="219" spans="2:21" x14ac:dyDescent="0.25">
      <c r="B219" s="6" t="s">
        <v>107</v>
      </c>
      <c r="C219" s="15">
        <v>1530.3</v>
      </c>
      <c r="D219" s="16">
        <v>34.244999999999997</v>
      </c>
      <c r="E219" s="16">
        <v>38.799999999999997</v>
      </c>
      <c r="F219" s="16">
        <v>39.375999999999998</v>
      </c>
      <c r="G219" s="16">
        <v>88.15</v>
      </c>
      <c r="H219" s="16">
        <f t="shared" si="12"/>
        <v>35.455749999999995</v>
      </c>
      <c r="I219" s="5"/>
      <c r="J219" s="15">
        <v>1505.1744000000001</v>
      </c>
      <c r="K219" s="16">
        <v>36.9617</v>
      </c>
      <c r="L219" s="16">
        <v>41.505800000000001</v>
      </c>
      <c r="M219" s="16">
        <v>42.0473</v>
      </c>
      <c r="N219" s="16">
        <v>197.19540000000001</v>
      </c>
      <c r="O219" s="16">
        <f t="shared" si="14"/>
        <v>38.165412500000002</v>
      </c>
      <c r="P219" s="7"/>
      <c r="Q219" s="8">
        <f>bdrate(C219:C222,D219:D222,J219:J222,K219:K222)</f>
        <v>-0.40455088699031727</v>
      </c>
      <c r="R219" s="8">
        <f>bdrate(C219:C222,E219:E222,J219:J222,L219:L222)</f>
        <v>-0.54497574932296</v>
      </c>
      <c r="S219" s="8">
        <f>bdrate(C219:C222,F219:F222,J219:J222,M219:M222)</f>
        <v>-0.55420306765884431</v>
      </c>
      <c r="T219" s="25">
        <f>bdrate(C219:C222,H219:H222,J219:J222,O219:O222)</f>
        <v>-0.43393437955525482</v>
      </c>
      <c r="U219" s="28">
        <f t="shared" si="15"/>
        <v>1.2370436755530345</v>
      </c>
    </row>
    <row r="220" spans="2:21" x14ac:dyDescent="0.25">
      <c r="B220" s="9"/>
      <c r="C220" s="17">
        <v>1020.06</v>
      </c>
      <c r="D220" s="18">
        <v>32.536999999999999</v>
      </c>
      <c r="E220" s="18">
        <v>37.497999999999998</v>
      </c>
      <c r="F220" s="18">
        <v>38.125999999999998</v>
      </c>
      <c r="G220" s="18">
        <v>115.15</v>
      </c>
      <c r="H220" s="18">
        <f t="shared" si="12"/>
        <v>33.855749999999993</v>
      </c>
      <c r="I220" s="5"/>
      <c r="J220" s="17">
        <v>1002.3344</v>
      </c>
      <c r="K220" s="18">
        <v>35.0107</v>
      </c>
      <c r="L220" s="18">
        <v>40.054699999999997</v>
      </c>
      <c r="M220" s="18">
        <v>40.648200000000003</v>
      </c>
      <c r="N220" s="18">
        <v>229.32859999999999</v>
      </c>
      <c r="O220" s="18">
        <f t="shared" si="14"/>
        <v>36.345887500000003</v>
      </c>
      <c r="P220" s="7"/>
      <c r="Q220" s="10"/>
      <c r="R220" s="11"/>
      <c r="S220" s="11"/>
      <c r="T220" s="26"/>
      <c r="U220" s="28">
        <f t="shared" si="15"/>
        <v>0.99156404689535371</v>
      </c>
    </row>
    <row r="221" spans="2:21" x14ac:dyDescent="0.25">
      <c r="B221" s="9"/>
      <c r="C221" s="17">
        <v>612.97</v>
      </c>
      <c r="D221" s="18">
        <v>30.446999999999999</v>
      </c>
      <c r="E221" s="18">
        <v>36.112000000000002</v>
      </c>
      <c r="F221" s="18">
        <v>36.792000000000002</v>
      </c>
      <c r="G221" s="18">
        <v>125.42</v>
      </c>
      <c r="H221" s="18">
        <f t="shared" si="12"/>
        <v>31.948249999999998</v>
      </c>
      <c r="I221" s="5"/>
      <c r="J221" s="17">
        <v>600.04399999999998</v>
      </c>
      <c r="K221" s="18">
        <v>32.588900000000002</v>
      </c>
      <c r="L221" s="18">
        <v>38.335999999999999</v>
      </c>
      <c r="M221" s="18">
        <v>38.984200000000001</v>
      </c>
      <c r="N221" s="18">
        <v>276.03129999999999</v>
      </c>
      <c r="O221" s="18">
        <f t="shared" si="14"/>
        <v>34.106700000000004</v>
      </c>
      <c r="P221" s="7"/>
      <c r="Q221" s="10"/>
      <c r="R221" s="11"/>
      <c r="S221" s="11"/>
      <c r="T221" s="26"/>
      <c r="U221" s="28">
        <f t="shared" si="15"/>
        <v>1.2008555254345397</v>
      </c>
    </row>
    <row r="222" spans="2:21" ht="16.5" thickBot="1" x14ac:dyDescent="0.3">
      <c r="B222" s="12"/>
      <c r="C222" s="19">
        <v>305.27999999999997</v>
      </c>
      <c r="D222" s="20">
        <v>27.587</v>
      </c>
      <c r="E222" s="20">
        <v>34.167999999999999</v>
      </c>
      <c r="F222" s="20">
        <v>35.097000000000001</v>
      </c>
      <c r="G222" s="20">
        <v>138.66999999999999</v>
      </c>
      <c r="H222" s="20">
        <f t="shared" si="12"/>
        <v>29.348375000000001</v>
      </c>
      <c r="I222" s="5"/>
      <c r="J222" s="19">
        <v>299.89850000000001</v>
      </c>
      <c r="K222" s="20">
        <v>29.348700000000001</v>
      </c>
      <c r="L222" s="20">
        <v>36.214799999999997</v>
      </c>
      <c r="M222" s="20">
        <v>36.953499999999998</v>
      </c>
      <c r="N222" s="20">
        <v>333.45679999999999</v>
      </c>
      <c r="O222" s="20">
        <f t="shared" si="14"/>
        <v>31.157562499999997</v>
      </c>
      <c r="P222" s="7"/>
      <c r="Q222" s="13"/>
      <c r="R222" s="14"/>
      <c r="S222" s="14"/>
      <c r="T222" s="27"/>
      <c r="U222" s="28">
        <f t="shared" si="15"/>
        <v>1.4046787336842865</v>
      </c>
    </row>
    <row r="223" spans="2:21" x14ac:dyDescent="0.25">
      <c r="B223" s="6" t="s">
        <v>108</v>
      </c>
      <c r="C223" s="15">
        <v>1492.41</v>
      </c>
      <c r="D223" s="16">
        <v>35.917999999999999</v>
      </c>
      <c r="E223" s="16">
        <v>41.536999999999999</v>
      </c>
      <c r="F223" s="16">
        <v>42.991</v>
      </c>
      <c r="G223" s="16">
        <v>79.63</v>
      </c>
      <c r="H223" s="16">
        <f t="shared" si="12"/>
        <v>37.504499999999993</v>
      </c>
      <c r="I223" s="5"/>
      <c r="J223" s="15">
        <v>1511.8639000000001</v>
      </c>
      <c r="K223" s="16">
        <v>37.061500000000002</v>
      </c>
      <c r="L223" s="16">
        <v>43.000799999999998</v>
      </c>
      <c r="M223" s="16">
        <v>44.3872</v>
      </c>
      <c r="N223" s="16">
        <v>191.32650000000001</v>
      </c>
      <c r="O223" s="16">
        <f t="shared" si="14"/>
        <v>38.719625000000008</v>
      </c>
      <c r="P223" s="7"/>
      <c r="Q223" s="8">
        <f>bdrate(C223:C226,D223:D226,J223:J226,K223:K226)</f>
        <v>-0.2662469313008925</v>
      </c>
      <c r="R223" s="8">
        <f>bdrate(C223:C226,E223:E226,J223:J226,L223:L226)</f>
        <v>-0.47554930125432082</v>
      </c>
      <c r="S223" s="8">
        <f>bdrate(C223:C226,F223:F226,J223:J226,M223:M226)</f>
        <v>-0.4384426601931265</v>
      </c>
      <c r="T223" s="25">
        <f>bdrate(C223:C226,H223:H226,J223:J226,O223:O226)</f>
        <v>-0.30978586501821437</v>
      </c>
      <c r="U223" s="28">
        <f t="shared" si="15"/>
        <v>1.4026937084013564</v>
      </c>
    </row>
    <row r="224" spans="2:21" x14ac:dyDescent="0.25">
      <c r="B224" s="9"/>
      <c r="C224" s="17">
        <v>998.44</v>
      </c>
      <c r="D224" s="18">
        <v>34.584000000000003</v>
      </c>
      <c r="E224" s="18">
        <v>40.509</v>
      </c>
      <c r="F224" s="18">
        <v>41.773000000000003</v>
      </c>
      <c r="G224" s="18">
        <v>90.57</v>
      </c>
      <c r="H224" s="18">
        <f t="shared" si="12"/>
        <v>36.223250000000007</v>
      </c>
      <c r="I224" s="5"/>
      <c r="J224" s="17">
        <v>1006.2568</v>
      </c>
      <c r="K224" s="18">
        <v>35.634399999999999</v>
      </c>
      <c r="L224" s="18">
        <v>41.979500000000002</v>
      </c>
      <c r="M224" s="18">
        <v>43.235999999999997</v>
      </c>
      <c r="N224" s="18">
        <v>214.7715</v>
      </c>
      <c r="O224" s="18">
        <f t="shared" si="14"/>
        <v>37.377737500000002</v>
      </c>
      <c r="P224" s="7"/>
      <c r="Q224" s="10"/>
      <c r="R224" s="11"/>
      <c r="S224" s="11"/>
      <c r="T224" s="26"/>
      <c r="U224" s="28">
        <f t="shared" si="15"/>
        <v>1.3713315667439552</v>
      </c>
    </row>
    <row r="225" spans="2:21" x14ac:dyDescent="0.25">
      <c r="B225" s="9"/>
      <c r="C225" s="17">
        <v>601.57000000000005</v>
      </c>
      <c r="D225" s="18">
        <v>32.994999999999997</v>
      </c>
      <c r="E225" s="18">
        <v>39.375</v>
      </c>
      <c r="F225" s="18">
        <v>40.386000000000003</v>
      </c>
      <c r="G225" s="18">
        <v>101.13</v>
      </c>
      <c r="H225" s="18">
        <f t="shared" si="12"/>
        <v>34.716374999999999</v>
      </c>
      <c r="I225" s="5"/>
      <c r="J225" s="17">
        <v>605.04359999999997</v>
      </c>
      <c r="K225" s="18">
        <v>33.988399999999999</v>
      </c>
      <c r="L225" s="18">
        <v>40.838200000000001</v>
      </c>
      <c r="M225" s="18">
        <v>41.977499999999999</v>
      </c>
      <c r="N225" s="18">
        <v>266.90390000000002</v>
      </c>
      <c r="O225" s="18">
        <f t="shared" si="14"/>
        <v>35.843262500000002</v>
      </c>
      <c r="P225" s="7"/>
      <c r="Q225" s="10"/>
      <c r="R225" s="11"/>
      <c r="S225" s="11"/>
      <c r="T225" s="26"/>
      <c r="U225" s="28">
        <f t="shared" si="15"/>
        <v>1.6392158607732625</v>
      </c>
    </row>
    <row r="226" spans="2:21" ht="16.5" thickBot="1" x14ac:dyDescent="0.3">
      <c r="B226" s="12"/>
      <c r="C226" s="19">
        <v>305.87</v>
      </c>
      <c r="D226" s="20">
        <v>31.015999999999998</v>
      </c>
      <c r="E226" s="20">
        <v>38.076999999999998</v>
      </c>
      <c r="F226" s="20">
        <v>38.703000000000003</v>
      </c>
      <c r="G226" s="20">
        <v>118.34</v>
      </c>
      <c r="H226" s="20">
        <f t="shared" si="12"/>
        <v>32.859499999999997</v>
      </c>
      <c r="I226" s="5"/>
      <c r="J226" s="19">
        <v>302.28750000000002</v>
      </c>
      <c r="K226" s="20">
        <v>31.823699999999999</v>
      </c>
      <c r="L226" s="20">
        <v>39.337899999999998</v>
      </c>
      <c r="M226" s="20">
        <v>40.196300000000001</v>
      </c>
      <c r="N226" s="20">
        <v>327.8091</v>
      </c>
      <c r="O226" s="20">
        <f t="shared" si="14"/>
        <v>33.809549999999994</v>
      </c>
      <c r="P226" s="7"/>
      <c r="Q226" s="13"/>
      <c r="R226" s="14"/>
      <c r="S226" s="14"/>
      <c r="T226" s="27"/>
      <c r="U226" s="28">
        <f t="shared" si="15"/>
        <v>1.7700616866655399</v>
      </c>
    </row>
    <row r="227" spans="2:21" x14ac:dyDescent="0.25">
      <c r="B227" s="6" t="s">
        <v>109</v>
      </c>
      <c r="C227" s="15">
        <v>1591.97</v>
      </c>
      <c r="D227" s="16">
        <v>45.156999999999996</v>
      </c>
      <c r="E227" s="16">
        <v>50.255000000000003</v>
      </c>
      <c r="F227" s="16">
        <v>51.656999999999996</v>
      </c>
      <c r="G227" s="16">
        <v>100.46</v>
      </c>
      <c r="H227" s="16">
        <f t="shared" si="12"/>
        <v>46.606749999999998</v>
      </c>
      <c r="I227" s="5"/>
      <c r="J227" s="15">
        <v>1499.0119</v>
      </c>
      <c r="K227" s="16">
        <v>47.164000000000001</v>
      </c>
      <c r="L227" s="16">
        <v>52.492400000000004</v>
      </c>
      <c r="M227" s="16">
        <v>53.798499999999997</v>
      </c>
      <c r="N227" s="16">
        <v>199.512</v>
      </c>
      <c r="O227" s="16">
        <f t="shared" si="14"/>
        <v>48.6593625</v>
      </c>
      <c r="P227" s="7"/>
      <c r="Q227" s="8">
        <f>bdrate(C227:C230,D227:D230,J227:J230,K227:K230)</f>
        <v>-0.35809770424645293</v>
      </c>
      <c r="R227" s="8">
        <f>bdrate(C227:C230,E227:E230,J227:J230,L227:L230)</f>
        <v>-0.4083801349252747</v>
      </c>
      <c r="S227" s="8">
        <f>bdrate(C227:C230,F227:F230,J227:J230,M227:M230)</f>
        <v>-0.38865389622293223</v>
      </c>
      <c r="T227" s="25">
        <f>bdrate(C227:C230,H227:H230,J227:J230,O227:O230)</f>
        <v>-0.36780700295170832</v>
      </c>
      <c r="U227" s="28">
        <f t="shared" si="15"/>
        <v>0.98598447143141565</v>
      </c>
    </row>
    <row r="228" spans="2:21" x14ac:dyDescent="0.25">
      <c r="B228" s="9"/>
      <c r="C228" s="17">
        <v>1058.4000000000001</v>
      </c>
      <c r="D228" s="18">
        <v>43.38</v>
      </c>
      <c r="E228" s="18">
        <v>48.667999999999999</v>
      </c>
      <c r="F228" s="18">
        <v>50.140999999999998</v>
      </c>
      <c r="G228" s="18">
        <v>116.02</v>
      </c>
      <c r="H228" s="18">
        <f t="shared" si="12"/>
        <v>44.886125000000007</v>
      </c>
      <c r="I228" s="5"/>
      <c r="J228" s="17">
        <v>1004.3936</v>
      </c>
      <c r="K228" s="18">
        <v>45.322699999999998</v>
      </c>
      <c r="L228" s="18">
        <v>50.857300000000002</v>
      </c>
      <c r="M228" s="18">
        <v>52.247300000000003</v>
      </c>
      <c r="N228" s="18">
        <v>270.6891</v>
      </c>
      <c r="O228" s="18">
        <f t="shared" si="14"/>
        <v>46.880099999999999</v>
      </c>
      <c r="P228" s="7"/>
      <c r="Q228" s="10"/>
      <c r="R228" s="11"/>
      <c r="S228" s="11"/>
      <c r="T228" s="26"/>
      <c r="U228" s="28">
        <f t="shared" si="15"/>
        <v>1.3331244612997761</v>
      </c>
    </row>
    <row r="229" spans="2:21" x14ac:dyDescent="0.25">
      <c r="B229" s="9"/>
      <c r="C229" s="17">
        <v>636.77</v>
      </c>
      <c r="D229" s="18">
        <v>41.128</v>
      </c>
      <c r="E229" s="18">
        <v>46.738999999999997</v>
      </c>
      <c r="F229" s="18">
        <v>48.287999999999997</v>
      </c>
      <c r="G229" s="18">
        <v>130.6</v>
      </c>
      <c r="H229" s="18">
        <f t="shared" si="12"/>
        <v>42.724375000000002</v>
      </c>
      <c r="I229" s="5"/>
      <c r="J229" s="17">
        <v>602.89639999999997</v>
      </c>
      <c r="K229" s="18">
        <v>42.857500000000002</v>
      </c>
      <c r="L229" s="18">
        <v>48.634399999999999</v>
      </c>
      <c r="M229" s="18">
        <v>49.965800000000002</v>
      </c>
      <c r="N229" s="18">
        <v>303.42380000000003</v>
      </c>
      <c r="O229" s="18">
        <f t="shared" si="14"/>
        <v>44.468150000000001</v>
      </c>
      <c r="P229" s="7"/>
      <c r="Q229" s="10"/>
      <c r="R229" s="11"/>
      <c r="S229" s="11"/>
      <c r="T229" s="26"/>
      <c r="U229" s="28">
        <f t="shared" si="15"/>
        <v>1.3233062787136298</v>
      </c>
    </row>
    <row r="230" spans="2:21" ht="16.5" thickBot="1" x14ac:dyDescent="0.3">
      <c r="B230" s="12"/>
      <c r="C230" s="19">
        <v>321.61</v>
      </c>
      <c r="D230" s="20">
        <v>38.192999999999998</v>
      </c>
      <c r="E230" s="20">
        <v>44.145000000000003</v>
      </c>
      <c r="F230" s="20">
        <v>45.744</v>
      </c>
      <c r="G230" s="20">
        <v>148.6</v>
      </c>
      <c r="H230" s="20">
        <f t="shared" si="12"/>
        <v>39.880875000000003</v>
      </c>
      <c r="I230" s="5"/>
      <c r="J230" s="19">
        <v>301.06790000000001</v>
      </c>
      <c r="K230" s="20">
        <v>39.639400000000002</v>
      </c>
      <c r="L230" s="20">
        <v>45.548999999999999</v>
      </c>
      <c r="M230" s="20">
        <v>47.014899999999997</v>
      </c>
      <c r="N230" s="20">
        <v>373.23649999999998</v>
      </c>
      <c r="O230" s="20">
        <f t="shared" si="14"/>
        <v>41.300037500000002</v>
      </c>
      <c r="P230" s="7"/>
      <c r="Q230" s="13"/>
      <c r="R230" s="14"/>
      <c r="S230" s="14"/>
      <c r="T230" s="27"/>
      <c r="U230" s="28">
        <f t="shared" si="15"/>
        <v>1.511685733512786</v>
      </c>
    </row>
    <row r="231" spans="2:21" x14ac:dyDescent="0.25">
      <c r="B231" s="6" t="s">
        <v>110</v>
      </c>
      <c r="C231" s="15">
        <v>1463.72</v>
      </c>
      <c r="D231" s="16">
        <v>30.881</v>
      </c>
      <c r="E231" s="16">
        <v>38.817999999999998</v>
      </c>
      <c r="F231" s="16">
        <v>38.192999999999998</v>
      </c>
      <c r="G231" s="16">
        <v>73.63</v>
      </c>
      <c r="H231" s="16">
        <f t="shared" si="12"/>
        <v>32.787124999999996</v>
      </c>
      <c r="I231" s="5"/>
      <c r="J231" s="15">
        <v>1496.5741</v>
      </c>
      <c r="K231" s="16">
        <v>31.958500000000001</v>
      </c>
      <c r="L231" s="16">
        <v>40.1616</v>
      </c>
      <c r="M231" s="16">
        <v>39.549300000000002</v>
      </c>
      <c r="N231" s="16">
        <v>143.96539999999999</v>
      </c>
      <c r="O231" s="16">
        <f t="shared" si="14"/>
        <v>33.932737500000002</v>
      </c>
      <c r="P231" s="7"/>
      <c r="Q231" s="8">
        <f>bdrate(C231:C234,D231:D234,J231:J234,K231:K234)</f>
        <v>-0.16787122259781084</v>
      </c>
      <c r="R231" s="8">
        <f>bdrate(C231:C234,E231:E234,J231:J234,L231:L234)</f>
        <v>-0.4118686135429882</v>
      </c>
      <c r="S231" s="8">
        <f>bdrate(C231:C234,F231:F234,J231:J234,M231:M234)</f>
        <v>-0.41206425490024456</v>
      </c>
      <c r="T231" s="25">
        <f>bdrate(C231:C234,H231:H234,J231:J234,O231:O234)</f>
        <v>-0.22147298381757474</v>
      </c>
      <c r="U231" s="28">
        <f t="shared" si="15"/>
        <v>0.95525465163656109</v>
      </c>
    </row>
    <row r="232" spans="2:21" x14ac:dyDescent="0.25">
      <c r="B232" s="9"/>
      <c r="C232" s="17">
        <v>976.91</v>
      </c>
      <c r="D232" s="18">
        <v>29.213999999999999</v>
      </c>
      <c r="E232" s="18">
        <v>37.646000000000001</v>
      </c>
      <c r="F232" s="18">
        <v>36.975000000000001</v>
      </c>
      <c r="G232" s="18">
        <v>75.510000000000005</v>
      </c>
      <c r="H232" s="18">
        <f t="shared" si="12"/>
        <v>31.238125</v>
      </c>
      <c r="I232" s="5"/>
      <c r="J232" s="17">
        <v>995.93560000000002</v>
      </c>
      <c r="K232" s="18">
        <v>30.170400000000001</v>
      </c>
      <c r="L232" s="18">
        <v>39.197899999999997</v>
      </c>
      <c r="M232" s="18">
        <v>38.527200000000001</v>
      </c>
      <c r="N232" s="18">
        <v>191.34690000000001</v>
      </c>
      <c r="O232" s="18">
        <f t="shared" si="14"/>
        <v>32.3434375</v>
      </c>
      <c r="P232" s="7"/>
      <c r="Q232" s="10"/>
      <c r="R232" s="11"/>
      <c r="S232" s="11"/>
      <c r="T232" s="26"/>
      <c r="U232" s="28">
        <f t="shared" si="15"/>
        <v>1.5340603893524036</v>
      </c>
    </row>
    <row r="233" spans="2:21" x14ac:dyDescent="0.25">
      <c r="B233" s="9"/>
      <c r="C233" s="17">
        <v>585.71</v>
      </c>
      <c r="D233" s="18">
        <v>27.137</v>
      </c>
      <c r="E233" s="18">
        <v>36.151000000000003</v>
      </c>
      <c r="F233" s="18">
        <v>35.478999999999999</v>
      </c>
      <c r="G233" s="18">
        <v>92.45</v>
      </c>
      <c r="H233" s="18">
        <f t="shared" si="12"/>
        <v>29.3065</v>
      </c>
      <c r="I233" s="5"/>
      <c r="J233" s="17">
        <v>598.60530000000006</v>
      </c>
      <c r="K233" s="18">
        <v>27.9405</v>
      </c>
      <c r="L233" s="18">
        <v>37.852600000000002</v>
      </c>
      <c r="M233" s="18">
        <v>37.162500000000001</v>
      </c>
      <c r="N233" s="18">
        <v>231.51130000000001</v>
      </c>
      <c r="O233" s="18">
        <f t="shared" si="14"/>
        <v>30.332262499999999</v>
      </c>
      <c r="P233" s="7"/>
      <c r="Q233" s="10"/>
      <c r="R233" s="11"/>
      <c r="S233" s="11"/>
      <c r="T233" s="26"/>
      <c r="U233" s="28">
        <f t="shared" si="15"/>
        <v>1.504178474851271</v>
      </c>
    </row>
    <row r="234" spans="2:21" ht="16.5" thickBot="1" x14ac:dyDescent="0.3">
      <c r="B234" s="12"/>
      <c r="C234" s="19">
        <v>292.95</v>
      </c>
      <c r="D234" s="20">
        <v>24.390999999999998</v>
      </c>
      <c r="E234" s="20">
        <v>33.662999999999997</v>
      </c>
      <c r="F234" s="20">
        <v>33.119</v>
      </c>
      <c r="G234" s="20">
        <v>109.06</v>
      </c>
      <c r="H234" s="20">
        <f t="shared" si="12"/>
        <v>26.641000000000002</v>
      </c>
      <c r="I234" s="5"/>
      <c r="J234" s="19">
        <v>299.73430000000002</v>
      </c>
      <c r="K234" s="20">
        <v>25.111499999999999</v>
      </c>
      <c r="L234" s="20">
        <v>35.488599999999998</v>
      </c>
      <c r="M234" s="20">
        <v>34.903100000000002</v>
      </c>
      <c r="N234" s="20">
        <v>298.904</v>
      </c>
      <c r="O234" s="20">
        <f t="shared" si="14"/>
        <v>27.632587499999996</v>
      </c>
      <c r="P234" s="7"/>
      <c r="Q234" s="13"/>
      <c r="R234" s="14"/>
      <c r="S234" s="14"/>
      <c r="T234" s="27"/>
      <c r="U234" s="28">
        <f t="shared" si="15"/>
        <v>1.7407298734641481</v>
      </c>
    </row>
    <row r="235" spans="2:21" x14ac:dyDescent="0.25">
      <c r="B235" s="6" t="s">
        <v>111</v>
      </c>
      <c r="C235" s="15">
        <v>1509.26</v>
      </c>
      <c r="D235" s="16">
        <v>42.051000000000002</v>
      </c>
      <c r="E235" s="16">
        <v>43.386000000000003</v>
      </c>
      <c r="F235" s="16">
        <v>43.268000000000001</v>
      </c>
      <c r="G235" s="16">
        <v>105.66</v>
      </c>
      <c r="H235" s="16">
        <f t="shared" si="12"/>
        <v>42.370000000000005</v>
      </c>
      <c r="I235" s="5"/>
      <c r="J235" s="15">
        <v>1424.9836</v>
      </c>
      <c r="K235" s="16">
        <v>44.755000000000003</v>
      </c>
      <c r="L235" s="16">
        <v>45.949800000000003</v>
      </c>
      <c r="M235" s="16">
        <v>45.8232</v>
      </c>
      <c r="N235" s="16">
        <v>181.39680000000001</v>
      </c>
      <c r="O235" s="16">
        <f t="shared" si="14"/>
        <v>45.037875</v>
      </c>
      <c r="P235" s="7"/>
      <c r="Q235" s="8">
        <f>bdrate(C235:C238,D235:D238,J235:J238,K235:K238)</f>
        <v>-0.40320191214442902</v>
      </c>
      <c r="R235" s="8">
        <f>bdrate(C235:C238,E235:E238,J235:J238,L235:L238)</f>
        <v>-0.44848772652949964</v>
      </c>
      <c r="S235" s="8">
        <f>bdrate(C235:C238,F235:F238,J235:J238,M235:M238)</f>
        <v>-0.45323390951544429</v>
      </c>
      <c r="T235" s="25">
        <f>bdrate(C235:C238,H235:H238,J235:J238,O235:O238)</f>
        <v>-0.41386887235315362</v>
      </c>
      <c r="U235" s="28">
        <f t="shared" si="15"/>
        <v>0.71679727427597972</v>
      </c>
    </row>
    <row r="236" spans="2:21" x14ac:dyDescent="0.25">
      <c r="B236" s="9"/>
      <c r="C236" s="17">
        <v>1005.48</v>
      </c>
      <c r="D236" s="18">
        <v>39.753</v>
      </c>
      <c r="E236" s="18">
        <v>41.344999999999999</v>
      </c>
      <c r="F236" s="18">
        <v>41.223999999999997</v>
      </c>
      <c r="G236" s="18">
        <v>118.95</v>
      </c>
      <c r="H236" s="18">
        <f t="shared" si="12"/>
        <v>40.135874999999999</v>
      </c>
      <c r="I236" s="5"/>
      <c r="J236" s="17">
        <v>969.9452</v>
      </c>
      <c r="K236" s="18">
        <v>42.88</v>
      </c>
      <c r="L236" s="18">
        <v>44.3142</v>
      </c>
      <c r="M236" s="18">
        <v>44.158000000000001</v>
      </c>
      <c r="N236" s="18">
        <v>234.89490000000001</v>
      </c>
      <c r="O236" s="18">
        <f t="shared" si="14"/>
        <v>43.219025000000002</v>
      </c>
      <c r="P236" s="7"/>
      <c r="Q236" s="10"/>
      <c r="R236" s="11"/>
      <c r="S236" s="11"/>
      <c r="T236" s="26"/>
      <c r="U236" s="28">
        <f t="shared" si="15"/>
        <v>0.97473644388398484</v>
      </c>
    </row>
    <row r="237" spans="2:21" x14ac:dyDescent="0.25">
      <c r="B237" s="9"/>
      <c r="C237" s="17">
        <v>605.89</v>
      </c>
      <c r="D237" s="18">
        <v>36.933999999999997</v>
      </c>
      <c r="E237" s="18">
        <v>39.064999999999998</v>
      </c>
      <c r="F237" s="18">
        <v>38.786000000000001</v>
      </c>
      <c r="G237" s="18">
        <v>130.22</v>
      </c>
      <c r="H237" s="18">
        <f t="shared" si="12"/>
        <v>37.431874999999998</v>
      </c>
      <c r="I237" s="5"/>
      <c r="J237" s="17">
        <v>588.04480000000001</v>
      </c>
      <c r="K237" s="18">
        <v>39.776299999999999</v>
      </c>
      <c r="L237" s="18">
        <v>41.6907</v>
      </c>
      <c r="M237" s="18">
        <v>41.595999999999997</v>
      </c>
      <c r="N237" s="18">
        <v>296.58920000000001</v>
      </c>
      <c r="O237" s="18">
        <f t="shared" si="14"/>
        <v>40.243062500000001</v>
      </c>
      <c r="P237" s="7"/>
      <c r="Q237" s="10"/>
      <c r="R237" s="11"/>
      <c r="S237" s="11"/>
      <c r="T237" s="26"/>
      <c r="U237" s="28">
        <f t="shared" si="15"/>
        <v>1.2776009829519275</v>
      </c>
    </row>
    <row r="238" spans="2:21" ht="16.5" thickBot="1" x14ac:dyDescent="0.3">
      <c r="B238" s="12"/>
      <c r="C238" s="19">
        <v>302.27999999999997</v>
      </c>
      <c r="D238" s="20">
        <v>33.011000000000003</v>
      </c>
      <c r="E238" s="20">
        <v>36.033000000000001</v>
      </c>
      <c r="F238" s="20">
        <v>35.735999999999997</v>
      </c>
      <c r="G238" s="20">
        <v>142.80000000000001</v>
      </c>
      <c r="H238" s="20">
        <f t="shared" si="12"/>
        <v>33.729375000000005</v>
      </c>
      <c r="I238" s="5"/>
      <c r="J238" s="19">
        <v>296.30599999999998</v>
      </c>
      <c r="K238" s="20">
        <v>35.380499999999998</v>
      </c>
      <c r="L238" s="20">
        <v>38.363999999999997</v>
      </c>
      <c r="M238" s="20">
        <v>38.132100000000001</v>
      </c>
      <c r="N238" s="20">
        <v>349.51459999999997</v>
      </c>
      <c r="O238" s="20">
        <f t="shared" si="14"/>
        <v>36.097387499999996</v>
      </c>
      <c r="P238" s="7"/>
      <c r="Q238" s="13"/>
      <c r="R238" s="14"/>
      <c r="S238" s="14"/>
      <c r="T238" s="27"/>
      <c r="U238" s="28">
        <f t="shared" si="15"/>
        <v>1.4475812324929969</v>
      </c>
    </row>
    <row r="239" spans="2:21" x14ac:dyDescent="0.25">
      <c r="B239" s="6" t="s">
        <v>112</v>
      </c>
      <c r="C239" s="15">
        <v>1999.13</v>
      </c>
      <c r="D239" s="16">
        <v>42.210999999999999</v>
      </c>
      <c r="E239" s="16">
        <v>44.363</v>
      </c>
      <c r="F239" s="16">
        <v>44.588999999999999</v>
      </c>
      <c r="G239" s="16">
        <v>104.32</v>
      </c>
      <c r="H239" s="16">
        <f t="shared" si="12"/>
        <v>42.777250000000002</v>
      </c>
      <c r="I239" s="5"/>
      <c r="J239" s="15">
        <v>1409.6070999999999</v>
      </c>
      <c r="K239" s="16">
        <v>45.410299999999999</v>
      </c>
      <c r="L239" s="16">
        <v>47.652900000000002</v>
      </c>
      <c r="M239" s="16">
        <v>47.911099999999998</v>
      </c>
      <c r="N239" s="16">
        <v>190.09399999999999</v>
      </c>
      <c r="O239" s="16">
        <f t="shared" si="14"/>
        <v>46.003224999999993</v>
      </c>
      <c r="P239" s="7"/>
      <c r="Q239" s="8">
        <f>bdrate(C239:C242,D239:D242,J239:J242,K239:K242)</f>
        <v>-0.55646202920884991</v>
      </c>
      <c r="R239" s="8">
        <f>bdrate(C239:C242,E239:E242,J239:J242,L239:L242)</f>
        <v>-0.60007388628320235</v>
      </c>
      <c r="S239" s="8">
        <f>bdrate(C239:C242,F239:F242,J239:J242,M239:M242)</f>
        <v>-0.60130513344335146</v>
      </c>
      <c r="T239" s="25">
        <f>bdrate(C239:C242,H239:H242,J239:J242,O239:O242)</f>
        <v>-0.5668102241716183</v>
      </c>
      <c r="U239" s="28">
        <f t="shared" si="15"/>
        <v>0.82222009202453994</v>
      </c>
    </row>
    <row r="240" spans="2:21" x14ac:dyDescent="0.25">
      <c r="B240" s="9"/>
      <c r="C240" s="17">
        <v>1301.57</v>
      </c>
      <c r="D240" s="18">
        <v>40.128</v>
      </c>
      <c r="E240" s="18">
        <v>42.509</v>
      </c>
      <c r="F240" s="18">
        <v>42.734000000000002</v>
      </c>
      <c r="G240" s="18">
        <v>125.01</v>
      </c>
      <c r="H240" s="18">
        <f t="shared" si="12"/>
        <v>40.751374999999996</v>
      </c>
      <c r="I240" s="5"/>
      <c r="J240" s="17">
        <v>976.98249999999996</v>
      </c>
      <c r="K240" s="18">
        <v>43.904000000000003</v>
      </c>
      <c r="L240" s="18">
        <v>46.387300000000003</v>
      </c>
      <c r="M240" s="18">
        <v>46.630899999999997</v>
      </c>
      <c r="N240" s="18">
        <v>235.41720000000001</v>
      </c>
      <c r="O240" s="18">
        <f t="shared" si="14"/>
        <v>44.555275000000002</v>
      </c>
      <c r="P240" s="7"/>
      <c r="Q240" s="10"/>
      <c r="R240" s="11"/>
      <c r="S240" s="11"/>
      <c r="T240" s="26"/>
      <c r="U240" s="28">
        <f t="shared" si="15"/>
        <v>0.88318694504439643</v>
      </c>
    </row>
    <row r="241" spans="2:21" x14ac:dyDescent="0.25">
      <c r="B241" s="9"/>
      <c r="C241" s="17">
        <v>761.01</v>
      </c>
      <c r="D241" s="18">
        <v>37.737000000000002</v>
      </c>
      <c r="E241" s="18">
        <v>40.411000000000001</v>
      </c>
      <c r="F241" s="18">
        <v>40.67</v>
      </c>
      <c r="G241" s="18">
        <v>136.38</v>
      </c>
      <c r="H241" s="18">
        <f t="shared" si="12"/>
        <v>38.437875000000005</v>
      </c>
      <c r="I241" s="5"/>
      <c r="J241" s="17">
        <v>636.57249999999999</v>
      </c>
      <c r="K241" s="18">
        <v>41.119900000000001</v>
      </c>
      <c r="L241" s="18">
        <v>43.879199999999997</v>
      </c>
      <c r="M241" s="18">
        <v>44.122799999999998</v>
      </c>
      <c r="N241" s="18">
        <v>262.04689999999999</v>
      </c>
      <c r="O241" s="18">
        <f t="shared" si="14"/>
        <v>41.840175000000002</v>
      </c>
      <c r="P241" s="7"/>
      <c r="Q241" s="10"/>
      <c r="R241" s="11"/>
      <c r="S241" s="11"/>
      <c r="T241" s="26"/>
      <c r="U241" s="28">
        <f t="shared" si="15"/>
        <v>0.92144669306349902</v>
      </c>
    </row>
    <row r="242" spans="2:21" ht="16.5" thickBot="1" x14ac:dyDescent="0.3">
      <c r="B242" s="12"/>
      <c r="C242" s="19">
        <v>363.95</v>
      </c>
      <c r="D242" s="20">
        <v>34.442999999999998</v>
      </c>
      <c r="E242" s="20">
        <v>37.805999999999997</v>
      </c>
      <c r="F242" s="20">
        <v>38.137</v>
      </c>
      <c r="G242" s="20">
        <v>151.62</v>
      </c>
      <c r="H242" s="20">
        <f t="shared" si="12"/>
        <v>35.325125</v>
      </c>
      <c r="I242" s="5"/>
      <c r="J242" s="19">
        <v>337.39609999999999</v>
      </c>
      <c r="K242" s="20">
        <v>36.837299999999999</v>
      </c>
      <c r="L242" s="20">
        <v>40.1068</v>
      </c>
      <c r="M242" s="20">
        <v>40.364699999999999</v>
      </c>
      <c r="N242" s="20">
        <v>354.81959999999998</v>
      </c>
      <c r="O242" s="20">
        <f t="shared" si="14"/>
        <v>37.686912500000005</v>
      </c>
      <c r="P242" s="7"/>
      <c r="Q242" s="13"/>
      <c r="R242" s="14"/>
      <c r="S242" s="14"/>
      <c r="T242" s="27"/>
      <c r="U242" s="28">
        <f t="shared" si="15"/>
        <v>1.3401899485555993</v>
      </c>
    </row>
    <row r="243" spans="2:21" x14ac:dyDescent="0.25">
      <c r="B243" s="6" t="s">
        <v>113</v>
      </c>
      <c r="C243" s="29">
        <v>1534.92</v>
      </c>
      <c r="D243" s="30">
        <v>31.146000000000001</v>
      </c>
      <c r="E243" s="30">
        <v>35.061</v>
      </c>
      <c r="F243" s="30">
        <v>33.979999999999997</v>
      </c>
      <c r="G243" s="16">
        <v>84.84</v>
      </c>
      <c r="H243" s="16">
        <f t="shared" si="12"/>
        <v>31.989625</v>
      </c>
      <c r="I243" s="5"/>
      <c r="J243" s="29">
        <v>1509.6984</v>
      </c>
      <c r="K243" s="30">
        <v>32.324100000000001</v>
      </c>
      <c r="L243" s="30">
        <v>36.518799999999999</v>
      </c>
      <c r="M243" s="30">
        <v>35.423999999999999</v>
      </c>
      <c r="N243" s="16">
        <v>177.67250000000001</v>
      </c>
      <c r="O243" s="16">
        <f t="shared" si="14"/>
        <v>33.235925000000002</v>
      </c>
      <c r="P243" s="7"/>
      <c r="Q243" s="8">
        <f>bdrate(C243:C246,D243:D246,J243:J246,K243:K246)</f>
        <v>-0.19562491741986043</v>
      </c>
      <c r="R243" s="8">
        <f>bdrate(C243:C246,E243:E246,J243:J246,L243:L246)</f>
        <v>-0.45421443515164528</v>
      </c>
      <c r="S243" s="8">
        <f>bdrate(C243:C246,F243:F246,J243:J246,M243:M246)</f>
        <v>-0.42907203144665473</v>
      </c>
      <c r="T243" s="25">
        <f>bdrate(C243:C246,H243:H246,J243:J246,O243:O246)</f>
        <v>-0.24705106065950999</v>
      </c>
      <c r="U243" s="28">
        <f t="shared" si="15"/>
        <v>1.0942067421027817</v>
      </c>
    </row>
    <row r="244" spans="2:21" x14ac:dyDescent="0.25">
      <c r="B244" s="9"/>
      <c r="C244" s="31">
        <v>1018.63</v>
      </c>
      <c r="D244" s="32">
        <v>29.483000000000001</v>
      </c>
      <c r="E244" s="32">
        <v>33.982999999999997</v>
      </c>
      <c r="F244" s="32">
        <v>32.826000000000001</v>
      </c>
      <c r="G244" s="18">
        <v>96.72</v>
      </c>
      <c r="H244" s="18">
        <f t="shared" si="12"/>
        <v>30.463374999999999</v>
      </c>
      <c r="I244" s="5"/>
      <c r="J244" s="31">
        <v>1003.8434999999999</v>
      </c>
      <c r="K244" s="32">
        <v>30.461500000000001</v>
      </c>
      <c r="L244" s="32">
        <v>35.502400000000002</v>
      </c>
      <c r="M244" s="32">
        <v>34.3416</v>
      </c>
      <c r="N244" s="18">
        <v>216.78909999999999</v>
      </c>
      <c r="O244" s="18">
        <f t="shared" si="14"/>
        <v>31.576625</v>
      </c>
      <c r="P244" s="7"/>
      <c r="Q244" s="10"/>
      <c r="R244" s="11"/>
      <c r="S244" s="11"/>
      <c r="T244" s="26"/>
      <c r="U244" s="28">
        <f t="shared" si="15"/>
        <v>1.2414092224979321</v>
      </c>
    </row>
    <row r="245" spans="2:21" x14ac:dyDescent="0.25">
      <c r="B245" s="9"/>
      <c r="C245" s="31">
        <v>608.09</v>
      </c>
      <c r="D245" s="32">
        <v>27.510999999999999</v>
      </c>
      <c r="E245" s="32">
        <v>32.703000000000003</v>
      </c>
      <c r="F245" s="32">
        <v>31.448</v>
      </c>
      <c r="G245" s="18">
        <v>107.64</v>
      </c>
      <c r="H245" s="18">
        <f t="shared" si="12"/>
        <v>28.652125000000002</v>
      </c>
      <c r="I245" s="5"/>
      <c r="J245" s="31">
        <v>602.66679999999997</v>
      </c>
      <c r="K245" s="32">
        <v>28.2438</v>
      </c>
      <c r="L245" s="32">
        <v>34.228700000000003</v>
      </c>
      <c r="M245" s="32">
        <v>32.9621</v>
      </c>
      <c r="N245" s="18">
        <v>260.45429999999999</v>
      </c>
      <c r="O245" s="18">
        <f t="shared" si="14"/>
        <v>29.581700000000001</v>
      </c>
      <c r="P245" s="7"/>
      <c r="Q245" s="10"/>
      <c r="R245" s="11"/>
      <c r="S245" s="11"/>
      <c r="T245" s="26"/>
      <c r="U245" s="28">
        <f t="shared" si="15"/>
        <v>1.4196794871794871</v>
      </c>
    </row>
    <row r="246" spans="2:21" ht="16.5" thickBot="1" x14ac:dyDescent="0.3">
      <c r="B246" s="12"/>
      <c r="C246" s="33">
        <v>299.77999999999997</v>
      </c>
      <c r="D246" s="34">
        <v>24.975999999999999</v>
      </c>
      <c r="E246" s="34">
        <v>30.837</v>
      </c>
      <c r="F246" s="34">
        <v>29.478000000000002</v>
      </c>
      <c r="G246" s="20">
        <v>121.3</v>
      </c>
      <c r="H246" s="20">
        <f t="shared" si="12"/>
        <v>26.271374999999999</v>
      </c>
      <c r="I246" s="5"/>
      <c r="J246" s="33">
        <v>303.15640000000002</v>
      </c>
      <c r="K246" s="34">
        <v>25.689</v>
      </c>
      <c r="L246" s="34">
        <v>32.390900000000002</v>
      </c>
      <c r="M246" s="34">
        <v>30.997399999999999</v>
      </c>
      <c r="N246" s="20">
        <v>317.79660000000001</v>
      </c>
      <c r="O246" s="20">
        <f t="shared" si="14"/>
        <v>27.1902875</v>
      </c>
      <c r="P246" s="7"/>
      <c r="Q246" s="13"/>
      <c r="R246" s="14"/>
      <c r="S246" s="14"/>
      <c r="T246" s="27"/>
      <c r="U246" s="28">
        <f t="shared" si="15"/>
        <v>1.6199225061830174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-0.32523673549721671</v>
      </c>
      <c r="R247" s="21">
        <f>AVERAGE(R131:R246)</f>
        <v>-0.47953183734642751</v>
      </c>
      <c r="S247" s="21">
        <f>AVERAGE(S131:S246)</f>
        <v>-0.46994677091437437</v>
      </c>
      <c r="T247" s="21">
        <f>AVERAGE(T131:T246)</f>
        <v>-0.35366639889108348</v>
      </c>
      <c r="U247" s="21">
        <f>AVERAGE(U131:U246)</f>
        <v>1.1643732898967516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05" priority="453" operator="greaterThan">
      <formula>0.03</formula>
    </cfRule>
    <cfRule type="cellIs" dxfId="204" priority="454" stopIfTrue="1" operator="lessThan">
      <formula>-0.03</formula>
    </cfRule>
  </conditionalFormatting>
  <conditionalFormatting sqref="Q33:T36">
    <cfRule type="cellIs" dxfId="203" priority="451" operator="greaterThan">
      <formula>0.03</formula>
    </cfRule>
    <cfRule type="cellIs" dxfId="202" priority="452" stopIfTrue="1" operator="lessThan">
      <formula>-0.03</formula>
    </cfRule>
  </conditionalFormatting>
  <conditionalFormatting sqref="Q46:T48 Q62:T64">
    <cfRule type="cellIs" dxfId="201" priority="449" operator="greaterThan">
      <formula>0.03</formula>
    </cfRule>
    <cfRule type="cellIs" dxfId="200" priority="450" stopIfTrue="1" operator="lessThan">
      <formula>-0.03</formula>
    </cfRule>
  </conditionalFormatting>
  <conditionalFormatting sqref="Q50:T52 Q54:T56 Q58:T60">
    <cfRule type="cellIs" dxfId="199" priority="447" operator="greaterThan">
      <formula>0.03</formula>
    </cfRule>
    <cfRule type="cellIs" dxfId="198" priority="448" stopIfTrue="1" operator="lessThan">
      <formula>-0.03</formula>
    </cfRule>
  </conditionalFormatting>
  <conditionalFormatting sqref="Q70:T72 Q74:T76">
    <cfRule type="cellIs" dxfId="197" priority="445" operator="greaterThan">
      <formula>0.03</formula>
    </cfRule>
    <cfRule type="cellIs" dxfId="196" priority="446" stopIfTrue="1" operator="lessThan">
      <formula>-0.03</formula>
    </cfRule>
  </conditionalFormatting>
  <conditionalFormatting sqref="Q66:T68">
    <cfRule type="cellIs" dxfId="195" priority="443" operator="greaterThan">
      <formula>0.03</formula>
    </cfRule>
    <cfRule type="cellIs" dxfId="194" priority="444" stopIfTrue="1" operator="lessThan">
      <formula>-0.03</formula>
    </cfRule>
  </conditionalFormatting>
  <conditionalFormatting sqref="Q78:T80">
    <cfRule type="cellIs" dxfId="193" priority="441" operator="greaterThan">
      <formula>0.03</formula>
    </cfRule>
    <cfRule type="cellIs" dxfId="192" priority="442" stopIfTrue="1" operator="lessThan">
      <formula>-0.03</formula>
    </cfRule>
  </conditionalFormatting>
  <conditionalFormatting sqref="Q21:T28">
    <cfRule type="cellIs" dxfId="191" priority="423" operator="greaterThan">
      <formula>0.03</formula>
    </cfRule>
    <cfRule type="cellIs" dxfId="190" priority="424" stopIfTrue="1" operator="lessThan">
      <formula>-0.03</formula>
    </cfRule>
  </conditionalFormatting>
  <conditionalFormatting sqref="Q151:T154 Q159:T166 Q131:T142">
    <cfRule type="cellIs" dxfId="189" priority="419" operator="greaterThan">
      <formula>0.03</formula>
    </cfRule>
    <cfRule type="cellIs" dxfId="188" priority="420" stopIfTrue="1" operator="lessThan">
      <formula>-0.03</formula>
    </cfRule>
  </conditionalFormatting>
  <conditionalFormatting sqref="Q155:T158">
    <cfRule type="cellIs" dxfId="187" priority="417" operator="greaterThan">
      <formula>0.03</formula>
    </cfRule>
    <cfRule type="cellIs" dxfId="186" priority="418" stopIfTrue="1" operator="lessThan">
      <formula>-0.03</formula>
    </cfRule>
  </conditionalFormatting>
  <conditionalFormatting sqref="Q167:T170 Q183:T186">
    <cfRule type="cellIs" dxfId="185" priority="415" operator="greaterThan">
      <formula>0.03</formula>
    </cfRule>
    <cfRule type="cellIs" dxfId="184" priority="416" stopIfTrue="1" operator="lessThan">
      <formula>-0.03</formula>
    </cfRule>
  </conditionalFormatting>
  <conditionalFormatting sqref="Q171:T182">
    <cfRule type="cellIs" dxfId="183" priority="413" operator="greaterThan">
      <formula>0.03</formula>
    </cfRule>
    <cfRule type="cellIs" dxfId="182" priority="414" stopIfTrue="1" operator="lessThan">
      <formula>-0.03</formula>
    </cfRule>
  </conditionalFormatting>
  <conditionalFormatting sqref="Q191:T198">
    <cfRule type="cellIs" dxfId="181" priority="411" operator="greaterThan">
      <formula>0.03</formula>
    </cfRule>
    <cfRule type="cellIs" dxfId="180" priority="412" stopIfTrue="1" operator="lessThan">
      <formula>-0.03</formula>
    </cfRule>
  </conditionalFormatting>
  <conditionalFormatting sqref="Q187:T190">
    <cfRule type="cellIs" dxfId="179" priority="409" operator="greaterThan">
      <formula>0.03</formula>
    </cfRule>
    <cfRule type="cellIs" dxfId="178" priority="410" stopIfTrue="1" operator="lessThan">
      <formula>-0.03</formula>
    </cfRule>
  </conditionalFormatting>
  <conditionalFormatting sqref="Q199:T202">
    <cfRule type="cellIs" dxfId="177" priority="407" operator="greaterThan">
      <formula>0.03</formula>
    </cfRule>
    <cfRule type="cellIs" dxfId="176" priority="408" stopIfTrue="1" operator="lessThan">
      <formula>-0.03</formula>
    </cfRule>
  </conditionalFormatting>
  <conditionalFormatting sqref="Q143:T150">
    <cfRule type="cellIs" dxfId="175" priority="405" operator="greaterThan">
      <formula>0.03</formula>
    </cfRule>
    <cfRule type="cellIs" dxfId="174" priority="406" stopIfTrue="1" operator="lessThan">
      <formula>-0.03</formula>
    </cfRule>
  </conditionalFormatting>
  <conditionalFormatting sqref="Q45:T45">
    <cfRule type="cellIs" dxfId="173" priority="403" operator="greaterThan">
      <formula>0.03</formula>
    </cfRule>
    <cfRule type="cellIs" dxfId="172" priority="404" stopIfTrue="1" operator="lessThan">
      <formula>-0.03</formula>
    </cfRule>
  </conditionalFormatting>
  <conditionalFormatting sqref="Q49:T49">
    <cfRule type="cellIs" dxfId="171" priority="401" operator="greaterThan">
      <formula>0.03</formula>
    </cfRule>
    <cfRule type="cellIs" dxfId="170" priority="402" stopIfTrue="1" operator="lessThan">
      <formula>-0.03</formula>
    </cfRule>
  </conditionalFormatting>
  <conditionalFormatting sqref="Q53:T53">
    <cfRule type="cellIs" dxfId="169" priority="399" operator="greaterThan">
      <formula>0.03</formula>
    </cfRule>
    <cfRule type="cellIs" dxfId="168" priority="400" stopIfTrue="1" operator="lessThan">
      <formula>-0.03</formula>
    </cfRule>
  </conditionalFormatting>
  <conditionalFormatting sqref="Q57:T57">
    <cfRule type="cellIs" dxfId="167" priority="397" operator="greaterThan">
      <formula>0.03</formula>
    </cfRule>
    <cfRule type="cellIs" dxfId="166" priority="398" stopIfTrue="1" operator="lessThan">
      <formula>-0.03</formula>
    </cfRule>
  </conditionalFormatting>
  <conditionalFormatting sqref="Q61:T61">
    <cfRule type="cellIs" dxfId="165" priority="395" operator="greaterThan">
      <formula>0.03</formula>
    </cfRule>
    <cfRule type="cellIs" dxfId="164" priority="396" stopIfTrue="1" operator="lessThan">
      <formula>-0.03</formula>
    </cfRule>
  </conditionalFormatting>
  <conditionalFormatting sqref="Q65:T65">
    <cfRule type="cellIs" dxfId="163" priority="393" operator="greaterThan">
      <formula>0.03</formula>
    </cfRule>
    <cfRule type="cellIs" dxfId="162" priority="394" stopIfTrue="1" operator="lessThan">
      <formula>-0.03</formula>
    </cfRule>
  </conditionalFormatting>
  <conditionalFormatting sqref="Q69:T69">
    <cfRule type="cellIs" dxfId="161" priority="391" operator="greaterThan">
      <formula>0.03</formula>
    </cfRule>
    <cfRule type="cellIs" dxfId="160" priority="392" stopIfTrue="1" operator="lessThan">
      <formula>-0.03</formula>
    </cfRule>
  </conditionalFormatting>
  <conditionalFormatting sqref="Q73:T73">
    <cfRule type="cellIs" dxfId="159" priority="389" operator="greaterThan">
      <formula>0.03</formula>
    </cfRule>
    <cfRule type="cellIs" dxfId="158" priority="390" stopIfTrue="1" operator="lessThan">
      <formula>-0.03</formula>
    </cfRule>
  </conditionalFormatting>
  <conditionalFormatting sqref="Q77:T77">
    <cfRule type="cellIs" dxfId="157" priority="387" operator="greaterThan">
      <formula>0.03</formula>
    </cfRule>
    <cfRule type="cellIs" dxfId="156" priority="388" stopIfTrue="1" operator="lessThan">
      <formula>-0.03</formula>
    </cfRule>
  </conditionalFormatting>
  <conditionalFormatting sqref="Q117:T117">
    <cfRule type="cellIs" dxfId="155" priority="99" operator="greaterThan">
      <formula>0.03</formula>
    </cfRule>
    <cfRule type="cellIs" dxfId="154" priority="100" stopIfTrue="1" operator="lessThan">
      <formula>-0.03</formula>
    </cfRule>
  </conditionalFormatting>
  <conditionalFormatting sqref="Q93:T96 Q101:T108 Q81:T84">
    <cfRule type="cellIs" dxfId="153" priority="113" operator="greaterThan">
      <formula>0.03</formula>
    </cfRule>
    <cfRule type="cellIs" dxfId="152" priority="114" stopIfTrue="1" operator="lessThan">
      <formula>-0.03</formula>
    </cfRule>
  </conditionalFormatting>
  <conditionalFormatting sqref="Q97:T100">
    <cfRule type="cellIs" dxfId="151" priority="111" operator="greaterThan">
      <formula>0.03</formula>
    </cfRule>
    <cfRule type="cellIs" dxfId="150" priority="112" stopIfTrue="1" operator="lessThan">
      <formula>-0.03</formula>
    </cfRule>
  </conditionalFormatting>
  <conditionalFormatting sqref="Q110:T112 Q122:T124">
    <cfRule type="cellIs" dxfId="149" priority="109" operator="greaterThan">
      <formula>0.03</formula>
    </cfRule>
    <cfRule type="cellIs" dxfId="148" priority="110" stopIfTrue="1" operator="lessThan">
      <formula>-0.03</formula>
    </cfRule>
  </conditionalFormatting>
  <conditionalFormatting sqref="Q114:T116 Q118:T120">
    <cfRule type="cellIs" dxfId="147" priority="107" operator="greaterThan">
      <formula>0.03</formula>
    </cfRule>
    <cfRule type="cellIs" dxfId="146" priority="108" stopIfTrue="1" operator="lessThan">
      <formula>-0.03</formula>
    </cfRule>
  </conditionalFormatting>
  <conditionalFormatting sqref="Q85:T92">
    <cfRule type="cellIs" dxfId="145" priority="105" operator="greaterThan">
      <formula>0.03</formula>
    </cfRule>
    <cfRule type="cellIs" dxfId="144" priority="106" stopIfTrue="1" operator="lessThan">
      <formula>-0.03</formula>
    </cfRule>
  </conditionalFormatting>
  <conditionalFormatting sqref="Q109:T109">
    <cfRule type="cellIs" dxfId="143" priority="103" operator="greaterThan">
      <formula>0.03</formula>
    </cfRule>
    <cfRule type="cellIs" dxfId="142" priority="104" stopIfTrue="1" operator="lessThan">
      <formula>-0.03</formula>
    </cfRule>
  </conditionalFormatting>
  <conditionalFormatting sqref="Q113:T113">
    <cfRule type="cellIs" dxfId="141" priority="101" operator="greaterThan">
      <formula>0.03</formula>
    </cfRule>
    <cfRule type="cellIs" dxfId="140" priority="102" stopIfTrue="1" operator="lessThan">
      <formula>-0.03</formula>
    </cfRule>
  </conditionalFormatting>
  <conditionalFormatting sqref="Q121:T121">
    <cfRule type="cellIs" dxfId="139" priority="97" operator="greaterThan">
      <formula>0.03</formula>
    </cfRule>
    <cfRule type="cellIs" dxfId="138" priority="98" stopIfTrue="1" operator="lessThan">
      <formula>-0.03</formula>
    </cfRule>
  </conditionalFormatting>
  <conditionalFormatting sqref="Q239:T239">
    <cfRule type="cellIs" dxfId="137" priority="33" operator="greaterThan">
      <formula>0.03</formula>
    </cfRule>
    <cfRule type="cellIs" dxfId="136" priority="34" stopIfTrue="1" operator="lessThan">
      <formula>-0.03</formula>
    </cfRule>
  </conditionalFormatting>
  <conditionalFormatting sqref="Q215:T218 Q223:T230 Q203:T206">
    <cfRule type="cellIs" dxfId="135" priority="47" operator="greaterThan">
      <formula>0.03</formula>
    </cfRule>
    <cfRule type="cellIs" dxfId="134" priority="48" stopIfTrue="1" operator="lessThan">
      <formula>-0.03</formula>
    </cfRule>
  </conditionalFormatting>
  <conditionalFormatting sqref="Q219:T222">
    <cfRule type="cellIs" dxfId="133" priority="45" operator="greaterThan">
      <formula>0.03</formula>
    </cfRule>
    <cfRule type="cellIs" dxfId="132" priority="46" stopIfTrue="1" operator="lessThan">
      <formula>-0.03</formula>
    </cfRule>
  </conditionalFormatting>
  <conditionalFormatting sqref="Q232:T234 Q244:T246">
    <cfRule type="cellIs" dxfId="131" priority="43" operator="greaterThan">
      <formula>0.03</formula>
    </cfRule>
    <cfRule type="cellIs" dxfId="130" priority="44" stopIfTrue="1" operator="lessThan">
      <formula>-0.03</formula>
    </cfRule>
  </conditionalFormatting>
  <conditionalFormatting sqref="Q236:T238 Q240:T242">
    <cfRule type="cellIs" dxfId="129" priority="41" operator="greaterThan">
      <formula>0.03</formula>
    </cfRule>
    <cfRule type="cellIs" dxfId="128" priority="42" stopIfTrue="1" operator="lessThan">
      <formula>-0.03</formula>
    </cfRule>
  </conditionalFormatting>
  <conditionalFormatting sqref="Q207:T214">
    <cfRule type="cellIs" dxfId="127" priority="39" operator="greaterThan">
      <formula>0.03</formula>
    </cfRule>
    <cfRule type="cellIs" dxfId="126" priority="40" stopIfTrue="1" operator="lessThan">
      <formula>-0.03</formula>
    </cfRule>
  </conditionalFormatting>
  <conditionalFormatting sqref="Q231:T231">
    <cfRule type="cellIs" dxfId="125" priority="37" operator="greaterThan">
      <formula>0.03</formula>
    </cfRule>
    <cfRule type="cellIs" dxfId="124" priority="38" stopIfTrue="1" operator="lessThan">
      <formula>-0.03</formula>
    </cfRule>
  </conditionalFormatting>
  <conditionalFormatting sqref="Q235:T235">
    <cfRule type="cellIs" dxfId="123" priority="35" operator="greaterThan">
      <formula>0.03</formula>
    </cfRule>
    <cfRule type="cellIs" dxfId="122" priority="36" stopIfTrue="1" operator="lessThan">
      <formula>-0.03</formula>
    </cfRule>
  </conditionalFormatting>
  <conditionalFormatting sqref="Q243:T243">
    <cfRule type="cellIs" dxfId="121" priority="31" operator="greaterThan">
      <formula>0.03</formula>
    </cfRule>
    <cfRule type="cellIs" dxfId="120" priority="32" stopIfTrue="1" operator="lessThan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97</v>
      </c>
    </row>
    <row r="2" spans="1:21" x14ac:dyDescent="0.25">
      <c r="A2" t="s">
        <v>93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68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3673.43</v>
      </c>
      <c r="D9" s="16">
        <v>37.838000000000001</v>
      </c>
      <c r="E9" s="16">
        <v>39.029000000000003</v>
      </c>
      <c r="F9" s="16">
        <v>41.393000000000001</v>
      </c>
      <c r="G9" s="16">
        <v>1.5</v>
      </c>
      <c r="H9" s="16">
        <f t="shared" ref="H9:H80" si="0">(6*D9+E9+F9)/8</f>
        <v>38.431250000000006</v>
      </c>
      <c r="I9" s="5"/>
      <c r="J9" s="15">
        <v>3943.8719999999998</v>
      </c>
      <c r="K9" s="16">
        <v>38.464599999999997</v>
      </c>
      <c r="L9" s="16">
        <v>39.967199999999998</v>
      </c>
      <c r="M9" s="16">
        <v>42.634500000000003</v>
      </c>
      <c r="N9" s="16">
        <v>3.9487999999999999</v>
      </c>
      <c r="O9" s="16">
        <f t="shared" ref="O9:O80" si="1">(6*K9+L9+M9)/8</f>
        <v>39.173662499999999</v>
      </c>
      <c r="P9" s="7"/>
      <c r="Q9" s="8">
        <f>bdrate(C9:C12,D9:D12,J9:J12,K9:K12)</f>
        <v>-7.8670690596815307E-2</v>
      </c>
      <c r="R9" s="8">
        <f>bdrate(C9:C12,E9:E12,J9:J12,L9:L12)</f>
        <v>-0.44258656066371449</v>
      </c>
      <c r="S9" s="8">
        <f>bdrate(C9:C12,F9:F12,J9:J12,M9:M12)</f>
        <v>-0.41655725883098882</v>
      </c>
      <c r="T9" s="25">
        <f>bdrate(C9:C12,H9:H12,J9:J12,O9:O12)</f>
        <v>-0.1399323818034377</v>
      </c>
      <c r="U9" s="28">
        <f t="shared" ref="U9:U72" si="2">(N9-G9)/G9</f>
        <v>1.6325333333333332</v>
      </c>
    </row>
    <row r="10" spans="1:21" x14ac:dyDescent="0.25">
      <c r="A10" s="9" t="s">
        <v>36</v>
      </c>
      <c r="B10" s="9"/>
      <c r="C10" s="17">
        <v>2726.48</v>
      </c>
      <c r="D10" s="18">
        <v>36.926000000000002</v>
      </c>
      <c r="E10" s="18">
        <v>38.445999999999998</v>
      </c>
      <c r="F10" s="18">
        <v>40.786999999999999</v>
      </c>
      <c r="G10" s="18">
        <v>1.64</v>
      </c>
      <c r="H10" s="18">
        <f t="shared" si="0"/>
        <v>37.598624999999998</v>
      </c>
      <c r="I10" s="5"/>
      <c r="J10" s="17">
        <v>2896.3888000000002</v>
      </c>
      <c r="K10" s="18">
        <v>37.522399999999998</v>
      </c>
      <c r="L10" s="18">
        <v>39.486499999999999</v>
      </c>
      <c r="M10" s="18">
        <v>41.977499999999999</v>
      </c>
      <c r="N10" s="18">
        <v>4.6973000000000003</v>
      </c>
      <c r="O10" s="18">
        <f t="shared" si="1"/>
        <v>38.324799999999996</v>
      </c>
      <c r="P10" s="7"/>
      <c r="Q10" s="10"/>
      <c r="R10" s="11"/>
      <c r="S10" s="11"/>
      <c r="T10" s="26"/>
      <c r="U10" s="28">
        <f t="shared" si="2"/>
        <v>1.8642073170731712</v>
      </c>
    </row>
    <row r="11" spans="1:21" x14ac:dyDescent="0.25">
      <c r="B11" s="9"/>
      <c r="C11" s="17">
        <v>1799.93</v>
      </c>
      <c r="D11" s="18">
        <v>35.686</v>
      </c>
      <c r="E11" s="18">
        <v>37.753999999999998</v>
      </c>
      <c r="F11" s="18">
        <v>40.085000000000001</v>
      </c>
      <c r="G11" s="18">
        <v>1.85</v>
      </c>
      <c r="H11" s="18">
        <f t="shared" si="0"/>
        <v>36.494374999999998</v>
      </c>
      <c r="I11" s="5"/>
      <c r="J11" s="17">
        <v>1890.1648</v>
      </c>
      <c r="K11" s="18">
        <v>36.1539</v>
      </c>
      <c r="L11" s="18">
        <v>38.845799999999997</v>
      </c>
      <c r="M11" s="18">
        <v>41.2014</v>
      </c>
      <c r="N11" s="18">
        <v>5.7099000000000002</v>
      </c>
      <c r="O11" s="18">
        <f t="shared" si="1"/>
        <v>37.121324999999999</v>
      </c>
      <c r="P11" s="7"/>
      <c r="Q11" s="10"/>
      <c r="R11" s="11"/>
      <c r="S11" s="11"/>
      <c r="T11" s="26"/>
      <c r="U11" s="28">
        <f t="shared" si="2"/>
        <v>2.0864324324324324</v>
      </c>
    </row>
    <row r="12" spans="1:21" ht="16.5" thickBot="1" x14ac:dyDescent="0.3">
      <c r="B12" s="12"/>
      <c r="C12" s="19">
        <v>867.52</v>
      </c>
      <c r="D12" s="20">
        <v>33.344999999999999</v>
      </c>
      <c r="E12" s="20">
        <v>36.94</v>
      </c>
      <c r="F12" s="20">
        <v>39.219000000000001</v>
      </c>
      <c r="G12" s="20">
        <v>2.23</v>
      </c>
      <c r="H12" s="20">
        <f t="shared" si="0"/>
        <v>34.528624999999998</v>
      </c>
      <c r="I12" s="5"/>
      <c r="J12" s="19">
        <v>940.51520000000005</v>
      </c>
      <c r="K12" s="20">
        <v>33.588200000000001</v>
      </c>
      <c r="L12" s="20">
        <v>37.5749</v>
      </c>
      <c r="M12" s="20">
        <v>39.747399999999999</v>
      </c>
      <c r="N12" s="20">
        <v>7.9138999999999999</v>
      </c>
      <c r="O12" s="20">
        <f t="shared" si="1"/>
        <v>34.856437499999998</v>
      </c>
      <c r="P12" s="7"/>
      <c r="Q12" s="13"/>
      <c r="R12" s="14"/>
      <c r="S12" s="14"/>
      <c r="T12" s="27"/>
      <c r="U12" s="28">
        <f t="shared" si="2"/>
        <v>2.5488340807174885</v>
      </c>
    </row>
    <row r="13" spans="1:21" x14ac:dyDescent="0.25">
      <c r="B13" s="6" t="s">
        <v>47</v>
      </c>
      <c r="C13" s="15">
        <v>4119.2299999999996</v>
      </c>
      <c r="D13" s="16">
        <v>30.413</v>
      </c>
      <c r="E13" s="16">
        <v>38.417999999999999</v>
      </c>
      <c r="F13" s="16">
        <v>39.692999999999998</v>
      </c>
      <c r="G13" s="16">
        <v>0.97</v>
      </c>
      <c r="H13" s="16">
        <f t="shared" si="0"/>
        <v>32.573625</v>
      </c>
      <c r="I13" s="5"/>
      <c r="J13" s="15">
        <v>4111.1184000000003</v>
      </c>
      <c r="K13" s="16">
        <v>29.9497</v>
      </c>
      <c r="L13" s="16">
        <v>40.4801</v>
      </c>
      <c r="M13" s="16">
        <v>41.347499999999997</v>
      </c>
      <c r="N13" s="16">
        <v>2.4146999999999998</v>
      </c>
      <c r="O13" s="16">
        <f t="shared" si="1"/>
        <v>32.690725</v>
      </c>
      <c r="P13" s="7"/>
      <c r="Q13" s="8">
        <f>bdrate(C13:C16,D13:D16,J13:J16,K13:K16)</f>
        <v>4.8153101655181718E-2</v>
      </c>
      <c r="R13" s="8">
        <f>bdrate(C13:C16,E13:E16,J13:J16,L13:L16)</f>
        <v>-0.62302780854784623</v>
      </c>
      <c r="S13" s="8">
        <f>bdrate(C13:C16,F13:F16,J13:J16,M13:M16)</f>
        <v>-0.59535420885072654</v>
      </c>
      <c r="T13" s="25">
        <f>bdrate(C13:C16,H13:H16,J13:J16,O13:O16)</f>
        <v>-7.8408708461874421E-2</v>
      </c>
      <c r="U13" s="28">
        <f t="shared" si="2"/>
        <v>1.4893814432989689</v>
      </c>
    </row>
    <row r="14" spans="1:21" x14ac:dyDescent="0.25">
      <c r="B14" s="9"/>
      <c r="C14" s="17">
        <v>3062.62</v>
      </c>
      <c r="D14" s="18">
        <v>29.001000000000001</v>
      </c>
      <c r="E14" s="18">
        <v>37.822000000000003</v>
      </c>
      <c r="F14" s="18">
        <v>39.164999999999999</v>
      </c>
      <c r="G14" s="18">
        <v>1.0900000000000001</v>
      </c>
      <c r="H14" s="18">
        <f t="shared" si="0"/>
        <v>31.374124999999999</v>
      </c>
      <c r="I14" s="5"/>
      <c r="J14" s="17">
        <v>3065.9520000000002</v>
      </c>
      <c r="K14" s="18">
        <v>28.633900000000001</v>
      </c>
      <c r="L14" s="18">
        <v>40.0184</v>
      </c>
      <c r="M14" s="18">
        <v>40.962600000000002</v>
      </c>
      <c r="N14" s="18">
        <v>2.8363999999999998</v>
      </c>
      <c r="O14" s="18">
        <f t="shared" si="1"/>
        <v>31.598050000000001</v>
      </c>
      <c r="P14" s="7"/>
      <c r="Q14" s="10"/>
      <c r="R14" s="11"/>
      <c r="S14" s="11"/>
      <c r="T14" s="26"/>
      <c r="U14" s="28">
        <f t="shared" si="2"/>
        <v>1.602201834862385</v>
      </c>
    </row>
    <row r="15" spans="1:21" x14ac:dyDescent="0.25">
      <c r="B15" s="9"/>
      <c r="C15" s="17">
        <v>2026.08</v>
      </c>
      <c r="D15" s="18">
        <v>27.082000000000001</v>
      </c>
      <c r="E15" s="18">
        <v>36.908000000000001</v>
      </c>
      <c r="F15" s="18">
        <v>38.353999999999999</v>
      </c>
      <c r="G15" s="18">
        <v>1.26</v>
      </c>
      <c r="H15" s="18">
        <f t="shared" si="0"/>
        <v>29.719250000000002</v>
      </c>
      <c r="I15" s="5"/>
      <c r="J15" s="17">
        <v>2063.2240000000002</v>
      </c>
      <c r="K15" s="18">
        <v>26.9</v>
      </c>
      <c r="L15" s="18">
        <v>39.2898</v>
      </c>
      <c r="M15" s="18">
        <v>40.323900000000002</v>
      </c>
      <c r="N15" s="18">
        <v>3.46</v>
      </c>
      <c r="O15" s="18">
        <f t="shared" si="1"/>
        <v>30.1267125</v>
      </c>
      <c r="P15" s="7"/>
      <c r="Q15" s="10"/>
      <c r="R15" s="11"/>
      <c r="S15" s="11"/>
      <c r="T15" s="26"/>
      <c r="U15" s="28">
        <f t="shared" si="2"/>
        <v>1.7460317460317463</v>
      </c>
    </row>
    <row r="16" spans="1:21" ht="16.5" thickBot="1" x14ac:dyDescent="0.3">
      <c r="B16" s="12"/>
      <c r="C16" s="19">
        <v>1496.79</v>
      </c>
      <c r="D16" s="20">
        <v>24.893999999999998</v>
      </c>
      <c r="E16" s="20">
        <v>35.433999999999997</v>
      </c>
      <c r="F16" s="20">
        <v>37.030999999999999</v>
      </c>
      <c r="G16" s="20">
        <v>1.94</v>
      </c>
      <c r="H16" s="20">
        <f t="shared" si="0"/>
        <v>27.728624999999997</v>
      </c>
      <c r="I16" s="5"/>
      <c r="J16" s="19">
        <v>1389.5168000000001</v>
      </c>
      <c r="K16" s="20">
        <v>25.638200000000001</v>
      </c>
      <c r="L16" s="20">
        <v>38.121200000000002</v>
      </c>
      <c r="M16" s="20">
        <v>39.259599999999999</v>
      </c>
      <c r="N16" s="20">
        <v>3.9422999999999999</v>
      </c>
      <c r="O16" s="20">
        <f t="shared" si="1"/>
        <v>28.901250000000001</v>
      </c>
      <c r="P16" s="7"/>
      <c r="Q16" s="13"/>
      <c r="R16" s="14"/>
      <c r="S16" s="14"/>
      <c r="T16" s="27"/>
      <c r="U16" s="28">
        <f t="shared" si="2"/>
        <v>1.0321134020618556</v>
      </c>
    </row>
    <row r="17" spans="1:21" x14ac:dyDescent="0.25">
      <c r="A17" s="6" t="s">
        <v>37</v>
      </c>
      <c r="B17" s="6" t="s">
        <v>48</v>
      </c>
      <c r="C17" s="15">
        <v>2006.5</v>
      </c>
      <c r="D17" s="16">
        <v>39.371000000000002</v>
      </c>
      <c r="E17" s="16">
        <v>41.576999999999998</v>
      </c>
      <c r="F17" s="16">
        <v>42.834000000000003</v>
      </c>
      <c r="G17" s="16">
        <v>1.64</v>
      </c>
      <c r="H17" s="16">
        <f t="shared" si="0"/>
        <v>40.079625</v>
      </c>
      <c r="I17" s="5"/>
      <c r="J17" s="15">
        <v>2156.2624000000001</v>
      </c>
      <c r="K17" s="16">
        <v>39.190399999999997</v>
      </c>
      <c r="L17" s="16">
        <v>42.0214</v>
      </c>
      <c r="M17" s="16">
        <v>43.451599999999999</v>
      </c>
      <c r="N17" s="16">
        <v>6.3102999999999998</v>
      </c>
      <c r="O17" s="16">
        <f t="shared" si="1"/>
        <v>40.076924999999996</v>
      </c>
      <c r="P17" s="7"/>
      <c r="Q17" s="8">
        <f>bdrate(C17:C20,D17:D20,J17:J20,K17:K20)</f>
        <v>6.9859239256865768E-2</v>
      </c>
      <c r="R17" s="8">
        <f>bdrate(C17:C20,E17:E20,J17:J20,L17:L20)</f>
        <v>-0.32112312865061632</v>
      </c>
      <c r="S17" s="8">
        <f>bdrate(C17:C20,F17:F20,J17:J20,M17:M20)</f>
        <v>-0.32483809517553086</v>
      </c>
      <c r="T17" s="25">
        <f>bdrate(C17:C20,H17:H20,J17:J20,O17:O20)</f>
        <v>-4.4468957042054225E-4</v>
      </c>
      <c r="U17" s="28">
        <f t="shared" si="2"/>
        <v>2.8477439024390248</v>
      </c>
    </row>
    <row r="18" spans="1:21" x14ac:dyDescent="0.25">
      <c r="A18" s="9" t="s">
        <v>38</v>
      </c>
      <c r="B18" s="9"/>
      <c r="C18" s="17">
        <v>1315.4</v>
      </c>
      <c r="D18" s="18">
        <v>38.055</v>
      </c>
      <c r="E18" s="18">
        <v>40.680999999999997</v>
      </c>
      <c r="F18" s="18">
        <v>41.893999999999998</v>
      </c>
      <c r="G18" s="18">
        <v>1.91</v>
      </c>
      <c r="H18" s="18">
        <f t="shared" si="0"/>
        <v>38.863124999999997</v>
      </c>
      <c r="I18" s="5"/>
      <c r="J18" s="17">
        <v>1408.652</v>
      </c>
      <c r="K18" s="18">
        <v>37.981499999999997</v>
      </c>
      <c r="L18" s="18">
        <v>41.388199999999998</v>
      </c>
      <c r="M18" s="18">
        <v>42.675899999999999</v>
      </c>
      <c r="N18" s="18">
        <v>7.5861000000000001</v>
      </c>
      <c r="O18" s="18">
        <f t="shared" si="1"/>
        <v>38.994137500000001</v>
      </c>
      <c r="P18" s="7"/>
      <c r="Q18" s="10"/>
      <c r="R18" s="11"/>
      <c r="S18" s="11"/>
      <c r="T18" s="26"/>
      <c r="U18" s="28">
        <f t="shared" si="2"/>
        <v>2.971780104712042</v>
      </c>
    </row>
    <row r="19" spans="1:21" x14ac:dyDescent="0.25">
      <c r="B19" s="9"/>
      <c r="C19" s="17">
        <v>813.6</v>
      </c>
      <c r="D19" s="18">
        <v>36.421999999999997</v>
      </c>
      <c r="E19" s="18">
        <v>39.741999999999997</v>
      </c>
      <c r="F19" s="18">
        <v>41.045999999999999</v>
      </c>
      <c r="G19" s="18">
        <v>2.29</v>
      </c>
      <c r="H19" s="18">
        <f t="shared" si="0"/>
        <v>37.414999999999999</v>
      </c>
      <c r="I19" s="5"/>
      <c r="J19" s="17">
        <v>869.77279999999996</v>
      </c>
      <c r="K19" s="18">
        <v>36.465000000000003</v>
      </c>
      <c r="L19" s="18">
        <v>40.650700000000001</v>
      </c>
      <c r="M19" s="18">
        <v>41.874699999999997</v>
      </c>
      <c r="N19" s="18">
        <v>9.3922000000000008</v>
      </c>
      <c r="O19" s="18">
        <f t="shared" si="1"/>
        <v>37.664425000000001</v>
      </c>
      <c r="P19" s="7"/>
      <c r="Q19" s="10"/>
      <c r="R19" s="11"/>
      <c r="S19" s="11"/>
      <c r="T19" s="26"/>
      <c r="U19" s="28">
        <f t="shared" si="2"/>
        <v>3.101397379912664</v>
      </c>
    </row>
    <row r="20" spans="1:21" ht="16.5" thickBot="1" x14ac:dyDescent="0.3">
      <c r="B20" s="12"/>
      <c r="C20" s="19">
        <v>482.46</v>
      </c>
      <c r="D20" s="20">
        <v>34.552</v>
      </c>
      <c r="E20" s="20">
        <v>38.770000000000003</v>
      </c>
      <c r="F20" s="20">
        <v>40.28</v>
      </c>
      <c r="G20" s="20">
        <v>2.71</v>
      </c>
      <c r="H20" s="20">
        <f t="shared" si="0"/>
        <v>35.795250000000003</v>
      </c>
      <c r="I20" s="5"/>
      <c r="J20" s="19">
        <v>508.49200000000002</v>
      </c>
      <c r="K20" s="20">
        <v>34.6905</v>
      </c>
      <c r="L20" s="20">
        <v>39.919600000000003</v>
      </c>
      <c r="M20" s="20">
        <v>41.164700000000003</v>
      </c>
      <c r="N20" s="20">
        <v>11.9725</v>
      </c>
      <c r="O20" s="20">
        <f t="shared" si="1"/>
        <v>36.153412500000002</v>
      </c>
      <c r="P20" s="7"/>
      <c r="Q20" s="13"/>
      <c r="R20" s="14"/>
      <c r="S20" s="14"/>
      <c r="T20" s="27"/>
      <c r="U20" s="28">
        <f t="shared" si="2"/>
        <v>3.4178966789667893</v>
      </c>
    </row>
    <row r="21" spans="1:21" x14ac:dyDescent="0.25">
      <c r="B21" s="6" t="s">
        <v>49</v>
      </c>
      <c r="C21" s="15">
        <v>2246.06</v>
      </c>
      <c r="D21" s="16">
        <v>36.301000000000002</v>
      </c>
      <c r="E21" s="16">
        <v>39.401000000000003</v>
      </c>
      <c r="F21" s="16">
        <v>40.439</v>
      </c>
      <c r="G21" s="16">
        <v>2.2999999999999998</v>
      </c>
      <c r="H21" s="16">
        <f t="shared" si="0"/>
        <v>37.205750000000002</v>
      </c>
      <c r="I21" s="5"/>
      <c r="J21" s="15">
        <v>2353.8208</v>
      </c>
      <c r="K21" s="16">
        <v>36.403700000000001</v>
      </c>
      <c r="L21" s="16">
        <v>40.178400000000003</v>
      </c>
      <c r="M21" s="16">
        <v>41.433700000000002</v>
      </c>
      <c r="N21" s="16">
        <v>6.0712000000000002</v>
      </c>
      <c r="O21" s="16">
        <f t="shared" si="1"/>
        <v>37.504287499999997</v>
      </c>
      <c r="P21" s="7"/>
      <c r="Q21" s="8">
        <f>bdrate(C21:C24,D21:D24,J21:J24,K21:K24)</f>
        <v>-8.9435023898989385E-3</v>
      </c>
      <c r="R21" s="8">
        <f>bdrate(C21:C24,E21:E24,J21:J24,L21:L24)</f>
        <v>-0.38088904394378564</v>
      </c>
      <c r="S21" s="8">
        <f>bdrate(C21:C24,F21:F24,J21:J24,M21:M24)</f>
        <v>-0.41356353766726106</v>
      </c>
      <c r="T21" s="25">
        <f>bdrate(C21:C24,H21:H24,J21:J24,O21:O24)</f>
        <v>-8.5476816173840509E-2</v>
      </c>
      <c r="U21" s="28">
        <f t="shared" si="2"/>
        <v>1.6396521739130439</v>
      </c>
    </row>
    <row r="22" spans="1:21" x14ac:dyDescent="0.25">
      <c r="B22" s="9"/>
      <c r="C22" s="17">
        <v>1493.49</v>
      </c>
      <c r="D22" s="18">
        <v>34.999000000000002</v>
      </c>
      <c r="E22" s="18">
        <v>38.442999999999998</v>
      </c>
      <c r="F22" s="18">
        <v>39.656999999999996</v>
      </c>
      <c r="G22" s="18">
        <v>2.6</v>
      </c>
      <c r="H22" s="18">
        <f t="shared" si="0"/>
        <v>36.011749999999999</v>
      </c>
      <c r="I22" s="5"/>
      <c r="J22" s="17">
        <v>1532.3407999999999</v>
      </c>
      <c r="K22" s="18">
        <v>35.123899999999999</v>
      </c>
      <c r="L22" s="18">
        <v>39.389600000000002</v>
      </c>
      <c r="M22" s="18">
        <v>40.615299999999998</v>
      </c>
      <c r="N22" s="18">
        <v>7.5972999999999997</v>
      </c>
      <c r="O22" s="18">
        <f t="shared" si="1"/>
        <v>36.343537500000004</v>
      </c>
      <c r="P22" s="7"/>
      <c r="Q22" s="10"/>
      <c r="R22" s="11"/>
      <c r="S22" s="11"/>
      <c r="T22" s="26"/>
      <c r="U22" s="28">
        <f t="shared" si="2"/>
        <v>1.9220384615384611</v>
      </c>
    </row>
    <row r="23" spans="1:21" x14ac:dyDescent="0.25">
      <c r="B23" s="9"/>
      <c r="C23" s="17">
        <v>927.64</v>
      </c>
      <c r="D23" s="18">
        <v>33.534999999999997</v>
      </c>
      <c r="E23" s="18">
        <v>37.482999999999997</v>
      </c>
      <c r="F23" s="18">
        <v>38.944000000000003</v>
      </c>
      <c r="G23" s="18">
        <v>2.93</v>
      </c>
      <c r="H23" s="18">
        <f t="shared" si="0"/>
        <v>34.704625</v>
      </c>
      <c r="I23" s="5"/>
      <c r="J23" s="17">
        <v>953.43200000000002</v>
      </c>
      <c r="K23" s="18">
        <v>33.656700000000001</v>
      </c>
      <c r="L23" s="18">
        <v>38.502000000000002</v>
      </c>
      <c r="M23" s="18">
        <v>39.787100000000002</v>
      </c>
      <c r="N23" s="18">
        <v>9.5675000000000008</v>
      </c>
      <c r="O23" s="18">
        <f t="shared" si="1"/>
        <v>35.028662500000003</v>
      </c>
      <c r="P23" s="7"/>
      <c r="Q23" s="10"/>
      <c r="R23" s="11"/>
      <c r="S23" s="11"/>
      <c r="T23" s="26"/>
      <c r="U23" s="28">
        <f t="shared" si="2"/>
        <v>2.2653583617747444</v>
      </c>
    </row>
    <row r="24" spans="1:21" ht="16.5" thickBot="1" x14ac:dyDescent="0.3">
      <c r="B24" s="12"/>
      <c r="C24" s="19">
        <v>550.28</v>
      </c>
      <c r="D24" s="20">
        <v>32.000999999999998</v>
      </c>
      <c r="E24" s="20">
        <v>36.600999999999999</v>
      </c>
      <c r="F24" s="20">
        <v>38.378999999999998</v>
      </c>
      <c r="G24" s="20">
        <v>3.31</v>
      </c>
      <c r="H24" s="20">
        <f t="shared" si="0"/>
        <v>33.373249999999999</v>
      </c>
      <c r="I24" s="5"/>
      <c r="J24" s="19">
        <v>563.94079999999997</v>
      </c>
      <c r="K24" s="20">
        <v>32.0702</v>
      </c>
      <c r="L24" s="20">
        <v>37.68</v>
      </c>
      <c r="M24" s="20">
        <v>39.087299999999999</v>
      </c>
      <c r="N24" s="20">
        <v>12.337400000000001</v>
      </c>
      <c r="O24" s="20">
        <f t="shared" si="1"/>
        <v>33.648562499999997</v>
      </c>
      <c r="P24" s="7"/>
      <c r="Q24" s="13"/>
      <c r="R24" s="14"/>
      <c r="S24" s="14"/>
      <c r="T24" s="27"/>
      <c r="U24" s="28">
        <f t="shared" si="2"/>
        <v>2.7273111782477342</v>
      </c>
    </row>
    <row r="25" spans="1:21" x14ac:dyDescent="0.25">
      <c r="B25" s="6" t="s">
        <v>50</v>
      </c>
      <c r="C25" s="15">
        <v>2360.4</v>
      </c>
      <c r="D25" s="16">
        <v>34.408000000000001</v>
      </c>
      <c r="E25" s="16">
        <v>37.737000000000002</v>
      </c>
      <c r="F25" s="16">
        <v>39.457999999999998</v>
      </c>
      <c r="G25" s="16">
        <v>2.68</v>
      </c>
      <c r="H25" s="16">
        <f t="shared" si="0"/>
        <v>35.455375000000004</v>
      </c>
      <c r="I25" s="5"/>
      <c r="J25" s="15">
        <v>2369.36</v>
      </c>
      <c r="K25" s="16">
        <v>34.836500000000001</v>
      </c>
      <c r="L25" s="16">
        <v>38.414200000000001</v>
      </c>
      <c r="M25" s="16">
        <v>40.790599999999998</v>
      </c>
      <c r="N25" s="16">
        <v>8.1617999999999995</v>
      </c>
      <c r="O25" s="16">
        <f t="shared" si="1"/>
        <v>36.027974999999998</v>
      </c>
      <c r="P25" s="7"/>
      <c r="Q25" s="8">
        <f>bdrate(C25:C28,D25:D28,J25:J28,K25:K28)</f>
        <v>-0.11749818751683772</v>
      </c>
      <c r="R25" s="8">
        <f>bdrate(C25:C28,E25:E28,J25:J28,L25:L28)</f>
        <v>-0.52446178462277415</v>
      </c>
      <c r="S25" s="8">
        <f>bdrate(C25:C28,F25:F28,J25:J28,M25:M28)</f>
        <v>-0.50549298346645277</v>
      </c>
      <c r="T25" s="25">
        <f>bdrate(C25:C28,H25:H28,J25:J28,O25:O28)</f>
        <v>-0.1931773466181238</v>
      </c>
      <c r="U25" s="28">
        <f t="shared" si="2"/>
        <v>2.0454477611940298</v>
      </c>
    </row>
    <row r="26" spans="1:21" x14ac:dyDescent="0.25">
      <c r="B26" s="9"/>
      <c r="C26" s="17">
        <v>1570.24</v>
      </c>
      <c r="D26" s="18">
        <v>33.31</v>
      </c>
      <c r="E26" s="18">
        <v>37.264000000000003</v>
      </c>
      <c r="F26" s="18">
        <v>38.658000000000001</v>
      </c>
      <c r="G26" s="18">
        <v>2.99</v>
      </c>
      <c r="H26" s="18">
        <f t="shared" si="0"/>
        <v>34.472750000000005</v>
      </c>
      <c r="I26" s="5"/>
      <c r="J26" s="17">
        <v>1585.6831999999999</v>
      </c>
      <c r="K26" s="18">
        <v>33.777000000000001</v>
      </c>
      <c r="L26" s="18">
        <v>38.059100000000001</v>
      </c>
      <c r="M26" s="18">
        <v>40.020699999999998</v>
      </c>
      <c r="N26" s="18">
        <v>10.031700000000001</v>
      </c>
      <c r="O26" s="18">
        <f t="shared" si="1"/>
        <v>35.092725000000002</v>
      </c>
      <c r="P26" s="7"/>
      <c r="Q26" s="10"/>
      <c r="R26" s="11"/>
      <c r="S26" s="11"/>
      <c r="T26" s="26"/>
      <c r="U26" s="28">
        <f t="shared" si="2"/>
        <v>2.3550836120401337</v>
      </c>
    </row>
    <row r="27" spans="1:21" x14ac:dyDescent="0.25">
      <c r="B27" s="9"/>
      <c r="C27" s="17">
        <v>970.99</v>
      </c>
      <c r="D27" s="18">
        <v>31.943999999999999</v>
      </c>
      <c r="E27" s="18">
        <v>36.649000000000001</v>
      </c>
      <c r="F27" s="18">
        <v>37.701000000000001</v>
      </c>
      <c r="G27" s="18">
        <v>3.4</v>
      </c>
      <c r="H27" s="18">
        <f t="shared" si="0"/>
        <v>33.251750000000001</v>
      </c>
      <c r="I27" s="5"/>
      <c r="J27" s="17">
        <v>972.2944</v>
      </c>
      <c r="K27" s="18">
        <v>32.279200000000003</v>
      </c>
      <c r="L27" s="18">
        <v>37.578499999999998</v>
      </c>
      <c r="M27" s="18">
        <v>39.098799999999997</v>
      </c>
      <c r="N27" s="18">
        <v>12.7188</v>
      </c>
      <c r="O27" s="18">
        <f t="shared" si="1"/>
        <v>33.794062500000003</v>
      </c>
      <c r="P27" s="7"/>
      <c r="Q27" s="10"/>
      <c r="R27" s="11"/>
      <c r="S27" s="11"/>
      <c r="T27" s="26"/>
      <c r="U27" s="28">
        <f t="shared" si="2"/>
        <v>2.7408235294117644</v>
      </c>
    </row>
    <row r="28" spans="1:21" ht="16.5" thickBot="1" x14ac:dyDescent="0.3">
      <c r="B28" s="12"/>
      <c r="C28" s="19">
        <v>571.79999999999995</v>
      </c>
      <c r="D28" s="20">
        <v>30.312000000000001</v>
      </c>
      <c r="E28" s="20">
        <v>35.840000000000003</v>
      </c>
      <c r="F28" s="20">
        <v>36.433</v>
      </c>
      <c r="G28" s="20">
        <v>3.93</v>
      </c>
      <c r="H28" s="20">
        <f t="shared" si="0"/>
        <v>31.768125000000001</v>
      </c>
      <c r="I28" s="5"/>
      <c r="J28" s="19">
        <v>595.47919999999999</v>
      </c>
      <c r="K28" s="20">
        <v>30.704999999999998</v>
      </c>
      <c r="L28" s="20">
        <v>36.962600000000002</v>
      </c>
      <c r="M28" s="20">
        <v>38.139899999999997</v>
      </c>
      <c r="N28" s="20">
        <v>16.179099999999998</v>
      </c>
      <c r="O28" s="20">
        <f t="shared" si="1"/>
        <v>32.416562499999998</v>
      </c>
      <c r="P28" s="7"/>
      <c r="Q28" s="13"/>
      <c r="R28" s="14"/>
      <c r="S28" s="14"/>
      <c r="T28" s="27"/>
      <c r="U28" s="28">
        <f t="shared" si="2"/>
        <v>3.1168193384223914</v>
      </c>
    </row>
    <row r="29" spans="1:21" x14ac:dyDescent="0.25">
      <c r="B29" s="6" t="s">
        <v>51</v>
      </c>
      <c r="C29" s="29">
        <v>2409.42</v>
      </c>
      <c r="D29" s="30">
        <v>34.652999999999999</v>
      </c>
      <c r="E29" s="30">
        <v>39.927999999999997</v>
      </c>
      <c r="F29" s="30">
        <v>39.539000000000001</v>
      </c>
      <c r="G29" s="16">
        <v>2.16</v>
      </c>
      <c r="H29" s="16">
        <f t="shared" si="0"/>
        <v>35.923124999999999</v>
      </c>
      <c r="I29" s="5"/>
      <c r="J29" s="29">
        <v>2410.2456000000002</v>
      </c>
      <c r="K29" s="30">
        <v>34.625500000000002</v>
      </c>
      <c r="L29" s="30">
        <v>40.682099999999998</v>
      </c>
      <c r="M29" s="30">
        <v>40.368400000000001</v>
      </c>
      <c r="N29" s="16">
        <v>6.9691000000000001</v>
      </c>
      <c r="O29" s="16">
        <f t="shared" si="1"/>
        <v>36.100437499999998</v>
      </c>
      <c r="P29" s="7"/>
      <c r="Q29" s="8">
        <f>bdrate(C29:C32,D29:D32,J29:J32,K29:K32)</f>
        <v>-3.0118068572656531E-3</v>
      </c>
      <c r="R29" s="8">
        <f>bdrate(C29:C32,E29:E32,J29:J32,L29:L32)</f>
        <v>-0.44855890137505783</v>
      </c>
      <c r="S29" s="8">
        <f>bdrate(C29:C32,F29:F32,J29:J32,M29:M32)</f>
        <v>-0.40197629429787995</v>
      </c>
      <c r="T29" s="25">
        <f>bdrate(C29:C32,H29:H32,J29:J32,O29:O32)</f>
        <v>-9.5698670741841907E-2</v>
      </c>
      <c r="U29" s="28">
        <f t="shared" si="2"/>
        <v>2.2264351851851849</v>
      </c>
    </row>
    <row r="30" spans="1:21" x14ac:dyDescent="0.25">
      <c r="B30" s="9"/>
      <c r="C30" s="31">
        <v>1599.29</v>
      </c>
      <c r="D30" s="32">
        <v>33.337000000000003</v>
      </c>
      <c r="E30" s="32">
        <v>39.113999999999997</v>
      </c>
      <c r="F30" s="32">
        <v>38.417000000000002</v>
      </c>
      <c r="G30" s="18">
        <v>2.4300000000000002</v>
      </c>
      <c r="H30" s="18">
        <f t="shared" si="0"/>
        <v>34.694125</v>
      </c>
      <c r="I30" s="5"/>
      <c r="J30" s="31">
        <v>1603.3632</v>
      </c>
      <c r="K30" s="32">
        <v>33.341500000000003</v>
      </c>
      <c r="L30" s="32">
        <v>40.062800000000003</v>
      </c>
      <c r="M30" s="32">
        <v>39.536700000000003</v>
      </c>
      <c r="N30" s="18">
        <v>8.4212000000000007</v>
      </c>
      <c r="O30" s="18">
        <f t="shared" si="1"/>
        <v>34.956062500000009</v>
      </c>
      <c r="P30" s="7"/>
      <c r="Q30" s="10"/>
      <c r="R30" s="11"/>
      <c r="S30" s="11"/>
      <c r="T30" s="26"/>
      <c r="U30" s="28">
        <f t="shared" si="2"/>
        <v>2.4655144032921812</v>
      </c>
    </row>
    <row r="31" spans="1:21" x14ac:dyDescent="0.25">
      <c r="B31" s="9"/>
      <c r="C31" s="31">
        <v>994</v>
      </c>
      <c r="D31" s="32">
        <v>31.731000000000002</v>
      </c>
      <c r="E31" s="32">
        <v>38.177</v>
      </c>
      <c r="F31" s="32">
        <v>37.06</v>
      </c>
      <c r="G31" s="18">
        <v>2.77</v>
      </c>
      <c r="H31" s="18">
        <f t="shared" si="0"/>
        <v>33.202875000000006</v>
      </c>
      <c r="I31" s="5"/>
      <c r="J31" s="31">
        <v>992.70479999999998</v>
      </c>
      <c r="K31" s="32">
        <v>31.744900000000001</v>
      </c>
      <c r="L31" s="32">
        <v>39.352499999999999</v>
      </c>
      <c r="M31" s="32">
        <v>38.533999999999999</v>
      </c>
      <c r="N31" s="18">
        <v>10.5223</v>
      </c>
      <c r="O31" s="18">
        <f t="shared" si="1"/>
        <v>33.544487500000002</v>
      </c>
      <c r="P31" s="7"/>
      <c r="Q31" s="10"/>
      <c r="R31" s="11"/>
      <c r="S31" s="11"/>
      <c r="T31" s="26"/>
      <c r="U31" s="28">
        <f t="shared" si="2"/>
        <v>2.798664259927798</v>
      </c>
    </row>
    <row r="32" spans="1:21" ht="16.5" thickBot="1" x14ac:dyDescent="0.3">
      <c r="B32" s="12"/>
      <c r="C32" s="33">
        <v>592.1</v>
      </c>
      <c r="D32" s="34">
        <v>29.946999999999999</v>
      </c>
      <c r="E32" s="34">
        <v>36.923000000000002</v>
      </c>
      <c r="F32" s="34">
        <v>35.445999999999998</v>
      </c>
      <c r="G32" s="20">
        <v>3.19</v>
      </c>
      <c r="H32" s="20">
        <f t="shared" si="0"/>
        <v>31.506374999999998</v>
      </c>
      <c r="I32" s="5"/>
      <c r="J32" s="33">
        <v>592.44799999999998</v>
      </c>
      <c r="K32" s="34">
        <v>29.9983</v>
      </c>
      <c r="L32" s="34">
        <v>38.391100000000002</v>
      </c>
      <c r="M32" s="34">
        <v>37.200400000000002</v>
      </c>
      <c r="N32" s="20">
        <v>13.438700000000001</v>
      </c>
      <c r="O32" s="20">
        <f t="shared" si="1"/>
        <v>31.9476625</v>
      </c>
      <c r="P32" s="7"/>
      <c r="Q32" s="13"/>
      <c r="R32" s="14"/>
      <c r="S32" s="14"/>
      <c r="T32" s="27"/>
      <c r="U32" s="28">
        <f t="shared" si="2"/>
        <v>3.2127586206896557</v>
      </c>
    </row>
    <row r="33" spans="1:21" x14ac:dyDescent="0.25">
      <c r="B33" s="6" t="s">
        <v>52</v>
      </c>
      <c r="C33" s="15">
        <v>2354.2800000000002</v>
      </c>
      <c r="D33" s="16">
        <v>33.767000000000003</v>
      </c>
      <c r="E33" s="16">
        <v>39.29</v>
      </c>
      <c r="F33" s="16">
        <v>41.929000000000002</v>
      </c>
      <c r="G33" s="16">
        <v>3.45</v>
      </c>
      <c r="H33" s="16">
        <f t="shared" si="0"/>
        <v>35.477625000000003</v>
      </c>
      <c r="I33" s="5"/>
      <c r="J33" s="15">
        <v>2409.3328000000001</v>
      </c>
      <c r="K33" s="16">
        <v>33.955599999999997</v>
      </c>
      <c r="L33" s="16">
        <v>40.084800000000001</v>
      </c>
      <c r="M33" s="16">
        <v>42.512500000000003</v>
      </c>
      <c r="N33" s="16">
        <v>10.4344</v>
      </c>
      <c r="O33" s="16">
        <f t="shared" si="1"/>
        <v>35.791362499999998</v>
      </c>
      <c r="P33" s="7"/>
      <c r="Q33" s="8">
        <f>bdrate(C33:C36,D33:D36,J33:J36,K33:K36)</f>
        <v>-0.11396577358269955</v>
      </c>
      <c r="R33" s="8">
        <f>bdrate(C33:C36,E33:E36,J33:J36,L33:L36)</f>
        <v>-0.45128333706948232</v>
      </c>
      <c r="S33" s="8">
        <f>bdrate(C33:C36,F33:F36,J33:J36,M33:M36)</f>
        <v>-0.33495260520950276</v>
      </c>
      <c r="T33" s="25">
        <f>bdrate(C33:C36,H33:H36,J33:J36,O33:O36)</f>
        <v>-0.16523455809591503</v>
      </c>
      <c r="U33" s="28">
        <f t="shared" si="2"/>
        <v>2.0244637681159419</v>
      </c>
    </row>
    <row r="34" spans="1:21" x14ac:dyDescent="0.25">
      <c r="B34" s="9"/>
      <c r="C34" s="17">
        <v>1551.9</v>
      </c>
      <c r="D34" s="18">
        <v>33.106000000000002</v>
      </c>
      <c r="E34" s="18">
        <v>38.841000000000001</v>
      </c>
      <c r="F34" s="18">
        <v>41.573999999999998</v>
      </c>
      <c r="G34" s="18">
        <v>3.78</v>
      </c>
      <c r="H34" s="18">
        <f t="shared" si="0"/>
        <v>34.881375000000006</v>
      </c>
      <c r="I34" s="5"/>
      <c r="J34" s="17">
        <v>1594.0992000000001</v>
      </c>
      <c r="K34" s="18">
        <v>33.366999999999997</v>
      </c>
      <c r="L34" s="18">
        <v>39.6235</v>
      </c>
      <c r="M34" s="18">
        <v>42.122199999999999</v>
      </c>
      <c r="N34" s="18">
        <v>12.9542</v>
      </c>
      <c r="O34" s="18">
        <f t="shared" si="1"/>
        <v>35.2434625</v>
      </c>
      <c r="P34" s="7"/>
      <c r="Q34" s="10"/>
      <c r="R34" s="11"/>
      <c r="S34" s="11"/>
      <c r="T34" s="26"/>
      <c r="U34" s="28">
        <f t="shared" si="2"/>
        <v>2.4270370370370373</v>
      </c>
    </row>
    <row r="35" spans="1:21" x14ac:dyDescent="0.25">
      <c r="B35" s="9"/>
      <c r="C35" s="17">
        <v>941.42</v>
      </c>
      <c r="D35" s="18">
        <v>32.103999999999999</v>
      </c>
      <c r="E35" s="18">
        <v>38.326000000000001</v>
      </c>
      <c r="F35" s="18">
        <v>41.076999999999998</v>
      </c>
      <c r="G35" s="18">
        <v>4.2</v>
      </c>
      <c r="H35" s="18">
        <f t="shared" si="0"/>
        <v>34.003374999999998</v>
      </c>
      <c r="I35" s="5"/>
      <c r="J35" s="17">
        <v>995.53200000000004</v>
      </c>
      <c r="K35" s="18">
        <v>32.473300000000002</v>
      </c>
      <c r="L35" s="18">
        <v>39.008699999999997</v>
      </c>
      <c r="M35" s="18">
        <v>41.523699999999998</v>
      </c>
      <c r="N35" s="18">
        <v>16.2836</v>
      </c>
      <c r="O35" s="18">
        <f t="shared" si="1"/>
        <v>34.421525000000003</v>
      </c>
      <c r="P35" s="7"/>
      <c r="Q35" s="10"/>
      <c r="R35" s="11"/>
      <c r="S35" s="11"/>
      <c r="T35" s="26"/>
      <c r="U35" s="28">
        <f t="shared" si="2"/>
        <v>2.8770476190476191</v>
      </c>
    </row>
    <row r="36" spans="1:21" ht="16.5" thickBot="1" x14ac:dyDescent="0.3">
      <c r="B36" s="12"/>
      <c r="C36" s="19">
        <v>510.43</v>
      </c>
      <c r="D36" s="20">
        <v>30.254000000000001</v>
      </c>
      <c r="E36" s="20">
        <v>37.478999999999999</v>
      </c>
      <c r="F36" s="20">
        <v>40.476999999999997</v>
      </c>
      <c r="G36" s="20">
        <v>4.67</v>
      </c>
      <c r="H36" s="20">
        <f t="shared" si="0"/>
        <v>32.434999999999995</v>
      </c>
      <c r="I36" s="5"/>
      <c r="J36" s="19">
        <v>587.76559999999995</v>
      </c>
      <c r="K36" s="20">
        <v>31.210999999999999</v>
      </c>
      <c r="L36" s="20">
        <v>38.457599999999999</v>
      </c>
      <c r="M36" s="20">
        <v>40.973500000000001</v>
      </c>
      <c r="N36" s="20">
        <v>20.168700000000001</v>
      </c>
      <c r="O36" s="20">
        <f t="shared" si="1"/>
        <v>33.337137499999997</v>
      </c>
      <c r="P36" s="7"/>
      <c r="Q36" s="13"/>
      <c r="R36" s="14"/>
      <c r="S36" s="14"/>
      <c r="T36" s="27"/>
      <c r="U36" s="28">
        <f t="shared" si="2"/>
        <v>3.3187794432548183</v>
      </c>
    </row>
    <row r="37" spans="1:21" x14ac:dyDescent="0.25">
      <c r="A37" s="6" t="s">
        <v>39</v>
      </c>
      <c r="B37" s="6" t="s">
        <v>53</v>
      </c>
      <c r="C37" s="15">
        <v>1222.6199999999999</v>
      </c>
      <c r="D37" s="16">
        <v>35.683</v>
      </c>
      <c r="E37" s="16">
        <v>39.280999999999999</v>
      </c>
      <c r="F37" s="16">
        <v>39.362000000000002</v>
      </c>
      <c r="G37" s="16">
        <v>8.93</v>
      </c>
      <c r="H37" s="16">
        <f t="shared" si="0"/>
        <v>36.592625000000005</v>
      </c>
      <c r="I37" s="5"/>
      <c r="J37" s="15">
        <v>1205.7808</v>
      </c>
      <c r="K37" s="16">
        <v>36.699300000000001</v>
      </c>
      <c r="L37" s="16">
        <v>40.481499999999997</v>
      </c>
      <c r="M37" s="16">
        <v>40.451700000000002</v>
      </c>
      <c r="N37" s="16">
        <v>21.424299999999999</v>
      </c>
      <c r="O37" s="16">
        <f t="shared" si="1"/>
        <v>37.641125000000002</v>
      </c>
      <c r="P37" s="7"/>
      <c r="Q37" s="8">
        <f>bdrate(C37:C40,D37:D40,J37:J40,K37:K40)</f>
        <v>-0.15359938127347694</v>
      </c>
      <c r="R37" s="8">
        <f>bdrate(C37:C40,E37:E40,J37:J40,L37:L40)</f>
        <v>-0.37177229306049953</v>
      </c>
      <c r="S37" s="8">
        <f>bdrate(C37:C40,F37:F40,J37:J40,M37:M40)</f>
        <v>-0.28767152500294013</v>
      </c>
      <c r="T37" s="25">
        <f>bdrate(C37:C40,H37:H40,J37:J40,O37:O40)</f>
        <v>-0.19480466546034558</v>
      </c>
      <c r="U37" s="28">
        <f t="shared" si="2"/>
        <v>1.3991377379619261</v>
      </c>
    </row>
    <row r="38" spans="1:21" x14ac:dyDescent="0.25">
      <c r="A38" s="9" t="s">
        <v>40</v>
      </c>
      <c r="B38" s="9"/>
      <c r="C38" s="17">
        <v>815.32</v>
      </c>
      <c r="D38" s="18">
        <v>34.194000000000003</v>
      </c>
      <c r="E38" s="18">
        <v>37.972000000000001</v>
      </c>
      <c r="F38" s="18">
        <v>38.024000000000001</v>
      </c>
      <c r="G38" s="18">
        <v>10.210000000000001</v>
      </c>
      <c r="H38" s="18">
        <f t="shared" si="0"/>
        <v>35.145000000000003</v>
      </c>
      <c r="I38" s="5"/>
      <c r="J38" s="17">
        <v>803.04319999999996</v>
      </c>
      <c r="K38" s="18">
        <v>34.9514</v>
      </c>
      <c r="L38" s="18">
        <v>39.223599999999998</v>
      </c>
      <c r="M38" s="18">
        <v>38.992100000000001</v>
      </c>
      <c r="N38" s="18">
        <v>25.559799999999999</v>
      </c>
      <c r="O38" s="18">
        <f t="shared" si="1"/>
        <v>35.990512500000001</v>
      </c>
      <c r="P38" s="7"/>
      <c r="Q38" s="10"/>
      <c r="R38" s="11"/>
      <c r="S38" s="11"/>
      <c r="T38" s="26"/>
      <c r="U38" s="28">
        <f t="shared" si="2"/>
        <v>1.5034084231145932</v>
      </c>
    </row>
    <row r="39" spans="1:21" x14ac:dyDescent="0.25">
      <c r="B39" s="9"/>
      <c r="C39" s="17">
        <v>508.85</v>
      </c>
      <c r="D39" s="18">
        <v>32.622</v>
      </c>
      <c r="E39" s="18">
        <v>36.774000000000001</v>
      </c>
      <c r="F39" s="18">
        <v>36.637999999999998</v>
      </c>
      <c r="G39" s="18">
        <v>12.02</v>
      </c>
      <c r="H39" s="18">
        <f t="shared" si="0"/>
        <v>33.643000000000001</v>
      </c>
      <c r="I39" s="5"/>
      <c r="J39" s="17">
        <v>498.33920000000001</v>
      </c>
      <c r="K39" s="18">
        <v>33.062899999999999</v>
      </c>
      <c r="L39" s="18">
        <v>37.925199999999997</v>
      </c>
      <c r="M39" s="18">
        <v>37.574100000000001</v>
      </c>
      <c r="N39" s="18">
        <v>31.5776</v>
      </c>
      <c r="O39" s="18">
        <f t="shared" si="1"/>
        <v>34.234587499999996</v>
      </c>
      <c r="P39" s="7"/>
      <c r="Q39" s="10"/>
      <c r="R39" s="11"/>
      <c r="S39" s="11"/>
      <c r="T39" s="26"/>
      <c r="U39" s="28">
        <f t="shared" si="2"/>
        <v>1.6270881863560733</v>
      </c>
    </row>
    <row r="40" spans="1:21" ht="16.5" thickBot="1" x14ac:dyDescent="0.3">
      <c r="B40" s="12"/>
      <c r="C40" s="19">
        <v>301.73</v>
      </c>
      <c r="D40" s="20">
        <v>30.927</v>
      </c>
      <c r="E40" s="20">
        <v>35.454000000000001</v>
      </c>
      <c r="F40" s="20">
        <v>35.036000000000001</v>
      </c>
      <c r="G40" s="20">
        <v>14.22</v>
      </c>
      <c r="H40" s="20">
        <f t="shared" si="0"/>
        <v>32.006500000000003</v>
      </c>
      <c r="I40" s="5"/>
      <c r="J40" s="19">
        <v>297.87200000000001</v>
      </c>
      <c r="K40" s="20">
        <v>31.123899999999999</v>
      </c>
      <c r="L40" s="20">
        <v>36.705800000000004</v>
      </c>
      <c r="M40" s="20">
        <v>36.191499999999998</v>
      </c>
      <c r="N40" s="20">
        <v>40.264099999999999</v>
      </c>
      <c r="O40" s="20">
        <f t="shared" si="1"/>
        <v>32.455087500000005</v>
      </c>
      <c r="P40" s="7"/>
      <c r="Q40" s="13"/>
      <c r="R40" s="14"/>
      <c r="S40" s="14"/>
      <c r="T40" s="27"/>
      <c r="U40" s="28">
        <f t="shared" si="2"/>
        <v>1.8315119549929675</v>
      </c>
    </row>
    <row r="41" spans="1:21" x14ac:dyDescent="0.25">
      <c r="B41" s="6" t="s">
        <v>54</v>
      </c>
      <c r="C41" s="15">
        <v>1227.2</v>
      </c>
      <c r="D41" s="16">
        <v>35.777000000000001</v>
      </c>
      <c r="E41" s="16">
        <v>40.154000000000003</v>
      </c>
      <c r="F41" s="16">
        <v>41.1</v>
      </c>
      <c r="G41" s="16">
        <v>11.38</v>
      </c>
      <c r="H41" s="16">
        <f t="shared" si="0"/>
        <v>36.9895</v>
      </c>
      <c r="I41" s="5"/>
      <c r="J41" s="15">
        <v>1149.0791999999999</v>
      </c>
      <c r="K41" s="16">
        <v>35.948099999999997</v>
      </c>
      <c r="L41" s="16">
        <v>41.050199999999997</v>
      </c>
      <c r="M41" s="16">
        <v>41.8889</v>
      </c>
      <c r="N41" s="16">
        <v>26.396799999999999</v>
      </c>
      <c r="O41" s="16">
        <f t="shared" si="1"/>
        <v>37.328462499999993</v>
      </c>
      <c r="P41" s="7"/>
      <c r="Q41" s="8">
        <f>bdrate(C41:C44,D41:D44,J41:J44,K41:K44)</f>
        <v>-0.14293142206830678</v>
      </c>
      <c r="R41" s="8">
        <f>bdrate(C41:C44,E41:E44,J41:J44,L41:L44)</f>
        <v>-0.4202575462047452</v>
      </c>
      <c r="S41" s="8">
        <f>bdrate(C41:C44,F41:F44,J41:J44,M41:M44)</f>
        <v>-0.3748375503980137</v>
      </c>
      <c r="T41" s="25">
        <f>bdrate(C41:C44,H41:H44,J41:J44,O41:O44)</f>
        <v>-0.19599605983038126</v>
      </c>
      <c r="U41" s="28">
        <f t="shared" si="2"/>
        <v>1.3195782073813707</v>
      </c>
    </row>
    <row r="42" spans="1:21" x14ac:dyDescent="0.25">
      <c r="B42" s="9"/>
      <c r="C42" s="17">
        <v>818.78</v>
      </c>
      <c r="D42" s="18">
        <v>34.165999999999997</v>
      </c>
      <c r="E42" s="18">
        <v>39.06</v>
      </c>
      <c r="F42" s="18">
        <v>39.884</v>
      </c>
      <c r="G42" s="18">
        <v>12.94</v>
      </c>
      <c r="H42" s="18">
        <f t="shared" si="0"/>
        <v>35.4925</v>
      </c>
      <c r="I42" s="5"/>
      <c r="J42" s="17">
        <v>758.15039999999999</v>
      </c>
      <c r="K42" s="18">
        <v>34.405999999999999</v>
      </c>
      <c r="L42" s="18">
        <v>40.048099999999998</v>
      </c>
      <c r="M42" s="18">
        <v>40.787100000000002</v>
      </c>
      <c r="N42" s="18">
        <v>30.284700000000001</v>
      </c>
      <c r="O42" s="18">
        <f t="shared" si="1"/>
        <v>35.908899999999996</v>
      </c>
      <c r="P42" s="7"/>
      <c r="Q42" s="10"/>
      <c r="R42" s="11"/>
      <c r="S42" s="11"/>
      <c r="T42" s="26"/>
      <c r="U42" s="28">
        <f t="shared" si="2"/>
        <v>1.3403941267387947</v>
      </c>
    </row>
    <row r="43" spans="1:21" x14ac:dyDescent="0.25">
      <c r="B43" s="9"/>
      <c r="C43" s="17">
        <v>509.65</v>
      </c>
      <c r="D43" s="18">
        <v>32.191000000000003</v>
      </c>
      <c r="E43" s="18">
        <v>37.728999999999999</v>
      </c>
      <c r="F43" s="18">
        <v>38.424999999999997</v>
      </c>
      <c r="G43" s="18">
        <v>14.91</v>
      </c>
      <c r="H43" s="18">
        <f t="shared" si="0"/>
        <v>33.662500000000001</v>
      </c>
      <c r="I43" s="5"/>
      <c r="J43" s="17">
        <v>473.27519999999998</v>
      </c>
      <c r="K43" s="18">
        <v>32.564799999999998</v>
      </c>
      <c r="L43" s="18">
        <v>39.048999999999999</v>
      </c>
      <c r="M43" s="18">
        <v>39.671799999999998</v>
      </c>
      <c r="N43" s="18">
        <v>38.85</v>
      </c>
      <c r="O43" s="18">
        <f t="shared" si="1"/>
        <v>34.2637</v>
      </c>
      <c r="P43" s="7"/>
      <c r="Q43" s="10"/>
      <c r="R43" s="11"/>
      <c r="S43" s="11"/>
      <c r="T43" s="26"/>
      <c r="U43" s="28">
        <f t="shared" si="2"/>
        <v>1.6056338028169015</v>
      </c>
    </row>
    <row r="44" spans="1:21" ht="16.5" thickBot="1" x14ac:dyDescent="0.3">
      <c r="B44" s="12"/>
      <c r="C44" s="19">
        <v>303.13</v>
      </c>
      <c r="D44" s="20">
        <v>29.986000000000001</v>
      </c>
      <c r="E44" s="20">
        <v>36.299999999999997</v>
      </c>
      <c r="F44" s="20">
        <v>36.774999999999999</v>
      </c>
      <c r="G44" s="20">
        <v>16.72</v>
      </c>
      <c r="H44" s="20">
        <f t="shared" si="0"/>
        <v>31.623875000000002</v>
      </c>
      <c r="I44" s="5"/>
      <c r="J44" s="19">
        <v>284.03120000000001</v>
      </c>
      <c r="K44" s="20">
        <v>30.537299999999998</v>
      </c>
      <c r="L44" s="20">
        <v>37.979300000000002</v>
      </c>
      <c r="M44" s="20">
        <v>38.4816</v>
      </c>
      <c r="N44" s="20">
        <v>49.184399999999997</v>
      </c>
      <c r="O44" s="20">
        <f t="shared" si="1"/>
        <v>32.460587499999995</v>
      </c>
      <c r="P44" s="7"/>
      <c r="Q44" s="13"/>
      <c r="R44" s="14"/>
      <c r="S44" s="14"/>
      <c r="T44" s="27"/>
      <c r="U44" s="28">
        <f t="shared" si="2"/>
        <v>1.9416507177033493</v>
      </c>
    </row>
    <row r="45" spans="1:21" x14ac:dyDescent="0.25">
      <c r="B45" s="6" t="s">
        <v>55</v>
      </c>
      <c r="C45" s="15">
        <v>1095.1300000000001</v>
      </c>
      <c r="D45" s="16">
        <v>30.331</v>
      </c>
      <c r="E45" s="16">
        <v>35.832000000000001</v>
      </c>
      <c r="F45" s="16">
        <v>36.585999999999999</v>
      </c>
      <c r="G45" s="16">
        <v>11.21</v>
      </c>
      <c r="H45" s="16">
        <f t="shared" si="0"/>
        <v>31.8005</v>
      </c>
      <c r="I45" s="5"/>
      <c r="J45" s="15">
        <v>1146.9688000000001</v>
      </c>
      <c r="K45" s="16">
        <v>30.896100000000001</v>
      </c>
      <c r="L45" s="16">
        <v>36.973100000000002</v>
      </c>
      <c r="M45" s="16">
        <v>37.759300000000003</v>
      </c>
      <c r="N45" s="16">
        <v>24.317900000000002</v>
      </c>
      <c r="O45" s="16">
        <f t="shared" si="1"/>
        <v>32.513624999999998</v>
      </c>
      <c r="P45" s="7"/>
      <c r="Q45" s="8">
        <f>bdrate(C45:C48,D45:D48,J45:J48,K45:K48)</f>
        <v>-0.12198871249254317</v>
      </c>
      <c r="R45" s="8">
        <f>bdrate(C45:C48,E45:E48,J45:J48,L45:L48)</f>
        <v>-0.45713671338899431</v>
      </c>
      <c r="S45" s="8">
        <f>bdrate(C45:C48,F45:F48,J45:J48,M45:M48)</f>
        <v>-0.43500812820365609</v>
      </c>
      <c r="T45" s="25">
        <f>bdrate(C45:C48,H45:H48,J45:J48,O45:O48)</f>
        <v>-0.18181701937046624</v>
      </c>
      <c r="U45" s="28">
        <f t="shared" si="2"/>
        <v>1.1693041926851027</v>
      </c>
    </row>
    <row r="46" spans="1:21" x14ac:dyDescent="0.25">
      <c r="B46" s="9"/>
      <c r="C46" s="17">
        <v>729.46</v>
      </c>
      <c r="D46" s="18">
        <v>28.962</v>
      </c>
      <c r="E46" s="18">
        <v>35.061999999999998</v>
      </c>
      <c r="F46" s="18">
        <v>35.826999999999998</v>
      </c>
      <c r="G46" s="18">
        <v>12.74</v>
      </c>
      <c r="H46" s="18">
        <f t="shared" si="0"/>
        <v>30.582625</v>
      </c>
      <c r="I46" s="5"/>
      <c r="J46" s="17">
        <v>763.28880000000004</v>
      </c>
      <c r="K46" s="18">
        <v>29.5349</v>
      </c>
      <c r="L46" s="18">
        <v>36.1524</v>
      </c>
      <c r="M46" s="18">
        <v>36.903300000000002</v>
      </c>
      <c r="N46" s="18">
        <v>29.085000000000001</v>
      </c>
      <c r="O46" s="18">
        <f t="shared" si="1"/>
        <v>31.283137500000002</v>
      </c>
      <c r="P46" s="7"/>
      <c r="Q46" s="10"/>
      <c r="R46" s="11"/>
      <c r="S46" s="11"/>
      <c r="T46" s="26"/>
      <c r="U46" s="28">
        <f t="shared" si="2"/>
        <v>1.2829670329670328</v>
      </c>
    </row>
    <row r="47" spans="1:21" x14ac:dyDescent="0.25">
      <c r="B47" s="9"/>
      <c r="C47" s="17">
        <v>453.36</v>
      </c>
      <c r="D47" s="18">
        <v>27.483000000000001</v>
      </c>
      <c r="E47" s="18">
        <v>34.259</v>
      </c>
      <c r="F47" s="18">
        <v>35.015999999999998</v>
      </c>
      <c r="G47" s="18">
        <v>14.7</v>
      </c>
      <c r="H47" s="18">
        <f t="shared" si="0"/>
        <v>29.271624999999997</v>
      </c>
      <c r="I47" s="5"/>
      <c r="J47" s="17">
        <v>478.42239999999998</v>
      </c>
      <c r="K47" s="18">
        <v>28.040500000000002</v>
      </c>
      <c r="L47" s="18">
        <v>35.375300000000003</v>
      </c>
      <c r="M47" s="18">
        <v>36.065300000000001</v>
      </c>
      <c r="N47" s="18">
        <v>38.156300000000002</v>
      </c>
      <c r="O47" s="18">
        <f t="shared" si="1"/>
        <v>29.960450000000002</v>
      </c>
      <c r="P47" s="7"/>
      <c r="Q47" s="10"/>
      <c r="R47" s="11"/>
      <c r="S47" s="11"/>
      <c r="T47" s="26"/>
      <c r="U47" s="28">
        <f t="shared" si="2"/>
        <v>1.595666666666667</v>
      </c>
    </row>
    <row r="48" spans="1:21" ht="16.5" thickBot="1" x14ac:dyDescent="0.3">
      <c r="B48" s="12"/>
      <c r="C48" s="19">
        <v>261.33</v>
      </c>
      <c r="D48" s="20">
        <v>25.815999999999999</v>
      </c>
      <c r="E48" s="20">
        <v>33.244999999999997</v>
      </c>
      <c r="F48" s="20">
        <v>34.027000000000001</v>
      </c>
      <c r="G48" s="20">
        <v>17.16</v>
      </c>
      <c r="H48" s="20">
        <f t="shared" si="0"/>
        <v>27.771000000000001</v>
      </c>
      <c r="I48" s="5"/>
      <c r="J48" s="19">
        <v>289.27519999999998</v>
      </c>
      <c r="K48" s="20">
        <v>26.552</v>
      </c>
      <c r="L48" s="20">
        <v>34.656300000000002</v>
      </c>
      <c r="M48" s="20">
        <v>35.351199999999999</v>
      </c>
      <c r="N48" s="20">
        <v>48.709200000000003</v>
      </c>
      <c r="O48" s="20">
        <f t="shared" si="1"/>
        <v>28.664937500000001</v>
      </c>
      <c r="P48" s="7"/>
      <c r="Q48" s="13"/>
      <c r="R48" s="14"/>
      <c r="S48" s="14"/>
      <c r="T48" s="27"/>
      <c r="U48" s="28">
        <f t="shared" si="2"/>
        <v>1.8385314685314686</v>
      </c>
    </row>
    <row r="49" spans="1:21" x14ac:dyDescent="0.25">
      <c r="B49" s="6" t="s">
        <v>56</v>
      </c>
      <c r="C49" s="15">
        <v>1110.03</v>
      </c>
      <c r="D49" s="16">
        <v>33.347999999999999</v>
      </c>
      <c r="E49" s="16">
        <v>36.929000000000002</v>
      </c>
      <c r="F49" s="16">
        <v>38.667000000000002</v>
      </c>
      <c r="G49" s="16">
        <v>6.66</v>
      </c>
      <c r="H49" s="16">
        <f t="shared" si="0"/>
        <v>34.460499999999996</v>
      </c>
      <c r="I49" s="5"/>
      <c r="J49" s="15">
        <v>1193.0391999999999</v>
      </c>
      <c r="K49" s="16">
        <v>33.1967</v>
      </c>
      <c r="L49" s="16">
        <v>37.405200000000001</v>
      </c>
      <c r="M49" s="16">
        <v>38.991900000000001</v>
      </c>
      <c r="N49" s="16">
        <v>15.8019</v>
      </c>
      <c r="O49" s="16">
        <f t="shared" si="1"/>
        <v>34.447162500000005</v>
      </c>
      <c r="P49" s="7"/>
      <c r="Q49" s="8">
        <f>bdrate(C49:C52,D49:D52,J49:J52,K49:K52)</f>
        <v>0.12711845063683858</v>
      </c>
      <c r="R49" s="8">
        <f>bdrate(C49:C52,E49:E52,J49:J52,L49:L52)</f>
        <v>-0.22943896447611756</v>
      </c>
      <c r="S49" s="8">
        <f>bdrate(C49:C52,F49:F52,J49:J52,M49:M52)</f>
        <v>-0.18637056527919327</v>
      </c>
      <c r="T49" s="25">
        <f>bdrate(C49:C52,H49:H52,J49:J52,O49:O52)</f>
        <v>5.8402418241820575E-2</v>
      </c>
      <c r="U49" s="28">
        <f t="shared" si="2"/>
        <v>1.3726576576576577</v>
      </c>
    </row>
    <row r="50" spans="1:21" x14ac:dyDescent="0.25">
      <c r="B50" s="9"/>
      <c r="C50" s="17">
        <v>747.29</v>
      </c>
      <c r="D50" s="18">
        <v>31.898</v>
      </c>
      <c r="E50" s="18">
        <v>35.941000000000003</v>
      </c>
      <c r="F50" s="18">
        <v>37.656999999999996</v>
      </c>
      <c r="G50" s="18">
        <v>7.54</v>
      </c>
      <c r="H50" s="18">
        <f t="shared" si="0"/>
        <v>33.123249999999999</v>
      </c>
      <c r="I50" s="5"/>
      <c r="J50" s="17">
        <v>795.08720000000005</v>
      </c>
      <c r="K50" s="18">
        <v>31.668399999999998</v>
      </c>
      <c r="L50" s="18">
        <v>36.511299999999999</v>
      </c>
      <c r="M50" s="18">
        <v>38.106699999999996</v>
      </c>
      <c r="N50" s="18">
        <v>18.9466</v>
      </c>
      <c r="O50" s="18">
        <f t="shared" si="1"/>
        <v>33.07855</v>
      </c>
      <c r="P50" s="7"/>
      <c r="Q50" s="10"/>
      <c r="R50" s="11"/>
      <c r="S50" s="11"/>
      <c r="T50" s="26"/>
      <c r="U50" s="28">
        <f t="shared" si="2"/>
        <v>1.5128116710875332</v>
      </c>
    </row>
    <row r="51" spans="1:21" x14ac:dyDescent="0.25">
      <c r="B51" s="9"/>
      <c r="C51" s="17">
        <v>475.8</v>
      </c>
      <c r="D51" s="18">
        <v>30.283999999999999</v>
      </c>
      <c r="E51" s="18">
        <v>34.951999999999998</v>
      </c>
      <c r="F51" s="18">
        <v>36.619</v>
      </c>
      <c r="G51" s="18">
        <v>8.58</v>
      </c>
      <c r="H51" s="18">
        <f t="shared" si="0"/>
        <v>31.659375000000001</v>
      </c>
      <c r="I51" s="5"/>
      <c r="J51" s="17">
        <v>492.62079999999997</v>
      </c>
      <c r="K51" s="18">
        <v>29.994599999999998</v>
      </c>
      <c r="L51" s="18">
        <v>35.650199999999998</v>
      </c>
      <c r="M51" s="18">
        <v>37.255000000000003</v>
      </c>
      <c r="N51" s="18">
        <v>22.8659</v>
      </c>
      <c r="O51" s="18">
        <f t="shared" si="1"/>
        <v>31.609099999999998</v>
      </c>
      <c r="P51" s="7"/>
      <c r="Q51" s="10"/>
      <c r="R51" s="11"/>
      <c r="S51" s="11"/>
      <c r="T51" s="26"/>
      <c r="U51" s="28">
        <f t="shared" si="2"/>
        <v>1.6650233100233101</v>
      </c>
    </row>
    <row r="52" spans="1:21" ht="16.5" thickBot="1" x14ac:dyDescent="0.3">
      <c r="B52" s="12"/>
      <c r="C52" s="19">
        <v>289.31</v>
      </c>
      <c r="D52" s="20">
        <v>28.632000000000001</v>
      </c>
      <c r="E52" s="20">
        <v>33.848999999999997</v>
      </c>
      <c r="F52" s="20">
        <v>35.353000000000002</v>
      </c>
      <c r="G52" s="20">
        <v>10.08</v>
      </c>
      <c r="H52" s="20">
        <f t="shared" si="0"/>
        <v>30.12425</v>
      </c>
      <c r="I52" s="5"/>
      <c r="J52" s="19">
        <v>296.79759999999999</v>
      </c>
      <c r="K52" s="20">
        <v>28.3766</v>
      </c>
      <c r="L52" s="20">
        <v>34.876199999999997</v>
      </c>
      <c r="M52" s="20">
        <v>36.4651</v>
      </c>
      <c r="N52" s="20">
        <v>29.723600000000001</v>
      </c>
      <c r="O52" s="20">
        <f t="shared" si="1"/>
        <v>30.200112500000003</v>
      </c>
      <c r="P52" s="7"/>
      <c r="Q52" s="13"/>
      <c r="R52" s="14"/>
      <c r="S52" s="14"/>
      <c r="T52" s="27"/>
      <c r="U52" s="28">
        <f t="shared" si="2"/>
        <v>1.9487698412698411</v>
      </c>
    </row>
    <row r="53" spans="1:21" x14ac:dyDescent="0.25">
      <c r="A53" s="6" t="s">
        <v>41</v>
      </c>
      <c r="B53" s="6" t="s">
        <v>57</v>
      </c>
      <c r="C53" s="15">
        <v>640.66999999999996</v>
      </c>
      <c r="D53" s="16">
        <v>35.652999999999999</v>
      </c>
      <c r="E53" s="16">
        <v>39.97</v>
      </c>
      <c r="F53" s="16">
        <v>38.725999999999999</v>
      </c>
      <c r="G53" s="16">
        <v>27.54</v>
      </c>
      <c r="H53" s="16">
        <f t="shared" si="0"/>
        <v>36.576750000000004</v>
      </c>
      <c r="I53" s="5"/>
      <c r="J53" s="15">
        <v>609.59439999999995</v>
      </c>
      <c r="K53" s="16">
        <v>35.4345</v>
      </c>
      <c r="L53" s="16">
        <v>40.421300000000002</v>
      </c>
      <c r="M53" s="16">
        <v>38.930599999999998</v>
      </c>
      <c r="N53" s="16">
        <v>65.677099999999996</v>
      </c>
      <c r="O53" s="16">
        <f t="shared" si="1"/>
        <v>36.494862499999996</v>
      </c>
      <c r="P53" s="7"/>
      <c r="Q53" s="8">
        <f>bdrate(C53:C56,D53:D56,J53:J56,K53:K56)</f>
        <v>2.7176660551775367E-2</v>
      </c>
      <c r="R53" s="8">
        <f>bdrate(C53:C56,E53:E56,J53:J56,L53:L56)</f>
        <v>-0.26807785694447872</v>
      </c>
      <c r="S53" s="8">
        <f>bdrate(C53:C56,F53:F56,J53:J56,M53:M56)</f>
        <v>-0.20869077865107899</v>
      </c>
      <c r="T53" s="25">
        <f>bdrate(C53:C56,H53:H56,J53:J56,O53:O56)</f>
        <v>-3.149337418525533E-2</v>
      </c>
      <c r="U53" s="28">
        <f t="shared" si="2"/>
        <v>1.3847893972403775</v>
      </c>
    </row>
    <row r="54" spans="1:21" x14ac:dyDescent="0.25">
      <c r="A54" s="9" t="s">
        <v>42</v>
      </c>
      <c r="B54" s="9"/>
      <c r="C54" s="17">
        <v>426.47</v>
      </c>
      <c r="D54" s="18">
        <v>33.820999999999998</v>
      </c>
      <c r="E54" s="18">
        <v>38.697000000000003</v>
      </c>
      <c r="F54" s="18">
        <v>37.270000000000003</v>
      </c>
      <c r="G54" s="18">
        <v>31.52</v>
      </c>
      <c r="H54" s="18">
        <f t="shared" si="0"/>
        <v>34.861624999999997</v>
      </c>
      <c r="I54" s="5"/>
      <c r="J54" s="17">
        <v>405.916</v>
      </c>
      <c r="K54" s="18">
        <v>33.551299999999998</v>
      </c>
      <c r="L54" s="18">
        <v>39.251199999999997</v>
      </c>
      <c r="M54" s="18">
        <v>37.595799999999997</v>
      </c>
      <c r="N54" s="18">
        <v>78.369900000000001</v>
      </c>
      <c r="O54" s="18">
        <f t="shared" si="1"/>
        <v>34.769349999999996</v>
      </c>
      <c r="P54" s="7"/>
      <c r="Q54" s="10"/>
      <c r="R54" s="11"/>
      <c r="S54" s="11"/>
      <c r="T54" s="26"/>
      <c r="U54" s="28">
        <f t="shared" si="2"/>
        <v>1.4863546954314724</v>
      </c>
    </row>
    <row r="55" spans="1:21" x14ac:dyDescent="0.25">
      <c r="B55" s="9"/>
      <c r="C55" s="17">
        <v>265.79000000000002</v>
      </c>
      <c r="D55" s="18">
        <v>31.835999999999999</v>
      </c>
      <c r="E55" s="18">
        <v>37.366</v>
      </c>
      <c r="F55" s="18">
        <v>35.697000000000003</v>
      </c>
      <c r="G55" s="18">
        <v>36.93</v>
      </c>
      <c r="H55" s="18">
        <f t="shared" si="0"/>
        <v>33.009875000000001</v>
      </c>
      <c r="I55" s="5"/>
      <c r="J55" s="17">
        <v>253.6936</v>
      </c>
      <c r="K55" s="18">
        <v>31.515999999999998</v>
      </c>
      <c r="L55" s="18">
        <v>38.085599999999999</v>
      </c>
      <c r="M55" s="18">
        <v>36.349699999999999</v>
      </c>
      <c r="N55" s="18">
        <v>95.950900000000004</v>
      </c>
      <c r="O55" s="18">
        <f t="shared" si="1"/>
        <v>32.941412499999998</v>
      </c>
      <c r="P55" s="7"/>
      <c r="Q55" s="10"/>
      <c r="R55" s="11"/>
      <c r="S55" s="11"/>
      <c r="T55" s="26"/>
      <c r="U55" s="28">
        <f t="shared" si="2"/>
        <v>1.5981830490116438</v>
      </c>
    </row>
    <row r="56" spans="1:21" ht="16.5" thickBot="1" x14ac:dyDescent="0.3">
      <c r="B56" s="12"/>
      <c r="C56" s="19">
        <v>127.06</v>
      </c>
      <c r="D56" s="20">
        <v>29.048999999999999</v>
      </c>
      <c r="E56" s="20">
        <v>35.366999999999997</v>
      </c>
      <c r="F56" s="20">
        <v>33.319000000000003</v>
      </c>
      <c r="G56" s="20">
        <v>47.48</v>
      </c>
      <c r="H56" s="20">
        <f t="shared" si="0"/>
        <v>30.372499999999995</v>
      </c>
      <c r="I56" s="5"/>
      <c r="J56" s="19">
        <v>121.2512</v>
      </c>
      <c r="K56" s="20">
        <v>28.656199999999998</v>
      </c>
      <c r="L56" s="20">
        <v>36.618000000000002</v>
      </c>
      <c r="M56" s="20">
        <v>34.576799999999999</v>
      </c>
      <c r="N56" s="20">
        <v>138.15969999999999</v>
      </c>
      <c r="O56" s="20">
        <f t="shared" si="1"/>
        <v>30.391499999999997</v>
      </c>
      <c r="P56" s="7"/>
      <c r="Q56" s="13"/>
      <c r="R56" s="14"/>
      <c r="S56" s="14"/>
      <c r="T56" s="27"/>
      <c r="U56" s="28">
        <f t="shared" si="2"/>
        <v>1.9098504633529907</v>
      </c>
    </row>
    <row r="57" spans="1:21" x14ac:dyDescent="0.25">
      <c r="B57" s="6" t="s">
        <v>58</v>
      </c>
      <c r="C57" s="15">
        <v>552.13</v>
      </c>
      <c r="D57" s="16">
        <v>33.387999999999998</v>
      </c>
      <c r="E57" s="16">
        <v>40.097000000000001</v>
      </c>
      <c r="F57" s="16">
        <v>40.918999999999997</v>
      </c>
      <c r="G57" s="16">
        <v>46.68</v>
      </c>
      <c r="H57" s="16">
        <f t="shared" si="0"/>
        <v>35.167999999999999</v>
      </c>
      <c r="I57" s="5"/>
      <c r="J57" s="15">
        <v>581.7088</v>
      </c>
      <c r="K57" s="16">
        <v>34.269799999999996</v>
      </c>
      <c r="L57" s="16">
        <v>41.517400000000002</v>
      </c>
      <c r="M57" s="16">
        <v>42.3932</v>
      </c>
      <c r="N57" s="16">
        <v>94.265500000000003</v>
      </c>
      <c r="O57" s="16">
        <f t="shared" si="1"/>
        <v>36.191174999999994</v>
      </c>
      <c r="P57" s="7"/>
      <c r="Q57" s="8">
        <f>bdrate(C57:C60,D57:D60,J57:J60,K57:K60)</f>
        <v>-0.18659951286565812</v>
      </c>
      <c r="R57" s="8">
        <f>bdrate(C57:C60,E57:E60,J57:J60,L57:L60)</f>
        <v>-0.38417307578211124</v>
      </c>
      <c r="S57" s="8">
        <f>bdrate(C57:C60,F57:F60,J57:J60,M57:M60)</f>
        <v>-0.34768963898281147</v>
      </c>
      <c r="T57" s="25">
        <f>bdrate(C57:C60,H57:H60,J57:J60,O57:O60)</f>
        <v>-0.21509568180861605</v>
      </c>
      <c r="U57" s="28">
        <f t="shared" si="2"/>
        <v>1.019398029134533</v>
      </c>
    </row>
    <row r="58" spans="1:21" x14ac:dyDescent="0.25">
      <c r="B58" s="9"/>
      <c r="C58" s="17">
        <v>363.22</v>
      </c>
      <c r="D58" s="18">
        <v>32.024000000000001</v>
      </c>
      <c r="E58" s="18">
        <v>39.417000000000002</v>
      </c>
      <c r="F58" s="18">
        <v>40.25</v>
      </c>
      <c r="G58" s="18">
        <v>52.83</v>
      </c>
      <c r="H58" s="18">
        <f t="shared" si="0"/>
        <v>33.976375000000004</v>
      </c>
      <c r="I58" s="5"/>
      <c r="J58" s="17">
        <v>386.04719999999998</v>
      </c>
      <c r="K58" s="18">
        <v>32.929200000000002</v>
      </c>
      <c r="L58" s="18">
        <v>40.466299999999997</v>
      </c>
      <c r="M58" s="18">
        <v>41.284500000000001</v>
      </c>
      <c r="N58" s="18">
        <v>116.8907</v>
      </c>
      <c r="O58" s="18">
        <f t="shared" si="1"/>
        <v>34.915749999999996</v>
      </c>
      <c r="P58" s="7"/>
      <c r="Q58" s="10"/>
      <c r="R58" s="11"/>
      <c r="S58" s="11"/>
      <c r="T58" s="26"/>
      <c r="U58" s="28">
        <f t="shared" si="2"/>
        <v>1.2125818663638084</v>
      </c>
    </row>
    <row r="59" spans="1:21" x14ac:dyDescent="0.25">
      <c r="B59" s="9"/>
      <c r="C59" s="17">
        <v>224.85</v>
      </c>
      <c r="D59" s="18">
        <v>30.478999999999999</v>
      </c>
      <c r="E59" s="18">
        <v>38.700000000000003</v>
      </c>
      <c r="F59" s="18">
        <v>39.56</v>
      </c>
      <c r="G59" s="18">
        <v>60.28</v>
      </c>
      <c r="H59" s="18">
        <f t="shared" si="0"/>
        <v>32.641750000000002</v>
      </c>
      <c r="I59" s="5"/>
      <c r="J59" s="17">
        <v>232.69839999999999</v>
      </c>
      <c r="K59" s="18">
        <v>31.274100000000001</v>
      </c>
      <c r="L59" s="18">
        <v>39.499099999999999</v>
      </c>
      <c r="M59" s="18">
        <v>40.299700000000001</v>
      </c>
      <c r="N59" s="18">
        <v>161.59440000000001</v>
      </c>
      <c r="O59" s="18">
        <f t="shared" si="1"/>
        <v>33.430425</v>
      </c>
      <c r="P59" s="7"/>
      <c r="Q59" s="10"/>
      <c r="R59" s="11"/>
      <c r="S59" s="11"/>
      <c r="T59" s="26"/>
      <c r="U59" s="28">
        <f t="shared" si="2"/>
        <v>1.6807299270072993</v>
      </c>
    </row>
    <row r="60" spans="1:21" ht="16.5" thickBot="1" x14ac:dyDescent="0.3">
      <c r="B60" s="12"/>
      <c r="C60" s="19">
        <v>103.8</v>
      </c>
      <c r="D60" s="20">
        <v>27.766999999999999</v>
      </c>
      <c r="E60" s="20">
        <v>37.64</v>
      </c>
      <c r="F60" s="20">
        <v>38.390999999999998</v>
      </c>
      <c r="G60" s="20">
        <v>73.260000000000005</v>
      </c>
      <c r="H60" s="20">
        <f t="shared" si="0"/>
        <v>30.329125000000001</v>
      </c>
      <c r="I60" s="5"/>
      <c r="J60" s="19">
        <v>110.8784</v>
      </c>
      <c r="K60" s="20">
        <v>28.701499999999999</v>
      </c>
      <c r="L60" s="20">
        <v>38.332900000000002</v>
      </c>
      <c r="M60" s="20">
        <v>38.981900000000003</v>
      </c>
      <c r="N60" s="20">
        <v>253.05779999999999</v>
      </c>
      <c r="O60" s="20">
        <f t="shared" si="1"/>
        <v>31.190474999999999</v>
      </c>
      <c r="P60" s="7"/>
      <c r="Q60" s="13"/>
      <c r="R60" s="14"/>
      <c r="S60" s="14"/>
      <c r="T60" s="27"/>
      <c r="U60" s="28">
        <f t="shared" si="2"/>
        <v>2.4542424242424241</v>
      </c>
    </row>
    <row r="61" spans="1:21" x14ac:dyDescent="0.25">
      <c r="B61" s="6" t="s">
        <v>59</v>
      </c>
      <c r="C61" s="29">
        <v>628.24</v>
      </c>
      <c r="D61" s="30">
        <v>33.61</v>
      </c>
      <c r="E61" s="30">
        <v>37.701999999999998</v>
      </c>
      <c r="F61" s="30">
        <v>38.271000000000001</v>
      </c>
      <c r="G61" s="16">
        <v>37.18</v>
      </c>
      <c r="H61" s="16">
        <f t="shared" si="0"/>
        <v>34.704124999999998</v>
      </c>
      <c r="I61" s="5"/>
      <c r="J61" s="29">
        <v>601.03840000000002</v>
      </c>
      <c r="K61" s="30">
        <v>33.718800000000002</v>
      </c>
      <c r="L61" s="30">
        <v>38.363599999999998</v>
      </c>
      <c r="M61" s="30">
        <v>39.125300000000003</v>
      </c>
      <c r="N61" s="16">
        <v>88.308000000000007</v>
      </c>
      <c r="O61" s="16">
        <f t="shared" si="1"/>
        <v>34.975212499999998</v>
      </c>
      <c r="P61" s="7"/>
      <c r="Q61" s="8">
        <f>bdrate(C61:C64,D61:D64,J61:J64,K61:K64)</f>
        <v>-9.6968077727776048E-2</v>
      </c>
      <c r="R61" s="8">
        <f>bdrate(C61:C64,E61:E64,J61:J64,L61:L64)</f>
        <v>-0.27352321477388153</v>
      </c>
      <c r="S61" s="8">
        <f>bdrate(C61:C64,F61:F64,J61:J64,M61:M64)</f>
        <v>-0.32636503488670476</v>
      </c>
      <c r="T61" s="25">
        <f>bdrate(C61:C64,H61:H64,J61:J64,O61:O64)</f>
        <v>-0.13793985512253581</v>
      </c>
      <c r="U61" s="28">
        <f t="shared" si="2"/>
        <v>1.3751479289940831</v>
      </c>
    </row>
    <row r="62" spans="1:21" x14ac:dyDescent="0.25">
      <c r="B62" s="9"/>
      <c r="C62" s="31">
        <v>418.77</v>
      </c>
      <c r="D62" s="32">
        <v>31.978000000000002</v>
      </c>
      <c r="E62" s="32">
        <v>36.585999999999999</v>
      </c>
      <c r="F62" s="32">
        <v>37.128999999999998</v>
      </c>
      <c r="G62" s="18">
        <v>42.45</v>
      </c>
      <c r="H62" s="18">
        <f t="shared" si="0"/>
        <v>33.197875000000003</v>
      </c>
      <c r="I62" s="5"/>
      <c r="J62" s="31">
        <v>398.65359999999998</v>
      </c>
      <c r="K62" s="32">
        <v>32.146900000000002</v>
      </c>
      <c r="L62" s="32">
        <v>37.136099999999999</v>
      </c>
      <c r="M62" s="32">
        <v>37.873800000000003</v>
      </c>
      <c r="N62" s="18">
        <v>107.5731</v>
      </c>
      <c r="O62" s="18">
        <f t="shared" si="1"/>
        <v>33.4864125</v>
      </c>
      <c r="P62" s="7"/>
      <c r="Q62" s="10"/>
      <c r="R62" s="11"/>
      <c r="S62" s="11"/>
      <c r="T62" s="26"/>
      <c r="U62" s="28">
        <f t="shared" si="2"/>
        <v>1.5341130742049467</v>
      </c>
    </row>
    <row r="63" spans="1:21" x14ac:dyDescent="0.25">
      <c r="B63" s="9"/>
      <c r="C63" s="31">
        <v>260.89</v>
      </c>
      <c r="D63" s="32">
        <v>30.22</v>
      </c>
      <c r="E63" s="32">
        <v>35.514000000000003</v>
      </c>
      <c r="F63" s="32">
        <v>35.982999999999997</v>
      </c>
      <c r="G63" s="18">
        <v>49.61</v>
      </c>
      <c r="H63" s="18">
        <f t="shared" si="0"/>
        <v>31.602125000000001</v>
      </c>
      <c r="I63" s="5"/>
      <c r="J63" s="31">
        <v>247.0712</v>
      </c>
      <c r="K63" s="32">
        <v>30.404399999999999</v>
      </c>
      <c r="L63" s="32">
        <v>36.105200000000004</v>
      </c>
      <c r="M63" s="32">
        <v>36.783799999999999</v>
      </c>
      <c r="N63" s="18">
        <v>132.4503</v>
      </c>
      <c r="O63" s="18">
        <f t="shared" si="1"/>
        <v>31.914425000000001</v>
      </c>
      <c r="P63" s="7"/>
      <c r="Q63" s="10"/>
      <c r="R63" s="11"/>
      <c r="S63" s="11"/>
      <c r="T63" s="26"/>
      <c r="U63" s="28">
        <f t="shared" si="2"/>
        <v>1.6698306792985285</v>
      </c>
    </row>
    <row r="64" spans="1:21" ht="16.5" thickBot="1" x14ac:dyDescent="0.3">
      <c r="B64" s="12"/>
      <c r="C64" s="33">
        <v>123.07</v>
      </c>
      <c r="D64" s="34">
        <v>27.673999999999999</v>
      </c>
      <c r="E64" s="34">
        <v>33.814</v>
      </c>
      <c r="F64" s="34">
        <v>34.26</v>
      </c>
      <c r="G64" s="20">
        <v>60.7</v>
      </c>
      <c r="H64" s="20">
        <f t="shared" si="0"/>
        <v>29.264749999999996</v>
      </c>
      <c r="I64" s="5"/>
      <c r="J64" s="33">
        <v>118.3776</v>
      </c>
      <c r="K64" s="34">
        <v>27.948899999999998</v>
      </c>
      <c r="L64" s="34">
        <v>34.7151</v>
      </c>
      <c r="M64" s="34">
        <v>35.365400000000001</v>
      </c>
      <c r="N64" s="20">
        <v>189.68129999999999</v>
      </c>
      <c r="O64" s="20">
        <f t="shared" si="1"/>
        <v>29.7217375</v>
      </c>
      <c r="P64" s="7"/>
      <c r="Q64" s="13"/>
      <c r="R64" s="14"/>
      <c r="S64" s="14"/>
      <c r="T64" s="27"/>
      <c r="U64" s="28">
        <f t="shared" si="2"/>
        <v>2.1248978583196041</v>
      </c>
    </row>
    <row r="65" spans="1:21" x14ac:dyDescent="0.25">
      <c r="B65" s="6" t="s">
        <v>60</v>
      </c>
      <c r="C65" s="15">
        <v>578.12</v>
      </c>
      <c r="D65" s="16">
        <v>35.107999999999997</v>
      </c>
      <c r="E65" s="16">
        <v>38.143999999999998</v>
      </c>
      <c r="F65" s="16">
        <v>39.351999999999997</v>
      </c>
      <c r="G65" s="16">
        <v>21.44</v>
      </c>
      <c r="H65" s="16">
        <f t="shared" si="0"/>
        <v>36.017999999999994</v>
      </c>
      <c r="I65" s="5"/>
      <c r="J65" s="15">
        <v>613.95360000000005</v>
      </c>
      <c r="K65" s="16">
        <v>35.030099999999997</v>
      </c>
      <c r="L65" s="16">
        <v>38.4116</v>
      </c>
      <c r="M65" s="16">
        <v>39.508400000000002</v>
      </c>
      <c r="N65" s="16">
        <v>49.180300000000003</v>
      </c>
      <c r="O65" s="16">
        <f t="shared" si="1"/>
        <v>36.012574999999998</v>
      </c>
      <c r="P65" s="7"/>
      <c r="Q65" s="8">
        <f>bdrate(C65:C68,D65:D68,J65:J68,K65:K68)</f>
        <v>9.2271036435193299E-2</v>
      </c>
      <c r="R65" s="8">
        <f>bdrate(C65:C68,E65:E68,J65:J68,L65:L68)</f>
        <v>-0.12057836192079519</v>
      </c>
      <c r="S65" s="8">
        <f>bdrate(C65:C68,F65:F68,J65:J68,M65:M68)</f>
        <v>-0.10786254733771983</v>
      </c>
      <c r="T65" s="25">
        <f>bdrate(C65:C68,H65:H68,J65:J68,O65:O68)</f>
        <v>4.6913963217897425E-2</v>
      </c>
      <c r="U65" s="28">
        <f t="shared" si="2"/>
        <v>1.2938572761194029</v>
      </c>
    </row>
    <row r="66" spans="1:21" x14ac:dyDescent="0.25">
      <c r="B66" s="9"/>
      <c r="C66" s="17">
        <v>387.48</v>
      </c>
      <c r="D66" s="18">
        <v>33.238</v>
      </c>
      <c r="E66" s="18">
        <v>36.877000000000002</v>
      </c>
      <c r="F66" s="18">
        <v>38.055999999999997</v>
      </c>
      <c r="G66" s="18">
        <v>24.65</v>
      </c>
      <c r="H66" s="18">
        <f t="shared" si="0"/>
        <v>34.295124999999999</v>
      </c>
      <c r="I66" s="5"/>
      <c r="J66" s="17">
        <v>410.24880000000002</v>
      </c>
      <c r="K66" s="18">
        <v>33.128300000000003</v>
      </c>
      <c r="L66" s="18">
        <v>37.214599999999997</v>
      </c>
      <c r="M66" s="18">
        <v>38.3264</v>
      </c>
      <c r="N66" s="18">
        <v>60.471699999999998</v>
      </c>
      <c r="O66" s="18">
        <f t="shared" si="1"/>
        <v>34.288850000000004</v>
      </c>
      <c r="P66" s="7"/>
      <c r="Q66" s="10"/>
      <c r="R66" s="11"/>
      <c r="S66" s="11"/>
      <c r="T66" s="26"/>
      <c r="U66" s="28">
        <f t="shared" si="2"/>
        <v>1.4532129817444219</v>
      </c>
    </row>
    <row r="67" spans="1:21" x14ac:dyDescent="0.25">
      <c r="B67" s="9"/>
      <c r="C67" s="17">
        <v>243.49</v>
      </c>
      <c r="D67" s="18">
        <v>31.297999999999998</v>
      </c>
      <c r="E67" s="18">
        <v>35.524000000000001</v>
      </c>
      <c r="F67" s="18">
        <v>36.643999999999998</v>
      </c>
      <c r="G67" s="18">
        <v>28.83</v>
      </c>
      <c r="H67" s="18">
        <f t="shared" si="0"/>
        <v>32.494499999999995</v>
      </c>
      <c r="I67" s="5"/>
      <c r="J67" s="17">
        <v>251.05840000000001</v>
      </c>
      <c r="K67" s="18">
        <v>31.059100000000001</v>
      </c>
      <c r="L67" s="18">
        <v>35.968200000000003</v>
      </c>
      <c r="M67" s="18">
        <v>37.093400000000003</v>
      </c>
      <c r="N67" s="18">
        <v>74.552700000000002</v>
      </c>
      <c r="O67" s="18">
        <f t="shared" si="1"/>
        <v>32.427025</v>
      </c>
      <c r="P67" s="7"/>
      <c r="Q67" s="10"/>
      <c r="R67" s="11"/>
      <c r="S67" s="11"/>
      <c r="T67" s="26"/>
      <c r="U67" s="28">
        <f t="shared" si="2"/>
        <v>1.585941727367326</v>
      </c>
    </row>
    <row r="68" spans="1:21" ht="16.5" thickBot="1" x14ac:dyDescent="0.3">
      <c r="B68" s="12"/>
      <c r="C68" s="19">
        <v>116.87</v>
      </c>
      <c r="D68" s="20">
        <v>28.66</v>
      </c>
      <c r="E68" s="20">
        <v>33.497999999999998</v>
      </c>
      <c r="F68" s="20">
        <v>34.436</v>
      </c>
      <c r="G68" s="20">
        <v>37.85</v>
      </c>
      <c r="H68" s="20">
        <f t="shared" si="0"/>
        <v>29.986750000000001</v>
      </c>
      <c r="I68" s="5"/>
      <c r="J68" s="19">
        <v>119.5608</v>
      </c>
      <c r="K68" s="20">
        <v>28.398800000000001</v>
      </c>
      <c r="L68" s="20">
        <v>34.542499999999997</v>
      </c>
      <c r="M68" s="20">
        <v>35.556100000000001</v>
      </c>
      <c r="N68" s="20">
        <v>110.538</v>
      </c>
      <c r="O68" s="20">
        <f t="shared" si="1"/>
        <v>30.061425</v>
      </c>
      <c r="P68" s="7"/>
      <c r="Q68" s="13"/>
      <c r="R68" s="14"/>
      <c r="S68" s="14"/>
      <c r="T68" s="27"/>
      <c r="U68" s="28">
        <f t="shared" si="2"/>
        <v>1.9204227212681635</v>
      </c>
    </row>
    <row r="69" spans="1:21" x14ac:dyDescent="0.25">
      <c r="A69" s="6" t="s">
        <v>43</v>
      </c>
      <c r="B69" s="6" t="s">
        <v>61</v>
      </c>
      <c r="C69" s="15">
        <v>1385.46</v>
      </c>
      <c r="D69" s="16">
        <v>41.313000000000002</v>
      </c>
      <c r="E69" s="16">
        <v>45.290999999999997</v>
      </c>
      <c r="F69" s="16">
        <v>46.627000000000002</v>
      </c>
      <c r="G69" s="16">
        <v>8.61</v>
      </c>
      <c r="H69" s="16">
        <f t="shared" si="0"/>
        <v>42.474499999999999</v>
      </c>
      <c r="I69" s="5"/>
      <c r="J69" s="15">
        <v>1413.2983999999999</v>
      </c>
      <c r="K69" s="16">
        <v>41.838099999999997</v>
      </c>
      <c r="L69" s="16">
        <v>46.1357</v>
      </c>
      <c r="M69" s="16">
        <v>47.332500000000003</v>
      </c>
      <c r="N69" s="16">
        <v>22.530999999999999</v>
      </c>
      <c r="O69" s="16">
        <f t="shared" si="1"/>
        <v>43.062099999999994</v>
      </c>
      <c r="P69" s="7"/>
      <c r="Q69" s="8">
        <f>bdrate(C69:C72,D69:D72,J69:J72,K69:K72)</f>
        <v>-0.12432334081372698</v>
      </c>
      <c r="R69" s="8">
        <f>bdrate(C69:C72,E69:E72,J69:J72,L69:L72)</f>
        <v>-0.29062233679585403</v>
      </c>
      <c r="S69" s="8">
        <f>bdrate(C69:C72,F69:F72,J69:J72,M69:M72)</f>
        <v>-0.23728587368836718</v>
      </c>
      <c r="T69" s="25">
        <f>bdrate(C69:C72,H69:H72,J69:J72,O69:O72)</f>
        <v>-0.1554333375099034</v>
      </c>
      <c r="U69" s="28">
        <f t="shared" si="2"/>
        <v>1.6168408826945413</v>
      </c>
    </row>
    <row r="70" spans="1:21" x14ac:dyDescent="0.25">
      <c r="A70" s="9" t="s">
        <v>44</v>
      </c>
      <c r="B70" s="9"/>
      <c r="C70" s="17">
        <v>912.64</v>
      </c>
      <c r="D70" s="18">
        <v>40.192999999999998</v>
      </c>
      <c r="E70" s="18">
        <v>44.304000000000002</v>
      </c>
      <c r="F70" s="18">
        <v>45.679000000000002</v>
      </c>
      <c r="G70" s="18">
        <v>9.7200000000000006</v>
      </c>
      <c r="H70" s="18">
        <f t="shared" si="0"/>
        <v>41.392624999999995</v>
      </c>
      <c r="I70" s="5"/>
      <c r="J70" s="17">
        <v>953.64800000000002</v>
      </c>
      <c r="K70" s="18">
        <v>40.905500000000004</v>
      </c>
      <c r="L70" s="18">
        <v>45.298699999999997</v>
      </c>
      <c r="M70" s="18">
        <v>46.474200000000003</v>
      </c>
      <c r="N70" s="18">
        <v>27.811299999999999</v>
      </c>
      <c r="O70" s="18">
        <f t="shared" si="1"/>
        <v>42.150737500000005</v>
      </c>
      <c r="P70" s="7"/>
      <c r="Q70" s="10"/>
      <c r="R70" s="11"/>
      <c r="S70" s="11"/>
      <c r="T70" s="26"/>
      <c r="U70" s="28">
        <f t="shared" si="2"/>
        <v>1.8612448559670778</v>
      </c>
    </row>
    <row r="71" spans="1:21" x14ac:dyDescent="0.25">
      <c r="B71" s="9"/>
      <c r="C71" s="17">
        <v>542.32000000000005</v>
      </c>
      <c r="D71" s="18">
        <v>38.512999999999998</v>
      </c>
      <c r="E71" s="18">
        <v>42.899000000000001</v>
      </c>
      <c r="F71" s="18">
        <v>44.189</v>
      </c>
      <c r="G71" s="18">
        <v>10.78</v>
      </c>
      <c r="H71" s="18">
        <f t="shared" si="0"/>
        <v>39.77075</v>
      </c>
      <c r="I71" s="5"/>
      <c r="J71" s="17">
        <v>562.90639999999996</v>
      </c>
      <c r="K71" s="18">
        <v>39.183</v>
      </c>
      <c r="L71" s="18">
        <v>43.898299999999999</v>
      </c>
      <c r="M71" s="18">
        <v>45.0321</v>
      </c>
      <c r="N71" s="18">
        <v>35.910899999999998</v>
      </c>
      <c r="O71" s="18">
        <f t="shared" si="1"/>
        <v>40.503550000000004</v>
      </c>
      <c r="P71" s="7"/>
      <c r="Q71" s="10"/>
      <c r="R71" s="11"/>
      <c r="S71" s="11"/>
      <c r="T71" s="26"/>
      <c r="U71" s="28">
        <f t="shared" si="2"/>
        <v>2.3312523191094616</v>
      </c>
    </row>
    <row r="72" spans="1:21" ht="16.5" thickBot="1" x14ac:dyDescent="0.3">
      <c r="B72" s="12"/>
      <c r="C72" s="19">
        <v>261.74</v>
      </c>
      <c r="D72" s="20">
        <v>36.176000000000002</v>
      </c>
      <c r="E72" s="20">
        <v>41.42</v>
      </c>
      <c r="F72" s="20">
        <v>42.502000000000002</v>
      </c>
      <c r="G72" s="20">
        <v>12.52</v>
      </c>
      <c r="H72" s="20">
        <f t="shared" si="0"/>
        <v>37.622250000000001</v>
      </c>
      <c r="I72" s="5"/>
      <c r="J72" s="19">
        <v>280.32159999999999</v>
      </c>
      <c r="K72" s="20">
        <v>36.295900000000003</v>
      </c>
      <c r="L72" s="20">
        <v>42.122500000000002</v>
      </c>
      <c r="M72" s="20">
        <v>43.224299999999999</v>
      </c>
      <c r="N72" s="20">
        <v>49.244900000000001</v>
      </c>
      <c r="O72" s="20">
        <f t="shared" si="1"/>
        <v>37.890275000000003</v>
      </c>
      <c r="P72" s="7"/>
      <c r="Q72" s="13"/>
      <c r="R72" s="14"/>
      <c r="S72" s="14"/>
      <c r="T72" s="27"/>
      <c r="U72" s="28">
        <f t="shared" si="2"/>
        <v>2.9332987220447291</v>
      </c>
    </row>
    <row r="73" spans="1:21" x14ac:dyDescent="0.25">
      <c r="B73" s="6" t="s">
        <v>62</v>
      </c>
      <c r="C73" s="15">
        <v>1430.68</v>
      </c>
      <c r="D73" s="16">
        <v>42.716999999999999</v>
      </c>
      <c r="E73" s="16">
        <v>47.584000000000003</v>
      </c>
      <c r="F73" s="16">
        <v>48.302</v>
      </c>
      <c r="G73" s="16">
        <v>8.7100000000000009</v>
      </c>
      <c r="H73" s="16">
        <f t="shared" si="0"/>
        <v>44.023500000000006</v>
      </c>
      <c r="I73" s="5"/>
      <c r="J73" s="15">
        <v>1458.5648000000001</v>
      </c>
      <c r="K73" s="16">
        <v>42.896700000000003</v>
      </c>
      <c r="L73" s="16">
        <v>48.205800000000004</v>
      </c>
      <c r="M73" s="16">
        <v>48.842199999999998</v>
      </c>
      <c r="N73" s="16">
        <v>25.657499999999999</v>
      </c>
      <c r="O73" s="16">
        <f t="shared" si="1"/>
        <v>44.303525</v>
      </c>
      <c r="P73" s="7"/>
      <c r="Q73" s="8">
        <f>bdrate(C73:C76,D73:D76,J73:J76,K73:K76)</f>
        <v>-0.14707749772705914</v>
      </c>
      <c r="R73" s="8">
        <f>bdrate(C73:C76,E73:E76,J73:J76,L73:L76)</f>
        <v>-0.3645941529086475</v>
      </c>
      <c r="S73" s="8">
        <f>bdrate(C73:C76,F73:F76,J73:J76,M73:M76)</f>
        <v>-0.29560872623120049</v>
      </c>
      <c r="T73" s="25">
        <f>bdrate(C73:C76,H73:H76,J73:J76,O73:O76)</f>
        <v>-0.19925768115758424</v>
      </c>
      <c r="U73" s="28">
        <f t="shared" ref="U73:U91" si="3">(N73-G73)/G73</f>
        <v>1.9457520091848446</v>
      </c>
    </row>
    <row r="74" spans="1:21" x14ac:dyDescent="0.25">
      <c r="B74" s="9"/>
      <c r="C74" s="17">
        <v>942.18</v>
      </c>
      <c r="D74" s="18">
        <v>42.198999999999998</v>
      </c>
      <c r="E74" s="18">
        <v>46.973999999999997</v>
      </c>
      <c r="F74" s="18">
        <v>47.723999999999997</v>
      </c>
      <c r="G74" s="18">
        <v>9.76</v>
      </c>
      <c r="H74" s="18">
        <f t="shared" si="0"/>
        <v>43.486499999999999</v>
      </c>
      <c r="I74" s="5"/>
      <c r="J74" s="17">
        <v>975.01760000000002</v>
      </c>
      <c r="K74" s="18">
        <v>42.4773</v>
      </c>
      <c r="L74" s="18">
        <v>47.780799999999999</v>
      </c>
      <c r="M74" s="18">
        <v>48.427700000000002</v>
      </c>
      <c r="N74" s="18">
        <v>31.892800000000001</v>
      </c>
      <c r="O74" s="18">
        <f t="shared" si="1"/>
        <v>43.884037499999998</v>
      </c>
      <c r="P74" s="7"/>
      <c r="Q74" s="10"/>
      <c r="R74" s="11"/>
      <c r="S74" s="11"/>
      <c r="T74" s="26"/>
      <c r="U74" s="28">
        <f t="shared" si="3"/>
        <v>2.2677049180327873</v>
      </c>
    </row>
    <row r="75" spans="1:21" x14ac:dyDescent="0.25">
      <c r="B75" s="9"/>
      <c r="C75" s="17">
        <v>555.45000000000005</v>
      </c>
      <c r="D75" s="18">
        <v>41.401000000000003</v>
      </c>
      <c r="E75" s="18">
        <v>46.115000000000002</v>
      </c>
      <c r="F75" s="18">
        <v>46.914000000000001</v>
      </c>
      <c r="G75" s="18">
        <v>10.94</v>
      </c>
      <c r="H75" s="18">
        <f t="shared" si="0"/>
        <v>42.679375</v>
      </c>
      <c r="I75" s="5"/>
      <c r="J75" s="17">
        <v>574.58479999999997</v>
      </c>
      <c r="K75" s="18">
        <v>41.743400000000001</v>
      </c>
      <c r="L75" s="18">
        <v>46.9846</v>
      </c>
      <c r="M75" s="18">
        <v>47.632399999999997</v>
      </c>
      <c r="N75" s="18">
        <v>41.6233</v>
      </c>
      <c r="O75" s="18">
        <f t="shared" si="1"/>
        <v>43.134675000000001</v>
      </c>
      <c r="P75" s="7"/>
      <c r="Q75" s="10"/>
      <c r="R75" s="11"/>
      <c r="S75" s="11"/>
      <c r="T75" s="26"/>
      <c r="U75" s="28">
        <f t="shared" si="3"/>
        <v>2.8046892138939676</v>
      </c>
    </row>
    <row r="76" spans="1:21" ht="16.5" thickBot="1" x14ac:dyDescent="0.3">
      <c r="B76" s="12"/>
      <c r="C76" s="19">
        <v>267.11</v>
      </c>
      <c r="D76" s="20">
        <v>39.829000000000001</v>
      </c>
      <c r="E76" s="20">
        <v>44.685000000000002</v>
      </c>
      <c r="F76" s="20">
        <v>45.47</v>
      </c>
      <c r="G76" s="20">
        <v>12.33</v>
      </c>
      <c r="H76" s="20">
        <f t="shared" si="0"/>
        <v>41.141125000000002</v>
      </c>
      <c r="I76" s="5"/>
      <c r="J76" s="19">
        <v>277.60399999999998</v>
      </c>
      <c r="K76" s="20">
        <v>40.190300000000001</v>
      </c>
      <c r="L76" s="20">
        <v>45.453200000000002</v>
      </c>
      <c r="M76" s="20">
        <v>45.923099999999998</v>
      </c>
      <c r="N76" s="20">
        <v>58.3658</v>
      </c>
      <c r="O76" s="20">
        <f t="shared" si="1"/>
        <v>41.564762499999993</v>
      </c>
      <c r="P76" s="7"/>
      <c r="Q76" s="13"/>
      <c r="R76" s="14"/>
      <c r="S76" s="14"/>
      <c r="T76" s="27"/>
      <c r="U76" s="28">
        <f t="shared" si="3"/>
        <v>3.7336415247364152</v>
      </c>
    </row>
    <row r="77" spans="1:21" x14ac:dyDescent="0.25">
      <c r="B77" s="6" t="s">
        <v>63</v>
      </c>
      <c r="C77" s="15">
        <v>1490.86</v>
      </c>
      <c r="D77" s="16">
        <v>42.597000000000001</v>
      </c>
      <c r="E77" s="16">
        <v>46.783999999999999</v>
      </c>
      <c r="F77" s="16">
        <v>47.716000000000001</v>
      </c>
      <c r="G77" s="16">
        <v>7.56</v>
      </c>
      <c r="H77" s="16">
        <f t="shared" si="0"/>
        <v>43.760249999999999</v>
      </c>
      <c r="I77" s="5"/>
      <c r="J77" s="15">
        <v>1471.4576</v>
      </c>
      <c r="K77" s="16">
        <v>42.799199999999999</v>
      </c>
      <c r="L77" s="16">
        <v>47.255200000000002</v>
      </c>
      <c r="M77" s="16">
        <v>48.119199999999999</v>
      </c>
      <c r="N77" s="16">
        <v>22.9621</v>
      </c>
      <c r="O77" s="16">
        <f t="shared" si="1"/>
        <v>44.0212</v>
      </c>
      <c r="P77" s="7"/>
      <c r="Q77" s="8">
        <f>bdrate(C77:C80,D77:D80,J77:J80,K77:K80)</f>
        <v>-0.10209273734650626</v>
      </c>
      <c r="R77" s="8">
        <f>bdrate(C77:C80,E77:E80,J77:J80,L77:L80)</f>
        <v>-0.2749877541076402</v>
      </c>
      <c r="S77" s="8">
        <f>bdrate(C77:C80,F77:F80,J77:J80,M77:M80)</f>
        <v>-0.20528040324501051</v>
      </c>
      <c r="T77" s="25">
        <f>bdrate(C77:C80,H77:H80,J77:J80,O77:O80)</f>
        <v>-0.13608975874458806</v>
      </c>
      <c r="U77" s="28">
        <f t="shared" si="3"/>
        <v>2.037314814814815</v>
      </c>
    </row>
    <row r="78" spans="1:21" x14ac:dyDescent="0.25">
      <c r="B78" s="9"/>
      <c r="C78" s="17">
        <v>988.83</v>
      </c>
      <c r="D78" s="18">
        <v>41.84</v>
      </c>
      <c r="E78" s="18">
        <v>46.003</v>
      </c>
      <c r="F78" s="18">
        <v>46.956000000000003</v>
      </c>
      <c r="G78" s="18">
        <v>8.49</v>
      </c>
      <c r="H78" s="18">
        <f t="shared" si="0"/>
        <v>42.999875000000003</v>
      </c>
      <c r="I78" s="5"/>
      <c r="J78" s="17">
        <v>977.8</v>
      </c>
      <c r="K78" s="18">
        <v>42.099299999999999</v>
      </c>
      <c r="L78" s="18">
        <v>46.5959</v>
      </c>
      <c r="M78" s="18">
        <v>47.4373</v>
      </c>
      <c r="N78" s="18">
        <v>28.8309</v>
      </c>
      <c r="O78" s="18">
        <f t="shared" si="1"/>
        <v>43.328624999999995</v>
      </c>
      <c r="P78" s="7"/>
      <c r="Q78" s="10"/>
      <c r="R78" s="11"/>
      <c r="S78" s="11"/>
      <c r="T78" s="26"/>
      <c r="U78" s="28">
        <f t="shared" si="3"/>
        <v>2.395865724381625</v>
      </c>
    </row>
    <row r="79" spans="1:21" x14ac:dyDescent="0.25">
      <c r="B79" s="9"/>
      <c r="C79" s="17">
        <v>589.49</v>
      </c>
      <c r="D79" s="18">
        <v>40.584000000000003</v>
      </c>
      <c r="E79" s="18">
        <v>44.756999999999998</v>
      </c>
      <c r="F79" s="18">
        <v>45.777000000000001</v>
      </c>
      <c r="G79" s="18">
        <v>9.64</v>
      </c>
      <c r="H79" s="18">
        <f t="shared" si="0"/>
        <v>41.754750000000001</v>
      </c>
      <c r="I79" s="5"/>
      <c r="J79" s="17">
        <v>584.47760000000005</v>
      </c>
      <c r="K79" s="18">
        <v>40.898200000000003</v>
      </c>
      <c r="L79" s="18">
        <v>45.5533</v>
      </c>
      <c r="M79" s="18">
        <v>46.3658</v>
      </c>
      <c r="N79" s="18">
        <v>37.561</v>
      </c>
      <c r="O79" s="18">
        <f t="shared" si="1"/>
        <v>42.163537499999997</v>
      </c>
      <c r="P79" s="7"/>
      <c r="Q79" s="10"/>
      <c r="R79" s="11"/>
      <c r="S79" s="11"/>
      <c r="T79" s="26"/>
      <c r="U79" s="28">
        <f t="shared" si="3"/>
        <v>2.8963692946058091</v>
      </c>
    </row>
    <row r="80" spans="1:21" ht="16.5" thickBot="1" x14ac:dyDescent="0.3">
      <c r="B80" s="12"/>
      <c r="C80" s="19">
        <v>288.62</v>
      </c>
      <c r="D80" s="20">
        <v>38.515999999999998</v>
      </c>
      <c r="E80" s="20">
        <v>43.005000000000003</v>
      </c>
      <c r="F80" s="20">
        <v>44.112000000000002</v>
      </c>
      <c r="G80" s="20">
        <v>11.04</v>
      </c>
      <c r="H80" s="20">
        <f t="shared" si="0"/>
        <v>39.776625000000003</v>
      </c>
      <c r="I80" s="5"/>
      <c r="J80" s="19">
        <v>291.00319999999999</v>
      </c>
      <c r="K80" s="20">
        <v>38.604999999999997</v>
      </c>
      <c r="L80" s="20">
        <v>43.702100000000002</v>
      </c>
      <c r="M80" s="20">
        <v>44.392200000000003</v>
      </c>
      <c r="N80" s="20">
        <v>53.196199999999997</v>
      </c>
      <c r="O80" s="20">
        <f t="shared" si="1"/>
        <v>39.965537499999996</v>
      </c>
      <c r="P80" s="7"/>
      <c r="Q80" s="13"/>
      <c r="R80" s="14"/>
      <c r="S80" s="14"/>
      <c r="T80" s="27"/>
      <c r="U80" s="28">
        <f t="shared" si="3"/>
        <v>3.8184963768115945</v>
      </c>
    </row>
    <row r="81" spans="1:21" x14ac:dyDescent="0.25">
      <c r="A81" s="6" t="s">
        <v>102</v>
      </c>
      <c r="B81" s="6" t="s">
        <v>103</v>
      </c>
      <c r="C81" s="15">
        <v>1204.98</v>
      </c>
      <c r="D81" s="16">
        <v>44.862000000000002</v>
      </c>
      <c r="E81" s="16">
        <v>49.832999999999998</v>
      </c>
      <c r="F81" s="16">
        <v>51.006</v>
      </c>
      <c r="G81" s="16">
        <v>4.3600000000000003</v>
      </c>
      <c r="H81" s="16">
        <f t="shared" ref="H81:H91" si="4">(6*D81+E81+F81)/8</f>
        <v>46.251374999999996</v>
      </c>
      <c r="I81" s="5"/>
      <c r="J81" s="15">
        <v>1225.1484</v>
      </c>
      <c r="K81" s="16">
        <v>45.387300000000003</v>
      </c>
      <c r="L81" s="16">
        <v>50.906100000000002</v>
      </c>
      <c r="M81" s="16">
        <v>51.320300000000003</v>
      </c>
      <c r="N81" s="16">
        <v>11.475300000000001</v>
      </c>
      <c r="O81" s="16">
        <f t="shared" ref="O81:O91" si="5">(6*K81+L81+M81)/8</f>
        <v>46.818775000000002</v>
      </c>
      <c r="P81" s="7"/>
      <c r="Q81" s="8">
        <f>bdrate(C81:C84,D81:D84,J81:J84,K81:K84)</f>
        <v>-0.13413793390565243</v>
      </c>
      <c r="R81" s="8">
        <f>bdrate(C81:C84,E81:E84,J81:J84,L81:L84)</f>
        <v>-0.36201103502935139</v>
      </c>
      <c r="S81" s="8">
        <f>bdrate(C81:C84,F81:F84,J81:J84,M81:M84)</f>
        <v>-0.30943315681531292</v>
      </c>
      <c r="T81" s="25">
        <f>bdrate(C81:C84,H81:H84,J81:J84,O81:O84)</f>
        <v>-0.18041055783954429</v>
      </c>
      <c r="U81" s="28">
        <f t="shared" si="3"/>
        <v>1.6319495412844036</v>
      </c>
    </row>
    <row r="82" spans="1:21" x14ac:dyDescent="0.25">
      <c r="A82" s="9" t="s">
        <v>78</v>
      </c>
      <c r="B82" s="9"/>
      <c r="C82" s="17">
        <v>808</v>
      </c>
      <c r="D82" s="18">
        <v>42.91</v>
      </c>
      <c r="E82" s="18">
        <v>47.725000000000001</v>
      </c>
      <c r="F82" s="18">
        <v>49.128999999999998</v>
      </c>
      <c r="G82" s="18">
        <v>4.87</v>
      </c>
      <c r="H82" s="18">
        <f t="shared" si="4"/>
        <v>44.289250000000003</v>
      </c>
      <c r="I82" s="5"/>
      <c r="J82" s="17">
        <v>826.55370000000005</v>
      </c>
      <c r="K82" s="18">
        <v>43.618899999999996</v>
      </c>
      <c r="L82" s="18">
        <v>49.537599999999998</v>
      </c>
      <c r="M82" s="18">
        <v>50.099299999999999</v>
      </c>
      <c r="N82" s="18">
        <v>13.459099999999999</v>
      </c>
      <c r="O82" s="18">
        <f t="shared" si="5"/>
        <v>45.168787499999993</v>
      </c>
      <c r="P82" s="7"/>
      <c r="Q82" s="10"/>
      <c r="R82" s="11"/>
      <c r="S82" s="11"/>
      <c r="T82" s="26"/>
      <c r="U82" s="28">
        <f t="shared" si="3"/>
        <v>1.7636755646817244</v>
      </c>
    </row>
    <row r="83" spans="1:21" x14ac:dyDescent="0.25">
      <c r="B83" s="9"/>
      <c r="C83" s="17">
        <v>488.25</v>
      </c>
      <c r="D83" s="18">
        <v>40.176000000000002</v>
      </c>
      <c r="E83" s="18">
        <v>45.600999999999999</v>
      </c>
      <c r="F83" s="18">
        <v>46.98</v>
      </c>
      <c r="G83" s="18">
        <v>5.68</v>
      </c>
      <c r="H83" s="18">
        <f t="shared" si="4"/>
        <v>41.704625000000007</v>
      </c>
      <c r="I83" s="5"/>
      <c r="J83" s="17">
        <v>503.60640000000001</v>
      </c>
      <c r="K83" s="18">
        <v>41.163600000000002</v>
      </c>
      <c r="L83" s="18">
        <v>47.702199999999998</v>
      </c>
      <c r="M83" s="18">
        <v>48.864400000000003</v>
      </c>
      <c r="N83" s="18">
        <v>16.807700000000001</v>
      </c>
      <c r="O83" s="18">
        <f t="shared" si="5"/>
        <v>42.943525000000001</v>
      </c>
      <c r="P83" s="7"/>
      <c r="Q83" s="10"/>
      <c r="R83" s="11"/>
      <c r="S83" s="11"/>
      <c r="T83" s="26"/>
      <c r="U83" s="28">
        <f t="shared" si="3"/>
        <v>1.9591021126760566</v>
      </c>
    </row>
    <row r="84" spans="1:21" ht="16.5" thickBot="1" x14ac:dyDescent="0.3">
      <c r="B84" s="12"/>
      <c r="C84" s="19">
        <v>247.47</v>
      </c>
      <c r="D84" s="20">
        <v>36.676000000000002</v>
      </c>
      <c r="E84" s="20">
        <v>43.206000000000003</v>
      </c>
      <c r="F84" s="20">
        <v>44.332999999999998</v>
      </c>
      <c r="G84" s="20">
        <v>7.08</v>
      </c>
      <c r="H84" s="20">
        <f t="shared" si="4"/>
        <v>38.449375000000003</v>
      </c>
      <c r="I84" s="5"/>
      <c r="J84" s="19">
        <v>255.55850000000001</v>
      </c>
      <c r="K84" s="20">
        <v>37.663499999999999</v>
      </c>
      <c r="L84" s="20">
        <v>44.98</v>
      </c>
      <c r="M84" s="20">
        <v>46.371499999999997</v>
      </c>
      <c r="N84" s="20">
        <v>23.258199999999999</v>
      </c>
      <c r="O84" s="20">
        <f t="shared" si="5"/>
        <v>39.666562499999998</v>
      </c>
      <c r="P84" s="7"/>
      <c r="Q84" s="13"/>
      <c r="R84" s="14"/>
      <c r="S84" s="14"/>
      <c r="T84" s="27"/>
      <c r="U84" s="28">
        <f t="shared" si="3"/>
        <v>2.2850564971751406</v>
      </c>
    </row>
    <row r="85" spans="1:21" x14ac:dyDescent="0.25">
      <c r="B85" s="6" t="s">
        <v>104</v>
      </c>
      <c r="C85" s="15">
        <v>1483.53</v>
      </c>
      <c r="D85" s="16">
        <v>54.258000000000003</v>
      </c>
      <c r="E85" s="16">
        <v>54.945</v>
      </c>
      <c r="F85" s="16">
        <v>55.334000000000003</v>
      </c>
      <c r="G85" s="16">
        <v>12.65</v>
      </c>
      <c r="H85" s="16">
        <f t="shared" si="4"/>
        <v>54.478375</v>
      </c>
      <c r="I85" s="5"/>
      <c r="J85" s="15">
        <v>1429.9371000000001</v>
      </c>
      <c r="K85" s="16">
        <v>53.567700000000002</v>
      </c>
      <c r="L85" s="16">
        <v>54.221299999999999</v>
      </c>
      <c r="M85" s="16">
        <v>54.790199999999999</v>
      </c>
      <c r="N85" s="16">
        <v>27.9785</v>
      </c>
      <c r="O85" s="16">
        <f t="shared" si="5"/>
        <v>53.802212499999996</v>
      </c>
      <c r="P85" s="7"/>
      <c r="Q85" s="8">
        <f>bdrate(C85:C88,D85:D88,J85:J88,K85:K88)</f>
        <v>-5.0499311480047715E-2</v>
      </c>
      <c r="R85" s="8">
        <f>bdrate(C85:C88,E85:E88,J85:J88,L85:L88)</f>
        <v>-2.7813538475142674E-2</v>
      </c>
      <c r="S85" s="8">
        <f>bdrate(C85:C88,F85:F88,J85:J88,M85:M88)</f>
        <v>-1.7222559399213244E-2</v>
      </c>
      <c r="T85" s="25">
        <f>bdrate(C85:C88,H85:H88,J85:J88,O85:O88)</f>
        <v>-4.3999768606888034E-2</v>
      </c>
      <c r="U85" s="28">
        <f t="shared" si="3"/>
        <v>1.2117391304347827</v>
      </c>
    </row>
    <row r="86" spans="1:21" x14ac:dyDescent="0.25">
      <c r="B86" s="9"/>
      <c r="C86" s="17">
        <v>978.19</v>
      </c>
      <c r="D86" s="18">
        <v>51.557000000000002</v>
      </c>
      <c r="E86" s="18">
        <v>52.43</v>
      </c>
      <c r="F86" s="18">
        <v>52.97</v>
      </c>
      <c r="G86" s="18">
        <v>14.1</v>
      </c>
      <c r="H86" s="18">
        <f t="shared" si="4"/>
        <v>51.842749999999995</v>
      </c>
      <c r="I86" s="5"/>
      <c r="J86" s="17">
        <v>967.06910000000005</v>
      </c>
      <c r="K86" s="18">
        <v>51.773499999999999</v>
      </c>
      <c r="L86" s="18">
        <v>52.513599999999997</v>
      </c>
      <c r="M86" s="18">
        <v>53.023699999999998</v>
      </c>
      <c r="N86" s="18">
        <v>36.353400000000001</v>
      </c>
      <c r="O86" s="18">
        <f t="shared" si="5"/>
        <v>52.022287499999997</v>
      </c>
      <c r="P86" s="7"/>
      <c r="Q86" s="10"/>
      <c r="R86" s="11"/>
      <c r="S86" s="11"/>
      <c r="T86" s="26"/>
      <c r="U86" s="28">
        <f t="shared" si="3"/>
        <v>1.5782553191489361</v>
      </c>
    </row>
    <row r="87" spans="1:21" x14ac:dyDescent="0.25">
      <c r="B87" s="9"/>
      <c r="C87" s="17">
        <v>584.46</v>
      </c>
      <c r="D87" s="18">
        <v>48.368000000000002</v>
      </c>
      <c r="E87" s="18">
        <v>49.509</v>
      </c>
      <c r="F87" s="18">
        <v>50.131</v>
      </c>
      <c r="G87" s="18">
        <v>15.79</v>
      </c>
      <c r="H87" s="18">
        <f t="shared" si="4"/>
        <v>48.731000000000009</v>
      </c>
      <c r="I87" s="5"/>
      <c r="J87" s="17">
        <v>576.77070000000003</v>
      </c>
      <c r="K87" s="18">
        <v>48.747900000000001</v>
      </c>
      <c r="L87" s="18">
        <v>49.6828</v>
      </c>
      <c r="M87" s="18">
        <v>50.224800000000002</v>
      </c>
      <c r="N87" s="18">
        <v>46.714399999999998</v>
      </c>
      <c r="O87" s="18">
        <f t="shared" si="5"/>
        <v>49.049374999999998</v>
      </c>
      <c r="P87" s="7"/>
      <c r="Q87" s="10"/>
      <c r="R87" s="11"/>
      <c r="S87" s="11"/>
      <c r="T87" s="26"/>
      <c r="U87" s="28">
        <f t="shared" si="3"/>
        <v>1.9584800506649778</v>
      </c>
    </row>
    <row r="88" spans="1:21" ht="16.5" thickBot="1" x14ac:dyDescent="0.3">
      <c r="B88" s="12"/>
      <c r="C88" s="19">
        <v>292.18</v>
      </c>
      <c r="D88" s="20">
        <v>44.167000000000002</v>
      </c>
      <c r="E88" s="20">
        <v>45.609000000000002</v>
      </c>
      <c r="F88" s="20">
        <v>46.27</v>
      </c>
      <c r="G88" s="20">
        <v>18.100000000000001</v>
      </c>
      <c r="H88" s="20">
        <f t="shared" si="4"/>
        <v>44.610124999999996</v>
      </c>
      <c r="I88" s="5"/>
      <c r="J88" s="19">
        <v>288.67250000000001</v>
      </c>
      <c r="K88" s="20">
        <v>44.298299999999998</v>
      </c>
      <c r="L88" s="20">
        <v>45.680700000000002</v>
      </c>
      <c r="M88" s="20">
        <v>46.224699999999999</v>
      </c>
      <c r="N88" s="20">
        <v>59.261200000000002</v>
      </c>
      <c r="O88" s="20">
        <f t="shared" si="5"/>
        <v>44.7119</v>
      </c>
      <c r="P88" s="7"/>
      <c r="Q88" s="13"/>
      <c r="R88" s="14"/>
      <c r="S88" s="14"/>
      <c r="T88" s="27"/>
      <c r="U88" s="28">
        <f t="shared" si="3"/>
        <v>2.2740994475138119</v>
      </c>
    </row>
    <row r="89" spans="1:21" x14ac:dyDescent="0.25">
      <c r="B89" s="6" t="s">
        <v>105</v>
      </c>
      <c r="C89" s="15">
        <v>1543.03</v>
      </c>
      <c r="D89" s="16">
        <v>43.911999999999999</v>
      </c>
      <c r="E89" s="16">
        <v>45.857999999999997</v>
      </c>
      <c r="F89" s="16">
        <v>46.366</v>
      </c>
      <c r="G89" s="16">
        <v>5.66</v>
      </c>
      <c r="H89" s="16">
        <f t="shared" si="4"/>
        <v>44.461999999999996</v>
      </c>
      <c r="I89" s="5"/>
      <c r="J89" s="15">
        <v>1484.5161000000001</v>
      </c>
      <c r="K89" s="16">
        <v>44.237000000000002</v>
      </c>
      <c r="L89" s="16">
        <v>46.190899999999999</v>
      </c>
      <c r="M89" s="16">
        <v>46.6297</v>
      </c>
      <c r="N89" s="16">
        <v>14.5229</v>
      </c>
      <c r="O89" s="16">
        <f t="shared" si="5"/>
        <v>44.780325000000005</v>
      </c>
      <c r="P89" s="7"/>
      <c r="Q89" s="8">
        <f>bdrate(C89:C92,D89:D92,J89:J92,K89:K92)</f>
        <v>-0.10881372025737179</v>
      </c>
      <c r="R89" s="8">
        <f>bdrate(C89:C92,E89:E92,J89:J92,L89:L92)</f>
        <v>-0.20240121344498874</v>
      </c>
      <c r="S89" s="8">
        <f>bdrate(C89:C92,F89:F92,J89:J92,M89:M92)</f>
        <v>-0.17521340332300994</v>
      </c>
      <c r="T89" s="25">
        <f>bdrate(C89:C92,H89:H92,J89:J92,O89:O92)</f>
        <v>-0.12651227473634408</v>
      </c>
      <c r="U89" s="28">
        <f t="shared" si="3"/>
        <v>1.5658833922261484</v>
      </c>
    </row>
    <row r="90" spans="1:21" x14ac:dyDescent="0.25">
      <c r="B90" s="9"/>
      <c r="C90" s="17">
        <v>1029.44</v>
      </c>
      <c r="D90" s="18">
        <v>41.923000000000002</v>
      </c>
      <c r="E90" s="18">
        <v>44.12</v>
      </c>
      <c r="F90" s="18">
        <v>44.627000000000002</v>
      </c>
      <c r="G90" s="18">
        <v>6.19</v>
      </c>
      <c r="H90" s="18">
        <f t="shared" si="4"/>
        <v>42.535625000000003</v>
      </c>
      <c r="I90" s="5"/>
      <c r="J90" s="17">
        <v>989.88639999999998</v>
      </c>
      <c r="K90" s="18">
        <v>42.335000000000001</v>
      </c>
      <c r="L90" s="18">
        <v>44.753399999999999</v>
      </c>
      <c r="M90" s="18">
        <v>45.1419</v>
      </c>
      <c r="N90" s="18">
        <v>18.0685</v>
      </c>
      <c r="O90" s="18">
        <f t="shared" si="5"/>
        <v>42.988162500000001</v>
      </c>
      <c r="P90" s="7"/>
      <c r="Q90" s="10"/>
      <c r="R90" s="11"/>
      <c r="S90" s="11"/>
      <c r="T90" s="26"/>
      <c r="U90" s="28">
        <f t="shared" si="3"/>
        <v>1.9189822294022614</v>
      </c>
    </row>
    <row r="91" spans="1:21" x14ac:dyDescent="0.25">
      <c r="B91" s="9"/>
      <c r="C91" s="17">
        <v>618.48</v>
      </c>
      <c r="D91" s="18">
        <v>39.284999999999997</v>
      </c>
      <c r="E91" s="18">
        <v>41.976999999999997</v>
      </c>
      <c r="F91" s="18">
        <v>42.508000000000003</v>
      </c>
      <c r="G91" s="18">
        <v>7.15</v>
      </c>
      <c r="H91" s="18">
        <f t="shared" si="4"/>
        <v>40.024374999999992</v>
      </c>
      <c r="I91" s="5"/>
      <c r="J91" s="17">
        <v>596.80970000000002</v>
      </c>
      <c r="K91" s="18">
        <v>39.714100000000002</v>
      </c>
      <c r="L91" s="18">
        <v>42.7742</v>
      </c>
      <c r="M91" s="18">
        <v>43.159100000000002</v>
      </c>
      <c r="N91" s="18">
        <v>22.496300000000002</v>
      </c>
      <c r="O91" s="18">
        <f t="shared" si="5"/>
        <v>40.527237500000005</v>
      </c>
      <c r="P91" s="7"/>
      <c r="Q91" s="10"/>
      <c r="R91" s="11"/>
      <c r="S91" s="11"/>
      <c r="T91" s="26"/>
      <c r="U91" s="28">
        <f t="shared" si="3"/>
        <v>2.1463356643356644</v>
      </c>
    </row>
    <row r="92" spans="1:21" ht="16.5" thickBot="1" x14ac:dyDescent="0.3">
      <c r="B92" s="12"/>
      <c r="C92" s="19">
        <v>310.27999999999997</v>
      </c>
      <c r="D92" s="20">
        <v>35.682000000000002</v>
      </c>
      <c r="E92" s="20">
        <v>39.200000000000003</v>
      </c>
      <c r="F92" s="20">
        <v>39.764000000000003</v>
      </c>
      <c r="G92" s="20">
        <v>8.34</v>
      </c>
      <c r="H92" s="20">
        <f t="shared" ref="H92:H124" si="6">(6*D92+E92+F92)/8</f>
        <v>36.632000000000005</v>
      </c>
      <c r="I92" s="5"/>
      <c r="J92" s="19">
        <v>299.69690000000003</v>
      </c>
      <c r="K92" s="20">
        <v>36.025399999999998</v>
      </c>
      <c r="L92" s="20">
        <v>40.319299999999998</v>
      </c>
      <c r="M92" s="20">
        <v>40.709600000000002</v>
      </c>
      <c r="N92" s="20">
        <v>29.954599999999999</v>
      </c>
      <c r="O92" s="20">
        <f t="shared" ref="O92:O124" si="7">(6*K92+L92+M92)/8</f>
        <v>37.147662500000003</v>
      </c>
      <c r="P92" s="7"/>
      <c r="Q92" s="13"/>
      <c r="R92" s="14"/>
      <c r="S92" s="14"/>
      <c r="T92" s="27"/>
      <c r="U92" s="28">
        <f t="shared" ref="U92:U124" si="8">(N92-G92)/G92</f>
        <v>2.5916786570743406</v>
      </c>
    </row>
    <row r="93" spans="1:21" x14ac:dyDescent="0.25">
      <c r="B93" s="6" t="s">
        <v>106</v>
      </c>
      <c r="C93" s="29">
        <v>1374.06</v>
      </c>
      <c r="D93" s="30">
        <v>39.72</v>
      </c>
      <c r="E93" s="30">
        <v>43.777000000000001</v>
      </c>
      <c r="F93" s="30">
        <v>43.779000000000003</v>
      </c>
      <c r="G93" s="16">
        <v>4.57</v>
      </c>
      <c r="H93" s="16">
        <f t="shared" si="6"/>
        <v>40.734499999999997</v>
      </c>
      <c r="I93" s="5"/>
      <c r="J93" s="29">
        <v>1503.4232999999999</v>
      </c>
      <c r="K93" s="30">
        <v>40.0944</v>
      </c>
      <c r="L93" s="30">
        <v>44.228200000000001</v>
      </c>
      <c r="M93" s="30">
        <v>44.217700000000001</v>
      </c>
      <c r="N93" s="16">
        <v>13.1732</v>
      </c>
      <c r="O93" s="16">
        <f t="shared" si="7"/>
        <v>41.126537499999998</v>
      </c>
      <c r="P93" s="7"/>
      <c r="Q93" s="8">
        <f>bdrate(C93:C96,D93:D96,J93:J96,K93:K96)</f>
        <v>3.0682531397544066E-2</v>
      </c>
      <c r="R93" s="8">
        <f>bdrate(C93:C96,E93:E96,J93:J96,L93:L96)</f>
        <v>-0.14628880519467002</v>
      </c>
      <c r="S93" s="8">
        <f>bdrate(C93:C96,F93:F96,J93:J96,M93:M96)</f>
        <v>-0.14149350314563292</v>
      </c>
      <c r="T93" s="25">
        <f>bdrate(C93:C96,H93:H96,J93:J96,O93:O96)</f>
        <v>-7.6136015369392407E-3</v>
      </c>
      <c r="U93" s="28">
        <f t="shared" si="8"/>
        <v>1.8825382932166299</v>
      </c>
    </row>
    <row r="94" spans="1:21" x14ac:dyDescent="0.25">
      <c r="B94" s="9"/>
      <c r="C94" s="31">
        <v>914.64</v>
      </c>
      <c r="D94" s="32">
        <v>37.909999999999997</v>
      </c>
      <c r="E94" s="32">
        <v>42.295000000000002</v>
      </c>
      <c r="F94" s="32">
        <v>42.290999999999997</v>
      </c>
      <c r="G94" s="18">
        <v>5.15</v>
      </c>
      <c r="H94" s="18">
        <f t="shared" si="6"/>
        <v>39.005749999999999</v>
      </c>
      <c r="I94" s="5"/>
      <c r="J94" s="31">
        <v>1001.7864</v>
      </c>
      <c r="K94" s="32">
        <v>38.2194</v>
      </c>
      <c r="L94" s="32">
        <v>42.976500000000001</v>
      </c>
      <c r="M94" s="32">
        <v>42.964799999999997</v>
      </c>
      <c r="N94" s="18">
        <v>15.745699999999999</v>
      </c>
      <c r="O94" s="18">
        <f t="shared" si="7"/>
        <v>39.4072125</v>
      </c>
      <c r="P94" s="7"/>
      <c r="Q94" s="10"/>
      <c r="R94" s="11"/>
      <c r="S94" s="11"/>
      <c r="T94" s="26"/>
      <c r="U94" s="28">
        <f t="shared" si="8"/>
        <v>2.0574174757281551</v>
      </c>
    </row>
    <row r="95" spans="1:21" x14ac:dyDescent="0.25">
      <c r="B95" s="9"/>
      <c r="C95" s="31">
        <v>546.97</v>
      </c>
      <c r="D95" s="32">
        <v>35.633000000000003</v>
      </c>
      <c r="E95" s="32">
        <v>40.542000000000002</v>
      </c>
      <c r="F95" s="32">
        <v>40.530999999999999</v>
      </c>
      <c r="G95" s="18">
        <v>5.82</v>
      </c>
      <c r="H95" s="18">
        <f t="shared" si="6"/>
        <v>36.858874999999998</v>
      </c>
      <c r="I95" s="5"/>
      <c r="J95" s="31">
        <v>603.18690000000004</v>
      </c>
      <c r="K95" s="32">
        <v>35.898000000000003</v>
      </c>
      <c r="L95" s="32">
        <v>41.387300000000003</v>
      </c>
      <c r="M95" s="32">
        <v>41.361899999999999</v>
      </c>
      <c r="N95" s="18">
        <v>19.372800000000002</v>
      </c>
      <c r="O95" s="18">
        <f t="shared" si="7"/>
        <v>37.267150000000001</v>
      </c>
      <c r="P95" s="7"/>
      <c r="Q95" s="10"/>
      <c r="R95" s="11"/>
      <c r="S95" s="11"/>
      <c r="T95" s="26"/>
      <c r="U95" s="28">
        <f t="shared" si="8"/>
        <v>2.3286597938144329</v>
      </c>
    </row>
    <row r="96" spans="1:21" ht="16.5" thickBot="1" x14ac:dyDescent="0.3">
      <c r="B96" s="12"/>
      <c r="C96" s="33">
        <v>272.05</v>
      </c>
      <c r="D96" s="34">
        <v>32.621000000000002</v>
      </c>
      <c r="E96" s="34">
        <v>38.292999999999999</v>
      </c>
      <c r="F96" s="34">
        <v>38.232999999999997</v>
      </c>
      <c r="G96" s="20">
        <v>7.16</v>
      </c>
      <c r="H96" s="20">
        <f t="shared" si="6"/>
        <v>34.031500000000001</v>
      </c>
      <c r="I96" s="5"/>
      <c r="J96" s="33">
        <v>301.93560000000002</v>
      </c>
      <c r="K96" s="34">
        <v>32.922899999999998</v>
      </c>
      <c r="L96" s="34">
        <v>39.613599999999998</v>
      </c>
      <c r="M96" s="34">
        <v>39.548699999999997</v>
      </c>
      <c r="N96" s="20">
        <v>26.265899999999998</v>
      </c>
      <c r="O96" s="20">
        <f t="shared" si="7"/>
        <v>34.587462500000001</v>
      </c>
      <c r="P96" s="7"/>
      <c r="Q96" s="13"/>
      <c r="R96" s="14"/>
      <c r="S96" s="14"/>
      <c r="T96" s="27"/>
      <c r="U96" s="28">
        <f t="shared" si="8"/>
        <v>2.6684217877094971</v>
      </c>
    </row>
    <row r="97" spans="2:21" x14ac:dyDescent="0.25">
      <c r="B97" s="6" t="s">
        <v>107</v>
      </c>
      <c r="C97" s="15">
        <v>1521.25</v>
      </c>
      <c r="D97" s="16">
        <v>38.036999999999999</v>
      </c>
      <c r="E97" s="16">
        <v>41.83</v>
      </c>
      <c r="F97" s="16">
        <v>42.287999999999997</v>
      </c>
      <c r="G97" s="16">
        <v>5.96</v>
      </c>
      <c r="H97" s="16">
        <f t="shared" si="6"/>
        <v>39.042499999999997</v>
      </c>
      <c r="I97" s="5"/>
      <c r="J97" s="15">
        <v>1456.8471999999999</v>
      </c>
      <c r="K97" s="16">
        <v>38.271900000000002</v>
      </c>
      <c r="L97" s="16">
        <v>42.619799999999998</v>
      </c>
      <c r="M97" s="16">
        <v>43.139499999999998</v>
      </c>
      <c r="N97" s="16">
        <v>13.9438</v>
      </c>
      <c r="O97" s="16">
        <f t="shared" si="7"/>
        <v>39.423837500000005</v>
      </c>
      <c r="P97" s="7"/>
      <c r="Q97" s="8">
        <f>bdrate(C97:C100,D97:D100,J97:J100,K97:K100)</f>
        <v>-9.4312426953371831E-2</v>
      </c>
      <c r="R97" s="8">
        <f>bdrate(C97:C100,E97:E100,J97:J100,L97:L100)</f>
        <v>-0.33277460264922198</v>
      </c>
      <c r="S97" s="8">
        <f>bdrate(C97:C100,F97:F100,J97:J100,M97:M100)</f>
        <v>-0.34206172422928227</v>
      </c>
      <c r="T97" s="25">
        <f>bdrate(C97:C100,H97:H100,J97:J100,O97:O100)</f>
        <v>-0.15032286999803046</v>
      </c>
      <c r="U97" s="28">
        <f t="shared" si="8"/>
        <v>1.3395637583892617</v>
      </c>
    </row>
    <row r="98" spans="2:21" x14ac:dyDescent="0.25">
      <c r="B98" s="9"/>
      <c r="C98" s="17">
        <v>1015.12</v>
      </c>
      <c r="D98" s="18">
        <v>36.152999999999999</v>
      </c>
      <c r="E98" s="18">
        <v>40.180999999999997</v>
      </c>
      <c r="F98" s="18">
        <v>40.715000000000003</v>
      </c>
      <c r="G98" s="18">
        <v>6.62</v>
      </c>
      <c r="H98" s="18">
        <f t="shared" si="6"/>
        <v>37.226749999999996</v>
      </c>
      <c r="I98" s="5"/>
      <c r="J98" s="17">
        <v>969.36689999999999</v>
      </c>
      <c r="K98" s="18">
        <v>36.407499999999999</v>
      </c>
      <c r="L98" s="18">
        <v>41.284500000000001</v>
      </c>
      <c r="M98" s="18">
        <v>41.8658</v>
      </c>
      <c r="N98" s="18">
        <v>17.503799999999998</v>
      </c>
      <c r="O98" s="18">
        <f t="shared" si="7"/>
        <v>37.699412499999994</v>
      </c>
      <c r="P98" s="7"/>
      <c r="Q98" s="10"/>
      <c r="R98" s="11"/>
      <c r="S98" s="11"/>
      <c r="T98" s="26"/>
      <c r="U98" s="28">
        <f t="shared" si="8"/>
        <v>1.6440785498489421</v>
      </c>
    </row>
    <row r="99" spans="2:21" x14ac:dyDescent="0.25">
      <c r="B99" s="9"/>
      <c r="C99" s="17">
        <v>609.1</v>
      </c>
      <c r="D99" s="18">
        <v>33.851999999999997</v>
      </c>
      <c r="E99" s="18">
        <v>38.244</v>
      </c>
      <c r="F99" s="18">
        <v>38.893999999999998</v>
      </c>
      <c r="G99" s="18">
        <v>7.46</v>
      </c>
      <c r="H99" s="18">
        <f t="shared" si="6"/>
        <v>35.031249999999993</v>
      </c>
      <c r="I99" s="5"/>
      <c r="J99" s="17">
        <v>578.39250000000004</v>
      </c>
      <c r="K99" s="18">
        <v>34.063299999999998</v>
      </c>
      <c r="L99" s="18">
        <v>39.567399999999999</v>
      </c>
      <c r="M99" s="18">
        <v>40.166600000000003</v>
      </c>
      <c r="N99" s="18">
        <v>21.7255</v>
      </c>
      <c r="O99" s="18">
        <f t="shared" si="7"/>
        <v>35.514224999999996</v>
      </c>
      <c r="P99" s="7"/>
      <c r="Q99" s="10"/>
      <c r="R99" s="11"/>
      <c r="S99" s="11"/>
      <c r="T99" s="26"/>
      <c r="U99" s="28">
        <f t="shared" si="8"/>
        <v>1.9122654155495977</v>
      </c>
    </row>
    <row r="100" spans="2:21" ht="16.5" thickBot="1" x14ac:dyDescent="0.3">
      <c r="B100" s="12"/>
      <c r="C100" s="19">
        <v>304.3</v>
      </c>
      <c r="D100" s="20">
        <v>30.702999999999999</v>
      </c>
      <c r="E100" s="20">
        <v>35.804000000000002</v>
      </c>
      <c r="F100" s="20">
        <v>36.631</v>
      </c>
      <c r="G100" s="20">
        <v>8.7100000000000009</v>
      </c>
      <c r="H100" s="20">
        <f t="shared" si="6"/>
        <v>32.081625000000003</v>
      </c>
      <c r="I100" s="5"/>
      <c r="J100" s="19">
        <v>290.5163</v>
      </c>
      <c r="K100" s="20">
        <v>30.939699999999998</v>
      </c>
      <c r="L100" s="20">
        <v>37.485900000000001</v>
      </c>
      <c r="M100" s="20">
        <v>38.200099999999999</v>
      </c>
      <c r="N100" s="20">
        <v>29.218399999999999</v>
      </c>
      <c r="O100" s="20">
        <f t="shared" si="7"/>
        <v>32.665525000000002</v>
      </c>
      <c r="P100" s="7"/>
      <c r="Q100" s="13"/>
      <c r="R100" s="14"/>
      <c r="S100" s="14"/>
      <c r="T100" s="27"/>
      <c r="U100" s="28">
        <f t="shared" si="8"/>
        <v>2.3545809414466126</v>
      </c>
    </row>
    <row r="101" spans="2:21" x14ac:dyDescent="0.25">
      <c r="B101" s="6" t="s">
        <v>108</v>
      </c>
      <c r="C101" s="15">
        <v>1487.65</v>
      </c>
      <c r="D101" s="16">
        <v>38.195999999999998</v>
      </c>
      <c r="E101" s="16">
        <v>43.402999999999999</v>
      </c>
      <c r="F101" s="16">
        <v>45.113</v>
      </c>
      <c r="G101" s="16">
        <v>4.0199999999999996</v>
      </c>
      <c r="H101" s="16">
        <f t="shared" si="6"/>
        <v>39.711500000000001</v>
      </c>
      <c r="I101" s="5"/>
      <c r="J101" s="15">
        <v>1501.3352</v>
      </c>
      <c r="K101" s="16">
        <v>38.102499999999999</v>
      </c>
      <c r="L101" s="16">
        <v>43.716900000000003</v>
      </c>
      <c r="M101" s="16">
        <v>45.198999999999998</v>
      </c>
      <c r="N101" s="16">
        <v>12.9747</v>
      </c>
      <c r="O101" s="16">
        <f t="shared" si="7"/>
        <v>39.691362500000004</v>
      </c>
      <c r="P101" s="7"/>
      <c r="Q101" s="8">
        <f>bdrate(C101:C104,D101:D104,J101:J104,K101:K104)</f>
        <v>2.4805036727934882E-2</v>
      </c>
      <c r="R101" s="8">
        <f>bdrate(C101:C104,E101:E104,J101:J104,L101:L104)</f>
        <v>-0.23382660732979643</v>
      </c>
      <c r="S101" s="8">
        <f>bdrate(C101:C104,F101:F104,J101:J104,M101:M104)</f>
        <v>-0.1555656603457084</v>
      </c>
      <c r="T101" s="25">
        <f>bdrate(C101:C104,H101:H104,J101:J104,O101:O104)</f>
        <v>-2.6500932468274008E-2</v>
      </c>
      <c r="U101" s="28">
        <f t="shared" si="8"/>
        <v>2.2275373134328365</v>
      </c>
    </row>
    <row r="102" spans="2:21" x14ac:dyDescent="0.25">
      <c r="B102" s="9"/>
      <c r="C102" s="17">
        <v>992.59</v>
      </c>
      <c r="D102" s="18">
        <v>36.746000000000002</v>
      </c>
      <c r="E102" s="18">
        <v>42.262999999999998</v>
      </c>
      <c r="F102" s="18">
        <v>43.911000000000001</v>
      </c>
      <c r="G102" s="18">
        <v>4.82</v>
      </c>
      <c r="H102" s="18">
        <f t="shared" si="6"/>
        <v>38.331249999999997</v>
      </c>
      <c r="I102" s="5"/>
      <c r="J102" s="17">
        <v>998.48230000000001</v>
      </c>
      <c r="K102" s="18">
        <v>36.6571</v>
      </c>
      <c r="L102" s="18">
        <v>42.7577</v>
      </c>
      <c r="M102" s="18">
        <v>44.150300000000001</v>
      </c>
      <c r="N102" s="18">
        <v>16.6812</v>
      </c>
      <c r="O102" s="18">
        <f t="shared" si="7"/>
        <v>38.356324999999998</v>
      </c>
      <c r="P102" s="7"/>
      <c r="Q102" s="10"/>
      <c r="R102" s="11"/>
      <c r="S102" s="11"/>
      <c r="T102" s="26"/>
      <c r="U102" s="28">
        <f t="shared" si="8"/>
        <v>2.4608298755186722</v>
      </c>
    </row>
    <row r="103" spans="2:21" x14ac:dyDescent="0.25">
      <c r="B103" s="9"/>
      <c r="C103" s="17">
        <v>595.65</v>
      </c>
      <c r="D103" s="18">
        <v>35.036999999999999</v>
      </c>
      <c r="E103" s="18">
        <v>40.939</v>
      </c>
      <c r="F103" s="18">
        <v>42.347000000000001</v>
      </c>
      <c r="G103" s="18">
        <v>5.67</v>
      </c>
      <c r="H103" s="18">
        <f t="shared" si="6"/>
        <v>36.688499999999998</v>
      </c>
      <c r="I103" s="5"/>
      <c r="J103" s="17">
        <v>600.50429999999994</v>
      </c>
      <c r="K103" s="18">
        <v>34.989600000000003</v>
      </c>
      <c r="L103" s="18">
        <v>41.672199999999997</v>
      </c>
      <c r="M103" s="18">
        <v>42.953200000000002</v>
      </c>
      <c r="N103" s="18">
        <v>21.044</v>
      </c>
      <c r="O103" s="18">
        <f t="shared" si="7"/>
        <v>36.820375000000006</v>
      </c>
      <c r="P103" s="7"/>
      <c r="Q103" s="10"/>
      <c r="R103" s="11"/>
      <c r="S103" s="11"/>
      <c r="T103" s="26"/>
      <c r="U103" s="28">
        <f t="shared" si="8"/>
        <v>2.7114638447971782</v>
      </c>
    </row>
    <row r="104" spans="2:21" ht="16.5" thickBot="1" x14ac:dyDescent="0.3">
      <c r="B104" s="12"/>
      <c r="C104" s="19">
        <v>302.35000000000002</v>
      </c>
      <c r="D104" s="20">
        <v>32.936</v>
      </c>
      <c r="E104" s="20">
        <v>39.264000000000003</v>
      </c>
      <c r="F104" s="20">
        <v>40.493000000000002</v>
      </c>
      <c r="G104" s="20">
        <v>7.17</v>
      </c>
      <c r="H104" s="20">
        <f t="shared" si="6"/>
        <v>34.671624999999999</v>
      </c>
      <c r="I104" s="5"/>
      <c r="J104" s="19">
        <v>300.07389999999998</v>
      </c>
      <c r="K104" s="20">
        <v>32.890799999999999</v>
      </c>
      <c r="L104" s="20">
        <v>40.3416</v>
      </c>
      <c r="M104" s="20">
        <v>41.452199999999998</v>
      </c>
      <c r="N104" s="20">
        <v>28.5185</v>
      </c>
      <c r="O104" s="20">
        <f t="shared" si="7"/>
        <v>34.892325</v>
      </c>
      <c r="P104" s="7"/>
      <c r="Q104" s="13"/>
      <c r="R104" s="14"/>
      <c r="S104" s="14"/>
      <c r="T104" s="27"/>
      <c r="U104" s="28">
        <f t="shared" si="8"/>
        <v>2.9774755927475596</v>
      </c>
    </row>
    <row r="105" spans="2:21" x14ac:dyDescent="0.25">
      <c r="B105" s="6" t="s">
        <v>109</v>
      </c>
      <c r="C105" s="15">
        <v>1613.57</v>
      </c>
      <c r="D105" s="16">
        <v>49.680999999999997</v>
      </c>
      <c r="E105" s="16">
        <v>54.823999999999998</v>
      </c>
      <c r="F105" s="16">
        <v>56.122999999999998</v>
      </c>
      <c r="G105" s="16">
        <v>5.63</v>
      </c>
      <c r="H105" s="16">
        <f t="shared" si="6"/>
        <v>51.129125000000002</v>
      </c>
      <c r="I105" s="5"/>
      <c r="J105" s="15">
        <v>1501.7655</v>
      </c>
      <c r="K105" s="16">
        <v>49.853000000000002</v>
      </c>
      <c r="L105" s="16">
        <v>54.335099999999997</v>
      </c>
      <c r="M105" s="16">
        <v>55.683599999999998</v>
      </c>
      <c r="N105" s="16">
        <v>16.488399999999999</v>
      </c>
      <c r="O105" s="16">
        <f t="shared" si="7"/>
        <v>51.142087500000002</v>
      </c>
      <c r="P105" s="7"/>
      <c r="Q105" s="8">
        <f>bdrate(C105:C108,D105:D108,J105:J108,K105:K108)</f>
        <v>-0.12527176697326314</v>
      </c>
      <c r="R105" s="8">
        <f>bdrate(C105:C108,E105:E108,J105:J108,L105:L108)</f>
        <v>2.4108539492800674E-2</v>
      </c>
      <c r="S105" s="8">
        <f>bdrate(C105:C108,F105:F108,J105:J108,M105:M108)</f>
        <v>2.0285888640134919E-2</v>
      </c>
      <c r="T105" s="25">
        <f>bdrate(C105:C108,H105:H108,J105:J108,O105:O108)</f>
        <v>-9.2589081446263544E-2</v>
      </c>
      <c r="U105" s="28">
        <f t="shared" si="8"/>
        <v>1.9286678507992896</v>
      </c>
    </row>
    <row r="106" spans="2:21" x14ac:dyDescent="0.25">
      <c r="B106" s="9"/>
      <c r="C106" s="17">
        <v>1069</v>
      </c>
      <c r="D106" s="18">
        <v>47.908999999999999</v>
      </c>
      <c r="E106" s="18">
        <v>53.241</v>
      </c>
      <c r="F106" s="18">
        <v>54.628999999999998</v>
      </c>
      <c r="G106" s="18">
        <v>6.62</v>
      </c>
      <c r="H106" s="18">
        <f t="shared" si="6"/>
        <v>49.415500000000002</v>
      </c>
      <c r="I106" s="5"/>
      <c r="J106" s="17">
        <v>1000.2749</v>
      </c>
      <c r="K106" s="18">
        <v>48.186799999999998</v>
      </c>
      <c r="L106" s="18">
        <v>52.794699999999999</v>
      </c>
      <c r="M106" s="18">
        <v>54.236800000000002</v>
      </c>
      <c r="N106" s="18">
        <v>19.8383</v>
      </c>
      <c r="O106" s="18">
        <f t="shared" si="7"/>
        <v>49.519037499999996</v>
      </c>
      <c r="P106" s="7"/>
      <c r="Q106" s="10"/>
      <c r="R106" s="11"/>
      <c r="S106" s="11"/>
      <c r="T106" s="26"/>
      <c r="U106" s="28">
        <f t="shared" si="8"/>
        <v>1.9967220543806645</v>
      </c>
    </row>
    <row r="107" spans="2:21" x14ac:dyDescent="0.25">
      <c r="B107" s="9"/>
      <c r="C107" s="17">
        <v>638.70000000000005</v>
      </c>
      <c r="D107" s="18">
        <v>45.734000000000002</v>
      </c>
      <c r="E107" s="18">
        <v>51.238</v>
      </c>
      <c r="F107" s="18">
        <v>52.716999999999999</v>
      </c>
      <c r="G107" s="18">
        <v>8.0500000000000007</v>
      </c>
      <c r="H107" s="18">
        <f t="shared" si="6"/>
        <v>47.294874999999998</v>
      </c>
      <c r="I107" s="5"/>
      <c r="J107" s="17">
        <v>598.6662</v>
      </c>
      <c r="K107" s="18">
        <v>46.052100000000003</v>
      </c>
      <c r="L107" s="18">
        <v>50.9176</v>
      </c>
      <c r="M107" s="18">
        <v>52.399299999999997</v>
      </c>
      <c r="N107" s="18">
        <v>25.0533</v>
      </c>
      <c r="O107" s="18">
        <f t="shared" si="7"/>
        <v>47.453687500000001</v>
      </c>
      <c r="P107" s="7"/>
      <c r="Q107" s="10"/>
      <c r="R107" s="11"/>
      <c r="S107" s="11"/>
      <c r="T107" s="26"/>
      <c r="U107" s="28">
        <f t="shared" si="8"/>
        <v>2.1122111801242234</v>
      </c>
    </row>
    <row r="108" spans="2:21" ht="16.5" thickBot="1" x14ac:dyDescent="0.3">
      <c r="B108" s="12"/>
      <c r="C108" s="19">
        <v>318.63</v>
      </c>
      <c r="D108" s="20">
        <v>42.822000000000003</v>
      </c>
      <c r="E108" s="20">
        <v>48.408999999999999</v>
      </c>
      <c r="F108" s="20">
        <v>49.838999999999999</v>
      </c>
      <c r="G108" s="20">
        <v>10.06</v>
      </c>
      <c r="H108" s="20">
        <f t="shared" si="6"/>
        <v>44.397500000000001</v>
      </c>
      <c r="I108" s="5"/>
      <c r="J108" s="19">
        <v>296.72699999999998</v>
      </c>
      <c r="K108" s="20">
        <v>43.058900000000001</v>
      </c>
      <c r="L108" s="20">
        <v>48.194099999999999</v>
      </c>
      <c r="M108" s="20">
        <v>49.624499999999998</v>
      </c>
      <c r="N108" s="20">
        <v>35.094900000000003</v>
      </c>
      <c r="O108" s="20">
        <f t="shared" si="7"/>
        <v>44.521500000000003</v>
      </c>
      <c r="P108" s="7"/>
      <c r="Q108" s="13"/>
      <c r="R108" s="14"/>
      <c r="S108" s="14"/>
      <c r="T108" s="27"/>
      <c r="U108" s="28">
        <f t="shared" si="8"/>
        <v>2.488558648111332</v>
      </c>
    </row>
    <row r="109" spans="2:21" x14ac:dyDescent="0.25">
      <c r="B109" s="6" t="s">
        <v>110</v>
      </c>
      <c r="C109" s="15">
        <v>1466.95</v>
      </c>
      <c r="D109" s="16">
        <v>33.197000000000003</v>
      </c>
      <c r="E109" s="16">
        <v>40.213999999999999</v>
      </c>
      <c r="F109" s="16">
        <v>39.689</v>
      </c>
      <c r="G109" s="16">
        <v>3.75</v>
      </c>
      <c r="H109" s="16">
        <f t="shared" si="6"/>
        <v>34.885625000000005</v>
      </c>
      <c r="I109" s="5"/>
      <c r="J109" s="15">
        <v>1492.1128000000001</v>
      </c>
      <c r="K109" s="16">
        <v>33.079000000000001</v>
      </c>
      <c r="L109" s="16">
        <v>41.029499999999999</v>
      </c>
      <c r="M109" s="16">
        <v>40.468899999999998</v>
      </c>
      <c r="N109" s="16">
        <v>8.3467000000000002</v>
      </c>
      <c r="O109" s="16">
        <f t="shared" si="7"/>
        <v>34.996549999999999</v>
      </c>
      <c r="P109" s="7"/>
      <c r="Q109" s="8">
        <f>bdrate(C109:C112,D109:D112,J109:J112,K109:K112)</f>
        <v>-2.0852319433898647E-2</v>
      </c>
      <c r="R109" s="8">
        <f>bdrate(C109:C112,E109:E112,J109:J112,L109:L112)</f>
        <v>-0.4073348189533087</v>
      </c>
      <c r="S109" s="8">
        <f>bdrate(C109:C112,F109:F112,J109:J112,M109:M112)</f>
        <v>-0.4055824464805815</v>
      </c>
      <c r="T109" s="25">
        <f>bdrate(C109:C112,H109:H112,J109:J112,O109:O112)</f>
        <v>-0.10640698580415342</v>
      </c>
      <c r="U109" s="28">
        <f t="shared" si="8"/>
        <v>1.2257866666666668</v>
      </c>
    </row>
    <row r="110" spans="2:21" x14ac:dyDescent="0.25">
      <c r="B110" s="9"/>
      <c r="C110" s="17">
        <v>976.62</v>
      </c>
      <c r="D110" s="18">
        <v>31.419</v>
      </c>
      <c r="E110" s="18">
        <v>38.880000000000003</v>
      </c>
      <c r="F110" s="18">
        <v>38.298000000000002</v>
      </c>
      <c r="G110" s="18">
        <v>4.22</v>
      </c>
      <c r="H110" s="18">
        <f t="shared" si="6"/>
        <v>33.211500000000001</v>
      </c>
      <c r="I110" s="5"/>
      <c r="J110" s="17">
        <v>992.75890000000004</v>
      </c>
      <c r="K110" s="18">
        <v>31.408899999999999</v>
      </c>
      <c r="L110" s="18">
        <v>40.116500000000002</v>
      </c>
      <c r="M110" s="18">
        <v>39.5501</v>
      </c>
      <c r="N110" s="18">
        <v>10.1759</v>
      </c>
      <c r="O110" s="18">
        <f t="shared" si="7"/>
        <v>33.515000000000001</v>
      </c>
      <c r="P110" s="7"/>
      <c r="Q110" s="10"/>
      <c r="R110" s="11"/>
      <c r="S110" s="11"/>
      <c r="T110" s="26"/>
      <c r="U110" s="28">
        <f t="shared" si="8"/>
        <v>1.4113507109004741</v>
      </c>
    </row>
    <row r="111" spans="2:21" x14ac:dyDescent="0.25">
      <c r="B111" s="9"/>
      <c r="C111" s="17">
        <v>585.84</v>
      </c>
      <c r="D111" s="18">
        <v>29.131</v>
      </c>
      <c r="E111" s="18">
        <v>37.198</v>
      </c>
      <c r="F111" s="18">
        <v>36.518999999999998</v>
      </c>
      <c r="G111" s="18">
        <v>4.87</v>
      </c>
      <c r="H111" s="18">
        <f t="shared" si="6"/>
        <v>31.062875000000002</v>
      </c>
      <c r="I111" s="5"/>
      <c r="J111" s="17">
        <v>594.69730000000004</v>
      </c>
      <c r="K111" s="18">
        <v>29.282499999999999</v>
      </c>
      <c r="L111" s="18">
        <v>38.9514</v>
      </c>
      <c r="M111" s="18">
        <v>38.3431</v>
      </c>
      <c r="N111" s="18">
        <v>12.729900000000001</v>
      </c>
      <c r="O111" s="18">
        <f t="shared" si="7"/>
        <v>31.623687499999999</v>
      </c>
      <c r="P111" s="7"/>
      <c r="Q111" s="10"/>
      <c r="R111" s="11"/>
      <c r="S111" s="11"/>
      <c r="T111" s="26"/>
      <c r="U111" s="28">
        <f t="shared" si="8"/>
        <v>1.6139425051334704</v>
      </c>
    </row>
    <row r="112" spans="2:21" ht="16.5" thickBot="1" x14ac:dyDescent="0.3">
      <c r="B112" s="12"/>
      <c r="C112" s="19">
        <v>283.87</v>
      </c>
      <c r="D112" s="20">
        <v>25.628</v>
      </c>
      <c r="E112" s="20">
        <v>34.029000000000003</v>
      </c>
      <c r="F112" s="20">
        <v>33.662999999999997</v>
      </c>
      <c r="G112" s="20">
        <v>6.45</v>
      </c>
      <c r="H112" s="20">
        <f t="shared" si="6"/>
        <v>27.682499999999997</v>
      </c>
      <c r="I112" s="5"/>
      <c r="J112" s="19">
        <v>298.0643</v>
      </c>
      <c r="K112" s="20">
        <v>26.5745</v>
      </c>
      <c r="L112" s="20">
        <v>37.0167</v>
      </c>
      <c r="M112" s="20">
        <v>36.43</v>
      </c>
      <c r="N112" s="20">
        <v>17.5276</v>
      </c>
      <c r="O112" s="20">
        <f t="shared" si="7"/>
        <v>29.111712500000003</v>
      </c>
      <c r="P112" s="7"/>
      <c r="Q112" s="13"/>
      <c r="R112" s="14"/>
      <c r="S112" s="14"/>
      <c r="T112" s="27"/>
      <c r="U112" s="28">
        <f t="shared" si="8"/>
        <v>1.7174573643410853</v>
      </c>
    </row>
    <row r="113" spans="2:21" x14ac:dyDescent="0.25">
      <c r="B113" s="6" t="s">
        <v>111</v>
      </c>
      <c r="C113" s="15">
        <v>1665.89</v>
      </c>
      <c r="D113" s="16">
        <v>47.149000000000001</v>
      </c>
      <c r="E113" s="16">
        <v>47.933</v>
      </c>
      <c r="F113" s="16">
        <v>47.863999999999997</v>
      </c>
      <c r="G113" s="16">
        <v>6.21</v>
      </c>
      <c r="H113" s="16">
        <f t="shared" si="6"/>
        <v>47.336374999999997</v>
      </c>
      <c r="I113" s="5"/>
      <c r="J113" s="15">
        <v>1397.6764000000001</v>
      </c>
      <c r="K113" s="16">
        <v>47.066899999999997</v>
      </c>
      <c r="L113" s="16">
        <v>47.948500000000003</v>
      </c>
      <c r="M113" s="16">
        <v>47.836399999999998</v>
      </c>
      <c r="N113" s="16">
        <v>14.5762</v>
      </c>
      <c r="O113" s="16">
        <f t="shared" si="7"/>
        <v>47.273287499999995</v>
      </c>
      <c r="P113" s="7"/>
      <c r="Q113" s="8">
        <f>bdrate(C113:C116,D113:D116,J113:J116,K113:K116)</f>
        <v>-0.14546029595209975</v>
      </c>
      <c r="R113" s="8">
        <f>bdrate(C113:C116,E113:E116,J113:J116,L113:L116)</f>
        <v>-0.2169709178873126</v>
      </c>
      <c r="S113" s="8">
        <f>bdrate(C113:C116,F113:F116,J113:J116,M113:M116)</f>
        <v>-0.21344100279655176</v>
      </c>
      <c r="T113" s="25">
        <f>bdrate(C113:C116,H113:H116,J113:J116,O113:O116)</f>
        <v>-0.16211200788718816</v>
      </c>
      <c r="U113" s="28">
        <f t="shared" si="8"/>
        <v>1.3472141706924314</v>
      </c>
    </row>
    <row r="114" spans="2:21" x14ac:dyDescent="0.25">
      <c r="B114" s="9"/>
      <c r="C114" s="17">
        <v>1101.1300000000001</v>
      </c>
      <c r="D114" s="18">
        <v>45.183999999999997</v>
      </c>
      <c r="E114" s="18">
        <v>46.055</v>
      </c>
      <c r="F114" s="18">
        <v>45.954999999999998</v>
      </c>
      <c r="G114" s="18">
        <v>6.94</v>
      </c>
      <c r="H114" s="18">
        <f t="shared" si="6"/>
        <v>45.389249999999997</v>
      </c>
      <c r="I114" s="5"/>
      <c r="J114" s="17">
        <v>945.52080000000001</v>
      </c>
      <c r="K114" s="18">
        <v>45.321800000000003</v>
      </c>
      <c r="L114" s="18">
        <v>46.441099999999999</v>
      </c>
      <c r="M114" s="18">
        <v>46.320900000000002</v>
      </c>
      <c r="N114" s="18">
        <v>18.9589</v>
      </c>
      <c r="O114" s="18">
        <f t="shared" si="7"/>
        <v>45.586600000000004</v>
      </c>
      <c r="P114" s="7"/>
      <c r="Q114" s="10"/>
      <c r="R114" s="11"/>
      <c r="S114" s="11"/>
      <c r="T114" s="26"/>
      <c r="U114" s="28">
        <f t="shared" si="8"/>
        <v>1.7318299711815559</v>
      </c>
    </row>
    <row r="115" spans="2:21" x14ac:dyDescent="0.25">
      <c r="B115" s="9"/>
      <c r="C115" s="17">
        <v>656.09</v>
      </c>
      <c r="D115" s="18">
        <v>42.436999999999998</v>
      </c>
      <c r="E115" s="18">
        <v>43.555999999999997</v>
      </c>
      <c r="F115" s="18">
        <v>43.39</v>
      </c>
      <c r="G115" s="18">
        <v>7.91</v>
      </c>
      <c r="H115" s="18">
        <f t="shared" si="6"/>
        <v>42.695999999999998</v>
      </c>
      <c r="I115" s="5"/>
      <c r="J115" s="17">
        <v>583.61350000000004</v>
      </c>
      <c r="K115" s="18">
        <v>42.738700000000001</v>
      </c>
      <c r="L115" s="18">
        <v>44.269500000000001</v>
      </c>
      <c r="M115" s="18">
        <v>44.062899999999999</v>
      </c>
      <c r="N115" s="18">
        <v>24.926300000000001</v>
      </c>
      <c r="O115" s="18">
        <f t="shared" si="7"/>
        <v>43.095575000000004</v>
      </c>
      <c r="P115" s="7"/>
      <c r="Q115" s="10"/>
      <c r="R115" s="11"/>
      <c r="S115" s="11"/>
      <c r="T115" s="26"/>
      <c r="U115" s="28">
        <f t="shared" si="8"/>
        <v>2.1512389380530976</v>
      </c>
    </row>
    <row r="116" spans="2:21" ht="16.5" thickBot="1" x14ac:dyDescent="0.3">
      <c r="B116" s="12"/>
      <c r="C116" s="19">
        <v>323.91000000000003</v>
      </c>
      <c r="D116" s="20">
        <v>38.222000000000001</v>
      </c>
      <c r="E116" s="20">
        <v>39.92</v>
      </c>
      <c r="F116" s="20">
        <v>39.661999999999999</v>
      </c>
      <c r="G116" s="20">
        <v>9.2799999999999994</v>
      </c>
      <c r="H116" s="20">
        <f t="shared" si="6"/>
        <v>38.614249999999998</v>
      </c>
      <c r="I116" s="5"/>
      <c r="J116" s="19">
        <v>296.49529999999999</v>
      </c>
      <c r="K116" s="20">
        <v>38.270899999999997</v>
      </c>
      <c r="L116" s="20">
        <v>40.681199999999997</v>
      </c>
      <c r="M116" s="20">
        <v>40.552500000000002</v>
      </c>
      <c r="N116" s="20">
        <v>33.280900000000003</v>
      </c>
      <c r="O116" s="20">
        <f t="shared" si="7"/>
        <v>38.857387500000002</v>
      </c>
      <c r="P116" s="7"/>
      <c r="Q116" s="13"/>
      <c r="R116" s="14"/>
      <c r="S116" s="14"/>
      <c r="T116" s="27"/>
      <c r="U116" s="28">
        <f t="shared" si="8"/>
        <v>2.586303879310345</v>
      </c>
    </row>
    <row r="117" spans="2:21" x14ac:dyDescent="0.25">
      <c r="B117" s="6" t="s">
        <v>112</v>
      </c>
      <c r="C117" s="15">
        <v>1964.51</v>
      </c>
      <c r="D117" s="16">
        <v>46.966000000000001</v>
      </c>
      <c r="E117" s="16">
        <v>49.033999999999999</v>
      </c>
      <c r="F117" s="16">
        <v>49.249000000000002</v>
      </c>
      <c r="G117" s="16">
        <v>6.51</v>
      </c>
      <c r="H117" s="16">
        <f t="shared" si="6"/>
        <v>47.509875000000001</v>
      </c>
      <c r="I117" s="5"/>
      <c r="J117" s="15">
        <v>1376.0161000000001</v>
      </c>
      <c r="K117" s="16">
        <v>47.439300000000003</v>
      </c>
      <c r="L117" s="16">
        <v>49.415199999999999</v>
      </c>
      <c r="M117" s="16">
        <v>49.511600000000001</v>
      </c>
      <c r="N117" s="16">
        <v>18.093900000000001</v>
      </c>
      <c r="O117" s="16">
        <f t="shared" si="7"/>
        <v>47.945325000000004</v>
      </c>
      <c r="P117" s="7"/>
      <c r="Q117" s="8">
        <f>bdrate(C117:C120,D117:D120,J117:J120,K117:K120)</f>
        <v>-0.24041822386295719</v>
      </c>
      <c r="R117" s="8">
        <f>bdrate(C117:C120,E117:E120,J117:J120,L117:L120)</f>
        <v>-0.30924164351560768</v>
      </c>
      <c r="S117" s="8">
        <f>bdrate(C117:C120,F117:F120,J117:J120,M117:M120)</f>
        <v>-0.30431734412896272</v>
      </c>
      <c r="T117" s="25">
        <f>bdrate(C117:C120,H117:H120,J117:J120,O117:O120)</f>
        <v>-0.25396586704616164</v>
      </c>
      <c r="U117" s="28">
        <f t="shared" si="8"/>
        <v>1.7794009216589866</v>
      </c>
    </row>
    <row r="118" spans="2:21" x14ac:dyDescent="0.25">
      <c r="B118" s="9"/>
      <c r="C118" s="17">
        <v>1277.82</v>
      </c>
      <c r="D118" s="18">
        <v>44.512999999999998</v>
      </c>
      <c r="E118" s="18">
        <v>46.524999999999999</v>
      </c>
      <c r="F118" s="18">
        <v>46.768999999999998</v>
      </c>
      <c r="G118" s="18">
        <v>7.75</v>
      </c>
      <c r="H118" s="18">
        <f t="shared" si="6"/>
        <v>45.046499999999995</v>
      </c>
      <c r="I118" s="5"/>
      <c r="J118" s="17">
        <v>946.93409999999994</v>
      </c>
      <c r="K118" s="18">
        <v>45.892699999999998</v>
      </c>
      <c r="L118" s="18">
        <v>48.080599999999997</v>
      </c>
      <c r="M118" s="18">
        <v>48.2575</v>
      </c>
      <c r="N118" s="18">
        <v>21.518699999999999</v>
      </c>
      <c r="O118" s="18">
        <f t="shared" si="7"/>
        <v>46.4617875</v>
      </c>
      <c r="P118" s="7"/>
      <c r="Q118" s="10"/>
      <c r="R118" s="11"/>
      <c r="S118" s="11"/>
      <c r="T118" s="26"/>
      <c r="U118" s="28">
        <f t="shared" si="8"/>
        <v>1.7766064516129032</v>
      </c>
    </row>
    <row r="119" spans="2:21" x14ac:dyDescent="0.25">
      <c r="B119" s="9"/>
      <c r="C119" s="17">
        <v>748.73</v>
      </c>
      <c r="D119" s="18">
        <v>41.865000000000002</v>
      </c>
      <c r="E119" s="18">
        <v>43.902000000000001</v>
      </c>
      <c r="F119" s="18">
        <v>44.173999999999999</v>
      </c>
      <c r="G119" s="18">
        <v>8.93</v>
      </c>
      <c r="H119" s="18">
        <f t="shared" si="6"/>
        <v>42.408249999999995</v>
      </c>
      <c r="I119" s="5"/>
      <c r="J119" s="17">
        <v>604.69920000000002</v>
      </c>
      <c r="K119" s="18">
        <v>41.525199999999998</v>
      </c>
      <c r="L119" s="18">
        <v>44.099400000000003</v>
      </c>
      <c r="M119" s="18">
        <v>44.358199999999997</v>
      </c>
      <c r="N119" s="18">
        <v>24.529199999999999</v>
      </c>
      <c r="O119" s="18">
        <f t="shared" si="7"/>
        <v>42.201099999999997</v>
      </c>
      <c r="P119" s="7"/>
      <c r="Q119" s="10"/>
      <c r="R119" s="11"/>
      <c r="S119" s="11"/>
      <c r="T119" s="26"/>
      <c r="U119" s="28">
        <f t="shared" si="8"/>
        <v>1.7468309070548713</v>
      </c>
    </row>
    <row r="120" spans="2:21" ht="16.5" thickBot="1" x14ac:dyDescent="0.3">
      <c r="B120" s="12"/>
      <c r="C120" s="19">
        <v>359.72</v>
      </c>
      <c r="D120" s="20">
        <v>38.372</v>
      </c>
      <c r="E120" s="20">
        <v>40.572000000000003</v>
      </c>
      <c r="F120" s="20">
        <v>40.877000000000002</v>
      </c>
      <c r="G120" s="20">
        <v>10.58</v>
      </c>
      <c r="H120" s="20">
        <f t="shared" si="6"/>
        <v>38.960124999999998</v>
      </c>
      <c r="I120" s="5"/>
      <c r="J120" s="19">
        <v>319.95890000000003</v>
      </c>
      <c r="K120" s="20">
        <v>37.795299999999997</v>
      </c>
      <c r="L120" s="20">
        <v>41.0974</v>
      </c>
      <c r="M120" s="20">
        <v>41.343000000000004</v>
      </c>
      <c r="N120" s="20">
        <v>40.628399999999999</v>
      </c>
      <c r="O120" s="20">
        <f t="shared" si="7"/>
        <v>38.651524999999999</v>
      </c>
      <c r="P120" s="7"/>
      <c r="Q120" s="13"/>
      <c r="R120" s="14"/>
      <c r="S120" s="14"/>
      <c r="T120" s="27"/>
      <c r="U120" s="28">
        <f t="shared" si="8"/>
        <v>2.8401134215500945</v>
      </c>
    </row>
    <row r="121" spans="2:21" x14ac:dyDescent="0.25">
      <c r="B121" s="6" t="s">
        <v>113</v>
      </c>
      <c r="C121" s="29">
        <v>1536.03</v>
      </c>
      <c r="D121" s="30">
        <v>33.606999999999999</v>
      </c>
      <c r="E121" s="30">
        <v>36.741</v>
      </c>
      <c r="F121" s="30">
        <v>35.613</v>
      </c>
      <c r="G121" s="16">
        <v>4.46</v>
      </c>
      <c r="H121" s="16">
        <f t="shared" si="6"/>
        <v>34.249499999999998</v>
      </c>
      <c r="I121" s="5"/>
      <c r="J121" s="29">
        <v>1512.1824999999999</v>
      </c>
      <c r="K121" s="30">
        <v>33.544499999999999</v>
      </c>
      <c r="L121" s="30">
        <v>37.450099999999999</v>
      </c>
      <c r="M121" s="30">
        <v>36.322099999999999</v>
      </c>
      <c r="N121" s="16">
        <v>10.615</v>
      </c>
      <c r="O121" s="16">
        <f t="shared" si="7"/>
        <v>34.379899999999999</v>
      </c>
      <c r="P121" s="7"/>
      <c r="Q121" s="8">
        <f>bdrate(C121:C124,D121:D124,J121:J124,K121:K124)</f>
        <v>-1.4460275323459504E-2</v>
      </c>
      <c r="R121" s="8">
        <f>bdrate(C121:C124,E121:E124,J121:J124,L121:L124)</f>
        <v>-0.38352831879084626</v>
      </c>
      <c r="S121" s="8">
        <f>bdrate(C121:C124,F121:F124,J121:J124,M121:M124)</f>
        <v>-0.37524712568714447</v>
      </c>
      <c r="T121" s="25">
        <f>bdrate(C121:C124,H121:H124,J121:J124,O121:O124)</f>
        <v>-9.509267273153188E-2</v>
      </c>
      <c r="U121" s="28">
        <f t="shared" si="8"/>
        <v>1.3800448430493275</v>
      </c>
    </row>
    <row r="122" spans="2:21" x14ac:dyDescent="0.25">
      <c r="B122" s="9"/>
      <c r="C122" s="31">
        <v>1020.49</v>
      </c>
      <c r="D122" s="32">
        <v>31.736000000000001</v>
      </c>
      <c r="E122" s="32">
        <v>35.344999999999999</v>
      </c>
      <c r="F122" s="32">
        <v>34.142000000000003</v>
      </c>
      <c r="G122" s="18">
        <v>5.01</v>
      </c>
      <c r="H122" s="18">
        <f t="shared" si="6"/>
        <v>32.487875000000003</v>
      </c>
      <c r="I122" s="5"/>
      <c r="J122" s="31">
        <v>1009.2861</v>
      </c>
      <c r="K122" s="32">
        <v>31.679400000000001</v>
      </c>
      <c r="L122" s="32">
        <v>36.4054</v>
      </c>
      <c r="M122" s="32">
        <v>35.227800000000002</v>
      </c>
      <c r="N122" s="18">
        <v>12.5746</v>
      </c>
      <c r="O122" s="18">
        <f t="shared" si="7"/>
        <v>32.713700000000003</v>
      </c>
      <c r="P122" s="7"/>
      <c r="Q122" s="10"/>
      <c r="R122" s="11"/>
      <c r="S122" s="11"/>
      <c r="T122" s="26"/>
      <c r="U122" s="28">
        <f t="shared" si="8"/>
        <v>1.5099001996007986</v>
      </c>
    </row>
    <row r="123" spans="2:21" x14ac:dyDescent="0.25">
      <c r="B123" s="9"/>
      <c r="C123" s="31">
        <v>608.78</v>
      </c>
      <c r="D123" s="32">
        <v>29.498999999999999</v>
      </c>
      <c r="E123" s="32">
        <v>33.756999999999998</v>
      </c>
      <c r="F123" s="32">
        <v>32.47</v>
      </c>
      <c r="G123" s="18">
        <v>5.78</v>
      </c>
      <c r="H123" s="18">
        <f t="shared" si="6"/>
        <v>30.402625</v>
      </c>
      <c r="I123" s="5"/>
      <c r="J123" s="31">
        <v>606.74469999999997</v>
      </c>
      <c r="K123" s="32">
        <v>29.503399999999999</v>
      </c>
      <c r="L123" s="32">
        <v>35.240099999999998</v>
      </c>
      <c r="M123" s="32">
        <v>33.996699999999997</v>
      </c>
      <c r="N123" s="18">
        <v>15.6751</v>
      </c>
      <c r="O123" s="18">
        <f t="shared" si="7"/>
        <v>30.782149999999998</v>
      </c>
      <c r="P123" s="7"/>
      <c r="Q123" s="10"/>
      <c r="R123" s="11"/>
      <c r="S123" s="11"/>
      <c r="T123" s="26"/>
      <c r="U123" s="28">
        <f t="shared" si="8"/>
        <v>1.7119550173010378</v>
      </c>
    </row>
    <row r="124" spans="2:21" ht="16.5" thickBot="1" x14ac:dyDescent="0.3">
      <c r="B124" s="12"/>
      <c r="C124" s="33">
        <v>296.58999999999997</v>
      </c>
      <c r="D124" s="34">
        <v>26.558</v>
      </c>
      <c r="E124" s="34">
        <v>31.497</v>
      </c>
      <c r="F124" s="34">
        <v>30.138999999999999</v>
      </c>
      <c r="G124" s="20">
        <v>7.05</v>
      </c>
      <c r="H124" s="20">
        <f t="shared" si="6"/>
        <v>27.623000000000005</v>
      </c>
      <c r="I124" s="5"/>
      <c r="J124" s="33">
        <v>303.54079999999999</v>
      </c>
      <c r="K124" s="34">
        <v>27.0076</v>
      </c>
      <c r="L124" s="34">
        <v>33.701900000000002</v>
      </c>
      <c r="M124" s="34">
        <v>32.320300000000003</v>
      </c>
      <c r="N124" s="20">
        <v>21.668500000000002</v>
      </c>
      <c r="O124" s="20">
        <f t="shared" si="7"/>
        <v>28.508475000000001</v>
      </c>
      <c r="P124" s="7"/>
      <c r="Q124" s="13"/>
      <c r="R124" s="14"/>
      <c r="S124" s="14"/>
      <c r="T124" s="27"/>
      <c r="U124" s="28">
        <f t="shared" si="8"/>
        <v>2.0735460992907804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-6.5925202094460636E-2</v>
      </c>
      <c r="R125" s="21">
        <f>AVERAGE(R9:R124)</f>
        <v>-0.31879916541429271</v>
      </c>
      <c r="S125" s="21">
        <f>AVERAGE(S9:S124)</f>
        <v>-0.29050682045228637</v>
      </c>
      <c r="T125" s="21">
        <f>AVERAGE(T9:T124)</f>
        <v>-0.11539692563092176</v>
      </c>
      <c r="U125" s="21">
        <f>AVERAGE(U9:U124)</f>
        <v>2.020549139757748</v>
      </c>
    </row>
    <row r="127" spans="2:21" s="35" customFormat="1" ht="15.75" customHeight="1" x14ac:dyDescent="0.25">
      <c r="B127" s="51" t="s">
        <v>29</v>
      </c>
      <c r="C127" s="56" t="s">
        <v>135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79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3609.54</v>
      </c>
      <c r="D131" s="16">
        <v>37.682000000000002</v>
      </c>
      <c r="E131" s="16">
        <v>38.94</v>
      </c>
      <c r="F131" s="16">
        <v>41.295999999999999</v>
      </c>
      <c r="G131" s="16">
        <v>3.8</v>
      </c>
      <c r="H131" s="16">
        <f t="shared" ref="H131:H202" si="9">(6*D131+E131+F131)/8</f>
        <v>38.291000000000004</v>
      </c>
      <c r="I131" s="5"/>
      <c r="J131" s="15">
        <v>3878.2192</v>
      </c>
      <c r="K131" s="16">
        <v>38.3645</v>
      </c>
      <c r="L131" s="16">
        <v>39.945599999999999</v>
      </c>
      <c r="M131" s="16">
        <v>42.616900000000001</v>
      </c>
      <c r="N131" s="16">
        <v>12.309200000000001</v>
      </c>
      <c r="O131" s="16">
        <f t="shared" ref="O131:O202" si="10">(6*K131+L131+M131)/8</f>
        <v>39.093687500000001</v>
      </c>
      <c r="P131" s="7"/>
      <c r="Q131" s="8">
        <f>bdrate(C131:C134,D131:D134,J131:J134,K131:K134)</f>
        <v>-8.7890732034251795E-2</v>
      </c>
      <c r="R131" s="8">
        <f>bdrate(C131:C134,E131:E134,J131:J134,L131:L134)</f>
        <v>-0.46300846971108944</v>
      </c>
      <c r="S131" s="8">
        <f>bdrate(C131:C134,F131:F134,J131:J134,M131:M134)</f>
        <v>-0.44202228745182937</v>
      </c>
      <c r="T131" s="25">
        <f>bdrate(C131:C134,H131:H134,J131:J134,O131:O134)</f>
        <v>-0.1509306456126841</v>
      </c>
      <c r="U131" s="28">
        <f t="shared" ref="U131:U194" si="11">(N131-G131)/G131</f>
        <v>2.2392631578947371</v>
      </c>
    </row>
    <row r="132" spans="1:21" x14ac:dyDescent="0.25">
      <c r="A132" s="9" t="s">
        <v>36</v>
      </c>
      <c r="B132" s="9"/>
      <c r="C132" s="17">
        <v>2695.02</v>
      </c>
      <c r="D132" s="18">
        <v>36.823999999999998</v>
      </c>
      <c r="E132" s="18">
        <v>38.365000000000002</v>
      </c>
      <c r="F132" s="18">
        <v>40.701000000000001</v>
      </c>
      <c r="G132" s="18">
        <v>4.18</v>
      </c>
      <c r="H132" s="18">
        <f t="shared" si="9"/>
        <v>37.501249999999999</v>
      </c>
      <c r="I132" s="5"/>
      <c r="J132" s="17">
        <v>2846.1727999999998</v>
      </c>
      <c r="K132" s="18">
        <v>37.448900000000002</v>
      </c>
      <c r="L132" s="18">
        <v>39.475900000000003</v>
      </c>
      <c r="M132" s="18">
        <v>41.987900000000003</v>
      </c>
      <c r="N132" s="18">
        <v>15.2874</v>
      </c>
      <c r="O132" s="18">
        <f t="shared" si="10"/>
        <v>38.269650000000006</v>
      </c>
      <c r="P132" s="7"/>
      <c r="Q132" s="10"/>
      <c r="R132" s="11"/>
      <c r="S132" s="11"/>
      <c r="T132" s="26"/>
      <c r="U132" s="28">
        <f t="shared" si="11"/>
        <v>2.6572727272727277</v>
      </c>
    </row>
    <row r="133" spans="1:21" x14ac:dyDescent="0.25">
      <c r="B133" s="9"/>
      <c r="C133" s="17">
        <v>1774.29</v>
      </c>
      <c r="D133" s="18">
        <v>35.563000000000002</v>
      </c>
      <c r="E133" s="18">
        <v>37.680999999999997</v>
      </c>
      <c r="F133" s="18">
        <v>40.012</v>
      </c>
      <c r="G133" s="18">
        <v>4.62</v>
      </c>
      <c r="H133" s="18">
        <f t="shared" si="9"/>
        <v>36.383875000000003</v>
      </c>
      <c r="I133" s="5"/>
      <c r="J133" s="17">
        <v>1883.6751999999999</v>
      </c>
      <c r="K133" s="18">
        <v>36.078600000000002</v>
      </c>
      <c r="L133" s="18">
        <v>38.835599999999999</v>
      </c>
      <c r="M133" s="18">
        <v>41.192999999999998</v>
      </c>
      <c r="N133" s="18">
        <v>18.413900000000002</v>
      </c>
      <c r="O133" s="18">
        <f t="shared" si="10"/>
        <v>37.062525000000001</v>
      </c>
      <c r="P133" s="7"/>
      <c r="Q133" s="10"/>
      <c r="R133" s="11"/>
      <c r="S133" s="11"/>
      <c r="T133" s="26"/>
      <c r="U133" s="28">
        <f t="shared" si="11"/>
        <v>2.985692640692641</v>
      </c>
    </row>
    <row r="134" spans="1:21" ht="16.5" thickBot="1" x14ac:dyDescent="0.3">
      <c r="B134" s="12"/>
      <c r="C134" s="19">
        <v>852.77</v>
      </c>
      <c r="D134" s="20">
        <v>33.122</v>
      </c>
      <c r="E134" s="20">
        <v>36.905999999999999</v>
      </c>
      <c r="F134" s="20">
        <v>39.17</v>
      </c>
      <c r="G134" s="20">
        <v>5.34</v>
      </c>
      <c r="H134" s="20">
        <f t="shared" si="9"/>
        <v>34.350999999999999</v>
      </c>
      <c r="I134" s="5"/>
      <c r="J134" s="19">
        <v>909.952</v>
      </c>
      <c r="K134" s="20">
        <v>33.437199999999997</v>
      </c>
      <c r="L134" s="20">
        <v>37.548900000000003</v>
      </c>
      <c r="M134" s="20">
        <v>39.763500000000001</v>
      </c>
      <c r="N134" s="20">
        <v>25.4237</v>
      </c>
      <c r="O134" s="20">
        <f t="shared" si="10"/>
        <v>34.741950000000003</v>
      </c>
      <c r="P134" s="7"/>
      <c r="Q134" s="13"/>
      <c r="R134" s="14"/>
      <c r="S134" s="14"/>
      <c r="T134" s="27"/>
      <c r="U134" s="28">
        <f t="shared" si="11"/>
        <v>3.7609925093632959</v>
      </c>
    </row>
    <row r="135" spans="1:21" x14ac:dyDescent="0.25">
      <c r="B135" s="6" t="s">
        <v>47</v>
      </c>
      <c r="C135" s="15">
        <v>4015.77</v>
      </c>
      <c r="D135" s="16">
        <v>30.233000000000001</v>
      </c>
      <c r="E135" s="16">
        <v>38.325000000000003</v>
      </c>
      <c r="F135" s="16">
        <v>39.582000000000001</v>
      </c>
      <c r="G135" s="16">
        <v>2.58</v>
      </c>
      <c r="H135" s="16">
        <f t="shared" si="9"/>
        <v>32.413125000000001</v>
      </c>
      <c r="I135" s="5"/>
      <c r="J135" s="15">
        <v>4080.6896000000002</v>
      </c>
      <c r="K135" s="16">
        <v>29.718499999999999</v>
      </c>
      <c r="L135" s="16">
        <v>40.477600000000002</v>
      </c>
      <c r="M135" s="16">
        <v>41.357500000000002</v>
      </c>
      <c r="N135" s="16">
        <v>8.1357999999999997</v>
      </c>
      <c r="O135" s="16">
        <f t="shared" si="10"/>
        <v>32.518262499999999</v>
      </c>
      <c r="P135" s="7"/>
      <c r="Q135" s="8">
        <f>bdrate(C135:C138,D135:D138,J135:J138,K135:K138)</f>
        <v>7.183107260075694E-2</v>
      </c>
      <c r="R135" s="8">
        <f>bdrate(C135:C138,E135:E138,J135:J138,L135:L138)</f>
        <v>-0.6186950793888476</v>
      </c>
      <c r="S135" s="8">
        <f>bdrate(C135:C138,F135:F138,J135:J138,M135:M138)</f>
        <v>-0.59971594955926721</v>
      </c>
      <c r="T135" s="25">
        <f>bdrate(C135:C138,H135:H138,J135:J138,O135:O138)</f>
        <v>-6.06102699966522E-2</v>
      </c>
      <c r="U135" s="28">
        <f t="shared" si="11"/>
        <v>2.1534108527131779</v>
      </c>
    </row>
    <row r="136" spans="1:21" x14ac:dyDescent="0.25">
      <c r="B136" s="9"/>
      <c r="C136" s="17">
        <v>3001.8</v>
      </c>
      <c r="D136" s="18">
        <v>28.832999999999998</v>
      </c>
      <c r="E136" s="18">
        <v>37.761000000000003</v>
      </c>
      <c r="F136" s="18">
        <v>39.094999999999999</v>
      </c>
      <c r="G136" s="18">
        <v>2.87</v>
      </c>
      <c r="H136" s="18">
        <f t="shared" si="9"/>
        <v>31.231749999999998</v>
      </c>
      <c r="I136" s="5"/>
      <c r="J136" s="17">
        <v>3083.2512000000002</v>
      </c>
      <c r="K136" s="18">
        <v>28.4666</v>
      </c>
      <c r="L136" s="18">
        <v>40.033200000000001</v>
      </c>
      <c r="M136" s="18">
        <v>40.991999999999997</v>
      </c>
      <c r="N136" s="18">
        <v>9.8412000000000006</v>
      </c>
      <c r="O136" s="18">
        <f t="shared" si="10"/>
        <v>31.478099999999998</v>
      </c>
      <c r="P136" s="7"/>
      <c r="Q136" s="10"/>
      <c r="R136" s="11"/>
      <c r="S136" s="11"/>
      <c r="T136" s="26"/>
      <c r="U136" s="28">
        <f t="shared" si="11"/>
        <v>2.4289895470383276</v>
      </c>
    </row>
    <row r="137" spans="1:21" x14ac:dyDescent="0.25">
      <c r="B137" s="9"/>
      <c r="C137" s="17">
        <v>1998.44</v>
      </c>
      <c r="D137" s="18">
        <v>26.916</v>
      </c>
      <c r="E137" s="18">
        <v>36.845999999999997</v>
      </c>
      <c r="F137" s="18">
        <v>38.298000000000002</v>
      </c>
      <c r="G137" s="18">
        <v>3.29</v>
      </c>
      <c r="H137" s="18">
        <f t="shared" si="9"/>
        <v>29.580000000000002</v>
      </c>
      <c r="I137" s="5"/>
      <c r="J137" s="17">
        <v>2037.9775999999999</v>
      </c>
      <c r="K137" s="18">
        <v>26.690899999999999</v>
      </c>
      <c r="L137" s="18">
        <v>39.215800000000002</v>
      </c>
      <c r="M137" s="18">
        <v>40.310600000000001</v>
      </c>
      <c r="N137" s="18">
        <v>12.0463</v>
      </c>
      <c r="O137" s="18">
        <f t="shared" si="10"/>
        <v>29.958974999999999</v>
      </c>
      <c r="P137" s="7"/>
      <c r="Q137" s="10"/>
      <c r="R137" s="11"/>
      <c r="S137" s="11"/>
      <c r="T137" s="26"/>
      <c r="U137" s="28">
        <f t="shared" si="11"/>
        <v>2.6614893617021274</v>
      </c>
    </row>
    <row r="138" spans="1:21" ht="16.5" thickBot="1" x14ac:dyDescent="0.3">
      <c r="B138" s="12"/>
      <c r="C138" s="19">
        <v>1525.82</v>
      </c>
      <c r="D138" s="20">
        <v>24.800999999999998</v>
      </c>
      <c r="E138" s="20">
        <v>35.268000000000001</v>
      </c>
      <c r="F138" s="20">
        <v>36.960999999999999</v>
      </c>
      <c r="G138" s="20">
        <v>4.76</v>
      </c>
      <c r="H138" s="20">
        <f t="shared" si="9"/>
        <v>27.629374999999996</v>
      </c>
      <c r="I138" s="5"/>
      <c r="J138" s="19">
        <v>1435.4208000000001</v>
      </c>
      <c r="K138" s="20">
        <v>25.617599999999999</v>
      </c>
      <c r="L138" s="20">
        <v>38.160499999999999</v>
      </c>
      <c r="M138" s="20">
        <v>39.317799999999998</v>
      </c>
      <c r="N138" s="20">
        <v>13.192600000000001</v>
      </c>
      <c r="O138" s="20">
        <f t="shared" si="10"/>
        <v>28.897987500000003</v>
      </c>
      <c r="P138" s="7"/>
      <c r="Q138" s="13"/>
      <c r="R138" s="14"/>
      <c r="S138" s="14"/>
      <c r="T138" s="27"/>
      <c r="U138" s="28">
        <f t="shared" si="11"/>
        <v>1.7715546218487397</v>
      </c>
    </row>
    <row r="139" spans="1:21" x14ac:dyDescent="0.25">
      <c r="A139" s="6" t="s">
        <v>37</v>
      </c>
      <c r="B139" s="6" t="s">
        <v>48</v>
      </c>
      <c r="C139" s="15">
        <v>1990.91</v>
      </c>
      <c r="D139" s="16">
        <v>39.293999999999997</v>
      </c>
      <c r="E139" s="16">
        <v>41.543999999999997</v>
      </c>
      <c r="F139" s="16">
        <v>42.8</v>
      </c>
      <c r="G139" s="16">
        <v>4.4400000000000004</v>
      </c>
      <c r="H139" s="16">
        <f t="shared" si="9"/>
        <v>40.013500000000001</v>
      </c>
      <c r="I139" s="5"/>
      <c r="J139" s="15">
        <v>2176.8000000000002</v>
      </c>
      <c r="K139" s="16">
        <v>39.072099999999999</v>
      </c>
      <c r="L139" s="16">
        <v>42.025399999999998</v>
      </c>
      <c r="M139" s="16">
        <v>43.471299999999999</v>
      </c>
      <c r="N139" s="16">
        <v>21.015799999999999</v>
      </c>
      <c r="O139" s="16">
        <f t="shared" si="10"/>
        <v>39.991162499999994</v>
      </c>
      <c r="P139" s="7"/>
      <c r="Q139" s="8">
        <f>bdrate(C139:C142,D139:D142,J139:J142,K139:K142)</f>
        <v>9.2581536300441636E-2</v>
      </c>
      <c r="R139" s="8">
        <f>bdrate(C139:C142,E139:E142,J139:J142,L139:L142)</f>
        <v>-0.32252896199419012</v>
      </c>
      <c r="S139" s="8">
        <f>bdrate(C139:C142,F139:F142,J139:J142,M139:M142)</f>
        <v>-0.33254130529110393</v>
      </c>
      <c r="T139" s="25">
        <f>bdrate(C139:C142,H139:H142,J139:J142,O139:O142)</f>
        <v>1.5803492395898511E-2</v>
      </c>
      <c r="U139" s="28">
        <f t="shared" si="11"/>
        <v>3.7332882882882874</v>
      </c>
    </row>
    <row r="140" spans="1:21" x14ac:dyDescent="0.25">
      <c r="A140" s="9" t="s">
        <v>38</v>
      </c>
      <c r="B140" s="9"/>
      <c r="C140" s="17">
        <v>1306.1300000000001</v>
      </c>
      <c r="D140" s="18">
        <v>37.963000000000001</v>
      </c>
      <c r="E140" s="18">
        <v>40.658000000000001</v>
      </c>
      <c r="F140" s="18">
        <v>41.865000000000002</v>
      </c>
      <c r="G140" s="18">
        <v>5.12</v>
      </c>
      <c r="H140" s="18">
        <f t="shared" si="9"/>
        <v>38.787625000000006</v>
      </c>
      <c r="I140" s="5"/>
      <c r="J140" s="17">
        <v>1433.3024</v>
      </c>
      <c r="K140" s="18">
        <v>37.904800000000002</v>
      </c>
      <c r="L140" s="18">
        <v>41.412300000000002</v>
      </c>
      <c r="M140" s="18">
        <v>42.731200000000001</v>
      </c>
      <c r="N140" s="18">
        <v>26.5047</v>
      </c>
      <c r="O140" s="18">
        <f t="shared" si="10"/>
        <v>38.946537500000005</v>
      </c>
      <c r="P140" s="7"/>
      <c r="Q140" s="10"/>
      <c r="R140" s="11"/>
      <c r="S140" s="11"/>
      <c r="T140" s="26"/>
      <c r="U140" s="28">
        <f t="shared" si="11"/>
        <v>4.1766992187499996</v>
      </c>
    </row>
    <row r="141" spans="1:21" x14ac:dyDescent="0.25">
      <c r="B141" s="9"/>
      <c r="C141" s="17">
        <v>807.7</v>
      </c>
      <c r="D141" s="18">
        <v>36.328000000000003</v>
      </c>
      <c r="E141" s="18">
        <v>39.689</v>
      </c>
      <c r="F141" s="18">
        <v>40.981000000000002</v>
      </c>
      <c r="G141" s="18">
        <v>6.01</v>
      </c>
      <c r="H141" s="18">
        <f t="shared" si="9"/>
        <v>37.329750000000004</v>
      </c>
      <c r="I141" s="5"/>
      <c r="J141" s="17">
        <v>886.56560000000002</v>
      </c>
      <c r="K141" s="18">
        <v>36.394599999999997</v>
      </c>
      <c r="L141" s="18">
        <v>40.678699999999999</v>
      </c>
      <c r="M141" s="18">
        <v>41.906999999999996</v>
      </c>
      <c r="N141" s="18">
        <v>32.362499999999997</v>
      </c>
      <c r="O141" s="18">
        <f t="shared" si="10"/>
        <v>37.619162499999995</v>
      </c>
      <c r="P141" s="7"/>
      <c r="Q141" s="10"/>
      <c r="R141" s="11"/>
      <c r="S141" s="11"/>
      <c r="T141" s="26"/>
      <c r="U141" s="28">
        <f t="shared" si="11"/>
        <v>4.3847753743760398</v>
      </c>
    </row>
    <row r="142" spans="1:21" ht="16.5" thickBot="1" x14ac:dyDescent="0.3">
      <c r="B142" s="12"/>
      <c r="C142" s="19">
        <v>479.89</v>
      </c>
      <c r="D142" s="20">
        <v>34.432000000000002</v>
      </c>
      <c r="E142" s="20">
        <v>38.673999999999999</v>
      </c>
      <c r="F142" s="20">
        <v>40.222999999999999</v>
      </c>
      <c r="G142" s="20">
        <v>7.06</v>
      </c>
      <c r="H142" s="20">
        <f t="shared" si="9"/>
        <v>35.686125000000004</v>
      </c>
      <c r="I142" s="5"/>
      <c r="J142" s="19">
        <v>533.79999999999995</v>
      </c>
      <c r="K142" s="20">
        <v>34.698300000000003</v>
      </c>
      <c r="L142" s="20">
        <v>39.970599999999997</v>
      </c>
      <c r="M142" s="20">
        <v>41.198599999999999</v>
      </c>
      <c r="N142" s="20">
        <v>39.741700000000002</v>
      </c>
      <c r="O142" s="20">
        <f t="shared" si="10"/>
        <v>36.169875000000005</v>
      </c>
      <c r="P142" s="7"/>
      <c r="Q142" s="13"/>
      <c r="R142" s="14"/>
      <c r="S142" s="14"/>
      <c r="T142" s="27"/>
      <c r="U142" s="28">
        <f t="shared" si="11"/>
        <v>4.6291359773371106</v>
      </c>
    </row>
    <row r="143" spans="1:21" x14ac:dyDescent="0.25">
      <c r="B143" s="6" t="s">
        <v>49</v>
      </c>
      <c r="C143" s="15">
        <v>2231.38</v>
      </c>
      <c r="D143" s="16">
        <v>36.225999999999999</v>
      </c>
      <c r="E143" s="16">
        <v>39.362000000000002</v>
      </c>
      <c r="F143" s="16">
        <v>40.402999999999999</v>
      </c>
      <c r="G143" s="16">
        <v>6</v>
      </c>
      <c r="H143" s="16">
        <f t="shared" si="9"/>
        <v>37.140125000000005</v>
      </c>
      <c r="I143" s="5"/>
      <c r="J143" s="15">
        <v>2281.116</v>
      </c>
      <c r="K143" s="16">
        <v>36.237900000000003</v>
      </c>
      <c r="L143" s="16">
        <v>40.100099999999998</v>
      </c>
      <c r="M143" s="16">
        <v>41.352499999999999</v>
      </c>
      <c r="N143" s="16">
        <v>20.021699999999999</v>
      </c>
      <c r="O143" s="16">
        <f t="shared" si="10"/>
        <v>37.360000000000007</v>
      </c>
      <c r="P143" s="7"/>
      <c r="Q143" s="8">
        <f>bdrate(C143:C146,D143:D146,J143:J146,K143:K146)</f>
        <v>4.5108699032700983E-3</v>
      </c>
      <c r="R143" s="8">
        <f>bdrate(C143:C146,E143:E146,J143:J146,L143:L146)</f>
        <v>-0.38510815795406816</v>
      </c>
      <c r="S143" s="8">
        <f>bdrate(C143:C146,F143:F146,J143:J146,M143:M146)</f>
        <v>-0.42980629693082484</v>
      </c>
      <c r="T143" s="25">
        <f>bdrate(C143:C146,H143:H146,J143:J146,O143:O146)</f>
        <v>-7.6477953655831321E-2</v>
      </c>
      <c r="U143" s="28">
        <f t="shared" si="11"/>
        <v>2.3369499999999999</v>
      </c>
    </row>
    <row r="144" spans="1:21" x14ac:dyDescent="0.25">
      <c r="B144" s="9"/>
      <c r="C144" s="17">
        <v>1482.96</v>
      </c>
      <c r="D144" s="18">
        <v>34.93</v>
      </c>
      <c r="E144" s="18">
        <v>38.417000000000002</v>
      </c>
      <c r="F144" s="18">
        <v>39.601999999999997</v>
      </c>
      <c r="G144" s="18">
        <v>6.73</v>
      </c>
      <c r="H144" s="18">
        <f t="shared" si="9"/>
        <v>35.949874999999999</v>
      </c>
      <c r="I144" s="5"/>
      <c r="J144" s="17">
        <v>1564.2112</v>
      </c>
      <c r="K144" s="18">
        <v>35.089300000000001</v>
      </c>
      <c r="L144" s="18">
        <v>39.410499999999999</v>
      </c>
      <c r="M144" s="18">
        <v>40.6419</v>
      </c>
      <c r="N144" s="18">
        <v>25.013000000000002</v>
      </c>
      <c r="O144" s="18">
        <f t="shared" si="10"/>
        <v>36.323525000000004</v>
      </c>
      <c r="P144" s="7"/>
      <c r="Q144" s="10"/>
      <c r="R144" s="11"/>
      <c r="S144" s="11"/>
      <c r="T144" s="26"/>
      <c r="U144" s="28">
        <f t="shared" si="11"/>
        <v>2.7166419019316494</v>
      </c>
    </row>
    <row r="145" spans="1:21" x14ac:dyDescent="0.25">
      <c r="B145" s="9"/>
      <c r="C145" s="17">
        <v>921.17</v>
      </c>
      <c r="D145" s="18">
        <v>33.466000000000001</v>
      </c>
      <c r="E145" s="18">
        <v>37.44</v>
      </c>
      <c r="F145" s="18">
        <v>38.908000000000001</v>
      </c>
      <c r="G145" s="18">
        <v>7.44</v>
      </c>
      <c r="H145" s="18">
        <f t="shared" si="9"/>
        <v>34.643000000000001</v>
      </c>
      <c r="I145" s="5"/>
      <c r="J145" s="17">
        <v>955.24159999999995</v>
      </c>
      <c r="K145" s="18">
        <v>33.566800000000001</v>
      </c>
      <c r="L145" s="18">
        <v>38.512300000000003</v>
      </c>
      <c r="M145" s="18">
        <v>39.808900000000001</v>
      </c>
      <c r="N145" s="18">
        <v>30.639600000000002</v>
      </c>
      <c r="O145" s="18">
        <f t="shared" si="10"/>
        <v>34.965250000000005</v>
      </c>
      <c r="P145" s="7"/>
      <c r="Q145" s="10"/>
      <c r="R145" s="11"/>
      <c r="S145" s="11"/>
      <c r="T145" s="26"/>
      <c r="U145" s="28">
        <f t="shared" si="11"/>
        <v>3.1182258064516128</v>
      </c>
    </row>
    <row r="146" spans="1:21" ht="16.5" thickBot="1" x14ac:dyDescent="0.3">
      <c r="B146" s="12"/>
      <c r="C146" s="19">
        <v>546.79999999999995</v>
      </c>
      <c r="D146" s="20">
        <v>31.9</v>
      </c>
      <c r="E146" s="20">
        <v>36.564</v>
      </c>
      <c r="F146" s="20">
        <v>38.332999999999998</v>
      </c>
      <c r="G146" s="20">
        <v>8.24</v>
      </c>
      <c r="H146" s="20">
        <f t="shared" si="9"/>
        <v>33.287124999999996</v>
      </c>
      <c r="I146" s="5"/>
      <c r="J146" s="19">
        <v>571.69600000000003</v>
      </c>
      <c r="K146" s="20">
        <v>32.018599999999999</v>
      </c>
      <c r="L146" s="20">
        <v>37.670099999999998</v>
      </c>
      <c r="M146" s="20">
        <v>39.091299999999997</v>
      </c>
      <c r="N146" s="20">
        <v>39.043399999999998</v>
      </c>
      <c r="O146" s="20">
        <f t="shared" si="10"/>
        <v>33.609124999999999</v>
      </c>
      <c r="P146" s="7"/>
      <c r="Q146" s="13"/>
      <c r="R146" s="14"/>
      <c r="S146" s="14"/>
      <c r="T146" s="27"/>
      <c r="U146" s="28">
        <f t="shared" si="11"/>
        <v>3.7382766990291256</v>
      </c>
    </row>
    <row r="147" spans="1:21" x14ac:dyDescent="0.25">
      <c r="B147" s="6" t="s">
        <v>50</v>
      </c>
      <c r="C147" s="15">
        <v>2353.62</v>
      </c>
      <c r="D147" s="16">
        <v>34.347999999999999</v>
      </c>
      <c r="E147" s="16">
        <v>37.701999999999998</v>
      </c>
      <c r="F147" s="16">
        <v>39.387999999999998</v>
      </c>
      <c r="G147" s="16">
        <v>6.87</v>
      </c>
      <c r="H147" s="16">
        <f t="shared" si="9"/>
        <v>35.39725</v>
      </c>
      <c r="I147" s="5"/>
      <c r="J147" s="15">
        <v>2343.556</v>
      </c>
      <c r="K147" s="16">
        <v>34.7196</v>
      </c>
      <c r="L147" s="16">
        <v>38.391800000000003</v>
      </c>
      <c r="M147" s="16">
        <v>40.763199999999998</v>
      </c>
      <c r="N147" s="16">
        <v>27.8474</v>
      </c>
      <c r="O147" s="16">
        <f t="shared" si="10"/>
        <v>35.934075</v>
      </c>
      <c r="P147" s="7"/>
      <c r="Q147" s="8">
        <f>bdrate(C147:C150,D147:D150,J147:J150,K147:K150)</f>
        <v>-0.10824669653333396</v>
      </c>
      <c r="R147" s="8">
        <f>bdrate(C147:C150,E147:E150,J147:J150,L147:L150)</f>
        <v>-0.54045509047764517</v>
      </c>
      <c r="S147" s="8">
        <f>bdrate(C147:C150,F147:F150,J147:J150,M147:M150)</f>
        <v>-0.51479820319420766</v>
      </c>
      <c r="T147" s="25">
        <f>bdrate(C147:C150,H147:H150,J147:J150,O147:O150)</f>
        <v>-0.1880673742180522</v>
      </c>
      <c r="U147" s="28">
        <f t="shared" si="11"/>
        <v>3.0534788937409023</v>
      </c>
    </row>
    <row r="148" spans="1:21" x14ac:dyDescent="0.25">
      <c r="B148" s="9"/>
      <c r="C148" s="17">
        <v>1567.24</v>
      </c>
      <c r="D148" s="18">
        <v>33.225999999999999</v>
      </c>
      <c r="E148" s="18">
        <v>37.195</v>
      </c>
      <c r="F148" s="18">
        <v>38.573999999999998</v>
      </c>
      <c r="G148" s="18">
        <v>7.64</v>
      </c>
      <c r="H148" s="18">
        <f t="shared" si="9"/>
        <v>34.390625</v>
      </c>
      <c r="I148" s="5"/>
      <c r="J148" s="17">
        <v>1584.116</v>
      </c>
      <c r="K148" s="18">
        <v>33.643099999999997</v>
      </c>
      <c r="L148" s="18">
        <v>38.042700000000004</v>
      </c>
      <c r="M148" s="18">
        <v>39.996200000000002</v>
      </c>
      <c r="N148" s="18">
        <v>33.969700000000003</v>
      </c>
      <c r="O148" s="18">
        <f t="shared" si="10"/>
        <v>34.987187499999997</v>
      </c>
      <c r="P148" s="7"/>
      <c r="Q148" s="10"/>
      <c r="R148" s="11"/>
      <c r="S148" s="11"/>
      <c r="T148" s="26"/>
      <c r="U148" s="28">
        <f t="shared" si="11"/>
        <v>3.4462958115183251</v>
      </c>
    </row>
    <row r="149" spans="1:21" x14ac:dyDescent="0.25">
      <c r="B149" s="9"/>
      <c r="C149" s="17">
        <v>966.01</v>
      </c>
      <c r="D149" s="18">
        <v>31.8</v>
      </c>
      <c r="E149" s="18">
        <v>36.57</v>
      </c>
      <c r="F149" s="18">
        <v>37.588000000000001</v>
      </c>
      <c r="G149" s="18">
        <v>8.66</v>
      </c>
      <c r="H149" s="18">
        <f t="shared" si="9"/>
        <v>33.119750000000003</v>
      </c>
      <c r="I149" s="5"/>
      <c r="J149" s="17">
        <v>985.45680000000004</v>
      </c>
      <c r="K149" s="18">
        <v>32.179400000000001</v>
      </c>
      <c r="L149" s="18">
        <v>37.583300000000001</v>
      </c>
      <c r="M149" s="18">
        <v>39.092399999999998</v>
      </c>
      <c r="N149" s="18">
        <v>41.781599999999997</v>
      </c>
      <c r="O149" s="18">
        <f t="shared" si="10"/>
        <v>33.719012500000005</v>
      </c>
      <c r="P149" s="7"/>
      <c r="Q149" s="10"/>
      <c r="R149" s="11"/>
      <c r="S149" s="11"/>
      <c r="T149" s="26"/>
      <c r="U149" s="28">
        <f t="shared" si="11"/>
        <v>3.8246651270207854</v>
      </c>
    </row>
    <row r="150" spans="1:21" ht="16.5" thickBot="1" x14ac:dyDescent="0.3">
      <c r="B150" s="12"/>
      <c r="C150" s="19">
        <v>568.75</v>
      </c>
      <c r="D150" s="20">
        <v>30.042000000000002</v>
      </c>
      <c r="E150" s="20">
        <v>35.673999999999999</v>
      </c>
      <c r="F150" s="20">
        <v>36.195999999999998</v>
      </c>
      <c r="G150" s="20">
        <v>9.86</v>
      </c>
      <c r="H150" s="20">
        <f t="shared" si="9"/>
        <v>31.515250000000002</v>
      </c>
      <c r="I150" s="5"/>
      <c r="J150" s="19">
        <v>580.83199999999999</v>
      </c>
      <c r="K150" s="20">
        <v>30.457899999999999</v>
      </c>
      <c r="L150" s="20">
        <v>36.895400000000002</v>
      </c>
      <c r="M150" s="20">
        <v>38.034100000000002</v>
      </c>
      <c r="N150" s="20">
        <v>53.373199999999997</v>
      </c>
      <c r="O150" s="20">
        <f t="shared" si="10"/>
        <v>32.209612499999999</v>
      </c>
      <c r="P150" s="7"/>
      <c r="Q150" s="13"/>
      <c r="R150" s="14"/>
      <c r="S150" s="14"/>
      <c r="T150" s="27"/>
      <c r="U150" s="28">
        <f t="shared" si="11"/>
        <v>4.4131034482758622</v>
      </c>
    </row>
    <row r="151" spans="1:21" x14ac:dyDescent="0.25">
      <c r="B151" s="6" t="s">
        <v>51</v>
      </c>
      <c r="C151" s="29">
        <v>2402.7399999999998</v>
      </c>
      <c r="D151" s="30">
        <v>34.590000000000003</v>
      </c>
      <c r="E151" s="30">
        <v>39.899000000000001</v>
      </c>
      <c r="F151" s="30">
        <v>39.497</v>
      </c>
      <c r="G151" s="16">
        <v>5.69</v>
      </c>
      <c r="H151" s="16">
        <f t="shared" si="9"/>
        <v>35.867000000000004</v>
      </c>
      <c r="I151" s="5"/>
      <c r="J151" s="29">
        <v>2409.5983999999999</v>
      </c>
      <c r="K151" s="30">
        <v>34.5276</v>
      </c>
      <c r="L151" s="30">
        <v>40.665700000000001</v>
      </c>
      <c r="M151" s="30">
        <v>40.317399999999999</v>
      </c>
      <c r="N151" s="16">
        <v>23.074400000000001</v>
      </c>
      <c r="O151" s="16">
        <f t="shared" si="10"/>
        <v>36.018587500000002</v>
      </c>
      <c r="P151" s="7"/>
      <c r="Q151" s="8">
        <f>bdrate(C151:C154,D151:D154,J151:J154,K151:K154)</f>
        <v>3.8448090907334809E-3</v>
      </c>
      <c r="R151" s="8">
        <f>bdrate(C151:C154,E151:E154,J151:J154,L151:L154)</f>
        <v>-0.44451924932866627</v>
      </c>
      <c r="S151" s="8">
        <f>bdrate(C151:C154,F151:F154,J151:J154,M151:M154)</f>
        <v>-0.39059331248239271</v>
      </c>
      <c r="T151" s="25">
        <f>bdrate(C151:C154,H151:H154,J151:J154,O151:O154)</f>
        <v>-8.8230880204826834E-2</v>
      </c>
      <c r="U151" s="28">
        <f t="shared" si="11"/>
        <v>3.0552548330404217</v>
      </c>
    </row>
    <row r="152" spans="1:21" x14ac:dyDescent="0.25">
      <c r="B152" s="9"/>
      <c r="C152" s="31">
        <v>1594.62</v>
      </c>
      <c r="D152" s="32">
        <v>33.247</v>
      </c>
      <c r="E152" s="32">
        <v>39.057000000000002</v>
      </c>
      <c r="F152" s="32">
        <v>38.323</v>
      </c>
      <c r="G152" s="18">
        <v>6.23</v>
      </c>
      <c r="H152" s="18">
        <f t="shared" si="9"/>
        <v>34.607749999999996</v>
      </c>
      <c r="I152" s="5"/>
      <c r="J152" s="31">
        <v>1617.1479999999999</v>
      </c>
      <c r="K152" s="32">
        <v>33.246499999999997</v>
      </c>
      <c r="L152" s="32">
        <v>40.037999999999997</v>
      </c>
      <c r="M152" s="32">
        <v>39.470799999999997</v>
      </c>
      <c r="N152" s="18">
        <v>27.2896</v>
      </c>
      <c r="O152" s="18">
        <f t="shared" si="10"/>
        <v>34.873474999999999</v>
      </c>
      <c r="P152" s="7"/>
      <c r="Q152" s="10"/>
      <c r="R152" s="11"/>
      <c r="S152" s="11"/>
      <c r="T152" s="26"/>
      <c r="U152" s="28">
        <f t="shared" si="11"/>
        <v>3.3803531300160512</v>
      </c>
    </row>
    <row r="153" spans="1:21" x14ac:dyDescent="0.25">
      <c r="B153" s="9"/>
      <c r="C153" s="31">
        <v>993.06</v>
      </c>
      <c r="D153" s="32">
        <v>31.576000000000001</v>
      </c>
      <c r="E153" s="32">
        <v>38.1</v>
      </c>
      <c r="F153" s="32">
        <v>36.927999999999997</v>
      </c>
      <c r="G153" s="18">
        <v>7.07</v>
      </c>
      <c r="H153" s="18">
        <f t="shared" si="9"/>
        <v>33.060500000000005</v>
      </c>
      <c r="I153" s="5"/>
      <c r="J153" s="31">
        <v>1003.7744</v>
      </c>
      <c r="K153" s="32">
        <v>31.619800000000001</v>
      </c>
      <c r="L153" s="32">
        <v>39.32</v>
      </c>
      <c r="M153" s="32">
        <v>38.445300000000003</v>
      </c>
      <c r="N153" s="18">
        <v>34.409199999999998</v>
      </c>
      <c r="O153" s="18">
        <f t="shared" si="10"/>
        <v>33.435512500000002</v>
      </c>
      <c r="P153" s="7"/>
      <c r="Q153" s="10"/>
      <c r="R153" s="11"/>
      <c r="S153" s="11"/>
      <c r="T153" s="26"/>
      <c r="U153" s="28">
        <f t="shared" si="11"/>
        <v>3.8669306930693064</v>
      </c>
    </row>
    <row r="154" spans="1:21" ht="16.5" thickBot="1" x14ac:dyDescent="0.3">
      <c r="B154" s="12"/>
      <c r="C154" s="33">
        <v>589.55999999999995</v>
      </c>
      <c r="D154" s="34">
        <v>29.687000000000001</v>
      </c>
      <c r="E154" s="34">
        <v>36.654000000000003</v>
      </c>
      <c r="F154" s="34">
        <v>35.165999999999997</v>
      </c>
      <c r="G154" s="20">
        <v>7.99</v>
      </c>
      <c r="H154" s="20">
        <f t="shared" si="9"/>
        <v>31.242750000000001</v>
      </c>
      <c r="I154" s="5"/>
      <c r="J154" s="33">
        <v>603.12720000000002</v>
      </c>
      <c r="K154" s="34">
        <v>29.8309</v>
      </c>
      <c r="L154" s="34">
        <v>38.339500000000001</v>
      </c>
      <c r="M154" s="34">
        <v>37.042499999999997</v>
      </c>
      <c r="N154" s="20">
        <v>42.837600000000002</v>
      </c>
      <c r="O154" s="20">
        <f t="shared" si="10"/>
        <v>31.795925</v>
      </c>
      <c r="P154" s="7"/>
      <c r="Q154" s="13"/>
      <c r="R154" s="14"/>
      <c r="S154" s="14"/>
      <c r="T154" s="27"/>
      <c r="U154" s="28">
        <f t="shared" si="11"/>
        <v>4.361401752190238</v>
      </c>
    </row>
    <row r="155" spans="1:21" x14ac:dyDescent="0.25">
      <c r="B155" s="6" t="s">
        <v>52</v>
      </c>
      <c r="C155" s="15">
        <v>2348.2600000000002</v>
      </c>
      <c r="D155" s="16">
        <v>33.735999999999997</v>
      </c>
      <c r="E155" s="16">
        <v>39.28</v>
      </c>
      <c r="F155" s="16">
        <v>41.905000000000001</v>
      </c>
      <c r="G155" s="16">
        <v>8.4700000000000006</v>
      </c>
      <c r="H155" s="16">
        <f t="shared" si="9"/>
        <v>35.450125</v>
      </c>
      <c r="I155" s="5"/>
      <c r="J155" s="15">
        <v>2416.1999999999998</v>
      </c>
      <c r="K155" s="16">
        <v>33.921500000000002</v>
      </c>
      <c r="L155" s="16">
        <v>40.087200000000003</v>
      </c>
      <c r="M155" s="16">
        <v>42.533999999999999</v>
      </c>
      <c r="N155" s="16">
        <v>33.611600000000003</v>
      </c>
      <c r="O155" s="16">
        <f t="shared" si="10"/>
        <v>35.768774999999998</v>
      </c>
      <c r="P155" s="7"/>
      <c r="Q155" s="8">
        <f>bdrate(C155:C158,D155:D158,J155:J158,K155:K158)</f>
        <v>-0.11340383388703956</v>
      </c>
      <c r="R155" s="8">
        <f>bdrate(C155:C158,E155:E158,J155:J158,L155:L158)</f>
        <v>-0.41742968255534241</v>
      </c>
      <c r="S155" s="8">
        <f>bdrate(C155:C158,F155:F158,J155:J158,M155:M158)</f>
        <v>-0.33615020099537085</v>
      </c>
      <c r="T155" s="25">
        <f>bdrate(C155:C158,H155:H158,J155:J158,O155:O158)</f>
        <v>-0.16121221269032759</v>
      </c>
      <c r="U155" s="28">
        <f t="shared" si="11"/>
        <v>2.9683116883116885</v>
      </c>
    </row>
    <row r="156" spans="1:21" x14ac:dyDescent="0.25">
      <c r="B156" s="9"/>
      <c r="C156" s="17">
        <v>1545.53</v>
      </c>
      <c r="D156" s="18">
        <v>33.052</v>
      </c>
      <c r="E156" s="18">
        <v>38.859000000000002</v>
      </c>
      <c r="F156" s="18">
        <v>41.545000000000002</v>
      </c>
      <c r="G156" s="18">
        <v>9.24</v>
      </c>
      <c r="H156" s="18">
        <f t="shared" si="9"/>
        <v>34.839500000000001</v>
      </c>
      <c r="I156" s="5"/>
      <c r="J156" s="17">
        <v>1611.376</v>
      </c>
      <c r="K156" s="18">
        <v>33.328000000000003</v>
      </c>
      <c r="L156" s="18">
        <v>39.615000000000002</v>
      </c>
      <c r="M156" s="18">
        <v>42.097700000000003</v>
      </c>
      <c r="N156" s="18">
        <v>42.2</v>
      </c>
      <c r="O156" s="18">
        <f t="shared" si="10"/>
        <v>35.2100875</v>
      </c>
      <c r="P156" s="7"/>
      <c r="Q156" s="10"/>
      <c r="R156" s="11"/>
      <c r="S156" s="11"/>
      <c r="T156" s="26"/>
      <c r="U156" s="28">
        <f t="shared" si="11"/>
        <v>3.5670995670995671</v>
      </c>
    </row>
    <row r="157" spans="1:21" x14ac:dyDescent="0.25">
      <c r="B157" s="9"/>
      <c r="C157" s="17">
        <v>930.03</v>
      </c>
      <c r="D157" s="18">
        <v>31.952000000000002</v>
      </c>
      <c r="E157" s="18">
        <v>38.258000000000003</v>
      </c>
      <c r="F157" s="18">
        <v>41.033000000000001</v>
      </c>
      <c r="G157" s="18">
        <v>10.14</v>
      </c>
      <c r="H157" s="18">
        <f t="shared" si="9"/>
        <v>33.875375000000005</v>
      </c>
      <c r="I157" s="5"/>
      <c r="J157" s="17">
        <v>991.59119999999996</v>
      </c>
      <c r="K157" s="18">
        <v>32.369700000000002</v>
      </c>
      <c r="L157" s="18">
        <v>38.947200000000002</v>
      </c>
      <c r="M157" s="18">
        <v>41.514200000000002</v>
      </c>
      <c r="N157" s="18">
        <v>52.328600000000002</v>
      </c>
      <c r="O157" s="18">
        <f t="shared" si="10"/>
        <v>34.334950000000006</v>
      </c>
      <c r="P157" s="7"/>
      <c r="Q157" s="10"/>
      <c r="R157" s="11"/>
      <c r="S157" s="11"/>
      <c r="T157" s="26"/>
      <c r="U157" s="28">
        <f t="shared" si="11"/>
        <v>4.1606114398422092</v>
      </c>
    </row>
    <row r="158" spans="1:21" ht="16.5" thickBot="1" x14ac:dyDescent="0.3">
      <c r="B158" s="12"/>
      <c r="C158" s="19">
        <v>487.44</v>
      </c>
      <c r="D158" s="20">
        <v>29.727</v>
      </c>
      <c r="E158" s="20">
        <v>37.259</v>
      </c>
      <c r="F158" s="20">
        <v>40.274000000000001</v>
      </c>
      <c r="G158" s="20">
        <v>11.09</v>
      </c>
      <c r="H158" s="20">
        <f t="shared" si="9"/>
        <v>31.986874999999998</v>
      </c>
      <c r="I158" s="5"/>
      <c r="J158" s="19">
        <v>584.04480000000001</v>
      </c>
      <c r="K158" s="20">
        <v>31.044499999999999</v>
      </c>
      <c r="L158" s="20">
        <v>38.378999999999998</v>
      </c>
      <c r="M158" s="20">
        <v>40.9099</v>
      </c>
      <c r="N158" s="20">
        <v>64.191699999999997</v>
      </c>
      <c r="O158" s="20">
        <f t="shared" si="10"/>
        <v>33.194487500000001</v>
      </c>
      <c r="P158" s="7"/>
      <c r="Q158" s="13"/>
      <c r="R158" s="14"/>
      <c r="S158" s="14"/>
      <c r="T158" s="27"/>
      <c r="U158" s="28">
        <f t="shared" si="11"/>
        <v>4.7882506762849406</v>
      </c>
    </row>
    <row r="159" spans="1:21" x14ac:dyDescent="0.25">
      <c r="A159" s="6" t="s">
        <v>39</v>
      </c>
      <c r="B159" s="6" t="s">
        <v>53</v>
      </c>
      <c r="C159" s="15">
        <v>1221.2</v>
      </c>
      <c r="D159" s="16">
        <v>35.634</v>
      </c>
      <c r="E159" s="16">
        <v>39.228999999999999</v>
      </c>
      <c r="F159" s="16">
        <v>39.347999999999999</v>
      </c>
      <c r="G159" s="16">
        <v>23.32</v>
      </c>
      <c r="H159" s="16">
        <f t="shared" si="9"/>
        <v>36.547625000000004</v>
      </c>
      <c r="I159" s="5"/>
      <c r="J159" s="15">
        <v>1199.9104</v>
      </c>
      <c r="K159" s="16">
        <v>36.700099999999999</v>
      </c>
      <c r="L159" s="16">
        <v>40.5351</v>
      </c>
      <c r="M159" s="16">
        <v>40.478999999999999</v>
      </c>
      <c r="N159" s="16">
        <v>71.664000000000001</v>
      </c>
      <c r="O159" s="16">
        <f t="shared" si="10"/>
        <v>37.651837499999999</v>
      </c>
      <c r="P159" s="7"/>
      <c r="Q159" s="8">
        <f>bdrate(C159:C162,D159:D162,J159:J162,K159:K162)</f>
        <v>-0.16566612687051829</v>
      </c>
      <c r="R159" s="8">
        <f>bdrate(C159:C162,E159:E162,J159:J162,L159:L162)</f>
        <v>-0.38453544125014694</v>
      </c>
      <c r="S159" s="8">
        <f>bdrate(C159:C162,F159:F162,J159:J162,M159:M162)</f>
        <v>-0.30158611729771989</v>
      </c>
      <c r="T159" s="25">
        <f>bdrate(C159:C162,H159:H162,J159:J162,O159:O162)</f>
        <v>-0.20674430481137773</v>
      </c>
      <c r="U159" s="28">
        <f t="shared" si="11"/>
        <v>2.0730703259005145</v>
      </c>
    </row>
    <row r="160" spans="1:21" x14ac:dyDescent="0.25">
      <c r="A160" s="9" t="s">
        <v>40</v>
      </c>
      <c r="B160" s="9"/>
      <c r="C160" s="17">
        <v>813.13</v>
      </c>
      <c r="D160" s="18">
        <v>34.125</v>
      </c>
      <c r="E160" s="18">
        <v>37.924999999999997</v>
      </c>
      <c r="F160" s="18">
        <v>37.950000000000003</v>
      </c>
      <c r="G160" s="18">
        <v>26.44</v>
      </c>
      <c r="H160" s="18">
        <f t="shared" si="9"/>
        <v>35.078125</v>
      </c>
      <c r="I160" s="5"/>
      <c r="J160" s="17">
        <v>800.10400000000004</v>
      </c>
      <c r="K160" s="18">
        <v>34.949599999999997</v>
      </c>
      <c r="L160" s="18">
        <v>39.233400000000003</v>
      </c>
      <c r="M160" s="18">
        <v>39.026299999999999</v>
      </c>
      <c r="N160" s="18">
        <v>84.774500000000003</v>
      </c>
      <c r="O160" s="18">
        <f t="shared" si="10"/>
        <v>35.994662499999997</v>
      </c>
      <c r="P160" s="7"/>
      <c r="Q160" s="10"/>
      <c r="R160" s="11"/>
      <c r="S160" s="11"/>
      <c r="T160" s="26"/>
      <c r="U160" s="28">
        <f t="shared" si="11"/>
        <v>2.2062972768532529</v>
      </c>
    </row>
    <row r="161" spans="1:21" x14ac:dyDescent="0.25">
      <c r="B161" s="9"/>
      <c r="C161" s="17">
        <v>506.87</v>
      </c>
      <c r="D161" s="18">
        <v>32.502000000000002</v>
      </c>
      <c r="E161" s="18">
        <v>36.668999999999997</v>
      </c>
      <c r="F161" s="18">
        <v>36.567</v>
      </c>
      <c r="G161" s="18">
        <v>30.58</v>
      </c>
      <c r="H161" s="18">
        <f t="shared" si="9"/>
        <v>33.530999999999999</v>
      </c>
      <c r="I161" s="5"/>
      <c r="J161" s="17">
        <v>501.60320000000002</v>
      </c>
      <c r="K161" s="18">
        <v>33.049999999999997</v>
      </c>
      <c r="L161" s="18">
        <v>37.972900000000003</v>
      </c>
      <c r="M161" s="18">
        <v>37.605800000000002</v>
      </c>
      <c r="N161" s="18">
        <v>101.0509</v>
      </c>
      <c r="O161" s="18">
        <f t="shared" si="10"/>
        <v>34.234837499999998</v>
      </c>
      <c r="P161" s="7"/>
      <c r="Q161" s="10"/>
      <c r="R161" s="11"/>
      <c r="S161" s="11"/>
      <c r="T161" s="26"/>
      <c r="U161" s="28">
        <f t="shared" si="11"/>
        <v>2.3044767822105952</v>
      </c>
    </row>
    <row r="162" spans="1:21" ht="16.5" thickBot="1" x14ac:dyDescent="0.3">
      <c r="B162" s="12"/>
      <c r="C162" s="19">
        <v>301.10000000000002</v>
      </c>
      <c r="D162" s="20">
        <v>30.765000000000001</v>
      </c>
      <c r="E162" s="20">
        <v>35.357999999999997</v>
      </c>
      <c r="F162" s="20">
        <v>34.901000000000003</v>
      </c>
      <c r="G162" s="20">
        <v>35.69</v>
      </c>
      <c r="H162" s="20">
        <f t="shared" si="9"/>
        <v>31.856125000000002</v>
      </c>
      <c r="I162" s="5"/>
      <c r="J162" s="19">
        <v>299.72000000000003</v>
      </c>
      <c r="K162" s="20">
        <v>31.039200000000001</v>
      </c>
      <c r="L162" s="20">
        <v>36.602699999999999</v>
      </c>
      <c r="M162" s="20">
        <v>36.117899999999999</v>
      </c>
      <c r="N162" s="20">
        <v>126.10339999999999</v>
      </c>
      <c r="O162" s="20">
        <f t="shared" si="10"/>
        <v>32.369475000000001</v>
      </c>
      <c r="P162" s="7"/>
      <c r="Q162" s="13"/>
      <c r="R162" s="14"/>
      <c r="S162" s="14"/>
      <c r="T162" s="27"/>
      <c r="U162" s="28">
        <f t="shared" si="11"/>
        <v>2.5332978425329222</v>
      </c>
    </row>
    <row r="163" spans="1:21" x14ac:dyDescent="0.25">
      <c r="B163" s="6" t="s">
        <v>54</v>
      </c>
      <c r="C163" s="15">
        <v>1222.05</v>
      </c>
      <c r="D163" s="16">
        <v>35.700000000000003</v>
      </c>
      <c r="E163" s="16">
        <v>40.097000000000001</v>
      </c>
      <c r="F163" s="16">
        <v>41.036999999999999</v>
      </c>
      <c r="G163" s="16">
        <v>29.01</v>
      </c>
      <c r="H163" s="16">
        <f t="shared" si="9"/>
        <v>36.91675</v>
      </c>
      <c r="I163" s="5"/>
      <c r="J163" s="15">
        <v>1210.6632</v>
      </c>
      <c r="K163" s="16">
        <v>36.019100000000002</v>
      </c>
      <c r="L163" s="16">
        <v>41.217799999999997</v>
      </c>
      <c r="M163" s="16">
        <v>42.107799999999997</v>
      </c>
      <c r="N163" s="16">
        <v>84.340699999999998</v>
      </c>
      <c r="O163" s="16">
        <f t="shared" si="10"/>
        <v>37.430025000000001</v>
      </c>
      <c r="P163" s="7"/>
      <c r="Q163" s="8">
        <f>bdrate(C163:C166,D163:D166,J163:J166,K163:K166)</f>
        <v>-0.13450914033303019</v>
      </c>
      <c r="R163" s="8">
        <f>bdrate(C163:C166,E163:E166,J163:J166,L163:L166)</f>
        <v>-0.43270166390523834</v>
      </c>
      <c r="S163" s="8">
        <f>bdrate(C163:C166,F163:F166,J163:J166,M163:M166)</f>
        <v>-0.39250265733351652</v>
      </c>
      <c r="T163" s="25">
        <f>bdrate(C163:C166,H163:H166,J163:J166,O163:O166)</f>
        <v>-0.19345725386048951</v>
      </c>
      <c r="U163" s="28">
        <f t="shared" si="11"/>
        <v>1.9072974836263354</v>
      </c>
    </row>
    <row r="164" spans="1:21" x14ac:dyDescent="0.25">
      <c r="B164" s="9"/>
      <c r="C164" s="17">
        <v>814.67</v>
      </c>
      <c r="D164" s="18">
        <v>34.061</v>
      </c>
      <c r="E164" s="18">
        <v>38.991999999999997</v>
      </c>
      <c r="F164" s="18">
        <v>39.767000000000003</v>
      </c>
      <c r="G164" s="18">
        <v>32.93</v>
      </c>
      <c r="H164" s="18">
        <f t="shared" si="9"/>
        <v>35.390625</v>
      </c>
      <c r="I164" s="5"/>
      <c r="J164" s="17">
        <v>806.13520000000005</v>
      </c>
      <c r="K164" s="18">
        <v>34.517000000000003</v>
      </c>
      <c r="L164" s="18">
        <v>40.245100000000001</v>
      </c>
      <c r="M164" s="18">
        <v>41.003399999999999</v>
      </c>
      <c r="N164" s="18">
        <v>98.619299999999996</v>
      </c>
      <c r="O164" s="18">
        <f t="shared" si="10"/>
        <v>36.043812500000001</v>
      </c>
      <c r="P164" s="7"/>
      <c r="Q164" s="10"/>
      <c r="R164" s="11"/>
      <c r="S164" s="11"/>
      <c r="T164" s="26"/>
      <c r="U164" s="28">
        <f t="shared" si="11"/>
        <v>1.9948162769511084</v>
      </c>
    </row>
    <row r="165" spans="1:21" x14ac:dyDescent="0.25">
      <c r="B165" s="9"/>
      <c r="C165" s="17">
        <v>507.28</v>
      </c>
      <c r="D165" s="18">
        <v>32.045000000000002</v>
      </c>
      <c r="E165" s="18">
        <v>37.618000000000002</v>
      </c>
      <c r="F165" s="18">
        <v>38.293999999999997</v>
      </c>
      <c r="G165" s="18">
        <v>37.630000000000003</v>
      </c>
      <c r="H165" s="18">
        <f t="shared" si="9"/>
        <v>33.522750000000002</v>
      </c>
      <c r="I165" s="5"/>
      <c r="J165" s="17">
        <v>503.86239999999998</v>
      </c>
      <c r="K165" s="18">
        <v>32.671500000000002</v>
      </c>
      <c r="L165" s="18">
        <v>39.190100000000001</v>
      </c>
      <c r="M165" s="18">
        <v>39.812100000000001</v>
      </c>
      <c r="N165" s="18">
        <v>119.0712</v>
      </c>
      <c r="O165" s="18">
        <f t="shared" si="10"/>
        <v>34.378900000000002</v>
      </c>
      <c r="P165" s="7"/>
      <c r="Q165" s="10"/>
      <c r="R165" s="11"/>
      <c r="S165" s="11"/>
      <c r="T165" s="26"/>
      <c r="U165" s="28">
        <f t="shared" si="11"/>
        <v>2.1642625564709008</v>
      </c>
    </row>
    <row r="166" spans="1:21" ht="16.5" thickBot="1" x14ac:dyDescent="0.3">
      <c r="B166" s="12"/>
      <c r="C166" s="19">
        <v>300.24</v>
      </c>
      <c r="D166" s="20">
        <v>29.74</v>
      </c>
      <c r="E166" s="20">
        <v>36.115000000000002</v>
      </c>
      <c r="F166" s="20">
        <v>36.585000000000001</v>
      </c>
      <c r="G166" s="20">
        <v>42.45</v>
      </c>
      <c r="H166" s="20">
        <f t="shared" si="9"/>
        <v>31.392500000000002</v>
      </c>
      <c r="I166" s="5"/>
      <c r="J166" s="19">
        <v>303.2944</v>
      </c>
      <c r="K166" s="20">
        <v>30.6371</v>
      </c>
      <c r="L166" s="20">
        <v>38.0974</v>
      </c>
      <c r="M166" s="20">
        <v>38.601300000000002</v>
      </c>
      <c r="N166" s="20">
        <v>149.03129999999999</v>
      </c>
      <c r="O166" s="20">
        <f t="shared" si="10"/>
        <v>32.5651625</v>
      </c>
      <c r="P166" s="7"/>
      <c r="Q166" s="13"/>
      <c r="R166" s="14"/>
      <c r="S166" s="14"/>
      <c r="T166" s="27"/>
      <c r="U166" s="28">
        <f t="shared" si="11"/>
        <v>2.5107491166077733</v>
      </c>
    </row>
    <row r="167" spans="1:21" x14ac:dyDescent="0.25">
      <c r="B167" s="6" t="s">
        <v>55</v>
      </c>
      <c r="C167" s="15">
        <v>1091.1199999999999</v>
      </c>
      <c r="D167" s="16">
        <v>30.274000000000001</v>
      </c>
      <c r="E167" s="16">
        <v>35.768999999999998</v>
      </c>
      <c r="F167" s="16">
        <v>36.527000000000001</v>
      </c>
      <c r="G167" s="16">
        <v>28.24</v>
      </c>
      <c r="H167" s="16">
        <f t="shared" si="9"/>
        <v>31.7425</v>
      </c>
      <c r="I167" s="5"/>
      <c r="J167" s="15">
        <v>1192.2344000000001</v>
      </c>
      <c r="K167" s="16">
        <v>31.032499999999999</v>
      </c>
      <c r="L167" s="16">
        <v>37.198500000000003</v>
      </c>
      <c r="M167" s="16">
        <v>38.033200000000001</v>
      </c>
      <c r="N167" s="16">
        <v>82.59</v>
      </c>
      <c r="O167" s="16">
        <f t="shared" si="10"/>
        <v>32.678337499999998</v>
      </c>
      <c r="P167" s="7"/>
      <c r="Q167" s="8">
        <f>bdrate(C167:C170,D167:D170,J167:J170,K167:K170)</f>
        <v>-0.14038079402377046</v>
      </c>
      <c r="R167" s="8">
        <f>bdrate(C167:C170,E167:E170,J167:J170,L167:L170)</f>
        <v>-0.49654928937345622</v>
      </c>
      <c r="S167" s="8">
        <f>bdrate(C167:C170,F167:F170,J167:J170,M167:M170)</f>
        <v>-0.486332134309716</v>
      </c>
      <c r="T167" s="25">
        <f>bdrate(C167:C170,H167:H170,J167:J170,O167:O170)</f>
        <v>-0.20623453282133841</v>
      </c>
      <c r="U167" s="28">
        <f t="shared" si="11"/>
        <v>1.9245750708215301</v>
      </c>
    </row>
    <row r="168" spans="1:21" x14ac:dyDescent="0.25">
      <c r="B168" s="9"/>
      <c r="C168" s="17">
        <v>726.93</v>
      </c>
      <c r="D168" s="18">
        <v>28.884</v>
      </c>
      <c r="E168" s="18">
        <v>35.033999999999999</v>
      </c>
      <c r="F168" s="18">
        <v>35.792000000000002</v>
      </c>
      <c r="G168" s="18">
        <v>32.18</v>
      </c>
      <c r="H168" s="18">
        <f t="shared" si="9"/>
        <v>30.516249999999999</v>
      </c>
      <c r="I168" s="5"/>
      <c r="J168" s="17">
        <v>801.67439999999999</v>
      </c>
      <c r="K168" s="18">
        <v>29.6845</v>
      </c>
      <c r="L168" s="18">
        <v>36.345300000000002</v>
      </c>
      <c r="M168" s="18">
        <v>37.142000000000003</v>
      </c>
      <c r="N168" s="18">
        <v>99.820300000000003</v>
      </c>
      <c r="O168" s="18">
        <f t="shared" si="10"/>
        <v>31.449287500000001</v>
      </c>
      <c r="P168" s="7"/>
      <c r="Q168" s="10"/>
      <c r="R168" s="11"/>
      <c r="S168" s="11"/>
      <c r="T168" s="26"/>
      <c r="U168" s="28">
        <f t="shared" si="11"/>
        <v>2.101935985083903</v>
      </c>
    </row>
    <row r="169" spans="1:21" x14ac:dyDescent="0.25">
      <c r="B169" s="9"/>
      <c r="C169" s="17">
        <v>451.04</v>
      </c>
      <c r="D169" s="18">
        <v>27.382000000000001</v>
      </c>
      <c r="E169" s="18">
        <v>34.213000000000001</v>
      </c>
      <c r="F169" s="18">
        <v>34.984000000000002</v>
      </c>
      <c r="G169" s="18">
        <v>36.299999999999997</v>
      </c>
      <c r="H169" s="18">
        <f t="shared" si="9"/>
        <v>29.186125000000001</v>
      </c>
      <c r="I169" s="5"/>
      <c r="J169" s="17">
        <v>504.88799999999998</v>
      </c>
      <c r="K169" s="18">
        <v>28.221699999999998</v>
      </c>
      <c r="L169" s="18">
        <v>35.592500000000001</v>
      </c>
      <c r="M169" s="18">
        <v>36.3294</v>
      </c>
      <c r="N169" s="18">
        <v>125.2191</v>
      </c>
      <c r="O169" s="18">
        <f t="shared" si="10"/>
        <v>30.156512499999998</v>
      </c>
      <c r="P169" s="7"/>
      <c r="Q169" s="10"/>
      <c r="R169" s="11"/>
      <c r="S169" s="11"/>
      <c r="T169" s="26"/>
      <c r="U169" s="28">
        <f t="shared" si="11"/>
        <v>2.4495619834710745</v>
      </c>
    </row>
    <row r="170" spans="1:21" ht="16.5" thickBot="1" x14ac:dyDescent="0.3">
      <c r="B170" s="12"/>
      <c r="C170" s="19">
        <v>257.66000000000003</v>
      </c>
      <c r="D170" s="20">
        <v>25.606000000000002</v>
      </c>
      <c r="E170" s="20">
        <v>33.1</v>
      </c>
      <c r="F170" s="20">
        <v>33.877000000000002</v>
      </c>
      <c r="G170" s="20">
        <v>42.23</v>
      </c>
      <c r="H170" s="20">
        <f t="shared" si="9"/>
        <v>27.576625000000003</v>
      </c>
      <c r="I170" s="5"/>
      <c r="J170" s="19">
        <v>306.66000000000003</v>
      </c>
      <c r="K170" s="20">
        <v>26.677399999999999</v>
      </c>
      <c r="L170" s="20">
        <v>34.744599999999998</v>
      </c>
      <c r="M170" s="20">
        <v>35.451700000000002</v>
      </c>
      <c r="N170" s="20">
        <v>154.8467</v>
      </c>
      <c r="O170" s="20">
        <f t="shared" si="10"/>
        <v>28.782587499999998</v>
      </c>
      <c r="P170" s="7"/>
      <c r="Q170" s="13"/>
      <c r="R170" s="14"/>
      <c r="S170" s="14"/>
      <c r="T170" s="27"/>
      <c r="U170" s="28">
        <f t="shared" si="11"/>
        <v>2.6667463888231118</v>
      </c>
    </row>
    <row r="171" spans="1:21" x14ac:dyDescent="0.25">
      <c r="B171" s="6" t="s">
        <v>56</v>
      </c>
      <c r="C171" s="15">
        <v>1103.8499999999999</v>
      </c>
      <c r="D171" s="16">
        <v>33.296999999999997</v>
      </c>
      <c r="E171" s="16">
        <v>36.890999999999998</v>
      </c>
      <c r="F171" s="16">
        <v>38.606999999999999</v>
      </c>
      <c r="G171" s="16">
        <v>17.91</v>
      </c>
      <c r="H171" s="16">
        <f t="shared" si="9"/>
        <v>34.409999999999997</v>
      </c>
      <c r="I171" s="5"/>
      <c r="J171" s="15">
        <v>1195.8984</v>
      </c>
      <c r="K171" s="16">
        <v>33.099499999999999</v>
      </c>
      <c r="L171" s="16">
        <v>37.394799999999996</v>
      </c>
      <c r="M171" s="16">
        <v>38.941499999999998</v>
      </c>
      <c r="N171" s="16">
        <v>54.764499999999998</v>
      </c>
      <c r="O171" s="16">
        <f t="shared" si="10"/>
        <v>34.366662499999997</v>
      </c>
      <c r="P171" s="7"/>
      <c r="Q171" s="8">
        <f>bdrate(C171:C174,D171:D174,J171:J174,K171:K174)</f>
        <v>0.14430837052550749</v>
      </c>
      <c r="R171" s="8">
        <f>bdrate(C171:C174,E171:E174,J171:J174,L171:L174)</f>
        <v>-0.22299050417225075</v>
      </c>
      <c r="S171" s="8">
        <f>bdrate(C171:C174,F171:F174,J171:J174,M171:M174)</f>
        <v>-0.18643226884771558</v>
      </c>
      <c r="T171" s="25">
        <f>bdrate(C171:C174,H171:H174,J171:J174,O171:O174)</f>
        <v>7.2058581874584693E-2</v>
      </c>
      <c r="U171" s="28">
        <f t="shared" si="11"/>
        <v>2.0577610273590174</v>
      </c>
    </row>
    <row r="172" spans="1:21" x14ac:dyDescent="0.25">
      <c r="B172" s="9"/>
      <c r="C172" s="17">
        <v>743.56</v>
      </c>
      <c r="D172" s="18">
        <v>31.837</v>
      </c>
      <c r="E172" s="18">
        <v>35.902999999999999</v>
      </c>
      <c r="F172" s="18">
        <v>37.637999999999998</v>
      </c>
      <c r="G172" s="18">
        <v>20.100000000000001</v>
      </c>
      <c r="H172" s="18">
        <f t="shared" si="9"/>
        <v>33.070374999999999</v>
      </c>
      <c r="I172" s="5"/>
      <c r="J172" s="17">
        <v>793.06240000000003</v>
      </c>
      <c r="K172" s="18">
        <v>31.558</v>
      </c>
      <c r="L172" s="18">
        <v>36.465400000000002</v>
      </c>
      <c r="M172" s="18">
        <v>38.0518</v>
      </c>
      <c r="N172" s="18">
        <v>65.616799999999998</v>
      </c>
      <c r="O172" s="18">
        <f t="shared" si="10"/>
        <v>32.983150000000002</v>
      </c>
      <c r="P172" s="7"/>
      <c r="Q172" s="10"/>
      <c r="R172" s="11"/>
      <c r="S172" s="11"/>
      <c r="T172" s="26"/>
      <c r="U172" s="28">
        <f t="shared" si="11"/>
        <v>2.2645174129353229</v>
      </c>
    </row>
    <row r="173" spans="1:21" x14ac:dyDescent="0.25">
      <c r="B173" s="9"/>
      <c r="C173" s="17">
        <v>473.9</v>
      </c>
      <c r="D173" s="18">
        <v>30.201000000000001</v>
      </c>
      <c r="E173" s="18">
        <v>34.92</v>
      </c>
      <c r="F173" s="18">
        <v>36.537999999999997</v>
      </c>
      <c r="G173" s="18">
        <v>22.7</v>
      </c>
      <c r="H173" s="18">
        <f t="shared" si="9"/>
        <v>31.583000000000006</v>
      </c>
      <c r="I173" s="5"/>
      <c r="J173" s="17">
        <v>488.0736</v>
      </c>
      <c r="K173" s="18">
        <v>29.844000000000001</v>
      </c>
      <c r="L173" s="18">
        <v>35.586100000000002</v>
      </c>
      <c r="M173" s="18">
        <v>37.206299999999999</v>
      </c>
      <c r="N173" s="18">
        <v>80.085400000000007</v>
      </c>
      <c r="O173" s="18">
        <f t="shared" si="10"/>
        <v>31.482050000000001</v>
      </c>
      <c r="P173" s="7"/>
      <c r="Q173" s="10"/>
      <c r="R173" s="11"/>
      <c r="S173" s="11"/>
      <c r="T173" s="26"/>
      <c r="U173" s="28">
        <f t="shared" si="11"/>
        <v>2.527991189427313</v>
      </c>
    </row>
    <row r="174" spans="1:21" ht="16.5" thickBot="1" x14ac:dyDescent="0.3">
      <c r="B174" s="12"/>
      <c r="C174" s="19">
        <v>288.19</v>
      </c>
      <c r="D174" s="20">
        <v>28.535</v>
      </c>
      <c r="E174" s="20">
        <v>33.741</v>
      </c>
      <c r="F174" s="20">
        <v>35.265000000000001</v>
      </c>
      <c r="G174" s="20">
        <v>26.06</v>
      </c>
      <c r="H174" s="20">
        <f t="shared" si="9"/>
        <v>30.027000000000001</v>
      </c>
      <c r="I174" s="5"/>
      <c r="J174" s="19">
        <v>291.08960000000002</v>
      </c>
      <c r="K174" s="20">
        <v>28.183700000000002</v>
      </c>
      <c r="L174" s="20">
        <v>34.736899999999999</v>
      </c>
      <c r="M174" s="20">
        <v>36.320500000000003</v>
      </c>
      <c r="N174" s="20">
        <v>100.6374</v>
      </c>
      <c r="O174" s="20">
        <f t="shared" si="10"/>
        <v>30.019950000000001</v>
      </c>
      <c r="P174" s="7"/>
      <c r="Q174" s="13"/>
      <c r="R174" s="14"/>
      <c r="S174" s="14"/>
      <c r="T174" s="27"/>
      <c r="U174" s="28">
        <f t="shared" si="11"/>
        <v>2.8617574827321568</v>
      </c>
    </row>
    <row r="175" spans="1:21" x14ac:dyDescent="0.25">
      <c r="A175" s="6" t="s">
        <v>41</v>
      </c>
      <c r="B175" s="6" t="s">
        <v>57</v>
      </c>
      <c r="C175" s="15">
        <v>639.30999999999995</v>
      </c>
      <c r="D175" s="16">
        <v>35.581000000000003</v>
      </c>
      <c r="E175" s="16">
        <v>39.960999999999999</v>
      </c>
      <c r="F175" s="16">
        <v>38.683999999999997</v>
      </c>
      <c r="G175" s="16">
        <v>47.48</v>
      </c>
      <c r="H175" s="16">
        <f t="shared" si="9"/>
        <v>36.516374999999996</v>
      </c>
      <c r="I175" s="5"/>
      <c r="J175" s="15">
        <v>605.01440000000002</v>
      </c>
      <c r="K175" s="16">
        <v>35.324599999999997</v>
      </c>
      <c r="L175" s="16">
        <v>40.381399999999999</v>
      </c>
      <c r="M175" s="16">
        <v>38.834200000000003</v>
      </c>
      <c r="N175" s="16">
        <v>188.53700000000001</v>
      </c>
      <c r="O175" s="16">
        <f t="shared" si="10"/>
        <v>36.395399999999995</v>
      </c>
      <c r="P175" s="7"/>
      <c r="Q175" s="8">
        <f>bdrate(C175:C178,D175:D178,J175:J178,K175:K178)</f>
        <v>2.8673638824021852E-2</v>
      </c>
      <c r="R175" s="8">
        <f>bdrate(C175:C178,E175:E178,J175:J178,L175:L178)</f>
        <v>-0.27357443183073193</v>
      </c>
      <c r="S175" s="8">
        <f>bdrate(C175:C178,F175:F178,J175:J178,M175:M178)</f>
        <v>-0.21087421279180629</v>
      </c>
      <c r="T175" s="25">
        <f>bdrate(C175:C178,H175:H178,J175:J178,O175:O178)</f>
        <v>-3.0960498459740138E-2</v>
      </c>
      <c r="U175" s="28">
        <f t="shared" si="11"/>
        <v>2.9708719460825614</v>
      </c>
    </row>
    <row r="176" spans="1:21" x14ac:dyDescent="0.25">
      <c r="A176" s="9" t="s">
        <v>42</v>
      </c>
      <c r="B176" s="9"/>
      <c r="C176" s="17">
        <v>425.42</v>
      </c>
      <c r="D176" s="18">
        <v>33.732999999999997</v>
      </c>
      <c r="E176" s="18">
        <v>38.643999999999998</v>
      </c>
      <c r="F176" s="18">
        <v>37.18</v>
      </c>
      <c r="G176" s="18">
        <v>54.51</v>
      </c>
      <c r="H176" s="18">
        <f t="shared" si="9"/>
        <v>34.777749999999997</v>
      </c>
      <c r="I176" s="5"/>
      <c r="J176" s="17">
        <v>402.71120000000002</v>
      </c>
      <c r="K176" s="18">
        <v>33.444000000000003</v>
      </c>
      <c r="L176" s="18">
        <v>39.193199999999997</v>
      </c>
      <c r="M176" s="18">
        <v>37.528799999999997</v>
      </c>
      <c r="N176" s="18">
        <v>218.0549</v>
      </c>
      <c r="O176" s="18">
        <f t="shared" si="10"/>
        <v>34.673250000000003</v>
      </c>
      <c r="P176" s="7"/>
      <c r="Q176" s="10"/>
      <c r="R176" s="11"/>
      <c r="S176" s="11"/>
      <c r="T176" s="26"/>
      <c r="U176" s="28">
        <f t="shared" si="11"/>
        <v>3.0002733443404885</v>
      </c>
    </row>
    <row r="177" spans="1:21" x14ac:dyDescent="0.25">
      <c r="B177" s="9"/>
      <c r="C177" s="17">
        <v>265.11</v>
      </c>
      <c r="D177" s="18">
        <v>31.738</v>
      </c>
      <c r="E177" s="18">
        <v>37.279000000000003</v>
      </c>
      <c r="F177" s="18">
        <v>35.591999999999999</v>
      </c>
      <c r="G177" s="18">
        <v>63.97</v>
      </c>
      <c r="H177" s="18">
        <f t="shared" si="9"/>
        <v>32.912374999999997</v>
      </c>
      <c r="I177" s="5"/>
      <c r="J177" s="17">
        <v>250.54400000000001</v>
      </c>
      <c r="K177" s="18">
        <v>31.358000000000001</v>
      </c>
      <c r="L177" s="18">
        <v>38.032299999999999</v>
      </c>
      <c r="M177" s="18">
        <v>36.228200000000001</v>
      </c>
      <c r="N177" s="18">
        <v>260.55239999999998</v>
      </c>
      <c r="O177" s="18">
        <f t="shared" si="10"/>
        <v>32.8010625</v>
      </c>
      <c r="P177" s="7"/>
      <c r="Q177" s="10"/>
      <c r="R177" s="11"/>
      <c r="S177" s="11"/>
      <c r="T177" s="26"/>
      <c r="U177" s="28">
        <f t="shared" si="11"/>
        <v>3.0730404877286226</v>
      </c>
    </row>
    <row r="178" spans="1:21" ht="16.5" thickBot="1" x14ac:dyDescent="0.3">
      <c r="B178" s="12"/>
      <c r="C178" s="19">
        <v>126.82</v>
      </c>
      <c r="D178" s="20">
        <v>28.893999999999998</v>
      </c>
      <c r="E178" s="20">
        <v>35.302</v>
      </c>
      <c r="F178" s="20">
        <v>33.183</v>
      </c>
      <c r="G178" s="20">
        <v>84.12</v>
      </c>
      <c r="H178" s="20">
        <f t="shared" si="9"/>
        <v>30.231124999999995</v>
      </c>
      <c r="I178" s="5"/>
      <c r="J178" s="19">
        <v>119.4208</v>
      </c>
      <c r="K178" s="20">
        <v>28.444800000000001</v>
      </c>
      <c r="L178" s="20">
        <v>36.493400000000001</v>
      </c>
      <c r="M178" s="20">
        <v>34.3992</v>
      </c>
      <c r="N178" s="20">
        <v>360.23050000000001</v>
      </c>
      <c r="O178" s="20">
        <f t="shared" si="10"/>
        <v>30.195175000000003</v>
      </c>
      <c r="P178" s="7"/>
      <c r="Q178" s="13"/>
      <c r="R178" s="14"/>
      <c r="S178" s="14"/>
      <c r="T178" s="27"/>
      <c r="U178" s="28">
        <f t="shared" si="11"/>
        <v>3.282340703756538</v>
      </c>
    </row>
    <row r="179" spans="1:21" x14ac:dyDescent="0.25">
      <c r="B179" s="6" t="s">
        <v>58</v>
      </c>
      <c r="C179" s="15">
        <v>550.16</v>
      </c>
      <c r="D179" s="16">
        <v>33.33</v>
      </c>
      <c r="E179" s="16">
        <v>40.100999999999999</v>
      </c>
      <c r="F179" s="16">
        <v>40.908999999999999</v>
      </c>
      <c r="G179" s="16">
        <v>88.21</v>
      </c>
      <c r="H179" s="16">
        <f t="shared" si="9"/>
        <v>35.123750000000001</v>
      </c>
      <c r="I179" s="5"/>
      <c r="J179" s="15">
        <v>587.28560000000004</v>
      </c>
      <c r="K179" s="16">
        <v>34.207599999999999</v>
      </c>
      <c r="L179" s="16">
        <v>41.697600000000001</v>
      </c>
      <c r="M179" s="16">
        <v>42.603900000000003</v>
      </c>
      <c r="N179" s="16">
        <v>284.76510000000002</v>
      </c>
      <c r="O179" s="16">
        <f t="shared" si="10"/>
        <v>36.1933875</v>
      </c>
      <c r="P179" s="7"/>
      <c r="Q179" s="8">
        <f>bdrate(C179:C182,D179:D182,J179:J182,K179:K182)</f>
        <v>-0.1771132655507508</v>
      </c>
      <c r="R179" s="8">
        <f>bdrate(C179:C182,E179:E182,J179:J182,L179:L182)</f>
        <v>-0.40591594483341797</v>
      </c>
      <c r="S179" s="8">
        <f>bdrate(C179:C182,F179:F182,J179:J182,M179:M182)</f>
        <v>-0.38845280567806562</v>
      </c>
      <c r="T179" s="25">
        <f>bdrate(C179:C182,H179:H182,J179:J182,O179:O182)</f>
        <v>-0.21476127338257922</v>
      </c>
      <c r="U179" s="28">
        <f t="shared" si="11"/>
        <v>2.2282632354608327</v>
      </c>
    </row>
    <row r="180" spans="1:21" x14ac:dyDescent="0.25">
      <c r="B180" s="9"/>
      <c r="C180" s="17">
        <v>362.39</v>
      </c>
      <c r="D180" s="18">
        <v>31.954999999999998</v>
      </c>
      <c r="E180" s="18">
        <v>39.384</v>
      </c>
      <c r="F180" s="18">
        <v>40.237000000000002</v>
      </c>
      <c r="G180" s="18">
        <v>100.69</v>
      </c>
      <c r="H180" s="18">
        <f t="shared" si="9"/>
        <v>33.918875</v>
      </c>
      <c r="I180" s="5"/>
      <c r="J180" s="17">
        <v>394.85599999999999</v>
      </c>
      <c r="K180" s="18">
        <v>32.886899999999997</v>
      </c>
      <c r="L180" s="18">
        <v>40.748600000000003</v>
      </c>
      <c r="M180" s="18">
        <v>41.609200000000001</v>
      </c>
      <c r="N180" s="18">
        <v>326.08699999999999</v>
      </c>
      <c r="O180" s="18">
        <f t="shared" si="10"/>
        <v>34.959899999999998</v>
      </c>
      <c r="P180" s="7"/>
      <c r="Q180" s="10"/>
      <c r="R180" s="11"/>
      <c r="S180" s="11"/>
      <c r="T180" s="26"/>
      <c r="U180" s="28">
        <f t="shared" si="11"/>
        <v>2.2385241831363589</v>
      </c>
    </row>
    <row r="181" spans="1:21" x14ac:dyDescent="0.25">
      <c r="B181" s="9"/>
      <c r="C181" s="17">
        <v>224.72</v>
      </c>
      <c r="D181" s="18">
        <v>30.367999999999999</v>
      </c>
      <c r="E181" s="18">
        <v>38.712000000000003</v>
      </c>
      <c r="F181" s="18">
        <v>39.442</v>
      </c>
      <c r="G181" s="18">
        <v>114.46</v>
      </c>
      <c r="H181" s="18">
        <f t="shared" si="9"/>
        <v>32.545250000000003</v>
      </c>
      <c r="I181" s="5"/>
      <c r="J181" s="17">
        <v>244.2336</v>
      </c>
      <c r="K181" s="18">
        <v>31.2973</v>
      </c>
      <c r="L181" s="18">
        <v>39.620600000000003</v>
      </c>
      <c r="M181" s="18">
        <v>40.369199999999999</v>
      </c>
      <c r="N181" s="18">
        <v>418.11849999999998</v>
      </c>
      <c r="O181" s="18">
        <f t="shared" si="10"/>
        <v>33.471699999999998</v>
      </c>
      <c r="P181" s="7"/>
      <c r="Q181" s="10"/>
      <c r="R181" s="11"/>
      <c r="S181" s="11"/>
      <c r="T181" s="26"/>
      <c r="U181" s="28">
        <f t="shared" si="11"/>
        <v>2.6529661016949153</v>
      </c>
    </row>
    <row r="182" spans="1:21" ht="16.5" thickBot="1" x14ac:dyDescent="0.3">
      <c r="B182" s="12"/>
      <c r="C182" s="19">
        <v>102.88</v>
      </c>
      <c r="D182" s="20">
        <v>27.536000000000001</v>
      </c>
      <c r="E182" s="20">
        <v>37.604999999999997</v>
      </c>
      <c r="F182" s="20">
        <v>38.229999999999997</v>
      </c>
      <c r="G182" s="20">
        <v>141.41</v>
      </c>
      <c r="H182" s="20">
        <f t="shared" si="9"/>
        <v>30.131374999999998</v>
      </c>
      <c r="I182" s="5"/>
      <c r="J182" s="19">
        <v>117.2248</v>
      </c>
      <c r="K182" s="20">
        <v>28.772400000000001</v>
      </c>
      <c r="L182" s="20">
        <v>38.478099999999998</v>
      </c>
      <c r="M182" s="20">
        <v>39.244</v>
      </c>
      <c r="N182" s="20">
        <v>574.16269999999997</v>
      </c>
      <c r="O182" s="20">
        <f t="shared" si="10"/>
        <v>31.294562500000001</v>
      </c>
      <c r="P182" s="7"/>
      <c r="Q182" s="13"/>
      <c r="R182" s="14"/>
      <c r="S182" s="14"/>
      <c r="T182" s="27"/>
      <c r="U182" s="28">
        <f t="shared" si="11"/>
        <v>3.0602694293190016</v>
      </c>
    </row>
    <row r="183" spans="1:21" x14ac:dyDescent="0.25">
      <c r="B183" s="6" t="s">
        <v>59</v>
      </c>
      <c r="C183" s="29">
        <v>626.6</v>
      </c>
      <c r="D183" s="30">
        <v>33.552999999999997</v>
      </c>
      <c r="E183" s="30">
        <v>37.640999999999998</v>
      </c>
      <c r="F183" s="30">
        <v>38.188000000000002</v>
      </c>
      <c r="G183" s="16">
        <v>63.47</v>
      </c>
      <c r="H183" s="16">
        <f t="shared" si="9"/>
        <v>34.643374999999999</v>
      </c>
      <c r="I183" s="5"/>
      <c r="J183" s="29">
        <v>588.44399999999996</v>
      </c>
      <c r="K183" s="30">
        <v>33.591099999999997</v>
      </c>
      <c r="L183" s="30">
        <v>38.3812</v>
      </c>
      <c r="M183" s="30">
        <v>39.173000000000002</v>
      </c>
      <c r="N183" s="16">
        <v>256.41030000000001</v>
      </c>
      <c r="O183" s="16">
        <f t="shared" si="10"/>
        <v>34.887599999999999</v>
      </c>
      <c r="P183" s="7"/>
      <c r="Q183" s="8">
        <f>bdrate(C183:C186,D183:D186,J183:J186,K183:K186)</f>
        <v>-9.9909996456728489E-2</v>
      </c>
      <c r="R183" s="8">
        <f>bdrate(C183:C186,E183:E186,J183:J186,L183:L186)</f>
        <v>-0.3178537295984829</v>
      </c>
      <c r="S183" s="8">
        <f>bdrate(C183:C186,F183:F186,J183:J186,M183:M186)</f>
        <v>-0.3725127239087368</v>
      </c>
      <c r="T183" s="25">
        <f>bdrate(C183:C186,H183:H186,J183:J186,O183:O186)</f>
        <v>-0.15000361456258371</v>
      </c>
      <c r="U183" s="28">
        <f t="shared" si="11"/>
        <v>3.039866078462266</v>
      </c>
    </row>
    <row r="184" spans="1:21" x14ac:dyDescent="0.25">
      <c r="B184" s="9"/>
      <c r="C184" s="31">
        <v>417.31</v>
      </c>
      <c r="D184" s="32">
        <v>31.911999999999999</v>
      </c>
      <c r="E184" s="32">
        <v>36.542999999999999</v>
      </c>
      <c r="F184" s="32">
        <v>37.043999999999997</v>
      </c>
      <c r="G184" s="18">
        <v>77.23</v>
      </c>
      <c r="H184" s="18">
        <f t="shared" si="9"/>
        <v>33.132374999999996</v>
      </c>
      <c r="I184" s="5"/>
      <c r="J184" s="31">
        <v>391.87920000000003</v>
      </c>
      <c r="K184" s="32">
        <v>32.054400000000001</v>
      </c>
      <c r="L184" s="32">
        <v>37.205199999999998</v>
      </c>
      <c r="M184" s="32">
        <v>37.9619</v>
      </c>
      <c r="N184" s="18">
        <v>294.11759999999998</v>
      </c>
      <c r="O184" s="18">
        <f t="shared" si="10"/>
        <v>33.436687499999998</v>
      </c>
      <c r="P184" s="7"/>
      <c r="Q184" s="10"/>
      <c r="R184" s="11"/>
      <c r="S184" s="11"/>
      <c r="T184" s="26"/>
      <c r="U184" s="28">
        <f t="shared" si="11"/>
        <v>2.808333549138935</v>
      </c>
    </row>
    <row r="185" spans="1:21" x14ac:dyDescent="0.25">
      <c r="B185" s="9"/>
      <c r="C185" s="31">
        <v>260.05</v>
      </c>
      <c r="D185" s="32">
        <v>30.146000000000001</v>
      </c>
      <c r="E185" s="32">
        <v>35.423999999999999</v>
      </c>
      <c r="F185" s="32">
        <v>35.941000000000003</v>
      </c>
      <c r="G185" s="18">
        <v>89.78</v>
      </c>
      <c r="H185" s="18">
        <f t="shared" si="9"/>
        <v>31.530125000000002</v>
      </c>
      <c r="I185" s="5"/>
      <c r="J185" s="31">
        <v>245.41040000000001</v>
      </c>
      <c r="K185" s="32">
        <v>30.3063</v>
      </c>
      <c r="L185" s="32">
        <v>36.188800000000001</v>
      </c>
      <c r="M185" s="32">
        <v>36.8748</v>
      </c>
      <c r="N185" s="18">
        <v>348.43209999999999</v>
      </c>
      <c r="O185" s="18">
        <f t="shared" si="10"/>
        <v>31.862675000000003</v>
      </c>
      <c r="P185" s="7"/>
      <c r="Q185" s="10"/>
      <c r="R185" s="11"/>
      <c r="S185" s="11"/>
      <c r="T185" s="26"/>
      <c r="U185" s="28">
        <f t="shared" si="11"/>
        <v>2.8809545555803076</v>
      </c>
    </row>
    <row r="186" spans="1:21" ht="16.5" thickBot="1" x14ac:dyDescent="0.3">
      <c r="B186" s="12"/>
      <c r="C186" s="33">
        <v>121.92</v>
      </c>
      <c r="D186" s="34">
        <v>27.527000000000001</v>
      </c>
      <c r="E186" s="34">
        <v>33.683</v>
      </c>
      <c r="F186" s="34">
        <v>34.146000000000001</v>
      </c>
      <c r="G186" s="20">
        <v>114.05</v>
      </c>
      <c r="H186" s="20">
        <f t="shared" si="9"/>
        <v>29.123874999999998</v>
      </c>
      <c r="I186" s="5"/>
      <c r="J186" s="33">
        <v>119.1512</v>
      </c>
      <c r="K186" s="34">
        <v>27.929200000000002</v>
      </c>
      <c r="L186" s="34">
        <v>34.719799999999999</v>
      </c>
      <c r="M186" s="34">
        <v>35.4544</v>
      </c>
      <c r="N186" s="20">
        <v>471.25349999999997</v>
      </c>
      <c r="O186" s="20">
        <f t="shared" si="10"/>
        <v>29.718674999999998</v>
      </c>
      <c r="P186" s="7"/>
      <c r="Q186" s="13"/>
      <c r="R186" s="14"/>
      <c r="S186" s="14"/>
      <c r="T186" s="27"/>
      <c r="U186" s="28">
        <f t="shared" si="11"/>
        <v>3.1319903551074089</v>
      </c>
    </row>
    <row r="187" spans="1:21" x14ac:dyDescent="0.25">
      <c r="B187" s="6" t="s">
        <v>60</v>
      </c>
      <c r="C187" s="15">
        <v>574.15</v>
      </c>
      <c r="D187" s="16">
        <v>35.055</v>
      </c>
      <c r="E187" s="16">
        <v>38.08</v>
      </c>
      <c r="F187" s="16">
        <v>39.304000000000002</v>
      </c>
      <c r="G187" s="16">
        <v>39.49</v>
      </c>
      <c r="H187" s="16">
        <f t="shared" si="9"/>
        <v>35.964249999999993</v>
      </c>
      <c r="I187" s="5"/>
      <c r="J187" s="15">
        <v>593.54960000000005</v>
      </c>
      <c r="K187" s="16">
        <v>34.8078</v>
      </c>
      <c r="L187" s="16">
        <v>38.285499999999999</v>
      </c>
      <c r="M187" s="16">
        <v>39.3782</v>
      </c>
      <c r="N187" s="16">
        <v>134.46879999999999</v>
      </c>
      <c r="O187" s="16">
        <f t="shared" si="10"/>
        <v>35.813812499999997</v>
      </c>
      <c r="P187" s="7"/>
      <c r="Q187" s="8">
        <f>bdrate(C187:C190,D187:D190,J187:J190,K187:K190)</f>
        <v>0.10067878558981236</v>
      </c>
      <c r="R187" s="8">
        <f>bdrate(C187:C190,E187:E190,J187:J190,L187:L190)</f>
        <v>-0.13102181059679618</v>
      </c>
      <c r="S187" s="8">
        <f>bdrate(C187:C190,F187:F190,J187:J190,M187:M190)</f>
        <v>-0.11462264494211982</v>
      </c>
      <c r="T187" s="25">
        <f>bdrate(C187:C190,H187:H190,J187:J190,O187:O190)</f>
        <v>5.1690231263467723E-2</v>
      </c>
      <c r="U187" s="28">
        <f t="shared" si="11"/>
        <v>2.4051354773360338</v>
      </c>
    </row>
    <row r="188" spans="1:21" x14ac:dyDescent="0.25">
      <c r="B188" s="9"/>
      <c r="C188" s="17">
        <v>385.4</v>
      </c>
      <c r="D188" s="18">
        <v>33.159999999999997</v>
      </c>
      <c r="E188" s="18">
        <v>36.825000000000003</v>
      </c>
      <c r="F188" s="18">
        <v>38</v>
      </c>
      <c r="G188" s="18">
        <v>45.35</v>
      </c>
      <c r="H188" s="18">
        <f t="shared" si="9"/>
        <v>34.223124999999996</v>
      </c>
      <c r="I188" s="5"/>
      <c r="J188" s="17">
        <v>394.4504</v>
      </c>
      <c r="K188" s="18">
        <v>32.853900000000003</v>
      </c>
      <c r="L188" s="18">
        <v>37.11</v>
      </c>
      <c r="M188" s="18">
        <v>38.205800000000004</v>
      </c>
      <c r="N188" s="18">
        <v>160.25640000000001</v>
      </c>
      <c r="O188" s="18">
        <f t="shared" si="10"/>
        <v>34.054900000000004</v>
      </c>
      <c r="P188" s="7"/>
      <c r="Q188" s="10"/>
      <c r="R188" s="11"/>
      <c r="S188" s="11"/>
      <c r="T188" s="26"/>
      <c r="U188" s="28">
        <f t="shared" si="11"/>
        <v>2.5337684674751935</v>
      </c>
    </row>
    <row r="189" spans="1:21" x14ac:dyDescent="0.25">
      <c r="B189" s="9"/>
      <c r="C189" s="17">
        <v>242.23</v>
      </c>
      <c r="D189" s="18">
        <v>31.204999999999998</v>
      </c>
      <c r="E189" s="18">
        <v>35.448999999999998</v>
      </c>
      <c r="F189" s="18">
        <v>36.546999999999997</v>
      </c>
      <c r="G189" s="18">
        <v>53.27</v>
      </c>
      <c r="H189" s="18">
        <f t="shared" si="9"/>
        <v>32.40325</v>
      </c>
      <c r="I189" s="5"/>
      <c r="J189" s="17">
        <v>243.0608</v>
      </c>
      <c r="K189" s="18">
        <v>30.8291</v>
      </c>
      <c r="L189" s="18">
        <v>35.859900000000003</v>
      </c>
      <c r="M189" s="18">
        <v>36.961300000000001</v>
      </c>
      <c r="N189" s="18">
        <v>192.30770000000001</v>
      </c>
      <c r="O189" s="18">
        <f t="shared" si="10"/>
        <v>32.224475000000005</v>
      </c>
      <c r="P189" s="7"/>
      <c r="Q189" s="10"/>
      <c r="R189" s="11"/>
      <c r="S189" s="11"/>
      <c r="T189" s="26"/>
      <c r="U189" s="28">
        <f t="shared" si="11"/>
        <v>2.6100563168762902</v>
      </c>
    </row>
    <row r="190" spans="1:21" ht="16.5" thickBot="1" x14ac:dyDescent="0.3">
      <c r="B190" s="12"/>
      <c r="C190" s="19">
        <v>116.11</v>
      </c>
      <c r="D190" s="20">
        <v>28.535</v>
      </c>
      <c r="E190" s="20">
        <v>33.472999999999999</v>
      </c>
      <c r="F190" s="20">
        <v>34.456000000000003</v>
      </c>
      <c r="G190" s="20">
        <v>70.180000000000007</v>
      </c>
      <c r="H190" s="20">
        <f t="shared" si="9"/>
        <v>29.892375000000001</v>
      </c>
      <c r="I190" s="5"/>
      <c r="J190" s="19">
        <v>117.3112</v>
      </c>
      <c r="K190" s="20">
        <v>28.218</v>
      </c>
      <c r="L190" s="20">
        <v>34.476799999999997</v>
      </c>
      <c r="M190" s="20">
        <v>35.493200000000002</v>
      </c>
      <c r="N190" s="20">
        <v>274.7253</v>
      </c>
      <c r="O190" s="20">
        <f t="shared" si="10"/>
        <v>29.909749999999999</v>
      </c>
      <c r="P190" s="7"/>
      <c r="Q190" s="13"/>
      <c r="R190" s="14"/>
      <c r="S190" s="14"/>
      <c r="T190" s="27"/>
      <c r="U190" s="28">
        <f t="shared" si="11"/>
        <v>2.9145810772299798</v>
      </c>
    </row>
    <row r="191" spans="1:21" x14ac:dyDescent="0.25">
      <c r="A191" s="6" t="s">
        <v>43</v>
      </c>
      <c r="B191" s="6" t="s">
        <v>61</v>
      </c>
      <c r="C191" s="15">
        <v>1380.32</v>
      </c>
      <c r="D191" s="16">
        <v>41.27</v>
      </c>
      <c r="E191" s="16">
        <v>45.247999999999998</v>
      </c>
      <c r="F191" s="16">
        <v>46.566000000000003</v>
      </c>
      <c r="G191" s="16">
        <v>21.34</v>
      </c>
      <c r="H191" s="16">
        <f t="shared" si="9"/>
        <v>42.429249999999996</v>
      </c>
      <c r="I191" s="5"/>
      <c r="J191" s="15">
        <v>1443.1368</v>
      </c>
      <c r="K191" s="16">
        <v>41.834600000000002</v>
      </c>
      <c r="L191" s="16">
        <v>46.125</v>
      </c>
      <c r="M191" s="16">
        <v>47.3399</v>
      </c>
      <c r="N191" s="16">
        <v>64.205500000000001</v>
      </c>
      <c r="O191" s="16">
        <f t="shared" si="10"/>
        <v>43.059062500000003</v>
      </c>
      <c r="P191" s="7"/>
      <c r="Q191" s="8">
        <f>bdrate(C191:C194,D191:D194,J191:J194,K191:K194)</f>
        <v>-0.10815954111772508</v>
      </c>
      <c r="R191" s="8">
        <f>bdrate(C191:C194,E191:E194,J191:J194,L191:L194)</f>
        <v>-0.28683190037823125</v>
      </c>
      <c r="S191" s="8">
        <f>bdrate(C191:C194,F191:F194,J191:J194,M191:M194)</f>
        <v>-0.23006575576777044</v>
      </c>
      <c r="T191" s="25">
        <f>bdrate(C191:C194,H191:H194,J191:J194,O191:O194)</f>
        <v>-0.14026598664577516</v>
      </c>
      <c r="U191" s="28">
        <f t="shared" si="11"/>
        <v>2.0086925960637299</v>
      </c>
    </row>
    <row r="192" spans="1:21" x14ac:dyDescent="0.25">
      <c r="A192" s="9" t="s">
        <v>44</v>
      </c>
      <c r="B192" s="9"/>
      <c r="C192" s="17">
        <v>909.78</v>
      </c>
      <c r="D192" s="18">
        <v>40.113999999999997</v>
      </c>
      <c r="E192" s="18">
        <v>44.188000000000002</v>
      </c>
      <c r="F192" s="18">
        <v>45.566000000000003</v>
      </c>
      <c r="G192" s="18">
        <v>23.48</v>
      </c>
      <c r="H192" s="18">
        <f t="shared" si="9"/>
        <v>41.304749999999999</v>
      </c>
      <c r="I192" s="5"/>
      <c r="J192" s="17">
        <v>960.55920000000003</v>
      </c>
      <c r="K192" s="18">
        <v>40.8307</v>
      </c>
      <c r="L192" s="18">
        <v>45.203699999999998</v>
      </c>
      <c r="M192" s="18">
        <v>46.345700000000001</v>
      </c>
      <c r="N192" s="18">
        <v>77.700100000000006</v>
      </c>
      <c r="O192" s="18">
        <f t="shared" si="10"/>
        <v>42.066700000000004</v>
      </c>
      <c r="P192" s="7"/>
      <c r="Q192" s="10"/>
      <c r="R192" s="11"/>
      <c r="S192" s="11"/>
      <c r="T192" s="26"/>
      <c r="U192" s="28">
        <f t="shared" si="11"/>
        <v>2.3092035775127768</v>
      </c>
    </row>
    <row r="193" spans="1:21" x14ac:dyDescent="0.25">
      <c r="B193" s="9"/>
      <c r="C193" s="17">
        <v>539.95000000000005</v>
      </c>
      <c r="D193" s="18">
        <v>38.353999999999999</v>
      </c>
      <c r="E193" s="18">
        <v>42.762999999999998</v>
      </c>
      <c r="F193" s="18">
        <v>44.076999999999998</v>
      </c>
      <c r="G193" s="18">
        <v>26.24</v>
      </c>
      <c r="H193" s="18">
        <f t="shared" si="9"/>
        <v>39.6205</v>
      </c>
      <c r="I193" s="5"/>
      <c r="J193" s="17">
        <v>565.14959999999996</v>
      </c>
      <c r="K193" s="18">
        <v>39.044800000000002</v>
      </c>
      <c r="L193" s="18">
        <v>43.845300000000002</v>
      </c>
      <c r="M193" s="18">
        <v>44.964100000000002</v>
      </c>
      <c r="N193" s="18">
        <v>99.552000000000007</v>
      </c>
      <c r="O193" s="18">
        <f t="shared" si="10"/>
        <v>40.384775000000005</v>
      </c>
      <c r="P193" s="7"/>
      <c r="Q193" s="10"/>
      <c r="R193" s="11"/>
      <c r="S193" s="11"/>
      <c r="T193" s="26"/>
      <c r="U193" s="28">
        <f t="shared" si="11"/>
        <v>2.7939024390243907</v>
      </c>
    </row>
    <row r="194" spans="1:21" ht="16.5" thickBot="1" x14ac:dyDescent="0.3">
      <c r="B194" s="12"/>
      <c r="C194" s="19">
        <v>259.69</v>
      </c>
      <c r="D194" s="20">
        <v>35.83</v>
      </c>
      <c r="E194" s="20">
        <v>41.308999999999997</v>
      </c>
      <c r="F194" s="20">
        <v>42.386000000000003</v>
      </c>
      <c r="G194" s="20">
        <v>29.52</v>
      </c>
      <c r="H194" s="20">
        <f t="shared" si="9"/>
        <v>37.334375000000001</v>
      </c>
      <c r="I194" s="5"/>
      <c r="J194" s="19">
        <v>280.45519999999999</v>
      </c>
      <c r="K194" s="20">
        <v>35.893500000000003</v>
      </c>
      <c r="L194" s="20">
        <v>41.872100000000003</v>
      </c>
      <c r="M194" s="20">
        <v>43.024900000000002</v>
      </c>
      <c r="N194" s="20">
        <v>136.36359999999999</v>
      </c>
      <c r="O194" s="20">
        <f t="shared" si="10"/>
        <v>37.532250000000005</v>
      </c>
      <c r="P194" s="7"/>
      <c r="Q194" s="13"/>
      <c r="R194" s="14"/>
      <c r="S194" s="14"/>
      <c r="T194" s="27"/>
      <c r="U194" s="28">
        <f t="shared" si="11"/>
        <v>3.6193631436314364</v>
      </c>
    </row>
    <row r="195" spans="1:21" x14ac:dyDescent="0.25">
      <c r="B195" s="6" t="s">
        <v>62</v>
      </c>
      <c r="C195" s="15">
        <v>1423.96</v>
      </c>
      <c r="D195" s="16">
        <v>42.656999999999996</v>
      </c>
      <c r="E195" s="16">
        <v>47.472999999999999</v>
      </c>
      <c r="F195" s="16">
        <v>48.140999999999998</v>
      </c>
      <c r="G195" s="16">
        <v>20.98</v>
      </c>
      <c r="H195" s="16">
        <f t="shared" si="9"/>
        <v>43.944499999999998</v>
      </c>
      <c r="I195" s="5"/>
      <c r="J195" s="15">
        <v>1463.9992</v>
      </c>
      <c r="K195" s="16">
        <v>42.856900000000003</v>
      </c>
      <c r="L195" s="16">
        <v>48.127800000000001</v>
      </c>
      <c r="M195" s="16">
        <v>48.784799999999997</v>
      </c>
      <c r="N195" s="16">
        <v>81.311800000000005</v>
      </c>
      <c r="O195" s="16">
        <f t="shared" si="10"/>
        <v>44.256750000000004</v>
      </c>
      <c r="P195" s="7"/>
      <c r="Q195" s="8">
        <f>bdrate(C195:C198,D195:D198,J195:J198,K195:K198)</f>
        <v>-0.1256982824538232</v>
      </c>
      <c r="R195" s="8">
        <f>bdrate(C195:C198,E195:E198,J195:J198,L195:L198)</f>
        <v>-0.35815004511236503</v>
      </c>
      <c r="S195" s="8">
        <f>bdrate(C195:C198,F195:F198,J195:J198,M195:M198)</f>
        <v>-0.32327304262757328</v>
      </c>
      <c r="T195" s="25">
        <f>bdrate(C195:C198,H195:H198,J195:J198,O195:O198)</f>
        <v>-0.1875436174551024</v>
      </c>
      <c r="U195" s="28">
        <f t="shared" ref="U195:U213" si="12">(N195-G195)/G195</f>
        <v>2.8756816015252622</v>
      </c>
    </row>
    <row r="196" spans="1:21" x14ac:dyDescent="0.25">
      <c r="B196" s="9"/>
      <c r="C196" s="17">
        <v>938.48</v>
      </c>
      <c r="D196" s="18">
        <v>42.158000000000001</v>
      </c>
      <c r="E196" s="18">
        <v>46.914999999999999</v>
      </c>
      <c r="F196" s="18">
        <v>47.543999999999997</v>
      </c>
      <c r="G196" s="18">
        <v>23.34</v>
      </c>
      <c r="H196" s="18">
        <f t="shared" si="9"/>
        <v>43.425874999999998</v>
      </c>
      <c r="I196" s="5"/>
      <c r="J196" s="17">
        <v>971.5616</v>
      </c>
      <c r="K196" s="18">
        <v>42.42</v>
      </c>
      <c r="L196" s="18">
        <v>47.702300000000001</v>
      </c>
      <c r="M196" s="18">
        <v>48.351799999999997</v>
      </c>
      <c r="N196" s="18">
        <v>99.883499999999998</v>
      </c>
      <c r="O196" s="18">
        <f t="shared" si="10"/>
        <v>43.821762500000006</v>
      </c>
      <c r="P196" s="7"/>
      <c r="Q196" s="10"/>
      <c r="R196" s="11"/>
      <c r="S196" s="11"/>
      <c r="T196" s="26"/>
      <c r="U196" s="28">
        <f t="shared" si="12"/>
        <v>3.2794987146529562</v>
      </c>
    </row>
    <row r="197" spans="1:21" x14ac:dyDescent="0.25">
      <c r="B197" s="9"/>
      <c r="C197" s="17">
        <v>552.52</v>
      </c>
      <c r="D197" s="18">
        <v>41.316000000000003</v>
      </c>
      <c r="E197" s="18">
        <v>45.926000000000002</v>
      </c>
      <c r="F197" s="18">
        <v>46.654000000000003</v>
      </c>
      <c r="G197" s="18">
        <v>26.22</v>
      </c>
      <c r="H197" s="18">
        <f t="shared" si="9"/>
        <v>42.5595</v>
      </c>
      <c r="I197" s="5"/>
      <c r="J197" s="17">
        <v>570.20320000000004</v>
      </c>
      <c r="K197" s="18">
        <v>41.630899999999997</v>
      </c>
      <c r="L197" s="18">
        <v>46.869700000000002</v>
      </c>
      <c r="M197" s="18">
        <v>47.451300000000003</v>
      </c>
      <c r="N197" s="18">
        <v>128.20509999999999</v>
      </c>
      <c r="O197" s="18">
        <f t="shared" si="10"/>
        <v>43.013300000000001</v>
      </c>
      <c r="P197" s="7"/>
      <c r="Q197" s="10"/>
      <c r="R197" s="11"/>
      <c r="S197" s="11"/>
      <c r="T197" s="26"/>
      <c r="U197" s="28">
        <f t="shared" si="12"/>
        <v>3.889591914569031</v>
      </c>
    </row>
    <row r="198" spans="1:21" ht="16.5" thickBot="1" x14ac:dyDescent="0.3">
      <c r="B198" s="12"/>
      <c r="C198" s="19">
        <v>264.39999999999998</v>
      </c>
      <c r="D198" s="20">
        <v>39.585000000000001</v>
      </c>
      <c r="E198" s="20">
        <v>44.347999999999999</v>
      </c>
      <c r="F198" s="20">
        <v>44.984999999999999</v>
      </c>
      <c r="G198" s="20">
        <v>28.96</v>
      </c>
      <c r="H198" s="20">
        <f t="shared" si="9"/>
        <v>40.855375000000002</v>
      </c>
      <c r="I198" s="5"/>
      <c r="J198" s="19">
        <v>276.36320000000001</v>
      </c>
      <c r="K198" s="20">
        <v>39.929600000000001</v>
      </c>
      <c r="L198" s="20">
        <v>45.190800000000003</v>
      </c>
      <c r="M198" s="20">
        <v>45.782699999999998</v>
      </c>
      <c r="N198" s="20">
        <v>174.06440000000001</v>
      </c>
      <c r="O198" s="20">
        <f t="shared" si="10"/>
        <v>41.318887500000002</v>
      </c>
      <c r="P198" s="7"/>
      <c r="Q198" s="13"/>
      <c r="R198" s="14"/>
      <c r="S198" s="14"/>
      <c r="T198" s="27"/>
      <c r="U198" s="28">
        <f t="shared" si="12"/>
        <v>5.0105110497237568</v>
      </c>
    </row>
    <row r="199" spans="1:21" x14ac:dyDescent="0.25">
      <c r="B199" s="6" t="s">
        <v>63</v>
      </c>
      <c r="C199" s="15">
        <v>1484.05</v>
      </c>
      <c r="D199" s="16">
        <v>42.524000000000001</v>
      </c>
      <c r="E199" s="16">
        <v>46.658999999999999</v>
      </c>
      <c r="F199" s="16">
        <v>47.61</v>
      </c>
      <c r="G199" s="16">
        <v>18.940000000000001</v>
      </c>
      <c r="H199" s="16">
        <f t="shared" si="9"/>
        <v>43.676625000000001</v>
      </c>
      <c r="I199" s="5"/>
      <c r="J199" s="15">
        <v>1488.3463999999999</v>
      </c>
      <c r="K199" s="16">
        <v>42.766800000000003</v>
      </c>
      <c r="L199" s="16">
        <v>47.229500000000002</v>
      </c>
      <c r="M199" s="16">
        <v>48.080800000000004</v>
      </c>
      <c r="N199" s="16">
        <v>67.712400000000002</v>
      </c>
      <c r="O199" s="16">
        <f t="shared" si="10"/>
        <v>43.988887500000011</v>
      </c>
      <c r="P199" s="7"/>
      <c r="Q199" s="8">
        <f>bdrate(C199:C202,D199:D202,J199:J202,K199:K202)</f>
        <v>-8.687773813487798E-2</v>
      </c>
      <c r="R199" s="8">
        <f>bdrate(C199:C202,E199:E202,J199:J202,L199:L202)</f>
        <v>-0.26494821913190569</v>
      </c>
      <c r="S199" s="8">
        <f>bdrate(C199:C202,F199:F202,J199:J202,M199:M202)</f>
        <v>-0.20623374422504837</v>
      </c>
      <c r="T199" s="25">
        <f>bdrate(C199:C202,H199:H202,J199:J202,O199:O202)</f>
        <v>-0.12337582590486562</v>
      </c>
      <c r="U199" s="28">
        <f t="shared" si="12"/>
        <v>2.5751003167898627</v>
      </c>
    </row>
    <row r="200" spans="1:21" x14ac:dyDescent="0.25">
      <c r="B200" s="9"/>
      <c r="C200" s="17">
        <v>985.9</v>
      </c>
      <c r="D200" s="18">
        <v>41.756999999999998</v>
      </c>
      <c r="E200" s="18">
        <v>45.823999999999998</v>
      </c>
      <c r="F200" s="18">
        <v>46.783000000000001</v>
      </c>
      <c r="G200" s="18">
        <v>21.05</v>
      </c>
      <c r="H200" s="18">
        <f t="shared" si="9"/>
        <v>42.893625</v>
      </c>
      <c r="I200" s="5"/>
      <c r="J200" s="17">
        <v>997.43759999999997</v>
      </c>
      <c r="K200" s="18">
        <v>42.049700000000001</v>
      </c>
      <c r="L200" s="18">
        <v>46.5809</v>
      </c>
      <c r="M200" s="18">
        <v>47.431600000000003</v>
      </c>
      <c r="N200" s="18">
        <v>84.865600000000001</v>
      </c>
      <c r="O200" s="18">
        <f t="shared" si="10"/>
        <v>43.2888375</v>
      </c>
      <c r="P200" s="7"/>
      <c r="Q200" s="10"/>
      <c r="R200" s="11"/>
      <c r="S200" s="11"/>
      <c r="T200" s="26"/>
      <c r="U200" s="28">
        <f t="shared" si="12"/>
        <v>3.0316199524940619</v>
      </c>
    </row>
    <row r="201" spans="1:21" x14ac:dyDescent="0.25">
      <c r="B201" s="9"/>
      <c r="C201" s="17">
        <v>587.4</v>
      </c>
      <c r="D201" s="18">
        <v>40.445</v>
      </c>
      <c r="E201" s="18">
        <v>44.582000000000001</v>
      </c>
      <c r="F201" s="18">
        <v>45.563000000000002</v>
      </c>
      <c r="G201" s="18">
        <v>23.35</v>
      </c>
      <c r="H201" s="18">
        <f t="shared" si="9"/>
        <v>41.601875</v>
      </c>
      <c r="I201" s="5"/>
      <c r="J201" s="17">
        <v>584.75120000000004</v>
      </c>
      <c r="K201" s="18">
        <v>40.750300000000003</v>
      </c>
      <c r="L201" s="18">
        <v>45.338900000000002</v>
      </c>
      <c r="M201" s="18">
        <v>46.149099999999997</v>
      </c>
      <c r="N201" s="18">
        <v>109.8901</v>
      </c>
      <c r="O201" s="18">
        <f t="shared" si="10"/>
        <v>41.998725</v>
      </c>
      <c r="P201" s="7"/>
      <c r="Q201" s="10"/>
      <c r="R201" s="11"/>
      <c r="S201" s="11"/>
      <c r="T201" s="26"/>
      <c r="U201" s="28">
        <f t="shared" si="12"/>
        <v>3.7062141327623124</v>
      </c>
    </row>
    <row r="202" spans="1:21" ht="16.5" thickBot="1" x14ac:dyDescent="0.3">
      <c r="B202" s="12"/>
      <c r="C202" s="19">
        <v>285.14999999999998</v>
      </c>
      <c r="D202" s="20">
        <v>38.232999999999997</v>
      </c>
      <c r="E202" s="20">
        <v>42.710999999999999</v>
      </c>
      <c r="F202" s="20">
        <v>43.759</v>
      </c>
      <c r="G202" s="20">
        <v>26.53</v>
      </c>
      <c r="H202" s="20">
        <f t="shared" si="9"/>
        <v>39.483499999999999</v>
      </c>
      <c r="I202" s="5"/>
      <c r="J202" s="19">
        <v>288.6728</v>
      </c>
      <c r="K202" s="20">
        <v>38.236600000000003</v>
      </c>
      <c r="L202" s="20">
        <v>43.41</v>
      </c>
      <c r="M202" s="20">
        <v>44.110500000000002</v>
      </c>
      <c r="N202" s="20">
        <v>156.90379999999999</v>
      </c>
      <c r="O202" s="20">
        <f t="shared" si="10"/>
        <v>39.617512500000004</v>
      </c>
      <c r="P202" s="7"/>
      <c r="Q202" s="13"/>
      <c r="R202" s="14"/>
      <c r="S202" s="14"/>
      <c r="T202" s="27"/>
      <c r="U202" s="28">
        <f t="shared" si="12"/>
        <v>4.9142027892951372</v>
      </c>
    </row>
    <row r="203" spans="1:21" x14ac:dyDescent="0.25">
      <c r="A203" s="6" t="s">
        <v>102</v>
      </c>
      <c r="B203" s="6" t="s">
        <v>103</v>
      </c>
      <c r="C203" s="15">
        <v>1205.1199999999999</v>
      </c>
      <c r="D203" s="16">
        <v>44.805999999999997</v>
      </c>
      <c r="E203" s="16">
        <v>49.887999999999998</v>
      </c>
      <c r="F203" s="16">
        <v>50.707000000000001</v>
      </c>
      <c r="G203" s="16">
        <v>11.45</v>
      </c>
      <c r="H203" s="16">
        <f t="shared" ref="H203:H213" si="13">(6*D203+E203+F203)/8</f>
        <v>46.178874999999998</v>
      </c>
      <c r="I203" s="5"/>
      <c r="J203" s="15">
        <v>1229.3871999999999</v>
      </c>
      <c r="K203" s="16">
        <v>45.283499999999997</v>
      </c>
      <c r="L203" s="16">
        <v>50.875500000000002</v>
      </c>
      <c r="M203" s="16">
        <v>51.296999999999997</v>
      </c>
      <c r="N203" s="16">
        <v>38.266100000000002</v>
      </c>
      <c r="O203" s="16">
        <f t="shared" ref="O203:O213" si="14">(6*K203+L203+M203)/8</f>
        <v>46.73418749999999</v>
      </c>
      <c r="P203" s="7"/>
      <c r="Q203" s="8">
        <f>bdrate(C203:C206,D203:D206,J203:J206,K203:K206)</f>
        <v>-0.14258934164902104</v>
      </c>
      <c r="R203" s="8">
        <f>bdrate(C203:C206,E203:E206,J203:J206,L203:L206)</f>
        <v>-0.32341412247418488</v>
      </c>
      <c r="S203" s="8">
        <f>bdrate(C203:C206,F203:F206,J203:J206,M203:M206)</f>
        <v>-0.32101484284547277</v>
      </c>
      <c r="T203" s="25">
        <f>bdrate(C203:C206,H203:H206,J203:J206,O203:O206)</f>
        <v>-0.18287523942666484</v>
      </c>
      <c r="U203" s="28">
        <f t="shared" si="12"/>
        <v>2.3420174672489087</v>
      </c>
    </row>
    <row r="204" spans="1:21" x14ac:dyDescent="0.25">
      <c r="A204" s="9" t="s">
        <v>78</v>
      </c>
      <c r="B204" s="9"/>
      <c r="C204" s="17">
        <v>808.95</v>
      </c>
      <c r="D204" s="18">
        <v>42.642000000000003</v>
      </c>
      <c r="E204" s="18">
        <v>47.968000000000004</v>
      </c>
      <c r="F204" s="18">
        <v>48.996000000000002</v>
      </c>
      <c r="G204" s="18">
        <v>12.63</v>
      </c>
      <c r="H204" s="18">
        <f t="shared" si="13"/>
        <v>44.102000000000004</v>
      </c>
      <c r="I204" s="5"/>
      <c r="J204" s="17">
        <v>829.46789999999999</v>
      </c>
      <c r="K204" s="18">
        <v>43.494599999999998</v>
      </c>
      <c r="L204" s="18">
        <v>49.467799999999997</v>
      </c>
      <c r="M204" s="18">
        <v>50.046300000000002</v>
      </c>
      <c r="N204" s="18">
        <v>44.805100000000003</v>
      </c>
      <c r="O204" s="18">
        <f t="shared" si="14"/>
        <v>45.060212500000006</v>
      </c>
      <c r="P204" s="7"/>
      <c r="Q204" s="10"/>
      <c r="R204" s="11"/>
      <c r="S204" s="11"/>
      <c r="T204" s="26"/>
      <c r="U204" s="28">
        <f t="shared" si="12"/>
        <v>2.5475138558986541</v>
      </c>
    </row>
    <row r="205" spans="1:21" x14ac:dyDescent="0.25">
      <c r="B205" s="9"/>
      <c r="C205" s="17">
        <v>489.47</v>
      </c>
      <c r="D205" s="18">
        <v>39.963000000000001</v>
      </c>
      <c r="E205" s="18">
        <v>45.661000000000001</v>
      </c>
      <c r="F205" s="18">
        <v>46.929000000000002</v>
      </c>
      <c r="G205" s="18">
        <v>14.58</v>
      </c>
      <c r="H205" s="18">
        <f t="shared" si="13"/>
        <v>41.546000000000006</v>
      </c>
      <c r="I205" s="5"/>
      <c r="J205" s="17">
        <v>505.03469999999999</v>
      </c>
      <c r="K205" s="18">
        <v>41.042099999999998</v>
      </c>
      <c r="L205" s="18">
        <v>47.638599999999997</v>
      </c>
      <c r="M205" s="18">
        <v>48.762</v>
      </c>
      <c r="N205" s="18">
        <v>55.164000000000001</v>
      </c>
      <c r="O205" s="18">
        <f t="shared" si="14"/>
        <v>42.831649999999996</v>
      </c>
      <c r="P205" s="7"/>
      <c r="Q205" s="10"/>
      <c r="R205" s="11"/>
      <c r="S205" s="11"/>
      <c r="T205" s="26"/>
      <c r="U205" s="28">
        <f t="shared" si="12"/>
        <v>2.7835390946502061</v>
      </c>
    </row>
    <row r="206" spans="1:21" ht="16.5" thickBot="1" x14ac:dyDescent="0.3">
      <c r="B206" s="12"/>
      <c r="C206" s="19">
        <v>247.8</v>
      </c>
      <c r="D206" s="20">
        <v>36.520000000000003</v>
      </c>
      <c r="E206" s="20">
        <v>42.935000000000002</v>
      </c>
      <c r="F206" s="20">
        <v>44.2</v>
      </c>
      <c r="G206" s="20">
        <v>18.09</v>
      </c>
      <c r="H206" s="20">
        <f t="shared" si="13"/>
        <v>38.281874999999999</v>
      </c>
      <c r="I206" s="5"/>
      <c r="J206" s="19">
        <v>257.27449999999999</v>
      </c>
      <c r="K206" s="20">
        <v>37.4056</v>
      </c>
      <c r="L206" s="20">
        <v>44.772500000000001</v>
      </c>
      <c r="M206" s="20">
        <v>46.221299999999999</v>
      </c>
      <c r="N206" s="20">
        <v>76.687100000000001</v>
      </c>
      <c r="O206" s="20">
        <f t="shared" si="14"/>
        <v>39.428424999999997</v>
      </c>
      <c r="P206" s="7"/>
      <c r="Q206" s="13"/>
      <c r="R206" s="14"/>
      <c r="S206" s="14"/>
      <c r="T206" s="27"/>
      <c r="U206" s="28">
        <f t="shared" si="12"/>
        <v>3.2391984521835266</v>
      </c>
    </row>
    <row r="207" spans="1:21" x14ac:dyDescent="0.25">
      <c r="B207" s="6" t="s">
        <v>104</v>
      </c>
      <c r="C207" s="15">
        <v>1480.33</v>
      </c>
      <c r="D207" s="16">
        <v>54.122</v>
      </c>
      <c r="E207" s="16">
        <v>54.767000000000003</v>
      </c>
      <c r="F207" s="16">
        <v>55.177</v>
      </c>
      <c r="G207" s="16">
        <v>29.42</v>
      </c>
      <c r="H207" s="16">
        <f t="shared" si="13"/>
        <v>54.334499999999998</v>
      </c>
      <c r="I207" s="5"/>
      <c r="J207" s="15">
        <v>1440.5824</v>
      </c>
      <c r="K207" s="16">
        <v>53.496499999999997</v>
      </c>
      <c r="L207" s="16">
        <v>54.073</v>
      </c>
      <c r="M207" s="16">
        <v>54.637999999999998</v>
      </c>
      <c r="N207" s="16">
        <v>91.682400000000001</v>
      </c>
      <c r="O207" s="16">
        <f t="shared" si="14"/>
        <v>53.711249999999993</v>
      </c>
      <c r="P207" s="7"/>
      <c r="Q207" s="8">
        <f>bdrate(C207:C210,D207:D210,J207:J210,K207:K210)</f>
        <v>-4.289876805428039E-2</v>
      </c>
      <c r="R207" s="8">
        <f>bdrate(C207:C210,E207:E210,J207:J210,L207:L210)</f>
        <v>-2.8999607611169487E-2</v>
      </c>
      <c r="S207" s="8">
        <f>bdrate(C207:C210,F207:F210,J207:J210,M207:M210)</f>
        <v>-1.9541645241907157E-2</v>
      </c>
      <c r="T207" s="25">
        <f>bdrate(C207:C210,H207:H210,J207:J210,O207:O210)</f>
        <v>-3.8561992677706658E-2</v>
      </c>
      <c r="U207" s="28">
        <f t="shared" si="12"/>
        <v>2.1163290278721956</v>
      </c>
    </row>
    <row r="208" spans="1:21" x14ac:dyDescent="0.25">
      <c r="B208" s="9"/>
      <c r="C208" s="17">
        <v>977.63</v>
      </c>
      <c r="D208" s="18">
        <v>51.411999999999999</v>
      </c>
      <c r="E208" s="18">
        <v>52.243000000000002</v>
      </c>
      <c r="F208" s="18">
        <v>52.780999999999999</v>
      </c>
      <c r="G208" s="18">
        <v>32.82</v>
      </c>
      <c r="H208" s="18">
        <f t="shared" si="13"/>
        <v>51.686999999999998</v>
      </c>
      <c r="I208" s="5"/>
      <c r="J208" s="17">
        <v>969.35730000000001</v>
      </c>
      <c r="K208" s="18">
        <v>51.549700000000001</v>
      </c>
      <c r="L208" s="18">
        <v>52.274099999999997</v>
      </c>
      <c r="M208" s="18">
        <v>52.8065</v>
      </c>
      <c r="N208" s="18">
        <v>111.166</v>
      </c>
      <c r="O208" s="18">
        <f t="shared" si="14"/>
        <v>51.797349999999994</v>
      </c>
      <c r="P208" s="7"/>
      <c r="Q208" s="10"/>
      <c r="R208" s="11"/>
      <c r="S208" s="11"/>
      <c r="T208" s="26"/>
      <c r="U208" s="28">
        <f t="shared" si="12"/>
        <v>2.3871419865935408</v>
      </c>
    </row>
    <row r="209" spans="2:21" x14ac:dyDescent="0.25">
      <c r="B209" s="9"/>
      <c r="C209" s="17">
        <v>583.59</v>
      </c>
      <c r="D209" s="18">
        <v>48.195</v>
      </c>
      <c r="E209" s="18">
        <v>49.25</v>
      </c>
      <c r="F209" s="18">
        <v>49.889000000000003</v>
      </c>
      <c r="G209" s="18">
        <v>37.299999999999997</v>
      </c>
      <c r="H209" s="18">
        <f t="shared" si="13"/>
        <v>48.538625000000003</v>
      </c>
      <c r="I209" s="5"/>
      <c r="J209" s="17">
        <v>593.76170000000002</v>
      </c>
      <c r="K209" s="18">
        <v>48.724899999999998</v>
      </c>
      <c r="L209" s="18">
        <v>49.636699999999998</v>
      </c>
      <c r="M209" s="18">
        <v>50.180900000000001</v>
      </c>
      <c r="N209" s="18">
        <v>130.52940000000001</v>
      </c>
      <c r="O209" s="18">
        <f t="shared" si="14"/>
        <v>49.020875000000004</v>
      </c>
      <c r="P209" s="7"/>
      <c r="Q209" s="10"/>
      <c r="R209" s="11"/>
      <c r="S209" s="11"/>
      <c r="T209" s="26"/>
      <c r="U209" s="28">
        <f t="shared" si="12"/>
        <v>2.4994477211796253</v>
      </c>
    </row>
    <row r="210" spans="2:21" ht="16.5" thickBot="1" x14ac:dyDescent="0.3">
      <c r="B210" s="12"/>
      <c r="C210" s="19">
        <v>291.95</v>
      </c>
      <c r="D210" s="20">
        <v>43.908999999999999</v>
      </c>
      <c r="E210" s="20">
        <v>45.27</v>
      </c>
      <c r="F210" s="20">
        <v>45.911999999999999</v>
      </c>
      <c r="G210" s="20">
        <v>40.770000000000003</v>
      </c>
      <c r="H210" s="20">
        <f t="shared" si="13"/>
        <v>44.329499999999996</v>
      </c>
      <c r="I210" s="5"/>
      <c r="J210" s="19">
        <v>297.29730000000001</v>
      </c>
      <c r="K210" s="20">
        <v>44.248600000000003</v>
      </c>
      <c r="L210" s="20">
        <v>45.592399999999998</v>
      </c>
      <c r="M210" s="20">
        <v>46.146700000000003</v>
      </c>
      <c r="N210" s="20">
        <v>161.16040000000001</v>
      </c>
      <c r="O210" s="20">
        <f t="shared" si="14"/>
        <v>44.653837500000002</v>
      </c>
      <c r="P210" s="7"/>
      <c r="Q210" s="13"/>
      <c r="R210" s="14"/>
      <c r="S210" s="14"/>
      <c r="T210" s="27"/>
      <c r="U210" s="28">
        <f t="shared" si="12"/>
        <v>2.9529163600686776</v>
      </c>
    </row>
    <row r="211" spans="2:21" x14ac:dyDescent="0.25">
      <c r="B211" s="6" t="s">
        <v>105</v>
      </c>
      <c r="C211" s="15">
        <v>1542.04</v>
      </c>
      <c r="D211" s="16">
        <v>43.853999999999999</v>
      </c>
      <c r="E211" s="16">
        <v>45.786999999999999</v>
      </c>
      <c r="F211" s="16">
        <v>46.298999999999999</v>
      </c>
      <c r="G211" s="16">
        <v>14.52</v>
      </c>
      <c r="H211" s="16">
        <f t="shared" si="13"/>
        <v>44.401249999999997</v>
      </c>
      <c r="I211" s="5"/>
      <c r="J211" s="15">
        <v>1484.7983999999999</v>
      </c>
      <c r="K211" s="16">
        <v>44.185200000000002</v>
      </c>
      <c r="L211" s="16">
        <v>46.136099999999999</v>
      </c>
      <c r="M211" s="16">
        <v>46.570799999999998</v>
      </c>
      <c r="N211" s="16">
        <v>45.731699999999996</v>
      </c>
      <c r="O211" s="16">
        <f t="shared" si="14"/>
        <v>44.727262500000002</v>
      </c>
      <c r="P211" s="7"/>
      <c r="Q211" s="8">
        <f>bdrate(C211:C214,D211:D214,J211:J214,K211:K214)</f>
        <v>-0.11250459785554723</v>
      </c>
      <c r="R211" s="8">
        <f>bdrate(C211:C214,E211:E214,J211:J214,L211:L214)</f>
        <v>-0.21076018257495754</v>
      </c>
      <c r="S211" s="8">
        <f>bdrate(C211:C214,F211:F214,J211:J214,M211:M214)</f>
        <v>-0.18449523343731378</v>
      </c>
      <c r="T211" s="25">
        <f>bdrate(C211:C214,H211:H214,J211:J214,O211:O214)</f>
        <v>-0.13134847157800655</v>
      </c>
      <c r="U211" s="28">
        <f t="shared" si="12"/>
        <v>2.1495661157024792</v>
      </c>
    </row>
    <row r="212" spans="2:21" x14ac:dyDescent="0.25">
      <c r="B212" s="9"/>
      <c r="C212" s="17">
        <v>1029.6300000000001</v>
      </c>
      <c r="D212" s="18">
        <v>41.823999999999998</v>
      </c>
      <c r="E212" s="18">
        <v>44.015000000000001</v>
      </c>
      <c r="F212" s="18">
        <v>44.518000000000001</v>
      </c>
      <c r="G212" s="18">
        <v>16.05</v>
      </c>
      <c r="H212" s="18">
        <f t="shared" si="13"/>
        <v>42.434624999999997</v>
      </c>
      <c r="I212" s="5"/>
      <c r="J212" s="17">
        <v>988.98559999999998</v>
      </c>
      <c r="K212" s="18">
        <v>42.253300000000003</v>
      </c>
      <c r="L212" s="18">
        <v>44.699199999999998</v>
      </c>
      <c r="M212" s="18">
        <v>45.0884</v>
      </c>
      <c r="N212" s="18">
        <v>53.892200000000003</v>
      </c>
      <c r="O212" s="18">
        <f t="shared" si="14"/>
        <v>42.913425000000004</v>
      </c>
      <c r="P212" s="7"/>
      <c r="Q212" s="10"/>
      <c r="R212" s="11"/>
      <c r="S212" s="11"/>
      <c r="T212" s="26"/>
      <c r="U212" s="28">
        <f t="shared" si="12"/>
        <v>2.3577694704049845</v>
      </c>
    </row>
    <row r="213" spans="2:21" x14ac:dyDescent="0.25">
      <c r="B213" s="9"/>
      <c r="C213" s="17">
        <v>617.66999999999996</v>
      </c>
      <c r="D213" s="18">
        <v>39.119</v>
      </c>
      <c r="E213" s="18">
        <v>41.83</v>
      </c>
      <c r="F213" s="18">
        <v>42.356000000000002</v>
      </c>
      <c r="G213" s="18">
        <v>17.86</v>
      </c>
      <c r="H213" s="18">
        <f t="shared" si="13"/>
        <v>39.862499999999997</v>
      </c>
      <c r="I213" s="5"/>
      <c r="J213" s="17">
        <v>595.70870000000002</v>
      </c>
      <c r="K213" s="18">
        <v>39.531599999999997</v>
      </c>
      <c r="L213" s="18">
        <v>42.654699999999998</v>
      </c>
      <c r="M213" s="18">
        <v>43.033700000000003</v>
      </c>
      <c r="N213" s="18">
        <v>67.071600000000004</v>
      </c>
      <c r="O213" s="18">
        <f t="shared" si="14"/>
        <v>40.359749999999998</v>
      </c>
      <c r="P213" s="7"/>
      <c r="Q213" s="10"/>
      <c r="R213" s="11"/>
      <c r="S213" s="11"/>
      <c r="T213" s="26"/>
      <c r="U213" s="28">
        <f t="shared" si="12"/>
        <v>2.7554087346024638</v>
      </c>
    </row>
    <row r="214" spans="2:21" ht="16.5" thickBot="1" x14ac:dyDescent="0.3">
      <c r="B214" s="12"/>
      <c r="C214" s="19">
        <v>310.39</v>
      </c>
      <c r="D214" s="20">
        <v>35.408000000000001</v>
      </c>
      <c r="E214" s="20">
        <v>38.951000000000001</v>
      </c>
      <c r="F214" s="20">
        <v>39.563000000000002</v>
      </c>
      <c r="G214" s="20">
        <v>20.64</v>
      </c>
      <c r="H214" s="20">
        <f t="shared" ref="H214:H246" si="15">(6*D214+E214+F214)/8</f>
        <v>36.370249999999999</v>
      </c>
      <c r="I214" s="5"/>
      <c r="J214" s="19">
        <v>300.24</v>
      </c>
      <c r="K214" s="20">
        <v>35.944899999999997</v>
      </c>
      <c r="L214" s="20">
        <v>40.3018</v>
      </c>
      <c r="M214" s="20">
        <v>40.708799999999997</v>
      </c>
      <c r="N214" s="20">
        <v>85.7102</v>
      </c>
      <c r="O214" s="20">
        <f t="shared" ref="O214:O246" si="16">(6*K214+L214+M214)/8</f>
        <v>37.085000000000001</v>
      </c>
      <c r="P214" s="7"/>
      <c r="Q214" s="13"/>
      <c r="R214" s="14"/>
      <c r="S214" s="14"/>
      <c r="T214" s="27"/>
      <c r="U214" s="28">
        <f t="shared" ref="U214:U246" si="17">(N214-G214)/G214</f>
        <v>3.1526259689922478</v>
      </c>
    </row>
    <row r="215" spans="2:21" x14ac:dyDescent="0.25">
      <c r="B215" s="6" t="s">
        <v>106</v>
      </c>
      <c r="C215" s="29">
        <v>1372.53</v>
      </c>
      <c r="D215" s="30">
        <v>39.682000000000002</v>
      </c>
      <c r="E215" s="30">
        <v>43.706000000000003</v>
      </c>
      <c r="F215" s="30">
        <v>43.703000000000003</v>
      </c>
      <c r="G215" s="16">
        <v>12.01</v>
      </c>
      <c r="H215" s="16">
        <f t="shared" si="15"/>
        <v>40.687624999999997</v>
      </c>
      <c r="I215" s="5"/>
      <c r="J215" s="29">
        <v>1502.3533</v>
      </c>
      <c r="K215" s="30">
        <v>39.987900000000003</v>
      </c>
      <c r="L215" s="30">
        <v>44.173000000000002</v>
      </c>
      <c r="M215" s="30">
        <v>44.162300000000002</v>
      </c>
      <c r="N215" s="16">
        <v>40.340699999999998</v>
      </c>
      <c r="O215" s="16">
        <f t="shared" si="16"/>
        <v>41.032837500000007</v>
      </c>
      <c r="P215" s="7"/>
      <c r="Q215" s="8">
        <f>bdrate(C215:C218,D215:D218,J215:J218,K215:K218)</f>
        <v>3.1736111645285447E-2</v>
      </c>
      <c r="R215" s="8">
        <f>bdrate(C215:C218,E215:E218,J215:J218,L215:L218)</f>
        <v>-0.15307312127076989</v>
      </c>
      <c r="S215" s="8">
        <f>bdrate(C215:C218,F215:F218,J215:J218,M215:M218)</f>
        <v>-0.14685136231100759</v>
      </c>
      <c r="T215" s="25">
        <f>bdrate(C215:C218,H215:H218,J215:J218,O215:O218)</f>
        <v>-7.9359101048551706E-3</v>
      </c>
      <c r="U215" s="28">
        <f t="shared" si="17"/>
        <v>2.358925895087427</v>
      </c>
    </row>
    <row r="216" spans="2:21" x14ac:dyDescent="0.25">
      <c r="B216" s="9"/>
      <c r="C216" s="31">
        <v>913.5</v>
      </c>
      <c r="D216" s="32">
        <v>37.789000000000001</v>
      </c>
      <c r="E216" s="32">
        <v>42.206000000000003</v>
      </c>
      <c r="F216" s="32">
        <v>42.189</v>
      </c>
      <c r="G216" s="18">
        <v>13.27</v>
      </c>
      <c r="H216" s="18">
        <f t="shared" si="15"/>
        <v>38.891125000000002</v>
      </c>
      <c r="I216" s="5"/>
      <c r="J216" s="31">
        <v>999.83600000000001</v>
      </c>
      <c r="K216" s="32">
        <v>38.099200000000003</v>
      </c>
      <c r="L216" s="32">
        <v>42.881999999999998</v>
      </c>
      <c r="M216" s="32">
        <v>42.8491</v>
      </c>
      <c r="N216" s="18">
        <v>49.882199999999997</v>
      </c>
      <c r="O216" s="18">
        <f t="shared" si="16"/>
        <v>39.290787500000008</v>
      </c>
      <c r="P216" s="7"/>
      <c r="Q216" s="10"/>
      <c r="R216" s="11"/>
      <c r="S216" s="11"/>
      <c r="T216" s="26"/>
      <c r="U216" s="28">
        <f t="shared" si="17"/>
        <v>2.7590203466465715</v>
      </c>
    </row>
    <row r="217" spans="2:21" x14ac:dyDescent="0.25">
      <c r="B217" s="9"/>
      <c r="C217" s="31">
        <v>546.54999999999995</v>
      </c>
      <c r="D217" s="32">
        <v>35.503</v>
      </c>
      <c r="E217" s="32">
        <v>40.417999999999999</v>
      </c>
      <c r="F217" s="32">
        <v>40.402000000000001</v>
      </c>
      <c r="G217" s="18">
        <v>15.21</v>
      </c>
      <c r="H217" s="18">
        <f t="shared" si="15"/>
        <v>36.729750000000003</v>
      </c>
      <c r="I217" s="5"/>
      <c r="J217" s="31">
        <v>602.93389999999999</v>
      </c>
      <c r="K217" s="32">
        <v>35.759399999999999</v>
      </c>
      <c r="L217" s="32">
        <v>41.327599999999997</v>
      </c>
      <c r="M217" s="32">
        <v>41.2879</v>
      </c>
      <c r="N217" s="18">
        <v>60.630600000000001</v>
      </c>
      <c r="O217" s="18">
        <f t="shared" si="16"/>
        <v>37.146487499999999</v>
      </c>
      <c r="P217" s="7"/>
      <c r="Q217" s="10"/>
      <c r="R217" s="11"/>
      <c r="S217" s="11"/>
      <c r="T217" s="26"/>
      <c r="U217" s="28">
        <f t="shared" si="17"/>
        <v>2.9862327416173566</v>
      </c>
    </row>
    <row r="218" spans="2:21" ht="16.5" thickBot="1" x14ac:dyDescent="0.3">
      <c r="B218" s="12"/>
      <c r="C218" s="33">
        <v>272.39</v>
      </c>
      <c r="D218" s="34">
        <v>32.393999999999998</v>
      </c>
      <c r="E218" s="34">
        <v>38.116999999999997</v>
      </c>
      <c r="F218" s="34">
        <v>38.073999999999998</v>
      </c>
      <c r="G218" s="20">
        <v>18.03</v>
      </c>
      <c r="H218" s="20">
        <f t="shared" si="15"/>
        <v>33.819374999999994</v>
      </c>
      <c r="I218" s="5"/>
      <c r="J218" s="33">
        <v>300.91520000000003</v>
      </c>
      <c r="K218" s="34">
        <v>32.735599999999998</v>
      </c>
      <c r="L218" s="34">
        <v>39.5017</v>
      </c>
      <c r="M218" s="34">
        <v>39.448700000000002</v>
      </c>
      <c r="N218" s="20">
        <v>83.410600000000002</v>
      </c>
      <c r="O218" s="20">
        <f t="shared" si="16"/>
        <v>34.420499999999997</v>
      </c>
      <c r="P218" s="7"/>
      <c r="Q218" s="13"/>
      <c r="R218" s="14"/>
      <c r="S218" s="14"/>
      <c r="T218" s="27"/>
      <c r="U218" s="28">
        <f t="shared" si="17"/>
        <v>3.6262118691070437</v>
      </c>
    </row>
    <row r="219" spans="2:21" x14ac:dyDescent="0.25">
      <c r="B219" s="6" t="s">
        <v>107</v>
      </c>
      <c r="C219" s="15">
        <v>1521.07</v>
      </c>
      <c r="D219" s="16">
        <v>37.987000000000002</v>
      </c>
      <c r="E219" s="16">
        <v>41.764000000000003</v>
      </c>
      <c r="F219" s="16">
        <v>42.237000000000002</v>
      </c>
      <c r="G219" s="16">
        <v>15.33</v>
      </c>
      <c r="H219" s="16">
        <f t="shared" si="15"/>
        <v>38.990375000000007</v>
      </c>
      <c r="I219" s="5"/>
      <c r="J219" s="15">
        <v>1453.3172</v>
      </c>
      <c r="K219" s="16">
        <v>38.153100000000002</v>
      </c>
      <c r="L219" s="16">
        <v>42.568100000000001</v>
      </c>
      <c r="M219" s="16">
        <v>43.084800000000001</v>
      </c>
      <c r="N219" s="16">
        <v>47.434600000000003</v>
      </c>
      <c r="O219" s="16">
        <f t="shared" si="16"/>
        <v>39.321437500000002</v>
      </c>
      <c r="P219" s="7"/>
      <c r="Q219" s="8">
        <f>bdrate(C219:C222,D219:D222,J219:J222,K219:K222)</f>
        <v>-7.5520487137660686E-2</v>
      </c>
      <c r="R219" s="8">
        <f>bdrate(C219:C222,E219:E222,J219:J222,L219:L222)</f>
        <v>-0.33028401619444836</v>
      </c>
      <c r="S219" s="8">
        <f>bdrate(C219:C222,F219:F222,J219:J222,M219:M222)</f>
        <v>-0.34134920430710292</v>
      </c>
      <c r="T219" s="25">
        <f>bdrate(C219:C222,H219:H222,J219:J222,O219:O222)</f>
        <v>-0.13536483461961635</v>
      </c>
      <c r="U219" s="28">
        <f t="shared" si="17"/>
        <v>2.0942335290280498</v>
      </c>
    </row>
    <row r="220" spans="2:21" x14ac:dyDescent="0.25">
      <c r="B220" s="9"/>
      <c r="C220" s="17">
        <v>1014.97</v>
      </c>
      <c r="D220" s="18">
        <v>36.085000000000001</v>
      </c>
      <c r="E220" s="18">
        <v>40.094000000000001</v>
      </c>
      <c r="F220" s="18">
        <v>40.65</v>
      </c>
      <c r="G220" s="18">
        <v>16.920000000000002</v>
      </c>
      <c r="H220" s="18">
        <f t="shared" si="15"/>
        <v>37.156749999999995</v>
      </c>
      <c r="I220" s="5"/>
      <c r="J220" s="17">
        <v>995.14829999999995</v>
      </c>
      <c r="K220" s="18">
        <v>36.373699999999999</v>
      </c>
      <c r="L220" s="18">
        <v>41.326900000000002</v>
      </c>
      <c r="M220" s="18">
        <v>41.896500000000003</v>
      </c>
      <c r="N220" s="18">
        <v>55.280900000000003</v>
      </c>
      <c r="O220" s="18">
        <f t="shared" si="16"/>
        <v>37.683199999999999</v>
      </c>
      <c r="P220" s="7"/>
      <c r="Q220" s="10"/>
      <c r="R220" s="11"/>
      <c r="S220" s="11"/>
      <c r="T220" s="26"/>
      <c r="U220" s="28">
        <f t="shared" si="17"/>
        <v>2.267192671394799</v>
      </c>
    </row>
    <row r="221" spans="2:21" x14ac:dyDescent="0.25">
      <c r="B221" s="9"/>
      <c r="C221" s="17">
        <v>608.79999999999995</v>
      </c>
      <c r="D221" s="18">
        <v>33.744999999999997</v>
      </c>
      <c r="E221" s="18">
        <v>38.156999999999996</v>
      </c>
      <c r="F221" s="18">
        <v>38.817999999999998</v>
      </c>
      <c r="G221" s="18">
        <v>18.77</v>
      </c>
      <c r="H221" s="18">
        <f t="shared" si="15"/>
        <v>34.930624999999992</v>
      </c>
      <c r="I221" s="5"/>
      <c r="J221" s="17">
        <v>595.37239999999997</v>
      </c>
      <c r="K221" s="18">
        <v>34.002800000000001</v>
      </c>
      <c r="L221" s="18">
        <v>39.577800000000003</v>
      </c>
      <c r="M221" s="18">
        <v>40.211100000000002</v>
      </c>
      <c r="N221" s="18">
        <v>67.789000000000001</v>
      </c>
      <c r="O221" s="18">
        <f t="shared" si="16"/>
        <v>35.4757125</v>
      </c>
      <c r="P221" s="7"/>
      <c r="Q221" s="10"/>
      <c r="R221" s="11"/>
      <c r="S221" s="11"/>
      <c r="T221" s="26"/>
      <c r="U221" s="28">
        <f t="shared" si="17"/>
        <v>2.6115610015982953</v>
      </c>
    </row>
    <row r="222" spans="2:21" ht="16.5" thickBot="1" x14ac:dyDescent="0.3">
      <c r="B222" s="12"/>
      <c r="C222" s="19">
        <v>303.72000000000003</v>
      </c>
      <c r="D222" s="20">
        <v>30.49</v>
      </c>
      <c r="E222" s="20">
        <v>35.643999999999998</v>
      </c>
      <c r="F222" s="20">
        <v>36.439</v>
      </c>
      <c r="G222" s="20">
        <v>21.54</v>
      </c>
      <c r="H222" s="20">
        <f t="shared" si="15"/>
        <v>31.877875</v>
      </c>
      <c r="I222" s="5"/>
      <c r="J222" s="19">
        <v>301.50720000000001</v>
      </c>
      <c r="K222" s="20">
        <v>30.800999999999998</v>
      </c>
      <c r="L222" s="20">
        <v>37.422199999999997</v>
      </c>
      <c r="M222" s="20">
        <v>38.176099999999998</v>
      </c>
      <c r="N222" s="20">
        <v>90.402299999999997</v>
      </c>
      <c r="O222" s="20">
        <f t="shared" si="16"/>
        <v>32.550537499999997</v>
      </c>
      <c r="P222" s="7"/>
      <c r="Q222" s="13"/>
      <c r="R222" s="14"/>
      <c r="S222" s="14"/>
      <c r="T222" s="27"/>
      <c r="U222" s="28">
        <f t="shared" si="17"/>
        <v>3.1969498607242341</v>
      </c>
    </row>
    <row r="223" spans="2:21" x14ac:dyDescent="0.25">
      <c r="B223" s="6" t="s">
        <v>108</v>
      </c>
      <c r="C223" s="15">
        <v>1486.98</v>
      </c>
      <c r="D223" s="16">
        <v>38.137</v>
      </c>
      <c r="E223" s="16">
        <v>43.34</v>
      </c>
      <c r="F223" s="16">
        <v>45.048000000000002</v>
      </c>
      <c r="G223" s="16">
        <v>10.96</v>
      </c>
      <c r="H223" s="16">
        <f t="shared" si="15"/>
        <v>39.651250000000005</v>
      </c>
      <c r="I223" s="5"/>
      <c r="J223" s="15">
        <v>1497.8629000000001</v>
      </c>
      <c r="K223" s="16">
        <v>38.012</v>
      </c>
      <c r="L223" s="16">
        <v>43.690600000000003</v>
      </c>
      <c r="M223" s="16">
        <v>45.150399999999998</v>
      </c>
      <c r="N223" s="16">
        <v>44.433500000000002</v>
      </c>
      <c r="O223" s="16">
        <f t="shared" si="16"/>
        <v>39.614125000000001</v>
      </c>
      <c r="P223" s="7"/>
      <c r="Q223" s="8">
        <f>bdrate(C223:C226,D223:D226,J223:J226,K223:K226)</f>
        <v>3.4067061642669039E-2</v>
      </c>
      <c r="R223" s="8">
        <f>bdrate(C223:C226,E223:E226,J223:J226,L223:L226)</f>
        <v>-0.23723530439743479</v>
      </c>
      <c r="S223" s="8">
        <f>bdrate(C223:C226,F223:F226,J223:J226,M223:M226)</f>
        <v>-0.15601298258904894</v>
      </c>
      <c r="T223" s="25">
        <f>bdrate(C223:C226,H223:H226,J223:J226,O223:O226)</f>
        <v>-2.0342945112233668E-2</v>
      </c>
      <c r="U223" s="28">
        <f t="shared" si="17"/>
        <v>3.0541514598540145</v>
      </c>
    </row>
    <row r="224" spans="2:21" x14ac:dyDescent="0.25">
      <c r="B224" s="9"/>
      <c r="C224" s="17">
        <v>992.07</v>
      </c>
      <c r="D224" s="18">
        <v>36.677999999999997</v>
      </c>
      <c r="E224" s="18">
        <v>42.201000000000001</v>
      </c>
      <c r="F224" s="18">
        <v>43.84</v>
      </c>
      <c r="G224" s="18">
        <v>12.43</v>
      </c>
      <c r="H224" s="18">
        <f t="shared" si="15"/>
        <v>38.263625000000005</v>
      </c>
      <c r="I224" s="5"/>
      <c r="J224" s="17">
        <v>1005.468</v>
      </c>
      <c r="K224" s="18">
        <v>36.612400000000001</v>
      </c>
      <c r="L224" s="18">
        <v>42.756599999999999</v>
      </c>
      <c r="M224" s="18">
        <v>44.143500000000003</v>
      </c>
      <c r="N224" s="18">
        <v>53.9148</v>
      </c>
      <c r="O224" s="18">
        <f t="shared" si="16"/>
        <v>38.3218125</v>
      </c>
      <c r="P224" s="7"/>
      <c r="Q224" s="10"/>
      <c r="R224" s="11"/>
      <c r="S224" s="11"/>
      <c r="T224" s="26"/>
      <c r="U224" s="28">
        <f t="shared" si="17"/>
        <v>3.3374738535800486</v>
      </c>
    </row>
    <row r="225" spans="2:21" x14ac:dyDescent="0.25">
      <c r="B225" s="9"/>
      <c r="C225" s="17">
        <v>595.42999999999995</v>
      </c>
      <c r="D225" s="18">
        <v>34.936999999999998</v>
      </c>
      <c r="E225" s="18">
        <v>40.837000000000003</v>
      </c>
      <c r="F225" s="18">
        <v>42.228000000000002</v>
      </c>
      <c r="G225" s="18">
        <v>14.55</v>
      </c>
      <c r="H225" s="18">
        <f t="shared" si="15"/>
        <v>36.585875000000001</v>
      </c>
      <c r="I225" s="5"/>
      <c r="J225" s="17">
        <v>602.19730000000004</v>
      </c>
      <c r="K225" s="18">
        <v>34.847000000000001</v>
      </c>
      <c r="L225" s="18">
        <v>41.585099999999997</v>
      </c>
      <c r="M225" s="18">
        <v>42.826099999999997</v>
      </c>
      <c r="N225" s="18">
        <v>66.491799999999998</v>
      </c>
      <c r="O225" s="18">
        <f t="shared" si="16"/>
        <v>36.68665</v>
      </c>
      <c r="P225" s="7"/>
      <c r="Q225" s="10"/>
      <c r="R225" s="11"/>
      <c r="S225" s="11"/>
      <c r="T225" s="26"/>
      <c r="U225" s="28">
        <f t="shared" si="17"/>
        <v>3.5698831615120272</v>
      </c>
    </row>
    <row r="226" spans="2:21" ht="16.5" thickBot="1" x14ac:dyDescent="0.3">
      <c r="B226" s="12"/>
      <c r="C226" s="19">
        <v>302.42</v>
      </c>
      <c r="D226" s="20">
        <v>32.801000000000002</v>
      </c>
      <c r="E226" s="20">
        <v>39.170999999999999</v>
      </c>
      <c r="F226" s="20">
        <v>40.366999999999997</v>
      </c>
      <c r="G226" s="20">
        <v>18.07</v>
      </c>
      <c r="H226" s="20">
        <f t="shared" si="15"/>
        <v>34.542999999999999</v>
      </c>
      <c r="I226" s="5"/>
      <c r="J226" s="19">
        <v>302.64800000000002</v>
      </c>
      <c r="K226" s="20">
        <v>32.755699999999997</v>
      </c>
      <c r="L226" s="20">
        <v>40.2881</v>
      </c>
      <c r="M226" s="20">
        <v>41.401000000000003</v>
      </c>
      <c r="N226" s="20">
        <v>88.114400000000003</v>
      </c>
      <c r="O226" s="20">
        <f t="shared" si="16"/>
        <v>34.777912499999999</v>
      </c>
      <c r="P226" s="7"/>
      <c r="Q226" s="13"/>
      <c r="R226" s="14"/>
      <c r="S226" s="14"/>
      <c r="T226" s="27"/>
      <c r="U226" s="28">
        <f t="shared" si="17"/>
        <v>3.876281128942999</v>
      </c>
    </row>
    <row r="227" spans="2:21" x14ac:dyDescent="0.25">
      <c r="B227" s="6" t="s">
        <v>109</v>
      </c>
      <c r="C227" s="15">
        <v>1612.39</v>
      </c>
      <c r="D227" s="16">
        <v>49.615000000000002</v>
      </c>
      <c r="E227" s="16">
        <v>54.735999999999997</v>
      </c>
      <c r="F227" s="16">
        <v>56.06</v>
      </c>
      <c r="G227" s="16">
        <v>14.47</v>
      </c>
      <c r="H227" s="16">
        <f t="shared" si="15"/>
        <v>51.060749999999999</v>
      </c>
      <c r="I227" s="5"/>
      <c r="J227" s="15">
        <v>1499.682</v>
      </c>
      <c r="K227" s="16">
        <v>49.714199999999998</v>
      </c>
      <c r="L227" s="16">
        <v>54.212800000000001</v>
      </c>
      <c r="M227" s="16">
        <v>55.573399999999999</v>
      </c>
      <c r="N227" s="16">
        <v>54.424399999999999</v>
      </c>
      <c r="O227" s="16">
        <f t="shared" si="16"/>
        <v>51.008924999999998</v>
      </c>
      <c r="P227" s="7"/>
      <c r="Q227" s="8">
        <f>bdrate(C227:C230,D227:D230,J227:J230,K227:K230)</f>
        <v>-0.12152475641105964</v>
      </c>
      <c r="R227" s="8">
        <f>bdrate(C227:C230,E227:E230,J227:J230,L227:L230)</f>
        <v>-2.1350442694205718E-3</v>
      </c>
      <c r="S227" s="8">
        <f>bdrate(C227:C230,F227:F230,J227:J230,M227:M230)</f>
        <v>-5.0328251302317328E-3</v>
      </c>
      <c r="T227" s="25">
        <f>bdrate(C227:C230,H227:H230,J227:J230,O227:O230)</f>
        <v>-9.4819322297213571E-2</v>
      </c>
      <c r="U227" s="28">
        <f t="shared" si="17"/>
        <v>2.7611886662059431</v>
      </c>
    </row>
    <row r="228" spans="2:21" x14ac:dyDescent="0.25">
      <c r="B228" s="9"/>
      <c r="C228" s="17">
        <v>1068</v>
      </c>
      <c r="D228" s="18">
        <v>47.813000000000002</v>
      </c>
      <c r="E228" s="18">
        <v>53.128999999999998</v>
      </c>
      <c r="F228" s="18">
        <v>54.539000000000001</v>
      </c>
      <c r="G228" s="18">
        <v>16.829999999999998</v>
      </c>
      <c r="H228" s="18">
        <f t="shared" si="15"/>
        <v>49.318250000000006</v>
      </c>
      <c r="I228" s="5"/>
      <c r="J228" s="17">
        <v>1000.4088</v>
      </c>
      <c r="K228" s="18">
        <v>48.093899999999998</v>
      </c>
      <c r="L228" s="18">
        <v>52.751199999999997</v>
      </c>
      <c r="M228" s="18">
        <v>54.197899999999997</v>
      </c>
      <c r="N228" s="18">
        <v>64.291300000000007</v>
      </c>
      <c r="O228" s="18">
        <f t="shared" si="16"/>
        <v>49.439062499999999</v>
      </c>
      <c r="P228" s="7"/>
      <c r="Q228" s="10"/>
      <c r="R228" s="11"/>
      <c r="S228" s="11"/>
      <c r="T228" s="26"/>
      <c r="U228" s="28">
        <f t="shared" si="17"/>
        <v>2.8200415923945346</v>
      </c>
    </row>
    <row r="229" spans="2:21" x14ac:dyDescent="0.25">
      <c r="B229" s="9"/>
      <c r="C229" s="17">
        <v>637.04999999999995</v>
      </c>
      <c r="D229" s="18">
        <v>45.606000000000002</v>
      </c>
      <c r="E229" s="18">
        <v>51.061</v>
      </c>
      <c r="F229" s="18">
        <v>52.540999999999997</v>
      </c>
      <c r="G229" s="18">
        <v>20.11</v>
      </c>
      <c r="H229" s="18">
        <f t="shared" si="15"/>
        <v>47.15475</v>
      </c>
      <c r="I229" s="5"/>
      <c r="J229" s="17">
        <v>598.6961</v>
      </c>
      <c r="K229" s="18">
        <v>45.932299999999998</v>
      </c>
      <c r="L229" s="18">
        <v>50.883299999999998</v>
      </c>
      <c r="M229" s="18">
        <v>52.3521</v>
      </c>
      <c r="N229" s="18">
        <v>79.499799999999993</v>
      </c>
      <c r="O229" s="18">
        <f t="shared" si="16"/>
        <v>47.353650000000002</v>
      </c>
      <c r="P229" s="7"/>
      <c r="Q229" s="10"/>
      <c r="R229" s="11"/>
      <c r="S229" s="11"/>
      <c r="T229" s="26"/>
      <c r="U229" s="28">
        <f t="shared" si="17"/>
        <v>2.9532471407260066</v>
      </c>
    </row>
    <row r="230" spans="2:21" ht="16.5" thickBot="1" x14ac:dyDescent="0.3">
      <c r="B230" s="12"/>
      <c r="C230" s="19">
        <v>317.98</v>
      </c>
      <c r="D230" s="20">
        <v>42.585000000000001</v>
      </c>
      <c r="E230" s="20">
        <v>48.16</v>
      </c>
      <c r="F230" s="20">
        <v>49.587000000000003</v>
      </c>
      <c r="G230" s="20">
        <v>24.34</v>
      </c>
      <c r="H230" s="20">
        <f t="shared" si="15"/>
        <v>44.157124999999994</v>
      </c>
      <c r="I230" s="5"/>
      <c r="J230" s="19">
        <v>296.32619999999997</v>
      </c>
      <c r="K230" s="20">
        <v>42.795900000000003</v>
      </c>
      <c r="L230" s="20">
        <v>48.020600000000002</v>
      </c>
      <c r="M230" s="20">
        <v>49.4938</v>
      </c>
      <c r="N230" s="20">
        <v>108.38</v>
      </c>
      <c r="O230" s="20">
        <f t="shared" si="16"/>
        <v>44.286225000000002</v>
      </c>
      <c r="P230" s="7"/>
      <c r="Q230" s="13"/>
      <c r="R230" s="14"/>
      <c r="S230" s="14"/>
      <c r="T230" s="27"/>
      <c r="U230" s="28">
        <f t="shared" si="17"/>
        <v>3.4527526705012321</v>
      </c>
    </row>
    <row r="231" spans="2:21" x14ac:dyDescent="0.25">
      <c r="B231" s="6" t="s">
        <v>110</v>
      </c>
      <c r="C231" s="15">
        <v>1466.55</v>
      </c>
      <c r="D231" s="16">
        <v>33.146000000000001</v>
      </c>
      <c r="E231" s="16">
        <v>40.159999999999997</v>
      </c>
      <c r="F231" s="16">
        <v>39.634</v>
      </c>
      <c r="G231" s="16">
        <v>9.8699999999999992</v>
      </c>
      <c r="H231" s="16">
        <f t="shared" si="15"/>
        <v>34.833750000000002</v>
      </c>
      <c r="I231" s="5"/>
      <c r="J231" s="15">
        <v>1493.8656000000001</v>
      </c>
      <c r="K231" s="16">
        <v>33.029000000000003</v>
      </c>
      <c r="L231" s="16">
        <v>41.030700000000003</v>
      </c>
      <c r="M231" s="16">
        <v>40.468200000000003</v>
      </c>
      <c r="N231" s="16">
        <v>27.831900000000001</v>
      </c>
      <c r="O231" s="16">
        <f t="shared" si="16"/>
        <v>34.959112500000003</v>
      </c>
      <c r="P231" s="7"/>
      <c r="Q231" s="8">
        <f>bdrate(C231:C234,D231:D234,J231:J234,K231:K234)</f>
        <v>-2.3041805658160608E-2</v>
      </c>
      <c r="R231" s="8">
        <f>bdrate(C231:C234,E231:E234,J231:J234,L231:L234)</f>
        <v>-0.4104157376240708</v>
      </c>
      <c r="S231" s="8">
        <f>bdrate(C231:C234,F231:F234,J231:J234,M231:M234)</f>
        <v>-0.40945372961432847</v>
      </c>
      <c r="T231" s="25">
        <f>bdrate(C231:C234,H231:H234,J231:J234,O231:O234)</f>
        <v>-0.1087848528987474</v>
      </c>
      <c r="U231" s="28">
        <f t="shared" si="17"/>
        <v>1.8198480243161095</v>
      </c>
    </row>
    <row r="232" spans="2:21" x14ac:dyDescent="0.25">
      <c r="B232" s="9"/>
      <c r="C232" s="17">
        <v>975.22</v>
      </c>
      <c r="D232" s="18">
        <v>31.338999999999999</v>
      </c>
      <c r="E232" s="18">
        <v>38.795999999999999</v>
      </c>
      <c r="F232" s="18">
        <v>38.21</v>
      </c>
      <c r="G232" s="18">
        <v>10.95</v>
      </c>
      <c r="H232" s="18">
        <f t="shared" si="15"/>
        <v>33.129999999999995</v>
      </c>
      <c r="I232" s="5"/>
      <c r="J232" s="17">
        <v>994.61109999999996</v>
      </c>
      <c r="K232" s="18">
        <v>31.343699999999998</v>
      </c>
      <c r="L232" s="18">
        <v>40.1248</v>
      </c>
      <c r="M232" s="18">
        <v>39.557499999999997</v>
      </c>
      <c r="N232" s="18">
        <v>34.633400000000002</v>
      </c>
      <c r="O232" s="18">
        <f t="shared" si="16"/>
        <v>33.468062499999995</v>
      </c>
      <c r="P232" s="7"/>
      <c r="Q232" s="10"/>
      <c r="R232" s="11"/>
      <c r="S232" s="11"/>
      <c r="T232" s="26"/>
      <c r="U232" s="28">
        <f t="shared" si="17"/>
        <v>2.1628675799086761</v>
      </c>
    </row>
    <row r="233" spans="2:21" x14ac:dyDescent="0.25">
      <c r="B233" s="9"/>
      <c r="C233" s="17">
        <v>585.44000000000005</v>
      </c>
      <c r="D233" s="18">
        <v>29.013000000000002</v>
      </c>
      <c r="E233" s="18">
        <v>37.107999999999997</v>
      </c>
      <c r="F233" s="18">
        <v>36.448999999999998</v>
      </c>
      <c r="G233" s="18">
        <v>12.47</v>
      </c>
      <c r="H233" s="18">
        <f t="shared" si="15"/>
        <v>30.954374999999999</v>
      </c>
      <c r="I233" s="5"/>
      <c r="J233" s="17">
        <v>594.86519999999996</v>
      </c>
      <c r="K233" s="18">
        <v>29.168900000000001</v>
      </c>
      <c r="L233" s="18">
        <v>38.894100000000002</v>
      </c>
      <c r="M233" s="18">
        <v>38.293500000000002</v>
      </c>
      <c r="N233" s="18">
        <v>43.446800000000003</v>
      </c>
      <c r="O233" s="18">
        <f t="shared" si="16"/>
        <v>31.525124999999999</v>
      </c>
      <c r="P233" s="7"/>
      <c r="Q233" s="10"/>
      <c r="R233" s="11"/>
      <c r="S233" s="11"/>
      <c r="T233" s="26"/>
      <c r="U233" s="28">
        <f t="shared" si="17"/>
        <v>2.4841058540497194</v>
      </c>
    </row>
    <row r="234" spans="2:21" ht="16.5" thickBot="1" x14ac:dyDescent="0.3">
      <c r="B234" s="12"/>
      <c r="C234" s="19">
        <v>280.83999999999997</v>
      </c>
      <c r="D234" s="20">
        <v>25.202999999999999</v>
      </c>
      <c r="E234" s="20">
        <v>33.548000000000002</v>
      </c>
      <c r="F234" s="20">
        <v>33.185000000000002</v>
      </c>
      <c r="G234" s="20">
        <v>16.98</v>
      </c>
      <c r="H234" s="20">
        <f t="shared" si="15"/>
        <v>27.243874999999999</v>
      </c>
      <c r="I234" s="5"/>
      <c r="J234" s="19">
        <v>298.24189999999999</v>
      </c>
      <c r="K234" s="20">
        <v>26.385899999999999</v>
      </c>
      <c r="L234" s="20">
        <v>36.897300000000001</v>
      </c>
      <c r="M234" s="20">
        <v>36.312199999999997</v>
      </c>
      <c r="N234" s="20">
        <v>58.488999999999997</v>
      </c>
      <c r="O234" s="20">
        <f t="shared" si="16"/>
        <v>28.9406125</v>
      </c>
      <c r="P234" s="7"/>
      <c r="Q234" s="13"/>
      <c r="R234" s="14"/>
      <c r="S234" s="14"/>
      <c r="T234" s="27"/>
      <c r="U234" s="28">
        <f t="shared" si="17"/>
        <v>2.4445818610129564</v>
      </c>
    </row>
    <row r="235" spans="2:21" x14ac:dyDescent="0.25">
      <c r="B235" s="6" t="s">
        <v>111</v>
      </c>
      <c r="C235" s="15">
        <v>1663.48</v>
      </c>
      <c r="D235" s="16">
        <v>47.088999999999999</v>
      </c>
      <c r="E235" s="16">
        <v>47.848999999999997</v>
      </c>
      <c r="F235" s="16">
        <v>47.78</v>
      </c>
      <c r="G235" s="16">
        <v>15.93</v>
      </c>
      <c r="H235" s="16">
        <f t="shared" si="15"/>
        <v>47.270375000000001</v>
      </c>
      <c r="I235" s="5"/>
      <c r="J235" s="15">
        <v>1407.7330999999999</v>
      </c>
      <c r="K235" s="16">
        <v>46.769100000000002</v>
      </c>
      <c r="L235" s="16">
        <v>47.729900000000001</v>
      </c>
      <c r="M235" s="16">
        <v>47.627600000000001</v>
      </c>
      <c r="N235" s="16">
        <v>46.835999999999999</v>
      </c>
      <c r="O235" s="16">
        <f t="shared" si="16"/>
        <v>46.996512499999994</v>
      </c>
      <c r="P235" s="7"/>
      <c r="Q235" s="8">
        <f>bdrate(C235:C238,D235:D238,J235:J238,K235:K238)</f>
        <v>-0.11288364239197679</v>
      </c>
      <c r="R235" s="8">
        <f>bdrate(C235:C238,E235:E238,J235:J238,L235:L238)</f>
        <v>-0.1981610088036686</v>
      </c>
      <c r="S235" s="8">
        <f>bdrate(C235:C238,F235:F238,J235:J238,M235:M238)</f>
        <v>-0.19877288538583049</v>
      </c>
      <c r="T235" s="25">
        <f>bdrate(C235:C238,H235:H238,J235:J238,O235:O238)</f>
        <v>-0.13315576248462924</v>
      </c>
      <c r="U235" s="28">
        <f t="shared" si="17"/>
        <v>1.9401129943502824</v>
      </c>
    </row>
    <row r="236" spans="2:21" x14ac:dyDescent="0.25">
      <c r="B236" s="9"/>
      <c r="C236" s="17">
        <v>1099.25</v>
      </c>
      <c r="D236" s="18">
        <v>45.073</v>
      </c>
      <c r="E236" s="18">
        <v>45.920999999999999</v>
      </c>
      <c r="F236" s="18">
        <v>45.817999999999998</v>
      </c>
      <c r="G236" s="18">
        <v>17.75</v>
      </c>
      <c r="H236" s="18">
        <f t="shared" si="15"/>
        <v>45.272124999999996</v>
      </c>
      <c r="I236" s="5"/>
      <c r="J236" s="17">
        <v>954.82190000000003</v>
      </c>
      <c r="K236" s="18">
        <v>45.1492</v>
      </c>
      <c r="L236" s="18">
        <v>46.276499999999999</v>
      </c>
      <c r="M236" s="18">
        <v>46.200800000000001</v>
      </c>
      <c r="N236" s="18">
        <v>58.496600000000001</v>
      </c>
      <c r="O236" s="18">
        <f t="shared" si="16"/>
        <v>45.4215625</v>
      </c>
      <c r="P236" s="7"/>
      <c r="Q236" s="10"/>
      <c r="R236" s="11"/>
      <c r="S236" s="11"/>
      <c r="T236" s="26"/>
      <c r="U236" s="28">
        <f t="shared" si="17"/>
        <v>2.2955830985915493</v>
      </c>
    </row>
    <row r="237" spans="2:21" x14ac:dyDescent="0.25">
      <c r="B237" s="9"/>
      <c r="C237" s="17">
        <v>654.45000000000005</v>
      </c>
      <c r="D237" s="18">
        <v>42.277999999999999</v>
      </c>
      <c r="E237" s="18">
        <v>43.354999999999997</v>
      </c>
      <c r="F237" s="18">
        <v>43.201000000000001</v>
      </c>
      <c r="G237" s="18">
        <v>19.989999999999998</v>
      </c>
      <c r="H237" s="18">
        <f t="shared" si="15"/>
        <v>42.528000000000006</v>
      </c>
      <c r="I237" s="5"/>
      <c r="J237" s="17">
        <v>590.4221</v>
      </c>
      <c r="K237" s="18">
        <v>42.418500000000002</v>
      </c>
      <c r="L237" s="18">
        <v>44.020899999999997</v>
      </c>
      <c r="M237" s="18">
        <v>43.863199999999999</v>
      </c>
      <c r="N237" s="18">
        <v>74.337199999999996</v>
      </c>
      <c r="O237" s="18">
        <f t="shared" si="16"/>
        <v>42.799387500000002</v>
      </c>
      <c r="P237" s="7"/>
      <c r="Q237" s="10"/>
      <c r="R237" s="11"/>
      <c r="S237" s="11"/>
      <c r="T237" s="26"/>
      <c r="U237" s="28">
        <f t="shared" si="17"/>
        <v>2.7187193596798402</v>
      </c>
    </row>
    <row r="238" spans="2:21" ht="16.5" thickBot="1" x14ac:dyDescent="0.3">
      <c r="B238" s="12"/>
      <c r="C238" s="19">
        <v>323.32</v>
      </c>
      <c r="D238" s="20">
        <v>37.969000000000001</v>
      </c>
      <c r="E238" s="20">
        <v>39.701999999999998</v>
      </c>
      <c r="F238" s="20">
        <v>39.426000000000002</v>
      </c>
      <c r="G238" s="20">
        <v>23.03</v>
      </c>
      <c r="H238" s="20">
        <f t="shared" si="15"/>
        <v>38.367750000000001</v>
      </c>
      <c r="I238" s="5"/>
      <c r="J238" s="19">
        <v>300.50389999999999</v>
      </c>
      <c r="K238" s="20">
        <v>37.918100000000003</v>
      </c>
      <c r="L238" s="20">
        <v>40.454000000000001</v>
      </c>
      <c r="M238" s="20">
        <v>40.261099999999999</v>
      </c>
      <c r="N238" s="20">
        <v>99.266499999999994</v>
      </c>
      <c r="O238" s="20">
        <f t="shared" si="16"/>
        <v>38.527962500000001</v>
      </c>
      <c r="P238" s="7"/>
      <c r="Q238" s="13"/>
      <c r="R238" s="14"/>
      <c r="S238" s="14"/>
      <c r="T238" s="27"/>
      <c r="U238" s="28">
        <f t="shared" si="17"/>
        <v>3.3103126356925743</v>
      </c>
    </row>
    <row r="239" spans="2:21" x14ac:dyDescent="0.25">
      <c r="B239" s="6" t="s">
        <v>112</v>
      </c>
      <c r="C239" s="15">
        <v>1962.95</v>
      </c>
      <c r="D239" s="16">
        <v>46.927999999999997</v>
      </c>
      <c r="E239" s="16">
        <v>48.924999999999997</v>
      </c>
      <c r="F239" s="16">
        <v>49.164000000000001</v>
      </c>
      <c r="G239" s="16">
        <v>17.47</v>
      </c>
      <c r="H239" s="16">
        <f t="shared" si="15"/>
        <v>47.457124999999998</v>
      </c>
      <c r="I239" s="5"/>
      <c r="J239" s="15">
        <v>1385.9856</v>
      </c>
      <c r="K239" s="16">
        <v>47.441400000000002</v>
      </c>
      <c r="L239" s="16">
        <v>49.417400000000001</v>
      </c>
      <c r="M239" s="16">
        <v>49.509</v>
      </c>
      <c r="N239" s="16">
        <v>59.624400000000001</v>
      </c>
      <c r="O239" s="16">
        <f t="shared" si="16"/>
        <v>47.946850000000005</v>
      </c>
      <c r="P239" s="7"/>
      <c r="Q239" s="8">
        <f>bdrate(C239:C242,D239:D242,J239:J242,K239:K242)</f>
        <v>-0.28397251687930658</v>
      </c>
      <c r="R239" s="8">
        <f>bdrate(C239:C242,E239:E242,J239:J242,L239:L242)</f>
        <v>-0.36466749074446614</v>
      </c>
      <c r="S239" s="8">
        <f>bdrate(C239:C242,F239:F242,J239:J242,M239:M242)</f>
        <v>-0.36017776083902742</v>
      </c>
      <c r="T239" s="25">
        <f>bdrate(C239:C242,H239:H242,J239:J242,O239:O242)</f>
        <v>-0.30173034453140479</v>
      </c>
      <c r="U239" s="28">
        <f t="shared" si="17"/>
        <v>2.4129593589009732</v>
      </c>
    </row>
    <row r="240" spans="2:21" x14ac:dyDescent="0.25">
      <c r="B240" s="9"/>
      <c r="C240" s="17">
        <v>1276.51</v>
      </c>
      <c r="D240" s="18">
        <v>44.436999999999998</v>
      </c>
      <c r="E240" s="18">
        <v>46.427999999999997</v>
      </c>
      <c r="F240" s="18">
        <v>46.658000000000001</v>
      </c>
      <c r="G240" s="18">
        <v>19.57</v>
      </c>
      <c r="H240" s="18">
        <f t="shared" si="15"/>
        <v>44.963499999999996</v>
      </c>
      <c r="I240" s="5"/>
      <c r="J240" s="17">
        <v>968.51869999999997</v>
      </c>
      <c r="K240" s="18">
        <v>46.053400000000003</v>
      </c>
      <c r="L240" s="18">
        <v>48.228299999999997</v>
      </c>
      <c r="M240" s="18">
        <v>48.412599999999998</v>
      </c>
      <c r="N240" s="18">
        <v>69.079300000000003</v>
      </c>
      <c r="O240" s="18">
        <f t="shared" si="16"/>
        <v>46.620162499999999</v>
      </c>
      <c r="P240" s="7"/>
      <c r="Q240" s="10"/>
      <c r="R240" s="11"/>
      <c r="S240" s="11"/>
      <c r="T240" s="26"/>
      <c r="U240" s="28">
        <f t="shared" si="17"/>
        <v>2.5298569238630559</v>
      </c>
    </row>
    <row r="241" spans="2:21" x14ac:dyDescent="0.25">
      <c r="B241" s="9"/>
      <c r="C241" s="17">
        <v>746.87</v>
      </c>
      <c r="D241" s="18">
        <v>41.78</v>
      </c>
      <c r="E241" s="18">
        <v>43.8</v>
      </c>
      <c r="F241" s="18">
        <v>44.069000000000003</v>
      </c>
      <c r="G241" s="18">
        <v>22.15</v>
      </c>
      <c r="H241" s="18">
        <f t="shared" si="15"/>
        <v>42.318625000000004</v>
      </c>
      <c r="I241" s="5"/>
      <c r="J241" s="17">
        <v>621.57119999999998</v>
      </c>
      <c r="K241" s="18">
        <v>42.472200000000001</v>
      </c>
      <c r="L241" s="18">
        <v>45.149799999999999</v>
      </c>
      <c r="M241" s="18">
        <v>45.369399999999999</v>
      </c>
      <c r="N241" s="18">
        <v>77.874899999999997</v>
      </c>
      <c r="O241" s="18">
        <f t="shared" si="16"/>
        <v>43.169049999999999</v>
      </c>
      <c r="P241" s="7"/>
      <c r="Q241" s="10"/>
      <c r="R241" s="11"/>
      <c r="S241" s="11"/>
      <c r="T241" s="26"/>
      <c r="U241" s="28">
        <f t="shared" si="17"/>
        <v>2.5157968397291195</v>
      </c>
    </row>
    <row r="242" spans="2:21" ht="16.5" thickBot="1" x14ac:dyDescent="0.3">
      <c r="B242" s="12"/>
      <c r="C242" s="19">
        <v>357.89</v>
      </c>
      <c r="D242" s="20">
        <v>38.029000000000003</v>
      </c>
      <c r="E242" s="20">
        <v>40.249000000000002</v>
      </c>
      <c r="F242" s="20">
        <v>40.579000000000001</v>
      </c>
      <c r="G242" s="20">
        <v>25.96</v>
      </c>
      <c r="H242" s="20">
        <f t="shared" si="15"/>
        <v>38.625250000000008</v>
      </c>
      <c r="I242" s="5"/>
      <c r="J242" s="19">
        <v>330.48790000000002</v>
      </c>
      <c r="K242" s="20">
        <v>37.9054</v>
      </c>
      <c r="L242" s="20">
        <v>41.114100000000001</v>
      </c>
      <c r="M242" s="20">
        <v>41.372700000000002</v>
      </c>
      <c r="N242" s="20">
        <v>123.12739999999999</v>
      </c>
      <c r="O242" s="20">
        <f t="shared" si="16"/>
        <v>38.739899999999999</v>
      </c>
      <c r="P242" s="7"/>
      <c r="Q242" s="13"/>
      <c r="R242" s="14"/>
      <c r="S242" s="14"/>
      <c r="T242" s="27"/>
      <c r="U242" s="28">
        <f t="shared" si="17"/>
        <v>3.7429661016949147</v>
      </c>
    </row>
    <row r="243" spans="2:21" x14ac:dyDescent="0.25">
      <c r="B243" s="6" t="s">
        <v>113</v>
      </c>
      <c r="C243" s="29">
        <v>1534.58</v>
      </c>
      <c r="D243" s="30">
        <v>33.555</v>
      </c>
      <c r="E243" s="30">
        <v>36.670999999999999</v>
      </c>
      <c r="F243" s="30">
        <v>35.542999999999999</v>
      </c>
      <c r="G243" s="16">
        <v>11.73</v>
      </c>
      <c r="H243" s="16">
        <f t="shared" si="15"/>
        <v>34.192999999999998</v>
      </c>
      <c r="I243" s="5"/>
      <c r="J243" s="29">
        <v>1511.9196999999999</v>
      </c>
      <c r="K243" s="30">
        <v>33.483199999999997</v>
      </c>
      <c r="L243" s="30">
        <v>37.415599999999998</v>
      </c>
      <c r="M243" s="30">
        <v>36.287399999999998</v>
      </c>
      <c r="N243" s="16">
        <v>35.451900000000002</v>
      </c>
      <c r="O243" s="16">
        <f t="shared" si="16"/>
        <v>34.325274999999998</v>
      </c>
      <c r="P243" s="7"/>
      <c r="Q243" s="8">
        <f>bdrate(C243:C246,D243:D246,J243:J246,K243:K246)</f>
        <v>-8.1894464867465766E-3</v>
      </c>
      <c r="R243" s="8">
        <f>bdrate(C243:C246,E243:E246,J243:J246,L243:L246)</f>
        <v>-0.37957118396878986</v>
      </c>
      <c r="S243" s="8">
        <f>bdrate(C243:C246,F243:F246,J243:J246,M243:M246)</f>
        <v>-0.37148979386918435</v>
      </c>
      <c r="T243" s="25">
        <f>bdrate(C243:C246,H243:H246,J243:J246,O243:O246)</f>
        <v>-8.9181045495357436E-2</v>
      </c>
      <c r="U243" s="28">
        <f t="shared" si="17"/>
        <v>2.0223273657289003</v>
      </c>
    </row>
    <row r="244" spans="2:21" x14ac:dyDescent="0.25">
      <c r="B244" s="9"/>
      <c r="C244" s="31">
        <v>1019.47</v>
      </c>
      <c r="D244" s="32">
        <v>31.675999999999998</v>
      </c>
      <c r="E244" s="32">
        <v>35.28</v>
      </c>
      <c r="F244" s="32">
        <v>34.058999999999997</v>
      </c>
      <c r="G244" s="18">
        <v>12.92</v>
      </c>
      <c r="H244" s="18">
        <f t="shared" si="15"/>
        <v>32.424374999999998</v>
      </c>
      <c r="I244" s="5"/>
      <c r="J244" s="31">
        <v>1008.4155</v>
      </c>
      <c r="K244" s="32">
        <v>31.558499999999999</v>
      </c>
      <c r="L244" s="32">
        <v>36.337200000000003</v>
      </c>
      <c r="M244" s="32">
        <v>35.155500000000004</v>
      </c>
      <c r="N244" s="18">
        <v>41.705300000000001</v>
      </c>
      <c r="O244" s="18">
        <f t="shared" si="16"/>
        <v>32.605462500000002</v>
      </c>
      <c r="P244" s="7"/>
      <c r="Q244" s="10"/>
      <c r="R244" s="11"/>
      <c r="S244" s="11"/>
      <c r="T244" s="26"/>
      <c r="U244" s="28">
        <f t="shared" si="17"/>
        <v>2.2279643962848299</v>
      </c>
    </row>
    <row r="245" spans="2:21" x14ac:dyDescent="0.25">
      <c r="B245" s="9"/>
      <c r="C245" s="31">
        <v>608.59</v>
      </c>
      <c r="D245" s="32">
        <v>29.395</v>
      </c>
      <c r="E245" s="32">
        <v>33.673000000000002</v>
      </c>
      <c r="F245" s="32">
        <v>32.368000000000002</v>
      </c>
      <c r="G245" s="18">
        <v>14.7</v>
      </c>
      <c r="H245" s="18">
        <f t="shared" si="15"/>
        <v>30.301375</v>
      </c>
      <c r="I245" s="5"/>
      <c r="J245" s="31">
        <v>605.50329999999997</v>
      </c>
      <c r="K245" s="32">
        <v>29.380299999999998</v>
      </c>
      <c r="L245" s="32">
        <v>35.158299999999997</v>
      </c>
      <c r="M245" s="32">
        <v>33.896700000000003</v>
      </c>
      <c r="N245" s="18">
        <v>51.874699999999997</v>
      </c>
      <c r="O245" s="18">
        <f t="shared" si="16"/>
        <v>30.667099999999998</v>
      </c>
      <c r="P245" s="7"/>
      <c r="Q245" s="10"/>
      <c r="R245" s="11"/>
      <c r="S245" s="11"/>
      <c r="T245" s="26"/>
      <c r="U245" s="28">
        <f t="shared" si="17"/>
        <v>2.5288911564625853</v>
      </c>
    </row>
    <row r="246" spans="2:21" ht="16.5" thickBot="1" x14ac:dyDescent="0.3">
      <c r="B246" s="12"/>
      <c r="C246" s="33">
        <v>293.49</v>
      </c>
      <c r="D246" s="34">
        <v>26.288</v>
      </c>
      <c r="E246" s="34">
        <v>31.190999999999999</v>
      </c>
      <c r="F246" s="34">
        <v>29.856999999999999</v>
      </c>
      <c r="G246" s="20">
        <v>18.38</v>
      </c>
      <c r="H246" s="20">
        <f t="shared" si="15"/>
        <v>27.347000000000001</v>
      </c>
      <c r="I246" s="5"/>
      <c r="J246" s="33">
        <v>303.86410000000001</v>
      </c>
      <c r="K246" s="34">
        <v>26.786999999999999</v>
      </c>
      <c r="L246" s="34">
        <v>33.51</v>
      </c>
      <c r="M246" s="34">
        <v>32.1265</v>
      </c>
      <c r="N246" s="20">
        <v>69.294700000000006</v>
      </c>
      <c r="O246" s="20">
        <f t="shared" si="16"/>
        <v>28.294812499999995</v>
      </c>
      <c r="P246" s="7"/>
      <c r="Q246" s="13"/>
      <c r="R246" s="14"/>
      <c r="S246" s="14"/>
      <c r="T246" s="27"/>
      <c r="U246" s="28">
        <f t="shared" si="17"/>
        <v>2.7701142546245925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-6.0646525993003839E-2</v>
      </c>
      <c r="R247" s="21">
        <f>AVERAGE(R131:R246)</f>
        <v>-0.32432877556987083</v>
      </c>
      <c r="S247" s="21">
        <f>AVERAGE(S131:S246)</f>
        <v>-0.30250716997259453</v>
      </c>
      <c r="T247" s="21">
        <f>AVERAGE(T131:T246)</f>
        <v>-0.11322153999912796</v>
      </c>
      <c r="U247" s="21">
        <f>AVERAGE(U131:U246)</f>
        <v>2.885415320111087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19" priority="453" operator="greaterThan">
      <formula>0.03</formula>
    </cfRule>
    <cfRule type="cellIs" dxfId="118" priority="454" stopIfTrue="1" operator="lessThan">
      <formula>-0.03</formula>
    </cfRule>
  </conditionalFormatting>
  <conditionalFormatting sqref="Q33:T36">
    <cfRule type="cellIs" dxfId="117" priority="451" operator="greaterThan">
      <formula>0.03</formula>
    </cfRule>
    <cfRule type="cellIs" dxfId="116" priority="452" stopIfTrue="1" operator="lessThan">
      <formula>-0.03</formula>
    </cfRule>
  </conditionalFormatting>
  <conditionalFormatting sqref="Q46:T48 Q62:T64">
    <cfRule type="cellIs" dxfId="115" priority="449" operator="greaterThan">
      <formula>0.03</formula>
    </cfRule>
    <cfRule type="cellIs" dxfId="114" priority="450" stopIfTrue="1" operator="lessThan">
      <formula>-0.03</formula>
    </cfRule>
  </conditionalFormatting>
  <conditionalFormatting sqref="Q50:T52 Q54:T56 Q58:T60">
    <cfRule type="cellIs" dxfId="113" priority="447" operator="greaterThan">
      <formula>0.03</formula>
    </cfRule>
    <cfRule type="cellIs" dxfId="112" priority="448" stopIfTrue="1" operator="lessThan">
      <formula>-0.03</formula>
    </cfRule>
  </conditionalFormatting>
  <conditionalFormatting sqref="Q70:T72 Q74:T76">
    <cfRule type="cellIs" dxfId="111" priority="445" operator="greaterThan">
      <formula>0.03</formula>
    </cfRule>
    <cfRule type="cellIs" dxfId="110" priority="446" stopIfTrue="1" operator="lessThan">
      <formula>-0.03</formula>
    </cfRule>
  </conditionalFormatting>
  <conditionalFormatting sqref="Q66:T68">
    <cfRule type="cellIs" dxfId="109" priority="443" operator="greaterThan">
      <formula>0.03</formula>
    </cfRule>
    <cfRule type="cellIs" dxfId="108" priority="444" stopIfTrue="1" operator="lessThan">
      <formula>-0.03</formula>
    </cfRule>
  </conditionalFormatting>
  <conditionalFormatting sqref="Q78:T80">
    <cfRule type="cellIs" dxfId="107" priority="441" operator="greaterThan">
      <formula>0.03</formula>
    </cfRule>
    <cfRule type="cellIs" dxfId="106" priority="442" stopIfTrue="1" operator="lessThan">
      <formula>-0.03</formula>
    </cfRule>
  </conditionalFormatting>
  <conditionalFormatting sqref="Q21:T28">
    <cfRule type="cellIs" dxfId="105" priority="423" operator="greaterThan">
      <formula>0.03</formula>
    </cfRule>
    <cfRule type="cellIs" dxfId="104" priority="424" stopIfTrue="1" operator="lessThan">
      <formula>-0.03</formula>
    </cfRule>
  </conditionalFormatting>
  <conditionalFormatting sqref="Q151:T154 Q159:T166 Q131:T142">
    <cfRule type="cellIs" dxfId="103" priority="419" operator="greaterThan">
      <formula>0.03</formula>
    </cfRule>
    <cfRule type="cellIs" dxfId="102" priority="420" stopIfTrue="1" operator="lessThan">
      <formula>-0.03</formula>
    </cfRule>
  </conditionalFormatting>
  <conditionalFormatting sqref="Q155:T158">
    <cfRule type="cellIs" dxfId="101" priority="417" operator="greaterThan">
      <formula>0.03</formula>
    </cfRule>
    <cfRule type="cellIs" dxfId="100" priority="418" stopIfTrue="1" operator="lessThan">
      <formula>-0.03</formula>
    </cfRule>
  </conditionalFormatting>
  <conditionalFormatting sqref="Q167:T170 Q183:T186">
    <cfRule type="cellIs" dxfId="99" priority="415" operator="greaterThan">
      <formula>0.03</formula>
    </cfRule>
    <cfRule type="cellIs" dxfId="98" priority="416" stopIfTrue="1" operator="lessThan">
      <formula>-0.03</formula>
    </cfRule>
  </conditionalFormatting>
  <conditionalFormatting sqref="Q171:T182">
    <cfRule type="cellIs" dxfId="97" priority="413" operator="greaterThan">
      <formula>0.03</formula>
    </cfRule>
    <cfRule type="cellIs" dxfId="96" priority="414" stopIfTrue="1" operator="lessThan">
      <formula>-0.03</formula>
    </cfRule>
  </conditionalFormatting>
  <conditionalFormatting sqref="Q191:T198">
    <cfRule type="cellIs" dxfId="95" priority="411" operator="greaterThan">
      <formula>0.03</formula>
    </cfRule>
    <cfRule type="cellIs" dxfId="94" priority="412" stopIfTrue="1" operator="lessThan">
      <formula>-0.03</formula>
    </cfRule>
  </conditionalFormatting>
  <conditionalFormatting sqref="Q187:T190">
    <cfRule type="cellIs" dxfId="93" priority="409" operator="greaterThan">
      <formula>0.03</formula>
    </cfRule>
    <cfRule type="cellIs" dxfId="92" priority="410" stopIfTrue="1" operator="lessThan">
      <formula>-0.03</formula>
    </cfRule>
  </conditionalFormatting>
  <conditionalFormatting sqref="Q199:T202">
    <cfRule type="cellIs" dxfId="91" priority="407" operator="greaterThan">
      <formula>0.03</formula>
    </cfRule>
    <cfRule type="cellIs" dxfId="90" priority="408" stopIfTrue="1" operator="lessThan">
      <formula>-0.03</formula>
    </cfRule>
  </conditionalFormatting>
  <conditionalFormatting sqref="Q143:T150">
    <cfRule type="cellIs" dxfId="89" priority="405" operator="greaterThan">
      <formula>0.03</formula>
    </cfRule>
    <cfRule type="cellIs" dxfId="88" priority="406" stopIfTrue="1" operator="lessThan">
      <formula>-0.03</formula>
    </cfRule>
  </conditionalFormatting>
  <conditionalFormatting sqref="Q45:T45">
    <cfRule type="cellIs" dxfId="87" priority="403" operator="greaterThan">
      <formula>0.03</formula>
    </cfRule>
    <cfRule type="cellIs" dxfId="86" priority="404" stopIfTrue="1" operator="lessThan">
      <formula>-0.03</formula>
    </cfRule>
  </conditionalFormatting>
  <conditionalFormatting sqref="Q49:T49">
    <cfRule type="cellIs" dxfId="85" priority="401" operator="greaterThan">
      <formula>0.03</formula>
    </cfRule>
    <cfRule type="cellIs" dxfId="84" priority="402" stopIfTrue="1" operator="lessThan">
      <formula>-0.03</formula>
    </cfRule>
  </conditionalFormatting>
  <conditionalFormatting sqref="Q53:T53">
    <cfRule type="cellIs" dxfId="83" priority="399" operator="greaterThan">
      <formula>0.03</formula>
    </cfRule>
    <cfRule type="cellIs" dxfId="82" priority="400" stopIfTrue="1" operator="lessThan">
      <formula>-0.03</formula>
    </cfRule>
  </conditionalFormatting>
  <conditionalFormatting sqref="Q57:T57">
    <cfRule type="cellIs" dxfId="81" priority="397" operator="greaterThan">
      <formula>0.03</formula>
    </cfRule>
    <cfRule type="cellIs" dxfId="80" priority="398" stopIfTrue="1" operator="lessThan">
      <formula>-0.03</formula>
    </cfRule>
  </conditionalFormatting>
  <conditionalFormatting sqref="Q61:T61">
    <cfRule type="cellIs" dxfId="79" priority="395" operator="greaterThan">
      <formula>0.03</formula>
    </cfRule>
    <cfRule type="cellIs" dxfId="78" priority="396" stopIfTrue="1" operator="lessThan">
      <formula>-0.03</formula>
    </cfRule>
  </conditionalFormatting>
  <conditionalFormatting sqref="Q65:T65">
    <cfRule type="cellIs" dxfId="77" priority="393" operator="greaterThan">
      <formula>0.03</formula>
    </cfRule>
    <cfRule type="cellIs" dxfId="76" priority="394" stopIfTrue="1" operator="lessThan">
      <formula>-0.03</formula>
    </cfRule>
  </conditionalFormatting>
  <conditionalFormatting sqref="Q69:T69">
    <cfRule type="cellIs" dxfId="75" priority="391" operator="greaterThan">
      <formula>0.03</formula>
    </cfRule>
    <cfRule type="cellIs" dxfId="74" priority="392" stopIfTrue="1" operator="lessThan">
      <formula>-0.03</formula>
    </cfRule>
  </conditionalFormatting>
  <conditionalFormatting sqref="Q73:T73">
    <cfRule type="cellIs" dxfId="73" priority="389" operator="greaterThan">
      <formula>0.03</formula>
    </cfRule>
    <cfRule type="cellIs" dxfId="72" priority="390" stopIfTrue="1" operator="lessThan">
      <formula>-0.03</formula>
    </cfRule>
  </conditionalFormatting>
  <conditionalFormatting sqref="Q77:T77">
    <cfRule type="cellIs" dxfId="71" priority="387" operator="greaterThan">
      <formula>0.03</formula>
    </cfRule>
    <cfRule type="cellIs" dxfId="70" priority="388" stopIfTrue="1" operator="lessThan">
      <formula>-0.03</formula>
    </cfRule>
  </conditionalFormatting>
  <conditionalFormatting sqref="Q117:T117">
    <cfRule type="cellIs" dxfId="69" priority="99" operator="greaterThan">
      <formula>0.03</formula>
    </cfRule>
    <cfRule type="cellIs" dxfId="68" priority="100" stopIfTrue="1" operator="lessThan">
      <formula>-0.03</formula>
    </cfRule>
  </conditionalFormatting>
  <conditionalFormatting sqref="Q93:T96 Q101:T108 Q81:T84">
    <cfRule type="cellIs" dxfId="67" priority="113" operator="greaterThan">
      <formula>0.03</formula>
    </cfRule>
    <cfRule type="cellIs" dxfId="66" priority="114" stopIfTrue="1" operator="lessThan">
      <formula>-0.03</formula>
    </cfRule>
  </conditionalFormatting>
  <conditionalFormatting sqref="Q97:T100">
    <cfRule type="cellIs" dxfId="65" priority="111" operator="greaterThan">
      <formula>0.03</formula>
    </cfRule>
    <cfRule type="cellIs" dxfId="64" priority="112" stopIfTrue="1" operator="lessThan">
      <formula>-0.03</formula>
    </cfRule>
  </conditionalFormatting>
  <conditionalFormatting sqref="Q110:T112 Q122:T124">
    <cfRule type="cellIs" dxfId="63" priority="109" operator="greaterThan">
      <formula>0.03</formula>
    </cfRule>
    <cfRule type="cellIs" dxfId="62" priority="110" stopIfTrue="1" operator="lessThan">
      <formula>-0.03</formula>
    </cfRule>
  </conditionalFormatting>
  <conditionalFormatting sqref="Q114:T116 Q118:T120">
    <cfRule type="cellIs" dxfId="61" priority="107" operator="greaterThan">
      <formula>0.03</formula>
    </cfRule>
    <cfRule type="cellIs" dxfId="60" priority="108" stopIfTrue="1" operator="lessThan">
      <formula>-0.03</formula>
    </cfRule>
  </conditionalFormatting>
  <conditionalFormatting sqref="Q85:T92">
    <cfRule type="cellIs" dxfId="59" priority="105" operator="greaterThan">
      <formula>0.03</formula>
    </cfRule>
    <cfRule type="cellIs" dxfId="58" priority="106" stopIfTrue="1" operator="lessThan">
      <formula>-0.03</formula>
    </cfRule>
  </conditionalFormatting>
  <conditionalFormatting sqref="Q109:T109">
    <cfRule type="cellIs" dxfId="57" priority="103" operator="greaterThan">
      <formula>0.03</formula>
    </cfRule>
    <cfRule type="cellIs" dxfId="56" priority="104" stopIfTrue="1" operator="lessThan">
      <formula>-0.03</formula>
    </cfRule>
  </conditionalFormatting>
  <conditionalFormatting sqref="Q113:T113">
    <cfRule type="cellIs" dxfId="55" priority="101" operator="greaterThan">
      <formula>0.03</formula>
    </cfRule>
    <cfRule type="cellIs" dxfId="54" priority="102" stopIfTrue="1" operator="lessThan">
      <formula>-0.03</formula>
    </cfRule>
  </conditionalFormatting>
  <conditionalFormatting sqref="Q121:T121">
    <cfRule type="cellIs" dxfId="53" priority="97" operator="greaterThan">
      <formula>0.03</formula>
    </cfRule>
    <cfRule type="cellIs" dxfId="52" priority="98" stopIfTrue="1" operator="lessThan">
      <formula>-0.03</formula>
    </cfRule>
  </conditionalFormatting>
  <conditionalFormatting sqref="Q239:T239">
    <cfRule type="cellIs" dxfId="51" priority="33" operator="greaterThan">
      <formula>0.03</formula>
    </cfRule>
    <cfRule type="cellIs" dxfId="50" priority="34" stopIfTrue="1" operator="lessThan">
      <formula>-0.03</formula>
    </cfRule>
  </conditionalFormatting>
  <conditionalFormatting sqref="Q215:T218 Q223:T230 Q203:T206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Q219:T222">
    <cfRule type="cellIs" dxfId="47" priority="45" operator="greaterThan">
      <formula>0.03</formula>
    </cfRule>
    <cfRule type="cellIs" dxfId="46" priority="46" stopIfTrue="1" operator="lessThan">
      <formula>-0.03</formula>
    </cfRule>
  </conditionalFormatting>
  <conditionalFormatting sqref="Q232:T234 Q244:T246">
    <cfRule type="cellIs" dxfId="45" priority="43" operator="greaterThan">
      <formula>0.03</formula>
    </cfRule>
    <cfRule type="cellIs" dxfId="44" priority="44" stopIfTrue="1" operator="lessThan">
      <formula>-0.03</formula>
    </cfRule>
  </conditionalFormatting>
  <conditionalFormatting sqref="Q236:T238 Q240:T242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Q207:T214">
    <cfRule type="cellIs" dxfId="41" priority="39" operator="greaterThan">
      <formula>0.03</formula>
    </cfRule>
    <cfRule type="cellIs" dxfId="40" priority="40" stopIfTrue="1" operator="lessThan">
      <formula>-0.03</formula>
    </cfRule>
  </conditionalFormatting>
  <conditionalFormatting sqref="Q231:T231">
    <cfRule type="cellIs" dxfId="39" priority="37" operator="greaterThan">
      <formula>0.03</formula>
    </cfRule>
    <cfRule type="cellIs" dxfId="38" priority="38" stopIfTrue="1" operator="lessThan">
      <formula>-0.03</formula>
    </cfRule>
  </conditionalFormatting>
  <conditionalFormatting sqref="Q235:T235">
    <cfRule type="cellIs" dxfId="37" priority="35" operator="greaterThan">
      <formula>0.03</formula>
    </cfRule>
    <cfRule type="cellIs" dxfId="36" priority="36" stopIfTrue="1" operator="lessThan">
      <formula>-0.03</formula>
    </cfRule>
  </conditionalFormatting>
  <conditionalFormatting sqref="Q243:T243">
    <cfRule type="cellIs" dxfId="35" priority="31" operator="greaterThan">
      <formula>0.03</formula>
    </cfRule>
    <cfRule type="cellIs" dxfId="34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96</v>
      </c>
    </row>
    <row r="2" spans="1:21" x14ac:dyDescent="0.25">
      <c r="A2" t="s">
        <v>95</v>
      </c>
    </row>
    <row r="3" spans="1:21" x14ac:dyDescent="0.25">
      <c r="A3" t="s">
        <v>91</v>
      </c>
    </row>
    <row r="4" spans="1:21" x14ac:dyDescent="0.25">
      <c r="A4" t="s">
        <v>94</v>
      </c>
    </row>
    <row r="5" spans="1:21" s="35" customFormat="1" ht="15.75" customHeight="1" x14ac:dyDescent="0.25">
      <c r="B5" s="51" t="s">
        <v>29</v>
      </c>
      <c r="C5" s="56" t="s">
        <v>136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84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3532.12</v>
      </c>
      <c r="D9" s="16">
        <v>37.991</v>
      </c>
      <c r="E9" s="16">
        <v>39.164000000000001</v>
      </c>
      <c r="F9" s="16">
        <v>41.524000000000001</v>
      </c>
      <c r="G9" s="16">
        <v>0.71</v>
      </c>
      <c r="H9" s="16">
        <f t="shared" ref="H9:H80" si="0">(6*D9+E9+F9)/8</f>
        <v>38.579250000000002</v>
      </c>
      <c r="I9" s="5"/>
      <c r="J9" s="15">
        <v>3957.4751999999999</v>
      </c>
      <c r="K9" s="16">
        <v>38.7517</v>
      </c>
      <c r="L9" s="16">
        <v>40.171599999999998</v>
      </c>
      <c r="M9" s="16">
        <v>42.899000000000001</v>
      </c>
      <c r="N9" s="16">
        <v>1.4285000000000001</v>
      </c>
      <c r="O9" s="16">
        <f t="shared" ref="O9:O80" si="1">(6*K9+L9+M9)/8</f>
        <v>39.447600000000001</v>
      </c>
      <c r="P9" s="7"/>
      <c r="Q9" s="8">
        <f>bdrate(C9:C12,D9:D12,J9:J12,K9:K12)</f>
        <v>-4.6649222145949243E-2</v>
      </c>
      <c r="R9" s="8">
        <f>bdrate(C9:C12,E9:E12,J9:J12,L9:L12)</f>
        <v>-0.40552960947416128</v>
      </c>
      <c r="S9" s="8">
        <f>bdrate(C9:C12,F9:F12,J9:J12,M9:M12)</f>
        <v>-0.39582526569003462</v>
      </c>
      <c r="T9" s="25">
        <f>bdrate(C9:C12,H9:H12,J9:J12,O9:O12)</f>
        <v>-0.10801891133221242</v>
      </c>
      <c r="U9" s="28">
        <f t="shared" ref="U9:U72" si="2">(N9-G9)/G9</f>
        <v>1.0119718309859158</v>
      </c>
    </row>
    <row r="10" spans="1:21" x14ac:dyDescent="0.25">
      <c r="A10" s="9" t="s">
        <v>36</v>
      </c>
      <c r="B10" s="9"/>
      <c r="C10" s="17">
        <v>2641.36</v>
      </c>
      <c r="D10" s="18">
        <v>37.155999999999999</v>
      </c>
      <c r="E10" s="18">
        <v>38.595999999999997</v>
      </c>
      <c r="F10" s="18">
        <v>40.945</v>
      </c>
      <c r="G10" s="18">
        <v>0.8</v>
      </c>
      <c r="H10" s="18">
        <f t="shared" si="0"/>
        <v>37.809624999999997</v>
      </c>
      <c r="I10" s="5"/>
      <c r="J10" s="17">
        <v>2874.8240000000001</v>
      </c>
      <c r="K10" s="18">
        <v>37.789700000000003</v>
      </c>
      <c r="L10" s="18">
        <v>39.6569</v>
      </c>
      <c r="M10" s="18">
        <v>42.1995</v>
      </c>
      <c r="N10" s="18">
        <v>1.6960999999999999</v>
      </c>
      <c r="O10" s="18">
        <f t="shared" si="1"/>
        <v>38.574325000000002</v>
      </c>
      <c r="P10" s="7"/>
      <c r="Q10" s="10"/>
      <c r="R10" s="11"/>
      <c r="S10" s="11"/>
      <c r="T10" s="26"/>
      <c r="U10" s="28">
        <f t="shared" si="2"/>
        <v>1.1201249999999998</v>
      </c>
    </row>
    <row r="11" spans="1:21" x14ac:dyDescent="0.25">
      <c r="B11" s="9"/>
      <c r="C11" s="17">
        <v>1743.46</v>
      </c>
      <c r="D11" s="18">
        <v>35.93</v>
      </c>
      <c r="E11" s="18">
        <v>37.884999999999998</v>
      </c>
      <c r="F11" s="18">
        <v>40.231000000000002</v>
      </c>
      <c r="G11" s="18">
        <v>0.92</v>
      </c>
      <c r="H11" s="18">
        <f t="shared" si="0"/>
        <v>36.711999999999996</v>
      </c>
      <c r="I11" s="5"/>
      <c r="J11" s="17">
        <v>1862.6192000000001</v>
      </c>
      <c r="K11" s="18">
        <v>36.341900000000003</v>
      </c>
      <c r="L11" s="18">
        <v>38.948799999999999</v>
      </c>
      <c r="M11" s="18">
        <v>41.353700000000003</v>
      </c>
      <c r="N11" s="18">
        <v>2.1156000000000001</v>
      </c>
      <c r="O11" s="18">
        <f t="shared" si="1"/>
        <v>37.294237500000001</v>
      </c>
      <c r="P11" s="7"/>
      <c r="Q11" s="10"/>
      <c r="R11" s="11"/>
      <c r="S11" s="11"/>
      <c r="T11" s="26"/>
      <c r="U11" s="28">
        <f t="shared" si="2"/>
        <v>1.2995652173913046</v>
      </c>
    </row>
    <row r="12" spans="1:21" ht="16.5" thickBot="1" x14ac:dyDescent="0.3">
      <c r="B12" s="12"/>
      <c r="C12" s="19">
        <v>837.96</v>
      </c>
      <c r="D12" s="20">
        <v>33.536000000000001</v>
      </c>
      <c r="E12" s="20">
        <v>37.091999999999999</v>
      </c>
      <c r="F12" s="20">
        <v>39.393999999999998</v>
      </c>
      <c r="G12" s="20">
        <v>1.19</v>
      </c>
      <c r="H12" s="20">
        <f t="shared" si="0"/>
        <v>34.71275</v>
      </c>
      <c r="I12" s="5"/>
      <c r="J12" s="19">
        <v>906.32320000000004</v>
      </c>
      <c r="K12" s="20">
        <v>33.646099999999997</v>
      </c>
      <c r="L12" s="20">
        <v>37.564500000000002</v>
      </c>
      <c r="M12" s="20">
        <v>39.816899999999997</v>
      </c>
      <c r="N12" s="20">
        <v>3.0724999999999998</v>
      </c>
      <c r="O12" s="20">
        <f t="shared" si="1"/>
        <v>34.907249999999998</v>
      </c>
      <c r="P12" s="7"/>
      <c r="Q12" s="13"/>
      <c r="R12" s="14"/>
      <c r="S12" s="14"/>
      <c r="T12" s="27"/>
      <c r="U12" s="28">
        <f t="shared" si="2"/>
        <v>1.5819327731092436</v>
      </c>
    </row>
    <row r="13" spans="1:21" x14ac:dyDescent="0.25">
      <c r="B13" s="6" t="s">
        <v>47</v>
      </c>
      <c r="C13" s="15">
        <v>3988.19</v>
      </c>
      <c r="D13" s="16">
        <v>30.847999999999999</v>
      </c>
      <c r="E13" s="16">
        <v>38.494</v>
      </c>
      <c r="F13" s="16">
        <v>39.612000000000002</v>
      </c>
      <c r="G13" s="16">
        <v>0.55000000000000004</v>
      </c>
      <c r="H13" s="16">
        <f t="shared" si="0"/>
        <v>32.899250000000002</v>
      </c>
      <c r="I13" s="5"/>
      <c r="J13" s="15">
        <v>4063.5616</v>
      </c>
      <c r="K13" s="16">
        <v>30.113099999999999</v>
      </c>
      <c r="L13" s="16">
        <v>40.886000000000003</v>
      </c>
      <c r="M13" s="16">
        <v>41.744799999999998</v>
      </c>
      <c r="N13" s="16">
        <v>0.97009999999999996</v>
      </c>
      <c r="O13" s="16">
        <f t="shared" si="1"/>
        <v>32.913674999999998</v>
      </c>
      <c r="P13" s="7"/>
      <c r="Q13" s="8">
        <f>bdrate(C13:C16,D13:D16,J13:J16,K13:K16)</f>
        <v>0.11099156261940624</v>
      </c>
      <c r="R13" s="8">
        <f>bdrate(C13:C16,E13:E16,J13:J16,L13:L16)</f>
        <v>-0.63848502891026859</v>
      </c>
      <c r="S13" s="8">
        <f>bdrate(C13:C16,F13:F16,J13:J16,M13:M16)</f>
        <v>-0.6438724108148759</v>
      </c>
      <c r="T13" s="25">
        <f>bdrate(C13:C16,H13:H16,J13:J16,O13:O16)</f>
        <v>-3.7103126896045779E-2</v>
      </c>
      <c r="U13" s="28">
        <f t="shared" si="2"/>
        <v>0.76381818181818162</v>
      </c>
    </row>
    <row r="14" spans="1:21" x14ac:dyDescent="0.25">
      <c r="B14" s="9"/>
      <c r="C14" s="17">
        <v>3008.8</v>
      </c>
      <c r="D14" s="18">
        <v>29.486999999999998</v>
      </c>
      <c r="E14" s="18">
        <v>37.89</v>
      </c>
      <c r="F14" s="18">
        <v>39.158999999999999</v>
      </c>
      <c r="G14" s="18">
        <v>0.63</v>
      </c>
      <c r="H14" s="18">
        <f t="shared" si="0"/>
        <v>31.746375</v>
      </c>
      <c r="I14" s="5"/>
      <c r="J14" s="17">
        <v>3053.7296000000001</v>
      </c>
      <c r="K14" s="18">
        <v>28.836300000000001</v>
      </c>
      <c r="L14" s="18">
        <v>40.358899999999998</v>
      </c>
      <c r="M14" s="18">
        <v>41.322099999999999</v>
      </c>
      <c r="N14" s="18">
        <v>1.1145</v>
      </c>
      <c r="O14" s="18">
        <f t="shared" si="1"/>
        <v>31.837350000000004</v>
      </c>
      <c r="P14" s="7"/>
      <c r="Q14" s="10"/>
      <c r="R14" s="11"/>
      <c r="S14" s="11"/>
      <c r="T14" s="26"/>
      <c r="U14" s="28">
        <f t="shared" si="2"/>
        <v>0.76904761904761909</v>
      </c>
    </row>
    <row r="15" spans="1:21" x14ac:dyDescent="0.25">
      <c r="B15" s="9"/>
      <c r="C15" s="17">
        <v>1995.02</v>
      </c>
      <c r="D15" s="18">
        <v>27.542000000000002</v>
      </c>
      <c r="E15" s="18">
        <v>36.999000000000002</v>
      </c>
      <c r="F15" s="18">
        <v>38.372</v>
      </c>
      <c r="G15" s="18">
        <v>0.77</v>
      </c>
      <c r="H15" s="18">
        <f t="shared" si="0"/>
        <v>30.077874999999999</v>
      </c>
      <c r="I15" s="5"/>
      <c r="J15" s="17">
        <v>2040.8368</v>
      </c>
      <c r="K15" s="18">
        <v>27.072299999999998</v>
      </c>
      <c r="L15" s="18">
        <v>39.541899999999998</v>
      </c>
      <c r="M15" s="18">
        <v>40.6511</v>
      </c>
      <c r="N15" s="18">
        <v>1.3693</v>
      </c>
      <c r="O15" s="18">
        <f t="shared" si="1"/>
        <v>30.32835</v>
      </c>
      <c r="P15" s="7"/>
      <c r="Q15" s="10"/>
      <c r="R15" s="11"/>
      <c r="S15" s="11"/>
      <c r="T15" s="26"/>
      <c r="U15" s="28">
        <f t="shared" si="2"/>
        <v>0.77831168831168818</v>
      </c>
    </row>
    <row r="16" spans="1:21" ht="16.5" thickBot="1" x14ac:dyDescent="0.3">
      <c r="B16" s="12"/>
      <c r="C16" s="19">
        <v>1566.12</v>
      </c>
      <c r="D16" s="20">
        <v>25.484999999999999</v>
      </c>
      <c r="E16" s="20">
        <v>35.817</v>
      </c>
      <c r="F16" s="20">
        <v>37.219000000000001</v>
      </c>
      <c r="G16" s="20">
        <v>0.87</v>
      </c>
      <c r="H16" s="20">
        <f t="shared" si="0"/>
        <v>28.24325</v>
      </c>
      <c r="I16" s="5"/>
      <c r="J16" s="19">
        <v>1384.76</v>
      </c>
      <c r="K16" s="20">
        <v>25.843399999999999</v>
      </c>
      <c r="L16" s="20">
        <v>38.381399999999999</v>
      </c>
      <c r="M16" s="20">
        <v>39.5533</v>
      </c>
      <c r="N16" s="20">
        <v>1.5677000000000001</v>
      </c>
      <c r="O16" s="20">
        <f t="shared" si="1"/>
        <v>29.124387500000001</v>
      </c>
      <c r="P16" s="7"/>
      <c r="Q16" s="13"/>
      <c r="R16" s="14"/>
      <c r="S16" s="14"/>
      <c r="T16" s="27"/>
      <c r="U16" s="28">
        <f t="shared" si="2"/>
        <v>0.80195402298850582</v>
      </c>
    </row>
    <row r="17" spans="1:21" x14ac:dyDescent="0.25">
      <c r="A17" s="6" t="s">
        <v>37</v>
      </c>
      <c r="B17" s="6" t="s">
        <v>48</v>
      </c>
      <c r="C17" s="15">
        <v>1974.03</v>
      </c>
      <c r="D17" s="16">
        <v>39.371000000000002</v>
      </c>
      <c r="E17" s="16">
        <v>41.616999999999997</v>
      </c>
      <c r="F17" s="16">
        <v>42.902000000000001</v>
      </c>
      <c r="G17" s="16">
        <v>1</v>
      </c>
      <c r="H17" s="16">
        <f t="shared" si="0"/>
        <v>40.093125000000001</v>
      </c>
      <c r="I17" s="5"/>
      <c r="J17" s="15">
        <v>2392.7575999999999</v>
      </c>
      <c r="K17" s="16">
        <v>39.628300000000003</v>
      </c>
      <c r="L17" s="16">
        <v>42.469299999999997</v>
      </c>
      <c r="M17" s="16">
        <v>44.128399999999999</v>
      </c>
      <c r="N17" s="16">
        <v>1.7233000000000001</v>
      </c>
      <c r="O17" s="16">
        <f t="shared" si="1"/>
        <v>40.545937500000001</v>
      </c>
      <c r="P17" s="7"/>
      <c r="Q17" s="8">
        <f>bdrate(C17:C20,D17:D20,J17:J20,K17:K20)</f>
        <v>4.4836081154132179E-2</v>
      </c>
      <c r="R17" s="8">
        <f>bdrate(C17:C20,E17:E20,J17:J20,L17:L20)</f>
        <v>-0.38618618386234704</v>
      </c>
      <c r="S17" s="8">
        <f>bdrate(C17:C20,F17:F20,J17:J20,M17:M20)</f>
        <v>-0.39415455013349843</v>
      </c>
      <c r="T17" s="25">
        <f>bdrate(C17:C20,H17:H20,J17:J20,O17:O20)</f>
        <v>-3.9693770062995681E-2</v>
      </c>
      <c r="U17" s="28">
        <f t="shared" si="2"/>
        <v>0.72330000000000005</v>
      </c>
    </row>
    <row r="18" spans="1:21" x14ac:dyDescent="0.25">
      <c r="A18" s="9" t="s">
        <v>38</v>
      </c>
      <c r="B18" s="9"/>
      <c r="C18" s="17">
        <v>1294.96</v>
      </c>
      <c r="D18" s="18">
        <v>38.052999999999997</v>
      </c>
      <c r="E18" s="18">
        <v>40.762</v>
      </c>
      <c r="F18" s="18">
        <v>41.978000000000002</v>
      </c>
      <c r="G18" s="18">
        <v>1.19</v>
      </c>
      <c r="H18" s="18">
        <f t="shared" si="0"/>
        <v>38.882249999999999</v>
      </c>
      <c r="I18" s="5"/>
      <c r="J18" s="17">
        <v>1557.7791999999999</v>
      </c>
      <c r="K18" s="18">
        <v>38.467700000000001</v>
      </c>
      <c r="L18" s="18">
        <v>41.8337</v>
      </c>
      <c r="M18" s="18">
        <v>43.2667</v>
      </c>
      <c r="N18" s="18">
        <v>2.1671</v>
      </c>
      <c r="O18" s="18">
        <f t="shared" si="1"/>
        <v>39.488325000000003</v>
      </c>
      <c r="P18" s="7"/>
      <c r="Q18" s="10"/>
      <c r="R18" s="11"/>
      <c r="S18" s="11"/>
      <c r="T18" s="26"/>
      <c r="U18" s="28">
        <f t="shared" si="2"/>
        <v>0.82109243697479006</v>
      </c>
    </row>
    <row r="19" spans="1:21" x14ac:dyDescent="0.25">
      <c r="B19" s="9"/>
      <c r="C19" s="17">
        <v>800.87</v>
      </c>
      <c r="D19" s="18">
        <v>36.456000000000003</v>
      </c>
      <c r="E19" s="18">
        <v>39.841000000000001</v>
      </c>
      <c r="F19" s="18">
        <v>41.137999999999998</v>
      </c>
      <c r="G19" s="18">
        <v>1.43</v>
      </c>
      <c r="H19" s="18">
        <f t="shared" si="0"/>
        <v>37.464374999999997</v>
      </c>
      <c r="I19" s="5"/>
      <c r="J19" s="17">
        <v>936.49279999999999</v>
      </c>
      <c r="K19" s="18">
        <v>36.861199999999997</v>
      </c>
      <c r="L19" s="18">
        <v>41.044800000000002</v>
      </c>
      <c r="M19" s="18">
        <v>42.296500000000002</v>
      </c>
      <c r="N19" s="18">
        <v>2.8149999999999999</v>
      </c>
      <c r="O19" s="18">
        <f t="shared" si="1"/>
        <v>38.063562499999996</v>
      </c>
      <c r="P19" s="7"/>
      <c r="Q19" s="10"/>
      <c r="R19" s="11"/>
      <c r="S19" s="11"/>
      <c r="T19" s="26"/>
      <c r="U19" s="28">
        <f t="shared" si="2"/>
        <v>0.96853146853146854</v>
      </c>
    </row>
    <row r="20" spans="1:21" ht="16.5" thickBot="1" x14ac:dyDescent="0.3">
      <c r="B20" s="12"/>
      <c r="C20" s="19">
        <v>476.5</v>
      </c>
      <c r="D20" s="20">
        <v>34.628</v>
      </c>
      <c r="E20" s="20">
        <v>38.914999999999999</v>
      </c>
      <c r="F20" s="20">
        <v>40.350999999999999</v>
      </c>
      <c r="G20" s="20">
        <v>1.71</v>
      </c>
      <c r="H20" s="20">
        <f t="shared" si="0"/>
        <v>35.879249999999999</v>
      </c>
      <c r="I20" s="5"/>
      <c r="J20" s="19">
        <v>548.23199999999997</v>
      </c>
      <c r="K20" s="20">
        <v>35.042400000000001</v>
      </c>
      <c r="L20" s="20">
        <v>40.292000000000002</v>
      </c>
      <c r="M20" s="20">
        <v>41.521099999999997</v>
      </c>
      <c r="N20" s="20">
        <v>3.7141000000000002</v>
      </c>
      <c r="O20" s="20">
        <f t="shared" si="1"/>
        <v>36.508437499999999</v>
      </c>
      <c r="P20" s="7"/>
      <c r="Q20" s="13"/>
      <c r="R20" s="14"/>
      <c r="S20" s="14"/>
      <c r="T20" s="27"/>
      <c r="U20" s="28">
        <f t="shared" si="2"/>
        <v>1.1719883040935675</v>
      </c>
    </row>
    <row r="21" spans="1:21" x14ac:dyDescent="0.25">
      <c r="B21" s="6" t="s">
        <v>49</v>
      </c>
      <c r="C21" s="15">
        <v>2227.48</v>
      </c>
      <c r="D21" s="16">
        <v>36.521000000000001</v>
      </c>
      <c r="E21" s="16">
        <v>39.579000000000001</v>
      </c>
      <c r="F21" s="16">
        <v>40.61</v>
      </c>
      <c r="G21" s="16">
        <v>1.08</v>
      </c>
      <c r="H21" s="16">
        <f t="shared" si="0"/>
        <v>37.414375</v>
      </c>
      <c r="I21" s="5"/>
      <c r="J21" s="15">
        <v>2497.4407999999999</v>
      </c>
      <c r="K21" s="16">
        <v>36.8247</v>
      </c>
      <c r="L21" s="16">
        <v>40.738199999999999</v>
      </c>
      <c r="M21" s="16">
        <v>42.032899999999998</v>
      </c>
      <c r="N21" s="16">
        <v>2.1057000000000001</v>
      </c>
      <c r="O21" s="16">
        <f t="shared" si="1"/>
        <v>37.964912499999997</v>
      </c>
      <c r="P21" s="7"/>
      <c r="Q21" s="8">
        <f>bdrate(C21:C24,D21:D24,J21:J24,K21:K24)</f>
        <v>1.6486060951650838E-2</v>
      </c>
      <c r="R21" s="8">
        <f>bdrate(C21:C24,E21:E24,J21:J24,L21:L24)</f>
        <v>-0.40796396823139247</v>
      </c>
      <c r="S21" s="8">
        <f>bdrate(C21:C24,F21:F24,J21:J24,M21:M24)</f>
        <v>-0.44613522210321832</v>
      </c>
      <c r="T21" s="25">
        <f>bdrate(C21:C24,H21:H24,J21:J24,O21:O24)</f>
        <v>-7.5312356070566078E-2</v>
      </c>
      <c r="U21" s="28">
        <f t="shared" si="2"/>
        <v>0.94972222222222225</v>
      </c>
    </row>
    <row r="22" spans="1:21" x14ac:dyDescent="0.25">
      <c r="B22" s="9"/>
      <c r="C22" s="17">
        <v>1479.59</v>
      </c>
      <c r="D22" s="18">
        <v>35.228999999999999</v>
      </c>
      <c r="E22" s="18">
        <v>38.618000000000002</v>
      </c>
      <c r="F22" s="18">
        <v>39.781999999999996</v>
      </c>
      <c r="G22" s="18">
        <v>1.26</v>
      </c>
      <c r="H22" s="18">
        <f t="shared" si="0"/>
        <v>36.22175</v>
      </c>
      <c r="I22" s="5"/>
      <c r="J22" s="17">
        <v>1657.7064</v>
      </c>
      <c r="K22" s="18">
        <v>35.5822</v>
      </c>
      <c r="L22" s="18">
        <v>39.900100000000002</v>
      </c>
      <c r="M22" s="18">
        <v>41.107300000000002</v>
      </c>
      <c r="N22" s="18">
        <v>2.5954000000000002</v>
      </c>
      <c r="O22" s="18">
        <f t="shared" si="1"/>
        <v>36.812575000000002</v>
      </c>
      <c r="P22" s="7"/>
      <c r="Q22" s="10"/>
      <c r="R22" s="11"/>
      <c r="S22" s="11"/>
      <c r="T22" s="26"/>
      <c r="U22" s="28">
        <f t="shared" si="2"/>
        <v>1.05984126984127</v>
      </c>
    </row>
    <row r="23" spans="1:21" x14ac:dyDescent="0.25">
      <c r="B23" s="9"/>
      <c r="C23" s="17">
        <v>919.52</v>
      </c>
      <c r="D23" s="18">
        <v>33.762999999999998</v>
      </c>
      <c r="E23" s="18">
        <v>37.642000000000003</v>
      </c>
      <c r="F23" s="18">
        <v>39.064</v>
      </c>
      <c r="G23" s="18">
        <v>1.49</v>
      </c>
      <c r="H23" s="18">
        <f t="shared" si="0"/>
        <v>34.910499999999999</v>
      </c>
      <c r="I23" s="5"/>
      <c r="J23" s="17">
        <v>1014.8128</v>
      </c>
      <c r="K23" s="18">
        <v>34.000599999999999</v>
      </c>
      <c r="L23" s="18">
        <v>38.909199999999998</v>
      </c>
      <c r="M23" s="18">
        <v>40.144799999999996</v>
      </c>
      <c r="N23" s="18">
        <v>3.2791999999999999</v>
      </c>
      <c r="O23" s="18">
        <f t="shared" si="1"/>
        <v>35.382199999999997</v>
      </c>
      <c r="P23" s="7"/>
      <c r="Q23" s="10"/>
      <c r="R23" s="11"/>
      <c r="S23" s="11"/>
      <c r="T23" s="26"/>
      <c r="U23" s="28">
        <f t="shared" si="2"/>
        <v>1.2008053691275167</v>
      </c>
    </row>
    <row r="24" spans="1:21" ht="16.5" thickBot="1" x14ac:dyDescent="0.3">
      <c r="B24" s="12"/>
      <c r="C24" s="19">
        <v>544.75</v>
      </c>
      <c r="D24" s="20">
        <v>32.186</v>
      </c>
      <c r="E24" s="20">
        <v>36.75</v>
      </c>
      <c r="F24" s="20">
        <v>38.484000000000002</v>
      </c>
      <c r="G24" s="20">
        <v>1.76</v>
      </c>
      <c r="H24" s="20">
        <f t="shared" si="0"/>
        <v>33.543749999999996</v>
      </c>
      <c r="I24" s="5"/>
      <c r="J24" s="19">
        <v>587.37919999999997</v>
      </c>
      <c r="K24" s="20">
        <v>32.3001</v>
      </c>
      <c r="L24" s="20">
        <v>37.950600000000001</v>
      </c>
      <c r="M24" s="20">
        <v>39.344700000000003</v>
      </c>
      <c r="N24" s="20">
        <v>4.3041999999999998</v>
      </c>
      <c r="O24" s="20">
        <f t="shared" si="1"/>
        <v>33.886987500000004</v>
      </c>
      <c r="P24" s="7"/>
      <c r="Q24" s="13"/>
      <c r="R24" s="14"/>
      <c r="S24" s="14"/>
      <c r="T24" s="27"/>
      <c r="U24" s="28">
        <f t="shared" si="2"/>
        <v>1.4455681818181818</v>
      </c>
    </row>
    <row r="25" spans="1:21" x14ac:dyDescent="0.25">
      <c r="B25" s="6" t="s">
        <v>50</v>
      </c>
      <c r="C25" s="15">
        <v>2358.58</v>
      </c>
      <c r="D25" s="16">
        <v>34.625</v>
      </c>
      <c r="E25" s="16">
        <v>37.871000000000002</v>
      </c>
      <c r="F25" s="16">
        <v>39.625</v>
      </c>
      <c r="G25" s="16">
        <v>1.38</v>
      </c>
      <c r="H25" s="16">
        <f t="shared" si="0"/>
        <v>35.655749999999998</v>
      </c>
      <c r="I25" s="5"/>
      <c r="J25" s="15">
        <v>2401.8072000000002</v>
      </c>
      <c r="K25" s="16">
        <v>35.161099999999998</v>
      </c>
      <c r="L25" s="16">
        <v>38.680500000000002</v>
      </c>
      <c r="M25" s="16">
        <v>41.197699999999998</v>
      </c>
      <c r="N25" s="16">
        <v>2.7271000000000001</v>
      </c>
      <c r="O25" s="16">
        <f t="shared" si="1"/>
        <v>36.355599999999995</v>
      </c>
      <c r="P25" s="7"/>
      <c r="Q25" s="8">
        <f>bdrate(C25:C28,D25:D28,J25:J28,K25:K28)</f>
        <v>-0.10545587376606214</v>
      </c>
      <c r="R25" s="8">
        <f>bdrate(C25:C28,E25:E28,J25:J28,L25:L28)</f>
        <v>-0.53111637175444426</v>
      </c>
      <c r="S25" s="8">
        <f>bdrate(C25:C28,F25:F28,J25:J28,M25:M28)</f>
        <v>-0.51603936584125987</v>
      </c>
      <c r="T25" s="25">
        <f>bdrate(C25:C28,H25:H28,J25:J28,O25:O28)</f>
        <v>-0.18465982592393126</v>
      </c>
      <c r="U25" s="28">
        <f t="shared" si="2"/>
        <v>0.97615942028985525</v>
      </c>
    </row>
    <row r="26" spans="1:21" x14ac:dyDescent="0.25">
      <c r="B26" s="9"/>
      <c r="C26" s="17">
        <v>1564.64</v>
      </c>
      <c r="D26" s="18">
        <v>33.512</v>
      </c>
      <c r="E26" s="18">
        <v>37.395000000000003</v>
      </c>
      <c r="F26" s="18">
        <v>38.850999999999999</v>
      </c>
      <c r="G26" s="18">
        <v>1.61</v>
      </c>
      <c r="H26" s="18">
        <f t="shared" si="0"/>
        <v>34.664749999999998</v>
      </c>
      <c r="I26" s="5"/>
      <c r="J26" s="17">
        <v>1600.44</v>
      </c>
      <c r="K26" s="18">
        <v>34.046900000000001</v>
      </c>
      <c r="L26" s="18">
        <v>38.282299999999999</v>
      </c>
      <c r="M26" s="18">
        <v>40.369599999999998</v>
      </c>
      <c r="N26" s="18">
        <v>3.3468</v>
      </c>
      <c r="O26" s="18">
        <f t="shared" si="1"/>
        <v>35.366662500000004</v>
      </c>
      <c r="P26" s="7"/>
      <c r="Q26" s="10"/>
      <c r="R26" s="11"/>
      <c r="S26" s="11"/>
      <c r="T26" s="26"/>
      <c r="U26" s="28">
        <f t="shared" si="2"/>
        <v>1.0787577639751551</v>
      </c>
    </row>
    <row r="27" spans="1:21" x14ac:dyDescent="0.25">
      <c r="B27" s="9"/>
      <c r="C27" s="17">
        <v>971.43</v>
      </c>
      <c r="D27" s="18">
        <v>32.148000000000003</v>
      </c>
      <c r="E27" s="18">
        <v>36.817999999999998</v>
      </c>
      <c r="F27" s="18">
        <v>37.935000000000002</v>
      </c>
      <c r="G27" s="18">
        <v>1.9</v>
      </c>
      <c r="H27" s="18">
        <f t="shared" si="0"/>
        <v>33.455125000000002</v>
      </c>
      <c r="I27" s="5"/>
      <c r="J27" s="17">
        <v>986.60640000000001</v>
      </c>
      <c r="K27" s="18">
        <v>32.480899999999998</v>
      </c>
      <c r="L27" s="18">
        <v>37.757399999999997</v>
      </c>
      <c r="M27" s="18">
        <v>39.380299999999998</v>
      </c>
      <c r="N27" s="18">
        <v>4.2667000000000002</v>
      </c>
      <c r="O27" s="18">
        <f t="shared" si="1"/>
        <v>34.0028875</v>
      </c>
      <c r="P27" s="7"/>
      <c r="Q27" s="10"/>
      <c r="R27" s="11"/>
      <c r="S27" s="11"/>
      <c r="T27" s="26"/>
      <c r="U27" s="28">
        <f t="shared" si="2"/>
        <v>1.2456315789473686</v>
      </c>
    </row>
    <row r="28" spans="1:21" ht="16.5" thickBot="1" x14ac:dyDescent="0.3">
      <c r="B28" s="12"/>
      <c r="C28" s="19">
        <v>568.51</v>
      </c>
      <c r="D28" s="20">
        <v>30.472000000000001</v>
      </c>
      <c r="E28" s="20">
        <v>36.048000000000002</v>
      </c>
      <c r="F28" s="20">
        <v>36.735999999999997</v>
      </c>
      <c r="G28" s="20">
        <v>2.27</v>
      </c>
      <c r="H28" s="20">
        <f t="shared" si="0"/>
        <v>31.951999999999998</v>
      </c>
      <c r="I28" s="5"/>
      <c r="J28" s="19">
        <v>584.97199999999998</v>
      </c>
      <c r="K28" s="20">
        <v>30.706499999999998</v>
      </c>
      <c r="L28" s="20">
        <v>37.088299999999997</v>
      </c>
      <c r="M28" s="20">
        <v>38.318800000000003</v>
      </c>
      <c r="N28" s="20">
        <v>5.7241999999999997</v>
      </c>
      <c r="O28" s="20">
        <f t="shared" si="1"/>
        <v>32.455762499999999</v>
      </c>
      <c r="P28" s="7"/>
      <c r="Q28" s="13"/>
      <c r="R28" s="14"/>
      <c r="S28" s="14"/>
      <c r="T28" s="27"/>
      <c r="U28" s="28">
        <f t="shared" si="2"/>
        <v>1.5216740088105725</v>
      </c>
    </row>
    <row r="29" spans="1:21" x14ac:dyDescent="0.25">
      <c r="B29" s="6" t="s">
        <v>51</v>
      </c>
      <c r="C29" s="29">
        <v>2418.48</v>
      </c>
      <c r="D29" s="30">
        <v>34.942999999999998</v>
      </c>
      <c r="E29" s="30">
        <v>40.194000000000003</v>
      </c>
      <c r="F29" s="30">
        <v>39.909999999999997</v>
      </c>
      <c r="G29" s="16">
        <v>1.18</v>
      </c>
      <c r="H29" s="16">
        <f t="shared" si="0"/>
        <v>36.220249999999993</v>
      </c>
      <c r="I29" s="5"/>
      <c r="J29" s="29">
        <v>2440.6167999999998</v>
      </c>
      <c r="K29" s="30">
        <v>34.944000000000003</v>
      </c>
      <c r="L29" s="30">
        <v>41.214700000000001</v>
      </c>
      <c r="M29" s="30">
        <v>40.9893</v>
      </c>
      <c r="N29" s="16">
        <v>2.3237000000000001</v>
      </c>
      <c r="O29" s="16">
        <f t="shared" si="1"/>
        <v>36.483499999999999</v>
      </c>
      <c r="P29" s="7"/>
      <c r="Q29" s="8">
        <f>bdrate(C29:C32,D29:D32,J29:J32,K29:K32)</f>
        <v>1.6479863806514894E-2</v>
      </c>
      <c r="R29" s="8">
        <f>bdrate(C29:C32,E29:E32,J29:J32,L29:L32)</f>
        <v>-0.48678867707696039</v>
      </c>
      <c r="S29" s="8">
        <f>bdrate(C29:C32,F29:F32,J29:J32,M29:M32)</f>
        <v>-0.40411487164410753</v>
      </c>
      <c r="T29" s="25">
        <f>bdrate(C29:C32,H29:H32,J29:J32,O29:O32)</f>
        <v>-8.5450208317506604E-2</v>
      </c>
      <c r="U29" s="28">
        <f t="shared" si="2"/>
        <v>0.9692372881355934</v>
      </c>
    </row>
    <row r="30" spans="1:21" x14ac:dyDescent="0.25">
      <c r="B30" s="9"/>
      <c r="C30" s="31">
        <v>1605.21</v>
      </c>
      <c r="D30" s="32">
        <v>33.633000000000003</v>
      </c>
      <c r="E30" s="32">
        <v>39.424999999999997</v>
      </c>
      <c r="F30" s="32">
        <v>38.814999999999998</v>
      </c>
      <c r="G30" s="18">
        <v>1.39</v>
      </c>
      <c r="H30" s="18">
        <f t="shared" si="0"/>
        <v>35.004750000000001</v>
      </c>
      <c r="I30" s="5"/>
      <c r="J30" s="31">
        <v>1628.1152</v>
      </c>
      <c r="K30" s="32">
        <v>33.644300000000001</v>
      </c>
      <c r="L30" s="32">
        <v>40.530099999999997</v>
      </c>
      <c r="M30" s="32">
        <v>40.0655</v>
      </c>
      <c r="N30" s="18">
        <v>2.8492999999999999</v>
      </c>
      <c r="O30" s="18">
        <f t="shared" si="1"/>
        <v>35.307675000000003</v>
      </c>
      <c r="P30" s="7"/>
      <c r="Q30" s="10"/>
      <c r="R30" s="11"/>
      <c r="S30" s="11"/>
      <c r="T30" s="26"/>
      <c r="U30" s="28">
        <f t="shared" si="2"/>
        <v>1.0498561151079138</v>
      </c>
    </row>
    <row r="31" spans="1:21" x14ac:dyDescent="0.25">
      <c r="B31" s="9"/>
      <c r="C31" s="31">
        <v>993.66</v>
      </c>
      <c r="D31" s="32">
        <v>32</v>
      </c>
      <c r="E31" s="32">
        <v>38.450000000000003</v>
      </c>
      <c r="F31" s="32">
        <v>37.552999999999997</v>
      </c>
      <c r="G31" s="18">
        <v>1.64</v>
      </c>
      <c r="H31" s="18">
        <f t="shared" si="0"/>
        <v>33.500374999999998</v>
      </c>
      <c r="I31" s="5"/>
      <c r="J31" s="31">
        <v>1013.7288</v>
      </c>
      <c r="K31" s="32">
        <v>32.011299999999999</v>
      </c>
      <c r="L31" s="32">
        <v>39.810099999999998</v>
      </c>
      <c r="M31" s="32">
        <v>39.008200000000002</v>
      </c>
      <c r="N31" s="18">
        <v>3.6989000000000001</v>
      </c>
      <c r="O31" s="18">
        <f t="shared" si="1"/>
        <v>33.8607625</v>
      </c>
      <c r="P31" s="7"/>
      <c r="Q31" s="10"/>
      <c r="R31" s="11"/>
      <c r="S31" s="11"/>
      <c r="T31" s="26"/>
      <c r="U31" s="28">
        <f t="shared" si="2"/>
        <v>1.2554268292682931</v>
      </c>
    </row>
    <row r="32" spans="1:21" ht="16.5" thickBot="1" x14ac:dyDescent="0.3">
      <c r="B32" s="12"/>
      <c r="C32" s="33">
        <v>593.24</v>
      </c>
      <c r="D32" s="34">
        <v>30.196000000000002</v>
      </c>
      <c r="E32" s="34">
        <v>37.238</v>
      </c>
      <c r="F32" s="34">
        <v>35.94</v>
      </c>
      <c r="G32" s="20">
        <v>1.94</v>
      </c>
      <c r="H32" s="20">
        <f t="shared" si="0"/>
        <v>31.794250000000002</v>
      </c>
      <c r="I32" s="5"/>
      <c r="J32" s="33">
        <v>604.88720000000001</v>
      </c>
      <c r="K32" s="34">
        <v>30.146100000000001</v>
      </c>
      <c r="L32" s="34">
        <v>38.829099999999997</v>
      </c>
      <c r="M32" s="34">
        <v>37.571100000000001</v>
      </c>
      <c r="N32" s="20">
        <v>4.9497999999999998</v>
      </c>
      <c r="O32" s="20">
        <f t="shared" si="1"/>
        <v>32.159599999999998</v>
      </c>
      <c r="P32" s="7"/>
      <c r="Q32" s="13"/>
      <c r="R32" s="14"/>
      <c r="S32" s="14"/>
      <c r="T32" s="27"/>
      <c r="U32" s="28">
        <f t="shared" si="2"/>
        <v>1.5514432989690721</v>
      </c>
    </row>
    <row r="33" spans="1:21" x14ac:dyDescent="0.25">
      <c r="B33" s="6" t="s">
        <v>52</v>
      </c>
      <c r="C33" s="15">
        <v>2308.73</v>
      </c>
      <c r="D33" s="16">
        <v>34</v>
      </c>
      <c r="E33" s="16">
        <v>39.578000000000003</v>
      </c>
      <c r="F33" s="16">
        <v>42.197000000000003</v>
      </c>
      <c r="G33" s="16">
        <v>1.59</v>
      </c>
      <c r="H33" s="16">
        <f t="shared" si="0"/>
        <v>35.721874999999997</v>
      </c>
      <c r="I33" s="5"/>
      <c r="J33" s="15">
        <v>2390.3607999999999</v>
      </c>
      <c r="K33" s="16">
        <v>34.139600000000002</v>
      </c>
      <c r="L33" s="16">
        <v>40.290900000000001</v>
      </c>
      <c r="M33" s="16">
        <v>42.724800000000002</v>
      </c>
      <c r="N33" s="16">
        <v>3.3018999999999998</v>
      </c>
      <c r="O33" s="16">
        <f t="shared" si="1"/>
        <v>35.981662499999999</v>
      </c>
      <c r="P33" s="7"/>
      <c r="Q33" s="8">
        <f>bdrate(C33:C36,D33:D36,J33:J36,K33:K36)</f>
        <v>-2.4958477776051979E-2</v>
      </c>
      <c r="R33" s="8">
        <f>bdrate(C33:C36,E33:E36,J33:J36,L33:L36)</f>
        <v>-0.33723863738957149</v>
      </c>
      <c r="S33" s="8">
        <f>bdrate(C33:C36,F33:F36,J33:J36,M33:M36)</f>
        <v>-0.27330776657682021</v>
      </c>
      <c r="T33" s="25">
        <f>bdrate(C33:C36,H33:H36,J33:J36,O33:O36)</f>
        <v>-7.3618994189528775E-2</v>
      </c>
      <c r="U33" s="28">
        <f t="shared" si="2"/>
        <v>1.0766666666666664</v>
      </c>
    </row>
    <row r="34" spans="1:21" x14ac:dyDescent="0.25">
      <c r="B34" s="9"/>
      <c r="C34" s="17">
        <v>1515.55</v>
      </c>
      <c r="D34" s="18">
        <v>33.375</v>
      </c>
      <c r="E34" s="18">
        <v>39.170999999999999</v>
      </c>
      <c r="F34" s="18">
        <v>41.841000000000001</v>
      </c>
      <c r="G34" s="18">
        <v>1.79</v>
      </c>
      <c r="H34" s="18">
        <f t="shared" si="0"/>
        <v>35.15775</v>
      </c>
      <c r="I34" s="5"/>
      <c r="J34" s="17">
        <v>1588.4</v>
      </c>
      <c r="K34" s="18">
        <v>33.5077</v>
      </c>
      <c r="L34" s="18">
        <v>39.8414</v>
      </c>
      <c r="M34" s="18">
        <v>42.324199999999998</v>
      </c>
      <c r="N34" s="18">
        <v>4.2359999999999998</v>
      </c>
      <c r="O34" s="18">
        <f t="shared" si="1"/>
        <v>35.401474999999998</v>
      </c>
      <c r="P34" s="7"/>
      <c r="Q34" s="10"/>
      <c r="R34" s="11"/>
      <c r="S34" s="11"/>
      <c r="T34" s="26"/>
      <c r="U34" s="28">
        <f t="shared" si="2"/>
        <v>1.3664804469273741</v>
      </c>
    </row>
    <row r="35" spans="1:21" x14ac:dyDescent="0.25">
      <c r="B35" s="9"/>
      <c r="C35" s="17">
        <v>916.08</v>
      </c>
      <c r="D35" s="18">
        <v>32.328000000000003</v>
      </c>
      <c r="E35" s="18">
        <v>38.624000000000002</v>
      </c>
      <c r="F35" s="18">
        <v>41.398000000000003</v>
      </c>
      <c r="G35" s="18">
        <v>2.0299999999999998</v>
      </c>
      <c r="H35" s="18">
        <f t="shared" si="0"/>
        <v>34.248750000000001</v>
      </c>
      <c r="I35" s="5"/>
      <c r="J35" s="17">
        <v>982.0104</v>
      </c>
      <c r="K35" s="18">
        <v>32.520800000000001</v>
      </c>
      <c r="L35" s="18">
        <v>39.124899999999997</v>
      </c>
      <c r="M35" s="18">
        <v>41.738900000000001</v>
      </c>
      <c r="N35" s="18">
        <v>5.6395</v>
      </c>
      <c r="O35" s="18">
        <f t="shared" si="1"/>
        <v>34.498575000000002</v>
      </c>
      <c r="P35" s="7"/>
      <c r="Q35" s="10"/>
      <c r="R35" s="11"/>
      <c r="S35" s="11"/>
      <c r="T35" s="26"/>
      <c r="U35" s="28">
        <f t="shared" si="2"/>
        <v>1.7780788177339903</v>
      </c>
    </row>
    <row r="36" spans="1:21" ht="16.5" thickBot="1" x14ac:dyDescent="0.3">
      <c r="B36" s="12"/>
      <c r="C36" s="19">
        <v>498.31</v>
      </c>
      <c r="D36" s="20">
        <v>30.321999999999999</v>
      </c>
      <c r="E36" s="20">
        <v>37.731999999999999</v>
      </c>
      <c r="F36" s="20">
        <v>40.707999999999998</v>
      </c>
      <c r="G36" s="20">
        <v>2.3199999999999998</v>
      </c>
      <c r="H36" s="20">
        <f t="shared" si="0"/>
        <v>32.546499999999995</v>
      </c>
      <c r="I36" s="5"/>
      <c r="J36" s="19">
        <v>581.44479999999999</v>
      </c>
      <c r="K36" s="20">
        <v>31.1097</v>
      </c>
      <c r="L36" s="20">
        <v>38.552300000000002</v>
      </c>
      <c r="M36" s="20">
        <v>41.173999999999999</v>
      </c>
      <c r="N36" s="20">
        <v>7.7283999999999997</v>
      </c>
      <c r="O36" s="20">
        <f t="shared" si="1"/>
        <v>33.2980625</v>
      </c>
      <c r="P36" s="7"/>
      <c r="Q36" s="13"/>
      <c r="R36" s="14"/>
      <c r="S36" s="14"/>
      <c r="T36" s="27"/>
      <c r="U36" s="28">
        <f t="shared" si="2"/>
        <v>2.3312068965517243</v>
      </c>
    </row>
    <row r="37" spans="1:21" x14ac:dyDescent="0.25">
      <c r="A37" s="6" t="s">
        <v>39</v>
      </c>
      <c r="B37" s="6" t="s">
        <v>53</v>
      </c>
      <c r="C37" s="15">
        <v>1220.5899999999999</v>
      </c>
      <c r="D37" s="16">
        <v>36.066000000000003</v>
      </c>
      <c r="E37" s="16">
        <v>39.61</v>
      </c>
      <c r="F37" s="16">
        <v>39.694000000000003</v>
      </c>
      <c r="G37" s="16">
        <v>4.1500000000000004</v>
      </c>
      <c r="H37" s="16">
        <f t="shared" si="0"/>
        <v>36.962500000000006</v>
      </c>
      <c r="I37" s="5"/>
      <c r="J37" s="15">
        <v>1201.4680000000001</v>
      </c>
      <c r="K37" s="16">
        <v>37.0974</v>
      </c>
      <c r="L37" s="16">
        <v>41.059399999999997</v>
      </c>
      <c r="M37" s="16">
        <v>41.074399999999997</v>
      </c>
      <c r="N37" s="16">
        <v>7.1627000000000001</v>
      </c>
      <c r="O37" s="16">
        <f t="shared" si="1"/>
        <v>38.089775000000003</v>
      </c>
      <c r="P37" s="7"/>
      <c r="Q37" s="8">
        <f>bdrate(C37:C40,D37:D40,J37:J40,K37:K40)</f>
        <v>-0.13347988714815029</v>
      </c>
      <c r="R37" s="8">
        <f>bdrate(C37:C40,E37:E40,J37:J40,L37:L40)</f>
        <v>-0.40211047480736639</v>
      </c>
      <c r="S37" s="8">
        <f>bdrate(C37:C40,F37:F40,J37:J40,M37:M40)</f>
        <v>-0.32487159559741374</v>
      </c>
      <c r="T37" s="25">
        <f>bdrate(C37:C40,H37:H40,J37:J40,O37:O40)</f>
        <v>-0.18717319956453682</v>
      </c>
      <c r="U37" s="28">
        <f t="shared" si="2"/>
        <v>0.7259518072289155</v>
      </c>
    </row>
    <row r="38" spans="1:21" x14ac:dyDescent="0.25">
      <c r="A38" s="9" t="s">
        <v>40</v>
      </c>
      <c r="B38" s="9"/>
      <c r="C38" s="17">
        <v>815.4</v>
      </c>
      <c r="D38" s="18">
        <v>34.536999999999999</v>
      </c>
      <c r="E38" s="18">
        <v>38.270000000000003</v>
      </c>
      <c r="F38" s="18">
        <v>38.271999999999998</v>
      </c>
      <c r="G38" s="18">
        <v>4.93</v>
      </c>
      <c r="H38" s="18">
        <f t="shared" si="0"/>
        <v>35.470500000000001</v>
      </c>
      <c r="I38" s="5"/>
      <c r="J38" s="17">
        <v>799.91279999999995</v>
      </c>
      <c r="K38" s="18">
        <v>35.254199999999997</v>
      </c>
      <c r="L38" s="18">
        <v>39.704900000000002</v>
      </c>
      <c r="M38" s="18">
        <v>39.517000000000003</v>
      </c>
      <c r="N38" s="18">
        <v>8.548</v>
      </c>
      <c r="O38" s="18">
        <f t="shared" si="1"/>
        <v>36.343387499999999</v>
      </c>
      <c r="P38" s="7"/>
      <c r="Q38" s="10"/>
      <c r="R38" s="11"/>
      <c r="S38" s="11"/>
      <c r="T38" s="26"/>
      <c r="U38" s="28">
        <f t="shared" si="2"/>
        <v>0.73387423935091289</v>
      </c>
    </row>
    <row r="39" spans="1:21" x14ac:dyDescent="0.25">
      <c r="B39" s="9"/>
      <c r="C39" s="17">
        <v>506.18</v>
      </c>
      <c r="D39" s="18">
        <v>32.866999999999997</v>
      </c>
      <c r="E39" s="18">
        <v>37.008000000000003</v>
      </c>
      <c r="F39" s="18">
        <v>36.898000000000003</v>
      </c>
      <c r="G39" s="18">
        <v>6.15</v>
      </c>
      <c r="H39" s="18">
        <f t="shared" si="0"/>
        <v>33.888500000000001</v>
      </c>
      <c r="I39" s="5"/>
      <c r="J39" s="17">
        <v>500.04880000000003</v>
      </c>
      <c r="K39" s="18">
        <v>33.277900000000002</v>
      </c>
      <c r="L39" s="18">
        <v>38.360100000000003</v>
      </c>
      <c r="M39" s="18">
        <v>38.041899999999998</v>
      </c>
      <c r="N39" s="18">
        <v>10.6546</v>
      </c>
      <c r="O39" s="18">
        <f t="shared" si="1"/>
        <v>34.508675000000004</v>
      </c>
      <c r="P39" s="7"/>
      <c r="Q39" s="10"/>
      <c r="R39" s="11"/>
      <c r="S39" s="11"/>
      <c r="T39" s="26"/>
      <c r="U39" s="28">
        <f t="shared" si="2"/>
        <v>0.73245528455284548</v>
      </c>
    </row>
    <row r="40" spans="1:21" ht="16.5" thickBot="1" x14ac:dyDescent="0.3">
      <c r="B40" s="12"/>
      <c r="C40" s="19">
        <v>301.20999999999998</v>
      </c>
      <c r="D40" s="20">
        <v>31.206</v>
      </c>
      <c r="E40" s="20">
        <v>35.915999999999997</v>
      </c>
      <c r="F40" s="20">
        <v>35.430999999999997</v>
      </c>
      <c r="G40" s="20">
        <v>7.87</v>
      </c>
      <c r="H40" s="20">
        <f t="shared" si="0"/>
        <v>32.322874999999996</v>
      </c>
      <c r="I40" s="5"/>
      <c r="J40" s="19">
        <v>299.6712</v>
      </c>
      <c r="K40" s="20">
        <v>31.249400000000001</v>
      </c>
      <c r="L40" s="20">
        <v>37.0715</v>
      </c>
      <c r="M40" s="20">
        <v>36.426499999999997</v>
      </c>
      <c r="N40" s="20">
        <v>13.8301</v>
      </c>
      <c r="O40" s="20">
        <f t="shared" si="1"/>
        <v>32.624299999999998</v>
      </c>
      <c r="P40" s="7"/>
      <c r="Q40" s="13"/>
      <c r="R40" s="14"/>
      <c r="S40" s="14"/>
      <c r="T40" s="27"/>
      <c r="U40" s="28">
        <f t="shared" si="2"/>
        <v>0.75731893265565431</v>
      </c>
    </row>
    <row r="41" spans="1:21" x14ac:dyDescent="0.25">
      <c r="B41" s="6" t="s">
        <v>54</v>
      </c>
      <c r="C41" s="15">
        <v>1226.4100000000001</v>
      </c>
      <c r="D41" s="16">
        <v>36.122999999999998</v>
      </c>
      <c r="E41" s="16">
        <v>40.353999999999999</v>
      </c>
      <c r="F41" s="16">
        <v>41.290999999999997</v>
      </c>
      <c r="G41" s="16">
        <v>4.9000000000000004</v>
      </c>
      <c r="H41" s="16">
        <f t="shared" si="0"/>
        <v>37.297874999999998</v>
      </c>
      <c r="I41" s="5"/>
      <c r="J41" s="15">
        <v>1209.9064000000001</v>
      </c>
      <c r="K41" s="16">
        <v>36.404499999999999</v>
      </c>
      <c r="L41" s="16">
        <v>41.659799999999997</v>
      </c>
      <c r="M41" s="16">
        <v>42.686799999999998</v>
      </c>
      <c r="N41" s="16">
        <v>8.9709000000000003</v>
      </c>
      <c r="O41" s="16">
        <f t="shared" si="1"/>
        <v>37.846699999999998</v>
      </c>
      <c r="P41" s="7"/>
      <c r="Q41" s="8">
        <f>bdrate(C41:C44,D41:D44,J41:J44,K41:K44)</f>
        <v>-0.11394133237130777</v>
      </c>
      <c r="R41" s="8">
        <f>bdrate(C41:C44,E41:E44,J41:J44,L41:L44)</f>
        <v>-0.46493923500288548</v>
      </c>
      <c r="S41" s="8">
        <f>bdrate(C41:C44,F41:F44,J41:J44,M41:M44)</f>
        <v>-0.44705181724350085</v>
      </c>
      <c r="T41" s="25">
        <f>bdrate(C41:C44,H41:H44,J41:J44,O41:O44)</f>
        <v>-0.18879920487003654</v>
      </c>
      <c r="U41" s="28">
        <f t="shared" si="2"/>
        <v>0.8307959183673469</v>
      </c>
    </row>
    <row r="42" spans="1:21" x14ac:dyDescent="0.25">
      <c r="B42" s="9"/>
      <c r="C42" s="17">
        <v>817.28</v>
      </c>
      <c r="D42" s="18">
        <v>34.508000000000003</v>
      </c>
      <c r="E42" s="18">
        <v>39.246000000000002</v>
      </c>
      <c r="F42" s="18">
        <v>40.06</v>
      </c>
      <c r="G42" s="18">
        <v>5.82</v>
      </c>
      <c r="H42" s="18">
        <f t="shared" si="0"/>
        <v>35.794250000000005</v>
      </c>
      <c r="I42" s="5"/>
      <c r="J42" s="17">
        <v>807.46400000000006</v>
      </c>
      <c r="K42" s="18">
        <v>34.8887</v>
      </c>
      <c r="L42" s="18">
        <v>40.732399999999998</v>
      </c>
      <c r="M42" s="18">
        <v>41.628700000000002</v>
      </c>
      <c r="N42" s="18">
        <v>10.989000000000001</v>
      </c>
      <c r="O42" s="18">
        <f t="shared" si="1"/>
        <v>36.461662499999996</v>
      </c>
      <c r="P42" s="7"/>
      <c r="Q42" s="10"/>
      <c r="R42" s="11"/>
      <c r="S42" s="11"/>
      <c r="T42" s="26"/>
      <c r="U42" s="28">
        <f t="shared" si="2"/>
        <v>0.88814432989690728</v>
      </c>
    </row>
    <row r="43" spans="1:21" x14ac:dyDescent="0.25">
      <c r="B43" s="9"/>
      <c r="C43" s="17">
        <v>509.31</v>
      </c>
      <c r="D43" s="18">
        <v>32.512999999999998</v>
      </c>
      <c r="E43" s="18">
        <v>37.947000000000003</v>
      </c>
      <c r="F43" s="18">
        <v>38.634</v>
      </c>
      <c r="G43" s="18">
        <v>7.07</v>
      </c>
      <c r="H43" s="18">
        <f t="shared" si="0"/>
        <v>33.957374999999999</v>
      </c>
      <c r="I43" s="5"/>
      <c r="J43" s="17">
        <v>505.38799999999998</v>
      </c>
      <c r="K43" s="18">
        <v>33.019300000000001</v>
      </c>
      <c r="L43" s="18">
        <v>39.597999999999999</v>
      </c>
      <c r="M43" s="18">
        <v>40.346200000000003</v>
      </c>
      <c r="N43" s="18">
        <v>13.723699999999999</v>
      </c>
      <c r="O43" s="18">
        <f t="shared" si="1"/>
        <v>34.7575</v>
      </c>
      <c r="P43" s="7"/>
      <c r="Q43" s="10"/>
      <c r="R43" s="11"/>
      <c r="S43" s="11"/>
      <c r="T43" s="26"/>
      <c r="U43" s="28">
        <f t="shared" si="2"/>
        <v>0.94111739745403089</v>
      </c>
    </row>
    <row r="44" spans="1:21" ht="16.5" thickBot="1" x14ac:dyDescent="0.3">
      <c r="B44" s="12"/>
      <c r="C44" s="19">
        <v>301.52999999999997</v>
      </c>
      <c r="D44" s="20">
        <v>30.207000000000001</v>
      </c>
      <c r="E44" s="20">
        <v>36.534999999999997</v>
      </c>
      <c r="F44" s="20">
        <v>36.987000000000002</v>
      </c>
      <c r="G44" s="20">
        <v>8.68</v>
      </c>
      <c r="H44" s="20">
        <f t="shared" si="0"/>
        <v>31.845500000000001</v>
      </c>
      <c r="I44" s="5"/>
      <c r="J44" s="19">
        <v>302.88479999999998</v>
      </c>
      <c r="K44" s="20">
        <v>30.909400000000002</v>
      </c>
      <c r="L44" s="20">
        <v>38.409799999999997</v>
      </c>
      <c r="M44" s="20">
        <v>39.102800000000002</v>
      </c>
      <c r="N44" s="20">
        <v>17.5136</v>
      </c>
      <c r="O44" s="20">
        <f t="shared" si="1"/>
        <v>32.871124999999999</v>
      </c>
      <c r="P44" s="7"/>
      <c r="Q44" s="13"/>
      <c r="R44" s="14"/>
      <c r="S44" s="14"/>
      <c r="T44" s="27"/>
      <c r="U44" s="28">
        <f t="shared" si="2"/>
        <v>1.0176958525345623</v>
      </c>
    </row>
    <row r="45" spans="1:21" x14ac:dyDescent="0.25">
      <c r="B45" s="6" t="s">
        <v>55</v>
      </c>
      <c r="C45" s="15">
        <v>1088.4000000000001</v>
      </c>
      <c r="D45" s="16">
        <v>30.640999999999998</v>
      </c>
      <c r="E45" s="16">
        <v>35.941000000000003</v>
      </c>
      <c r="F45" s="16">
        <v>36.734999999999999</v>
      </c>
      <c r="G45" s="16">
        <v>4.45</v>
      </c>
      <c r="H45" s="16">
        <f t="shared" si="0"/>
        <v>32.065249999999999</v>
      </c>
      <c r="I45" s="5"/>
      <c r="J45" s="15">
        <v>1188.796</v>
      </c>
      <c r="K45" s="16">
        <v>31.3477</v>
      </c>
      <c r="L45" s="16">
        <v>37.615900000000003</v>
      </c>
      <c r="M45" s="16">
        <v>38.466799999999999</v>
      </c>
      <c r="N45" s="16">
        <v>9.4981000000000009</v>
      </c>
      <c r="O45" s="16">
        <f t="shared" si="1"/>
        <v>33.021112500000001</v>
      </c>
      <c r="P45" s="7"/>
      <c r="Q45" s="8">
        <f>bdrate(C45:C48,D45:D48,J45:J48,K45:K48)</f>
        <v>-0.11093953648072064</v>
      </c>
      <c r="R45" s="8">
        <f>bdrate(C45:C48,E45:E48,J45:J48,L45:L48)</f>
        <v>-0.52106972170798582</v>
      </c>
      <c r="S45" s="8">
        <f>bdrate(C45:C48,F45:F48,J45:J48,M45:M48)</f>
        <v>-0.50190024563361946</v>
      </c>
      <c r="T45" s="25">
        <f>bdrate(C45:C48,H45:H48,J45:J48,O45:O48)</f>
        <v>-0.19060151262544578</v>
      </c>
      <c r="U45" s="28">
        <f t="shared" si="2"/>
        <v>1.1344044943820226</v>
      </c>
    </row>
    <row r="46" spans="1:21" x14ac:dyDescent="0.25">
      <c r="B46" s="9"/>
      <c r="C46" s="17">
        <v>724.73</v>
      </c>
      <c r="D46" s="18">
        <v>29.225000000000001</v>
      </c>
      <c r="E46" s="18">
        <v>35.192</v>
      </c>
      <c r="F46" s="18">
        <v>35.99</v>
      </c>
      <c r="G46" s="18">
        <v>5.29</v>
      </c>
      <c r="H46" s="18">
        <f t="shared" si="0"/>
        <v>30.816500000000005</v>
      </c>
      <c r="I46" s="5"/>
      <c r="J46" s="17">
        <v>796.89679999999998</v>
      </c>
      <c r="K46" s="18">
        <v>29.939699999999998</v>
      </c>
      <c r="L46" s="18">
        <v>36.7271</v>
      </c>
      <c r="M46" s="18">
        <v>37.542999999999999</v>
      </c>
      <c r="N46" s="18">
        <v>11.658799999999999</v>
      </c>
      <c r="O46" s="18">
        <f t="shared" si="1"/>
        <v>31.7385375</v>
      </c>
      <c r="P46" s="7"/>
      <c r="Q46" s="10"/>
      <c r="R46" s="11"/>
      <c r="S46" s="11"/>
      <c r="T46" s="26"/>
      <c r="U46" s="28">
        <f t="shared" si="2"/>
        <v>1.2039319470699432</v>
      </c>
    </row>
    <row r="47" spans="1:21" x14ac:dyDescent="0.25">
      <c r="B47" s="9"/>
      <c r="C47" s="17">
        <v>449.67</v>
      </c>
      <c r="D47" s="18">
        <v>27.696999999999999</v>
      </c>
      <c r="E47" s="18">
        <v>34.372999999999998</v>
      </c>
      <c r="F47" s="18">
        <v>35.173999999999999</v>
      </c>
      <c r="G47" s="18">
        <v>6.52</v>
      </c>
      <c r="H47" s="18">
        <f t="shared" si="0"/>
        <v>29.466124999999998</v>
      </c>
      <c r="I47" s="5"/>
      <c r="J47" s="17">
        <v>500.43920000000003</v>
      </c>
      <c r="K47" s="18">
        <v>28.4026</v>
      </c>
      <c r="L47" s="18">
        <v>35.849699999999999</v>
      </c>
      <c r="M47" s="18">
        <v>36.581499999999998</v>
      </c>
      <c r="N47" s="18">
        <v>14.623699999999999</v>
      </c>
      <c r="O47" s="18">
        <f t="shared" si="1"/>
        <v>30.355849999999997</v>
      </c>
      <c r="P47" s="7"/>
      <c r="Q47" s="10"/>
      <c r="R47" s="11"/>
      <c r="S47" s="11"/>
      <c r="T47" s="26"/>
      <c r="U47" s="28">
        <f t="shared" si="2"/>
        <v>1.2428987730061349</v>
      </c>
    </row>
    <row r="48" spans="1:21" ht="16.5" thickBot="1" x14ac:dyDescent="0.3">
      <c r="B48" s="12"/>
      <c r="C48" s="19">
        <v>257.31</v>
      </c>
      <c r="D48" s="20">
        <v>25.957999999999998</v>
      </c>
      <c r="E48" s="20">
        <v>33.319000000000003</v>
      </c>
      <c r="F48" s="20">
        <v>34.156999999999996</v>
      </c>
      <c r="G48" s="20">
        <v>8.32</v>
      </c>
      <c r="H48" s="20">
        <f t="shared" si="0"/>
        <v>27.902999999999999</v>
      </c>
      <c r="I48" s="5"/>
      <c r="J48" s="19">
        <v>304.33120000000002</v>
      </c>
      <c r="K48" s="20">
        <v>26.881499999999999</v>
      </c>
      <c r="L48" s="20">
        <v>34.975499999999997</v>
      </c>
      <c r="M48" s="20">
        <v>35.7057</v>
      </c>
      <c r="N48" s="20">
        <v>18.7942</v>
      </c>
      <c r="O48" s="20">
        <f t="shared" si="1"/>
        <v>28.996275000000001</v>
      </c>
      <c r="P48" s="7"/>
      <c r="Q48" s="13"/>
      <c r="R48" s="14"/>
      <c r="S48" s="14"/>
      <c r="T48" s="27"/>
      <c r="U48" s="28">
        <f t="shared" si="2"/>
        <v>1.2589182692307692</v>
      </c>
    </row>
    <row r="49" spans="1:21" x14ac:dyDescent="0.25">
      <c r="B49" s="6" t="s">
        <v>56</v>
      </c>
      <c r="C49" s="15">
        <v>1094.3</v>
      </c>
      <c r="D49" s="16">
        <v>33.728000000000002</v>
      </c>
      <c r="E49" s="16">
        <v>37.173000000000002</v>
      </c>
      <c r="F49" s="16">
        <v>38.886000000000003</v>
      </c>
      <c r="G49" s="16">
        <v>3</v>
      </c>
      <c r="H49" s="16">
        <f t="shared" si="0"/>
        <v>34.803375000000003</v>
      </c>
      <c r="I49" s="5"/>
      <c r="J49" s="15">
        <v>1188.2816</v>
      </c>
      <c r="K49" s="16">
        <v>33.581699999999998</v>
      </c>
      <c r="L49" s="16">
        <v>37.956099999999999</v>
      </c>
      <c r="M49" s="16">
        <v>39.625</v>
      </c>
      <c r="N49" s="16">
        <v>5.4945000000000004</v>
      </c>
      <c r="O49" s="16">
        <f t="shared" si="1"/>
        <v>34.883912499999994</v>
      </c>
      <c r="P49" s="7"/>
      <c r="Q49" s="8">
        <f>bdrate(C49:C52,D49:D52,J49:J52,K49:K52)</f>
        <v>0.14810473480713915</v>
      </c>
      <c r="R49" s="8">
        <f>bdrate(C49:C52,E49:E52,J49:J52,L49:L52)</f>
        <v>-0.29580277904946328</v>
      </c>
      <c r="S49" s="8">
        <f>bdrate(C49:C52,F49:F52,J49:J52,M49:M52)</f>
        <v>-0.29986116807840923</v>
      </c>
      <c r="T49" s="25">
        <f>bdrate(C49:C52,H49:H52,J49:J52,O49:O52)</f>
        <v>5.7709800193526117E-2</v>
      </c>
      <c r="U49" s="28">
        <f t="shared" si="2"/>
        <v>0.83150000000000013</v>
      </c>
    </row>
    <row r="50" spans="1:21" x14ac:dyDescent="0.25">
      <c r="B50" s="9"/>
      <c r="C50" s="17">
        <v>738.11</v>
      </c>
      <c r="D50" s="18">
        <v>32.252000000000002</v>
      </c>
      <c r="E50" s="18">
        <v>36.198999999999998</v>
      </c>
      <c r="F50" s="18">
        <v>37.923999999999999</v>
      </c>
      <c r="G50" s="18">
        <v>3.55</v>
      </c>
      <c r="H50" s="18">
        <f t="shared" si="0"/>
        <v>33.454374999999999</v>
      </c>
      <c r="I50" s="5"/>
      <c r="J50" s="17">
        <v>787.26959999999997</v>
      </c>
      <c r="K50" s="18">
        <v>31.9846</v>
      </c>
      <c r="L50" s="18">
        <v>37.001199999999997</v>
      </c>
      <c r="M50" s="18">
        <v>38.718499999999999</v>
      </c>
      <c r="N50" s="18">
        <v>6.5585000000000004</v>
      </c>
      <c r="O50" s="18">
        <f t="shared" si="1"/>
        <v>33.453412499999999</v>
      </c>
      <c r="P50" s="7"/>
      <c r="Q50" s="10"/>
      <c r="R50" s="11"/>
      <c r="S50" s="11"/>
      <c r="T50" s="26"/>
      <c r="U50" s="28">
        <f t="shared" si="2"/>
        <v>0.84746478873239461</v>
      </c>
    </row>
    <row r="51" spans="1:21" x14ac:dyDescent="0.25">
      <c r="B51" s="9"/>
      <c r="C51" s="17">
        <v>470.04</v>
      </c>
      <c r="D51" s="18">
        <v>30.605</v>
      </c>
      <c r="E51" s="18">
        <v>35.24</v>
      </c>
      <c r="F51" s="18">
        <v>36.875</v>
      </c>
      <c r="G51" s="18">
        <v>4.32</v>
      </c>
      <c r="H51" s="18">
        <f t="shared" si="0"/>
        <v>31.968125000000001</v>
      </c>
      <c r="I51" s="5"/>
      <c r="J51" s="17">
        <v>491.80959999999999</v>
      </c>
      <c r="K51" s="18">
        <v>30.254300000000001</v>
      </c>
      <c r="L51" s="18">
        <v>36.100499999999997</v>
      </c>
      <c r="M51" s="18">
        <v>37.816800000000001</v>
      </c>
      <c r="N51" s="18">
        <v>8.0117999999999991</v>
      </c>
      <c r="O51" s="18">
        <f t="shared" si="1"/>
        <v>31.930387500000002</v>
      </c>
      <c r="P51" s="7"/>
      <c r="Q51" s="10"/>
      <c r="R51" s="11"/>
      <c r="S51" s="11"/>
      <c r="T51" s="26"/>
      <c r="U51" s="28">
        <f t="shared" si="2"/>
        <v>0.85458333333333303</v>
      </c>
    </row>
    <row r="52" spans="1:21" ht="16.5" thickBot="1" x14ac:dyDescent="0.3">
      <c r="B52" s="12"/>
      <c r="C52" s="19">
        <v>286.25</v>
      </c>
      <c r="D52" s="20">
        <v>28.905000000000001</v>
      </c>
      <c r="E52" s="20">
        <v>34.167999999999999</v>
      </c>
      <c r="F52" s="20">
        <v>35.729999999999997</v>
      </c>
      <c r="G52" s="20">
        <v>5.33</v>
      </c>
      <c r="H52" s="20">
        <f t="shared" si="0"/>
        <v>30.416</v>
      </c>
      <c r="I52" s="5"/>
      <c r="J52" s="19">
        <v>290.93439999999998</v>
      </c>
      <c r="K52" s="20">
        <v>28.5045</v>
      </c>
      <c r="L52" s="20">
        <v>35.191600000000001</v>
      </c>
      <c r="M52" s="20">
        <v>36.898499999999999</v>
      </c>
      <c r="N52" s="20">
        <v>10.261699999999999</v>
      </c>
      <c r="O52" s="20">
        <f t="shared" si="1"/>
        <v>30.389637499999999</v>
      </c>
      <c r="P52" s="7"/>
      <c r="Q52" s="13"/>
      <c r="R52" s="14"/>
      <c r="S52" s="14"/>
      <c r="T52" s="27"/>
      <c r="U52" s="28">
        <f t="shared" si="2"/>
        <v>0.92527204502814242</v>
      </c>
    </row>
    <row r="53" spans="1:21" x14ac:dyDescent="0.25">
      <c r="A53" s="6" t="s">
        <v>41</v>
      </c>
      <c r="B53" s="6" t="s">
        <v>57</v>
      </c>
      <c r="C53" s="15">
        <v>636.16</v>
      </c>
      <c r="D53" s="16">
        <v>36.122999999999998</v>
      </c>
      <c r="E53" s="16">
        <v>40.232999999999997</v>
      </c>
      <c r="F53" s="16">
        <v>39.03</v>
      </c>
      <c r="G53" s="16">
        <v>7.7</v>
      </c>
      <c r="H53" s="16">
        <f t="shared" si="0"/>
        <v>37.000124999999997</v>
      </c>
      <c r="I53" s="5"/>
      <c r="J53" s="15">
        <v>602.17840000000001</v>
      </c>
      <c r="K53" s="16">
        <v>35.894500000000001</v>
      </c>
      <c r="L53" s="16">
        <v>41.111699999999999</v>
      </c>
      <c r="M53" s="16">
        <v>39.615900000000003</v>
      </c>
      <c r="N53" s="16">
        <v>20.0425</v>
      </c>
      <c r="O53" s="16">
        <f t="shared" si="1"/>
        <v>37.011825000000002</v>
      </c>
      <c r="P53" s="7"/>
      <c r="Q53" s="8">
        <f>bdrate(C53:C56,D53:D56,J53:J56,K53:K56)</f>
        <v>4.0500504694385597E-2</v>
      </c>
      <c r="R53" s="8">
        <f>bdrate(C53:C56,E53:E56,J53:J56,L53:L56)</f>
        <v>-0.35820756551754851</v>
      </c>
      <c r="S53" s="8">
        <f>bdrate(C53:C56,F53:F56,J53:J56,M53:M56)</f>
        <v>-0.27747892459258516</v>
      </c>
      <c r="T53" s="25">
        <f>bdrate(C53:C56,H53:H56,J53:J56,O53:O56)</f>
        <v>-3.833368477349397E-2</v>
      </c>
      <c r="U53" s="28">
        <f t="shared" si="2"/>
        <v>1.6029220779220781</v>
      </c>
    </row>
    <row r="54" spans="1:21" x14ac:dyDescent="0.25">
      <c r="A54" s="9" t="s">
        <v>42</v>
      </c>
      <c r="B54" s="9"/>
      <c r="C54" s="17">
        <v>424.04</v>
      </c>
      <c r="D54" s="18">
        <v>34.223999999999997</v>
      </c>
      <c r="E54" s="18">
        <v>38.877000000000002</v>
      </c>
      <c r="F54" s="18">
        <v>37.511000000000003</v>
      </c>
      <c r="G54" s="18">
        <v>9.23</v>
      </c>
      <c r="H54" s="18">
        <f t="shared" si="0"/>
        <v>35.216500000000003</v>
      </c>
      <c r="I54" s="5"/>
      <c r="J54" s="17">
        <v>399.32639999999998</v>
      </c>
      <c r="K54" s="18">
        <v>33.869</v>
      </c>
      <c r="L54" s="18">
        <v>39.8767</v>
      </c>
      <c r="M54" s="18">
        <v>38.181600000000003</v>
      </c>
      <c r="N54" s="18">
        <v>23.5505</v>
      </c>
      <c r="O54" s="18">
        <f t="shared" si="1"/>
        <v>35.159037499999997</v>
      </c>
      <c r="P54" s="7"/>
      <c r="Q54" s="10"/>
      <c r="R54" s="11"/>
      <c r="S54" s="11"/>
      <c r="T54" s="26"/>
      <c r="U54" s="28">
        <f t="shared" si="2"/>
        <v>1.5515167930660887</v>
      </c>
    </row>
    <row r="55" spans="1:21" x14ac:dyDescent="0.25">
      <c r="B55" s="9"/>
      <c r="C55" s="17">
        <v>265.01</v>
      </c>
      <c r="D55" s="18">
        <v>32.201000000000001</v>
      </c>
      <c r="E55" s="18">
        <v>37.537999999999997</v>
      </c>
      <c r="F55" s="18">
        <v>35.972000000000001</v>
      </c>
      <c r="G55" s="18">
        <v>11.47</v>
      </c>
      <c r="H55" s="18">
        <f t="shared" si="0"/>
        <v>33.339500000000001</v>
      </c>
      <c r="I55" s="5"/>
      <c r="J55" s="17">
        <v>248.3792</v>
      </c>
      <c r="K55" s="18">
        <v>31.705500000000001</v>
      </c>
      <c r="L55" s="18">
        <v>38.579599999999999</v>
      </c>
      <c r="M55" s="18">
        <v>36.830399999999997</v>
      </c>
      <c r="N55" s="18">
        <v>28.438199999999998</v>
      </c>
      <c r="O55" s="18">
        <f t="shared" si="1"/>
        <v>33.205375000000004</v>
      </c>
      <c r="P55" s="7"/>
      <c r="Q55" s="10"/>
      <c r="R55" s="11"/>
      <c r="S55" s="11"/>
      <c r="T55" s="26"/>
      <c r="U55" s="28">
        <f t="shared" si="2"/>
        <v>1.4793548387096769</v>
      </c>
    </row>
    <row r="56" spans="1:21" ht="16.5" thickBot="1" x14ac:dyDescent="0.3">
      <c r="B56" s="12"/>
      <c r="C56" s="19">
        <v>125.98</v>
      </c>
      <c r="D56" s="20">
        <v>29.245000000000001</v>
      </c>
      <c r="E56" s="20">
        <v>35.573</v>
      </c>
      <c r="F56" s="20">
        <v>33.540999999999997</v>
      </c>
      <c r="G56" s="20">
        <v>16.45</v>
      </c>
      <c r="H56" s="20">
        <f t="shared" si="0"/>
        <v>30.573</v>
      </c>
      <c r="I56" s="5"/>
      <c r="J56" s="19">
        <v>119.38079999999999</v>
      </c>
      <c r="K56" s="20">
        <v>28.7194</v>
      </c>
      <c r="L56" s="20">
        <v>36.927799999999998</v>
      </c>
      <c r="M56" s="20">
        <v>34.892299999999999</v>
      </c>
      <c r="N56" s="20">
        <v>38.8018</v>
      </c>
      <c r="O56" s="20">
        <f t="shared" si="1"/>
        <v>30.517062499999998</v>
      </c>
      <c r="P56" s="7"/>
      <c r="Q56" s="13"/>
      <c r="R56" s="14"/>
      <c r="S56" s="14"/>
      <c r="T56" s="27"/>
      <c r="U56" s="28">
        <f t="shared" si="2"/>
        <v>1.3587720364741642</v>
      </c>
    </row>
    <row r="57" spans="1:21" x14ac:dyDescent="0.25">
      <c r="B57" s="6" t="s">
        <v>58</v>
      </c>
      <c r="C57" s="15">
        <v>548.77</v>
      </c>
      <c r="D57" s="16">
        <v>33.677</v>
      </c>
      <c r="E57" s="16">
        <v>40.308999999999997</v>
      </c>
      <c r="F57" s="16">
        <v>41.158999999999999</v>
      </c>
      <c r="G57" s="16">
        <v>11.36</v>
      </c>
      <c r="H57" s="16">
        <f t="shared" si="0"/>
        <v>35.441250000000004</v>
      </c>
      <c r="I57" s="5"/>
      <c r="J57" s="15">
        <v>593.41359999999997</v>
      </c>
      <c r="K57" s="16">
        <v>34.621099999999998</v>
      </c>
      <c r="L57" s="16">
        <v>41.9754</v>
      </c>
      <c r="M57" s="16">
        <v>42.961100000000002</v>
      </c>
      <c r="N57" s="16">
        <v>28.937999999999999</v>
      </c>
      <c r="O57" s="16">
        <f t="shared" si="1"/>
        <v>36.582887499999998</v>
      </c>
      <c r="P57" s="7"/>
      <c r="Q57" s="8">
        <f>bdrate(C57:C60,D57:D60,J57:J60,K57:K60)</f>
        <v>-0.13786183009603103</v>
      </c>
      <c r="R57" s="8">
        <f>bdrate(C57:C60,E57:E60,J57:J60,L57:L60)</f>
        <v>-0.47374183316690299</v>
      </c>
      <c r="S57" s="8">
        <f>bdrate(C57:C60,F57:F60,J57:J60,M57:M60)</f>
        <v>-0.44590391698464427</v>
      </c>
      <c r="T57" s="25">
        <f>bdrate(C57:C60,H57:H60,J57:J60,O57:O60)</f>
        <v>-0.19338920636087742</v>
      </c>
      <c r="U57" s="28">
        <f t="shared" si="2"/>
        <v>1.5473591549295775</v>
      </c>
    </row>
    <row r="58" spans="1:21" x14ac:dyDescent="0.25">
      <c r="B58" s="9"/>
      <c r="C58" s="17">
        <v>361.96</v>
      </c>
      <c r="D58" s="18">
        <v>32.316000000000003</v>
      </c>
      <c r="E58" s="18">
        <v>39.545000000000002</v>
      </c>
      <c r="F58" s="18">
        <v>40.46</v>
      </c>
      <c r="G58" s="18">
        <v>13.12</v>
      </c>
      <c r="H58" s="18">
        <f t="shared" si="0"/>
        <v>34.237625000000001</v>
      </c>
      <c r="I58" s="5"/>
      <c r="J58" s="17">
        <v>394.4744</v>
      </c>
      <c r="K58" s="18">
        <v>33.209899999999998</v>
      </c>
      <c r="L58" s="18">
        <v>40.979900000000001</v>
      </c>
      <c r="M58" s="18">
        <v>41.88</v>
      </c>
      <c r="N58" s="18">
        <v>36.451999999999998</v>
      </c>
      <c r="O58" s="18">
        <f t="shared" si="1"/>
        <v>35.264912499999994</v>
      </c>
      <c r="P58" s="7"/>
      <c r="Q58" s="10"/>
      <c r="R58" s="11"/>
      <c r="S58" s="11"/>
      <c r="T58" s="26"/>
      <c r="U58" s="28">
        <f t="shared" si="2"/>
        <v>1.7783536585365856</v>
      </c>
    </row>
    <row r="59" spans="1:21" x14ac:dyDescent="0.25">
      <c r="B59" s="9"/>
      <c r="C59" s="17">
        <v>224.22</v>
      </c>
      <c r="D59" s="18">
        <v>30.782</v>
      </c>
      <c r="E59" s="18">
        <v>38.853999999999999</v>
      </c>
      <c r="F59" s="18">
        <v>39.715000000000003</v>
      </c>
      <c r="G59" s="18">
        <v>15.43</v>
      </c>
      <c r="H59" s="18">
        <f t="shared" si="0"/>
        <v>32.907624999999996</v>
      </c>
      <c r="I59" s="5"/>
      <c r="J59" s="17">
        <v>242.76480000000001</v>
      </c>
      <c r="K59" s="18">
        <v>31.540400000000002</v>
      </c>
      <c r="L59" s="18">
        <v>40.004199999999997</v>
      </c>
      <c r="M59" s="18">
        <v>40.853999999999999</v>
      </c>
      <c r="N59" s="18">
        <v>49.249000000000002</v>
      </c>
      <c r="O59" s="18">
        <f t="shared" si="1"/>
        <v>33.762574999999998</v>
      </c>
      <c r="P59" s="7"/>
      <c r="Q59" s="10"/>
      <c r="R59" s="11"/>
      <c r="S59" s="11"/>
      <c r="T59" s="26"/>
      <c r="U59" s="28">
        <f t="shared" si="2"/>
        <v>2.1917692806221649</v>
      </c>
    </row>
    <row r="60" spans="1:21" ht="16.5" thickBot="1" x14ac:dyDescent="0.3">
      <c r="B60" s="12"/>
      <c r="C60" s="19">
        <v>102.88</v>
      </c>
      <c r="D60" s="20">
        <v>28.021000000000001</v>
      </c>
      <c r="E60" s="20">
        <v>37.69</v>
      </c>
      <c r="F60" s="20">
        <v>38.482999999999997</v>
      </c>
      <c r="G60" s="20">
        <v>20.51</v>
      </c>
      <c r="H60" s="20">
        <f t="shared" si="0"/>
        <v>30.537375000000001</v>
      </c>
      <c r="I60" s="5"/>
      <c r="J60" s="19">
        <v>116.2016</v>
      </c>
      <c r="K60" s="20">
        <v>28.854399999999998</v>
      </c>
      <c r="L60" s="20">
        <v>38.761099999999999</v>
      </c>
      <c r="M60" s="20">
        <v>39.503799999999998</v>
      </c>
      <c r="N60" s="20">
        <v>75.566800000000001</v>
      </c>
      <c r="O60" s="20">
        <f t="shared" si="1"/>
        <v>31.4239125</v>
      </c>
      <c r="P60" s="7"/>
      <c r="Q60" s="13"/>
      <c r="R60" s="14"/>
      <c r="S60" s="14"/>
      <c r="T60" s="27"/>
      <c r="U60" s="28">
        <f t="shared" si="2"/>
        <v>2.6843881033642121</v>
      </c>
    </row>
    <row r="61" spans="1:21" x14ac:dyDescent="0.25">
      <c r="B61" s="6" t="s">
        <v>59</v>
      </c>
      <c r="C61" s="29">
        <v>625.62</v>
      </c>
      <c r="D61" s="30">
        <v>34</v>
      </c>
      <c r="E61" s="30">
        <v>37.847999999999999</v>
      </c>
      <c r="F61" s="30">
        <v>38.405999999999999</v>
      </c>
      <c r="G61" s="16">
        <v>8.81</v>
      </c>
      <c r="H61" s="16">
        <f t="shared" si="0"/>
        <v>35.031750000000002</v>
      </c>
      <c r="I61" s="5"/>
      <c r="J61" s="29">
        <v>587.14959999999996</v>
      </c>
      <c r="K61" s="30">
        <v>34.039499999999997</v>
      </c>
      <c r="L61" s="30">
        <v>38.902900000000002</v>
      </c>
      <c r="M61" s="30">
        <v>39.78</v>
      </c>
      <c r="N61" s="16">
        <v>23.848099999999999</v>
      </c>
      <c r="O61" s="16">
        <f t="shared" si="1"/>
        <v>35.364987499999998</v>
      </c>
      <c r="P61" s="7"/>
      <c r="Q61" s="8">
        <f>bdrate(C61:C64,D61:D64,J61:J64,K61:K64)</f>
        <v>-9.5109778273632095E-2</v>
      </c>
      <c r="R61" s="8">
        <f>bdrate(C61:C64,E61:E64,J61:J64,L61:L64)</f>
        <v>-0.39090957777222868</v>
      </c>
      <c r="S61" s="8">
        <f>bdrate(C61:C64,F61:F64,J61:J64,M61:M64)</f>
        <v>-0.45356150563815878</v>
      </c>
      <c r="T61" s="25">
        <f>bdrate(C61:C64,H61:H64,J61:J64,O61:O64)</f>
        <v>-0.16557326408636208</v>
      </c>
      <c r="U61" s="28">
        <f t="shared" si="2"/>
        <v>1.7069353007945514</v>
      </c>
    </row>
    <row r="62" spans="1:21" x14ac:dyDescent="0.25">
      <c r="B62" s="9"/>
      <c r="C62" s="31">
        <v>416.59</v>
      </c>
      <c r="D62" s="32">
        <v>32.331000000000003</v>
      </c>
      <c r="E62" s="32">
        <v>36.713999999999999</v>
      </c>
      <c r="F62" s="32">
        <v>37.256999999999998</v>
      </c>
      <c r="G62" s="18">
        <v>9.98</v>
      </c>
      <c r="H62" s="18">
        <f t="shared" si="0"/>
        <v>33.494624999999999</v>
      </c>
      <c r="I62" s="5"/>
      <c r="J62" s="31">
        <v>393.16</v>
      </c>
      <c r="K62" s="32">
        <v>32.431199999999997</v>
      </c>
      <c r="L62" s="32">
        <v>37.730200000000004</v>
      </c>
      <c r="M62" s="32">
        <v>38.600099999999998</v>
      </c>
      <c r="N62" s="18">
        <v>28.668099999999999</v>
      </c>
      <c r="O62" s="18">
        <f t="shared" si="1"/>
        <v>33.864687500000002</v>
      </c>
      <c r="P62" s="7"/>
      <c r="Q62" s="10"/>
      <c r="R62" s="11"/>
      <c r="S62" s="11"/>
      <c r="T62" s="26"/>
      <c r="U62" s="28">
        <f t="shared" si="2"/>
        <v>1.8725551102204407</v>
      </c>
    </row>
    <row r="63" spans="1:21" x14ac:dyDescent="0.25">
      <c r="B63" s="9"/>
      <c r="C63" s="31">
        <v>259.73</v>
      </c>
      <c r="D63" s="32">
        <v>30.49</v>
      </c>
      <c r="E63" s="32">
        <v>35.552</v>
      </c>
      <c r="F63" s="32">
        <v>36.073999999999998</v>
      </c>
      <c r="G63" s="18">
        <v>12.64</v>
      </c>
      <c r="H63" s="18">
        <f t="shared" si="0"/>
        <v>31.820749999999997</v>
      </c>
      <c r="I63" s="5"/>
      <c r="J63" s="31">
        <v>243.99039999999999</v>
      </c>
      <c r="K63" s="32">
        <v>30.657900000000001</v>
      </c>
      <c r="L63" s="32">
        <v>36.569499999999998</v>
      </c>
      <c r="M63" s="32">
        <v>37.393700000000003</v>
      </c>
      <c r="N63" s="18">
        <v>35.415799999999997</v>
      </c>
      <c r="O63" s="18">
        <f t="shared" si="1"/>
        <v>32.238825000000006</v>
      </c>
      <c r="P63" s="7"/>
      <c r="Q63" s="10"/>
      <c r="R63" s="11"/>
      <c r="S63" s="11"/>
      <c r="T63" s="26"/>
      <c r="U63" s="28">
        <f t="shared" si="2"/>
        <v>1.8018829113924046</v>
      </c>
    </row>
    <row r="64" spans="1:21" ht="16.5" thickBot="1" x14ac:dyDescent="0.3">
      <c r="B64" s="12"/>
      <c r="C64" s="33">
        <v>122.38</v>
      </c>
      <c r="D64" s="34">
        <v>27.81</v>
      </c>
      <c r="E64" s="34">
        <v>33.834000000000003</v>
      </c>
      <c r="F64" s="34">
        <v>34.276000000000003</v>
      </c>
      <c r="G64" s="20">
        <v>17.57</v>
      </c>
      <c r="H64" s="20">
        <f t="shared" si="0"/>
        <v>29.37125</v>
      </c>
      <c r="I64" s="5"/>
      <c r="J64" s="33">
        <v>117.44</v>
      </c>
      <c r="K64" s="34">
        <v>28.094200000000001</v>
      </c>
      <c r="L64" s="34">
        <v>35.141599999999997</v>
      </c>
      <c r="M64" s="34">
        <v>35.819800000000001</v>
      </c>
      <c r="N64" s="20">
        <v>48.192799999999998</v>
      </c>
      <c r="O64" s="20">
        <f t="shared" si="1"/>
        <v>29.940824999999997</v>
      </c>
      <c r="P64" s="7"/>
      <c r="Q64" s="13"/>
      <c r="R64" s="14"/>
      <c r="S64" s="14"/>
      <c r="T64" s="27"/>
      <c r="U64" s="28">
        <f t="shared" si="2"/>
        <v>1.7429026750142287</v>
      </c>
    </row>
    <row r="65" spans="1:21" x14ac:dyDescent="0.25">
      <c r="B65" s="6" t="s">
        <v>60</v>
      </c>
      <c r="C65" s="15">
        <v>574.20000000000005</v>
      </c>
      <c r="D65" s="16">
        <v>35.634999999999998</v>
      </c>
      <c r="E65" s="16">
        <v>38.417000000000002</v>
      </c>
      <c r="F65" s="16">
        <v>39.597000000000001</v>
      </c>
      <c r="G65" s="16">
        <v>5.64</v>
      </c>
      <c r="H65" s="16">
        <f t="shared" si="0"/>
        <v>36.478000000000002</v>
      </c>
      <c r="I65" s="5"/>
      <c r="J65" s="15">
        <v>597.13919999999996</v>
      </c>
      <c r="K65" s="16">
        <v>35.485100000000003</v>
      </c>
      <c r="L65" s="16">
        <v>39.057099999999998</v>
      </c>
      <c r="M65" s="16">
        <v>40.207700000000003</v>
      </c>
      <c r="N65" s="16">
        <v>12.708600000000001</v>
      </c>
      <c r="O65" s="16">
        <f t="shared" si="1"/>
        <v>36.521925000000003</v>
      </c>
      <c r="P65" s="7"/>
      <c r="Q65" s="8">
        <f>bdrate(C65:C68,D65:D68,J65:J68,K65:K68)</f>
        <v>0.10552357106947485</v>
      </c>
      <c r="R65" s="8">
        <f>bdrate(C65:C68,E65:E68,J65:J68,L65:L68)</f>
        <v>-0.23118600633204089</v>
      </c>
      <c r="S65" s="8">
        <f>bdrate(C65:C68,F65:F68,J65:J68,M65:M68)</f>
        <v>-0.2364557423703757</v>
      </c>
      <c r="T65" s="25">
        <f>bdrate(C65:C68,H65:H68,J65:J68,O65:O68)</f>
        <v>3.3014388104498416E-2</v>
      </c>
      <c r="U65" s="28">
        <f t="shared" si="2"/>
        <v>1.2532978723404258</v>
      </c>
    </row>
    <row r="66" spans="1:21" x14ac:dyDescent="0.25">
      <c r="B66" s="9"/>
      <c r="C66" s="17">
        <v>384.98</v>
      </c>
      <c r="D66" s="18">
        <v>33.713000000000001</v>
      </c>
      <c r="E66" s="18">
        <v>37.103000000000002</v>
      </c>
      <c r="F66" s="18">
        <v>38.286999999999999</v>
      </c>
      <c r="G66" s="18">
        <v>6.76</v>
      </c>
      <c r="H66" s="18">
        <f t="shared" si="0"/>
        <v>34.708500000000001</v>
      </c>
      <c r="I66" s="5"/>
      <c r="J66" s="17">
        <v>398.14080000000001</v>
      </c>
      <c r="K66" s="18">
        <v>33.467500000000001</v>
      </c>
      <c r="L66" s="18">
        <v>37.817999999999998</v>
      </c>
      <c r="M66" s="18">
        <v>39.024299999999997</v>
      </c>
      <c r="N66" s="18">
        <v>15.3233</v>
      </c>
      <c r="O66" s="18">
        <f t="shared" si="1"/>
        <v>34.705912499999997</v>
      </c>
      <c r="P66" s="7"/>
      <c r="Q66" s="10"/>
      <c r="R66" s="11"/>
      <c r="S66" s="11"/>
      <c r="T66" s="26"/>
      <c r="U66" s="28">
        <f t="shared" si="2"/>
        <v>1.2667603550295858</v>
      </c>
    </row>
    <row r="67" spans="1:21" x14ac:dyDescent="0.25">
      <c r="B67" s="9"/>
      <c r="C67" s="17">
        <v>241.52</v>
      </c>
      <c r="D67" s="18">
        <v>31.686</v>
      </c>
      <c r="E67" s="18">
        <v>35.722999999999999</v>
      </c>
      <c r="F67" s="18">
        <v>36.843000000000004</v>
      </c>
      <c r="G67" s="18">
        <v>8.39</v>
      </c>
      <c r="H67" s="18">
        <f t="shared" si="0"/>
        <v>32.835250000000002</v>
      </c>
      <c r="I67" s="5"/>
      <c r="J67" s="17">
        <v>247.316</v>
      </c>
      <c r="K67" s="18">
        <v>31.334800000000001</v>
      </c>
      <c r="L67" s="18">
        <v>36.522300000000001</v>
      </c>
      <c r="M67" s="18">
        <v>37.689100000000003</v>
      </c>
      <c r="N67" s="18">
        <v>18.706700000000001</v>
      </c>
      <c r="O67" s="18">
        <f t="shared" si="1"/>
        <v>32.777525000000004</v>
      </c>
      <c r="P67" s="7"/>
      <c r="Q67" s="10"/>
      <c r="R67" s="11"/>
      <c r="S67" s="11"/>
      <c r="T67" s="26"/>
      <c r="U67" s="28">
        <f t="shared" si="2"/>
        <v>1.229642431466031</v>
      </c>
    </row>
    <row r="68" spans="1:21" ht="16.5" thickBot="1" x14ac:dyDescent="0.3">
      <c r="B68" s="12"/>
      <c r="C68" s="19">
        <v>115.91</v>
      </c>
      <c r="D68" s="20">
        <v>28.901</v>
      </c>
      <c r="E68" s="20">
        <v>33.771999999999998</v>
      </c>
      <c r="F68" s="20">
        <v>34.777999999999999</v>
      </c>
      <c r="G68" s="20">
        <v>12.22</v>
      </c>
      <c r="H68" s="20">
        <f t="shared" si="0"/>
        <v>30.244499999999999</v>
      </c>
      <c r="I68" s="5"/>
      <c r="J68" s="19">
        <v>118.19759999999999</v>
      </c>
      <c r="K68" s="20">
        <v>28.514199999999999</v>
      </c>
      <c r="L68" s="20">
        <v>34.958300000000001</v>
      </c>
      <c r="M68" s="20">
        <v>36.092599999999997</v>
      </c>
      <c r="N68" s="20">
        <v>26.0168</v>
      </c>
      <c r="O68" s="20">
        <f t="shared" si="1"/>
        <v>30.2670125</v>
      </c>
      <c r="P68" s="7"/>
      <c r="Q68" s="13"/>
      <c r="R68" s="14"/>
      <c r="S68" s="14"/>
      <c r="T68" s="27"/>
      <c r="U68" s="28">
        <f t="shared" si="2"/>
        <v>1.1290343698854337</v>
      </c>
    </row>
    <row r="69" spans="1:21" x14ac:dyDescent="0.25">
      <c r="A69" s="6" t="s">
        <v>43</v>
      </c>
      <c r="B69" s="6" t="s">
        <v>61</v>
      </c>
      <c r="C69" s="15">
        <v>1373.68</v>
      </c>
      <c r="D69" s="16">
        <v>41.533000000000001</v>
      </c>
      <c r="E69" s="16">
        <v>45.567999999999998</v>
      </c>
      <c r="F69" s="16">
        <v>46.841000000000001</v>
      </c>
      <c r="G69" s="16">
        <v>3.85</v>
      </c>
      <c r="H69" s="16">
        <f t="shared" si="0"/>
        <v>42.700875000000003</v>
      </c>
      <c r="I69" s="5"/>
      <c r="J69" s="15">
        <v>1495.5296000000001</v>
      </c>
      <c r="K69" s="16">
        <v>42.1008</v>
      </c>
      <c r="L69" s="16">
        <v>46.502000000000002</v>
      </c>
      <c r="M69" s="16">
        <v>47.775799999999997</v>
      </c>
      <c r="N69" s="16">
        <v>6.0873999999999997</v>
      </c>
      <c r="O69" s="16">
        <f t="shared" si="1"/>
        <v>43.360325000000003</v>
      </c>
      <c r="P69" s="7"/>
      <c r="Q69" s="8">
        <f>bdrate(C69:C72,D69:D72,J69:J72,K69:K72)</f>
        <v>-4.1665132166717411E-2</v>
      </c>
      <c r="R69" s="8">
        <f>bdrate(C69:C72,E69:E72,J69:J72,L69:L72)</f>
        <v>-0.25527285838085001</v>
      </c>
      <c r="S69" s="8">
        <f>bdrate(C69:C72,F69:F72,J69:J72,M69:M72)</f>
        <v>-0.22732603822728381</v>
      </c>
      <c r="T69" s="25">
        <f>bdrate(C69:C72,H69:H72,J69:J72,O69:O72)</f>
        <v>-8.0871683920532678E-2</v>
      </c>
      <c r="U69" s="28">
        <f t="shared" si="2"/>
        <v>0.58114285714285707</v>
      </c>
    </row>
    <row r="70" spans="1:21" x14ac:dyDescent="0.25">
      <c r="A70" s="9" t="s">
        <v>44</v>
      </c>
      <c r="B70" s="9"/>
      <c r="C70" s="17">
        <v>905.4</v>
      </c>
      <c r="D70" s="18">
        <v>40.475999999999999</v>
      </c>
      <c r="E70" s="18">
        <v>44.488999999999997</v>
      </c>
      <c r="F70" s="18">
        <v>45.841999999999999</v>
      </c>
      <c r="G70" s="18">
        <v>4.3600000000000003</v>
      </c>
      <c r="H70" s="18">
        <f t="shared" si="0"/>
        <v>41.648374999999994</v>
      </c>
      <c r="I70" s="5"/>
      <c r="J70" s="17">
        <v>982.16319999999996</v>
      </c>
      <c r="K70" s="18">
        <v>41.058599999999998</v>
      </c>
      <c r="L70" s="18">
        <v>45.561500000000002</v>
      </c>
      <c r="M70" s="18">
        <v>46.798299999999998</v>
      </c>
      <c r="N70" s="18">
        <v>7.7365000000000004</v>
      </c>
      <c r="O70" s="18">
        <f t="shared" si="1"/>
        <v>42.338924999999996</v>
      </c>
      <c r="P70" s="7"/>
      <c r="Q70" s="10"/>
      <c r="R70" s="11"/>
      <c r="S70" s="11"/>
      <c r="T70" s="26"/>
      <c r="U70" s="28">
        <f t="shared" si="2"/>
        <v>0.77442660550458708</v>
      </c>
    </row>
    <row r="71" spans="1:21" x14ac:dyDescent="0.25">
      <c r="B71" s="9"/>
      <c r="C71" s="17">
        <v>538.38</v>
      </c>
      <c r="D71" s="18">
        <v>38.776000000000003</v>
      </c>
      <c r="E71" s="18">
        <v>43.143999999999998</v>
      </c>
      <c r="F71" s="18">
        <v>44.402999999999999</v>
      </c>
      <c r="G71" s="18">
        <v>5.0999999999999996</v>
      </c>
      <c r="H71" s="18">
        <f t="shared" si="0"/>
        <v>40.025375000000004</v>
      </c>
      <c r="I71" s="5"/>
      <c r="J71" s="17">
        <v>573.93679999999995</v>
      </c>
      <c r="K71" s="18">
        <v>39.233600000000003</v>
      </c>
      <c r="L71" s="18">
        <v>44.098599999999998</v>
      </c>
      <c r="M71" s="18">
        <v>45.275599999999997</v>
      </c>
      <c r="N71" s="18">
        <v>10.2803</v>
      </c>
      <c r="O71" s="18">
        <f t="shared" si="1"/>
        <v>40.596975</v>
      </c>
      <c r="P71" s="7"/>
      <c r="Q71" s="10"/>
      <c r="R71" s="11"/>
      <c r="S71" s="11"/>
      <c r="T71" s="26"/>
      <c r="U71" s="28">
        <f t="shared" si="2"/>
        <v>1.015745098039216</v>
      </c>
    </row>
    <row r="72" spans="1:21" ht="16.5" thickBot="1" x14ac:dyDescent="0.3">
      <c r="B72" s="12"/>
      <c r="C72" s="19">
        <v>259.85000000000002</v>
      </c>
      <c r="D72" s="20">
        <v>36.314</v>
      </c>
      <c r="E72" s="20">
        <v>41.695</v>
      </c>
      <c r="F72" s="20">
        <v>42.701000000000001</v>
      </c>
      <c r="G72" s="20">
        <v>6.29</v>
      </c>
      <c r="H72" s="20">
        <f t="shared" si="0"/>
        <v>37.785000000000004</v>
      </c>
      <c r="I72" s="5"/>
      <c r="J72" s="19">
        <v>282.67919999999998</v>
      </c>
      <c r="K72" s="20">
        <v>36.116300000000003</v>
      </c>
      <c r="L72" s="20">
        <v>42.180900000000001</v>
      </c>
      <c r="M72" s="20">
        <v>43.352699999999999</v>
      </c>
      <c r="N72" s="20">
        <v>15.1661</v>
      </c>
      <c r="O72" s="20">
        <f t="shared" si="1"/>
        <v>37.778925000000001</v>
      </c>
      <c r="P72" s="7"/>
      <c r="Q72" s="13"/>
      <c r="R72" s="14"/>
      <c r="S72" s="14"/>
      <c r="T72" s="27"/>
      <c r="U72" s="28">
        <f t="shared" si="2"/>
        <v>1.4111446740858506</v>
      </c>
    </row>
    <row r="73" spans="1:21" x14ac:dyDescent="0.25">
      <c r="B73" s="6" t="s">
        <v>62</v>
      </c>
      <c r="C73" s="15">
        <v>1417.27</v>
      </c>
      <c r="D73" s="16">
        <v>42.744999999999997</v>
      </c>
      <c r="E73" s="16">
        <v>47.814</v>
      </c>
      <c r="F73" s="16">
        <v>48.402000000000001</v>
      </c>
      <c r="G73" s="16">
        <v>4.0599999999999996</v>
      </c>
      <c r="H73" s="16">
        <f t="shared" si="0"/>
        <v>44.085749999999997</v>
      </c>
      <c r="I73" s="5"/>
      <c r="J73" s="15">
        <v>1489.1848</v>
      </c>
      <c r="K73" s="16">
        <v>43.028799999999997</v>
      </c>
      <c r="L73" s="16">
        <v>48.389899999999997</v>
      </c>
      <c r="M73" s="16">
        <v>49.088900000000002</v>
      </c>
      <c r="N73" s="16">
        <v>6.9443999999999999</v>
      </c>
      <c r="O73" s="16">
        <f t="shared" si="1"/>
        <v>44.456450000000004</v>
      </c>
      <c r="P73" s="7"/>
      <c r="Q73" s="8">
        <f>bdrate(C73:C76,D73:D76,J73:J76,K73:K76)</f>
        <v>-9.8292516488030501E-2</v>
      </c>
      <c r="R73" s="8">
        <f>bdrate(C73:C76,E73:E76,J73:J76,L73:L76)</f>
        <v>-0.32495239430820511</v>
      </c>
      <c r="S73" s="8">
        <f>bdrate(C73:C76,F73:F76,J73:J76,M73:M76)</f>
        <v>-0.33114045061127839</v>
      </c>
      <c r="T73" s="25">
        <f>bdrate(C73:C76,H73:H76,J73:J76,O73:O76)</f>
        <v>-0.1639601599964482</v>
      </c>
      <c r="U73" s="28">
        <f t="shared" ref="U73:U91" si="3">(N73-G73)/G73</f>
        <v>0.71044334975369472</v>
      </c>
    </row>
    <row r="74" spans="1:21" x14ac:dyDescent="0.25">
      <c r="B74" s="9"/>
      <c r="C74" s="17">
        <v>934.34</v>
      </c>
      <c r="D74" s="18">
        <v>42.292999999999999</v>
      </c>
      <c r="E74" s="18">
        <v>47.2</v>
      </c>
      <c r="F74" s="18">
        <v>47.819000000000003</v>
      </c>
      <c r="G74" s="18">
        <v>4.49</v>
      </c>
      <c r="H74" s="18">
        <f t="shared" si="0"/>
        <v>43.597124999999998</v>
      </c>
      <c r="I74" s="5"/>
      <c r="J74" s="17">
        <v>969.06880000000001</v>
      </c>
      <c r="K74" s="18">
        <v>42.576500000000003</v>
      </c>
      <c r="L74" s="18">
        <v>47.946800000000003</v>
      </c>
      <c r="M74" s="18">
        <v>48.6006</v>
      </c>
      <c r="N74" s="18">
        <v>8.7401999999999997</v>
      </c>
      <c r="O74" s="18">
        <f t="shared" si="1"/>
        <v>44.000799999999998</v>
      </c>
      <c r="P74" s="7"/>
      <c r="Q74" s="10"/>
      <c r="R74" s="11"/>
      <c r="S74" s="11"/>
      <c r="T74" s="26"/>
      <c r="U74" s="28">
        <f t="shared" si="3"/>
        <v>0.9465924276169263</v>
      </c>
    </row>
    <row r="75" spans="1:21" x14ac:dyDescent="0.25">
      <c r="B75" s="9"/>
      <c r="C75" s="17">
        <v>550.19000000000005</v>
      </c>
      <c r="D75" s="18">
        <v>41.540999999999997</v>
      </c>
      <c r="E75" s="18">
        <v>46.326999999999998</v>
      </c>
      <c r="F75" s="18">
        <v>46.936999999999998</v>
      </c>
      <c r="G75" s="18">
        <v>5.07</v>
      </c>
      <c r="H75" s="18">
        <f t="shared" si="0"/>
        <v>42.813749999999999</v>
      </c>
      <c r="I75" s="5"/>
      <c r="J75" s="17">
        <v>568.45519999999999</v>
      </c>
      <c r="K75" s="18">
        <v>41.796300000000002</v>
      </c>
      <c r="L75" s="18">
        <v>47.179200000000002</v>
      </c>
      <c r="M75" s="18">
        <v>47.808399999999999</v>
      </c>
      <c r="N75" s="18">
        <v>11.8432</v>
      </c>
      <c r="O75" s="18">
        <f t="shared" si="1"/>
        <v>43.220675</v>
      </c>
      <c r="P75" s="7"/>
      <c r="Q75" s="10"/>
      <c r="R75" s="11"/>
      <c r="S75" s="11"/>
      <c r="T75" s="26"/>
      <c r="U75" s="28">
        <f t="shared" si="3"/>
        <v>1.3359368836291912</v>
      </c>
    </row>
    <row r="76" spans="1:21" ht="16.5" thickBot="1" x14ac:dyDescent="0.3">
      <c r="B76" s="12"/>
      <c r="C76" s="19">
        <v>263.67</v>
      </c>
      <c r="D76" s="20">
        <v>39.933</v>
      </c>
      <c r="E76" s="20">
        <v>44.828000000000003</v>
      </c>
      <c r="F76" s="20">
        <v>45.393000000000001</v>
      </c>
      <c r="G76" s="20">
        <v>5.92</v>
      </c>
      <c r="H76" s="20">
        <f t="shared" si="0"/>
        <v>41.227375000000009</v>
      </c>
      <c r="I76" s="5"/>
      <c r="J76" s="19">
        <v>272.00560000000002</v>
      </c>
      <c r="K76" s="20">
        <v>40.029699999999998</v>
      </c>
      <c r="L76" s="20">
        <v>45.308300000000003</v>
      </c>
      <c r="M76" s="20">
        <v>45.9392</v>
      </c>
      <c r="N76" s="20">
        <v>17.7043</v>
      </c>
      <c r="O76" s="20">
        <f t="shared" si="1"/>
        <v>41.428212500000001</v>
      </c>
      <c r="P76" s="7"/>
      <c r="Q76" s="13"/>
      <c r="R76" s="14"/>
      <c r="S76" s="14"/>
      <c r="T76" s="27"/>
      <c r="U76" s="28">
        <f t="shared" si="3"/>
        <v>1.9905912162162163</v>
      </c>
    </row>
    <row r="77" spans="1:21" x14ac:dyDescent="0.25">
      <c r="B77" s="6" t="s">
        <v>63</v>
      </c>
      <c r="C77" s="15">
        <v>1481.51</v>
      </c>
      <c r="D77" s="16">
        <v>42.688000000000002</v>
      </c>
      <c r="E77" s="16">
        <v>46.905000000000001</v>
      </c>
      <c r="F77" s="16">
        <v>47.78</v>
      </c>
      <c r="G77" s="16">
        <v>3.5</v>
      </c>
      <c r="H77" s="16">
        <f t="shared" si="0"/>
        <v>43.851624999999999</v>
      </c>
      <c r="I77" s="5"/>
      <c r="J77" s="15">
        <v>1516.5768</v>
      </c>
      <c r="K77" s="16">
        <v>42.983400000000003</v>
      </c>
      <c r="L77" s="16">
        <v>47.580500000000001</v>
      </c>
      <c r="M77" s="16">
        <v>48.493000000000002</v>
      </c>
      <c r="N77" s="16">
        <v>6.2432999999999996</v>
      </c>
      <c r="O77" s="16">
        <f t="shared" si="1"/>
        <v>44.246737500000002</v>
      </c>
      <c r="P77" s="7"/>
      <c r="Q77" s="8">
        <f>bdrate(C77:C80,D77:D80,J77:J80,K77:K80)</f>
        <v>-4.9987285993149499E-2</v>
      </c>
      <c r="R77" s="8">
        <f>bdrate(C77:C80,E77:E80,J77:J80,L77:L80)</f>
        <v>-0.26998402338417238</v>
      </c>
      <c r="S77" s="8">
        <f>bdrate(C77:C80,F77:F80,J77:J80,M77:M80)</f>
        <v>-0.26285467835135645</v>
      </c>
      <c r="T77" s="25">
        <f>bdrate(C77:C80,H77:H80,J77:J80,O77:O80)</f>
        <v>-0.10204588050314145</v>
      </c>
      <c r="U77" s="28">
        <f t="shared" si="3"/>
        <v>0.78379999999999994</v>
      </c>
    </row>
    <row r="78" spans="1:21" x14ac:dyDescent="0.25">
      <c r="B78" s="9"/>
      <c r="C78" s="17">
        <v>984.27</v>
      </c>
      <c r="D78" s="18">
        <v>41.972000000000001</v>
      </c>
      <c r="E78" s="18">
        <v>46.106999999999999</v>
      </c>
      <c r="F78" s="18">
        <v>47.029000000000003</v>
      </c>
      <c r="G78" s="18">
        <v>4.0199999999999996</v>
      </c>
      <c r="H78" s="18">
        <f t="shared" si="0"/>
        <v>43.120999999999995</v>
      </c>
      <c r="I78" s="5"/>
      <c r="J78" s="17">
        <v>1004.9776000000001</v>
      </c>
      <c r="K78" s="18">
        <v>42.238100000000003</v>
      </c>
      <c r="L78" s="18">
        <v>46.877899999999997</v>
      </c>
      <c r="M78" s="18">
        <v>47.742899999999999</v>
      </c>
      <c r="N78" s="18">
        <v>7.7907000000000002</v>
      </c>
      <c r="O78" s="18">
        <f t="shared" si="1"/>
        <v>43.506175000000006</v>
      </c>
      <c r="P78" s="7"/>
      <c r="Q78" s="10"/>
      <c r="R78" s="11"/>
      <c r="S78" s="11"/>
      <c r="T78" s="26"/>
      <c r="U78" s="28">
        <f t="shared" si="3"/>
        <v>0.93798507462686587</v>
      </c>
    </row>
    <row r="79" spans="1:21" x14ac:dyDescent="0.25">
      <c r="B79" s="9"/>
      <c r="C79" s="17">
        <v>586.75</v>
      </c>
      <c r="D79" s="18">
        <v>40.738</v>
      </c>
      <c r="E79" s="18">
        <v>44.845999999999997</v>
      </c>
      <c r="F79" s="18">
        <v>45.744</v>
      </c>
      <c r="G79" s="18">
        <v>4.59</v>
      </c>
      <c r="H79" s="18">
        <f t="shared" si="0"/>
        <v>41.877250000000004</v>
      </c>
      <c r="I79" s="5"/>
      <c r="J79" s="17">
        <v>586.82159999999999</v>
      </c>
      <c r="K79" s="18">
        <v>40.904200000000003</v>
      </c>
      <c r="L79" s="18">
        <v>45.633899999999997</v>
      </c>
      <c r="M79" s="18">
        <v>46.475299999999997</v>
      </c>
      <c r="N79" s="18">
        <v>10.3573</v>
      </c>
      <c r="O79" s="18">
        <f t="shared" si="1"/>
        <v>42.191800000000001</v>
      </c>
      <c r="P79" s="7"/>
      <c r="Q79" s="10"/>
      <c r="R79" s="11"/>
      <c r="S79" s="11"/>
      <c r="T79" s="26"/>
      <c r="U79" s="28">
        <f t="shared" si="3"/>
        <v>1.2564923747276691</v>
      </c>
    </row>
    <row r="80" spans="1:21" ht="16.5" thickBot="1" x14ac:dyDescent="0.3">
      <c r="B80" s="12"/>
      <c r="C80" s="19">
        <v>286.48</v>
      </c>
      <c r="D80" s="20">
        <v>38.606000000000002</v>
      </c>
      <c r="E80" s="20">
        <v>43.164000000000001</v>
      </c>
      <c r="F80" s="20">
        <v>44.048000000000002</v>
      </c>
      <c r="G80" s="20">
        <v>5.54</v>
      </c>
      <c r="H80" s="20">
        <f t="shared" si="0"/>
        <v>39.856000000000002</v>
      </c>
      <c r="I80" s="5"/>
      <c r="J80" s="19">
        <v>289.1816</v>
      </c>
      <c r="K80" s="20">
        <v>38.459299999999999</v>
      </c>
      <c r="L80" s="20">
        <v>43.768300000000004</v>
      </c>
      <c r="M80" s="20">
        <v>44.776899999999998</v>
      </c>
      <c r="N80" s="20">
        <v>15.8261</v>
      </c>
      <c r="O80" s="20">
        <f t="shared" si="1"/>
        <v>39.912624999999998</v>
      </c>
      <c r="P80" s="7"/>
      <c r="Q80" s="13"/>
      <c r="R80" s="14"/>
      <c r="S80" s="14"/>
      <c r="T80" s="27"/>
      <c r="U80" s="28">
        <f t="shared" si="3"/>
        <v>1.8566967509025272</v>
      </c>
    </row>
    <row r="81" spans="1:21" x14ac:dyDescent="0.25">
      <c r="A81" s="6" t="s">
        <v>102</v>
      </c>
      <c r="B81" s="6" t="s">
        <v>103</v>
      </c>
      <c r="C81" s="15">
        <v>1287.94</v>
      </c>
      <c r="D81" s="16">
        <v>46.051000000000002</v>
      </c>
      <c r="E81" s="16">
        <v>50.947000000000003</v>
      </c>
      <c r="F81" s="16">
        <v>51.863</v>
      </c>
      <c r="G81" s="16">
        <v>2.2599999999999998</v>
      </c>
      <c r="H81" s="16">
        <f t="shared" ref="H81:H91" si="4">(6*D81+E81+F81)/8</f>
        <v>47.389500000000005</v>
      </c>
      <c r="I81" s="5"/>
      <c r="J81" s="15">
        <v>1229.8975</v>
      </c>
      <c r="K81" s="16">
        <v>45.746200000000002</v>
      </c>
      <c r="L81" s="16">
        <v>51.573999999999998</v>
      </c>
      <c r="M81" s="16">
        <v>52.219099999999997</v>
      </c>
      <c r="N81" s="16">
        <v>3.4943</v>
      </c>
      <c r="O81" s="16">
        <f t="shared" ref="O81:O91" si="5">(6*K81+L81+M81)/8</f>
        <v>47.283787500000003</v>
      </c>
      <c r="P81" s="7"/>
      <c r="Q81" s="8">
        <f>bdrate(C81:C84,D81:D84,J81:J84,K81:K84)</f>
        <v>-0.10759032015237635</v>
      </c>
      <c r="R81" s="8">
        <f>bdrate(C81:C84,E81:E84,J81:J84,L81:L84)</f>
        <v>-0.32806689239849018</v>
      </c>
      <c r="S81" s="8">
        <f>bdrate(C81:C84,F81:F84,J81:J84,M81:M84)</f>
        <v>-0.32533196110979001</v>
      </c>
      <c r="T81" s="25">
        <f>bdrate(C81:C84,H81:H84,J81:J84,O81:O84)</f>
        <v>-0.15731919024879215</v>
      </c>
      <c r="U81" s="28">
        <f t="shared" si="3"/>
        <v>0.54615044247787625</v>
      </c>
    </row>
    <row r="82" spans="1:21" x14ac:dyDescent="0.25">
      <c r="A82" s="9" t="s">
        <v>78</v>
      </c>
      <c r="B82" s="9"/>
      <c r="C82" s="17">
        <v>859.88</v>
      </c>
      <c r="D82" s="18">
        <v>43.768000000000001</v>
      </c>
      <c r="E82" s="18">
        <v>48.962000000000003</v>
      </c>
      <c r="F82" s="18">
        <v>50.014000000000003</v>
      </c>
      <c r="G82" s="18">
        <v>2.65</v>
      </c>
      <c r="H82" s="18">
        <f t="shared" si="4"/>
        <v>45.198</v>
      </c>
      <c r="I82" s="5"/>
      <c r="J82" s="17">
        <v>830.19680000000005</v>
      </c>
      <c r="K82" s="18">
        <v>44.063899999999997</v>
      </c>
      <c r="L82" s="18">
        <v>50.3461</v>
      </c>
      <c r="M82" s="18">
        <v>51.005800000000001</v>
      </c>
      <c r="N82" s="18">
        <v>4.1109</v>
      </c>
      <c r="O82" s="18">
        <f t="shared" si="5"/>
        <v>45.716912499999999</v>
      </c>
      <c r="P82" s="7"/>
      <c r="Q82" s="10"/>
      <c r="R82" s="11"/>
      <c r="S82" s="11"/>
      <c r="T82" s="26"/>
      <c r="U82" s="28">
        <f t="shared" si="3"/>
        <v>0.55128301886792463</v>
      </c>
    </row>
    <row r="83" spans="1:21" x14ac:dyDescent="0.25">
      <c r="B83" s="9"/>
      <c r="C83" s="17">
        <v>519.35</v>
      </c>
      <c r="D83" s="18">
        <v>40.966999999999999</v>
      </c>
      <c r="E83" s="18">
        <v>46.58</v>
      </c>
      <c r="F83" s="18">
        <v>47.789000000000001</v>
      </c>
      <c r="G83" s="18">
        <v>3.23</v>
      </c>
      <c r="H83" s="18">
        <f t="shared" si="4"/>
        <v>42.521374999999999</v>
      </c>
      <c r="I83" s="5"/>
      <c r="J83" s="17">
        <v>504.9853</v>
      </c>
      <c r="K83" s="18">
        <v>41.570399999999999</v>
      </c>
      <c r="L83" s="18">
        <v>48.2774</v>
      </c>
      <c r="M83" s="18">
        <v>49.531300000000002</v>
      </c>
      <c r="N83" s="18">
        <v>5.1405000000000003</v>
      </c>
      <c r="O83" s="18">
        <f t="shared" si="5"/>
        <v>43.403887499999996</v>
      </c>
      <c r="P83" s="7"/>
      <c r="Q83" s="10"/>
      <c r="R83" s="11"/>
      <c r="S83" s="11"/>
      <c r="T83" s="26"/>
      <c r="U83" s="28">
        <f t="shared" si="3"/>
        <v>0.59148606811145521</v>
      </c>
    </row>
    <row r="84" spans="1:21" ht="16.5" thickBot="1" x14ac:dyDescent="0.3">
      <c r="B84" s="12"/>
      <c r="C84" s="19">
        <v>261.91000000000003</v>
      </c>
      <c r="D84" s="20">
        <v>37.512</v>
      </c>
      <c r="E84" s="20">
        <v>43.677999999999997</v>
      </c>
      <c r="F84" s="20">
        <v>45.033999999999999</v>
      </c>
      <c r="G84" s="20">
        <v>4.28</v>
      </c>
      <c r="H84" s="20">
        <f t="shared" si="4"/>
        <v>39.222999999999999</v>
      </c>
      <c r="I84" s="5"/>
      <c r="J84" s="19">
        <v>257.89600000000002</v>
      </c>
      <c r="K84" s="20">
        <v>38.063600000000001</v>
      </c>
      <c r="L84" s="20">
        <v>45.806699999999999</v>
      </c>
      <c r="M84" s="20">
        <v>46.924799999999998</v>
      </c>
      <c r="N84" s="20">
        <v>7.3540999999999999</v>
      </c>
      <c r="O84" s="20">
        <f t="shared" si="5"/>
        <v>40.139137499999997</v>
      </c>
      <c r="P84" s="7"/>
      <c r="Q84" s="13"/>
      <c r="R84" s="14"/>
      <c r="S84" s="14"/>
      <c r="T84" s="27"/>
      <c r="U84" s="28">
        <f t="shared" si="3"/>
        <v>0.71824766355140168</v>
      </c>
    </row>
    <row r="85" spans="1:21" x14ac:dyDescent="0.25">
      <c r="B85" s="6" t="s">
        <v>104</v>
      </c>
      <c r="C85" s="15">
        <v>1471.32</v>
      </c>
      <c r="D85" s="16">
        <v>54.918999999999997</v>
      </c>
      <c r="E85" s="16">
        <v>55.374000000000002</v>
      </c>
      <c r="F85" s="16">
        <v>55.76</v>
      </c>
      <c r="G85" s="16">
        <v>4.68</v>
      </c>
      <c r="H85" s="16">
        <f t="shared" si="4"/>
        <v>55.081000000000003</v>
      </c>
      <c r="I85" s="5"/>
      <c r="J85" s="15">
        <v>1459.6144999999999</v>
      </c>
      <c r="K85" s="16">
        <v>53.972900000000003</v>
      </c>
      <c r="L85" s="16">
        <v>54.644799999999996</v>
      </c>
      <c r="M85" s="16">
        <v>55.2333</v>
      </c>
      <c r="N85" s="16">
        <v>10.446300000000001</v>
      </c>
      <c r="O85" s="16">
        <f t="shared" si="5"/>
        <v>54.214437499999995</v>
      </c>
      <c r="P85" s="7"/>
      <c r="Q85" s="8">
        <f>bdrate(C85:C88,D85:D88,J85:J88,K85:K88)</f>
        <v>3.4670107517738691E-2</v>
      </c>
      <c r="R85" s="8">
        <f>bdrate(C85:C88,E85:E88,J85:J88,L85:L88)</f>
        <v>-2.0727585152200856E-2</v>
      </c>
      <c r="S85" s="8">
        <f>bdrate(C85:C88,F85:F88,J85:J88,M85:M88)</f>
        <v>-2.1429157922367548E-2</v>
      </c>
      <c r="T85" s="25">
        <f>bdrate(C85:C88,H85:H88,J85:J88,O85:O88)</f>
        <v>2.1573514262804183E-2</v>
      </c>
      <c r="U85" s="28">
        <f t="shared" si="3"/>
        <v>1.2321153846153849</v>
      </c>
    </row>
    <row r="86" spans="1:21" x14ac:dyDescent="0.25">
      <c r="B86" s="9"/>
      <c r="C86" s="17">
        <v>969.58</v>
      </c>
      <c r="D86" s="18">
        <v>52.206000000000003</v>
      </c>
      <c r="E86" s="18">
        <v>52.83</v>
      </c>
      <c r="F86" s="18">
        <v>53.323999999999998</v>
      </c>
      <c r="G86" s="18">
        <v>5.38</v>
      </c>
      <c r="H86" s="18">
        <f t="shared" si="4"/>
        <v>52.423749999999998</v>
      </c>
      <c r="I86" s="5"/>
      <c r="J86" s="17">
        <v>977.11530000000005</v>
      </c>
      <c r="K86" s="18">
        <v>52.048699999999997</v>
      </c>
      <c r="L86" s="18">
        <v>52.893799999999999</v>
      </c>
      <c r="M86" s="18">
        <v>53.447699999999998</v>
      </c>
      <c r="N86" s="18">
        <v>11.453799999999999</v>
      </c>
      <c r="O86" s="18">
        <f t="shared" si="5"/>
        <v>52.329212499999997</v>
      </c>
      <c r="P86" s="7"/>
      <c r="Q86" s="10"/>
      <c r="R86" s="11"/>
      <c r="S86" s="11"/>
      <c r="T86" s="26"/>
      <c r="U86" s="28">
        <f t="shared" si="3"/>
        <v>1.1289591078066914</v>
      </c>
    </row>
    <row r="87" spans="1:21" x14ac:dyDescent="0.25">
      <c r="B87" s="9"/>
      <c r="C87" s="17">
        <v>578.89</v>
      </c>
      <c r="D87" s="18">
        <v>49.078000000000003</v>
      </c>
      <c r="E87" s="18">
        <v>49.953000000000003</v>
      </c>
      <c r="F87" s="18">
        <v>50.536000000000001</v>
      </c>
      <c r="G87" s="18">
        <v>6.32</v>
      </c>
      <c r="H87" s="18">
        <f t="shared" si="4"/>
        <v>49.369625000000006</v>
      </c>
      <c r="I87" s="5"/>
      <c r="J87" s="17">
        <v>598.39049999999997</v>
      </c>
      <c r="K87" s="18">
        <v>49.211799999999997</v>
      </c>
      <c r="L87" s="18">
        <v>50.394799999999996</v>
      </c>
      <c r="M87" s="18">
        <v>50.943100000000001</v>
      </c>
      <c r="N87" s="18">
        <v>13.7355</v>
      </c>
      <c r="O87" s="18">
        <f t="shared" si="5"/>
        <v>49.5760875</v>
      </c>
      <c r="P87" s="7"/>
      <c r="Q87" s="10"/>
      <c r="R87" s="11"/>
      <c r="S87" s="11"/>
      <c r="T87" s="26"/>
      <c r="U87" s="28">
        <f t="shared" si="3"/>
        <v>1.1733386075949366</v>
      </c>
    </row>
    <row r="88" spans="1:21" ht="16.5" thickBot="1" x14ac:dyDescent="0.3">
      <c r="B88" s="12"/>
      <c r="C88" s="19">
        <v>290.99</v>
      </c>
      <c r="D88" s="20">
        <v>44.832999999999998</v>
      </c>
      <c r="E88" s="20">
        <v>45.991</v>
      </c>
      <c r="F88" s="20">
        <v>46.597000000000001</v>
      </c>
      <c r="G88" s="20">
        <v>7.94</v>
      </c>
      <c r="H88" s="20">
        <f t="shared" si="4"/>
        <v>45.198249999999994</v>
      </c>
      <c r="I88" s="5"/>
      <c r="J88" s="19">
        <v>301.54090000000002</v>
      </c>
      <c r="K88" s="20">
        <v>44.657400000000003</v>
      </c>
      <c r="L88" s="20">
        <v>46.342300000000002</v>
      </c>
      <c r="M88" s="20">
        <v>46.914099999999998</v>
      </c>
      <c r="N88" s="20">
        <v>18.6189</v>
      </c>
      <c r="O88" s="20">
        <f t="shared" si="5"/>
        <v>45.150100000000009</v>
      </c>
      <c r="P88" s="7"/>
      <c r="Q88" s="13"/>
      <c r="R88" s="14"/>
      <c r="S88" s="14"/>
      <c r="T88" s="27"/>
      <c r="U88" s="28">
        <f t="shared" si="3"/>
        <v>1.3449496221662467</v>
      </c>
    </row>
    <row r="89" spans="1:21" x14ac:dyDescent="0.25">
      <c r="B89" s="6" t="s">
        <v>105</v>
      </c>
      <c r="C89" s="15">
        <v>1547.37</v>
      </c>
      <c r="D89" s="16">
        <v>44.710999999999999</v>
      </c>
      <c r="E89" s="16">
        <v>46.427</v>
      </c>
      <c r="F89" s="16">
        <v>46.906999999999996</v>
      </c>
      <c r="G89" s="16">
        <v>2.59</v>
      </c>
      <c r="H89" s="16">
        <f t="shared" si="4"/>
        <v>45.199999999999996</v>
      </c>
      <c r="I89" s="5"/>
      <c r="J89" s="15">
        <v>1485.9347</v>
      </c>
      <c r="K89" s="16">
        <v>44.915700000000001</v>
      </c>
      <c r="L89" s="16">
        <v>46.976399999999998</v>
      </c>
      <c r="M89" s="16">
        <v>47.405900000000003</v>
      </c>
      <c r="N89" s="16">
        <v>4.3742000000000001</v>
      </c>
      <c r="O89" s="16">
        <f t="shared" si="5"/>
        <v>45.484562499999996</v>
      </c>
      <c r="P89" s="7"/>
      <c r="Q89" s="8">
        <f>bdrate(C89:C92,D89:D92,J89:J92,K89:K92)</f>
        <v>-9.3531439981425435E-2</v>
      </c>
      <c r="R89" s="8">
        <f>bdrate(C89:C92,E89:E92,J89:J92,L89:L92)</f>
        <v>-0.23595205967660959</v>
      </c>
      <c r="S89" s="8">
        <f>bdrate(C89:C92,F89:F92,J89:J92,M89:M92)</f>
        <v>-0.22966706149394045</v>
      </c>
      <c r="T89" s="25">
        <f>bdrate(C89:C92,H89:H92,J89:J92,O89:O92)</f>
        <v>-0.12430891468571192</v>
      </c>
      <c r="U89" s="28">
        <f t="shared" si="3"/>
        <v>0.68888030888030904</v>
      </c>
    </row>
    <row r="90" spans="1:21" x14ac:dyDescent="0.25">
      <c r="B90" s="9"/>
      <c r="C90" s="17">
        <v>1032.9000000000001</v>
      </c>
      <c r="D90" s="18">
        <v>42.673999999999999</v>
      </c>
      <c r="E90" s="18">
        <v>44.683</v>
      </c>
      <c r="F90" s="18">
        <v>45.140999999999998</v>
      </c>
      <c r="G90" s="18">
        <v>3.03</v>
      </c>
      <c r="H90" s="18">
        <f t="shared" si="4"/>
        <v>43.233499999999999</v>
      </c>
      <c r="I90" s="5"/>
      <c r="J90" s="17">
        <v>992.63840000000005</v>
      </c>
      <c r="K90" s="18">
        <v>43.043599999999998</v>
      </c>
      <c r="L90" s="18">
        <v>45.534300000000002</v>
      </c>
      <c r="M90" s="18">
        <v>45.954599999999999</v>
      </c>
      <c r="N90" s="18">
        <v>5.1768999999999998</v>
      </c>
      <c r="O90" s="18">
        <f t="shared" si="5"/>
        <v>43.718812499999999</v>
      </c>
      <c r="P90" s="7"/>
      <c r="Q90" s="10"/>
      <c r="R90" s="11"/>
      <c r="S90" s="11"/>
      <c r="T90" s="26"/>
      <c r="U90" s="28">
        <f t="shared" si="3"/>
        <v>0.70854785478547866</v>
      </c>
    </row>
    <row r="91" spans="1:21" x14ac:dyDescent="0.25">
      <c r="B91" s="9"/>
      <c r="C91" s="17">
        <v>620.02</v>
      </c>
      <c r="D91" s="18">
        <v>39.969000000000001</v>
      </c>
      <c r="E91" s="18">
        <v>42.521999999999998</v>
      </c>
      <c r="F91" s="18">
        <v>42.94</v>
      </c>
      <c r="G91" s="18">
        <v>3.6</v>
      </c>
      <c r="H91" s="18">
        <f t="shared" si="4"/>
        <v>40.659500000000001</v>
      </c>
      <c r="I91" s="5"/>
      <c r="J91" s="17">
        <v>597.13559999999995</v>
      </c>
      <c r="K91" s="18">
        <v>40.313699999999997</v>
      </c>
      <c r="L91" s="18">
        <v>43.484699999999997</v>
      </c>
      <c r="M91" s="18">
        <v>43.881500000000003</v>
      </c>
      <c r="N91" s="18">
        <v>6.4892000000000003</v>
      </c>
      <c r="O91" s="18">
        <f t="shared" si="5"/>
        <v>41.15605</v>
      </c>
      <c r="P91" s="7"/>
      <c r="Q91" s="10"/>
      <c r="R91" s="11"/>
      <c r="S91" s="11"/>
      <c r="T91" s="26"/>
      <c r="U91" s="28">
        <f t="shared" si="3"/>
        <v>0.80255555555555558</v>
      </c>
    </row>
    <row r="92" spans="1:21" ht="16.5" thickBot="1" x14ac:dyDescent="0.3">
      <c r="B92" s="12"/>
      <c r="C92" s="19">
        <v>311.17</v>
      </c>
      <c r="D92" s="20">
        <v>36.247999999999998</v>
      </c>
      <c r="E92" s="20">
        <v>39.703000000000003</v>
      </c>
      <c r="F92" s="20">
        <v>40.186</v>
      </c>
      <c r="G92" s="20">
        <v>4.5</v>
      </c>
      <c r="H92" s="20">
        <f t="shared" ref="H92:H124" si="6">(6*D92+E92+F92)/8</f>
        <v>37.172125000000001</v>
      </c>
      <c r="I92" s="5"/>
      <c r="J92" s="19">
        <v>300.10270000000003</v>
      </c>
      <c r="K92" s="20">
        <v>36.446300000000001</v>
      </c>
      <c r="L92" s="20">
        <v>40.909500000000001</v>
      </c>
      <c r="M92" s="20">
        <v>41.355600000000003</v>
      </c>
      <c r="N92" s="20">
        <v>8.8618000000000006</v>
      </c>
      <c r="O92" s="20">
        <f t="shared" ref="O92:O124" si="7">(6*K92+L92+M92)/8</f>
        <v>37.617862499999994</v>
      </c>
      <c r="P92" s="7"/>
      <c r="Q92" s="13"/>
      <c r="R92" s="14"/>
      <c r="S92" s="14"/>
      <c r="T92" s="27"/>
      <c r="U92" s="28">
        <f t="shared" ref="U92:U124" si="8">(N92-G92)/G92</f>
        <v>0.96928888888888898</v>
      </c>
    </row>
    <row r="93" spans="1:21" x14ac:dyDescent="0.25">
      <c r="B93" s="6" t="s">
        <v>106</v>
      </c>
      <c r="C93" s="29">
        <v>1373.57</v>
      </c>
      <c r="D93" s="30">
        <v>40.252000000000002</v>
      </c>
      <c r="E93" s="30">
        <v>44.103999999999999</v>
      </c>
      <c r="F93" s="30">
        <v>44.1</v>
      </c>
      <c r="G93" s="16">
        <v>2.29</v>
      </c>
      <c r="H93" s="16">
        <f t="shared" si="6"/>
        <v>41.214500000000001</v>
      </c>
      <c r="I93" s="5"/>
      <c r="J93" s="29">
        <v>1503.0763999999999</v>
      </c>
      <c r="K93" s="30">
        <v>40.667499999999997</v>
      </c>
      <c r="L93" s="30">
        <v>45.002800000000001</v>
      </c>
      <c r="M93" s="30">
        <v>44.990099999999998</v>
      </c>
      <c r="N93" s="16">
        <v>3.7698999999999998</v>
      </c>
      <c r="O93" s="16">
        <f t="shared" si="7"/>
        <v>41.749737499999995</v>
      </c>
      <c r="P93" s="7"/>
      <c r="Q93" s="8">
        <f>bdrate(C93:C96,D93:D96,J93:J96,K93:K96)</f>
        <v>2.4501104845067623E-2</v>
      </c>
      <c r="R93" s="8">
        <f>bdrate(C93:C96,E93:E96,J93:J96,L93:L96)</f>
        <v>-0.23202506862188521</v>
      </c>
      <c r="S93" s="8">
        <f>bdrate(C93:C96,F93:F96,J93:J96,M93:M96)</f>
        <v>-0.22601549975845681</v>
      </c>
      <c r="T93" s="25">
        <f>bdrate(C93:C96,H93:H96,J93:J96,O93:O96)</f>
        <v>-3.0560181953467436E-2</v>
      </c>
      <c r="U93" s="28">
        <f t="shared" si="8"/>
        <v>0.646244541484716</v>
      </c>
    </row>
    <row r="94" spans="1:21" x14ac:dyDescent="0.25">
      <c r="B94" s="9"/>
      <c r="C94" s="31">
        <v>914.11</v>
      </c>
      <c r="D94" s="32">
        <v>38.363999999999997</v>
      </c>
      <c r="E94" s="32">
        <v>42.65</v>
      </c>
      <c r="F94" s="32">
        <v>42.618000000000002</v>
      </c>
      <c r="G94" s="18">
        <v>2.67</v>
      </c>
      <c r="H94" s="18">
        <f t="shared" si="6"/>
        <v>39.431499999999993</v>
      </c>
      <c r="I94" s="5"/>
      <c r="J94" s="31">
        <v>999.71029999999996</v>
      </c>
      <c r="K94" s="32">
        <v>38.726599999999998</v>
      </c>
      <c r="L94" s="32">
        <v>43.692100000000003</v>
      </c>
      <c r="M94" s="32">
        <v>43.665199999999999</v>
      </c>
      <c r="N94" s="18">
        <v>4.4915000000000003</v>
      </c>
      <c r="O94" s="18">
        <f t="shared" si="7"/>
        <v>39.964612500000001</v>
      </c>
      <c r="P94" s="7"/>
      <c r="Q94" s="10"/>
      <c r="R94" s="11"/>
      <c r="S94" s="11"/>
      <c r="T94" s="26"/>
      <c r="U94" s="28">
        <f t="shared" si="8"/>
        <v>0.68220973782771555</v>
      </c>
    </row>
    <row r="95" spans="1:21" x14ac:dyDescent="0.25">
      <c r="B95" s="9"/>
      <c r="C95" s="31">
        <v>547.13</v>
      </c>
      <c r="D95" s="32">
        <v>36.052</v>
      </c>
      <c r="E95" s="32">
        <v>40.942</v>
      </c>
      <c r="F95" s="32">
        <v>40.892000000000003</v>
      </c>
      <c r="G95" s="18">
        <v>3.21</v>
      </c>
      <c r="H95" s="18">
        <f t="shared" si="6"/>
        <v>37.268250000000002</v>
      </c>
      <c r="I95" s="5"/>
      <c r="J95" s="31">
        <v>600.16409999999996</v>
      </c>
      <c r="K95" s="32">
        <v>36.353999999999999</v>
      </c>
      <c r="L95" s="32">
        <v>42.111699999999999</v>
      </c>
      <c r="M95" s="32">
        <v>42.043199999999999</v>
      </c>
      <c r="N95" s="18">
        <v>5.6566999999999998</v>
      </c>
      <c r="O95" s="18">
        <f t="shared" si="7"/>
        <v>37.784862500000003</v>
      </c>
      <c r="P95" s="7"/>
      <c r="Q95" s="10"/>
      <c r="R95" s="11"/>
      <c r="S95" s="11"/>
      <c r="T95" s="26"/>
      <c r="U95" s="28">
        <f t="shared" si="8"/>
        <v>0.76221183800623049</v>
      </c>
    </row>
    <row r="96" spans="1:21" ht="16.5" thickBot="1" x14ac:dyDescent="0.3">
      <c r="B96" s="12"/>
      <c r="C96" s="33">
        <v>272.04000000000002</v>
      </c>
      <c r="D96" s="34">
        <v>32.951999999999998</v>
      </c>
      <c r="E96" s="34">
        <v>38.655000000000001</v>
      </c>
      <c r="F96" s="34">
        <v>38.6</v>
      </c>
      <c r="G96" s="20">
        <v>4.12</v>
      </c>
      <c r="H96" s="20">
        <f t="shared" si="6"/>
        <v>34.370874999999998</v>
      </c>
      <c r="I96" s="5"/>
      <c r="J96" s="33">
        <v>302.43090000000001</v>
      </c>
      <c r="K96" s="34">
        <v>33.190100000000001</v>
      </c>
      <c r="L96" s="34">
        <v>40.142699999999998</v>
      </c>
      <c r="M96" s="34">
        <v>40.063299999999998</v>
      </c>
      <c r="N96" s="20">
        <v>7.8661000000000003</v>
      </c>
      <c r="O96" s="20">
        <f t="shared" si="7"/>
        <v>34.918324999999996</v>
      </c>
      <c r="P96" s="7"/>
      <c r="Q96" s="13"/>
      <c r="R96" s="14"/>
      <c r="S96" s="14"/>
      <c r="T96" s="27"/>
      <c r="U96" s="28">
        <f t="shared" si="8"/>
        <v>0.90924757281553403</v>
      </c>
    </row>
    <row r="97" spans="2:21" x14ac:dyDescent="0.25">
      <c r="B97" s="6" t="s">
        <v>107</v>
      </c>
      <c r="C97" s="15">
        <v>1519.09</v>
      </c>
      <c r="D97" s="16">
        <v>38.790999999999997</v>
      </c>
      <c r="E97" s="16">
        <v>42.314</v>
      </c>
      <c r="F97" s="16">
        <v>42.783000000000001</v>
      </c>
      <c r="G97" s="16">
        <v>2.44</v>
      </c>
      <c r="H97" s="16">
        <f t="shared" si="6"/>
        <v>39.730375000000002</v>
      </c>
      <c r="I97" s="5"/>
      <c r="J97" s="15">
        <v>1510.3303000000001</v>
      </c>
      <c r="K97" s="16">
        <v>38.984999999999999</v>
      </c>
      <c r="L97" s="16">
        <v>43.489199999999997</v>
      </c>
      <c r="M97" s="16">
        <v>43.986899999999999</v>
      </c>
      <c r="N97" s="16">
        <v>4.8981000000000003</v>
      </c>
      <c r="O97" s="16">
        <f t="shared" si="7"/>
        <v>40.1732625</v>
      </c>
      <c r="P97" s="7"/>
      <c r="Q97" s="8">
        <f>bdrate(C97:C100,D97:D100,J97:J100,K97:K100)</f>
        <v>-1.0337300842366948E-2</v>
      </c>
      <c r="R97" s="8">
        <f>bdrate(C97:C100,E97:E100,J97:J100,L97:L100)</f>
        <v>-0.32371736142450558</v>
      </c>
      <c r="S97" s="8">
        <f>bdrate(C97:C100,F97:F100,J97:J100,M97:M100)</f>
        <v>-0.33107153399130007</v>
      </c>
      <c r="T97" s="25">
        <f>bdrate(C97:C100,H97:H100,J97:J100,O97:O100)</f>
        <v>-8.4853702328685832E-2</v>
      </c>
      <c r="U97" s="28">
        <f t="shared" si="8"/>
        <v>1.0074180327868854</v>
      </c>
    </row>
    <row r="98" spans="2:21" x14ac:dyDescent="0.25">
      <c r="B98" s="9"/>
      <c r="C98" s="17">
        <v>1014.12</v>
      </c>
      <c r="D98" s="18">
        <v>36.871000000000002</v>
      </c>
      <c r="E98" s="18">
        <v>40.646999999999998</v>
      </c>
      <c r="F98" s="18">
        <v>41.174999999999997</v>
      </c>
      <c r="G98" s="18">
        <v>2.9</v>
      </c>
      <c r="H98" s="18">
        <f t="shared" si="6"/>
        <v>37.881</v>
      </c>
      <c r="I98" s="5"/>
      <c r="J98" s="17">
        <v>1005.9837</v>
      </c>
      <c r="K98" s="18">
        <v>36.973599999999998</v>
      </c>
      <c r="L98" s="18">
        <v>42.024700000000003</v>
      </c>
      <c r="M98" s="18">
        <v>42.573599999999999</v>
      </c>
      <c r="N98" s="18">
        <v>5.8979999999999997</v>
      </c>
      <c r="O98" s="18">
        <f t="shared" si="7"/>
        <v>38.304987499999996</v>
      </c>
      <c r="P98" s="7"/>
      <c r="Q98" s="10"/>
      <c r="R98" s="11"/>
      <c r="S98" s="11"/>
      <c r="T98" s="26"/>
      <c r="U98" s="28">
        <f t="shared" si="8"/>
        <v>1.0337931034482759</v>
      </c>
    </row>
    <row r="99" spans="2:21" x14ac:dyDescent="0.25">
      <c r="B99" s="9"/>
      <c r="C99" s="17">
        <v>609.41</v>
      </c>
      <c r="D99" s="18">
        <v>34.509</v>
      </c>
      <c r="E99" s="18">
        <v>38.679000000000002</v>
      </c>
      <c r="F99" s="18">
        <v>39.314999999999998</v>
      </c>
      <c r="G99" s="18">
        <v>3.47</v>
      </c>
      <c r="H99" s="18">
        <f t="shared" si="6"/>
        <v>35.631</v>
      </c>
      <c r="I99" s="5"/>
      <c r="J99" s="17">
        <v>606.72450000000003</v>
      </c>
      <c r="K99" s="18">
        <v>34.497100000000003</v>
      </c>
      <c r="L99" s="18">
        <v>40.117100000000001</v>
      </c>
      <c r="M99" s="18">
        <v>40.704099999999997</v>
      </c>
      <c r="N99" s="18">
        <v>7.2968000000000002</v>
      </c>
      <c r="O99" s="18">
        <f t="shared" si="7"/>
        <v>35.975475000000003</v>
      </c>
      <c r="P99" s="7"/>
      <c r="Q99" s="10"/>
      <c r="R99" s="11"/>
      <c r="S99" s="11"/>
      <c r="T99" s="26"/>
      <c r="U99" s="28">
        <f t="shared" si="8"/>
        <v>1.1028242074927954</v>
      </c>
    </row>
    <row r="100" spans="2:21" ht="16.5" thickBot="1" x14ac:dyDescent="0.3">
      <c r="B100" s="12"/>
      <c r="C100" s="19">
        <v>304.36</v>
      </c>
      <c r="D100" s="20">
        <v>31.265999999999998</v>
      </c>
      <c r="E100" s="20">
        <v>36.234999999999999</v>
      </c>
      <c r="F100" s="20">
        <v>36.981999999999999</v>
      </c>
      <c r="G100" s="20">
        <v>4.42</v>
      </c>
      <c r="H100" s="20">
        <f t="shared" si="6"/>
        <v>32.601624999999999</v>
      </c>
      <c r="I100" s="5"/>
      <c r="J100" s="19">
        <v>303.202</v>
      </c>
      <c r="K100" s="20">
        <v>31.168600000000001</v>
      </c>
      <c r="L100" s="20">
        <v>37.8489</v>
      </c>
      <c r="M100" s="20">
        <v>38.560899999999997</v>
      </c>
      <c r="N100" s="20">
        <v>9.8573000000000004</v>
      </c>
      <c r="O100" s="20">
        <f t="shared" si="7"/>
        <v>32.927675000000001</v>
      </c>
      <c r="P100" s="7"/>
      <c r="Q100" s="13"/>
      <c r="R100" s="14"/>
      <c r="S100" s="14"/>
      <c r="T100" s="27"/>
      <c r="U100" s="28">
        <f t="shared" si="8"/>
        <v>1.230158371040724</v>
      </c>
    </row>
    <row r="101" spans="2:21" x14ac:dyDescent="0.25">
      <c r="B101" s="6" t="s">
        <v>108</v>
      </c>
      <c r="C101" s="15">
        <v>1507.62</v>
      </c>
      <c r="D101" s="16">
        <v>38.661999999999999</v>
      </c>
      <c r="E101" s="16">
        <v>43.651000000000003</v>
      </c>
      <c r="F101" s="16">
        <v>45.41</v>
      </c>
      <c r="G101" s="16">
        <v>2.0499999999999998</v>
      </c>
      <c r="H101" s="16">
        <f t="shared" si="6"/>
        <v>40.129125000000002</v>
      </c>
      <c r="I101" s="5"/>
      <c r="J101" s="15">
        <v>1513.9822999999999</v>
      </c>
      <c r="K101" s="16">
        <v>38.624299999999998</v>
      </c>
      <c r="L101" s="16">
        <v>44.406999999999996</v>
      </c>
      <c r="M101" s="16">
        <v>45.984699999999997</v>
      </c>
      <c r="N101" s="16">
        <v>3.4262000000000001</v>
      </c>
      <c r="O101" s="16">
        <f t="shared" si="7"/>
        <v>40.267187499999991</v>
      </c>
      <c r="P101" s="7"/>
      <c r="Q101" s="8">
        <f>bdrate(C101:C104,D101:D104,J101:J104,K101:K104)</f>
        <v>1.2810892927199058E-2</v>
      </c>
      <c r="R101" s="8">
        <f>bdrate(C101:C104,E101:E104,J101:J104,L101:L104)</f>
        <v>-0.3547364119408617</v>
      </c>
      <c r="S101" s="8">
        <f>bdrate(C101:C104,F101:F104,J101:J104,M101:M104)</f>
        <v>-0.27931821104054622</v>
      </c>
      <c r="T101" s="25">
        <f>bdrate(C101:C104,H101:H104,J101:J104,O101:O104)</f>
        <v>-6.515110909903743E-2</v>
      </c>
      <c r="U101" s="28">
        <f t="shared" si="8"/>
        <v>0.67131707317073197</v>
      </c>
    </row>
    <row r="102" spans="2:21" x14ac:dyDescent="0.25">
      <c r="B102" s="9"/>
      <c r="C102" s="17">
        <v>1006.19</v>
      </c>
      <c r="D102" s="18">
        <v>37.155000000000001</v>
      </c>
      <c r="E102" s="18">
        <v>42.505000000000003</v>
      </c>
      <c r="F102" s="18">
        <v>44.247</v>
      </c>
      <c r="G102" s="18">
        <v>2.4</v>
      </c>
      <c r="H102" s="18">
        <f t="shared" si="6"/>
        <v>38.710250000000002</v>
      </c>
      <c r="I102" s="5"/>
      <c r="J102" s="17">
        <v>1006.2855</v>
      </c>
      <c r="K102" s="18">
        <v>37.136800000000001</v>
      </c>
      <c r="L102" s="18">
        <v>43.455199999999998</v>
      </c>
      <c r="M102" s="18">
        <v>44.9617</v>
      </c>
      <c r="N102" s="18">
        <v>4.1313000000000004</v>
      </c>
      <c r="O102" s="18">
        <f t="shared" si="7"/>
        <v>38.904712500000002</v>
      </c>
      <c r="P102" s="7"/>
      <c r="Q102" s="10"/>
      <c r="R102" s="11"/>
      <c r="S102" s="11"/>
      <c r="T102" s="26"/>
      <c r="U102" s="28">
        <f t="shared" si="8"/>
        <v>0.72137500000000021</v>
      </c>
    </row>
    <row r="103" spans="2:21" x14ac:dyDescent="0.25">
      <c r="B103" s="9"/>
      <c r="C103" s="17">
        <v>603.15</v>
      </c>
      <c r="D103" s="18">
        <v>35.404000000000003</v>
      </c>
      <c r="E103" s="18">
        <v>41.155000000000001</v>
      </c>
      <c r="F103" s="18">
        <v>42.726999999999997</v>
      </c>
      <c r="G103" s="18">
        <v>3.03</v>
      </c>
      <c r="H103" s="18">
        <f t="shared" si="6"/>
        <v>37.038250000000005</v>
      </c>
      <c r="I103" s="5"/>
      <c r="J103" s="17">
        <v>603.65440000000001</v>
      </c>
      <c r="K103" s="18">
        <v>35.366</v>
      </c>
      <c r="L103" s="18">
        <v>42.284399999999998</v>
      </c>
      <c r="M103" s="18">
        <v>43.676600000000001</v>
      </c>
      <c r="N103" s="18">
        <v>5.2577999999999996</v>
      </c>
      <c r="O103" s="18">
        <f t="shared" si="7"/>
        <v>37.269624999999998</v>
      </c>
      <c r="P103" s="7"/>
      <c r="Q103" s="10"/>
      <c r="R103" s="11"/>
      <c r="S103" s="11"/>
      <c r="T103" s="26"/>
      <c r="U103" s="28">
        <f t="shared" si="8"/>
        <v>0.73524752475247523</v>
      </c>
    </row>
    <row r="104" spans="2:21" ht="16.5" thickBot="1" x14ac:dyDescent="0.3">
      <c r="B104" s="12"/>
      <c r="C104" s="19">
        <v>301.64</v>
      </c>
      <c r="D104" s="20">
        <v>33.222000000000001</v>
      </c>
      <c r="E104" s="20">
        <v>39.505000000000003</v>
      </c>
      <c r="F104" s="20">
        <v>40.85</v>
      </c>
      <c r="G104" s="20">
        <v>4</v>
      </c>
      <c r="H104" s="20">
        <f t="shared" si="6"/>
        <v>34.960875000000001</v>
      </c>
      <c r="I104" s="5"/>
      <c r="J104" s="19">
        <v>301.9289</v>
      </c>
      <c r="K104" s="20">
        <v>33.136099999999999</v>
      </c>
      <c r="L104" s="20">
        <v>40.843499999999999</v>
      </c>
      <c r="M104" s="20">
        <v>42.102200000000003</v>
      </c>
      <c r="N104" s="20">
        <v>7.4908000000000001</v>
      </c>
      <c r="O104" s="20">
        <f t="shared" si="7"/>
        <v>35.220287499999998</v>
      </c>
      <c r="P104" s="7"/>
      <c r="Q104" s="13"/>
      <c r="R104" s="14"/>
      <c r="S104" s="14"/>
      <c r="T104" s="27"/>
      <c r="U104" s="28">
        <f t="shared" si="8"/>
        <v>0.87270000000000003</v>
      </c>
    </row>
    <row r="105" spans="2:21" x14ac:dyDescent="0.25">
      <c r="B105" s="6" t="s">
        <v>109</v>
      </c>
      <c r="C105" s="15">
        <v>1620.03</v>
      </c>
      <c r="D105" s="16">
        <v>50.587000000000003</v>
      </c>
      <c r="E105" s="16">
        <v>55.296999999999997</v>
      </c>
      <c r="F105" s="16">
        <v>56.573</v>
      </c>
      <c r="G105" s="16">
        <v>2.48</v>
      </c>
      <c r="H105" s="16">
        <f t="shared" si="6"/>
        <v>51.924000000000007</v>
      </c>
      <c r="I105" s="5"/>
      <c r="J105" s="15">
        <v>1495.5794000000001</v>
      </c>
      <c r="K105" s="16">
        <v>50.596899999999998</v>
      </c>
      <c r="L105" s="16">
        <v>55.283700000000003</v>
      </c>
      <c r="M105" s="16">
        <v>56.623199999999997</v>
      </c>
      <c r="N105" s="16">
        <v>4.0019</v>
      </c>
      <c r="O105" s="16">
        <f t="shared" si="7"/>
        <v>51.936037499999998</v>
      </c>
      <c r="P105" s="7"/>
      <c r="Q105" s="8">
        <f>bdrate(C105:C108,D105:D108,J105:J108,K105:K108)</f>
        <v>-8.6084695664119582E-2</v>
      </c>
      <c r="R105" s="8">
        <f>bdrate(C105:C108,E105:E108,J105:J108,L105:L108)</f>
        <v>-0.11107470106643469</v>
      </c>
      <c r="S105" s="8">
        <f>bdrate(C105:C108,F105:F108,J105:J108,M105:M108)</f>
        <v>-0.12631117190638708</v>
      </c>
      <c r="T105" s="25">
        <f>bdrate(C105:C108,H105:H108,J105:J108,O105:O108)</f>
        <v>-9.3761145727806361E-2</v>
      </c>
      <c r="U105" s="28">
        <f t="shared" si="8"/>
        <v>0.61366935483870966</v>
      </c>
    </row>
    <row r="106" spans="2:21" x14ac:dyDescent="0.25">
      <c r="B106" s="9"/>
      <c r="C106" s="17">
        <v>1073.75</v>
      </c>
      <c r="D106" s="18">
        <v>48.837000000000003</v>
      </c>
      <c r="E106" s="18">
        <v>53.732999999999997</v>
      </c>
      <c r="F106" s="18">
        <v>55.113999999999997</v>
      </c>
      <c r="G106" s="18">
        <v>2.99</v>
      </c>
      <c r="H106" s="18">
        <f t="shared" si="6"/>
        <v>50.233625000000004</v>
      </c>
      <c r="I106" s="5"/>
      <c r="J106" s="17">
        <v>999.37869999999998</v>
      </c>
      <c r="K106" s="18">
        <v>48.930700000000002</v>
      </c>
      <c r="L106" s="18">
        <v>53.832900000000002</v>
      </c>
      <c r="M106" s="18">
        <v>55.277900000000002</v>
      </c>
      <c r="N106" s="18">
        <v>4.8979999999999997</v>
      </c>
      <c r="O106" s="18">
        <f t="shared" si="7"/>
        <v>50.336874999999999</v>
      </c>
      <c r="P106" s="7"/>
      <c r="Q106" s="10"/>
      <c r="R106" s="11"/>
      <c r="S106" s="11"/>
      <c r="T106" s="26"/>
      <c r="U106" s="28">
        <f t="shared" si="8"/>
        <v>0.63812709030100312</v>
      </c>
    </row>
    <row r="107" spans="2:21" x14ac:dyDescent="0.25">
      <c r="B107" s="9"/>
      <c r="C107" s="17">
        <v>639.19000000000005</v>
      </c>
      <c r="D107" s="18">
        <v>46.573</v>
      </c>
      <c r="E107" s="18">
        <v>51.734000000000002</v>
      </c>
      <c r="F107" s="18">
        <v>53.180999999999997</v>
      </c>
      <c r="G107" s="18">
        <v>3.76</v>
      </c>
      <c r="H107" s="18">
        <f t="shared" si="6"/>
        <v>48.044124999999994</v>
      </c>
      <c r="I107" s="5"/>
      <c r="J107" s="17">
        <v>598.24300000000005</v>
      </c>
      <c r="K107" s="18">
        <v>46.710700000000003</v>
      </c>
      <c r="L107" s="18">
        <v>51.979399999999998</v>
      </c>
      <c r="M107" s="18">
        <v>53.474299999999999</v>
      </c>
      <c r="N107" s="18">
        <v>6.4893999999999998</v>
      </c>
      <c r="O107" s="18">
        <f t="shared" si="7"/>
        <v>48.214737499999998</v>
      </c>
      <c r="P107" s="7"/>
      <c r="Q107" s="10"/>
      <c r="R107" s="11"/>
      <c r="S107" s="11"/>
      <c r="T107" s="26"/>
      <c r="U107" s="28">
        <f t="shared" si="8"/>
        <v>0.72590425531914904</v>
      </c>
    </row>
    <row r="108" spans="2:21" ht="16.5" thickBot="1" x14ac:dyDescent="0.3">
      <c r="B108" s="12"/>
      <c r="C108" s="19">
        <v>318.45</v>
      </c>
      <c r="D108" s="20">
        <v>43.511000000000003</v>
      </c>
      <c r="E108" s="20">
        <v>48.823999999999998</v>
      </c>
      <c r="F108" s="20">
        <v>50.231999999999999</v>
      </c>
      <c r="G108" s="20">
        <v>4.84</v>
      </c>
      <c r="H108" s="20">
        <f t="shared" si="6"/>
        <v>45.015250000000009</v>
      </c>
      <c r="I108" s="5"/>
      <c r="J108" s="19">
        <v>298.80680000000001</v>
      </c>
      <c r="K108" s="20">
        <v>43.5276</v>
      </c>
      <c r="L108" s="20">
        <v>49.142699999999998</v>
      </c>
      <c r="M108" s="20">
        <v>50.650399999999998</v>
      </c>
      <c r="N108" s="20">
        <v>9.8612000000000002</v>
      </c>
      <c r="O108" s="20">
        <f t="shared" si="7"/>
        <v>45.119837499999996</v>
      </c>
      <c r="P108" s="7"/>
      <c r="Q108" s="13"/>
      <c r="R108" s="14"/>
      <c r="S108" s="14"/>
      <c r="T108" s="27"/>
      <c r="U108" s="28">
        <f t="shared" si="8"/>
        <v>1.0374380165289256</v>
      </c>
    </row>
    <row r="109" spans="2:21" x14ac:dyDescent="0.25">
      <c r="B109" s="6" t="s">
        <v>110</v>
      </c>
      <c r="C109" s="15">
        <v>1463.04</v>
      </c>
      <c r="D109" s="16">
        <v>33.780999999999999</v>
      </c>
      <c r="E109" s="16">
        <v>40.728999999999999</v>
      </c>
      <c r="F109" s="16">
        <v>40.228000000000002</v>
      </c>
      <c r="G109" s="16">
        <v>1.95</v>
      </c>
      <c r="H109" s="16">
        <f t="shared" si="6"/>
        <v>35.455374999999997</v>
      </c>
      <c r="I109" s="5"/>
      <c r="J109" s="15">
        <v>1494.1297</v>
      </c>
      <c r="K109" s="16">
        <v>33.670900000000003</v>
      </c>
      <c r="L109" s="16">
        <v>41.795000000000002</v>
      </c>
      <c r="M109" s="16">
        <v>41.2502</v>
      </c>
      <c r="N109" s="16">
        <v>2.9474</v>
      </c>
      <c r="O109" s="16">
        <f t="shared" si="7"/>
        <v>35.633825000000002</v>
      </c>
      <c r="P109" s="7"/>
      <c r="Q109" s="8">
        <f>bdrate(C109:C112,D109:D112,J109:J112,K109:K112)</f>
        <v>1.9720084869121468E-3</v>
      </c>
      <c r="R109" s="8">
        <f>bdrate(C109:C112,E109:E112,J109:J112,L109:L112)</f>
        <v>-0.42056083547786449</v>
      </c>
      <c r="S109" s="8">
        <f>bdrate(C109:C112,F109:F112,J109:J112,M109:M112)</f>
        <v>-0.41017914628348295</v>
      </c>
      <c r="T109" s="25">
        <f>bdrate(C109:C112,H109:H112,J109:J112,O109:O112)</f>
        <v>-9.0800461377765984E-2</v>
      </c>
      <c r="U109" s="28">
        <f t="shared" si="8"/>
        <v>0.51148717948717948</v>
      </c>
    </row>
    <row r="110" spans="2:21" x14ac:dyDescent="0.25">
      <c r="B110" s="9"/>
      <c r="C110" s="17">
        <v>975.25</v>
      </c>
      <c r="D110" s="18">
        <v>32.037999999999997</v>
      </c>
      <c r="E110" s="18">
        <v>39.433</v>
      </c>
      <c r="F110" s="18">
        <v>38.929000000000002</v>
      </c>
      <c r="G110" s="18">
        <v>2.34</v>
      </c>
      <c r="H110" s="18">
        <f t="shared" si="6"/>
        <v>33.823749999999997</v>
      </c>
      <c r="I110" s="5"/>
      <c r="J110" s="17">
        <v>996.36279999999999</v>
      </c>
      <c r="K110" s="18">
        <v>31.9879</v>
      </c>
      <c r="L110" s="18">
        <v>40.86</v>
      </c>
      <c r="M110" s="18">
        <v>40.3063</v>
      </c>
      <c r="N110" s="18">
        <v>3.5070999999999999</v>
      </c>
      <c r="O110" s="18">
        <f t="shared" si="7"/>
        <v>34.136712500000002</v>
      </c>
      <c r="P110" s="7"/>
      <c r="Q110" s="10"/>
      <c r="R110" s="11"/>
      <c r="S110" s="11"/>
      <c r="T110" s="26"/>
      <c r="U110" s="28">
        <f t="shared" si="8"/>
        <v>0.49876068376068378</v>
      </c>
    </row>
    <row r="111" spans="2:21" x14ac:dyDescent="0.25">
      <c r="B111" s="9"/>
      <c r="C111" s="17">
        <v>585.54</v>
      </c>
      <c r="D111" s="18">
        <v>29.731000000000002</v>
      </c>
      <c r="E111" s="18">
        <v>37.859000000000002</v>
      </c>
      <c r="F111" s="18">
        <v>37.231999999999999</v>
      </c>
      <c r="G111" s="18">
        <v>2.91</v>
      </c>
      <c r="H111" s="18">
        <f t="shared" si="6"/>
        <v>31.684625000000004</v>
      </c>
      <c r="I111" s="5"/>
      <c r="J111" s="17">
        <v>596.75329999999997</v>
      </c>
      <c r="K111" s="18">
        <v>29.766100000000002</v>
      </c>
      <c r="L111" s="18">
        <v>39.596600000000002</v>
      </c>
      <c r="M111" s="18">
        <v>39.009500000000003</v>
      </c>
      <c r="N111" s="18">
        <v>4.4884000000000004</v>
      </c>
      <c r="O111" s="18">
        <f t="shared" si="7"/>
        <v>32.150337500000006</v>
      </c>
      <c r="P111" s="7"/>
      <c r="Q111" s="10"/>
      <c r="R111" s="11"/>
      <c r="S111" s="11"/>
      <c r="T111" s="26"/>
      <c r="U111" s="28">
        <f t="shared" si="8"/>
        <v>0.54240549828178697</v>
      </c>
    </row>
    <row r="112" spans="2:21" ht="16.5" thickBot="1" x14ac:dyDescent="0.3">
      <c r="B112" s="12"/>
      <c r="C112" s="19">
        <v>281.51</v>
      </c>
      <c r="D112" s="20">
        <v>26.013000000000002</v>
      </c>
      <c r="E112" s="20">
        <v>34.597000000000001</v>
      </c>
      <c r="F112" s="20">
        <v>34.177</v>
      </c>
      <c r="G112" s="20">
        <v>4.13</v>
      </c>
      <c r="H112" s="20">
        <f t="shared" si="6"/>
        <v>28.1065</v>
      </c>
      <c r="I112" s="5"/>
      <c r="J112" s="19">
        <v>298.81389999999999</v>
      </c>
      <c r="K112" s="20">
        <v>26.884699999999999</v>
      </c>
      <c r="L112" s="20">
        <v>37.603999999999999</v>
      </c>
      <c r="M112" s="20">
        <v>36.985199999999999</v>
      </c>
      <c r="N112" s="20">
        <v>6.4706000000000001</v>
      </c>
      <c r="O112" s="20">
        <f t="shared" si="7"/>
        <v>29.487174999999997</v>
      </c>
      <c r="P112" s="7"/>
      <c r="Q112" s="13"/>
      <c r="R112" s="14"/>
      <c r="S112" s="14"/>
      <c r="T112" s="27"/>
      <c r="U112" s="28">
        <f t="shared" si="8"/>
        <v>0.56673123486682819</v>
      </c>
    </row>
    <row r="113" spans="2:21" x14ac:dyDescent="0.25">
      <c r="B113" s="6" t="s">
        <v>111</v>
      </c>
      <c r="C113" s="15">
        <v>1660.95</v>
      </c>
      <c r="D113" s="16">
        <v>48.01</v>
      </c>
      <c r="E113" s="16">
        <v>48.591999999999999</v>
      </c>
      <c r="F113" s="16">
        <v>48.55</v>
      </c>
      <c r="G113" s="16">
        <v>2.66</v>
      </c>
      <c r="H113" s="16">
        <f t="shared" si="6"/>
        <v>48.15025</v>
      </c>
      <c r="I113" s="5"/>
      <c r="J113" s="15">
        <v>1400.7014999999999</v>
      </c>
      <c r="K113" s="16">
        <v>47.558399999999999</v>
      </c>
      <c r="L113" s="16">
        <v>48.6096</v>
      </c>
      <c r="M113" s="16">
        <v>48.563699999999997</v>
      </c>
      <c r="N113" s="16">
        <v>4.7146999999999997</v>
      </c>
      <c r="O113" s="16">
        <f t="shared" si="7"/>
        <v>47.815462499999995</v>
      </c>
      <c r="P113" s="7"/>
      <c r="Q113" s="8">
        <f>bdrate(C113:C116,D113:D116,J113:J116,K113:K116)</f>
        <v>-8.5408088219331768E-2</v>
      </c>
      <c r="R113" s="8">
        <f>bdrate(C113:C116,E113:E116,J113:J116,L113:L116)</f>
        <v>-0.21287831983338623</v>
      </c>
      <c r="S113" s="8">
        <f>bdrate(C113:C116,F113:F116,J113:J116,M113:M116)</f>
        <v>-0.21149706951046499</v>
      </c>
      <c r="T113" s="25">
        <f>bdrate(C113:C116,H113:H116,J113:J116,O113:O116)</f>
        <v>-0.11464340306983023</v>
      </c>
      <c r="U113" s="28">
        <f t="shared" si="8"/>
        <v>0.77244360902255615</v>
      </c>
    </row>
    <row r="114" spans="2:21" x14ac:dyDescent="0.25">
      <c r="B114" s="9"/>
      <c r="C114" s="17">
        <v>1097.58</v>
      </c>
      <c r="D114" s="18">
        <v>46.046999999999997</v>
      </c>
      <c r="E114" s="18">
        <v>46.73</v>
      </c>
      <c r="F114" s="18">
        <v>46.667999999999999</v>
      </c>
      <c r="G114" s="18">
        <v>3.1</v>
      </c>
      <c r="H114" s="18">
        <f t="shared" si="6"/>
        <v>46.21</v>
      </c>
      <c r="I114" s="5"/>
      <c r="J114" s="17">
        <v>949.92240000000004</v>
      </c>
      <c r="K114" s="18">
        <v>45.9681</v>
      </c>
      <c r="L114" s="18">
        <v>47.205500000000001</v>
      </c>
      <c r="M114" s="18">
        <v>47.1145</v>
      </c>
      <c r="N114" s="18">
        <v>5.6102999999999996</v>
      </c>
      <c r="O114" s="18">
        <f t="shared" si="7"/>
        <v>46.266075000000001</v>
      </c>
      <c r="P114" s="7"/>
      <c r="Q114" s="10"/>
      <c r="R114" s="11"/>
      <c r="S114" s="11"/>
      <c r="T114" s="26"/>
      <c r="U114" s="28">
        <f t="shared" si="8"/>
        <v>0.80977419354838698</v>
      </c>
    </row>
    <row r="115" spans="2:21" x14ac:dyDescent="0.25">
      <c r="B115" s="9"/>
      <c r="C115" s="17">
        <v>652.5</v>
      </c>
      <c r="D115" s="18">
        <v>43.332999999999998</v>
      </c>
      <c r="E115" s="18">
        <v>44.237000000000002</v>
      </c>
      <c r="F115" s="18">
        <v>44.106000000000002</v>
      </c>
      <c r="G115" s="18">
        <v>3.74</v>
      </c>
      <c r="H115" s="18">
        <f t="shared" si="6"/>
        <v>43.542625000000001</v>
      </c>
      <c r="I115" s="5"/>
      <c r="J115" s="17">
        <v>591.14909999999998</v>
      </c>
      <c r="K115" s="18">
        <v>43.351399999999998</v>
      </c>
      <c r="L115" s="18">
        <v>45.007800000000003</v>
      </c>
      <c r="M115" s="18">
        <v>44.893099999999997</v>
      </c>
      <c r="N115" s="18">
        <v>6.9710000000000001</v>
      </c>
      <c r="O115" s="18">
        <f t="shared" si="7"/>
        <v>43.751162499999992</v>
      </c>
      <c r="P115" s="7"/>
      <c r="Q115" s="10"/>
      <c r="R115" s="11"/>
      <c r="S115" s="11"/>
      <c r="T115" s="26"/>
      <c r="U115" s="28">
        <f t="shared" si="8"/>
        <v>0.8639037433155079</v>
      </c>
    </row>
    <row r="116" spans="2:21" ht="16.5" thickBot="1" x14ac:dyDescent="0.3">
      <c r="B116" s="12"/>
      <c r="C116" s="19">
        <v>323.12</v>
      </c>
      <c r="D116" s="20">
        <v>39.090000000000003</v>
      </c>
      <c r="E116" s="20">
        <v>40.604999999999997</v>
      </c>
      <c r="F116" s="20">
        <v>40.359000000000002</v>
      </c>
      <c r="G116" s="20">
        <v>4.76</v>
      </c>
      <c r="H116" s="20">
        <f t="shared" si="6"/>
        <v>39.438000000000002</v>
      </c>
      <c r="I116" s="5"/>
      <c r="J116" s="19">
        <v>301.97230000000002</v>
      </c>
      <c r="K116" s="20">
        <v>38.698500000000003</v>
      </c>
      <c r="L116" s="20">
        <v>41.344499999999996</v>
      </c>
      <c r="M116" s="20">
        <v>41.145299999999999</v>
      </c>
      <c r="N116" s="20">
        <v>9.5815999999999999</v>
      </c>
      <c r="O116" s="20">
        <f t="shared" si="7"/>
        <v>39.335100000000004</v>
      </c>
      <c r="P116" s="7"/>
      <c r="Q116" s="13"/>
      <c r="R116" s="14"/>
      <c r="S116" s="14"/>
      <c r="T116" s="27"/>
      <c r="U116" s="28">
        <f t="shared" si="8"/>
        <v>1.0129411764705882</v>
      </c>
    </row>
    <row r="117" spans="2:21" x14ac:dyDescent="0.25">
      <c r="B117" s="6" t="s">
        <v>112</v>
      </c>
      <c r="C117" s="15">
        <v>1942.94</v>
      </c>
      <c r="D117" s="16">
        <v>48.09</v>
      </c>
      <c r="E117" s="16">
        <v>49.862000000000002</v>
      </c>
      <c r="F117" s="16">
        <v>50.076000000000001</v>
      </c>
      <c r="G117" s="16">
        <v>2.54</v>
      </c>
      <c r="H117" s="16">
        <f t="shared" si="6"/>
        <v>48.559750000000008</v>
      </c>
      <c r="I117" s="5"/>
      <c r="J117" s="15">
        <v>1407.9309000000001</v>
      </c>
      <c r="K117" s="16">
        <v>47.646500000000003</v>
      </c>
      <c r="L117" s="16">
        <v>50.178100000000001</v>
      </c>
      <c r="M117" s="16">
        <v>50.228000000000002</v>
      </c>
      <c r="N117" s="16">
        <v>6.0956000000000001</v>
      </c>
      <c r="O117" s="16">
        <f t="shared" si="7"/>
        <v>48.2856375</v>
      </c>
      <c r="P117" s="7"/>
      <c r="Q117" s="8">
        <f>bdrate(C117:C120,D117:D120,J117:J120,K117:K120)</f>
        <v>-0.26142634786566987</v>
      </c>
      <c r="R117" s="8">
        <f>bdrate(C117:C120,E117:E120,J117:J120,L117:L120)</f>
        <v>-0.40015060047940543</v>
      </c>
      <c r="S117" s="8">
        <f>bdrate(C117:C120,F117:F120,J117:J120,M117:M120)</f>
        <v>-0.39525484509535824</v>
      </c>
      <c r="T117" s="25">
        <f>bdrate(C117:C120,H117:H120,J117:J120,O117:O120)</f>
        <v>-0.29682830530256132</v>
      </c>
      <c r="U117" s="28">
        <f t="shared" si="8"/>
        <v>1.3998425196850395</v>
      </c>
    </row>
    <row r="118" spans="2:21" x14ac:dyDescent="0.25">
      <c r="B118" s="9"/>
      <c r="C118" s="17">
        <v>1264.6199999999999</v>
      </c>
      <c r="D118" s="18">
        <v>45.244</v>
      </c>
      <c r="E118" s="18">
        <v>47.051000000000002</v>
      </c>
      <c r="F118" s="18">
        <v>47.305</v>
      </c>
      <c r="G118" s="18">
        <v>3</v>
      </c>
      <c r="H118" s="18">
        <f t="shared" si="6"/>
        <v>45.727499999999999</v>
      </c>
      <c r="I118" s="5"/>
      <c r="J118" s="17">
        <v>973.65830000000005</v>
      </c>
      <c r="K118" s="18">
        <v>46.371299999999998</v>
      </c>
      <c r="L118" s="18">
        <v>49.142200000000003</v>
      </c>
      <c r="M118" s="18">
        <v>49.225700000000003</v>
      </c>
      <c r="N118" s="18">
        <v>7.2272999999999996</v>
      </c>
      <c r="O118" s="18">
        <f t="shared" si="7"/>
        <v>47.074462500000003</v>
      </c>
      <c r="P118" s="7"/>
      <c r="Q118" s="10"/>
      <c r="R118" s="11"/>
      <c r="S118" s="11"/>
      <c r="T118" s="26"/>
      <c r="U118" s="28">
        <f t="shared" si="8"/>
        <v>1.4090999999999998</v>
      </c>
    </row>
    <row r="119" spans="2:21" x14ac:dyDescent="0.25">
      <c r="B119" s="9"/>
      <c r="C119" s="17">
        <v>741.27</v>
      </c>
      <c r="D119" s="18">
        <v>42.348999999999997</v>
      </c>
      <c r="E119" s="18">
        <v>44.247999999999998</v>
      </c>
      <c r="F119" s="18">
        <v>44.508000000000003</v>
      </c>
      <c r="G119" s="18">
        <v>3.64</v>
      </c>
      <c r="H119" s="18">
        <f t="shared" si="6"/>
        <v>42.856249999999996</v>
      </c>
      <c r="I119" s="5"/>
      <c r="J119" s="17">
        <v>633.77689999999996</v>
      </c>
      <c r="K119" s="18">
        <v>43.309800000000003</v>
      </c>
      <c r="L119" s="18">
        <v>46.216500000000003</v>
      </c>
      <c r="M119" s="18">
        <v>46.472299999999997</v>
      </c>
      <c r="N119" s="18">
        <v>8.5021000000000004</v>
      </c>
      <c r="O119" s="18">
        <f t="shared" si="7"/>
        <v>44.068450000000006</v>
      </c>
      <c r="P119" s="7"/>
      <c r="Q119" s="10"/>
      <c r="R119" s="11"/>
      <c r="S119" s="11"/>
      <c r="T119" s="26"/>
      <c r="U119" s="28">
        <f t="shared" si="8"/>
        <v>1.3357417582417581</v>
      </c>
    </row>
    <row r="120" spans="2:21" ht="16.5" thickBot="1" x14ac:dyDescent="0.3">
      <c r="B120" s="12"/>
      <c r="C120" s="19">
        <v>356.17</v>
      </c>
      <c r="D120" s="20">
        <v>38.642000000000003</v>
      </c>
      <c r="E120" s="20">
        <v>40.752000000000002</v>
      </c>
      <c r="F120" s="20">
        <v>41.088999999999999</v>
      </c>
      <c r="G120" s="20">
        <v>4.74</v>
      </c>
      <c r="H120" s="20">
        <f t="shared" si="6"/>
        <v>39.211625000000005</v>
      </c>
      <c r="I120" s="5"/>
      <c r="J120" s="19">
        <v>344.02609999999999</v>
      </c>
      <c r="K120" s="20">
        <v>38.762099999999997</v>
      </c>
      <c r="L120" s="20">
        <v>42.173400000000001</v>
      </c>
      <c r="M120" s="20">
        <v>42.458300000000001</v>
      </c>
      <c r="N120" s="20">
        <v>12.569599999999999</v>
      </c>
      <c r="O120" s="20">
        <f t="shared" si="7"/>
        <v>39.650537499999999</v>
      </c>
      <c r="P120" s="7"/>
      <c r="Q120" s="13"/>
      <c r="R120" s="14"/>
      <c r="S120" s="14"/>
      <c r="T120" s="27"/>
      <c r="U120" s="28">
        <f t="shared" si="8"/>
        <v>1.6518143459915609</v>
      </c>
    </row>
    <row r="121" spans="2:21" x14ac:dyDescent="0.25">
      <c r="B121" s="6" t="s">
        <v>113</v>
      </c>
      <c r="C121" s="29">
        <v>1538.65</v>
      </c>
      <c r="D121" s="30">
        <v>34.338000000000001</v>
      </c>
      <c r="E121" s="30">
        <v>37.234000000000002</v>
      </c>
      <c r="F121" s="30">
        <v>36.133000000000003</v>
      </c>
      <c r="G121" s="16">
        <v>2.19</v>
      </c>
      <c r="H121" s="16">
        <f t="shared" si="6"/>
        <v>34.924375000000005</v>
      </c>
      <c r="I121" s="5"/>
      <c r="J121" s="29">
        <v>1513.9614999999999</v>
      </c>
      <c r="K121" s="30">
        <v>33.981999999999999</v>
      </c>
      <c r="L121" s="30">
        <v>38.0045</v>
      </c>
      <c r="M121" s="30">
        <v>36.856999999999999</v>
      </c>
      <c r="N121" s="16">
        <v>3.8677000000000001</v>
      </c>
      <c r="O121" s="16">
        <f t="shared" si="7"/>
        <v>34.844187500000004</v>
      </c>
      <c r="P121" s="7"/>
      <c r="Q121" s="8">
        <f>bdrate(C121:C124,D121:D124,J121:J124,K121:K124)</f>
        <v>5.312189298181158E-2</v>
      </c>
      <c r="R121" s="8">
        <f>bdrate(C121:C124,E121:E124,J121:J124,L121:L124)</f>
        <v>-0.35548774369265213</v>
      </c>
      <c r="S121" s="8">
        <f>bdrate(C121:C124,F121:F124,J121:J124,M121:M124)</f>
        <v>-0.33852444680809257</v>
      </c>
      <c r="T121" s="25">
        <f>bdrate(C121:C124,H121:H124,J121:J124,O121:O124)</f>
        <v>-3.4686409605703905E-2</v>
      </c>
      <c r="U121" s="28">
        <f t="shared" si="8"/>
        <v>0.76607305936073067</v>
      </c>
    </row>
    <row r="122" spans="2:21" x14ac:dyDescent="0.25">
      <c r="B122" s="9"/>
      <c r="C122" s="31">
        <v>1021.83</v>
      </c>
      <c r="D122" s="32">
        <v>32.381</v>
      </c>
      <c r="E122" s="32">
        <v>35.851999999999997</v>
      </c>
      <c r="F122" s="32">
        <v>34.679000000000002</v>
      </c>
      <c r="G122" s="18">
        <v>2.58</v>
      </c>
      <c r="H122" s="18">
        <f t="shared" si="6"/>
        <v>33.102125000000001</v>
      </c>
      <c r="I122" s="5"/>
      <c r="J122" s="31">
        <v>1008.8901</v>
      </c>
      <c r="K122" s="32">
        <v>32.0212</v>
      </c>
      <c r="L122" s="32">
        <v>36.866</v>
      </c>
      <c r="M122" s="32">
        <v>35.674399999999999</v>
      </c>
      <c r="N122" s="18">
        <v>4.4907000000000004</v>
      </c>
      <c r="O122" s="18">
        <f t="shared" si="7"/>
        <v>33.083449999999999</v>
      </c>
      <c r="P122" s="7"/>
      <c r="Q122" s="10"/>
      <c r="R122" s="11"/>
      <c r="S122" s="11"/>
      <c r="T122" s="26"/>
      <c r="U122" s="28">
        <f t="shared" si="8"/>
        <v>0.74058139534883727</v>
      </c>
    </row>
    <row r="123" spans="2:21" x14ac:dyDescent="0.25">
      <c r="B123" s="9"/>
      <c r="C123" s="31">
        <v>608.76</v>
      </c>
      <c r="D123" s="32">
        <v>30.016999999999999</v>
      </c>
      <c r="E123" s="32">
        <v>34.249000000000002</v>
      </c>
      <c r="F123" s="32">
        <v>32.976999999999997</v>
      </c>
      <c r="G123" s="18">
        <v>3.19</v>
      </c>
      <c r="H123" s="18">
        <f t="shared" si="6"/>
        <v>30.916</v>
      </c>
      <c r="I123" s="5"/>
      <c r="J123" s="31">
        <v>606.02829999999994</v>
      </c>
      <c r="K123" s="32">
        <v>29.715599999999998</v>
      </c>
      <c r="L123" s="32">
        <v>35.591700000000003</v>
      </c>
      <c r="M123" s="32">
        <v>34.326300000000003</v>
      </c>
      <c r="N123" s="18">
        <v>5.5814000000000004</v>
      </c>
      <c r="O123" s="18">
        <f t="shared" si="7"/>
        <v>31.026450000000001</v>
      </c>
      <c r="P123" s="7"/>
      <c r="Q123" s="10"/>
      <c r="R123" s="11"/>
      <c r="S123" s="11"/>
      <c r="T123" s="26"/>
      <c r="U123" s="28">
        <f t="shared" si="8"/>
        <v>0.7496551724137932</v>
      </c>
    </row>
    <row r="124" spans="2:21" ht="16.5" thickBot="1" x14ac:dyDescent="0.3">
      <c r="B124" s="12"/>
      <c r="C124" s="33">
        <v>297.32</v>
      </c>
      <c r="D124" s="34">
        <v>26.946000000000002</v>
      </c>
      <c r="E124" s="34">
        <v>31.96</v>
      </c>
      <c r="F124" s="34">
        <v>30.637</v>
      </c>
      <c r="G124" s="20">
        <v>4.22</v>
      </c>
      <c r="H124" s="20">
        <f t="shared" si="6"/>
        <v>28.034125000000003</v>
      </c>
      <c r="I124" s="5"/>
      <c r="J124" s="33">
        <v>303.37110000000001</v>
      </c>
      <c r="K124" s="34">
        <v>27.093699999999998</v>
      </c>
      <c r="L124" s="34">
        <v>33.964199999999998</v>
      </c>
      <c r="M124" s="34">
        <v>32.560899999999997</v>
      </c>
      <c r="N124" s="20">
        <v>7.7243000000000004</v>
      </c>
      <c r="O124" s="20">
        <f t="shared" si="7"/>
        <v>28.6359125</v>
      </c>
      <c r="P124" s="7"/>
      <c r="Q124" s="13"/>
      <c r="R124" s="14"/>
      <c r="S124" s="14"/>
      <c r="T124" s="27"/>
      <c r="U124" s="28">
        <f t="shared" si="8"/>
        <v>0.83040284360189598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-3.4231747571367578E-2</v>
      </c>
      <c r="R125" s="21">
        <f>AVERAGE(R9:R124)</f>
        <v>-0.35092629399631348</v>
      </c>
      <c r="S125" s="21">
        <f>AVERAGE(S9:S124)</f>
        <v>-0.33711916003629755</v>
      </c>
      <c r="T125" s="21">
        <f>AVERAGE(T9:T124)</f>
        <v>-9.9835176218351585E-2</v>
      </c>
      <c r="U125" s="21">
        <f>AVERAGE(U9:U124)</f>
        <v>1.0836233885258224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7" operator="greaterThan">
      <formula>0.03</formula>
    </cfRule>
    <cfRule type="cellIs" dxfId="32" priority="338" stopIfTrue="1" operator="lessThan">
      <formula>-0.03</formula>
    </cfRule>
  </conditionalFormatting>
  <conditionalFormatting sqref="Q33:T36">
    <cfRule type="cellIs" dxfId="31" priority="335" operator="greaterThan">
      <formula>0.03</formula>
    </cfRule>
    <cfRule type="cellIs" dxfId="30" priority="336" stopIfTrue="1" operator="lessThan">
      <formula>-0.03</formula>
    </cfRule>
  </conditionalFormatting>
  <conditionalFormatting sqref="Q45:T48 Q61:T64">
    <cfRule type="cellIs" dxfId="29" priority="333" operator="greaterThan">
      <formula>0.03</formula>
    </cfRule>
    <cfRule type="cellIs" dxfId="28" priority="334" stopIfTrue="1" operator="lessThan">
      <formula>-0.03</formula>
    </cfRule>
  </conditionalFormatting>
  <conditionalFormatting sqref="Q49:T60">
    <cfRule type="cellIs" dxfId="27" priority="331" operator="greaterThan">
      <formula>0.03</formula>
    </cfRule>
    <cfRule type="cellIs" dxfId="26" priority="332" stopIfTrue="1" operator="lessThan">
      <formula>-0.03</formula>
    </cfRule>
  </conditionalFormatting>
  <conditionalFormatting sqref="Q69:T76">
    <cfRule type="cellIs" dxfId="25" priority="329" operator="greaterThan">
      <formula>0.03</formula>
    </cfRule>
    <cfRule type="cellIs" dxfId="24" priority="330" stopIfTrue="1" operator="lessThan">
      <formula>-0.03</formula>
    </cfRule>
  </conditionalFormatting>
  <conditionalFormatting sqref="Q65:T68">
    <cfRule type="cellIs" dxfId="23" priority="327" operator="greaterThan">
      <formula>0.03</formula>
    </cfRule>
    <cfRule type="cellIs" dxfId="22" priority="328" stopIfTrue="1" operator="lessThan">
      <formula>-0.03</formula>
    </cfRule>
  </conditionalFormatting>
  <conditionalFormatting sqref="Q77:T80">
    <cfRule type="cellIs" dxfId="21" priority="325" operator="greaterThan">
      <formula>0.03</formula>
    </cfRule>
    <cfRule type="cellIs" dxfId="20" priority="326" stopIfTrue="1" operator="lessThan">
      <formula>-0.03</formula>
    </cfRule>
  </conditionalFormatting>
  <conditionalFormatting sqref="Q21:T28">
    <cfRule type="cellIs" dxfId="19" priority="323" operator="greaterThan">
      <formula>0.03</formula>
    </cfRule>
    <cfRule type="cellIs" dxfId="18" priority="324" stopIfTrue="1" operator="lessThan">
      <formula>-0.03</formula>
    </cfRule>
  </conditionalFormatting>
  <conditionalFormatting sqref="Q117:T117">
    <cfRule type="cellIs" dxfId="17" priority="33" operator="greaterThan">
      <formula>0.03</formula>
    </cfRule>
    <cfRule type="cellIs" dxfId="16" priority="34" stopIfTrue="1" operator="lessThan">
      <formula>-0.03</formula>
    </cfRule>
  </conditionalFormatting>
  <conditionalFormatting sqref="Q93:T96 Q101:T108 Q81:T84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Q97:T100">
    <cfRule type="cellIs" dxfId="13" priority="45" operator="greaterThan">
      <formula>0.03</formula>
    </cfRule>
    <cfRule type="cellIs" dxfId="12" priority="46" stopIfTrue="1" operator="lessThan">
      <formula>-0.03</formula>
    </cfRule>
  </conditionalFormatting>
  <conditionalFormatting sqref="Q110:T112 Q122:T124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Q114:T116 Q118:T120">
    <cfRule type="cellIs" dxfId="9" priority="41" operator="greaterThan">
      <formula>0.03</formula>
    </cfRule>
    <cfRule type="cellIs" dxfId="8" priority="42" stopIfTrue="1" operator="lessThan">
      <formula>-0.03</formula>
    </cfRule>
  </conditionalFormatting>
  <conditionalFormatting sqref="Q85:T92">
    <cfRule type="cellIs" dxfId="7" priority="39" operator="greaterThan">
      <formula>0.03</formula>
    </cfRule>
    <cfRule type="cellIs" dxfId="6" priority="40" stopIfTrue="1" operator="lessThan">
      <formula>-0.03</formula>
    </cfRule>
  </conditionalFormatting>
  <conditionalFormatting sqref="Q109:T109">
    <cfRule type="cellIs" dxfId="5" priority="37" operator="greaterThan">
      <formula>0.03</formula>
    </cfRule>
    <cfRule type="cellIs" dxfId="4" priority="38" stopIfTrue="1" operator="lessThan">
      <formula>-0.03</formula>
    </cfRule>
  </conditionalFormatting>
  <conditionalFormatting sqref="Q113:T113">
    <cfRule type="cellIs" dxfId="3" priority="35" operator="greaterThan">
      <formula>0.03</formula>
    </cfRule>
    <cfRule type="cellIs" dxfId="2" priority="36" stopIfTrue="1" operator="lessThan">
      <formula>-0.03</formula>
    </cfRule>
  </conditionalFormatting>
  <conditionalFormatting sqref="Q121:T121">
    <cfRule type="cellIs" dxfId="1" priority="31" operator="greaterThan">
      <formula>0.03</formula>
    </cfRule>
    <cfRule type="cellIs" dxfId="0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X265vsQY265_offline_veryfast</vt:lpstr>
      <vt:lpstr>X265vsQY265_offline_slow</vt:lpstr>
      <vt:lpstr>X265vsQY265_offline_veryslow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2017-03-30T02:13:37Z</dcterms:modified>
</cp:coreProperties>
</file>