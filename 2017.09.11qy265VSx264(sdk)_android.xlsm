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superfast" sheetId="140" r:id="rId3"/>
    <sheet name="X264vsQY265_veryfast" sheetId="112" r:id="rId4"/>
    <sheet name="X264vsQY265_fast" sheetId="141" r:id="rId5"/>
    <sheet name="X264vsQY265_medium" sheetId="119" r:id="rId6"/>
  </sheets>
  <functionGroups builtInGroupCount="18"/>
  <externalReferences>
    <externalReference r:id="rId7"/>
  </externalReferences>
  <calcPr calcId="152511" concurrentCalc="0"/>
</workbook>
</file>

<file path=xl/calcChain.xml><?xml version="1.0" encoding="utf-8"?>
<calcChain xmlns="http://schemas.openxmlformats.org/spreadsheetml/2006/main">
  <c r="C3" i="135" l="1"/>
  <c r="O246" i="140"/>
  <c r="O245" i="140"/>
  <c r="O244" i="140"/>
  <c r="O243" i="140"/>
  <c r="O242" i="140"/>
  <c r="O241" i="140"/>
  <c r="O240" i="140"/>
  <c r="O239" i="140"/>
  <c r="O238" i="140"/>
  <c r="O237" i="140"/>
  <c r="O236" i="140"/>
  <c r="O235" i="140"/>
  <c r="O234" i="140"/>
  <c r="O233" i="140"/>
  <c r="O232" i="140"/>
  <c r="O231" i="140"/>
  <c r="O230" i="140"/>
  <c r="O229" i="140"/>
  <c r="O228" i="140"/>
  <c r="O227" i="140"/>
  <c r="O226" i="140"/>
  <c r="O225" i="140"/>
  <c r="O224" i="140"/>
  <c r="O223" i="140"/>
  <c r="O222" i="140"/>
  <c r="O221" i="140"/>
  <c r="O220" i="140"/>
  <c r="O219" i="140"/>
  <c r="O218" i="140"/>
  <c r="O217" i="140"/>
  <c r="O216" i="140"/>
  <c r="O215" i="140"/>
  <c r="O214" i="140"/>
  <c r="O213" i="140"/>
  <c r="O212" i="140"/>
  <c r="O211" i="140"/>
  <c r="O210" i="140"/>
  <c r="O209" i="140"/>
  <c r="O208" i="140"/>
  <c r="O207" i="140"/>
  <c r="O206" i="140"/>
  <c r="O205" i="140"/>
  <c r="O204" i="140"/>
  <c r="O203" i="140"/>
  <c r="O202" i="140"/>
  <c r="O201" i="140"/>
  <c r="O200" i="140"/>
  <c r="O199" i="140"/>
  <c r="O198" i="140"/>
  <c r="O197" i="140"/>
  <c r="O196" i="140"/>
  <c r="O195" i="140"/>
  <c r="O194" i="140"/>
  <c r="O193" i="140"/>
  <c r="O192" i="140"/>
  <c r="O191" i="140"/>
  <c r="O190" i="140"/>
  <c r="O189" i="140"/>
  <c r="O188" i="140"/>
  <c r="O187" i="140"/>
  <c r="O186" i="140"/>
  <c r="O185" i="140"/>
  <c r="O184" i="140"/>
  <c r="O183" i="140"/>
  <c r="O182" i="140"/>
  <c r="O181" i="140"/>
  <c r="O180" i="140"/>
  <c r="O179" i="140"/>
  <c r="O178" i="140"/>
  <c r="O177" i="140"/>
  <c r="O176" i="140"/>
  <c r="O175" i="140"/>
  <c r="O174" i="140"/>
  <c r="O173" i="140"/>
  <c r="O172" i="140"/>
  <c r="O171" i="140"/>
  <c r="O170" i="140"/>
  <c r="O169" i="140"/>
  <c r="O168" i="140"/>
  <c r="O167" i="140"/>
  <c r="O166" i="140"/>
  <c r="O165" i="140"/>
  <c r="O164" i="140"/>
  <c r="O163" i="140"/>
  <c r="O162" i="140"/>
  <c r="O161" i="140"/>
  <c r="O160" i="140"/>
  <c r="O159" i="140"/>
  <c r="O158" i="140"/>
  <c r="O157" i="140"/>
  <c r="O156" i="140"/>
  <c r="O155" i="140"/>
  <c r="O154" i="140"/>
  <c r="O153" i="140"/>
  <c r="O152" i="140"/>
  <c r="O151" i="140"/>
  <c r="O150" i="140"/>
  <c r="O149" i="140"/>
  <c r="O148" i="140"/>
  <c r="O147" i="140"/>
  <c r="O146" i="140"/>
  <c r="O145" i="140"/>
  <c r="O144" i="140"/>
  <c r="O143" i="140"/>
  <c r="O142" i="140"/>
  <c r="O141" i="140"/>
  <c r="O140" i="140"/>
  <c r="O139" i="140"/>
  <c r="O138" i="140"/>
  <c r="O137" i="140"/>
  <c r="O136" i="140"/>
  <c r="O135" i="140"/>
  <c r="O134" i="140"/>
  <c r="O133" i="140"/>
  <c r="O132" i="140"/>
  <c r="O131" i="140"/>
  <c r="O124" i="140"/>
  <c r="O123" i="140"/>
  <c r="O122" i="140"/>
  <c r="O121" i="140"/>
  <c r="O120" i="140"/>
  <c r="O119" i="140"/>
  <c r="O118" i="140"/>
  <c r="O117" i="140"/>
  <c r="O116" i="140"/>
  <c r="O115" i="140"/>
  <c r="O114" i="140"/>
  <c r="O113" i="140"/>
  <c r="O112" i="140"/>
  <c r="O111" i="140"/>
  <c r="O110" i="140"/>
  <c r="O109" i="140"/>
  <c r="O108" i="140"/>
  <c r="O107" i="140"/>
  <c r="O106" i="140"/>
  <c r="O105" i="140"/>
  <c r="O104" i="140"/>
  <c r="O103" i="140"/>
  <c r="O102" i="140"/>
  <c r="O101" i="140"/>
  <c r="O100" i="140"/>
  <c r="O99" i="140"/>
  <c r="O98" i="140"/>
  <c r="O97" i="140"/>
  <c r="O96" i="140"/>
  <c r="O95" i="140"/>
  <c r="O94" i="140"/>
  <c r="O93" i="140"/>
  <c r="O92" i="140"/>
  <c r="O91" i="140"/>
  <c r="O90" i="140"/>
  <c r="O89" i="140"/>
  <c r="O88" i="140"/>
  <c r="O87" i="140"/>
  <c r="O86" i="140"/>
  <c r="O85" i="140"/>
  <c r="O84" i="140"/>
  <c r="O83" i="140"/>
  <c r="O82" i="140"/>
  <c r="O81" i="140"/>
  <c r="O80" i="140"/>
  <c r="O79" i="140"/>
  <c r="O78" i="140"/>
  <c r="O77" i="140"/>
  <c r="O76" i="140"/>
  <c r="O75" i="140"/>
  <c r="O74" i="140"/>
  <c r="O73" i="140"/>
  <c r="O72" i="140"/>
  <c r="O71" i="140"/>
  <c r="O70" i="140"/>
  <c r="O69" i="140"/>
  <c r="O68" i="140"/>
  <c r="O67" i="140"/>
  <c r="O66" i="140"/>
  <c r="O65" i="140"/>
  <c r="O64" i="140"/>
  <c r="O63" i="140"/>
  <c r="O62" i="140"/>
  <c r="O61" i="140"/>
  <c r="O60" i="140"/>
  <c r="O59" i="140"/>
  <c r="O58" i="140"/>
  <c r="O57" i="140"/>
  <c r="O56" i="140"/>
  <c r="O55" i="140"/>
  <c r="O54" i="140"/>
  <c r="O53" i="140"/>
  <c r="O52" i="140"/>
  <c r="O51" i="140"/>
  <c r="O50" i="140"/>
  <c r="O49" i="140"/>
  <c r="O48" i="140"/>
  <c r="O47" i="140"/>
  <c r="O46" i="140"/>
  <c r="O45" i="140"/>
  <c r="O44" i="140"/>
  <c r="O43" i="140"/>
  <c r="O42" i="140"/>
  <c r="O41" i="140"/>
  <c r="O40" i="140"/>
  <c r="O39" i="140"/>
  <c r="O38" i="140"/>
  <c r="O37" i="140"/>
  <c r="O36" i="140"/>
  <c r="O35" i="140"/>
  <c r="O34" i="140"/>
  <c r="O33" i="140"/>
  <c r="O32" i="140"/>
  <c r="O31" i="140"/>
  <c r="O30" i="140"/>
  <c r="O29" i="140"/>
  <c r="O28" i="140"/>
  <c r="O27" i="140"/>
  <c r="O26" i="140"/>
  <c r="O25" i="140"/>
  <c r="O24" i="140"/>
  <c r="O23" i="140"/>
  <c r="O22" i="140"/>
  <c r="O21" i="140"/>
  <c r="O20" i="140"/>
  <c r="O19" i="140"/>
  <c r="O18" i="140"/>
  <c r="O17" i="140"/>
  <c r="O16" i="140"/>
  <c r="O15" i="140"/>
  <c r="O14" i="140"/>
  <c r="O13" i="140"/>
  <c r="O12" i="140"/>
  <c r="O11" i="140"/>
  <c r="O10" i="140"/>
  <c r="O9" i="140"/>
  <c r="V246" i="119"/>
  <c r="V245" i="119"/>
  <c r="V244" i="119"/>
  <c r="V243" i="119"/>
  <c r="V242" i="119"/>
  <c r="V241" i="119"/>
  <c r="V240" i="119"/>
  <c r="V239" i="119"/>
  <c r="V238" i="119"/>
  <c r="V237" i="119"/>
  <c r="V236" i="119"/>
  <c r="V235" i="119"/>
  <c r="V234" i="119"/>
  <c r="V233" i="119"/>
  <c r="V232" i="119"/>
  <c r="V231" i="119"/>
  <c r="V230" i="119"/>
  <c r="V229" i="119"/>
  <c r="V228" i="119"/>
  <c r="V227" i="119"/>
  <c r="V226" i="119"/>
  <c r="V225" i="119"/>
  <c r="V224" i="119"/>
  <c r="V223" i="119"/>
  <c r="V222" i="119"/>
  <c r="V221" i="119"/>
  <c r="V220" i="119"/>
  <c r="V219" i="119"/>
  <c r="V218" i="119"/>
  <c r="V217" i="119"/>
  <c r="V216" i="119"/>
  <c r="V215" i="119"/>
  <c r="V214" i="119"/>
  <c r="V213" i="119"/>
  <c r="V212" i="119"/>
  <c r="V211" i="119"/>
  <c r="V210" i="119"/>
  <c r="V209" i="119"/>
  <c r="V208" i="119"/>
  <c r="V207" i="119"/>
  <c r="V206" i="119"/>
  <c r="V205" i="119"/>
  <c r="V204" i="119"/>
  <c r="V203" i="119"/>
  <c r="V202" i="119"/>
  <c r="V201" i="119"/>
  <c r="V200" i="119"/>
  <c r="V199" i="119"/>
  <c r="V198" i="119"/>
  <c r="V197" i="119"/>
  <c r="V196" i="119"/>
  <c r="V195" i="119"/>
  <c r="V194" i="119"/>
  <c r="V193" i="119"/>
  <c r="V192" i="119"/>
  <c r="V191" i="119"/>
  <c r="V190" i="119"/>
  <c r="V189" i="119"/>
  <c r="V188" i="119"/>
  <c r="V187" i="119"/>
  <c r="V186" i="119"/>
  <c r="V185" i="119"/>
  <c r="V184" i="119"/>
  <c r="V183" i="119"/>
  <c r="V182" i="119"/>
  <c r="V181" i="119"/>
  <c r="V180" i="119"/>
  <c r="V179" i="119"/>
  <c r="V178" i="119"/>
  <c r="V177" i="119"/>
  <c r="V176" i="119"/>
  <c r="V175" i="119"/>
  <c r="V174" i="119"/>
  <c r="V173" i="119"/>
  <c r="V172" i="119"/>
  <c r="V171" i="119"/>
  <c r="V170" i="119"/>
  <c r="V169" i="119"/>
  <c r="V168" i="119"/>
  <c r="V167" i="119"/>
  <c r="V166" i="119"/>
  <c r="V165" i="119"/>
  <c r="V164" i="119"/>
  <c r="V163" i="119"/>
  <c r="V162" i="119"/>
  <c r="V161" i="119"/>
  <c r="V160" i="119"/>
  <c r="V159" i="119"/>
  <c r="V158" i="119"/>
  <c r="V157" i="119"/>
  <c r="V156" i="119"/>
  <c r="V155" i="119"/>
  <c r="V154" i="119"/>
  <c r="V153" i="119"/>
  <c r="V152" i="119"/>
  <c r="V151" i="119"/>
  <c r="V150" i="119"/>
  <c r="V149" i="119"/>
  <c r="V148" i="119"/>
  <c r="V147" i="119"/>
  <c r="V146" i="119"/>
  <c r="V145" i="119"/>
  <c r="V144" i="119"/>
  <c r="V143" i="119"/>
  <c r="V142" i="119"/>
  <c r="V141" i="119"/>
  <c r="V140" i="119"/>
  <c r="V139" i="119"/>
  <c r="V138" i="119"/>
  <c r="V137" i="119"/>
  <c r="V136" i="119"/>
  <c r="V135" i="119"/>
  <c r="V134" i="119"/>
  <c r="V133" i="119"/>
  <c r="V132" i="119"/>
  <c r="V131" i="119"/>
  <c r="V124" i="119"/>
  <c r="V123" i="119"/>
  <c r="V122" i="119"/>
  <c r="V121" i="119"/>
  <c r="V120" i="119"/>
  <c r="V119" i="119"/>
  <c r="V118" i="119"/>
  <c r="V117" i="119"/>
  <c r="V116" i="119"/>
  <c r="V115" i="119"/>
  <c r="V114" i="119"/>
  <c r="V113" i="119"/>
  <c r="V112" i="119"/>
  <c r="V111" i="119"/>
  <c r="V110" i="119"/>
  <c r="V109" i="119"/>
  <c r="V108" i="119"/>
  <c r="V107" i="119"/>
  <c r="V106" i="119"/>
  <c r="V105" i="119"/>
  <c r="V104" i="119"/>
  <c r="V103" i="119"/>
  <c r="V102" i="119"/>
  <c r="V101" i="119"/>
  <c r="V100" i="119"/>
  <c r="V99" i="119"/>
  <c r="V98" i="119"/>
  <c r="V97" i="119"/>
  <c r="V96" i="119"/>
  <c r="V95" i="119"/>
  <c r="V94" i="119"/>
  <c r="V93" i="119"/>
  <c r="V92" i="119"/>
  <c r="V91" i="119"/>
  <c r="V90" i="119"/>
  <c r="V89" i="119"/>
  <c r="V88" i="119"/>
  <c r="V87" i="119"/>
  <c r="V86" i="119"/>
  <c r="V85" i="119"/>
  <c r="V84" i="119"/>
  <c r="V83" i="119"/>
  <c r="V82" i="119"/>
  <c r="V81" i="119"/>
  <c r="V80" i="119"/>
  <c r="V79" i="119"/>
  <c r="V78" i="119"/>
  <c r="V77" i="119"/>
  <c r="V76" i="119"/>
  <c r="V75" i="119"/>
  <c r="V74" i="119"/>
  <c r="V73" i="119"/>
  <c r="V72" i="119"/>
  <c r="V71" i="119"/>
  <c r="V70" i="119"/>
  <c r="V69" i="119"/>
  <c r="V68" i="119"/>
  <c r="V67" i="119"/>
  <c r="V66" i="119"/>
  <c r="V65" i="119"/>
  <c r="V64" i="119"/>
  <c r="V63" i="119"/>
  <c r="V62" i="119"/>
  <c r="V61" i="119"/>
  <c r="V60" i="119"/>
  <c r="V59" i="119"/>
  <c r="V58" i="119"/>
  <c r="V57" i="119"/>
  <c r="V56" i="119"/>
  <c r="V55" i="119"/>
  <c r="V54" i="119"/>
  <c r="V53" i="119"/>
  <c r="V52" i="119"/>
  <c r="V51" i="119"/>
  <c r="V50" i="119"/>
  <c r="V49" i="119"/>
  <c r="V48" i="119"/>
  <c r="V47" i="119"/>
  <c r="V46" i="119"/>
  <c r="V45" i="119"/>
  <c r="V44" i="119"/>
  <c r="V43" i="119"/>
  <c r="V42" i="119"/>
  <c r="V41" i="119"/>
  <c r="V40" i="119"/>
  <c r="V39" i="119"/>
  <c r="V38" i="119"/>
  <c r="V37" i="119"/>
  <c r="V36" i="119"/>
  <c r="V35" i="119"/>
  <c r="V34" i="119"/>
  <c r="V33" i="119"/>
  <c r="V32" i="119"/>
  <c r="V31" i="119"/>
  <c r="V30" i="119"/>
  <c r="V29" i="119"/>
  <c r="V28" i="119"/>
  <c r="V27" i="119"/>
  <c r="V26" i="119"/>
  <c r="V25" i="119"/>
  <c r="V24" i="119"/>
  <c r="V23" i="119"/>
  <c r="V22" i="119"/>
  <c r="V21" i="119"/>
  <c r="V20" i="119"/>
  <c r="V19" i="119"/>
  <c r="V18" i="119"/>
  <c r="V17" i="119"/>
  <c r="V16" i="119"/>
  <c r="V15" i="119"/>
  <c r="V14" i="119"/>
  <c r="V13" i="119"/>
  <c r="V12" i="119"/>
  <c r="V11" i="119"/>
  <c r="V10" i="119"/>
  <c r="V9" i="119"/>
  <c r="V246" i="141"/>
  <c r="V245" i="141"/>
  <c r="V244" i="141"/>
  <c r="V243" i="141"/>
  <c r="V242" i="141"/>
  <c r="V241" i="141"/>
  <c r="V240" i="141"/>
  <c r="V239" i="141"/>
  <c r="V238" i="141"/>
  <c r="V237" i="141"/>
  <c r="V236" i="141"/>
  <c r="V235" i="141"/>
  <c r="V234" i="141"/>
  <c r="V233" i="141"/>
  <c r="V232" i="141"/>
  <c r="V231" i="141"/>
  <c r="V230" i="141"/>
  <c r="V229" i="141"/>
  <c r="V228" i="141"/>
  <c r="V227" i="141"/>
  <c r="V226" i="141"/>
  <c r="V225" i="141"/>
  <c r="V224" i="141"/>
  <c r="V223" i="141"/>
  <c r="V222" i="141"/>
  <c r="V221" i="141"/>
  <c r="V220" i="141"/>
  <c r="V219" i="141"/>
  <c r="V218" i="141"/>
  <c r="V217" i="141"/>
  <c r="V216" i="141"/>
  <c r="V215" i="141"/>
  <c r="V214" i="141"/>
  <c r="V213" i="141"/>
  <c r="V212" i="141"/>
  <c r="V211" i="141"/>
  <c r="V210" i="141"/>
  <c r="V209" i="141"/>
  <c r="V208" i="141"/>
  <c r="V207" i="141"/>
  <c r="V206" i="141"/>
  <c r="V205" i="141"/>
  <c r="V204" i="141"/>
  <c r="V203" i="141"/>
  <c r="V202" i="141"/>
  <c r="V201" i="141"/>
  <c r="V200" i="141"/>
  <c r="V199" i="141"/>
  <c r="V198" i="141"/>
  <c r="V197" i="141"/>
  <c r="V196" i="141"/>
  <c r="V195" i="141"/>
  <c r="V194" i="141"/>
  <c r="V193" i="141"/>
  <c r="V192" i="141"/>
  <c r="V191" i="141"/>
  <c r="V190" i="141"/>
  <c r="V189" i="141"/>
  <c r="V188" i="141"/>
  <c r="V187" i="141"/>
  <c r="V186" i="141"/>
  <c r="V185" i="141"/>
  <c r="V184" i="141"/>
  <c r="V183" i="141"/>
  <c r="V182" i="141"/>
  <c r="V181" i="141"/>
  <c r="V180" i="141"/>
  <c r="V179" i="141"/>
  <c r="V178" i="141"/>
  <c r="V177" i="141"/>
  <c r="V176" i="141"/>
  <c r="V175" i="141"/>
  <c r="V174" i="141"/>
  <c r="V173" i="141"/>
  <c r="V172" i="141"/>
  <c r="V171" i="141"/>
  <c r="V170" i="141"/>
  <c r="V169" i="141"/>
  <c r="V168" i="141"/>
  <c r="V167" i="141"/>
  <c r="V166" i="141"/>
  <c r="V165" i="141"/>
  <c r="V164" i="141"/>
  <c r="V163" i="141"/>
  <c r="V162" i="141"/>
  <c r="V161" i="141"/>
  <c r="V160" i="141"/>
  <c r="V159" i="141"/>
  <c r="V158" i="141"/>
  <c r="V157" i="141"/>
  <c r="V156" i="141"/>
  <c r="V155" i="141"/>
  <c r="V154" i="141"/>
  <c r="V153" i="141"/>
  <c r="V152" i="141"/>
  <c r="V151" i="141"/>
  <c r="V150" i="141"/>
  <c r="V149" i="141"/>
  <c r="V148" i="141"/>
  <c r="V147" i="141"/>
  <c r="V146" i="141"/>
  <c r="V145" i="141"/>
  <c r="V144" i="141"/>
  <c r="V143" i="141"/>
  <c r="V142" i="141"/>
  <c r="V141" i="141"/>
  <c r="V140" i="141"/>
  <c r="V139" i="141"/>
  <c r="V138" i="141"/>
  <c r="V137" i="141"/>
  <c r="V136" i="141"/>
  <c r="V135" i="141"/>
  <c r="V134" i="141"/>
  <c r="V133" i="141"/>
  <c r="V132" i="141"/>
  <c r="V131" i="141"/>
  <c r="V124" i="141"/>
  <c r="V123" i="141"/>
  <c r="V122" i="141"/>
  <c r="V121" i="141"/>
  <c r="V120" i="141"/>
  <c r="V119" i="141"/>
  <c r="V118" i="141"/>
  <c r="V117" i="141"/>
  <c r="V116" i="141"/>
  <c r="V115" i="141"/>
  <c r="V114" i="141"/>
  <c r="V113" i="141"/>
  <c r="V112" i="141"/>
  <c r="V111" i="141"/>
  <c r="V110" i="141"/>
  <c r="V109" i="141"/>
  <c r="V108" i="141"/>
  <c r="V107" i="141"/>
  <c r="V106" i="141"/>
  <c r="V105" i="141"/>
  <c r="V104" i="141"/>
  <c r="V103" i="141"/>
  <c r="V102" i="141"/>
  <c r="V101" i="141"/>
  <c r="V100" i="141"/>
  <c r="V99" i="141"/>
  <c r="V98" i="141"/>
  <c r="V97" i="141"/>
  <c r="V96" i="141"/>
  <c r="V95" i="141"/>
  <c r="V94" i="141"/>
  <c r="V93" i="141"/>
  <c r="V92" i="141"/>
  <c r="V91" i="141"/>
  <c r="V90" i="141"/>
  <c r="V89" i="141"/>
  <c r="V88" i="141"/>
  <c r="V87" i="141"/>
  <c r="V86" i="141"/>
  <c r="V85" i="141"/>
  <c r="V84" i="141"/>
  <c r="V83" i="141"/>
  <c r="V82" i="141"/>
  <c r="V81" i="141"/>
  <c r="V80" i="141"/>
  <c r="V79" i="141"/>
  <c r="V78" i="141"/>
  <c r="V77" i="141"/>
  <c r="V76" i="141"/>
  <c r="V75" i="141"/>
  <c r="V74" i="141"/>
  <c r="V73" i="141"/>
  <c r="V72" i="141"/>
  <c r="V71" i="141"/>
  <c r="V70" i="141"/>
  <c r="V69" i="141"/>
  <c r="V68" i="141"/>
  <c r="V67" i="141"/>
  <c r="V66" i="141"/>
  <c r="V65" i="141"/>
  <c r="V64" i="141"/>
  <c r="V63" i="141"/>
  <c r="V62" i="141"/>
  <c r="V61" i="141"/>
  <c r="V60" i="141"/>
  <c r="V59" i="141"/>
  <c r="V58" i="141"/>
  <c r="V57" i="141"/>
  <c r="V56" i="141"/>
  <c r="V55" i="141"/>
  <c r="V54" i="141"/>
  <c r="V53" i="141"/>
  <c r="V52" i="141"/>
  <c r="V51" i="141"/>
  <c r="V50" i="141"/>
  <c r="V49" i="141"/>
  <c r="V48" i="141"/>
  <c r="V47" i="141"/>
  <c r="V46" i="141"/>
  <c r="V45" i="141"/>
  <c r="V44" i="141"/>
  <c r="V43" i="141"/>
  <c r="V42" i="141"/>
  <c r="V41" i="141"/>
  <c r="V40" i="141"/>
  <c r="V39" i="141"/>
  <c r="V38" i="141"/>
  <c r="V37" i="141"/>
  <c r="V36" i="141"/>
  <c r="V35" i="141"/>
  <c r="V34" i="141"/>
  <c r="V33" i="141"/>
  <c r="V32" i="141"/>
  <c r="V31" i="141"/>
  <c r="V30" i="141"/>
  <c r="V29" i="141"/>
  <c r="V28" i="141"/>
  <c r="V27" i="141"/>
  <c r="V26" i="141"/>
  <c r="V25" i="141"/>
  <c r="V24" i="141"/>
  <c r="V23" i="141"/>
  <c r="V22" i="141"/>
  <c r="V21" i="141"/>
  <c r="V20" i="141"/>
  <c r="V19" i="141"/>
  <c r="V18" i="141"/>
  <c r="V17" i="141"/>
  <c r="V16" i="141"/>
  <c r="V15" i="141"/>
  <c r="V14" i="141"/>
  <c r="V13" i="141"/>
  <c r="V12" i="141"/>
  <c r="V11" i="141"/>
  <c r="V10" i="141"/>
  <c r="V9" i="141"/>
  <c r="V246" i="112"/>
  <c r="V245" i="112"/>
  <c r="V244" i="112"/>
  <c r="V243" i="112"/>
  <c r="V242" i="112"/>
  <c r="V241" i="112"/>
  <c r="V240" i="112"/>
  <c r="V239" i="112"/>
  <c r="V238" i="112"/>
  <c r="V237" i="112"/>
  <c r="V236" i="112"/>
  <c r="V235" i="112"/>
  <c r="V234" i="112"/>
  <c r="V233" i="112"/>
  <c r="V232" i="112"/>
  <c r="V231" i="112"/>
  <c r="V230" i="112"/>
  <c r="V229" i="112"/>
  <c r="V228" i="112"/>
  <c r="V227" i="112"/>
  <c r="V226" i="112"/>
  <c r="V225" i="112"/>
  <c r="V224" i="112"/>
  <c r="V223" i="112"/>
  <c r="V222" i="112"/>
  <c r="V221" i="112"/>
  <c r="V220" i="112"/>
  <c r="V219" i="112"/>
  <c r="V218" i="112"/>
  <c r="V217" i="112"/>
  <c r="V216" i="112"/>
  <c r="V215" i="112"/>
  <c r="V214" i="112"/>
  <c r="V213" i="112"/>
  <c r="V212" i="112"/>
  <c r="V211" i="112"/>
  <c r="V210" i="112"/>
  <c r="V209" i="112"/>
  <c r="V208" i="112"/>
  <c r="V207" i="112"/>
  <c r="V206" i="112"/>
  <c r="V205" i="112"/>
  <c r="V204" i="112"/>
  <c r="V203" i="112"/>
  <c r="V202" i="112"/>
  <c r="V201" i="112"/>
  <c r="V200" i="112"/>
  <c r="V199" i="112"/>
  <c r="V198" i="112"/>
  <c r="V197" i="112"/>
  <c r="V196" i="112"/>
  <c r="V195" i="112"/>
  <c r="V194" i="112"/>
  <c r="V193" i="112"/>
  <c r="V192" i="112"/>
  <c r="V191" i="112"/>
  <c r="V190" i="112"/>
  <c r="V189" i="112"/>
  <c r="V188" i="112"/>
  <c r="V187" i="112"/>
  <c r="V186" i="112"/>
  <c r="V185" i="112"/>
  <c r="V184" i="112"/>
  <c r="V183" i="112"/>
  <c r="V182" i="112"/>
  <c r="V181" i="112"/>
  <c r="V180" i="112"/>
  <c r="V179" i="112"/>
  <c r="V178" i="112"/>
  <c r="V177" i="112"/>
  <c r="V176" i="112"/>
  <c r="V175" i="112"/>
  <c r="V174" i="112"/>
  <c r="V173" i="112"/>
  <c r="V172" i="112"/>
  <c r="V171" i="112"/>
  <c r="V170" i="112"/>
  <c r="V169" i="112"/>
  <c r="V168" i="112"/>
  <c r="V167" i="112"/>
  <c r="V166" i="112"/>
  <c r="V165" i="112"/>
  <c r="V164" i="112"/>
  <c r="V163" i="112"/>
  <c r="V162" i="112"/>
  <c r="V161" i="112"/>
  <c r="V160" i="112"/>
  <c r="V159" i="112"/>
  <c r="V158" i="112"/>
  <c r="V157" i="112"/>
  <c r="V156" i="112"/>
  <c r="V155" i="112"/>
  <c r="V154" i="112"/>
  <c r="V153" i="112"/>
  <c r="V152" i="112"/>
  <c r="V151" i="112"/>
  <c r="V150" i="112"/>
  <c r="V149" i="112"/>
  <c r="V148" i="112"/>
  <c r="V147" i="112"/>
  <c r="V146" i="112"/>
  <c r="V145" i="112"/>
  <c r="V144" i="112"/>
  <c r="V143" i="112"/>
  <c r="V142" i="112"/>
  <c r="V141" i="112"/>
  <c r="V140" i="112"/>
  <c r="V139" i="112"/>
  <c r="V138" i="112"/>
  <c r="V137" i="112"/>
  <c r="V136" i="112"/>
  <c r="V135" i="112"/>
  <c r="V134" i="112"/>
  <c r="V133" i="112"/>
  <c r="V132" i="112"/>
  <c r="V131" i="112"/>
  <c r="V124" i="112"/>
  <c r="V123" i="112"/>
  <c r="V122" i="112"/>
  <c r="V121" i="112"/>
  <c r="V120" i="112"/>
  <c r="V119" i="112"/>
  <c r="V118" i="112"/>
  <c r="V117" i="112"/>
  <c r="V116" i="112"/>
  <c r="V115" i="112"/>
  <c r="V114" i="112"/>
  <c r="V113" i="112"/>
  <c r="V112" i="112"/>
  <c r="V111" i="112"/>
  <c r="V110" i="112"/>
  <c r="V109" i="112"/>
  <c r="V108" i="112"/>
  <c r="V107" i="112"/>
  <c r="V106" i="112"/>
  <c r="V105" i="112"/>
  <c r="V104" i="112"/>
  <c r="V103" i="112"/>
  <c r="V102" i="112"/>
  <c r="V101" i="112"/>
  <c r="V100" i="112"/>
  <c r="V99" i="112"/>
  <c r="V98" i="112"/>
  <c r="V97" i="112"/>
  <c r="V96" i="112"/>
  <c r="V95" i="112"/>
  <c r="V94" i="112"/>
  <c r="V93" i="112"/>
  <c r="V92" i="112"/>
  <c r="V91" i="112"/>
  <c r="V90" i="112"/>
  <c r="V89" i="112"/>
  <c r="V88" i="112"/>
  <c r="V87" i="112"/>
  <c r="V86" i="112"/>
  <c r="V85" i="112"/>
  <c r="V84" i="112"/>
  <c r="V83" i="112"/>
  <c r="V82" i="112"/>
  <c r="V81" i="112"/>
  <c r="V80" i="112"/>
  <c r="V79" i="112"/>
  <c r="V78" i="112"/>
  <c r="V77" i="112"/>
  <c r="V76" i="112"/>
  <c r="V75" i="112"/>
  <c r="V74" i="112"/>
  <c r="V73" i="112"/>
  <c r="V72" i="112"/>
  <c r="V71" i="112"/>
  <c r="V70" i="112"/>
  <c r="V69" i="112"/>
  <c r="V68" i="112"/>
  <c r="V67" i="112"/>
  <c r="V66" i="112"/>
  <c r="V65" i="112"/>
  <c r="V64" i="112"/>
  <c r="V63" i="112"/>
  <c r="V62" i="112"/>
  <c r="V61" i="112"/>
  <c r="V60" i="112"/>
  <c r="V59" i="112"/>
  <c r="V58" i="112"/>
  <c r="V57" i="112"/>
  <c r="V56" i="112"/>
  <c r="V55" i="112"/>
  <c r="V54" i="112"/>
  <c r="V53" i="112"/>
  <c r="V52" i="112"/>
  <c r="V51" i="112"/>
  <c r="V50" i="112"/>
  <c r="V49" i="112"/>
  <c r="V48" i="112"/>
  <c r="V47" i="112"/>
  <c r="V46" i="112"/>
  <c r="V45" i="112"/>
  <c r="V44" i="112"/>
  <c r="V43" i="112"/>
  <c r="V42" i="112"/>
  <c r="V41" i="112"/>
  <c r="V40" i="112"/>
  <c r="V39" i="112"/>
  <c r="V38" i="112"/>
  <c r="V37" i="112"/>
  <c r="V36" i="112"/>
  <c r="V35" i="112"/>
  <c r="V34" i="112"/>
  <c r="V33" i="112"/>
  <c r="V32" i="112"/>
  <c r="V31" i="112"/>
  <c r="V30" i="112"/>
  <c r="V29" i="112"/>
  <c r="V28" i="112"/>
  <c r="V27" i="112"/>
  <c r="V26" i="112"/>
  <c r="V25" i="112"/>
  <c r="V24" i="112"/>
  <c r="V23" i="112"/>
  <c r="V22" i="112"/>
  <c r="V21" i="112"/>
  <c r="V20" i="112"/>
  <c r="V19" i="112"/>
  <c r="V18" i="112"/>
  <c r="V17" i="112"/>
  <c r="V16" i="112"/>
  <c r="V15" i="112"/>
  <c r="V14" i="112"/>
  <c r="V13" i="112"/>
  <c r="V12" i="112"/>
  <c r="V11" i="112"/>
  <c r="V10" i="112"/>
  <c r="V9" i="112"/>
  <c r="V246" i="140"/>
  <c r="V245" i="140"/>
  <c r="V244" i="140"/>
  <c r="V243" i="140"/>
  <c r="V242" i="140"/>
  <c r="V241" i="140"/>
  <c r="V240" i="140"/>
  <c r="V239" i="140"/>
  <c r="V238" i="140"/>
  <c r="V237" i="140"/>
  <c r="V236" i="140"/>
  <c r="V235" i="140"/>
  <c r="V234" i="140"/>
  <c r="V233" i="140"/>
  <c r="V232" i="140"/>
  <c r="V231" i="140"/>
  <c r="V230" i="140"/>
  <c r="V229" i="140"/>
  <c r="V228" i="140"/>
  <c r="V227" i="140"/>
  <c r="V226" i="140"/>
  <c r="V225" i="140"/>
  <c r="V224" i="140"/>
  <c r="V223" i="140"/>
  <c r="V222" i="140"/>
  <c r="V221" i="140"/>
  <c r="V220" i="140"/>
  <c r="V219" i="140"/>
  <c r="V218" i="140"/>
  <c r="V217" i="140"/>
  <c r="V216" i="140"/>
  <c r="V215" i="140"/>
  <c r="V214" i="140"/>
  <c r="V213" i="140"/>
  <c r="V212" i="140"/>
  <c r="V211" i="140"/>
  <c r="V210" i="140"/>
  <c r="V209" i="140"/>
  <c r="V208" i="140"/>
  <c r="V207" i="140"/>
  <c r="V206" i="140"/>
  <c r="V205" i="140"/>
  <c r="V204" i="140"/>
  <c r="V203" i="140"/>
  <c r="V202" i="140"/>
  <c r="V201" i="140"/>
  <c r="V200" i="140"/>
  <c r="V199" i="140"/>
  <c r="V198" i="140"/>
  <c r="V197" i="140"/>
  <c r="V196" i="140"/>
  <c r="V195" i="140"/>
  <c r="V194" i="140"/>
  <c r="V193" i="140"/>
  <c r="V192" i="140"/>
  <c r="V191" i="140"/>
  <c r="V190" i="140"/>
  <c r="V189" i="140"/>
  <c r="V188" i="140"/>
  <c r="V187" i="140"/>
  <c r="V186" i="140"/>
  <c r="V185" i="140"/>
  <c r="V184" i="140"/>
  <c r="V183" i="140"/>
  <c r="V182" i="140"/>
  <c r="V181" i="140"/>
  <c r="V180" i="140"/>
  <c r="V179" i="140"/>
  <c r="V178" i="140"/>
  <c r="V177" i="140"/>
  <c r="V176" i="140"/>
  <c r="V175" i="140"/>
  <c r="V174" i="140"/>
  <c r="V173" i="140"/>
  <c r="V172" i="140"/>
  <c r="V171" i="140"/>
  <c r="V170" i="140"/>
  <c r="V169" i="140"/>
  <c r="V168" i="140"/>
  <c r="V167" i="140"/>
  <c r="V166" i="140"/>
  <c r="V165" i="140"/>
  <c r="V164" i="140"/>
  <c r="V163" i="140"/>
  <c r="V162" i="140"/>
  <c r="V161" i="140"/>
  <c r="V160" i="140"/>
  <c r="V159" i="140"/>
  <c r="V158" i="140"/>
  <c r="V157" i="140"/>
  <c r="V156" i="140"/>
  <c r="V155" i="140"/>
  <c r="V154" i="140"/>
  <c r="V153" i="140"/>
  <c r="V152" i="140"/>
  <c r="V151" i="140"/>
  <c r="V150" i="140"/>
  <c r="V149" i="140"/>
  <c r="V148" i="140"/>
  <c r="V147" i="140"/>
  <c r="V146" i="140"/>
  <c r="V145" i="140"/>
  <c r="V144" i="140"/>
  <c r="V143" i="140"/>
  <c r="V142" i="140"/>
  <c r="V141" i="140"/>
  <c r="V140" i="140"/>
  <c r="V139" i="140"/>
  <c r="V138" i="140"/>
  <c r="V137" i="140"/>
  <c r="V136" i="140"/>
  <c r="V135" i="140"/>
  <c r="V134" i="140"/>
  <c r="V133" i="140"/>
  <c r="V132" i="140"/>
  <c r="V131" i="140"/>
  <c r="V124" i="140"/>
  <c r="V123" i="140"/>
  <c r="V122" i="140"/>
  <c r="V121" i="140"/>
  <c r="V120" i="140"/>
  <c r="V119" i="140"/>
  <c r="V118" i="140"/>
  <c r="V117" i="140"/>
  <c r="V116" i="140"/>
  <c r="V115" i="140"/>
  <c r="V114" i="140"/>
  <c r="V113" i="140"/>
  <c r="V112" i="140"/>
  <c r="V111" i="140"/>
  <c r="V110" i="140"/>
  <c r="V109" i="140"/>
  <c r="V108" i="140"/>
  <c r="V107" i="140"/>
  <c r="V106" i="140"/>
  <c r="V105" i="140"/>
  <c r="V104" i="140"/>
  <c r="V103" i="140"/>
  <c r="V102" i="140"/>
  <c r="V101" i="140"/>
  <c r="V100" i="140"/>
  <c r="V99" i="140"/>
  <c r="V98" i="140"/>
  <c r="V97" i="140"/>
  <c r="V96" i="140"/>
  <c r="V95" i="140"/>
  <c r="V94" i="140"/>
  <c r="V93" i="140"/>
  <c r="V92" i="140"/>
  <c r="V91" i="140"/>
  <c r="V90" i="140"/>
  <c r="V89" i="140"/>
  <c r="V88" i="140"/>
  <c r="V87" i="140"/>
  <c r="V86" i="140"/>
  <c r="V85" i="140"/>
  <c r="V84" i="140"/>
  <c r="V83" i="140"/>
  <c r="V82" i="140"/>
  <c r="V81" i="140"/>
  <c r="V80" i="140"/>
  <c r="V79" i="140"/>
  <c r="V78" i="140"/>
  <c r="V77" i="140"/>
  <c r="V76" i="140"/>
  <c r="V75" i="140"/>
  <c r="V74" i="140"/>
  <c r="V73" i="140"/>
  <c r="V72" i="140"/>
  <c r="V71" i="140"/>
  <c r="V70" i="140"/>
  <c r="V69" i="140"/>
  <c r="V68" i="140"/>
  <c r="V67" i="140"/>
  <c r="V66" i="140"/>
  <c r="V65" i="140"/>
  <c r="V64" i="140"/>
  <c r="V63" i="140"/>
  <c r="V62" i="140"/>
  <c r="V61" i="140"/>
  <c r="V60" i="140"/>
  <c r="V59" i="140"/>
  <c r="V58" i="140"/>
  <c r="V57" i="140"/>
  <c r="V56" i="140"/>
  <c r="V55" i="140"/>
  <c r="V54" i="140"/>
  <c r="V53" i="140"/>
  <c r="V52" i="140"/>
  <c r="V51" i="140"/>
  <c r="V50" i="140"/>
  <c r="V49" i="140"/>
  <c r="V48" i="140"/>
  <c r="V47" i="140"/>
  <c r="V46" i="140"/>
  <c r="V45" i="140"/>
  <c r="V44" i="140"/>
  <c r="V43" i="140"/>
  <c r="V42" i="140"/>
  <c r="V41" i="140"/>
  <c r="V40" i="140"/>
  <c r="V39" i="140"/>
  <c r="V38" i="140"/>
  <c r="V37" i="140"/>
  <c r="V36" i="140"/>
  <c r="V35" i="140"/>
  <c r="V34" i="140"/>
  <c r="V33" i="140"/>
  <c r="V32" i="140"/>
  <c r="V31" i="140"/>
  <c r="V30" i="140"/>
  <c r="V29" i="140"/>
  <c r="V28" i="140"/>
  <c r="V27" i="140"/>
  <c r="V26" i="140"/>
  <c r="V25" i="140"/>
  <c r="V24" i="140"/>
  <c r="V23" i="140"/>
  <c r="V22" i="140"/>
  <c r="V21" i="140"/>
  <c r="V20" i="140"/>
  <c r="V19" i="140"/>
  <c r="V18" i="140"/>
  <c r="V17" i="140"/>
  <c r="V16" i="140"/>
  <c r="V15" i="140"/>
  <c r="V14" i="140"/>
  <c r="V13" i="140"/>
  <c r="V12" i="140"/>
  <c r="V11" i="140"/>
  <c r="V10" i="140"/>
  <c r="V9" i="140"/>
  <c r="W131" i="119"/>
  <c r="W132" i="119"/>
  <c r="W133" i="119"/>
  <c r="W134" i="119"/>
  <c r="W135" i="119"/>
  <c r="W136" i="119"/>
  <c r="W137" i="119"/>
  <c r="W138" i="119"/>
  <c r="W139" i="119"/>
  <c r="W140" i="119"/>
  <c r="W141" i="119"/>
  <c r="W142" i="119"/>
  <c r="W143" i="119"/>
  <c r="W144" i="119"/>
  <c r="W145" i="119"/>
  <c r="W146" i="119"/>
  <c r="W147" i="119"/>
  <c r="W148" i="119"/>
  <c r="W149" i="119"/>
  <c r="W150" i="119"/>
  <c r="W151" i="119"/>
  <c r="W152" i="119"/>
  <c r="W153" i="119"/>
  <c r="W154" i="119"/>
  <c r="W155" i="119"/>
  <c r="W156" i="119"/>
  <c r="W157" i="119"/>
  <c r="W158" i="119"/>
  <c r="W159" i="119"/>
  <c r="W160" i="119"/>
  <c r="W161" i="119"/>
  <c r="W162" i="119"/>
  <c r="W163" i="119"/>
  <c r="W164" i="119"/>
  <c r="W165" i="119"/>
  <c r="W166" i="119"/>
  <c r="W167" i="119"/>
  <c r="W168" i="119"/>
  <c r="W169" i="119"/>
  <c r="W170" i="119"/>
  <c r="W171" i="119"/>
  <c r="W172" i="119"/>
  <c r="W173" i="119"/>
  <c r="W174" i="119"/>
  <c r="W175" i="119"/>
  <c r="W176" i="119"/>
  <c r="W177" i="119"/>
  <c r="W178" i="119"/>
  <c r="W179" i="119"/>
  <c r="W180" i="119"/>
  <c r="W181" i="119"/>
  <c r="W182" i="119"/>
  <c r="W183" i="119"/>
  <c r="W184" i="119"/>
  <c r="W185" i="119"/>
  <c r="W186" i="119"/>
  <c r="W187" i="119"/>
  <c r="W188" i="119"/>
  <c r="W189" i="119"/>
  <c r="W190" i="119"/>
  <c r="W191" i="119"/>
  <c r="W192" i="119"/>
  <c r="W193" i="119"/>
  <c r="W194" i="119"/>
  <c r="W195" i="119"/>
  <c r="W196" i="119"/>
  <c r="W197" i="119"/>
  <c r="W198" i="119"/>
  <c r="W199" i="119"/>
  <c r="W200" i="119"/>
  <c r="W201" i="119"/>
  <c r="W202" i="119"/>
  <c r="W203" i="119"/>
  <c r="W204" i="119"/>
  <c r="W205" i="119"/>
  <c r="W206" i="119"/>
  <c r="W207" i="119"/>
  <c r="W208" i="119"/>
  <c r="W209" i="119"/>
  <c r="W210" i="119"/>
  <c r="W211" i="119"/>
  <c r="W212" i="119"/>
  <c r="W213" i="119"/>
  <c r="W214" i="119"/>
  <c r="W215" i="119"/>
  <c r="W216" i="119"/>
  <c r="W217" i="119"/>
  <c r="W218" i="119"/>
  <c r="W219" i="119"/>
  <c r="W220" i="119"/>
  <c r="W221" i="119"/>
  <c r="W222" i="119"/>
  <c r="W223" i="119"/>
  <c r="W224" i="119"/>
  <c r="W225" i="119"/>
  <c r="W226" i="119"/>
  <c r="W227" i="119"/>
  <c r="W228" i="119"/>
  <c r="W229" i="119"/>
  <c r="W230" i="119"/>
  <c r="W231" i="119"/>
  <c r="W232" i="119"/>
  <c r="W233" i="119"/>
  <c r="W234" i="119"/>
  <c r="W235" i="119"/>
  <c r="W236" i="119"/>
  <c r="W237" i="119"/>
  <c r="W238" i="119"/>
  <c r="W239" i="119"/>
  <c r="W240" i="119"/>
  <c r="W241" i="119"/>
  <c r="W242" i="119"/>
  <c r="W243" i="119"/>
  <c r="W244" i="119"/>
  <c r="W245" i="119"/>
  <c r="W246" i="119"/>
  <c r="W247" i="119"/>
  <c r="I64" i="135"/>
  <c r="I59" i="135"/>
  <c r="I61" i="135"/>
  <c r="I62" i="135"/>
  <c r="I63" i="135"/>
  <c r="I60" i="135"/>
  <c r="W9" i="119"/>
  <c r="W10" i="119"/>
  <c r="W11" i="119"/>
  <c r="W12" i="119"/>
  <c r="W13" i="119"/>
  <c r="W14" i="119"/>
  <c r="W15" i="119"/>
  <c r="W16" i="119"/>
  <c r="W17" i="119"/>
  <c r="W18" i="119"/>
  <c r="W19" i="119"/>
  <c r="W20" i="119"/>
  <c r="W21" i="119"/>
  <c r="W22" i="119"/>
  <c r="W23" i="119"/>
  <c r="W24" i="119"/>
  <c r="W25" i="119"/>
  <c r="W26" i="119"/>
  <c r="W27" i="119"/>
  <c r="W28" i="119"/>
  <c r="W29" i="119"/>
  <c r="W30" i="119"/>
  <c r="W31" i="119"/>
  <c r="W32" i="119"/>
  <c r="W33" i="119"/>
  <c r="W34" i="119"/>
  <c r="W35" i="119"/>
  <c r="W36" i="119"/>
  <c r="W37" i="119"/>
  <c r="W38" i="119"/>
  <c r="W39" i="119"/>
  <c r="W40" i="119"/>
  <c r="W41" i="119"/>
  <c r="W42" i="119"/>
  <c r="W43" i="119"/>
  <c r="W44" i="119"/>
  <c r="W45" i="119"/>
  <c r="W46" i="119"/>
  <c r="W47" i="119"/>
  <c r="W48" i="119"/>
  <c r="W49" i="119"/>
  <c r="W50" i="119"/>
  <c r="W51" i="119"/>
  <c r="W52" i="119"/>
  <c r="W53" i="119"/>
  <c r="W54" i="119"/>
  <c r="W55" i="119"/>
  <c r="W56" i="119"/>
  <c r="W57" i="119"/>
  <c r="W58" i="119"/>
  <c r="W59" i="119"/>
  <c r="W60" i="119"/>
  <c r="W61" i="119"/>
  <c r="W62" i="119"/>
  <c r="W63" i="119"/>
  <c r="W64" i="119"/>
  <c r="W65" i="119"/>
  <c r="W66" i="119"/>
  <c r="W67" i="119"/>
  <c r="W68" i="119"/>
  <c r="W69" i="119"/>
  <c r="W70" i="119"/>
  <c r="W71" i="119"/>
  <c r="W72" i="119"/>
  <c r="W73" i="119"/>
  <c r="W74" i="119"/>
  <c r="W75" i="119"/>
  <c r="W76" i="119"/>
  <c r="W77" i="119"/>
  <c r="W78" i="119"/>
  <c r="W79" i="119"/>
  <c r="W80" i="119"/>
  <c r="W81" i="119"/>
  <c r="W82" i="119"/>
  <c r="W83" i="119"/>
  <c r="W84" i="119"/>
  <c r="W85" i="119"/>
  <c r="W86" i="119"/>
  <c r="W87" i="119"/>
  <c r="W88" i="119"/>
  <c r="W89" i="119"/>
  <c r="W90" i="119"/>
  <c r="W91" i="119"/>
  <c r="W92" i="119"/>
  <c r="W93" i="119"/>
  <c r="W94" i="119"/>
  <c r="W95" i="119"/>
  <c r="W96" i="119"/>
  <c r="W97" i="119"/>
  <c r="W98" i="119"/>
  <c r="W99" i="119"/>
  <c r="W100" i="119"/>
  <c r="W101" i="119"/>
  <c r="W102" i="119"/>
  <c r="W103" i="119"/>
  <c r="W104" i="119"/>
  <c r="W105" i="119"/>
  <c r="W106" i="119"/>
  <c r="W107" i="119"/>
  <c r="W108" i="119"/>
  <c r="W109" i="119"/>
  <c r="W110" i="119"/>
  <c r="W111" i="119"/>
  <c r="W112" i="119"/>
  <c r="W113" i="119"/>
  <c r="W114" i="119"/>
  <c r="W115" i="119"/>
  <c r="W116" i="119"/>
  <c r="W117" i="119"/>
  <c r="W118" i="119"/>
  <c r="W119" i="119"/>
  <c r="W120" i="119"/>
  <c r="W121" i="119"/>
  <c r="W122" i="119"/>
  <c r="W123" i="119"/>
  <c r="W124" i="119"/>
  <c r="W125" i="119"/>
  <c r="I57" i="135"/>
  <c r="I52" i="135"/>
  <c r="I53" i="135"/>
  <c r="I54" i="135"/>
  <c r="I56" i="135"/>
  <c r="I55" i="135"/>
  <c r="I51" i="135"/>
  <c r="W131" i="141"/>
  <c r="W132" i="141"/>
  <c r="W133" i="141"/>
  <c r="W134" i="141"/>
  <c r="W135" i="141"/>
  <c r="W136" i="141"/>
  <c r="W137" i="141"/>
  <c r="W138" i="141"/>
  <c r="W139" i="141"/>
  <c r="W140" i="141"/>
  <c r="W141" i="141"/>
  <c r="W142" i="141"/>
  <c r="W143" i="141"/>
  <c r="W144" i="141"/>
  <c r="W145" i="141"/>
  <c r="W146" i="141"/>
  <c r="W147" i="141"/>
  <c r="W148" i="141"/>
  <c r="W149" i="141"/>
  <c r="W150" i="141"/>
  <c r="W151" i="141"/>
  <c r="W152" i="141"/>
  <c r="W153" i="141"/>
  <c r="W154" i="141"/>
  <c r="W155" i="141"/>
  <c r="W156" i="141"/>
  <c r="W157" i="141"/>
  <c r="W158" i="141"/>
  <c r="W159" i="141"/>
  <c r="W160" i="141"/>
  <c r="W161" i="141"/>
  <c r="W162" i="141"/>
  <c r="W163" i="141"/>
  <c r="W164" i="141"/>
  <c r="W165" i="141"/>
  <c r="W166" i="141"/>
  <c r="W167" i="141"/>
  <c r="W168" i="141"/>
  <c r="W169" i="141"/>
  <c r="W170" i="141"/>
  <c r="W171" i="141"/>
  <c r="W172" i="141"/>
  <c r="W173" i="141"/>
  <c r="W174" i="141"/>
  <c r="W175" i="141"/>
  <c r="W176" i="141"/>
  <c r="W177" i="141"/>
  <c r="W178" i="141"/>
  <c r="W179" i="141"/>
  <c r="W180" i="141"/>
  <c r="W181" i="141"/>
  <c r="W182" i="141"/>
  <c r="W183" i="141"/>
  <c r="W184" i="141"/>
  <c r="W185" i="141"/>
  <c r="W186" i="141"/>
  <c r="W187" i="141"/>
  <c r="W188" i="141"/>
  <c r="W189" i="141"/>
  <c r="W190" i="141"/>
  <c r="W191" i="141"/>
  <c r="W192" i="141"/>
  <c r="W193" i="141"/>
  <c r="W194" i="141"/>
  <c r="W195" i="141"/>
  <c r="W196" i="141"/>
  <c r="W197" i="141"/>
  <c r="W198" i="141"/>
  <c r="W199" i="141"/>
  <c r="W200" i="141"/>
  <c r="W201" i="141"/>
  <c r="W202" i="141"/>
  <c r="W203" i="141"/>
  <c r="W204" i="141"/>
  <c r="W205" i="141"/>
  <c r="W206" i="141"/>
  <c r="W207" i="141"/>
  <c r="W208" i="141"/>
  <c r="W209" i="141"/>
  <c r="W210" i="141"/>
  <c r="W211" i="141"/>
  <c r="W212" i="141"/>
  <c r="W213" i="141"/>
  <c r="W214" i="141"/>
  <c r="W215" i="141"/>
  <c r="W216" i="141"/>
  <c r="W217" i="141"/>
  <c r="W218" i="141"/>
  <c r="W219" i="141"/>
  <c r="W220" i="141"/>
  <c r="W221" i="141"/>
  <c r="W222" i="141"/>
  <c r="W223" i="141"/>
  <c r="W224" i="141"/>
  <c r="W225" i="141"/>
  <c r="W226" i="141"/>
  <c r="W227" i="141"/>
  <c r="W228" i="141"/>
  <c r="W229" i="141"/>
  <c r="W230" i="141"/>
  <c r="W231" i="141"/>
  <c r="W232" i="141"/>
  <c r="W233" i="141"/>
  <c r="W234" i="141"/>
  <c r="W235" i="141"/>
  <c r="W236" i="141"/>
  <c r="W237" i="141"/>
  <c r="W238" i="141"/>
  <c r="W239" i="141"/>
  <c r="W240" i="141"/>
  <c r="W241" i="141"/>
  <c r="W242" i="141"/>
  <c r="W243" i="141"/>
  <c r="W244" i="141"/>
  <c r="W245" i="141"/>
  <c r="W246" i="141"/>
  <c r="W247" i="141"/>
  <c r="I48" i="135"/>
  <c r="I43" i="135"/>
  <c r="I45" i="135"/>
  <c r="I46" i="135"/>
  <c r="I47" i="135"/>
  <c r="I44" i="135"/>
  <c r="W9" i="141"/>
  <c r="W10" i="141"/>
  <c r="W11" i="141"/>
  <c r="W12" i="141"/>
  <c r="W13" i="141"/>
  <c r="W14" i="141"/>
  <c r="W15" i="141"/>
  <c r="W16" i="141"/>
  <c r="W17" i="141"/>
  <c r="W18" i="141"/>
  <c r="W19" i="141"/>
  <c r="W20" i="141"/>
  <c r="W21" i="141"/>
  <c r="W22" i="141"/>
  <c r="W23" i="141"/>
  <c r="W24" i="141"/>
  <c r="W25" i="141"/>
  <c r="W26" i="141"/>
  <c r="W27" i="141"/>
  <c r="W28" i="141"/>
  <c r="W29" i="141"/>
  <c r="W30" i="141"/>
  <c r="W31" i="141"/>
  <c r="W32" i="141"/>
  <c r="W33" i="141"/>
  <c r="W34" i="141"/>
  <c r="W35" i="141"/>
  <c r="W36" i="141"/>
  <c r="W37" i="141"/>
  <c r="W38" i="141"/>
  <c r="W39" i="141"/>
  <c r="W40" i="141"/>
  <c r="W41" i="141"/>
  <c r="W42" i="141"/>
  <c r="W43" i="141"/>
  <c r="W44" i="141"/>
  <c r="W45" i="141"/>
  <c r="W46" i="141"/>
  <c r="W47" i="141"/>
  <c r="W48" i="141"/>
  <c r="W49" i="141"/>
  <c r="W50" i="141"/>
  <c r="W51" i="141"/>
  <c r="W52" i="141"/>
  <c r="W53" i="141"/>
  <c r="W54" i="141"/>
  <c r="W55" i="141"/>
  <c r="W56" i="141"/>
  <c r="W57" i="141"/>
  <c r="W58" i="141"/>
  <c r="W59" i="141"/>
  <c r="W60" i="141"/>
  <c r="W61" i="141"/>
  <c r="W62" i="141"/>
  <c r="W63" i="141"/>
  <c r="W64" i="141"/>
  <c r="W65" i="141"/>
  <c r="W66" i="141"/>
  <c r="W67" i="141"/>
  <c r="W68" i="141"/>
  <c r="W69" i="141"/>
  <c r="W70" i="141"/>
  <c r="W71" i="141"/>
  <c r="W72" i="141"/>
  <c r="W73" i="141"/>
  <c r="W74" i="141"/>
  <c r="W75" i="141"/>
  <c r="W76" i="141"/>
  <c r="W77" i="141"/>
  <c r="W78" i="141"/>
  <c r="W79" i="141"/>
  <c r="W80" i="141"/>
  <c r="W81" i="141"/>
  <c r="W82" i="141"/>
  <c r="W83" i="141"/>
  <c r="W84" i="141"/>
  <c r="W85" i="141"/>
  <c r="W86" i="141"/>
  <c r="W87" i="141"/>
  <c r="W88" i="141"/>
  <c r="W89" i="141"/>
  <c r="W90" i="141"/>
  <c r="W91" i="141"/>
  <c r="W92" i="141"/>
  <c r="W93" i="141"/>
  <c r="W94" i="141"/>
  <c r="W95" i="141"/>
  <c r="W96" i="141"/>
  <c r="W97" i="141"/>
  <c r="W98" i="141"/>
  <c r="W99" i="141"/>
  <c r="W100" i="141"/>
  <c r="W101" i="141"/>
  <c r="W102" i="141"/>
  <c r="W103" i="141"/>
  <c r="W104" i="141"/>
  <c r="W105" i="141"/>
  <c r="W106" i="141"/>
  <c r="W107" i="141"/>
  <c r="W108" i="141"/>
  <c r="W109" i="141"/>
  <c r="W110" i="141"/>
  <c r="W111" i="141"/>
  <c r="W112" i="141"/>
  <c r="W113" i="141"/>
  <c r="W114" i="141"/>
  <c r="W115" i="141"/>
  <c r="W116" i="141"/>
  <c r="W117" i="141"/>
  <c r="W118" i="141"/>
  <c r="W119" i="141"/>
  <c r="W120" i="141"/>
  <c r="W121" i="141"/>
  <c r="W122" i="141"/>
  <c r="W123" i="141"/>
  <c r="W124" i="141"/>
  <c r="W125" i="141"/>
  <c r="I41" i="135"/>
  <c r="I36" i="135"/>
  <c r="I37" i="135"/>
  <c r="I38" i="135"/>
  <c r="I40" i="135"/>
  <c r="I39" i="135"/>
  <c r="I35" i="135"/>
  <c r="W131" i="112"/>
  <c r="W132" i="112"/>
  <c r="W133" i="112"/>
  <c r="W134" i="112"/>
  <c r="W135" i="112"/>
  <c r="W136" i="112"/>
  <c r="W137" i="112"/>
  <c r="W138" i="112"/>
  <c r="W139" i="112"/>
  <c r="W140" i="112"/>
  <c r="W141" i="112"/>
  <c r="W142" i="112"/>
  <c r="W143" i="112"/>
  <c r="W144" i="112"/>
  <c r="W145" i="112"/>
  <c r="W146" i="112"/>
  <c r="W147" i="112"/>
  <c r="W148" i="112"/>
  <c r="W149" i="112"/>
  <c r="W150" i="112"/>
  <c r="W151" i="112"/>
  <c r="W152" i="112"/>
  <c r="W153" i="112"/>
  <c r="W154" i="112"/>
  <c r="W155" i="112"/>
  <c r="W156" i="112"/>
  <c r="W157" i="112"/>
  <c r="W158" i="112"/>
  <c r="W159" i="112"/>
  <c r="W160" i="112"/>
  <c r="W161" i="112"/>
  <c r="W162" i="112"/>
  <c r="W163" i="112"/>
  <c r="W164" i="112"/>
  <c r="W165" i="112"/>
  <c r="W166" i="112"/>
  <c r="W167" i="112"/>
  <c r="W168" i="112"/>
  <c r="W169" i="112"/>
  <c r="W170" i="112"/>
  <c r="W171" i="112"/>
  <c r="W172" i="112"/>
  <c r="W173" i="112"/>
  <c r="W174" i="112"/>
  <c r="W175" i="112"/>
  <c r="W176" i="112"/>
  <c r="W177" i="112"/>
  <c r="W178" i="112"/>
  <c r="W179" i="112"/>
  <c r="W180" i="112"/>
  <c r="W181" i="112"/>
  <c r="W182" i="112"/>
  <c r="W183" i="112"/>
  <c r="W184" i="112"/>
  <c r="W185" i="112"/>
  <c r="W186" i="112"/>
  <c r="W187" i="112"/>
  <c r="W188" i="112"/>
  <c r="W189" i="112"/>
  <c r="W190" i="112"/>
  <c r="W191" i="112"/>
  <c r="W192" i="112"/>
  <c r="W193" i="112"/>
  <c r="W194" i="112"/>
  <c r="W195" i="112"/>
  <c r="W196" i="112"/>
  <c r="W197" i="112"/>
  <c r="W198" i="112"/>
  <c r="W199" i="112"/>
  <c r="W200" i="112"/>
  <c r="W201" i="112"/>
  <c r="W202" i="112"/>
  <c r="W203" i="112"/>
  <c r="W204" i="112"/>
  <c r="W205" i="112"/>
  <c r="W206" i="112"/>
  <c r="W207" i="112"/>
  <c r="W208" i="112"/>
  <c r="W209" i="112"/>
  <c r="W210" i="112"/>
  <c r="W211" i="112"/>
  <c r="W212" i="112"/>
  <c r="W213" i="112"/>
  <c r="W214" i="112"/>
  <c r="W215" i="112"/>
  <c r="W216" i="112"/>
  <c r="W217" i="112"/>
  <c r="W218" i="112"/>
  <c r="W219" i="112"/>
  <c r="W220" i="112"/>
  <c r="W221" i="112"/>
  <c r="W222" i="112"/>
  <c r="W223" i="112"/>
  <c r="W224" i="112"/>
  <c r="W225" i="112"/>
  <c r="W226" i="112"/>
  <c r="W227" i="112"/>
  <c r="W228" i="112"/>
  <c r="W229" i="112"/>
  <c r="W230" i="112"/>
  <c r="W231" i="112"/>
  <c r="W232" i="112"/>
  <c r="W233" i="112"/>
  <c r="W234" i="112"/>
  <c r="W235" i="112"/>
  <c r="W236" i="112"/>
  <c r="W237" i="112"/>
  <c r="W238" i="112"/>
  <c r="W239" i="112"/>
  <c r="W240" i="112"/>
  <c r="W241" i="112"/>
  <c r="W242" i="112"/>
  <c r="W243" i="112"/>
  <c r="W244" i="112"/>
  <c r="W245" i="112"/>
  <c r="W246" i="112"/>
  <c r="W247" i="112"/>
  <c r="I32" i="135"/>
  <c r="I27" i="135"/>
  <c r="I29" i="135"/>
  <c r="I30" i="135"/>
  <c r="I31" i="135"/>
  <c r="I28" i="135"/>
  <c r="W9" i="112"/>
  <c r="W10" i="112"/>
  <c r="W11" i="112"/>
  <c r="W12" i="112"/>
  <c r="W13" i="112"/>
  <c r="W14" i="112"/>
  <c r="W15" i="112"/>
  <c r="W16" i="112"/>
  <c r="W17" i="112"/>
  <c r="W18" i="112"/>
  <c r="W19" i="112"/>
  <c r="W20" i="112"/>
  <c r="W21" i="112"/>
  <c r="W22" i="112"/>
  <c r="W23" i="112"/>
  <c r="W24" i="112"/>
  <c r="W25" i="112"/>
  <c r="W26" i="112"/>
  <c r="W27" i="112"/>
  <c r="W28" i="112"/>
  <c r="W29" i="112"/>
  <c r="W30" i="112"/>
  <c r="W31" i="112"/>
  <c r="W32" i="112"/>
  <c r="W33" i="112"/>
  <c r="W34" i="112"/>
  <c r="W35" i="112"/>
  <c r="W36" i="112"/>
  <c r="W37" i="112"/>
  <c r="W38" i="112"/>
  <c r="W39" i="112"/>
  <c r="W40" i="112"/>
  <c r="W41" i="112"/>
  <c r="W42" i="112"/>
  <c r="W43" i="112"/>
  <c r="W44" i="112"/>
  <c r="W45" i="112"/>
  <c r="W46" i="112"/>
  <c r="W47" i="112"/>
  <c r="W48" i="112"/>
  <c r="W49" i="112"/>
  <c r="W50" i="112"/>
  <c r="W51" i="112"/>
  <c r="W52" i="112"/>
  <c r="W53" i="112"/>
  <c r="W54" i="112"/>
  <c r="W55" i="112"/>
  <c r="W56" i="112"/>
  <c r="W57" i="112"/>
  <c r="W58" i="112"/>
  <c r="W59" i="112"/>
  <c r="W60" i="112"/>
  <c r="W61" i="112"/>
  <c r="W62" i="112"/>
  <c r="W63" i="112"/>
  <c r="W64" i="112"/>
  <c r="W65" i="112"/>
  <c r="W66" i="112"/>
  <c r="W67" i="112"/>
  <c r="W68" i="112"/>
  <c r="I22" i="135"/>
  <c r="W69" i="112"/>
  <c r="W70" i="112"/>
  <c r="W71" i="112"/>
  <c r="W72" i="112"/>
  <c r="W73" i="112"/>
  <c r="W74" i="112"/>
  <c r="W75" i="112"/>
  <c r="W76" i="112"/>
  <c r="W77" i="112"/>
  <c r="W78" i="112"/>
  <c r="W79" i="112"/>
  <c r="W80" i="112"/>
  <c r="W81" i="112"/>
  <c r="W82" i="112"/>
  <c r="W83" i="112"/>
  <c r="W84" i="112"/>
  <c r="W85" i="112"/>
  <c r="W86" i="112"/>
  <c r="W87" i="112"/>
  <c r="W88" i="112"/>
  <c r="W89" i="112"/>
  <c r="W90" i="112"/>
  <c r="W91" i="112"/>
  <c r="W92" i="112"/>
  <c r="W93" i="112"/>
  <c r="W94" i="112"/>
  <c r="W95" i="112"/>
  <c r="W96" i="112"/>
  <c r="W97" i="112"/>
  <c r="W98" i="112"/>
  <c r="W99" i="112"/>
  <c r="W100" i="112"/>
  <c r="W101" i="112"/>
  <c r="W102" i="112"/>
  <c r="W103" i="112"/>
  <c r="W104" i="112"/>
  <c r="W105" i="112"/>
  <c r="W106" i="112"/>
  <c r="W107" i="112"/>
  <c r="W108" i="112"/>
  <c r="W109" i="112"/>
  <c r="W110" i="112"/>
  <c r="W111" i="112"/>
  <c r="W112" i="112"/>
  <c r="W113" i="112"/>
  <c r="W114" i="112"/>
  <c r="W115" i="112"/>
  <c r="W116" i="112"/>
  <c r="W117" i="112"/>
  <c r="W118" i="112"/>
  <c r="W119" i="112"/>
  <c r="W120" i="112"/>
  <c r="W121" i="112"/>
  <c r="W122" i="112"/>
  <c r="W123" i="112"/>
  <c r="W124" i="112"/>
  <c r="W125" i="112"/>
  <c r="I25" i="135"/>
  <c r="I24" i="135"/>
  <c r="I23" i="135"/>
  <c r="I21" i="135"/>
  <c r="I20" i="135"/>
  <c r="I19" i="135"/>
  <c r="W131" i="140"/>
  <c r="W132" i="140"/>
  <c r="W133" i="140"/>
  <c r="W134" i="140"/>
  <c r="W135" i="140"/>
  <c r="W136" i="140"/>
  <c r="W137" i="140"/>
  <c r="W138" i="140"/>
  <c r="W139" i="140"/>
  <c r="W140" i="140"/>
  <c r="W141" i="140"/>
  <c r="W142" i="140"/>
  <c r="W143" i="140"/>
  <c r="W144" i="140"/>
  <c r="W145" i="140"/>
  <c r="W146" i="140"/>
  <c r="W147" i="140"/>
  <c r="W148" i="140"/>
  <c r="W149" i="140"/>
  <c r="W150" i="140"/>
  <c r="W151" i="140"/>
  <c r="W152" i="140"/>
  <c r="W153" i="140"/>
  <c r="W154" i="140"/>
  <c r="W155" i="140"/>
  <c r="W156" i="140"/>
  <c r="W157" i="140"/>
  <c r="W158" i="140"/>
  <c r="W159" i="140"/>
  <c r="W160" i="140"/>
  <c r="W161" i="140"/>
  <c r="W162" i="140"/>
  <c r="W163" i="140"/>
  <c r="W164" i="140"/>
  <c r="W165" i="140"/>
  <c r="W166" i="140"/>
  <c r="W167" i="140"/>
  <c r="W168" i="140"/>
  <c r="W169" i="140"/>
  <c r="W170" i="140"/>
  <c r="W171" i="140"/>
  <c r="W172" i="140"/>
  <c r="W173" i="140"/>
  <c r="W174" i="140"/>
  <c r="W175" i="140"/>
  <c r="W176" i="140"/>
  <c r="W177" i="140"/>
  <c r="W178" i="140"/>
  <c r="W179" i="140"/>
  <c r="W180" i="140"/>
  <c r="W181" i="140"/>
  <c r="W182" i="140"/>
  <c r="W183" i="140"/>
  <c r="W184" i="140"/>
  <c r="W185" i="140"/>
  <c r="W186" i="140"/>
  <c r="W187" i="140"/>
  <c r="W188" i="140"/>
  <c r="W189" i="140"/>
  <c r="W190" i="140"/>
  <c r="W191" i="140"/>
  <c r="W192" i="140"/>
  <c r="W193" i="140"/>
  <c r="W194" i="140"/>
  <c r="W195" i="140"/>
  <c r="W196" i="140"/>
  <c r="W197" i="140"/>
  <c r="W198" i="140"/>
  <c r="W199" i="140"/>
  <c r="W200" i="140"/>
  <c r="W201" i="140"/>
  <c r="W202" i="140"/>
  <c r="W203" i="140"/>
  <c r="W204" i="140"/>
  <c r="W205" i="140"/>
  <c r="W206" i="140"/>
  <c r="W207" i="140"/>
  <c r="W208" i="140"/>
  <c r="W209" i="140"/>
  <c r="W210" i="140"/>
  <c r="W211" i="140"/>
  <c r="W212" i="140"/>
  <c r="W213" i="140"/>
  <c r="W214" i="140"/>
  <c r="W215" i="140"/>
  <c r="W216" i="140"/>
  <c r="W217" i="140"/>
  <c r="W218" i="140"/>
  <c r="W219" i="140"/>
  <c r="W220" i="140"/>
  <c r="W221" i="140"/>
  <c r="W222" i="140"/>
  <c r="W223" i="140"/>
  <c r="W224" i="140"/>
  <c r="W225" i="140"/>
  <c r="W226" i="140"/>
  <c r="W227" i="140"/>
  <c r="W228" i="140"/>
  <c r="W229" i="140"/>
  <c r="W230" i="140"/>
  <c r="W231" i="140"/>
  <c r="W232" i="140"/>
  <c r="W233" i="140"/>
  <c r="W234" i="140"/>
  <c r="W235" i="140"/>
  <c r="W236" i="140"/>
  <c r="W237" i="140"/>
  <c r="W238" i="140"/>
  <c r="W239" i="140"/>
  <c r="W240" i="140"/>
  <c r="W241" i="140"/>
  <c r="W242" i="140"/>
  <c r="W243" i="140"/>
  <c r="W244" i="140"/>
  <c r="W245" i="140"/>
  <c r="W246" i="140"/>
  <c r="W247" i="140"/>
  <c r="I16" i="135"/>
  <c r="I10" i="135"/>
  <c r="I11" i="135"/>
  <c r="I13" i="135"/>
  <c r="I14" i="135"/>
  <c r="I15" i="135"/>
  <c r="I12" i="135"/>
  <c r="W9" i="140"/>
  <c r="W10" i="140"/>
  <c r="W11" i="140"/>
  <c r="W12" i="140"/>
  <c r="W13" i="140"/>
  <c r="W14" i="140"/>
  <c r="W15" i="140"/>
  <c r="W16" i="140"/>
  <c r="W17" i="140"/>
  <c r="W18" i="140"/>
  <c r="W19" i="140"/>
  <c r="W20" i="140"/>
  <c r="W21" i="140"/>
  <c r="W22" i="140"/>
  <c r="W23" i="140"/>
  <c r="W24" i="140"/>
  <c r="W25" i="140"/>
  <c r="W26" i="140"/>
  <c r="W27" i="140"/>
  <c r="W28" i="140"/>
  <c r="W29" i="140"/>
  <c r="W30" i="140"/>
  <c r="W31" i="140"/>
  <c r="W32" i="140"/>
  <c r="W33" i="140"/>
  <c r="W34" i="140"/>
  <c r="W35" i="140"/>
  <c r="W36" i="140"/>
  <c r="W37" i="140"/>
  <c r="W38" i="140"/>
  <c r="W39" i="140"/>
  <c r="W40" i="140"/>
  <c r="W41" i="140"/>
  <c r="W42" i="140"/>
  <c r="W43" i="140"/>
  <c r="W44" i="140"/>
  <c r="W45" i="140"/>
  <c r="W46" i="140"/>
  <c r="W47" i="140"/>
  <c r="W48" i="140"/>
  <c r="W49" i="140"/>
  <c r="W50" i="140"/>
  <c r="W51" i="140"/>
  <c r="W52" i="140"/>
  <c r="W53" i="140"/>
  <c r="W54" i="140"/>
  <c r="W55" i="140"/>
  <c r="W56" i="140"/>
  <c r="W57" i="140"/>
  <c r="W58" i="140"/>
  <c r="W59" i="140"/>
  <c r="W60" i="140"/>
  <c r="W61" i="140"/>
  <c r="W62" i="140"/>
  <c r="W63" i="140"/>
  <c r="W64" i="140"/>
  <c r="W65" i="140"/>
  <c r="W66" i="140"/>
  <c r="W67" i="140"/>
  <c r="W68" i="140"/>
  <c r="W69" i="140"/>
  <c r="W70" i="140"/>
  <c r="W71" i="140"/>
  <c r="W72" i="140"/>
  <c r="W73" i="140"/>
  <c r="W74" i="140"/>
  <c r="W75" i="140"/>
  <c r="W76" i="140"/>
  <c r="W77" i="140"/>
  <c r="W78" i="140"/>
  <c r="W79" i="140"/>
  <c r="W80" i="140"/>
  <c r="W81" i="140"/>
  <c r="W82" i="140"/>
  <c r="W83" i="140"/>
  <c r="W84" i="140"/>
  <c r="W85" i="140"/>
  <c r="W86" i="140"/>
  <c r="W87" i="140"/>
  <c r="W88" i="140"/>
  <c r="W89" i="140"/>
  <c r="W90" i="140"/>
  <c r="W91" i="140"/>
  <c r="W92" i="140"/>
  <c r="W93" i="140"/>
  <c r="W94" i="140"/>
  <c r="W95" i="140"/>
  <c r="W96" i="140"/>
  <c r="W97" i="140"/>
  <c r="W98" i="140"/>
  <c r="W99" i="140"/>
  <c r="W100" i="140"/>
  <c r="W101" i="140"/>
  <c r="W102" i="140"/>
  <c r="W103" i="140"/>
  <c r="W104" i="140"/>
  <c r="W105" i="140"/>
  <c r="W106" i="140"/>
  <c r="W107" i="140"/>
  <c r="W108" i="140"/>
  <c r="W109" i="140"/>
  <c r="W110" i="140"/>
  <c r="W111" i="140"/>
  <c r="W112" i="140"/>
  <c r="W113" i="140"/>
  <c r="W114" i="140"/>
  <c r="W115" i="140"/>
  <c r="W116" i="140"/>
  <c r="W117" i="140"/>
  <c r="W118" i="140"/>
  <c r="W119" i="140"/>
  <c r="W120" i="140"/>
  <c r="W121" i="140"/>
  <c r="W122" i="140"/>
  <c r="W123" i="140"/>
  <c r="W124" i="140"/>
  <c r="W125" i="140"/>
  <c r="I9" i="135"/>
  <c r="I4" i="135"/>
  <c r="I5" i="135"/>
  <c r="I6" i="135"/>
  <c r="I8" i="135"/>
  <c r="I7" i="135"/>
  <c r="I3" i="135"/>
  <c r="V247" i="119"/>
  <c r="H64" i="135"/>
  <c r="H63" i="135"/>
  <c r="H62" i="135"/>
  <c r="H61" i="135"/>
  <c r="H60" i="135"/>
  <c r="H59" i="135"/>
  <c r="H58" i="135"/>
  <c r="V125" i="119"/>
  <c r="H57" i="135"/>
  <c r="H56" i="135"/>
  <c r="H55" i="135"/>
  <c r="H54" i="135"/>
  <c r="H53" i="135"/>
  <c r="H52" i="135"/>
  <c r="H51" i="135"/>
  <c r="V247" i="141"/>
  <c r="H48" i="135"/>
  <c r="H47" i="135"/>
  <c r="H46" i="135"/>
  <c r="H45" i="135"/>
  <c r="H44" i="135"/>
  <c r="H43" i="135"/>
  <c r="H42" i="135"/>
  <c r="V125" i="141"/>
  <c r="H41" i="135"/>
  <c r="H40" i="135"/>
  <c r="H39" i="135"/>
  <c r="H38" i="135"/>
  <c r="H37" i="135"/>
  <c r="H36" i="135"/>
  <c r="H35" i="135"/>
  <c r="V247" i="112"/>
  <c r="H32" i="135"/>
  <c r="H31" i="135"/>
  <c r="H30" i="135"/>
  <c r="H29" i="135"/>
  <c r="H28" i="135"/>
  <c r="H27" i="135"/>
  <c r="H26" i="135"/>
  <c r="V125" i="112"/>
  <c r="H25" i="135"/>
  <c r="H24" i="135"/>
  <c r="H23" i="135"/>
  <c r="H22" i="135"/>
  <c r="H21" i="135"/>
  <c r="H20" i="135"/>
  <c r="H19" i="135"/>
  <c r="V247" i="140"/>
  <c r="H16" i="135"/>
  <c r="H15" i="135"/>
  <c r="H14" i="135"/>
  <c r="H13" i="135"/>
  <c r="H12" i="135"/>
  <c r="H11" i="135"/>
  <c r="H10" i="135"/>
  <c r="V125" i="140"/>
  <c r="H9" i="135"/>
  <c r="H8" i="135"/>
  <c r="H7" i="135"/>
  <c r="H6" i="135"/>
  <c r="H5" i="135"/>
  <c r="H4" i="135"/>
  <c r="H3" i="135"/>
  <c r="U203" i="141"/>
  <c r="U204" i="141"/>
  <c r="U205" i="141"/>
  <c r="U206" i="141"/>
  <c r="U207" i="141"/>
  <c r="U208" i="141"/>
  <c r="U209" i="141"/>
  <c r="U210" i="141"/>
  <c r="U211" i="141"/>
  <c r="U212" i="141"/>
  <c r="U213" i="141"/>
  <c r="U214" i="141"/>
  <c r="U215" i="141"/>
  <c r="U216" i="141"/>
  <c r="U217" i="141"/>
  <c r="U218" i="141"/>
  <c r="U219" i="141"/>
  <c r="U220" i="141"/>
  <c r="U221" i="141"/>
  <c r="U222" i="141"/>
  <c r="U223" i="141"/>
  <c r="U224" i="141"/>
  <c r="U225" i="141"/>
  <c r="U226" i="141"/>
  <c r="U227" i="141"/>
  <c r="U228" i="141"/>
  <c r="U229" i="141"/>
  <c r="U230" i="141"/>
  <c r="U231" i="141"/>
  <c r="U232" i="141"/>
  <c r="U233" i="141"/>
  <c r="U234" i="141"/>
  <c r="U235" i="141"/>
  <c r="U236" i="141"/>
  <c r="U237" i="141"/>
  <c r="U238" i="141"/>
  <c r="U239" i="141"/>
  <c r="U240" i="141"/>
  <c r="U241" i="141"/>
  <c r="U242" i="141"/>
  <c r="U243" i="141"/>
  <c r="U244" i="141"/>
  <c r="U245" i="141"/>
  <c r="U246" i="141"/>
  <c r="G47" i="135"/>
  <c r="O203" i="141"/>
  <c r="O204" i="141"/>
  <c r="O205" i="141"/>
  <c r="O206" i="141"/>
  <c r="H203" i="141"/>
  <c r="H204" i="141"/>
  <c r="H205" i="141"/>
  <c r="H206" i="141"/>
  <c r="O207" i="141"/>
  <c r="O208" i="141"/>
  <c r="O209" i="141"/>
  <c r="O210" i="141"/>
  <c r="H207" i="141"/>
  <c r="H208" i="141"/>
  <c r="H209" i="141"/>
  <c r="H210" i="141"/>
  <c r="O211" i="141"/>
  <c r="O212" i="141"/>
  <c r="O213" i="141"/>
  <c r="O214" i="141"/>
  <c r="H211" i="141"/>
  <c r="H212" i="141"/>
  <c r="H213" i="141"/>
  <c r="H214" i="141"/>
  <c r="O215" i="141"/>
  <c r="O216" i="141"/>
  <c r="O217" i="141"/>
  <c r="O218" i="141"/>
  <c r="H215" i="141"/>
  <c r="H216" i="141"/>
  <c r="H217" i="141"/>
  <c r="H218" i="141"/>
  <c r="O219" i="141"/>
  <c r="O220" i="141"/>
  <c r="O221" i="141"/>
  <c r="O222" i="141"/>
  <c r="H219" i="141"/>
  <c r="H220" i="141"/>
  <c r="H221" i="141"/>
  <c r="H222" i="141"/>
  <c r="O223" i="141"/>
  <c r="O224" i="141"/>
  <c r="O225" i="141"/>
  <c r="O226" i="141"/>
  <c r="H223" i="141"/>
  <c r="H224" i="141"/>
  <c r="H225" i="141"/>
  <c r="H226" i="141"/>
  <c r="O227" i="141"/>
  <c r="O228" i="141"/>
  <c r="O229" i="141"/>
  <c r="O230" i="141"/>
  <c r="H227" i="141"/>
  <c r="H228" i="141"/>
  <c r="H229" i="141"/>
  <c r="H230" i="141"/>
  <c r="O231" i="141"/>
  <c r="O232" i="141"/>
  <c r="O233" i="141"/>
  <c r="O234" i="141"/>
  <c r="H231" i="141"/>
  <c r="H232" i="141"/>
  <c r="H233" i="141"/>
  <c r="H234" i="141"/>
  <c r="O235" i="141"/>
  <c r="O236" i="141"/>
  <c r="O237" i="141"/>
  <c r="O238" i="141"/>
  <c r="H235" i="141"/>
  <c r="H236" i="141"/>
  <c r="H237" i="141"/>
  <c r="H238" i="141"/>
  <c r="O239" i="141"/>
  <c r="O240" i="141"/>
  <c r="O241" i="141"/>
  <c r="O242" i="141"/>
  <c r="H239" i="141"/>
  <c r="H240" i="141"/>
  <c r="H241" i="141"/>
  <c r="H242" i="141"/>
  <c r="O243" i="141"/>
  <c r="O244" i="141"/>
  <c r="O245" i="141"/>
  <c r="O246" i="141"/>
  <c r="H243" i="141"/>
  <c r="H244" i="141"/>
  <c r="H245" i="141"/>
  <c r="H246" i="141"/>
  <c r="U203" i="119"/>
  <c r="U204" i="119"/>
  <c r="U205" i="119"/>
  <c r="U206" i="119"/>
  <c r="U207" i="119"/>
  <c r="U208" i="119"/>
  <c r="U209" i="119"/>
  <c r="U210" i="119"/>
  <c r="U211" i="119"/>
  <c r="U212" i="119"/>
  <c r="U213" i="119"/>
  <c r="U214" i="119"/>
  <c r="U215" i="119"/>
  <c r="U216" i="119"/>
  <c r="U217" i="119"/>
  <c r="U218" i="119"/>
  <c r="U219" i="119"/>
  <c r="U220" i="119"/>
  <c r="U221" i="119"/>
  <c r="U222" i="119"/>
  <c r="U223" i="119"/>
  <c r="U224" i="119"/>
  <c r="U225" i="119"/>
  <c r="U226" i="119"/>
  <c r="U227" i="119"/>
  <c r="U228" i="119"/>
  <c r="U229" i="119"/>
  <c r="U230" i="119"/>
  <c r="U231" i="119"/>
  <c r="U232" i="119"/>
  <c r="U233" i="119"/>
  <c r="U234" i="119"/>
  <c r="U235" i="119"/>
  <c r="U236" i="119"/>
  <c r="U237" i="119"/>
  <c r="U238" i="119"/>
  <c r="U239" i="119"/>
  <c r="U240" i="119"/>
  <c r="U241" i="119"/>
  <c r="U242" i="119"/>
  <c r="U243" i="119"/>
  <c r="U244" i="119"/>
  <c r="U245" i="119"/>
  <c r="U246" i="119"/>
  <c r="G63" i="135"/>
  <c r="O203" i="119"/>
  <c r="O204" i="119"/>
  <c r="O205" i="119"/>
  <c r="O206" i="119"/>
  <c r="H203" i="119"/>
  <c r="H204" i="119"/>
  <c r="H205" i="119"/>
  <c r="H206" i="119"/>
  <c r="O207" i="119"/>
  <c r="O208" i="119"/>
  <c r="O209" i="119"/>
  <c r="O210" i="119"/>
  <c r="H207" i="119"/>
  <c r="H208" i="119"/>
  <c r="H209" i="119"/>
  <c r="H210" i="119"/>
  <c r="O211" i="119"/>
  <c r="O212" i="119"/>
  <c r="O213" i="119"/>
  <c r="O214" i="119"/>
  <c r="H211" i="119"/>
  <c r="H212" i="119"/>
  <c r="H213" i="119"/>
  <c r="H214" i="119"/>
  <c r="O215" i="119"/>
  <c r="O216" i="119"/>
  <c r="O217" i="119"/>
  <c r="O218" i="119"/>
  <c r="H215" i="119"/>
  <c r="H216" i="119"/>
  <c r="H217" i="119"/>
  <c r="H218" i="119"/>
  <c r="O219" i="119"/>
  <c r="O220" i="119"/>
  <c r="O221" i="119"/>
  <c r="O222" i="119"/>
  <c r="H219" i="119"/>
  <c r="H220" i="119"/>
  <c r="H221" i="119"/>
  <c r="H222" i="119"/>
  <c r="O223" i="119"/>
  <c r="O224" i="119"/>
  <c r="O225" i="119"/>
  <c r="O226" i="119"/>
  <c r="H223" i="119"/>
  <c r="H224" i="119"/>
  <c r="H225" i="119"/>
  <c r="H226" i="119"/>
  <c r="O227" i="119"/>
  <c r="O228" i="119"/>
  <c r="O229" i="119"/>
  <c r="O230" i="119"/>
  <c r="H227" i="119"/>
  <c r="H228" i="119"/>
  <c r="H229" i="119"/>
  <c r="H230" i="119"/>
  <c r="O231" i="119"/>
  <c r="O232" i="119"/>
  <c r="O233" i="119"/>
  <c r="O234" i="119"/>
  <c r="H231" i="119"/>
  <c r="H232" i="119"/>
  <c r="H233" i="119"/>
  <c r="H234" i="119"/>
  <c r="O235" i="119"/>
  <c r="O236" i="119"/>
  <c r="O237" i="119"/>
  <c r="O238" i="119"/>
  <c r="H235" i="119"/>
  <c r="H236" i="119"/>
  <c r="H237" i="119"/>
  <c r="H238" i="119"/>
  <c r="O239" i="119"/>
  <c r="O240" i="119"/>
  <c r="O241" i="119"/>
  <c r="O242" i="119"/>
  <c r="H239" i="119"/>
  <c r="H240" i="119"/>
  <c r="H241" i="119"/>
  <c r="H242" i="119"/>
  <c r="O243" i="119"/>
  <c r="O244" i="119"/>
  <c r="O245" i="119"/>
  <c r="O246" i="119"/>
  <c r="H243" i="119"/>
  <c r="H244" i="119"/>
  <c r="H245" i="119"/>
  <c r="H246" i="119"/>
  <c r="U81" i="119"/>
  <c r="U82" i="119"/>
  <c r="U83" i="119"/>
  <c r="U84" i="119"/>
  <c r="U85" i="119"/>
  <c r="U86" i="119"/>
  <c r="U87" i="119"/>
  <c r="U88" i="119"/>
  <c r="U89" i="119"/>
  <c r="U90" i="119"/>
  <c r="U91" i="119"/>
  <c r="U92" i="119"/>
  <c r="U93" i="119"/>
  <c r="U94" i="119"/>
  <c r="U95" i="119"/>
  <c r="U96" i="119"/>
  <c r="U97" i="119"/>
  <c r="U98" i="119"/>
  <c r="U99" i="119"/>
  <c r="U100" i="119"/>
  <c r="U101" i="119"/>
  <c r="U102" i="119"/>
  <c r="U103" i="119"/>
  <c r="U104" i="119"/>
  <c r="U105" i="119"/>
  <c r="U106" i="119"/>
  <c r="U107" i="119"/>
  <c r="U108" i="119"/>
  <c r="U109" i="119"/>
  <c r="U110" i="119"/>
  <c r="U111" i="119"/>
  <c r="U112" i="119"/>
  <c r="U113" i="119"/>
  <c r="U114" i="119"/>
  <c r="U115" i="119"/>
  <c r="U116" i="119"/>
  <c r="U117" i="119"/>
  <c r="U118" i="119"/>
  <c r="U119" i="119"/>
  <c r="U120" i="119"/>
  <c r="U121" i="119"/>
  <c r="U122" i="119"/>
  <c r="U123" i="119"/>
  <c r="U124" i="119"/>
  <c r="G56" i="135"/>
  <c r="O81" i="119"/>
  <c r="O82" i="119"/>
  <c r="O83" i="119"/>
  <c r="O84" i="119"/>
  <c r="H81" i="119"/>
  <c r="H82" i="119"/>
  <c r="H83" i="119"/>
  <c r="H84" i="119"/>
  <c r="O85" i="119"/>
  <c r="O86" i="119"/>
  <c r="O87" i="119"/>
  <c r="O88" i="119"/>
  <c r="H85" i="119"/>
  <c r="H86" i="119"/>
  <c r="H87" i="119"/>
  <c r="H88" i="119"/>
  <c r="O89" i="119"/>
  <c r="O90" i="119"/>
  <c r="O91" i="119"/>
  <c r="O92" i="119"/>
  <c r="H89" i="119"/>
  <c r="H90" i="119"/>
  <c r="H91" i="119"/>
  <c r="H92" i="119"/>
  <c r="O93" i="119"/>
  <c r="O94" i="119"/>
  <c r="O95" i="119"/>
  <c r="O96" i="119"/>
  <c r="H93" i="119"/>
  <c r="H94" i="119"/>
  <c r="H95" i="119"/>
  <c r="H96" i="119"/>
  <c r="O97" i="119"/>
  <c r="O98" i="119"/>
  <c r="O99" i="119"/>
  <c r="O100" i="119"/>
  <c r="H97" i="119"/>
  <c r="H98" i="119"/>
  <c r="H99" i="119"/>
  <c r="H100" i="119"/>
  <c r="O101" i="119"/>
  <c r="O102" i="119"/>
  <c r="O103" i="119"/>
  <c r="O104" i="119"/>
  <c r="H101" i="119"/>
  <c r="H102" i="119"/>
  <c r="H103" i="119"/>
  <c r="H104" i="119"/>
  <c r="O105" i="119"/>
  <c r="O106" i="119"/>
  <c r="O107" i="119"/>
  <c r="O108" i="119"/>
  <c r="H105" i="119"/>
  <c r="H106" i="119"/>
  <c r="H107" i="119"/>
  <c r="H108" i="119"/>
  <c r="O109" i="119"/>
  <c r="O110" i="119"/>
  <c r="O111" i="119"/>
  <c r="O112" i="119"/>
  <c r="H109" i="119"/>
  <c r="H110" i="119"/>
  <c r="H111" i="119"/>
  <c r="H112" i="119"/>
  <c r="O113" i="119"/>
  <c r="O114" i="119"/>
  <c r="O115" i="119"/>
  <c r="O116" i="119"/>
  <c r="H113" i="119"/>
  <c r="H114" i="119"/>
  <c r="H115" i="119"/>
  <c r="H116" i="119"/>
  <c r="O117" i="119"/>
  <c r="O118" i="119"/>
  <c r="O119" i="119"/>
  <c r="O120" i="119"/>
  <c r="H117" i="119"/>
  <c r="H118" i="119"/>
  <c r="H119" i="119"/>
  <c r="H120" i="119"/>
  <c r="O121" i="119"/>
  <c r="O122" i="119"/>
  <c r="O123" i="119"/>
  <c r="O124" i="119"/>
  <c r="H121" i="119"/>
  <c r="H122" i="119"/>
  <c r="H123" i="119"/>
  <c r="H124" i="119"/>
  <c r="U81" i="141"/>
  <c r="U82" i="141"/>
  <c r="U83" i="141"/>
  <c r="U84" i="141"/>
  <c r="U85" i="141"/>
  <c r="U86" i="141"/>
  <c r="U87" i="141"/>
  <c r="U88" i="141"/>
  <c r="U89" i="141"/>
  <c r="U90" i="141"/>
  <c r="U91" i="141"/>
  <c r="U92" i="141"/>
  <c r="U93" i="141"/>
  <c r="U94" i="141"/>
  <c r="U95" i="141"/>
  <c r="U96" i="141"/>
  <c r="U97" i="141"/>
  <c r="U98" i="141"/>
  <c r="U99" i="141"/>
  <c r="U100" i="141"/>
  <c r="U101" i="141"/>
  <c r="U102" i="141"/>
  <c r="U103" i="141"/>
  <c r="U104" i="141"/>
  <c r="U105" i="141"/>
  <c r="U106" i="141"/>
  <c r="U107" i="141"/>
  <c r="U108" i="141"/>
  <c r="U109" i="141"/>
  <c r="U110" i="141"/>
  <c r="U111" i="141"/>
  <c r="U112" i="141"/>
  <c r="U113" i="141"/>
  <c r="U114" i="141"/>
  <c r="U115" i="141"/>
  <c r="U116" i="141"/>
  <c r="U117" i="141"/>
  <c r="U118" i="141"/>
  <c r="U119" i="141"/>
  <c r="U120" i="141"/>
  <c r="U121" i="141"/>
  <c r="U122" i="141"/>
  <c r="U123" i="141"/>
  <c r="U124" i="141"/>
  <c r="G40" i="135"/>
  <c r="O81" i="141"/>
  <c r="O82" i="141"/>
  <c r="O83" i="141"/>
  <c r="O84" i="141"/>
  <c r="H81" i="141"/>
  <c r="H82" i="141"/>
  <c r="H83" i="141"/>
  <c r="H84" i="141"/>
  <c r="O85" i="141"/>
  <c r="O86" i="141"/>
  <c r="O87" i="141"/>
  <c r="O88" i="141"/>
  <c r="H85" i="141"/>
  <c r="H86" i="141"/>
  <c r="H87" i="141"/>
  <c r="H88" i="141"/>
  <c r="O89" i="141"/>
  <c r="O90" i="141"/>
  <c r="O91" i="141"/>
  <c r="O92" i="141"/>
  <c r="H89" i="141"/>
  <c r="H90" i="141"/>
  <c r="H91" i="141"/>
  <c r="H92" i="141"/>
  <c r="O93" i="141"/>
  <c r="O94" i="141"/>
  <c r="O95" i="141"/>
  <c r="O96" i="141"/>
  <c r="H93" i="141"/>
  <c r="H94" i="141"/>
  <c r="H95" i="141"/>
  <c r="H96" i="141"/>
  <c r="O97" i="141"/>
  <c r="O98" i="141"/>
  <c r="O99" i="141"/>
  <c r="O100" i="141"/>
  <c r="H97" i="141"/>
  <c r="H98" i="141"/>
  <c r="H99" i="141"/>
  <c r="H100" i="141"/>
  <c r="O101" i="141"/>
  <c r="O102" i="141"/>
  <c r="O103" i="141"/>
  <c r="O104" i="141"/>
  <c r="H101" i="141"/>
  <c r="H102" i="141"/>
  <c r="H103" i="141"/>
  <c r="H104" i="141"/>
  <c r="O105" i="141"/>
  <c r="O106" i="141"/>
  <c r="O107" i="141"/>
  <c r="O108" i="141"/>
  <c r="H105" i="141"/>
  <c r="H106" i="141"/>
  <c r="H107" i="141"/>
  <c r="H108" i="141"/>
  <c r="O109" i="141"/>
  <c r="O110" i="141"/>
  <c r="O111" i="141"/>
  <c r="O112" i="141"/>
  <c r="H109" i="141"/>
  <c r="H110" i="141"/>
  <c r="H111" i="141"/>
  <c r="H112" i="141"/>
  <c r="O113" i="141"/>
  <c r="O114" i="141"/>
  <c r="O115" i="141"/>
  <c r="O116" i="141"/>
  <c r="H113" i="141"/>
  <c r="H114" i="141"/>
  <c r="H115" i="141"/>
  <c r="H116" i="141"/>
  <c r="O117" i="141"/>
  <c r="O118" i="141"/>
  <c r="O119" i="141"/>
  <c r="O120" i="141"/>
  <c r="H117" i="141"/>
  <c r="H118" i="141"/>
  <c r="H119" i="141"/>
  <c r="H120" i="141"/>
  <c r="O121" i="141"/>
  <c r="O122" i="141"/>
  <c r="O123" i="141"/>
  <c r="O124" i="141"/>
  <c r="H121" i="141"/>
  <c r="H122" i="141"/>
  <c r="H123" i="141"/>
  <c r="H124" i="141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31" i="135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O231" i="112"/>
  <c r="O232" i="112"/>
  <c r="O233" i="112"/>
  <c r="O234" i="112"/>
  <c r="H231" i="112"/>
  <c r="H232" i="112"/>
  <c r="H233" i="112"/>
  <c r="H234" i="112"/>
  <c r="O235" i="112"/>
  <c r="O236" i="112"/>
  <c r="O237" i="112"/>
  <c r="O238" i="112"/>
  <c r="H235" i="112"/>
  <c r="H236" i="112"/>
  <c r="H237" i="112"/>
  <c r="H238" i="112"/>
  <c r="O239" i="112"/>
  <c r="O240" i="112"/>
  <c r="O241" i="112"/>
  <c r="O242" i="112"/>
  <c r="H239" i="112"/>
  <c r="H240" i="112"/>
  <c r="H241" i="112"/>
  <c r="H242" i="112"/>
  <c r="O243" i="112"/>
  <c r="O244" i="112"/>
  <c r="O245" i="112"/>
  <c r="O246" i="112"/>
  <c r="H243" i="112"/>
  <c r="H244" i="112"/>
  <c r="H245" i="112"/>
  <c r="H246" i="112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24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U203" i="140"/>
  <c r="U204" i="140"/>
  <c r="U205" i="140"/>
  <c r="U206" i="140"/>
  <c r="U207" i="140"/>
  <c r="U208" i="140"/>
  <c r="U209" i="140"/>
  <c r="U210" i="140"/>
  <c r="U211" i="140"/>
  <c r="U212" i="140"/>
  <c r="U213" i="140"/>
  <c r="U214" i="140"/>
  <c r="U215" i="140"/>
  <c r="U216" i="140"/>
  <c r="U217" i="140"/>
  <c r="U218" i="140"/>
  <c r="U219" i="140"/>
  <c r="U220" i="140"/>
  <c r="U221" i="140"/>
  <c r="U222" i="140"/>
  <c r="U223" i="140"/>
  <c r="U224" i="140"/>
  <c r="U225" i="140"/>
  <c r="U226" i="140"/>
  <c r="U227" i="140"/>
  <c r="U228" i="140"/>
  <c r="U229" i="140"/>
  <c r="U230" i="140"/>
  <c r="U231" i="140"/>
  <c r="U232" i="140"/>
  <c r="U233" i="140"/>
  <c r="U234" i="140"/>
  <c r="U235" i="140"/>
  <c r="U236" i="140"/>
  <c r="U237" i="140"/>
  <c r="U238" i="140"/>
  <c r="U239" i="140"/>
  <c r="U240" i="140"/>
  <c r="U241" i="140"/>
  <c r="U242" i="140"/>
  <c r="U243" i="140"/>
  <c r="U244" i="140"/>
  <c r="U245" i="140"/>
  <c r="U246" i="140"/>
  <c r="G15" i="135"/>
  <c r="H203" i="140"/>
  <c r="H204" i="140"/>
  <c r="H205" i="140"/>
  <c r="H206" i="140"/>
  <c r="H207" i="140"/>
  <c r="H208" i="140"/>
  <c r="H209" i="140"/>
  <c r="H210" i="140"/>
  <c r="H211" i="140"/>
  <c r="H212" i="140"/>
  <c r="H213" i="140"/>
  <c r="H214" i="140"/>
  <c r="H215" i="140"/>
  <c r="H216" i="140"/>
  <c r="H217" i="140"/>
  <c r="H218" i="140"/>
  <c r="H219" i="140"/>
  <c r="H220" i="140"/>
  <c r="H221" i="140"/>
  <c r="H222" i="140"/>
  <c r="H223" i="140"/>
  <c r="H224" i="140"/>
  <c r="H225" i="140"/>
  <c r="H226" i="140"/>
  <c r="H227" i="140"/>
  <c r="H228" i="140"/>
  <c r="H229" i="140"/>
  <c r="H230" i="140"/>
  <c r="H231" i="140"/>
  <c r="H232" i="140"/>
  <c r="H233" i="140"/>
  <c r="H234" i="140"/>
  <c r="H235" i="140"/>
  <c r="H236" i="140"/>
  <c r="H237" i="140"/>
  <c r="H238" i="140"/>
  <c r="H239" i="140"/>
  <c r="H240" i="140"/>
  <c r="H241" i="140"/>
  <c r="H242" i="140"/>
  <c r="H243" i="140"/>
  <c r="H244" i="140"/>
  <c r="H245" i="140"/>
  <c r="H246" i="140"/>
  <c r="U81" i="140"/>
  <c r="U82" i="140"/>
  <c r="U83" i="140"/>
  <c r="U84" i="140"/>
  <c r="U85" i="140"/>
  <c r="U86" i="140"/>
  <c r="U87" i="140"/>
  <c r="U88" i="140"/>
  <c r="U89" i="140"/>
  <c r="U90" i="140"/>
  <c r="U91" i="140"/>
  <c r="U92" i="140"/>
  <c r="U93" i="140"/>
  <c r="U94" i="140"/>
  <c r="U95" i="140"/>
  <c r="U96" i="140"/>
  <c r="U97" i="140"/>
  <c r="U98" i="140"/>
  <c r="U99" i="140"/>
  <c r="U100" i="140"/>
  <c r="U101" i="140"/>
  <c r="U102" i="140"/>
  <c r="U103" i="140"/>
  <c r="U104" i="140"/>
  <c r="U105" i="140"/>
  <c r="U106" i="140"/>
  <c r="U107" i="140"/>
  <c r="U108" i="140"/>
  <c r="U109" i="140"/>
  <c r="U110" i="140"/>
  <c r="U111" i="140"/>
  <c r="U112" i="140"/>
  <c r="U113" i="140"/>
  <c r="U114" i="140"/>
  <c r="U115" i="140"/>
  <c r="U116" i="140"/>
  <c r="U117" i="140"/>
  <c r="U118" i="140"/>
  <c r="U119" i="140"/>
  <c r="U120" i="140"/>
  <c r="U121" i="140"/>
  <c r="U122" i="140"/>
  <c r="U123" i="140"/>
  <c r="U124" i="140"/>
  <c r="G8" i="135"/>
  <c r="H81" i="140"/>
  <c r="H82" i="140"/>
  <c r="H83" i="140"/>
  <c r="H84" i="140"/>
  <c r="H85" i="140"/>
  <c r="H86" i="140"/>
  <c r="H87" i="140"/>
  <c r="H88" i="140"/>
  <c r="H89" i="140"/>
  <c r="H90" i="140"/>
  <c r="H91" i="140"/>
  <c r="H92" i="140"/>
  <c r="H93" i="140"/>
  <c r="H94" i="140"/>
  <c r="H95" i="140"/>
  <c r="H96" i="140"/>
  <c r="H97" i="140"/>
  <c r="H98" i="140"/>
  <c r="H99" i="140"/>
  <c r="H100" i="140"/>
  <c r="H101" i="140"/>
  <c r="H102" i="140"/>
  <c r="H103" i="140"/>
  <c r="H104" i="140"/>
  <c r="H105" i="140"/>
  <c r="H106" i="140"/>
  <c r="H107" i="140"/>
  <c r="H108" i="140"/>
  <c r="H109" i="140"/>
  <c r="H110" i="140"/>
  <c r="H111" i="140"/>
  <c r="H112" i="140"/>
  <c r="H113" i="140"/>
  <c r="H114" i="140"/>
  <c r="H115" i="140"/>
  <c r="H116" i="140"/>
  <c r="H117" i="140"/>
  <c r="H118" i="140"/>
  <c r="H119" i="140"/>
  <c r="H120" i="140"/>
  <c r="H121" i="140"/>
  <c r="H122" i="140"/>
  <c r="H123" i="140"/>
  <c r="H124" i="140"/>
  <c r="U131" i="141"/>
  <c r="U132" i="141"/>
  <c r="U133" i="141"/>
  <c r="U134" i="141"/>
  <c r="U135" i="141"/>
  <c r="U136" i="141"/>
  <c r="U137" i="141"/>
  <c r="U138" i="141"/>
  <c r="U139" i="141"/>
  <c r="U140" i="141"/>
  <c r="U141" i="141"/>
  <c r="U142" i="141"/>
  <c r="U143" i="141"/>
  <c r="U144" i="141"/>
  <c r="U145" i="141"/>
  <c r="U146" i="141"/>
  <c r="U147" i="141"/>
  <c r="U148" i="141"/>
  <c r="U149" i="141"/>
  <c r="U150" i="141"/>
  <c r="U151" i="141"/>
  <c r="U152" i="141"/>
  <c r="U153" i="141"/>
  <c r="U154" i="141"/>
  <c r="U155" i="141"/>
  <c r="U156" i="141"/>
  <c r="U157" i="141"/>
  <c r="U158" i="141"/>
  <c r="U159" i="141"/>
  <c r="U160" i="141"/>
  <c r="U161" i="141"/>
  <c r="U162" i="141"/>
  <c r="U163" i="141"/>
  <c r="U164" i="141"/>
  <c r="U165" i="141"/>
  <c r="U166" i="141"/>
  <c r="U167" i="141"/>
  <c r="U168" i="141"/>
  <c r="U169" i="141"/>
  <c r="U170" i="141"/>
  <c r="U171" i="141"/>
  <c r="U172" i="141"/>
  <c r="U173" i="141"/>
  <c r="U174" i="141"/>
  <c r="U175" i="141"/>
  <c r="U176" i="141"/>
  <c r="U177" i="141"/>
  <c r="U178" i="141"/>
  <c r="U179" i="141"/>
  <c r="U180" i="141"/>
  <c r="U181" i="141"/>
  <c r="U182" i="141"/>
  <c r="U183" i="141"/>
  <c r="U184" i="141"/>
  <c r="U185" i="141"/>
  <c r="U186" i="141"/>
  <c r="U187" i="141"/>
  <c r="U188" i="141"/>
  <c r="U189" i="141"/>
  <c r="U190" i="141"/>
  <c r="U191" i="141"/>
  <c r="U192" i="141"/>
  <c r="U193" i="141"/>
  <c r="U194" i="141"/>
  <c r="U195" i="141"/>
  <c r="U196" i="141"/>
  <c r="U197" i="141"/>
  <c r="U198" i="141"/>
  <c r="U199" i="141"/>
  <c r="U200" i="141"/>
  <c r="U201" i="141"/>
  <c r="U202" i="141"/>
  <c r="U247" i="141"/>
  <c r="G48" i="135"/>
  <c r="G43" i="135"/>
  <c r="G44" i="135"/>
  <c r="G46" i="135"/>
  <c r="G45" i="135"/>
  <c r="U9" i="141"/>
  <c r="U10" i="141"/>
  <c r="U11" i="141"/>
  <c r="U12" i="141"/>
  <c r="U13" i="141"/>
  <c r="U14" i="141"/>
  <c r="U15" i="141"/>
  <c r="U16" i="141"/>
  <c r="U17" i="141"/>
  <c r="U18" i="141"/>
  <c r="U19" i="141"/>
  <c r="U20" i="141"/>
  <c r="U21" i="141"/>
  <c r="U22" i="141"/>
  <c r="U23" i="141"/>
  <c r="U24" i="141"/>
  <c r="U25" i="141"/>
  <c r="U26" i="141"/>
  <c r="U27" i="141"/>
  <c r="U28" i="141"/>
  <c r="U29" i="141"/>
  <c r="U30" i="141"/>
  <c r="U31" i="141"/>
  <c r="U32" i="141"/>
  <c r="U33" i="141"/>
  <c r="U34" i="141"/>
  <c r="U35" i="141"/>
  <c r="U36" i="141"/>
  <c r="U37" i="141"/>
  <c r="U38" i="141"/>
  <c r="U39" i="141"/>
  <c r="U40" i="141"/>
  <c r="U41" i="141"/>
  <c r="U42" i="141"/>
  <c r="U43" i="141"/>
  <c r="U44" i="141"/>
  <c r="U45" i="141"/>
  <c r="U46" i="141"/>
  <c r="U47" i="141"/>
  <c r="U48" i="141"/>
  <c r="U49" i="141"/>
  <c r="U50" i="141"/>
  <c r="U51" i="141"/>
  <c r="U52" i="141"/>
  <c r="U53" i="141"/>
  <c r="U54" i="141"/>
  <c r="U55" i="141"/>
  <c r="U56" i="141"/>
  <c r="U57" i="141"/>
  <c r="U58" i="141"/>
  <c r="U59" i="141"/>
  <c r="U60" i="141"/>
  <c r="U61" i="141"/>
  <c r="U62" i="141"/>
  <c r="U63" i="141"/>
  <c r="U64" i="141"/>
  <c r="U65" i="141"/>
  <c r="U66" i="141"/>
  <c r="U67" i="141"/>
  <c r="U68" i="141"/>
  <c r="U69" i="141"/>
  <c r="U70" i="141"/>
  <c r="U71" i="141"/>
  <c r="U72" i="141"/>
  <c r="U73" i="141"/>
  <c r="U74" i="141"/>
  <c r="U75" i="141"/>
  <c r="U76" i="141"/>
  <c r="U77" i="141"/>
  <c r="U78" i="141"/>
  <c r="U79" i="141"/>
  <c r="U80" i="141"/>
  <c r="U125" i="141"/>
  <c r="G41" i="135"/>
  <c r="G36" i="135"/>
  <c r="G38" i="135"/>
  <c r="G39" i="135"/>
  <c r="G37" i="135"/>
  <c r="H131" i="141"/>
  <c r="H132" i="141"/>
  <c r="H133" i="141"/>
  <c r="H134" i="141"/>
  <c r="O131" i="141"/>
  <c r="O132" i="141"/>
  <c r="O133" i="141"/>
  <c r="O134" i="141"/>
  <c r="H135" i="141"/>
  <c r="H136" i="141"/>
  <c r="H137" i="141"/>
  <c r="H138" i="141"/>
  <c r="O135" i="141"/>
  <c r="O136" i="141"/>
  <c r="O137" i="141"/>
  <c r="O138" i="141"/>
  <c r="H139" i="141"/>
  <c r="H140" i="141"/>
  <c r="H141" i="141"/>
  <c r="H142" i="141"/>
  <c r="O139" i="141"/>
  <c r="O140" i="141"/>
  <c r="O141" i="141"/>
  <c r="O142" i="141"/>
  <c r="H143" i="141"/>
  <c r="H144" i="141"/>
  <c r="H145" i="141"/>
  <c r="H146" i="141"/>
  <c r="O143" i="141"/>
  <c r="O144" i="141"/>
  <c r="O145" i="141"/>
  <c r="O146" i="141"/>
  <c r="H147" i="141"/>
  <c r="H148" i="141"/>
  <c r="H149" i="141"/>
  <c r="H150" i="141"/>
  <c r="O147" i="141"/>
  <c r="O148" i="141"/>
  <c r="O149" i="141"/>
  <c r="O150" i="141"/>
  <c r="H151" i="141"/>
  <c r="H152" i="141"/>
  <c r="H153" i="141"/>
  <c r="H154" i="141"/>
  <c r="O151" i="141"/>
  <c r="O152" i="141"/>
  <c r="O153" i="141"/>
  <c r="O154" i="141"/>
  <c r="H155" i="141"/>
  <c r="H156" i="141"/>
  <c r="H157" i="141"/>
  <c r="H158" i="141"/>
  <c r="O155" i="141"/>
  <c r="O156" i="141"/>
  <c r="O157" i="141"/>
  <c r="O158" i="141"/>
  <c r="H159" i="141"/>
  <c r="H160" i="141"/>
  <c r="H161" i="141"/>
  <c r="H162" i="141"/>
  <c r="O159" i="141"/>
  <c r="O160" i="141"/>
  <c r="O161" i="141"/>
  <c r="O162" i="141"/>
  <c r="H163" i="141"/>
  <c r="H164" i="141"/>
  <c r="H165" i="141"/>
  <c r="H166" i="141"/>
  <c r="O163" i="141"/>
  <c r="O164" i="141"/>
  <c r="O165" i="141"/>
  <c r="O166" i="141"/>
  <c r="H167" i="141"/>
  <c r="H168" i="141"/>
  <c r="H169" i="141"/>
  <c r="H170" i="141"/>
  <c r="O167" i="141"/>
  <c r="O168" i="141"/>
  <c r="O169" i="141"/>
  <c r="O170" i="141"/>
  <c r="H171" i="141"/>
  <c r="H172" i="141"/>
  <c r="H173" i="141"/>
  <c r="H174" i="141"/>
  <c r="O171" i="141"/>
  <c r="O172" i="141"/>
  <c r="O173" i="141"/>
  <c r="O174" i="141"/>
  <c r="H175" i="141"/>
  <c r="H176" i="141"/>
  <c r="H177" i="141"/>
  <c r="H178" i="141"/>
  <c r="O175" i="141"/>
  <c r="O176" i="141"/>
  <c r="O177" i="141"/>
  <c r="O178" i="141"/>
  <c r="H179" i="141"/>
  <c r="H180" i="141"/>
  <c r="H181" i="141"/>
  <c r="H182" i="141"/>
  <c r="O179" i="141"/>
  <c r="O180" i="141"/>
  <c r="O181" i="141"/>
  <c r="O182" i="141"/>
  <c r="H183" i="141"/>
  <c r="H184" i="141"/>
  <c r="H185" i="141"/>
  <c r="H186" i="141"/>
  <c r="O183" i="141"/>
  <c r="O184" i="141"/>
  <c r="O185" i="141"/>
  <c r="O186" i="141"/>
  <c r="H187" i="141"/>
  <c r="H188" i="141"/>
  <c r="H189" i="141"/>
  <c r="H190" i="141"/>
  <c r="O187" i="141"/>
  <c r="O188" i="141"/>
  <c r="O189" i="141"/>
  <c r="O190" i="141"/>
  <c r="H191" i="141"/>
  <c r="H192" i="141"/>
  <c r="H193" i="141"/>
  <c r="H194" i="141"/>
  <c r="O191" i="141"/>
  <c r="O192" i="141"/>
  <c r="O193" i="141"/>
  <c r="O194" i="141"/>
  <c r="H195" i="141"/>
  <c r="H196" i="141"/>
  <c r="H197" i="141"/>
  <c r="H198" i="141"/>
  <c r="O195" i="141"/>
  <c r="O196" i="141"/>
  <c r="O197" i="141"/>
  <c r="O198" i="141"/>
  <c r="H199" i="141"/>
  <c r="H200" i="141"/>
  <c r="H201" i="141"/>
  <c r="H202" i="141"/>
  <c r="O199" i="141"/>
  <c r="O200" i="141"/>
  <c r="O201" i="141"/>
  <c r="O202" i="141"/>
  <c r="H9" i="141"/>
  <c r="H10" i="141"/>
  <c r="H11" i="141"/>
  <c r="H12" i="141"/>
  <c r="O9" i="141"/>
  <c r="O10" i="141"/>
  <c r="O11" i="141"/>
  <c r="O12" i="141"/>
  <c r="H13" i="141"/>
  <c r="H14" i="141"/>
  <c r="H15" i="141"/>
  <c r="H16" i="141"/>
  <c r="O13" i="141"/>
  <c r="O14" i="141"/>
  <c r="O15" i="141"/>
  <c r="O16" i="141"/>
  <c r="H17" i="141"/>
  <c r="H18" i="141"/>
  <c r="H19" i="141"/>
  <c r="H20" i="141"/>
  <c r="O17" i="141"/>
  <c r="O18" i="141"/>
  <c r="O19" i="141"/>
  <c r="O20" i="141"/>
  <c r="H21" i="141"/>
  <c r="H22" i="141"/>
  <c r="H23" i="141"/>
  <c r="H24" i="141"/>
  <c r="O21" i="141"/>
  <c r="O22" i="141"/>
  <c r="O23" i="141"/>
  <c r="O24" i="141"/>
  <c r="H25" i="141"/>
  <c r="H26" i="141"/>
  <c r="H27" i="141"/>
  <c r="H28" i="141"/>
  <c r="O25" i="141"/>
  <c r="O26" i="141"/>
  <c r="O27" i="141"/>
  <c r="O28" i="141"/>
  <c r="H29" i="141"/>
  <c r="H30" i="141"/>
  <c r="H31" i="141"/>
  <c r="H32" i="141"/>
  <c r="O29" i="141"/>
  <c r="O30" i="141"/>
  <c r="O31" i="141"/>
  <c r="O32" i="141"/>
  <c r="H33" i="141"/>
  <c r="H34" i="141"/>
  <c r="H35" i="141"/>
  <c r="H36" i="141"/>
  <c r="O33" i="141"/>
  <c r="O34" i="141"/>
  <c r="O35" i="141"/>
  <c r="O36" i="141"/>
  <c r="H37" i="141"/>
  <c r="H38" i="141"/>
  <c r="H39" i="141"/>
  <c r="H40" i="141"/>
  <c r="O37" i="141"/>
  <c r="O38" i="141"/>
  <c r="O39" i="141"/>
  <c r="O40" i="141"/>
  <c r="H41" i="141"/>
  <c r="H42" i="141"/>
  <c r="H43" i="141"/>
  <c r="H44" i="141"/>
  <c r="O41" i="141"/>
  <c r="O42" i="141"/>
  <c r="O43" i="141"/>
  <c r="O44" i="141"/>
  <c r="H45" i="141"/>
  <c r="H46" i="141"/>
  <c r="H47" i="141"/>
  <c r="H48" i="141"/>
  <c r="O45" i="141"/>
  <c r="O46" i="141"/>
  <c r="O47" i="141"/>
  <c r="O48" i="141"/>
  <c r="H49" i="141"/>
  <c r="H50" i="141"/>
  <c r="H51" i="141"/>
  <c r="H52" i="141"/>
  <c r="O49" i="141"/>
  <c r="O50" i="141"/>
  <c r="O51" i="141"/>
  <c r="O52" i="141"/>
  <c r="H53" i="141"/>
  <c r="H54" i="141"/>
  <c r="H55" i="141"/>
  <c r="H56" i="141"/>
  <c r="O53" i="141"/>
  <c r="O54" i="141"/>
  <c r="O55" i="141"/>
  <c r="O56" i="141"/>
  <c r="H57" i="141"/>
  <c r="H58" i="141"/>
  <c r="H59" i="141"/>
  <c r="H60" i="141"/>
  <c r="O57" i="141"/>
  <c r="O58" i="141"/>
  <c r="O59" i="141"/>
  <c r="O60" i="141"/>
  <c r="H61" i="141"/>
  <c r="H62" i="141"/>
  <c r="H63" i="141"/>
  <c r="H64" i="141"/>
  <c r="O61" i="141"/>
  <c r="O62" i="141"/>
  <c r="O63" i="141"/>
  <c r="O64" i="141"/>
  <c r="H65" i="141"/>
  <c r="H66" i="141"/>
  <c r="H67" i="141"/>
  <c r="H68" i="141"/>
  <c r="O65" i="141"/>
  <c r="O66" i="141"/>
  <c r="O67" i="141"/>
  <c r="O68" i="141"/>
  <c r="H69" i="141"/>
  <c r="H70" i="141"/>
  <c r="H71" i="141"/>
  <c r="H72" i="141"/>
  <c r="O69" i="141"/>
  <c r="O70" i="141"/>
  <c r="O71" i="141"/>
  <c r="O72" i="141"/>
  <c r="H73" i="141"/>
  <c r="H74" i="141"/>
  <c r="H75" i="141"/>
  <c r="H76" i="141"/>
  <c r="O73" i="141"/>
  <c r="O74" i="141"/>
  <c r="O75" i="141"/>
  <c r="O76" i="141"/>
  <c r="H77" i="141"/>
  <c r="H78" i="141"/>
  <c r="H79" i="141"/>
  <c r="H80" i="141"/>
  <c r="O77" i="141"/>
  <c r="O78" i="141"/>
  <c r="O79" i="141"/>
  <c r="O80" i="141"/>
  <c r="U131" i="140"/>
  <c r="U132" i="140"/>
  <c r="U133" i="140"/>
  <c r="U134" i="140"/>
  <c r="U135" i="140"/>
  <c r="U136" i="140"/>
  <c r="U137" i="140"/>
  <c r="U138" i="140"/>
  <c r="U139" i="140"/>
  <c r="U140" i="140"/>
  <c r="U141" i="140"/>
  <c r="U142" i="140"/>
  <c r="U143" i="140"/>
  <c r="U144" i="140"/>
  <c r="U145" i="140"/>
  <c r="U146" i="140"/>
  <c r="U147" i="140"/>
  <c r="U148" i="140"/>
  <c r="U149" i="140"/>
  <c r="U150" i="140"/>
  <c r="U151" i="140"/>
  <c r="U152" i="140"/>
  <c r="U153" i="140"/>
  <c r="U154" i="140"/>
  <c r="U155" i="140"/>
  <c r="U156" i="140"/>
  <c r="U157" i="140"/>
  <c r="U158" i="140"/>
  <c r="U159" i="140"/>
  <c r="U160" i="140"/>
  <c r="U161" i="140"/>
  <c r="U162" i="140"/>
  <c r="U163" i="140"/>
  <c r="U164" i="140"/>
  <c r="U165" i="140"/>
  <c r="U166" i="140"/>
  <c r="U167" i="140"/>
  <c r="U168" i="140"/>
  <c r="U169" i="140"/>
  <c r="U170" i="140"/>
  <c r="U171" i="140"/>
  <c r="U172" i="140"/>
  <c r="U173" i="140"/>
  <c r="U174" i="140"/>
  <c r="U175" i="140"/>
  <c r="U176" i="140"/>
  <c r="U177" i="140"/>
  <c r="U178" i="140"/>
  <c r="U179" i="140"/>
  <c r="U180" i="140"/>
  <c r="U181" i="140"/>
  <c r="U182" i="140"/>
  <c r="U183" i="140"/>
  <c r="U184" i="140"/>
  <c r="U185" i="140"/>
  <c r="U186" i="140"/>
  <c r="U187" i="140"/>
  <c r="U188" i="140"/>
  <c r="U189" i="140"/>
  <c r="U190" i="140"/>
  <c r="U191" i="140"/>
  <c r="U192" i="140"/>
  <c r="U193" i="140"/>
  <c r="U194" i="140"/>
  <c r="U195" i="140"/>
  <c r="U196" i="140"/>
  <c r="U197" i="140"/>
  <c r="U198" i="140"/>
  <c r="U199" i="140"/>
  <c r="U200" i="140"/>
  <c r="U201" i="140"/>
  <c r="U202" i="140"/>
  <c r="U247" i="140"/>
  <c r="G16" i="135"/>
  <c r="G11" i="135"/>
  <c r="G13" i="135"/>
  <c r="G14" i="135"/>
  <c r="G12" i="135"/>
  <c r="U9" i="140"/>
  <c r="U10" i="140"/>
  <c r="U11" i="140"/>
  <c r="U12" i="140"/>
  <c r="U13" i="140"/>
  <c r="U14" i="140"/>
  <c r="U15" i="140"/>
  <c r="U16" i="140"/>
  <c r="U17" i="140"/>
  <c r="U18" i="140"/>
  <c r="U19" i="140"/>
  <c r="U20" i="140"/>
  <c r="U21" i="140"/>
  <c r="U22" i="140"/>
  <c r="U23" i="140"/>
  <c r="U24" i="140"/>
  <c r="U25" i="140"/>
  <c r="U26" i="140"/>
  <c r="U27" i="140"/>
  <c r="U28" i="140"/>
  <c r="U29" i="140"/>
  <c r="U30" i="140"/>
  <c r="U31" i="140"/>
  <c r="U32" i="140"/>
  <c r="U33" i="140"/>
  <c r="U34" i="140"/>
  <c r="U35" i="140"/>
  <c r="U36" i="140"/>
  <c r="U37" i="140"/>
  <c r="U38" i="140"/>
  <c r="U39" i="140"/>
  <c r="U40" i="140"/>
  <c r="U41" i="140"/>
  <c r="U42" i="140"/>
  <c r="U43" i="140"/>
  <c r="U44" i="140"/>
  <c r="U45" i="140"/>
  <c r="U46" i="140"/>
  <c r="U47" i="140"/>
  <c r="U48" i="140"/>
  <c r="U49" i="140"/>
  <c r="U50" i="140"/>
  <c r="U51" i="140"/>
  <c r="U52" i="140"/>
  <c r="U53" i="140"/>
  <c r="U54" i="140"/>
  <c r="U55" i="140"/>
  <c r="U56" i="140"/>
  <c r="U57" i="140"/>
  <c r="U58" i="140"/>
  <c r="U59" i="140"/>
  <c r="U60" i="140"/>
  <c r="U61" i="140"/>
  <c r="U62" i="140"/>
  <c r="U63" i="140"/>
  <c r="U64" i="140"/>
  <c r="U65" i="140"/>
  <c r="U66" i="140"/>
  <c r="U67" i="140"/>
  <c r="U68" i="140"/>
  <c r="U69" i="140"/>
  <c r="U70" i="140"/>
  <c r="U71" i="140"/>
  <c r="U72" i="140"/>
  <c r="U73" i="140"/>
  <c r="U74" i="140"/>
  <c r="U75" i="140"/>
  <c r="U76" i="140"/>
  <c r="U77" i="140"/>
  <c r="U78" i="140"/>
  <c r="U79" i="140"/>
  <c r="U80" i="140"/>
  <c r="U125" i="140"/>
  <c r="G9" i="135"/>
  <c r="G4" i="135"/>
  <c r="G5" i="135"/>
  <c r="G7" i="135"/>
  <c r="G6" i="135"/>
  <c r="H131" i="140"/>
  <c r="H132" i="140"/>
  <c r="H133" i="140"/>
  <c r="H134" i="140"/>
  <c r="H135" i="140"/>
  <c r="H136" i="140"/>
  <c r="H137" i="140"/>
  <c r="H138" i="140"/>
  <c r="H139" i="140"/>
  <c r="H140" i="140"/>
  <c r="H141" i="140"/>
  <c r="H142" i="140"/>
  <c r="H143" i="140"/>
  <c r="H144" i="140"/>
  <c r="H145" i="140"/>
  <c r="H146" i="140"/>
  <c r="H147" i="140"/>
  <c r="H148" i="140"/>
  <c r="H149" i="140"/>
  <c r="H150" i="140"/>
  <c r="H151" i="140"/>
  <c r="H152" i="140"/>
  <c r="H153" i="140"/>
  <c r="H154" i="140"/>
  <c r="H155" i="140"/>
  <c r="H156" i="140"/>
  <c r="H157" i="140"/>
  <c r="H158" i="140"/>
  <c r="H159" i="140"/>
  <c r="H160" i="140"/>
  <c r="H161" i="140"/>
  <c r="H162" i="140"/>
  <c r="H163" i="140"/>
  <c r="H164" i="140"/>
  <c r="H165" i="140"/>
  <c r="H166" i="140"/>
  <c r="H167" i="140"/>
  <c r="H168" i="140"/>
  <c r="H169" i="140"/>
  <c r="H170" i="140"/>
  <c r="H171" i="140"/>
  <c r="H172" i="140"/>
  <c r="H173" i="140"/>
  <c r="H174" i="140"/>
  <c r="H175" i="140"/>
  <c r="H176" i="140"/>
  <c r="H177" i="140"/>
  <c r="H178" i="140"/>
  <c r="H179" i="140"/>
  <c r="H180" i="140"/>
  <c r="H181" i="140"/>
  <c r="H182" i="140"/>
  <c r="H183" i="140"/>
  <c r="H184" i="140"/>
  <c r="H185" i="140"/>
  <c r="H186" i="140"/>
  <c r="H187" i="140"/>
  <c r="H188" i="140"/>
  <c r="H189" i="140"/>
  <c r="H190" i="140"/>
  <c r="H191" i="140"/>
  <c r="H192" i="140"/>
  <c r="H193" i="140"/>
  <c r="H194" i="140"/>
  <c r="H195" i="140"/>
  <c r="H196" i="140"/>
  <c r="H197" i="140"/>
  <c r="H198" i="140"/>
  <c r="H199" i="140"/>
  <c r="H200" i="140"/>
  <c r="H201" i="140"/>
  <c r="H202" i="140"/>
  <c r="H9" i="140"/>
  <c r="H10" i="140"/>
  <c r="H11" i="140"/>
  <c r="H12" i="140"/>
  <c r="H13" i="140"/>
  <c r="H14" i="140"/>
  <c r="H15" i="140"/>
  <c r="H16" i="140"/>
  <c r="H17" i="140"/>
  <c r="H18" i="140"/>
  <c r="H19" i="140"/>
  <c r="H20" i="140"/>
  <c r="H21" i="140"/>
  <c r="H22" i="140"/>
  <c r="H23" i="140"/>
  <c r="H24" i="140"/>
  <c r="H25" i="140"/>
  <c r="H26" i="140"/>
  <c r="H27" i="140"/>
  <c r="H28" i="140"/>
  <c r="H29" i="140"/>
  <c r="H30" i="140"/>
  <c r="H31" i="140"/>
  <c r="H32" i="140"/>
  <c r="H33" i="140"/>
  <c r="H34" i="140"/>
  <c r="H35" i="140"/>
  <c r="H36" i="140"/>
  <c r="H37" i="140"/>
  <c r="H38" i="140"/>
  <c r="H39" i="140"/>
  <c r="H40" i="140"/>
  <c r="H41" i="140"/>
  <c r="H42" i="140"/>
  <c r="H43" i="140"/>
  <c r="H44" i="140"/>
  <c r="H45" i="140"/>
  <c r="H46" i="140"/>
  <c r="H47" i="140"/>
  <c r="H48" i="140"/>
  <c r="H49" i="140"/>
  <c r="H50" i="140"/>
  <c r="H51" i="140"/>
  <c r="H52" i="140"/>
  <c r="H53" i="140"/>
  <c r="H54" i="140"/>
  <c r="H55" i="140"/>
  <c r="H56" i="140"/>
  <c r="H57" i="140"/>
  <c r="H58" i="140"/>
  <c r="H59" i="140"/>
  <c r="H60" i="140"/>
  <c r="H61" i="140"/>
  <c r="H62" i="140"/>
  <c r="H63" i="140"/>
  <c r="H64" i="140"/>
  <c r="H65" i="140"/>
  <c r="H66" i="140"/>
  <c r="H67" i="140"/>
  <c r="H68" i="140"/>
  <c r="H69" i="140"/>
  <c r="H70" i="140"/>
  <c r="H71" i="140"/>
  <c r="H72" i="140"/>
  <c r="H73" i="140"/>
  <c r="H74" i="140"/>
  <c r="H75" i="140"/>
  <c r="H76" i="140"/>
  <c r="H77" i="140"/>
  <c r="H78" i="140"/>
  <c r="H79" i="140"/>
  <c r="H80" i="140"/>
  <c r="O9" i="119"/>
  <c r="O10" i="119"/>
  <c r="O11" i="119"/>
  <c r="O12" i="119"/>
  <c r="H9" i="119"/>
  <c r="H10" i="119"/>
  <c r="H11" i="119"/>
  <c r="H12" i="119"/>
  <c r="O13" i="119"/>
  <c r="O14" i="119"/>
  <c r="O15" i="119"/>
  <c r="O16" i="119"/>
  <c r="H13" i="119"/>
  <c r="H14" i="119"/>
  <c r="H15" i="119"/>
  <c r="H16" i="119"/>
  <c r="U9" i="119"/>
  <c r="U10" i="119"/>
  <c r="U11" i="119"/>
  <c r="U12" i="119"/>
  <c r="U13" i="119"/>
  <c r="U14" i="119"/>
  <c r="U15" i="119"/>
  <c r="U16" i="119"/>
  <c r="U17" i="119"/>
  <c r="U18" i="119"/>
  <c r="U19" i="119"/>
  <c r="U20" i="119"/>
  <c r="U21" i="119"/>
  <c r="U22" i="119"/>
  <c r="U23" i="119"/>
  <c r="U24" i="119"/>
  <c r="U25" i="119"/>
  <c r="U26" i="119"/>
  <c r="U27" i="119"/>
  <c r="U28" i="119"/>
  <c r="U29" i="119"/>
  <c r="U30" i="119"/>
  <c r="U31" i="119"/>
  <c r="U32" i="119"/>
  <c r="U33" i="119"/>
  <c r="U34" i="119"/>
  <c r="U35" i="119"/>
  <c r="U36" i="119"/>
  <c r="U37" i="119"/>
  <c r="U38" i="119"/>
  <c r="U39" i="119"/>
  <c r="U40" i="119"/>
  <c r="U41" i="119"/>
  <c r="U42" i="119"/>
  <c r="U43" i="119"/>
  <c r="U44" i="119"/>
  <c r="U45" i="119"/>
  <c r="U46" i="119"/>
  <c r="U47" i="119"/>
  <c r="U48" i="119"/>
  <c r="U49" i="119"/>
  <c r="U50" i="119"/>
  <c r="U51" i="119"/>
  <c r="U52" i="119"/>
  <c r="U53" i="119"/>
  <c r="U54" i="119"/>
  <c r="U55" i="119"/>
  <c r="U56" i="119"/>
  <c r="U57" i="119"/>
  <c r="U58" i="119"/>
  <c r="U59" i="119"/>
  <c r="U60" i="119"/>
  <c r="U61" i="119"/>
  <c r="U62" i="119"/>
  <c r="U63" i="119"/>
  <c r="U64" i="119"/>
  <c r="U65" i="119"/>
  <c r="U66" i="119"/>
  <c r="U67" i="119"/>
  <c r="U68" i="119"/>
  <c r="U69" i="119"/>
  <c r="U70" i="119"/>
  <c r="U71" i="119"/>
  <c r="U72" i="119"/>
  <c r="U73" i="119"/>
  <c r="U74" i="119"/>
  <c r="U75" i="119"/>
  <c r="U76" i="119"/>
  <c r="U77" i="119"/>
  <c r="U78" i="119"/>
  <c r="U79" i="119"/>
  <c r="U80" i="119"/>
  <c r="U125" i="119"/>
  <c r="G57" i="135"/>
  <c r="O17" i="119"/>
  <c r="O18" i="119"/>
  <c r="O19" i="119"/>
  <c r="O20" i="119"/>
  <c r="H17" i="119"/>
  <c r="H18" i="119"/>
  <c r="H19" i="119"/>
  <c r="H20" i="119"/>
  <c r="O21" i="119"/>
  <c r="O22" i="119"/>
  <c r="O23" i="119"/>
  <c r="O24" i="119"/>
  <c r="H21" i="119"/>
  <c r="H22" i="119"/>
  <c r="H23" i="119"/>
  <c r="H24" i="119"/>
  <c r="O25" i="119"/>
  <c r="O26" i="119"/>
  <c r="O27" i="119"/>
  <c r="O28" i="119"/>
  <c r="H25" i="119"/>
  <c r="H26" i="119"/>
  <c r="H27" i="119"/>
  <c r="H28" i="119"/>
  <c r="O29" i="119"/>
  <c r="O30" i="119"/>
  <c r="O31" i="119"/>
  <c r="O32" i="119"/>
  <c r="H29" i="119"/>
  <c r="H30" i="119"/>
  <c r="H31" i="119"/>
  <c r="H32" i="119"/>
  <c r="O33" i="119"/>
  <c r="O34" i="119"/>
  <c r="O35" i="119"/>
  <c r="O36" i="119"/>
  <c r="H33" i="119"/>
  <c r="H34" i="119"/>
  <c r="H35" i="119"/>
  <c r="H36" i="119"/>
  <c r="G52" i="135"/>
  <c r="O37" i="119"/>
  <c r="O38" i="119"/>
  <c r="O39" i="119"/>
  <c r="O40" i="119"/>
  <c r="H37" i="119"/>
  <c r="H38" i="119"/>
  <c r="H39" i="119"/>
  <c r="H40" i="119"/>
  <c r="O41" i="119"/>
  <c r="O42" i="119"/>
  <c r="O43" i="119"/>
  <c r="O44" i="119"/>
  <c r="H41" i="119"/>
  <c r="H42" i="119"/>
  <c r="H43" i="119"/>
  <c r="H44" i="119"/>
  <c r="O45" i="119"/>
  <c r="O46" i="119"/>
  <c r="O47" i="119"/>
  <c r="O48" i="119"/>
  <c r="H45" i="119"/>
  <c r="H46" i="119"/>
  <c r="H47" i="119"/>
  <c r="H48" i="119"/>
  <c r="O49" i="119"/>
  <c r="O50" i="119"/>
  <c r="O51" i="119"/>
  <c r="O52" i="119"/>
  <c r="H49" i="119"/>
  <c r="H50" i="119"/>
  <c r="H51" i="119"/>
  <c r="H52" i="119"/>
  <c r="G53" i="135"/>
  <c r="O53" i="119"/>
  <c r="O54" i="119"/>
  <c r="O55" i="119"/>
  <c r="O56" i="119"/>
  <c r="H53" i="119"/>
  <c r="H54" i="119"/>
  <c r="H55" i="119"/>
  <c r="H56" i="119"/>
  <c r="O57" i="119"/>
  <c r="O58" i="119"/>
  <c r="O59" i="119"/>
  <c r="O60" i="119"/>
  <c r="H57" i="119"/>
  <c r="H58" i="119"/>
  <c r="H59" i="119"/>
  <c r="H60" i="119"/>
  <c r="O61" i="119"/>
  <c r="O62" i="119"/>
  <c r="O63" i="119"/>
  <c r="O64" i="119"/>
  <c r="H61" i="119"/>
  <c r="H62" i="119"/>
  <c r="H63" i="119"/>
  <c r="H64" i="119"/>
  <c r="O65" i="119"/>
  <c r="O66" i="119"/>
  <c r="O67" i="119"/>
  <c r="O68" i="119"/>
  <c r="H65" i="119"/>
  <c r="H66" i="119"/>
  <c r="H67" i="119"/>
  <c r="H68" i="119"/>
  <c r="G54" i="135"/>
  <c r="O69" i="119"/>
  <c r="O70" i="119"/>
  <c r="O71" i="119"/>
  <c r="O72" i="119"/>
  <c r="H69" i="119"/>
  <c r="H70" i="119"/>
  <c r="H71" i="119"/>
  <c r="H72" i="119"/>
  <c r="O73" i="119"/>
  <c r="O74" i="119"/>
  <c r="O75" i="119"/>
  <c r="O76" i="119"/>
  <c r="H73" i="119"/>
  <c r="H74" i="119"/>
  <c r="H75" i="119"/>
  <c r="H76" i="119"/>
  <c r="O77" i="119"/>
  <c r="O78" i="119"/>
  <c r="O79" i="119"/>
  <c r="O80" i="119"/>
  <c r="H77" i="119"/>
  <c r="H78" i="119"/>
  <c r="H79" i="119"/>
  <c r="H80" i="119"/>
  <c r="G55" i="135"/>
  <c r="O131" i="119"/>
  <c r="O132" i="119"/>
  <c r="O133" i="119"/>
  <c r="O134" i="119"/>
  <c r="H131" i="119"/>
  <c r="H132" i="119"/>
  <c r="H133" i="119"/>
  <c r="H134" i="119"/>
  <c r="O135" i="119"/>
  <c r="O136" i="119"/>
  <c r="O137" i="119"/>
  <c r="O138" i="119"/>
  <c r="H135" i="119"/>
  <c r="H136" i="119"/>
  <c r="H137" i="119"/>
  <c r="H138" i="119"/>
  <c r="U131" i="119"/>
  <c r="U132" i="119"/>
  <c r="U133" i="119"/>
  <c r="U134" i="119"/>
  <c r="U135" i="119"/>
  <c r="U136" i="119"/>
  <c r="U137" i="119"/>
  <c r="U138" i="119"/>
  <c r="U139" i="119"/>
  <c r="U140" i="119"/>
  <c r="U141" i="119"/>
  <c r="U142" i="119"/>
  <c r="U143" i="119"/>
  <c r="U144" i="119"/>
  <c r="U145" i="119"/>
  <c r="U146" i="119"/>
  <c r="U147" i="119"/>
  <c r="U148" i="119"/>
  <c r="U149" i="119"/>
  <c r="U150" i="119"/>
  <c r="U151" i="119"/>
  <c r="U152" i="119"/>
  <c r="U153" i="119"/>
  <c r="U154" i="119"/>
  <c r="U155" i="119"/>
  <c r="U156" i="119"/>
  <c r="U157" i="119"/>
  <c r="U158" i="119"/>
  <c r="U159" i="119"/>
  <c r="U160" i="119"/>
  <c r="U161" i="119"/>
  <c r="U162" i="119"/>
  <c r="U163" i="119"/>
  <c r="U164" i="119"/>
  <c r="U165" i="119"/>
  <c r="U166" i="119"/>
  <c r="U167" i="119"/>
  <c r="U168" i="119"/>
  <c r="U169" i="119"/>
  <c r="U170" i="119"/>
  <c r="U171" i="119"/>
  <c r="U172" i="119"/>
  <c r="U173" i="119"/>
  <c r="U174" i="119"/>
  <c r="U175" i="119"/>
  <c r="U176" i="119"/>
  <c r="U177" i="119"/>
  <c r="U178" i="119"/>
  <c r="U179" i="119"/>
  <c r="U180" i="119"/>
  <c r="U181" i="119"/>
  <c r="U182" i="119"/>
  <c r="U183" i="119"/>
  <c r="U184" i="119"/>
  <c r="U185" i="119"/>
  <c r="U186" i="119"/>
  <c r="U187" i="119"/>
  <c r="U188" i="119"/>
  <c r="U189" i="119"/>
  <c r="U190" i="119"/>
  <c r="U191" i="119"/>
  <c r="U192" i="119"/>
  <c r="U193" i="119"/>
  <c r="U194" i="119"/>
  <c r="U195" i="119"/>
  <c r="U196" i="119"/>
  <c r="U197" i="119"/>
  <c r="U198" i="119"/>
  <c r="U199" i="119"/>
  <c r="U200" i="119"/>
  <c r="U201" i="119"/>
  <c r="U202" i="119"/>
  <c r="U247" i="119"/>
  <c r="G64" i="135"/>
  <c r="G58" i="135"/>
  <c r="O139" i="119"/>
  <c r="O140" i="119"/>
  <c r="O141" i="119"/>
  <c r="O142" i="119"/>
  <c r="H139" i="119"/>
  <c r="H140" i="119"/>
  <c r="H141" i="119"/>
  <c r="H142" i="119"/>
  <c r="O143" i="119"/>
  <c r="O144" i="119"/>
  <c r="O145" i="119"/>
  <c r="O146" i="119"/>
  <c r="H143" i="119"/>
  <c r="H144" i="119"/>
  <c r="H145" i="119"/>
  <c r="H146" i="119"/>
  <c r="O147" i="119"/>
  <c r="O148" i="119"/>
  <c r="O149" i="119"/>
  <c r="O150" i="119"/>
  <c r="H147" i="119"/>
  <c r="H148" i="119"/>
  <c r="H149" i="119"/>
  <c r="H150" i="119"/>
  <c r="O151" i="119"/>
  <c r="O152" i="119"/>
  <c r="O153" i="119"/>
  <c r="O154" i="119"/>
  <c r="H151" i="119"/>
  <c r="H152" i="119"/>
  <c r="H153" i="119"/>
  <c r="H154" i="119"/>
  <c r="O155" i="119"/>
  <c r="O156" i="119"/>
  <c r="O157" i="119"/>
  <c r="O158" i="119"/>
  <c r="H155" i="119"/>
  <c r="H156" i="119"/>
  <c r="H157" i="119"/>
  <c r="H158" i="119"/>
  <c r="G59" i="135"/>
  <c r="O159" i="119"/>
  <c r="O160" i="119"/>
  <c r="O161" i="119"/>
  <c r="O162" i="119"/>
  <c r="H159" i="119"/>
  <c r="H160" i="119"/>
  <c r="H161" i="119"/>
  <c r="H162" i="119"/>
  <c r="O163" i="119"/>
  <c r="O164" i="119"/>
  <c r="O165" i="119"/>
  <c r="O166" i="119"/>
  <c r="H163" i="119"/>
  <c r="H164" i="119"/>
  <c r="H165" i="119"/>
  <c r="H166" i="119"/>
  <c r="O167" i="119"/>
  <c r="O168" i="119"/>
  <c r="O169" i="119"/>
  <c r="O170" i="119"/>
  <c r="H167" i="119"/>
  <c r="H168" i="119"/>
  <c r="H169" i="119"/>
  <c r="H170" i="119"/>
  <c r="O171" i="119"/>
  <c r="O172" i="119"/>
  <c r="O173" i="119"/>
  <c r="O174" i="119"/>
  <c r="H171" i="119"/>
  <c r="H172" i="119"/>
  <c r="H173" i="119"/>
  <c r="H174" i="119"/>
  <c r="G60" i="135"/>
  <c r="O175" i="119"/>
  <c r="O176" i="119"/>
  <c r="O177" i="119"/>
  <c r="O178" i="119"/>
  <c r="H175" i="119"/>
  <c r="H176" i="119"/>
  <c r="H177" i="119"/>
  <c r="H178" i="119"/>
  <c r="O179" i="119"/>
  <c r="O180" i="119"/>
  <c r="O181" i="119"/>
  <c r="O182" i="119"/>
  <c r="H179" i="119"/>
  <c r="H180" i="119"/>
  <c r="H181" i="119"/>
  <c r="H182" i="119"/>
  <c r="O183" i="119"/>
  <c r="O184" i="119"/>
  <c r="O185" i="119"/>
  <c r="O186" i="119"/>
  <c r="H183" i="119"/>
  <c r="H184" i="119"/>
  <c r="H185" i="119"/>
  <c r="H186" i="119"/>
  <c r="O187" i="119"/>
  <c r="O188" i="119"/>
  <c r="O189" i="119"/>
  <c r="O190" i="119"/>
  <c r="H187" i="119"/>
  <c r="H188" i="119"/>
  <c r="H189" i="119"/>
  <c r="H190" i="119"/>
  <c r="G61" i="135"/>
  <c r="O191" i="119"/>
  <c r="O192" i="119"/>
  <c r="O193" i="119"/>
  <c r="O194" i="119"/>
  <c r="H191" i="119"/>
  <c r="H192" i="119"/>
  <c r="H193" i="119"/>
  <c r="H194" i="119"/>
  <c r="O195" i="119"/>
  <c r="O196" i="119"/>
  <c r="O197" i="119"/>
  <c r="O198" i="119"/>
  <c r="H195" i="119"/>
  <c r="H196" i="119"/>
  <c r="H197" i="119"/>
  <c r="H198" i="119"/>
  <c r="O199" i="119"/>
  <c r="O200" i="119"/>
  <c r="O201" i="119"/>
  <c r="O202" i="119"/>
  <c r="H199" i="119"/>
  <c r="H200" i="119"/>
  <c r="H201" i="119"/>
  <c r="H202" i="119"/>
  <c r="G62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G19" i="135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20" i="135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21" i="135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22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23" i="135"/>
  <c r="U125" i="112"/>
  <c r="G25" i="135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47" i="112"/>
  <c r="G32" i="135"/>
  <c r="G26" i="135"/>
  <c r="O139" i="112"/>
  <c r="O140" i="112"/>
  <c r="O141" i="112"/>
  <c r="O142" i="112"/>
  <c r="H139" i="112"/>
  <c r="H140" i="112"/>
  <c r="H141" i="112"/>
  <c r="H142" i="112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G27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G28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O187" i="112"/>
  <c r="O188" i="112"/>
  <c r="O189" i="112"/>
  <c r="O190" i="112"/>
  <c r="H187" i="112"/>
  <c r="H188" i="112"/>
  <c r="H189" i="112"/>
  <c r="H190" i="112"/>
  <c r="G29" i="135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G30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I58" i="135"/>
  <c r="G51" i="135"/>
  <c r="G42" i="135"/>
  <c r="I42" i="135"/>
  <c r="G35" i="135"/>
  <c r="I26" i="135"/>
  <c r="G10" i="135"/>
  <c r="G3" i="135"/>
  <c r="T243" i="141"/>
  <c r="R211" i="141"/>
  <c r="Q227" i="141"/>
  <c r="T235" i="119"/>
  <c r="R203" i="119"/>
  <c r="Q219" i="119"/>
  <c r="T113" i="119"/>
  <c r="R81" i="119"/>
  <c r="Q97" i="119"/>
  <c r="T121" i="141"/>
  <c r="R89" i="141"/>
  <c r="Q105" i="141"/>
  <c r="T239" i="112"/>
  <c r="R207" i="112"/>
  <c r="Q223" i="112"/>
  <c r="T117" i="112"/>
  <c r="R85" i="112"/>
  <c r="Q101" i="112"/>
  <c r="T243" i="140"/>
  <c r="R211" i="140"/>
  <c r="Q227" i="140"/>
  <c r="T231" i="141"/>
  <c r="R231" i="141"/>
  <c r="T223" i="119"/>
  <c r="S239" i="119"/>
  <c r="Q207" i="119"/>
  <c r="T101" i="119"/>
  <c r="S117" i="119"/>
  <c r="Q85" i="119"/>
  <c r="T109" i="141"/>
  <c r="R109" i="141"/>
  <c r="T227" i="112"/>
  <c r="S243" i="112"/>
  <c r="Q211" i="112"/>
  <c r="T105" i="112"/>
  <c r="S121" i="112"/>
  <c r="Q89" i="112"/>
  <c r="T231" i="140"/>
  <c r="R231" i="140"/>
  <c r="T211" i="141"/>
  <c r="S227" i="141"/>
  <c r="R243" i="141"/>
  <c r="T203" i="119"/>
  <c r="S219" i="119"/>
  <c r="R235" i="119"/>
  <c r="T81" i="119"/>
  <c r="S97" i="119"/>
  <c r="R113" i="119"/>
  <c r="T89" i="141"/>
  <c r="S105" i="141"/>
  <c r="R121" i="141"/>
  <c r="T207" i="112"/>
  <c r="S223" i="112"/>
  <c r="R239" i="112"/>
  <c r="T85" i="112"/>
  <c r="S101" i="112"/>
  <c r="R117" i="112"/>
  <c r="T211" i="140"/>
  <c r="S227" i="140"/>
  <c r="R243" i="140"/>
  <c r="S231" i="141"/>
  <c r="Q231" i="141"/>
  <c r="S207" i="119"/>
  <c r="R223" i="119"/>
  <c r="Q239" i="119"/>
  <c r="S85" i="119"/>
  <c r="R101" i="119"/>
  <c r="Q117" i="119"/>
  <c r="S109" i="141"/>
  <c r="Q109" i="141"/>
  <c r="S211" i="112"/>
  <c r="R227" i="112"/>
  <c r="Q243" i="112"/>
  <c r="S89" i="112"/>
  <c r="R105" i="112"/>
  <c r="Q121" i="112"/>
  <c r="S231" i="140"/>
  <c r="Q231" i="140"/>
  <c r="T227" i="141"/>
  <c r="S243" i="141"/>
  <c r="Q211" i="141"/>
  <c r="T219" i="119"/>
  <c r="S235" i="119"/>
  <c r="Q203" i="119"/>
  <c r="T97" i="119"/>
  <c r="S113" i="119"/>
  <c r="Q81" i="119"/>
  <c r="T105" i="141"/>
  <c r="S121" i="141"/>
  <c r="Q89" i="141"/>
  <c r="T223" i="112"/>
  <c r="S239" i="112"/>
  <c r="Q207" i="112"/>
  <c r="T101" i="112"/>
  <c r="S117" i="112"/>
  <c r="Q85" i="112"/>
  <c r="T227" i="140"/>
  <c r="S243" i="140"/>
  <c r="Q211" i="140"/>
  <c r="T215" i="141"/>
  <c r="R215" i="141"/>
  <c r="T207" i="119"/>
  <c r="S223" i="119"/>
  <c r="R239" i="119"/>
  <c r="T85" i="119"/>
  <c r="S101" i="119"/>
  <c r="R117" i="119"/>
  <c r="T93" i="141"/>
  <c r="R93" i="141"/>
  <c r="T211" i="112"/>
  <c r="S227" i="112"/>
  <c r="R243" i="112"/>
  <c r="T89" i="112"/>
  <c r="S105" i="112"/>
  <c r="R121" i="112"/>
  <c r="T215" i="140"/>
  <c r="R215" i="140"/>
  <c r="S211" i="141"/>
  <c r="Q235" i="119"/>
  <c r="R97" i="119"/>
  <c r="S89" i="141"/>
  <c r="Q239" i="112"/>
  <c r="Q215" i="141"/>
  <c r="T239" i="119"/>
  <c r="R85" i="119"/>
  <c r="Q227" i="112"/>
  <c r="S207" i="141"/>
  <c r="R223" i="141"/>
  <c r="Q239" i="141"/>
  <c r="S231" i="119"/>
  <c r="Q231" i="119"/>
  <c r="S109" i="119"/>
  <c r="Q109" i="119"/>
  <c r="S85" i="141"/>
  <c r="R101" i="141"/>
  <c r="Q117" i="141"/>
  <c r="S203" i="112"/>
  <c r="R219" i="112"/>
  <c r="Q235" i="112"/>
  <c r="S81" i="112"/>
  <c r="R97" i="112"/>
  <c r="Q113" i="112"/>
  <c r="S207" i="140"/>
  <c r="R223" i="140"/>
  <c r="Q239" i="140"/>
  <c r="S203" i="141"/>
  <c r="T105" i="119"/>
  <c r="Q113" i="141"/>
  <c r="R215" i="112"/>
  <c r="Q109" i="112"/>
  <c r="R219" i="140"/>
  <c r="T117" i="140"/>
  <c r="R85" i="140"/>
  <c r="Q101" i="140"/>
  <c r="T203" i="141"/>
  <c r="T121" i="119"/>
  <c r="R113" i="141"/>
  <c r="S215" i="112"/>
  <c r="R109" i="112"/>
  <c r="S219" i="140"/>
  <c r="T121" i="140"/>
  <c r="R89" i="140"/>
  <c r="Q105" i="140"/>
  <c r="T235" i="141"/>
  <c r="T89" i="119"/>
  <c r="Q97" i="141"/>
  <c r="T231" i="112"/>
  <c r="Q93" i="112"/>
  <c r="R203" i="140"/>
  <c r="T113" i="140"/>
  <c r="R81" i="140"/>
  <c r="Q97" i="140"/>
  <c r="S89" i="119"/>
  <c r="Q109" i="140"/>
  <c r="Q243" i="141"/>
  <c r="S203" i="119"/>
  <c r="Q121" i="141"/>
  <c r="S207" i="112"/>
  <c r="R101" i="112"/>
  <c r="R227" i="140"/>
  <c r="Q223" i="119"/>
  <c r="Q93" i="141"/>
  <c r="T243" i="112"/>
  <c r="R89" i="112"/>
  <c r="S215" i="140"/>
  <c r="T223" i="141"/>
  <c r="S239" i="141"/>
  <c r="Q207" i="141"/>
  <c r="T231" i="119"/>
  <c r="R231" i="119"/>
  <c r="T109" i="119"/>
  <c r="R109" i="119"/>
  <c r="T101" i="141"/>
  <c r="S117" i="141"/>
  <c r="Q85" i="141"/>
  <c r="T219" i="112"/>
  <c r="S235" i="112"/>
  <c r="Q203" i="112"/>
  <c r="T97" i="112"/>
  <c r="S113" i="112"/>
  <c r="Q81" i="112"/>
  <c r="T223" i="140"/>
  <c r="S239" i="140"/>
  <c r="Q207" i="140"/>
  <c r="Q235" i="141"/>
  <c r="S243" i="119"/>
  <c r="Q89" i="119"/>
  <c r="S81" i="141"/>
  <c r="T85" i="140"/>
  <c r="S101" i="140"/>
  <c r="R117" i="140"/>
  <c r="R235" i="141"/>
  <c r="R211" i="119"/>
  <c r="Q105" i="119"/>
  <c r="T81" i="141"/>
  <c r="T89" i="140"/>
  <c r="S105" i="140"/>
  <c r="R121" i="140"/>
  <c r="Q219" i="141"/>
  <c r="S227" i="119"/>
  <c r="R121" i="119"/>
  <c r="T113" i="141"/>
  <c r="T81" i="140"/>
  <c r="S97" i="140"/>
  <c r="R113" i="140"/>
  <c r="Q243" i="119"/>
  <c r="T97" i="141"/>
  <c r="R219" i="119"/>
  <c r="S81" i="119"/>
  <c r="R223" i="112"/>
  <c r="Q117" i="112"/>
  <c r="Q243" i="140"/>
  <c r="S215" i="141"/>
  <c r="T117" i="119"/>
  <c r="R211" i="112"/>
  <c r="Q105" i="112"/>
  <c r="Q215" i="140"/>
  <c r="T239" i="141"/>
  <c r="R207" i="141"/>
  <c r="Q223" i="141"/>
  <c r="S215" i="119"/>
  <c r="Q215" i="119"/>
  <c r="S93" i="119"/>
  <c r="Q93" i="119"/>
  <c r="T117" i="141"/>
  <c r="R85" i="141"/>
  <c r="Q101" i="141"/>
  <c r="T235" i="112"/>
  <c r="R203" i="112"/>
  <c r="Q219" i="112"/>
  <c r="T113" i="112"/>
  <c r="R81" i="112"/>
  <c r="Q97" i="112"/>
  <c r="T239" i="140"/>
  <c r="R207" i="140"/>
  <c r="Q223" i="140"/>
  <c r="Q211" i="119"/>
  <c r="R97" i="141"/>
  <c r="R93" i="112"/>
  <c r="S203" i="140"/>
  <c r="T101" i="140"/>
  <c r="S117" i="140"/>
  <c r="Q85" i="140"/>
  <c r="Q227" i="119"/>
  <c r="S97" i="141"/>
  <c r="S93" i="112"/>
  <c r="T203" i="140"/>
  <c r="T105" i="140"/>
  <c r="S121" i="140"/>
  <c r="Q89" i="140"/>
  <c r="R243" i="119"/>
  <c r="R81" i="141"/>
  <c r="T109" i="112"/>
  <c r="T235" i="140"/>
  <c r="T97" i="140"/>
  <c r="S113" i="140"/>
  <c r="Q81" i="140"/>
  <c r="R93" i="140"/>
  <c r="Q113" i="119"/>
  <c r="T207" i="141"/>
  <c r="R117" i="141"/>
  <c r="T81" i="112"/>
  <c r="T207" i="140"/>
  <c r="Q117" i="140"/>
  <c r="T243" i="119"/>
  <c r="Q121" i="140"/>
  <c r="Q215" i="112"/>
  <c r="T155" i="141"/>
  <c r="T65" i="141"/>
  <c r="S155" i="141"/>
  <c r="S65" i="141"/>
  <c r="R155" i="141"/>
  <c r="R65" i="141"/>
  <c r="T147" i="140"/>
  <c r="T57" i="140"/>
  <c r="S147" i="140"/>
  <c r="S57" i="140"/>
  <c r="R147" i="140"/>
  <c r="R57" i="140"/>
  <c r="Q147" i="140"/>
  <c r="Q191" i="141"/>
  <c r="Q41" i="141"/>
  <c r="Q21" i="140"/>
  <c r="T175" i="141"/>
  <c r="T37" i="141"/>
  <c r="S143" i="141"/>
  <c r="S69" i="141"/>
  <c r="R175" i="141"/>
  <c r="R37" i="141"/>
  <c r="T135" i="140"/>
  <c r="T199" i="140"/>
  <c r="T45" i="140"/>
  <c r="S135" i="140"/>
  <c r="S199" i="140"/>
  <c r="S45" i="140"/>
  <c r="R135" i="140"/>
  <c r="R199" i="140"/>
  <c r="R45" i="140"/>
  <c r="Q135" i="140"/>
  <c r="Q199" i="140"/>
  <c r="Q163" i="141"/>
  <c r="Q13" i="141"/>
  <c r="Q77" i="141"/>
  <c r="Q41" i="140"/>
  <c r="S235" i="141"/>
  <c r="Q101" i="119"/>
  <c r="R239" i="141"/>
  <c r="T215" i="119"/>
  <c r="R93" i="119"/>
  <c r="T85" i="141"/>
  <c r="S219" i="112"/>
  <c r="R113" i="112"/>
  <c r="R239" i="140"/>
  <c r="R219" i="141"/>
  <c r="S121" i="119"/>
  <c r="Q235" i="140"/>
  <c r="S85" i="140"/>
  <c r="R231" i="112"/>
  <c r="S89" i="140"/>
  <c r="T211" i="119"/>
  <c r="R97" i="140"/>
  <c r="T187" i="141"/>
  <c r="T33" i="141"/>
  <c r="S187" i="141"/>
  <c r="S33" i="141"/>
  <c r="R187" i="141"/>
  <c r="R33" i="141"/>
  <c r="T179" i="140"/>
  <c r="T25" i="140"/>
  <c r="S179" i="140"/>
  <c r="S25" i="140"/>
  <c r="R179" i="140"/>
  <c r="R25" i="140"/>
  <c r="Q179" i="140"/>
  <c r="Q159" i="141"/>
  <c r="Q9" i="141"/>
  <c r="Q73" i="141"/>
  <c r="Q53" i="140"/>
  <c r="T219" i="140"/>
  <c r="S93" i="140"/>
  <c r="T143" i="141"/>
  <c r="T69" i="141"/>
  <c r="S175" i="141"/>
  <c r="S37" i="141"/>
  <c r="R143" i="141"/>
  <c r="R69" i="141"/>
  <c r="T167" i="140"/>
  <c r="T13" i="140"/>
  <c r="T77" i="140"/>
  <c r="S167" i="140"/>
  <c r="S13" i="140"/>
  <c r="S77" i="140"/>
  <c r="R167" i="140"/>
  <c r="R13" i="140"/>
  <c r="R77" i="140"/>
  <c r="Q167" i="140"/>
  <c r="Q131" i="141"/>
  <c r="Q195" i="141"/>
  <c r="Q45" i="141"/>
  <c r="Q9" i="140"/>
  <c r="Q73" i="140"/>
  <c r="R227" i="119"/>
  <c r="Q93" i="140"/>
  <c r="R227" i="141"/>
  <c r="S211" i="140"/>
  <c r="R207" i="119"/>
  <c r="S93" i="141"/>
  <c r="T121" i="112"/>
  <c r="R215" i="119"/>
  <c r="S101" i="141"/>
  <c r="R235" i="112"/>
  <c r="T227" i="119"/>
  <c r="R101" i="140"/>
  <c r="S219" i="141"/>
  <c r="R89" i="119"/>
  <c r="R235" i="140"/>
  <c r="R105" i="140"/>
  <c r="Q113" i="140"/>
  <c r="Q203" i="141"/>
  <c r="T139" i="141"/>
  <c r="T49" i="141"/>
  <c r="S139" i="141"/>
  <c r="S49" i="141"/>
  <c r="R139" i="141"/>
  <c r="R49" i="141"/>
  <c r="T131" i="140"/>
  <c r="T195" i="140"/>
  <c r="T41" i="140"/>
  <c r="S131" i="140"/>
  <c r="S195" i="140"/>
  <c r="S41" i="140"/>
  <c r="R131" i="140"/>
  <c r="R195" i="140"/>
  <c r="R41" i="140"/>
  <c r="Q131" i="140"/>
  <c r="Q195" i="140"/>
  <c r="Q175" i="141"/>
  <c r="Q25" i="141"/>
  <c r="Q69" i="140"/>
  <c r="S113" i="141"/>
  <c r="T215" i="112"/>
  <c r="T93" i="112"/>
  <c r="R109" i="140"/>
  <c r="T159" i="141"/>
  <c r="T21" i="141"/>
  <c r="S191" i="141"/>
  <c r="S53" i="141"/>
  <c r="R159" i="141"/>
  <c r="R21" i="141"/>
  <c r="T183" i="140"/>
  <c r="T29" i="140"/>
  <c r="S183" i="140"/>
  <c r="S29" i="140"/>
  <c r="R183" i="140"/>
  <c r="R29" i="140"/>
  <c r="Q183" i="140"/>
  <c r="Q147" i="141"/>
  <c r="Q61" i="141"/>
  <c r="Q25" i="140"/>
  <c r="R105" i="141"/>
  <c r="S223" i="141"/>
  <c r="T93" i="119"/>
  <c r="S223" i="140"/>
  <c r="Q231" i="112"/>
  <c r="Q219" i="140"/>
  <c r="S171" i="141"/>
  <c r="T9" i="140"/>
  <c r="R163" i="140"/>
  <c r="Q37" i="140"/>
  <c r="T53" i="141"/>
  <c r="S21" i="141"/>
  <c r="S151" i="140"/>
  <c r="R61" i="140"/>
  <c r="T167" i="141"/>
  <c r="T13" i="141"/>
  <c r="T77" i="141"/>
  <c r="S167" i="141"/>
  <c r="S13" i="141"/>
  <c r="S77" i="141"/>
  <c r="R167" i="141"/>
  <c r="R13" i="141"/>
  <c r="R77" i="141"/>
  <c r="T175" i="140"/>
  <c r="T37" i="140"/>
  <c r="S143" i="140"/>
  <c r="S69" i="140"/>
  <c r="R175" i="140"/>
  <c r="R37" i="140"/>
  <c r="Q143" i="140"/>
  <c r="Q187" i="141"/>
  <c r="Q37" i="141"/>
  <c r="Q17" i="140"/>
  <c r="Q121" i="119"/>
  <c r="S231" i="112"/>
  <c r="T41" i="141"/>
  <c r="S41" i="141"/>
  <c r="R41" i="141"/>
  <c r="S139" i="140"/>
  <c r="Q139" i="140"/>
  <c r="Q45" i="140"/>
  <c r="S17" i="119"/>
  <c r="S45" i="119"/>
  <c r="T57" i="119"/>
  <c r="S151" i="119"/>
  <c r="T159" i="119"/>
  <c r="R199" i="119"/>
  <c r="R33" i="112"/>
  <c r="R41" i="112"/>
  <c r="S53" i="112"/>
  <c r="T73" i="112"/>
  <c r="S143" i="112"/>
  <c r="S105" i="119"/>
  <c r="S81" i="140"/>
  <c r="T17" i="141"/>
  <c r="R171" i="141"/>
  <c r="T73" i="140"/>
  <c r="S9" i="140"/>
  <c r="Q163" i="140"/>
  <c r="R53" i="141"/>
  <c r="R151" i="140"/>
  <c r="Q179" i="141"/>
  <c r="T183" i="141"/>
  <c r="T29" i="141"/>
  <c r="S183" i="141"/>
  <c r="S29" i="141"/>
  <c r="R183" i="141"/>
  <c r="R29" i="141"/>
  <c r="T191" i="140"/>
  <c r="T53" i="140"/>
  <c r="S159" i="140"/>
  <c r="S21" i="140"/>
  <c r="R191" i="140"/>
  <c r="R53" i="140"/>
  <c r="Q159" i="140"/>
  <c r="Q139" i="141"/>
  <c r="Q53" i="141"/>
  <c r="Q33" i="140"/>
  <c r="Q81" i="141"/>
  <c r="T219" i="141"/>
  <c r="T93" i="140"/>
  <c r="T17" i="140"/>
  <c r="R17" i="140"/>
  <c r="Q17" i="141"/>
  <c r="R9" i="119"/>
  <c r="S33" i="119"/>
  <c r="T41" i="119"/>
  <c r="S131" i="119"/>
  <c r="T143" i="119"/>
  <c r="R183" i="119"/>
  <c r="S199" i="119"/>
  <c r="S25" i="112"/>
  <c r="S37" i="112"/>
  <c r="T65" i="112"/>
  <c r="T203" i="112"/>
  <c r="R203" i="141"/>
  <c r="T171" i="141"/>
  <c r="R17" i="141"/>
  <c r="S163" i="140"/>
  <c r="R73" i="140"/>
  <c r="Q143" i="141"/>
  <c r="R191" i="141"/>
  <c r="T151" i="140"/>
  <c r="S61" i="140"/>
  <c r="Q29" i="141"/>
  <c r="T109" i="140"/>
  <c r="T151" i="141"/>
  <c r="T61" i="141"/>
  <c r="S151" i="141"/>
  <c r="S61" i="141"/>
  <c r="R151" i="141"/>
  <c r="R61" i="141"/>
  <c r="T159" i="140"/>
  <c r="T21" i="140"/>
  <c r="S191" i="140"/>
  <c r="S53" i="140"/>
  <c r="R159" i="140"/>
  <c r="R21" i="140"/>
  <c r="Q191" i="140"/>
  <c r="Q171" i="141"/>
  <c r="Q21" i="141"/>
  <c r="Q65" i="140"/>
  <c r="S17" i="140"/>
  <c r="Q167" i="141"/>
  <c r="R25" i="119"/>
  <c r="R49" i="119"/>
  <c r="S61" i="119"/>
  <c r="R143" i="119"/>
  <c r="S163" i="119"/>
  <c r="T175" i="119"/>
  <c r="R17" i="112"/>
  <c r="T33" i="112"/>
  <c r="R57" i="112"/>
  <c r="S73" i="112"/>
  <c r="R151" i="112"/>
  <c r="Q57" i="141"/>
  <c r="T191" i="141"/>
  <c r="T61" i="140"/>
  <c r="T199" i="141"/>
  <c r="S135" i="141"/>
  <c r="R45" i="141"/>
  <c r="Q175" i="140"/>
  <c r="S235" i="140"/>
  <c r="S211" i="119"/>
  <c r="S163" i="141"/>
  <c r="S13" i="119"/>
  <c r="R167" i="119"/>
  <c r="T49" i="112"/>
  <c r="R159" i="112"/>
  <c r="S187" i="112"/>
  <c r="T191" i="112"/>
  <c r="S33" i="140"/>
  <c r="Q183" i="141"/>
  <c r="T29" i="119"/>
  <c r="R53" i="119"/>
  <c r="S69" i="119"/>
  <c r="S139" i="119"/>
  <c r="S167" i="119"/>
  <c r="T179" i="119"/>
  <c r="S29" i="112"/>
  <c r="T37" i="112"/>
  <c r="R77" i="112"/>
  <c r="R155" i="112"/>
  <c r="R163" i="112"/>
  <c r="S175" i="112"/>
  <c r="T195" i="112"/>
  <c r="T195" i="141"/>
  <c r="S9" i="141"/>
  <c r="R195" i="141"/>
  <c r="Q199" i="141"/>
  <c r="Q13" i="140"/>
  <c r="R33" i="119"/>
  <c r="R41" i="119"/>
  <c r="S53" i="119"/>
  <c r="T73" i="119"/>
  <c r="S143" i="119"/>
  <c r="T167" i="119"/>
  <c r="R191" i="119"/>
  <c r="R25" i="112"/>
  <c r="R49" i="112"/>
  <c r="S61" i="112"/>
  <c r="R143" i="112"/>
  <c r="S163" i="112"/>
  <c r="T175" i="112"/>
  <c r="T147" i="141"/>
  <c r="R147" i="141"/>
  <c r="T65" i="140"/>
  <c r="S65" i="140"/>
  <c r="R65" i="140"/>
  <c r="Q151" i="141"/>
  <c r="S9" i="119"/>
  <c r="T21" i="119"/>
  <c r="R61" i="119"/>
  <c r="S77" i="119"/>
  <c r="S147" i="119"/>
  <c r="S159" i="119"/>
  <c r="T187" i="119"/>
  <c r="T29" i="112"/>
  <c r="R53" i="112"/>
  <c r="S69" i="112"/>
  <c r="S139" i="112"/>
  <c r="S167" i="112"/>
  <c r="T179" i="112"/>
  <c r="Q183" i="119"/>
  <c r="Q29" i="119"/>
  <c r="Q183" i="112"/>
  <c r="Q29" i="112"/>
  <c r="R150" i="69"/>
  <c r="P138" i="69"/>
  <c r="Q102" i="69"/>
  <c r="P114" i="69"/>
  <c r="P122" i="69"/>
  <c r="R66" i="69"/>
  <c r="S74" i="69"/>
  <c r="P4" i="69"/>
  <c r="Q40" i="69"/>
  <c r="R20" i="69"/>
  <c r="Q139" i="119"/>
  <c r="Q49" i="119"/>
  <c r="Q139" i="112"/>
  <c r="Q49" i="112"/>
  <c r="R142" i="69"/>
  <c r="S150" i="69"/>
  <c r="R118" i="69"/>
  <c r="Q98" i="69"/>
  <c r="Q86" i="69"/>
  <c r="S62" i="69"/>
  <c r="S54" i="69"/>
  <c r="S32" i="69"/>
  <c r="R12" i="69"/>
  <c r="S36" i="69"/>
  <c r="Q175" i="119"/>
  <c r="Q37" i="119"/>
  <c r="Q143" i="112"/>
  <c r="Q69" i="112"/>
  <c r="R174" i="69"/>
  <c r="S158" i="69"/>
  <c r="R154" i="69"/>
  <c r="S102" i="69"/>
  <c r="S126" i="69"/>
  <c r="P86" i="69"/>
  <c r="Q58" i="69"/>
  <c r="Q78" i="69"/>
  <c r="Q20" i="69"/>
  <c r="R16" i="69"/>
  <c r="S17" i="141"/>
  <c r="S73" i="140"/>
  <c r="R105" i="119"/>
  <c r="S159" i="141"/>
  <c r="Q57" i="140"/>
  <c r="Q203" i="140"/>
  <c r="S199" i="141"/>
  <c r="R135" i="141"/>
  <c r="T69" i="140"/>
  <c r="S37" i="140"/>
  <c r="Q69" i="141"/>
  <c r="S109" i="112"/>
  <c r="R163" i="141"/>
  <c r="R139" i="140"/>
  <c r="T25" i="119"/>
  <c r="S179" i="119"/>
  <c r="R73" i="112"/>
  <c r="S171" i="112"/>
  <c r="T183" i="112"/>
  <c r="T57" i="141"/>
  <c r="S57" i="141"/>
  <c r="R57" i="141"/>
  <c r="S155" i="140"/>
  <c r="Q155" i="140"/>
  <c r="Q61" i="140"/>
  <c r="R13" i="119"/>
  <c r="R37" i="119"/>
  <c r="S65" i="119"/>
  <c r="T69" i="119"/>
  <c r="R131" i="119"/>
  <c r="S155" i="119"/>
  <c r="T163" i="119"/>
  <c r="S9" i="112"/>
  <c r="T21" i="112"/>
  <c r="R61" i="112"/>
  <c r="S77" i="112"/>
  <c r="S147" i="112"/>
  <c r="S159" i="112"/>
  <c r="T187" i="112"/>
  <c r="S131" i="141"/>
  <c r="S73" i="141"/>
  <c r="T171" i="140"/>
  <c r="S171" i="140"/>
  <c r="R171" i="140"/>
  <c r="Q171" i="140"/>
  <c r="Q77" i="140"/>
  <c r="S25" i="119"/>
  <c r="S37" i="119"/>
  <c r="T65" i="119"/>
  <c r="T151" i="119"/>
  <c r="R175" i="119"/>
  <c r="S191" i="119"/>
  <c r="S17" i="112"/>
  <c r="S45" i="112"/>
  <c r="T57" i="112"/>
  <c r="S151" i="112"/>
  <c r="T159" i="112"/>
  <c r="R199" i="112"/>
  <c r="S25" i="141"/>
  <c r="Q29" i="140"/>
  <c r="T13" i="119"/>
  <c r="R45" i="119"/>
  <c r="S57" i="119"/>
  <c r="T77" i="119"/>
  <c r="T131" i="119"/>
  <c r="T139" i="119"/>
  <c r="T171" i="119"/>
  <c r="R195" i="119"/>
  <c r="R13" i="112"/>
  <c r="R37" i="112"/>
  <c r="S65" i="112"/>
  <c r="T69" i="112"/>
  <c r="R131" i="112"/>
  <c r="S155" i="112"/>
  <c r="T163" i="112"/>
  <c r="Q135" i="119"/>
  <c r="Q199" i="119"/>
  <c r="Q45" i="119"/>
  <c r="Q135" i="112"/>
  <c r="Q199" i="112"/>
  <c r="Q45" i="112"/>
  <c r="Q174" i="69"/>
  <c r="R146" i="69"/>
  <c r="Q158" i="69"/>
  <c r="R102" i="69"/>
  <c r="P118" i="69"/>
  <c r="R86" i="69"/>
  <c r="P62" i="69"/>
  <c r="S86" i="69"/>
  <c r="S8" i="69"/>
  <c r="R28" i="69"/>
  <c r="Q155" i="119"/>
  <c r="Q65" i="119"/>
  <c r="Q155" i="112"/>
  <c r="Q65" i="112"/>
  <c r="Q138" i="69"/>
  <c r="S154" i="69"/>
  <c r="R158" i="69"/>
  <c r="Q126" i="69"/>
  <c r="P102" i="69"/>
  <c r="S70" i="69"/>
  <c r="Q54" i="69"/>
  <c r="P82" i="69"/>
  <c r="Q4" i="69"/>
  <c r="Q16" i="69"/>
  <c r="Q191" i="119"/>
  <c r="Q53" i="119"/>
  <c r="Q159" i="112"/>
  <c r="Q21" i="112"/>
  <c r="Q162" i="69"/>
  <c r="Q170" i="69"/>
  <c r="R162" i="69"/>
  <c r="S110" i="69"/>
  <c r="R106" i="69"/>
  <c r="S78" i="69"/>
  <c r="P50" i="69"/>
  <c r="Q62" i="69"/>
  <c r="P20" i="69"/>
  <c r="Q8" i="69"/>
  <c r="R9" i="140"/>
  <c r="T45" i="141"/>
  <c r="R199" i="141"/>
  <c r="T143" i="140"/>
  <c r="R69" i="140"/>
  <c r="Q155" i="141"/>
  <c r="S109" i="140"/>
  <c r="T139" i="140"/>
  <c r="R65" i="119"/>
  <c r="T199" i="119"/>
  <c r="T9" i="112"/>
  <c r="R135" i="112"/>
  <c r="T167" i="112"/>
  <c r="R191" i="112"/>
  <c r="T33" i="140"/>
  <c r="R33" i="140"/>
  <c r="Q33" i="141"/>
  <c r="R29" i="119"/>
  <c r="S49" i="119"/>
  <c r="T61" i="119"/>
  <c r="S135" i="119"/>
  <c r="T147" i="119"/>
  <c r="R187" i="119"/>
  <c r="T13" i="112"/>
  <c r="R45" i="112"/>
  <c r="S57" i="112"/>
  <c r="T77" i="112"/>
  <c r="T131" i="112"/>
  <c r="T139" i="112"/>
  <c r="T171" i="112"/>
  <c r="R195" i="112"/>
  <c r="T9" i="141"/>
  <c r="S195" i="141"/>
  <c r="R9" i="141"/>
  <c r="Q49" i="141"/>
  <c r="T9" i="119"/>
  <c r="T17" i="119"/>
  <c r="T49" i="119"/>
  <c r="R73" i="119"/>
  <c r="R135" i="119"/>
  <c r="R159" i="119"/>
  <c r="S187" i="119"/>
  <c r="T191" i="119"/>
  <c r="R9" i="112"/>
  <c r="S33" i="112"/>
  <c r="T41" i="112"/>
  <c r="S131" i="112"/>
  <c r="T143" i="112"/>
  <c r="R183" i="112"/>
  <c r="S199" i="112"/>
  <c r="S147" i="141"/>
  <c r="T187" i="140"/>
  <c r="S187" i="140"/>
  <c r="R187" i="140"/>
  <c r="Q187" i="140"/>
  <c r="R21" i="119"/>
  <c r="S41" i="119"/>
  <c r="T53" i="119"/>
  <c r="R139" i="119"/>
  <c r="T155" i="119"/>
  <c r="R179" i="119"/>
  <c r="S195" i="119"/>
  <c r="R29" i="112"/>
  <c r="S49" i="112"/>
  <c r="T61" i="112"/>
  <c r="S135" i="112"/>
  <c r="T147" i="112"/>
  <c r="R187" i="112"/>
  <c r="Q151" i="119"/>
  <c r="Q61" i="119"/>
  <c r="Q151" i="112"/>
  <c r="Q61" i="112"/>
  <c r="P146" i="69"/>
  <c r="R138" i="69"/>
  <c r="S142" i="69"/>
  <c r="P98" i="69"/>
  <c r="P126" i="69"/>
  <c r="R78" i="69"/>
  <c r="S66" i="69"/>
  <c r="P78" i="69"/>
  <c r="S16" i="69"/>
  <c r="S24" i="69"/>
  <c r="Q171" i="119"/>
  <c r="Q17" i="119"/>
  <c r="Q171" i="112"/>
  <c r="Q17" i="112"/>
  <c r="S146" i="69"/>
  <c r="R166" i="69"/>
  <c r="S138" i="69"/>
  <c r="R94" i="69"/>
  <c r="Q122" i="69"/>
  <c r="Q74" i="69"/>
  <c r="R58" i="69"/>
  <c r="S50" i="69"/>
  <c r="R24" i="69"/>
  <c r="P12" i="69"/>
  <c r="Q143" i="119"/>
  <c r="Q69" i="119"/>
  <c r="Q175" i="112"/>
  <c r="Q37" i="112"/>
  <c r="P154" i="69"/>
  <c r="Q166" i="69"/>
  <c r="R130" i="69"/>
  <c r="Q114" i="69"/>
  <c r="R122" i="69"/>
  <c r="Q50" i="69"/>
  <c r="P70" i="69"/>
  <c r="Q12" i="69"/>
  <c r="S28" i="69"/>
  <c r="Q28" i="69"/>
  <c r="S85" i="112"/>
  <c r="S97" i="112"/>
  <c r="T163" i="140"/>
  <c r="Q151" i="140"/>
  <c r="T135" i="141"/>
  <c r="S45" i="141"/>
  <c r="S175" i="140"/>
  <c r="R143" i="140"/>
  <c r="Q49" i="140"/>
  <c r="T163" i="141"/>
  <c r="T135" i="119"/>
  <c r="T17" i="112"/>
  <c r="T151" i="112"/>
  <c r="R175" i="112"/>
  <c r="S191" i="112"/>
  <c r="T179" i="141"/>
  <c r="S179" i="141"/>
  <c r="R179" i="141"/>
  <c r="T155" i="140"/>
  <c r="R155" i="140"/>
  <c r="S21" i="119"/>
  <c r="T45" i="119"/>
  <c r="R69" i="119"/>
  <c r="R147" i="119"/>
  <c r="R171" i="119"/>
  <c r="S183" i="119"/>
  <c r="R21" i="112"/>
  <c r="S41" i="112"/>
  <c r="T53" i="112"/>
  <c r="R139" i="112"/>
  <c r="T155" i="112"/>
  <c r="R179" i="112"/>
  <c r="S195" i="112"/>
  <c r="T131" i="141"/>
  <c r="T73" i="141"/>
  <c r="R131" i="141"/>
  <c r="R73" i="141"/>
  <c r="T49" i="140"/>
  <c r="S49" i="140"/>
  <c r="R49" i="140"/>
  <c r="Q135" i="141"/>
  <c r="R17" i="119"/>
  <c r="T33" i="119"/>
  <c r="R57" i="119"/>
  <c r="S73" i="119"/>
  <c r="R151" i="119"/>
  <c r="S171" i="119"/>
  <c r="T183" i="119"/>
  <c r="S13" i="112"/>
  <c r="T25" i="112"/>
  <c r="R65" i="112"/>
  <c r="T135" i="112"/>
  <c r="R167" i="112"/>
  <c r="S179" i="112"/>
  <c r="T199" i="112"/>
  <c r="T25" i="141"/>
  <c r="R25" i="141"/>
  <c r="Q65" i="141"/>
  <c r="S29" i="119"/>
  <c r="T37" i="119"/>
  <c r="R77" i="119"/>
  <c r="R155" i="119"/>
  <c r="R163" i="119"/>
  <c r="S175" i="119"/>
  <c r="T195" i="119"/>
  <c r="S21" i="112"/>
  <c r="T45" i="112"/>
  <c r="R69" i="112"/>
  <c r="R147" i="112"/>
  <c r="R171" i="112"/>
  <c r="S183" i="112"/>
  <c r="Q167" i="119"/>
  <c r="Q13" i="119"/>
  <c r="Q77" i="119"/>
  <c r="Q167" i="112"/>
  <c r="Q13" i="112"/>
  <c r="Q77" i="112"/>
  <c r="Q142" i="69"/>
  <c r="P158" i="69"/>
  <c r="P130" i="69"/>
  <c r="R98" i="69"/>
  <c r="P106" i="69"/>
  <c r="Q82" i="69"/>
  <c r="R70" i="69"/>
  <c r="Q32" i="69"/>
  <c r="S4" i="69"/>
  <c r="P32" i="69"/>
  <c r="Q187" i="119"/>
  <c r="Q33" i="119"/>
  <c r="Q187" i="112"/>
  <c r="Q33" i="112"/>
  <c r="P142" i="69"/>
  <c r="R170" i="69"/>
  <c r="Q110" i="69"/>
  <c r="P110" i="69"/>
  <c r="Q94" i="69"/>
  <c r="Q70" i="69"/>
  <c r="Q66" i="69"/>
  <c r="S40" i="69"/>
  <c r="P40" i="69"/>
  <c r="R4" i="69"/>
  <c r="Q159" i="119"/>
  <c r="Q21" i="119"/>
  <c r="Q191" i="112"/>
  <c r="Q53" i="112"/>
  <c r="Q150" i="69"/>
  <c r="S174" i="69"/>
  <c r="R126" i="69"/>
  <c r="R110" i="69"/>
  <c r="Q118" i="69"/>
  <c r="P66" i="69"/>
  <c r="P54" i="69"/>
  <c r="P16" i="69"/>
  <c r="P28" i="69"/>
  <c r="R40" i="69"/>
  <c r="Q131" i="119"/>
  <c r="Q195" i="119"/>
  <c r="Q41" i="119"/>
  <c r="Q131" i="112"/>
  <c r="Q195" i="112"/>
  <c r="Q41" i="112"/>
  <c r="Q154" i="69"/>
  <c r="P150" i="69"/>
  <c r="P162" i="69"/>
  <c r="Q106" i="69"/>
  <c r="R114" i="69"/>
  <c r="S58" i="69"/>
  <c r="R62" i="69"/>
  <c r="R50" i="69"/>
  <c r="R8" i="69"/>
  <c r="P8" i="69"/>
  <c r="Q147" i="119"/>
  <c r="Q57" i="119"/>
  <c r="Q147" i="112"/>
  <c r="Q57" i="112"/>
  <c r="Q146" i="69"/>
  <c r="S162" i="69"/>
  <c r="Q130" i="69"/>
  <c r="S122" i="69"/>
  <c r="S98" i="69"/>
  <c r="P74" i="69"/>
  <c r="R54" i="69"/>
  <c r="S20" i="69"/>
  <c r="P36" i="69"/>
  <c r="R36" i="69"/>
  <c r="Q163" i="119"/>
  <c r="Q9" i="119"/>
  <c r="Q73" i="119"/>
  <c r="Q163" i="112"/>
  <c r="Q9" i="112"/>
  <c r="Q73" i="112"/>
  <c r="S166" i="69"/>
  <c r="S170" i="69"/>
  <c r="S114" i="69"/>
  <c r="S130" i="69"/>
  <c r="P94" i="69"/>
  <c r="R82" i="69"/>
  <c r="S82" i="69"/>
  <c r="Q36" i="69"/>
  <c r="R32" i="69"/>
  <c r="S12" i="69"/>
  <c r="Q179" i="119"/>
  <c r="Q25" i="119"/>
  <c r="Q179" i="112"/>
  <c r="Q25" i="112"/>
  <c r="P174" i="69"/>
  <c r="P170" i="69"/>
  <c r="P166" i="69"/>
  <c r="S118" i="69"/>
  <c r="S106" i="69"/>
  <c r="S94" i="69"/>
  <c r="R74" i="69"/>
  <c r="P58" i="69"/>
  <c r="P24" i="69"/>
  <c r="Q24" i="69"/>
  <c r="S134" i="69"/>
  <c r="P134" i="69"/>
  <c r="C19" i="135"/>
  <c r="Q125" i="112"/>
  <c r="C25" i="135"/>
  <c r="C51" i="135"/>
  <c r="Q125" i="119"/>
  <c r="C57" i="135"/>
  <c r="R90" i="69"/>
  <c r="Q247" i="112"/>
  <c r="C32" i="135"/>
  <c r="C26" i="135"/>
  <c r="Q247" i="119"/>
  <c r="C64" i="135"/>
  <c r="C58" i="135"/>
  <c r="C22" i="135"/>
  <c r="C30" i="135"/>
  <c r="C60" i="135"/>
  <c r="R44" i="69"/>
  <c r="Q134" i="69"/>
  <c r="S44" i="69"/>
  <c r="D23" i="135"/>
  <c r="E61" i="135"/>
  <c r="F53" i="135"/>
  <c r="D52" i="135"/>
  <c r="R247" i="141"/>
  <c r="D48" i="135"/>
  <c r="D42" i="135"/>
  <c r="T247" i="141"/>
  <c r="F48" i="135"/>
  <c r="F42" i="135"/>
  <c r="D27" i="135"/>
  <c r="F22" i="135"/>
  <c r="D55" i="135"/>
  <c r="E30" i="135"/>
  <c r="D29" i="135"/>
  <c r="F20" i="135"/>
  <c r="E13" i="135"/>
  <c r="Q90" i="69"/>
  <c r="C21" i="135"/>
  <c r="C29" i="135"/>
  <c r="C55" i="135"/>
  <c r="S90" i="69"/>
  <c r="R134" i="69"/>
  <c r="S178" i="69"/>
  <c r="C20" i="135"/>
  <c r="C52" i="135"/>
  <c r="R178" i="69"/>
  <c r="D59" i="135"/>
  <c r="F54" i="135"/>
  <c r="E26" i="135"/>
  <c r="S247" i="112"/>
  <c r="E32" i="135"/>
  <c r="R125" i="112"/>
  <c r="D25" i="135"/>
  <c r="D19" i="135"/>
  <c r="F62" i="135"/>
  <c r="D60" i="135"/>
  <c r="F52" i="135"/>
  <c r="F51" i="135"/>
  <c r="T125" i="119"/>
  <c r="F57" i="135"/>
  <c r="D35" i="135"/>
  <c r="R125" i="141"/>
  <c r="D41" i="135"/>
  <c r="F35" i="135"/>
  <c r="T125" i="141"/>
  <c r="F41" i="135"/>
  <c r="F27" i="135"/>
  <c r="T247" i="112"/>
  <c r="F32" i="135"/>
  <c r="F26" i="135"/>
  <c r="D30" i="135"/>
  <c r="T125" i="112"/>
  <c r="F25" i="135"/>
  <c r="F19" i="135"/>
  <c r="F11" i="135"/>
  <c r="D7" i="135"/>
  <c r="D3" i="135"/>
  <c r="R125" i="140"/>
  <c r="D9" i="135"/>
  <c r="P90" i="69"/>
  <c r="C28" i="135"/>
  <c r="C54" i="135"/>
  <c r="C62" i="135"/>
  <c r="Q44" i="69"/>
  <c r="Q178" i="69"/>
  <c r="R247" i="112"/>
  <c r="D32" i="135"/>
  <c r="D26" i="135"/>
  <c r="F23" i="135"/>
  <c r="D21" i="135"/>
  <c r="F59" i="135"/>
  <c r="T247" i="119"/>
  <c r="F64" i="135"/>
  <c r="F58" i="135"/>
  <c r="F28" i="135"/>
  <c r="E20" i="135"/>
  <c r="E62" i="135"/>
  <c r="D61" i="135"/>
  <c r="E53" i="135"/>
  <c r="S247" i="141"/>
  <c r="E48" i="135"/>
  <c r="E42" i="135"/>
  <c r="E28" i="135"/>
  <c r="S125" i="112"/>
  <c r="E25" i="135"/>
  <c r="E19" i="135"/>
  <c r="D58" i="135"/>
  <c r="R247" i="119"/>
  <c r="D64" i="135"/>
  <c r="F55" i="135"/>
  <c r="D53" i="135"/>
  <c r="D11" i="135"/>
  <c r="C39" i="135"/>
  <c r="E5" i="135"/>
  <c r="F7" i="135"/>
  <c r="C15" i="135"/>
  <c r="E44" i="135"/>
  <c r="E36" i="135"/>
  <c r="C23" i="135"/>
  <c r="C53" i="135"/>
  <c r="C61" i="135"/>
  <c r="C27" i="135"/>
  <c r="C59" i="135"/>
  <c r="P44" i="69"/>
  <c r="P178" i="69"/>
  <c r="E27" i="135"/>
  <c r="E23" i="135"/>
  <c r="D22" i="135"/>
  <c r="E60" i="135"/>
  <c r="E51" i="135"/>
  <c r="S125" i="119"/>
  <c r="E57" i="135"/>
  <c r="F29" i="135"/>
  <c r="D62" i="135"/>
  <c r="E54" i="135"/>
  <c r="E35" i="135"/>
  <c r="S125" i="141"/>
  <c r="E41" i="135"/>
  <c r="E29" i="135"/>
  <c r="F21" i="135"/>
  <c r="E59" i="135"/>
  <c r="E55" i="135"/>
  <c r="D54" i="135"/>
  <c r="F30" i="135"/>
  <c r="D28" i="135"/>
  <c r="C13" i="135"/>
  <c r="F46" i="135"/>
  <c r="D20" i="135"/>
  <c r="F61" i="135"/>
  <c r="E4" i="135"/>
  <c r="C14" i="135"/>
  <c r="D12" i="135"/>
  <c r="E6" i="135"/>
  <c r="E14" i="135"/>
  <c r="F12" i="135"/>
  <c r="D46" i="135"/>
  <c r="D36" i="135"/>
  <c r="D47" i="135"/>
  <c r="F31" i="135"/>
  <c r="E21" i="135"/>
  <c r="E58" i="135"/>
  <c r="S247" i="119"/>
  <c r="E64" i="135"/>
  <c r="R125" i="119"/>
  <c r="D57" i="135"/>
  <c r="D51" i="135"/>
  <c r="C36" i="135"/>
  <c r="D4" i="135"/>
  <c r="F4" i="135"/>
  <c r="C40" i="135"/>
  <c r="C38" i="135"/>
  <c r="C43" i="135"/>
  <c r="C12" i="135"/>
  <c r="D6" i="135"/>
  <c r="D14" i="135"/>
  <c r="E12" i="135"/>
  <c r="F6" i="135"/>
  <c r="F14" i="135"/>
  <c r="D38" i="135"/>
  <c r="E3" i="135"/>
  <c r="S125" i="140"/>
  <c r="E9" i="135"/>
  <c r="F36" i="135"/>
  <c r="E8" i="135"/>
  <c r="E22" i="135"/>
  <c r="F60" i="135"/>
  <c r="E52" i="135"/>
  <c r="C11" i="135"/>
  <c r="E11" i="135"/>
  <c r="C4" i="135"/>
  <c r="C37" i="135"/>
  <c r="D5" i="135"/>
  <c r="D13" i="135"/>
  <c r="E7" i="135"/>
  <c r="F5" i="135"/>
  <c r="F13" i="135"/>
  <c r="F38" i="135"/>
  <c r="C5" i="135"/>
  <c r="T125" i="140"/>
  <c r="F9" i="135"/>
  <c r="F3" i="135"/>
  <c r="D44" i="135"/>
  <c r="E38" i="135"/>
  <c r="E46" i="135"/>
  <c r="F44" i="135"/>
  <c r="C7" i="135"/>
  <c r="C45" i="135"/>
  <c r="Q247" i="140"/>
  <c r="C16" i="135"/>
  <c r="C10" i="135"/>
  <c r="R247" i="140"/>
  <c r="D16" i="135"/>
  <c r="D10" i="135"/>
  <c r="S247" i="140"/>
  <c r="E16" i="135"/>
  <c r="E10" i="135"/>
  <c r="T247" i="140"/>
  <c r="F16" i="135"/>
  <c r="F10" i="135"/>
  <c r="D43" i="135"/>
  <c r="E43" i="135"/>
  <c r="F43" i="135"/>
  <c r="C47" i="135"/>
  <c r="Q125" i="140"/>
  <c r="C9" i="135"/>
  <c r="C42" i="135"/>
  <c r="Q247" i="141"/>
  <c r="C48" i="135"/>
  <c r="D39" i="135"/>
  <c r="E37" i="135"/>
  <c r="E45" i="135"/>
  <c r="F39" i="135"/>
  <c r="C6" i="135"/>
  <c r="C35" i="135"/>
  <c r="Q125" i="141"/>
  <c r="C41" i="135"/>
  <c r="C44" i="135"/>
  <c r="D37" i="135"/>
  <c r="D45" i="135"/>
  <c r="E39" i="135"/>
  <c r="F37" i="135"/>
  <c r="F45" i="135"/>
  <c r="C46" i="135"/>
  <c r="F24" i="135"/>
  <c r="C8" i="135"/>
  <c r="D40" i="135"/>
  <c r="F15" i="135"/>
  <c r="E15" i="135"/>
  <c r="D24" i="135"/>
  <c r="D31" i="135"/>
  <c r="E56" i="135"/>
  <c r="F8" i="135"/>
  <c r="F40" i="135"/>
  <c r="E40" i="135"/>
  <c r="C24" i="135"/>
  <c r="C31" i="135"/>
  <c r="E63" i="135"/>
  <c r="D8" i="135"/>
  <c r="D15" i="135"/>
  <c r="F47" i="135"/>
  <c r="E47" i="135"/>
  <c r="E24" i="135"/>
  <c r="E31" i="135"/>
  <c r="C56" i="135"/>
  <c r="C63" i="135"/>
  <c r="F56" i="135"/>
  <c r="F63" i="135"/>
  <c r="D56" i="135"/>
  <c r="D63" i="135"/>
</calcChain>
</file>

<file path=xl/sharedStrings.xml><?xml version="1.0" encoding="utf-8"?>
<sst xmlns="http://schemas.openxmlformats.org/spreadsheetml/2006/main" count="785" uniqueCount="135">
  <si>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</si>
  <si>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</si>
  <si>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</si>
  <si>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</si>
  <si>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</si>
  <si>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</si>
  <si>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</si>
  <si>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</si>
  <si>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</si>
  <si>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</si>
  <si>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</si>
  <si>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</si>
  <si>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</si>
  <si>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</si>
  <si>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</si>
  <si>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</si>
  <si>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</si>
  <si>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</si>
  <si>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</si>
  <si>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</si>
  <si>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</si>
  <si>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</si>
  <si>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</si>
  <si>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</si>
  <si>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</si>
  <si>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</si>
  <si>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</si>
  <si>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</si>
  <si>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</si>
  <si>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</si>
  <si>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</si>
  <si>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</si>
  <si>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</si>
  <si>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</si>
  <si>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</si>
  <si>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</si>
  <si>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</si>
  <si>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</si>
  <si>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</si>
  <si>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</si>
  <si>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</si>
  <si>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</si>
  <si>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</si>
  <si>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</si>
  <si>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</si>
  <si>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</si>
  <si>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</si>
  <si>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</si>
  <si>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</si>
  <si>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</si>
  <si>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</si>
  <si>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</si>
  <si>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</si>
  <si>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</si>
  <si>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</si>
  <si>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</si>
  <si>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</si>
  <si>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</si>
  <si>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</si>
  <si>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</si>
  <si>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</si>
  <si>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</si>
  <si>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</si>
  <si>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</si>
  <si>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</si>
  <si>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</si>
  <si>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x264 medium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</si>
  <si>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</si>
  <si>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</si>
  <si>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</si>
  <si>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</si>
  <si>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</si>
  <si>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</si>
  <si>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</si>
  <si>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</si>
  <si>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</si>
  <si>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 xml:space="preserve">x264 superfast threads 1 </t>
  </si>
  <si>
    <t xml:space="preserve">x264 fast threads 1 </t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</si>
  <si>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</si>
  <si>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</si>
  <si>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</si>
  <si>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Show</t>
    <phoneticPr fontId="5" type="noConversion"/>
  </si>
  <si>
    <t>IMG_1290_1280x720_15</t>
  </si>
  <si>
    <t>IMG_1307_1280x720_15</t>
  </si>
  <si>
    <t>IMG_1308_1280x720_15</t>
  </si>
  <si>
    <t>IMG_1309_1280x720_15</t>
  </si>
  <si>
    <t>IMG_1310_1280x720_15</t>
  </si>
  <si>
    <t>IOS_iphone_6s_1280x720_15</t>
  </si>
  <si>
    <t>VID20160731175035_1280x720_15</t>
  </si>
  <si>
    <t>VID20160731175540_1280x720_15</t>
  </si>
  <si>
    <t>VID20160731182915_1280x720_15</t>
  </si>
  <si>
    <t>VID20160801104514_1280x720_15</t>
  </si>
  <si>
    <t>vivo1_1280x720_15</t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</si>
  <si>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</si>
  <si>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</si>
  <si>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</si>
  <si>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</si>
  <si>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</si>
  <si>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</si>
  <si>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btr-diff q265</t>
  </si>
  <si>
    <t>btr-diff x264</t>
  </si>
  <si>
    <t>x264</t>
  </si>
  <si>
    <t>264anchor</t>
    <phoneticPr fontId="5" type="noConversion"/>
  </si>
  <si>
    <t xml:space="preserve">q265 medium v2.6.1.3 threads 1 </t>
  </si>
  <si>
    <t>q265 medium v2.6.1.3 threads 0</t>
  </si>
  <si>
    <t xml:space="preserve">q265 fast v2.6.1.3 threads 1 </t>
  </si>
  <si>
    <t>q265 fast v2.6.1.3 threads 0</t>
  </si>
  <si>
    <t xml:space="preserve">q265 veryfast v2.6.1.3 threads 1 </t>
  </si>
  <si>
    <t>q265 veryfast v2.6.1.3 threads 0</t>
  </si>
  <si>
    <t xml:space="preserve">q265 ultrafast v2.6.1.3 threads 1 </t>
  </si>
  <si>
    <t>q265 ultrafast v2.6.1.3 threads 0</t>
  </si>
  <si>
    <t>./appencoder -b out.265 -i BQSquare_416x240_60.yuv -preset medium -tune default -latency  offline -threads 1 -wpp 0 -psnr 2 -rc 1 -br [btrNumber] -frms 1000000 -iper [iPer]</t>
  </si>
  <si>
    <t>./appencoder -b out.265 -i BQSquare_416x240_60.yuv -preset fast -tune default -latency  offline -threads 1 -wpp 0 -psnr 2 -rc 1 -br [btrNumber] -frms 1000000 -iper [iPer]</t>
  </si>
  <si>
    <t>./appencoder -b out.265 -i BQSquare_416x240_60.yuv -preset veryfast -tune default -latency  offline -threads 1 -wpp 0 -psnr 2 -rc 1 -br [btrNumber] -frms 1000000 -iper [iPer]</t>
  </si>
  <si>
    <t>本测试为X264与QY265v2.6.1.3版本离线编码对比测试，测试设备为OPPO r9splus手机（android6.0操作系统，高通骁龙653 八核CPU，6G运行内存，64G存储容量），采取cbr模式编码、superfast档次、单线程模式编码</t>
  </si>
  <si>
    <t>本测试为X264与QY265v2.6.1.3版本离线编码对比测试，测试设备为OPPO r9splus手机（android6.0操作系统，高通骁龙653 八核CPU，6G运行内存，64G存储容量），采取cbr模式编码、superfast档次、满线程模式编码</t>
  </si>
  <si>
    <t>本测试为X264与QY265v2.6.1.3版本离线编码对比测试，测试设备为OPPO r9splus手机（android6.0操作系统，高通骁龙653 八核CPU，6G运行内存，64G存储容量），采取cbr模式编码、veryfast档次、单线程模式编码</t>
  </si>
  <si>
    <t>本测试为X264与QY265v2.6.1.3版本离线编码对比测试，测试设备为OPPO r9splus手机（android6.0操作系统，高通骁龙653 八核CPU，6G运行内存，64G存储容量），采取cbr模式编码、veryfast档次、满线程模式编码</t>
  </si>
  <si>
    <t>本测试为X264与QY265v2.6.1.3版本离线编码对比测试，测试设备为OPPO r9splus手机（android6.0操作系统，高通骁龙653 八核CPU，6G运行内存，64G存储容量），采取cbr模式编码、fast档次、单线程模式编码</t>
  </si>
  <si>
    <t>本测试为X264与QY265v2.6.1.3版本离线编码对比测试，测试设备为OPPO r9splus手机（android6.0操作系统，高通骁龙653 八核CPU，6G运行内存，64G存储容量），采取cbr模式编码、fast档次、满线程模式编码</t>
  </si>
  <si>
    <t>本测试为X264与QY265v2.6.1.3版本离线编码对比测试，测试设备为OPPO r9splus手机（android6.0操作系统，高通骁龙653 八核CPU，6G运行内存，64G存储容量），采取cbr模式编码、medium档次、单线程模式编码</t>
  </si>
  <si>
    <t>本测试为X264与QY265v2.6.1.3版本离线编码对比测试，测试设备为OPPO r9splus手机（android6.0操作系统，高通骁龙653 八核CPU，6G运行内存，64G存储容量），采取cbr模式编码、medium档次、满线程模式编码</t>
  </si>
  <si>
    <t>./x264 -o out.264 BQSquare_416x240_60.yuv --input-res 416x240 --preset superfast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</si>
  <si>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veryfast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</si>
  <si>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</si>
  <si>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medium --threads 4 --fps [framerate] --profile high --aq-mode 0 --no-psy  --psnr  --bitrate [btrNumber]  --keyint [keyint] --frames 1000000</t>
    <phoneticPr fontId="5" type="noConversion"/>
  </si>
  <si>
    <t>x264 superfast threads 4</t>
    <phoneticPr fontId="5" type="noConversion"/>
  </si>
  <si>
    <t>x264 veryfast threads 4</t>
    <phoneticPr fontId="5" type="noConversion"/>
  </si>
  <si>
    <t>x264 fast threads 4</t>
    <phoneticPr fontId="5" type="noConversion"/>
  </si>
  <si>
    <t>x264 medium threads 4</t>
    <phoneticPr fontId="5" type="noConversion"/>
  </si>
  <si>
    <t>./appencoder -b out.265 -i BQSquare_416x240_60.yuv -preset ultrafast -tune default -latency  offline -threads 1 -wpp 0 -psnr 2 -rc 1 -br [btrNumber] -frms 1000000 -iper [iPer]</t>
    <phoneticPr fontId="5" type="noConversion"/>
  </si>
  <si>
    <t>X264 superfastvsQY265_ultrafast</t>
  </si>
  <si>
    <t>X264vsQY265_veryfast</t>
    <phoneticPr fontId="5" type="noConversion"/>
  </si>
  <si>
    <t>X264vsQY265_fast</t>
    <phoneticPr fontId="5" type="noConversion"/>
  </si>
  <si>
    <t>X264vsQY265_medium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</si>
</sst>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%"/>
    <numFmt numFmtId="178" formatCode="0.00_);[Red]\(0.00\)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8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8" fontId="2" fillId="0" borderId="6" xfId="0" applyNumberFormat="1" applyFont="1" applyBorder="1"/>
    <xf numFmtId="178" fontId="2" fillId="2" borderId="5" xfId="0" applyNumberFormat="1" applyFont="1" applyFill="1" applyBorder="1" applyAlignment="1"/>
    <xf numFmtId="178" fontId="2" fillId="0" borderId="0" xfId="0" applyNumberFormat="1" applyFont="1"/>
    <xf numFmtId="178" fontId="0" fillId="0" borderId="0" xfId="0" applyNumberFormat="1"/>
    <xf numFmtId="178" fontId="2" fillId="0" borderId="7" xfId="0" applyNumberFormat="1" applyFont="1" applyBorder="1"/>
    <xf numFmtId="178" fontId="2" fillId="2" borderId="0" xfId="0" applyNumberFormat="1" applyFont="1" applyFill="1" applyBorder="1" applyAlignment="1"/>
    <xf numFmtId="178" fontId="2" fillId="0" borderId="9" xfId="0" applyNumberFormat="1" applyFont="1" applyBorder="1"/>
    <xf numFmtId="178" fontId="2" fillId="2" borderId="11" xfId="0" applyNumberFormat="1" applyFont="1" applyFill="1" applyBorder="1" applyAlignment="1"/>
    <xf numFmtId="0" fontId="0" fillId="3" borderId="25" xfId="0" applyFill="1" applyBorder="1"/>
    <xf numFmtId="177" fontId="2" fillId="0" borderId="8" xfId="0" applyNumberFormat="1" applyFont="1" applyBorder="1"/>
    <xf numFmtId="177" fontId="2" fillId="0" borderId="0" xfId="0" applyNumberFormat="1" applyFont="1" applyBorder="1"/>
    <xf numFmtId="177" fontId="2" fillId="0" borderId="14" xfId="0" applyNumberFormat="1" applyFont="1" applyBorder="1"/>
    <xf numFmtId="177" fontId="2" fillId="0" borderId="10" xfId="0" applyNumberFormat="1" applyFont="1" applyBorder="1"/>
    <xf numFmtId="177" fontId="2" fillId="0" borderId="11" xfId="0" applyNumberFormat="1" applyFont="1" applyBorder="1"/>
    <xf numFmtId="177" fontId="2" fillId="0" borderId="15" xfId="0" applyNumberFormat="1" applyFont="1" applyBorder="1"/>
    <xf numFmtId="10" fontId="2" fillId="0" borderId="16" xfId="0" applyNumberFormat="1" applyFont="1" applyFill="1" applyBorder="1" applyAlignment="1">
      <alignment horizontal="center"/>
    </xf>
    <xf numFmtId="0" fontId="0" fillId="0" borderId="16" xfId="0" applyBorder="1"/>
    <xf numFmtId="10" fontId="0" fillId="0" borderId="1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0" fontId="9" fillId="0" borderId="16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57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X264vsQY265_superfas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264vsQY265_superfa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8" t="s">
        <v>23</v>
      </c>
      <c r="C2" s="59"/>
      <c r="D2" s="59"/>
      <c r="E2" s="59"/>
      <c r="F2" s="59"/>
      <c r="G2" s="59"/>
      <c r="H2" s="5"/>
      <c r="I2" s="58" t="s">
        <v>24</v>
      </c>
      <c r="J2" s="59"/>
      <c r="K2" s="59"/>
      <c r="L2" s="59"/>
      <c r="M2" s="59"/>
      <c r="N2" s="59"/>
      <c r="P2" s="58" t="s">
        <v>7</v>
      </c>
      <c r="Q2" s="59"/>
      <c r="R2" s="60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8" t="s">
        <v>24</v>
      </c>
      <c r="C48" s="59"/>
      <c r="D48" s="59"/>
      <c r="E48" s="59"/>
      <c r="F48" s="59"/>
      <c r="G48" s="59"/>
      <c r="H48" s="5"/>
      <c r="I48" s="58" t="s">
        <v>26</v>
      </c>
      <c r="J48" s="59"/>
      <c r="K48" s="59"/>
      <c r="L48" s="59"/>
      <c r="M48" s="59"/>
      <c r="N48" s="59"/>
      <c r="P48" s="58" t="s">
        <v>7</v>
      </c>
      <c r="Q48" s="59"/>
      <c r="R48" s="60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8" t="s">
        <v>24</v>
      </c>
      <c r="C92" s="59"/>
      <c r="D92" s="59"/>
      <c r="E92" s="59"/>
      <c r="F92" s="59"/>
      <c r="G92" s="59"/>
      <c r="H92" s="5"/>
      <c r="I92" s="58" t="s">
        <v>27</v>
      </c>
      <c r="J92" s="59"/>
      <c r="K92" s="59"/>
      <c r="L92" s="59"/>
      <c r="M92" s="59"/>
      <c r="N92" s="59"/>
      <c r="P92" s="58" t="s">
        <v>7</v>
      </c>
      <c r="Q92" s="59"/>
      <c r="R92" s="60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8" t="s">
        <v>24</v>
      </c>
      <c r="C136" s="59"/>
      <c r="D136" s="59"/>
      <c r="E136" s="59"/>
      <c r="F136" s="59"/>
      <c r="G136" s="59"/>
      <c r="H136" s="5"/>
      <c r="I136" s="58" t="s">
        <v>28</v>
      </c>
      <c r="J136" s="59"/>
      <c r="K136" s="59"/>
      <c r="L136" s="59"/>
      <c r="M136" s="59"/>
      <c r="N136" s="59"/>
      <c r="P136" s="58" t="s">
        <v>7</v>
      </c>
      <c r="Q136" s="59"/>
      <c r="R136" s="60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577" priority="21" operator="greaterThan">
      <formula>0.03</formula>
    </cfRule>
    <cfRule type="cellIs" dxfId="576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4"/>
  <sheetViews>
    <sheetView tabSelected="1" topLeftCell="A52" zoomScale="85" zoomScaleNormal="85" workbookViewId="0">
      <selection activeCell="F47" sqref="F47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12" bestFit="1" customWidth="1"/>
    <col min="9" max="9" width="12.125" bestFit="1" customWidth="1"/>
  </cols>
  <sheetData>
    <row r="1" spans="1:9" ht="16.5" thickBot="1" x14ac:dyDescent="0.3">
      <c r="A1" s="64" t="s">
        <v>131</v>
      </c>
      <c r="B1" s="65"/>
      <c r="C1" s="65"/>
      <c r="D1" s="65"/>
      <c r="E1" s="65"/>
      <c r="F1" s="65"/>
      <c r="G1" s="65"/>
      <c r="H1" s="65"/>
      <c r="I1" s="66"/>
    </row>
    <row r="2" spans="1:9" ht="16.5" thickBot="1" x14ac:dyDescent="0.3">
      <c r="A2" s="37" t="s">
        <v>72</v>
      </c>
      <c r="B2" s="37" t="s">
        <v>71</v>
      </c>
      <c r="C2" s="37" t="s">
        <v>67</v>
      </c>
      <c r="D2" s="37" t="s">
        <v>68</v>
      </c>
      <c r="E2" s="37" t="s">
        <v>69</v>
      </c>
      <c r="F2" s="37" t="s">
        <v>70</v>
      </c>
      <c r="G2" s="37" t="s">
        <v>73</v>
      </c>
      <c r="H2" s="37" t="s">
        <v>100</v>
      </c>
      <c r="I2" s="37" t="s">
        <v>99</v>
      </c>
    </row>
    <row r="3" spans="1:9" ht="16.5" thickBot="1" x14ac:dyDescent="0.3">
      <c r="A3" s="61">
        <v>1</v>
      </c>
      <c r="B3" s="37" t="s">
        <v>35</v>
      </c>
      <c r="C3" s="38" t="e">
        <f>AVERAGE([1]X264vsQY265_superfast!Q9:Q16)</f>
        <v>#REF!</v>
      </c>
      <c r="D3" s="38">
        <f>AVERAGE(X264vsQY265_superfast!R9:R16)</f>
        <v>-0.4998371082802629</v>
      </c>
      <c r="E3" s="38">
        <f>AVERAGE(X264vsQY265_superfast!S9:S16)</f>
        <v>-0.57948708677664706</v>
      </c>
      <c r="F3" s="38">
        <f>AVERAGE(X264vsQY265_superfast!T9:T16)</f>
        <v>-0.44480967336973243</v>
      </c>
      <c r="G3" s="39">
        <f>AVERAGE(X264vsQY265_superfast!U9:U16)</f>
        <v>-5.6585673210399978E-2</v>
      </c>
      <c r="H3" s="39">
        <f>AVERAGE(X264vsQY265_superfast!V9:V16)</f>
        <v>2.8937777777777791E-2</v>
      </c>
      <c r="I3" s="39">
        <f>AVERAGE(X264vsQY265_superfast!W9:W16)</f>
        <v>3.9807383333333363E-2</v>
      </c>
    </row>
    <row r="4" spans="1:9" ht="16.5" thickBot="1" x14ac:dyDescent="0.3">
      <c r="A4" s="62"/>
      <c r="B4" s="37" t="s">
        <v>37</v>
      </c>
      <c r="C4" s="38">
        <f>AVERAGE(X264vsQY265_superfast!Q17:Q36)</f>
        <v>-0.52148368408045098</v>
      </c>
      <c r="D4" s="38">
        <f>AVERAGE(X264vsQY265_superfast!R17:R36)</f>
        <v>-0.55922935912944116</v>
      </c>
      <c r="E4" s="38">
        <f>AVERAGE(X264vsQY265_superfast!S17:S36)</f>
        <v>-0.57514614296143729</v>
      </c>
      <c r="F4" s="38">
        <f>AVERAGE(X264vsQY265_superfast!T17:T36)</f>
        <v>-0.5300860436069299</v>
      </c>
      <c r="G4" s="39">
        <f>AVERAGE(X264vsQY265_superfast!U17:U36)</f>
        <v>7.4297152289565904E-2</v>
      </c>
      <c r="H4" s="39">
        <f>AVERAGE(X264vsQY265_superfast!V17:V36)</f>
        <v>4.0355055555555533E-2</v>
      </c>
      <c r="I4" s="39">
        <f>AVERAGE(X264vsQY265_superfast!W17:W36)</f>
        <v>1.5353815000000003E-2</v>
      </c>
    </row>
    <row r="5" spans="1:9" ht="16.5" thickBot="1" x14ac:dyDescent="0.3">
      <c r="A5" s="62"/>
      <c r="B5" s="37" t="s">
        <v>39</v>
      </c>
      <c r="C5" s="38">
        <f>AVERAGE(X264vsQY265_superfast!Q37:Q52)</f>
        <v>-0.42815839603411676</v>
      </c>
      <c r="D5" s="38">
        <f>AVERAGE(X264vsQY265_superfast!R37:R52)</f>
        <v>-0.51402407810611361</v>
      </c>
      <c r="E5" s="38">
        <f>AVERAGE(X264vsQY265_superfast!S37:S52)</f>
        <v>-0.49272451959147606</v>
      </c>
      <c r="F5" s="38">
        <f>AVERAGE(X264vsQY265_superfast!T37:T52)</f>
        <v>-0.44171430985386451</v>
      </c>
      <c r="G5" s="39">
        <f>AVERAGE(X264vsQY265_superfast!U37:U52)</f>
        <v>-0.19400109759063836</v>
      </c>
      <c r="H5" s="39">
        <f>AVERAGE(X264vsQY265_superfast!V37:V52)</f>
        <v>2.6465101581885846E-2</v>
      </c>
      <c r="I5" s="39">
        <f>AVERAGE(X264vsQY265_superfast!W37:W52)</f>
        <v>2.1772620833333322E-2</v>
      </c>
    </row>
    <row r="6" spans="1:9" ht="16.5" thickBot="1" x14ac:dyDescent="0.3">
      <c r="A6" s="62"/>
      <c r="B6" s="37" t="s">
        <v>41</v>
      </c>
      <c r="C6" s="38">
        <f>AVERAGE(X264vsQY265_superfast!Q53:Q68)</f>
        <v>-0.34944057133083656</v>
      </c>
      <c r="D6" s="38">
        <f>AVERAGE(X264vsQY265_superfast!R53:R68)</f>
        <v>-0.5237037332591794</v>
      </c>
      <c r="E6" s="38">
        <f>AVERAGE(X264vsQY265_superfast!S53:S68)</f>
        <v>-0.52622669344939743</v>
      </c>
      <c r="F6" s="38">
        <f>AVERAGE(X264vsQY265_superfast!T53:T68)</f>
        <v>-0.38104854318124037</v>
      </c>
      <c r="G6" s="39">
        <f>AVERAGE(X264vsQY265_superfast!U53:U68)</f>
        <v>-0.29556559052403958</v>
      </c>
      <c r="H6" s="39">
        <f>AVERAGE(X264vsQY265_superfast!V53:V68)</f>
        <v>3.7152499999999998E-2</v>
      </c>
      <c r="I6" s="39">
        <f>AVERAGE(X264vsQY265_superfast!W53:W68)</f>
        <v>2.7742241666666695E-2</v>
      </c>
    </row>
    <row r="7" spans="1:9" ht="16.5" thickBot="1" x14ac:dyDescent="0.3">
      <c r="A7" s="62"/>
      <c r="B7" s="37" t="s">
        <v>43</v>
      </c>
      <c r="C7" s="38">
        <f>AVERAGE(X264vsQY265_superfast!Q69:Q80)</f>
        <v>-0.49380198457458446</v>
      </c>
      <c r="D7" s="38">
        <f>AVERAGE(X264vsQY265_superfast!R69:R80)</f>
        <v>-0.64138363490652184</v>
      </c>
      <c r="E7" s="38">
        <f>AVERAGE(X264vsQY265_superfast!S69:S80)</f>
        <v>-0.64635244589933649</v>
      </c>
      <c r="F7" s="38">
        <f>AVERAGE(X264vsQY265_superfast!T69:T80)</f>
        <v>-0.53100409026696571</v>
      </c>
      <c r="G7" s="39">
        <f>AVERAGE(X264vsQY265_superfast!U69:U80)</f>
        <v>0.10945703082408249</v>
      </c>
      <c r="H7" s="39">
        <f>AVERAGE(X264vsQY265_superfast!V69:V80)</f>
        <v>5.8866666666666678E-2</v>
      </c>
      <c r="I7" s="39">
        <f>AVERAGE(X264vsQY265_superfast!W69:W80)</f>
        <v>2.1081466666666659E-2</v>
      </c>
    </row>
    <row r="8" spans="1:9" ht="16.5" thickBot="1" x14ac:dyDescent="0.3">
      <c r="A8" s="62"/>
      <c r="B8" s="48" t="s">
        <v>81</v>
      </c>
      <c r="C8" s="38">
        <f>AVERAGE(X264vsQY265_superfast!Q81:Q124)</f>
        <v>-0.38534177113142154</v>
      </c>
      <c r="D8" s="38">
        <f>AVERAGE(X264vsQY265_superfast!R81:R124)</f>
        <v>-0.40561108808816293</v>
      </c>
      <c r="E8" s="38">
        <f>AVERAGE(X264vsQY265_superfast!S81:S124)</f>
        <v>-0.43686567370608703</v>
      </c>
      <c r="F8" s="38">
        <f>AVERAGE(X264vsQY265_superfast!T81:T124)</f>
        <v>-0.39235789896944856</v>
      </c>
      <c r="G8" s="39">
        <f>AVERAGE(X264vsQY265_superfast!U81:U124)</f>
        <v>1.5539921356508281E-2</v>
      </c>
      <c r="H8" s="39">
        <f>AVERAGE(X264vsQY265_superfast!V81:V124)</f>
        <v>1.1803939393939389E-2</v>
      </c>
      <c r="I8" s="39">
        <f>AVERAGE(X264vsQY265_superfast!W81:W124)</f>
        <v>1.759958257575758E-2</v>
      </c>
    </row>
    <row r="9" spans="1:9" ht="16.5" thickBot="1" x14ac:dyDescent="0.3">
      <c r="A9" s="63"/>
      <c r="B9" s="37" t="s">
        <v>75</v>
      </c>
      <c r="C9" s="38">
        <f>X264vsQY265_superfast!Q125</f>
        <v>-0.42392506963747556</v>
      </c>
      <c r="D9" s="38">
        <f>X264vsQY265_superfast!R125</f>
        <v>-0.49422776315028494</v>
      </c>
      <c r="E9" s="38">
        <f>X264vsQY265_superfast!S125</f>
        <v>-0.51224446513754973</v>
      </c>
      <c r="F9" s="38">
        <f>X264vsQY265_superfast!T125</f>
        <v>-0.43931207366825409</v>
      </c>
      <c r="G9" s="39">
        <f>X264vsQY265_superfast!U125</f>
        <v>-4.1401452070270496E-2</v>
      </c>
      <c r="H9" s="39">
        <f>X264vsQY265_superfast!V125</f>
        <v>2.8295330103248615E-2</v>
      </c>
      <c r="I9" s="39">
        <f>X264vsQY265_superfast!W125</f>
        <v>2.1078727586206894E-2</v>
      </c>
    </row>
    <row r="10" spans="1:9" ht="16.5" thickBot="1" x14ac:dyDescent="0.3">
      <c r="A10" s="61" t="s">
        <v>74</v>
      </c>
      <c r="B10" s="37" t="s">
        <v>35</v>
      </c>
      <c r="C10" s="38">
        <f>AVERAGE(X264vsQY265_superfast!Q131:Q138)</f>
        <v>-0.41221680860175874</v>
      </c>
      <c r="D10" s="38">
        <f>AVERAGE(X264vsQY265_superfast!R131:R138)</f>
        <v>-0.49229598931518748</v>
      </c>
      <c r="E10" s="38">
        <f>AVERAGE(X264vsQY265_superfast!S131:S138)</f>
        <v>-0.57168866353281067</v>
      </c>
      <c r="F10" s="38">
        <f>AVERAGE(X264vsQY265_superfast!T131:T138)</f>
        <v>-0.43021746659115723</v>
      </c>
      <c r="G10" s="39">
        <f>AVERAGE(X264vsQY265_superfast!U131:U138)</f>
        <v>-0.26847276950582899</v>
      </c>
      <c r="H10" s="39">
        <f>AVERAGE(X264vsQY265_superfast!V131:V138)</f>
        <v>3.2739583333333343E-2</v>
      </c>
      <c r="I10" s="39">
        <f>AVERAGE(X264vsQY265_superfast!W131:W138)</f>
        <v>4.6046683333333338E-2</v>
      </c>
    </row>
    <row r="11" spans="1:9" ht="16.5" thickBot="1" x14ac:dyDescent="0.3">
      <c r="A11" s="62"/>
      <c r="B11" s="37" t="s">
        <v>37</v>
      </c>
      <c r="C11" s="38">
        <f>AVERAGE(X264vsQY265_superfast!Q139:Q158)</f>
        <v>-0.50936260775808129</v>
      </c>
      <c r="D11" s="38">
        <f>AVERAGE(X264vsQY265_superfast!R139:R158)</f>
        <v>-0.55629205388514702</v>
      </c>
      <c r="E11" s="38">
        <f>AVERAGE(X264vsQY265_superfast!S139:S158)</f>
        <v>-0.56622775131420178</v>
      </c>
      <c r="F11" s="38">
        <f>AVERAGE(X264vsQY265_superfast!T139:T158)</f>
        <v>-0.51893759375208837</v>
      </c>
      <c r="G11" s="39">
        <f>AVERAGE(X264vsQY265_superfast!U139:U158)</f>
        <v>-5.3008794747759179E-2</v>
      </c>
      <c r="H11" s="39">
        <f>AVERAGE(X264vsQY265_superfast!V139:V158)</f>
        <v>4.2874749999999996E-2</v>
      </c>
      <c r="I11" s="39">
        <f>AVERAGE(X264vsQY265_superfast!W139:W158)</f>
        <v>1.4093153333333334E-2</v>
      </c>
    </row>
    <row r="12" spans="1:9" ht="16.5" thickBot="1" x14ac:dyDescent="0.3">
      <c r="A12" s="62"/>
      <c r="B12" s="37" t="s">
        <v>39</v>
      </c>
      <c r="C12" s="38">
        <f>AVERAGE(X264vsQY265_superfast!Q159:Q174)</f>
        <v>-0.41335236715507162</v>
      </c>
      <c r="D12" s="38">
        <f>AVERAGE(X264vsQY265_superfast!R159:R174)</f>
        <v>-0.49996742996251953</v>
      </c>
      <c r="E12" s="38">
        <f>AVERAGE(X264vsQY265_superfast!S159:S174)</f>
        <v>-0.4742914417440397</v>
      </c>
      <c r="F12" s="38">
        <f>AVERAGE(X264vsQY265_superfast!T159:T174)</f>
        <v>-0.42693601776158108</v>
      </c>
      <c r="G12" s="39">
        <f>AVERAGE(X264vsQY265_superfast!U159:U174)</f>
        <v>-0.27094158284882303</v>
      </c>
      <c r="H12" s="39">
        <f>AVERAGE(X264vsQY265_superfast!V159:V174)</f>
        <v>2.7087411378943636E-2</v>
      </c>
      <c r="I12" s="39">
        <f>AVERAGE(X264vsQY265_superfast!W159:W174)</f>
        <v>1.2851537499999999E-2</v>
      </c>
    </row>
    <row r="13" spans="1:9" ht="16.5" thickBot="1" x14ac:dyDescent="0.3">
      <c r="A13" s="62"/>
      <c r="B13" s="37" t="s">
        <v>41</v>
      </c>
      <c r="C13" s="38">
        <f>AVERAGE(X264vsQY265_superfast!Q175:Q190)</f>
        <v>-0.3375391323538367</v>
      </c>
      <c r="D13" s="38">
        <f>AVERAGE(X264vsQY265_superfast!R175:R190)</f>
        <v>-0.50997855710689377</v>
      </c>
      <c r="E13" s="38">
        <f>AVERAGE(X264vsQY265_superfast!S175:S190)</f>
        <v>-0.50860256646807067</v>
      </c>
      <c r="F13" s="38">
        <f>AVERAGE(X264vsQY265_superfast!T175:T190)</f>
        <v>-0.36832448964406983</v>
      </c>
      <c r="G13" s="39">
        <f>AVERAGE(X264vsQY265_superfast!U175:U190)</f>
        <v>-0.38457925943055166</v>
      </c>
      <c r="H13" s="39">
        <f>AVERAGE(X264vsQY265_superfast!V175:V190)</f>
        <v>3.6554479166666688E-2</v>
      </c>
      <c r="I13" s="39">
        <f>AVERAGE(X264vsQY265_superfast!W175:W190)</f>
        <v>1.7714391666666676E-2</v>
      </c>
    </row>
    <row r="14" spans="1:9" ht="16.5" thickBot="1" x14ac:dyDescent="0.3">
      <c r="A14" s="62"/>
      <c r="B14" s="37" t="s">
        <v>43</v>
      </c>
      <c r="C14" s="38">
        <f>AVERAGE(X264vsQY265_superfast!Q191:Q202)</f>
        <v>-0.48813688914017112</v>
      </c>
      <c r="D14" s="38">
        <f>AVERAGE(X264vsQY265_superfast!R191:R202)</f>
        <v>-0.63792622162677526</v>
      </c>
      <c r="E14" s="38">
        <f>AVERAGE(X264vsQY265_superfast!S191:S202)</f>
        <v>-0.63700472437387379</v>
      </c>
      <c r="F14" s="38">
        <f>AVERAGE(X264vsQY265_superfast!T191:T202)</f>
        <v>-0.5251875353251243</v>
      </c>
      <c r="G14" s="39">
        <f>AVERAGE(X264vsQY265_superfast!U191:U202)</f>
        <v>-0.23726565239048536</v>
      </c>
      <c r="H14" s="39">
        <f>AVERAGE(X264vsQY265_superfast!V191:V202)</f>
        <v>6.2032598039215674E-2</v>
      </c>
      <c r="I14" s="39">
        <f>AVERAGE(X264vsQY265_superfast!W191:W202)</f>
        <v>2.2128133333333341E-2</v>
      </c>
    </row>
    <row r="15" spans="1:9" ht="16.5" thickBot="1" x14ac:dyDescent="0.3">
      <c r="A15" s="62"/>
      <c r="B15" s="48" t="s">
        <v>81</v>
      </c>
      <c r="C15" s="38">
        <f>AVERAGE(X264vsQY265_superfast!Q203:Q246)</f>
        <v>-0.3744810243936057</v>
      </c>
      <c r="D15" s="38">
        <f>AVERAGE(X264vsQY265_superfast!R203:R246)</f>
        <v>-0.39779373002468804</v>
      </c>
      <c r="E15" s="38">
        <f>AVERAGE(X264vsQY265_superfast!S203:S246)</f>
        <v>-0.42877411482531724</v>
      </c>
      <c r="F15" s="38">
        <f>AVERAGE(X264vsQY265_superfast!T203:T246)</f>
        <v>-0.38203070656621402</v>
      </c>
      <c r="G15" s="39">
        <f>AVERAGE(X264vsQY265_superfast!U203:U246)</f>
        <v>-0.14388639493213473</v>
      </c>
      <c r="H15" s="39">
        <f>AVERAGE(X264vsQY265_superfast!V203:V246)</f>
        <v>1.1851515151515156E-2</v>
      </c>
      <c r="I15" s="39">
        <f>AVERAGE(X264vsQY265_superfast!W203:W246)</f>
        <v>1.8383365909090902E-2</v>
      </c>
    </row>
    <row r="16" spans="1:9" ht="15.75" customHeight="1" thickBot="1" x14ac:dyDescent="0.3">
      <c r="A16" s="63"/>
      <c r="B16" s="37" t="s">
        <v>75</v>
      </c>
      <c r="C16" s="38">
        <f>X264vsQY265_superfast!Q247</f>
        <v>-0.41236257206137011</v>
      </c>
      <c r="D16" s="38">
        <f>X264vsQY265_superfast!R247</f>
        <v>-0.48604641005122962</v>
      </c>
      <c r="E16" s="38">
        <f>X264vsQY265_superfast!S247</f>
        <v>-0.50115936388569593</v>
      </c>
      <c r="F16" s="38">
        <f>X264vsQY265_superfast!T247</f>
        <v>-0.4280712175782444</v>
      </c>
      <c r="G16" s="39">
        <f>X264vsQY265_superfast!U247</f>
        <v>-0.19719379942389273</v>
      </c>
      <c r="H16" s="39">
        <f>X264vsQY265_superfast!V247</f>
        <v>2.9340859987359379E-2</v>
      </c>
      <c r="I16" s="39">
        <f>X264vsQY265_superfast!W247</f>
        <v>1.9083595689655179E-2</v>
      </c>
    </row>
    <row r="17" spans="1:9" ht="16.5" thickBot="1" x14ac:dyDescent="0.3">
      <c r="A17" s="64" t="s">
        <v>132</v>
      </c>
      <c r="B17" s="65"/>
      <c r="C17" s="65"/>
      <c r="D17" s="65"/>
      <c r="E17" s="65"/>
      <c r="F17" s="65"/>
      <c r="G17" s="65"/>
      <c r="H17" s="65"/>
      <c r="I17" s="66"/>
    </row>
    <row r="18" spans="1:9" ht="16.5" thickBot="1" x14ac:dyDescent="0.3">
      <c r="A18" s="37" t="s">
        <v>72</v>
      </c>
      <c r="B18" s="37" t="s">
        <v>71</v>
      </c>
      <c r="C18" s="37" t="s">
        <v>67</v>
      </c>
      <c r="D18" s="37" t="s">
        <v>68</v>
      </c>
      <c r="E18" s="37" t="s">
        <v>69</v>
      </c>
      <c r="F18" s="37" t="s">
        <v>70</v>
      </c>
      <c r="G18" s="37" t="s">
        <v>73</v>
      </c>
      <c r="H18" s="37" t="s">
        <v>100</v>
      </c>
      <c r="I18" s="37" t="s">
        <v>99</v>
      </c>
    </row>
    <row r="19" spans="1:9" ht="16.5" thickBot="1" x14ac:dyDescent="0.3">
      <c r="A19" s="61">
        <v>1</v>
      </c>
      <c r="B19" s="37" t="s">
        <v>35</v>
      </c>
      <c r="C19" s="38">
        <f>AVERAGE(X264vsQY265_veryfast!Q9:Q16)</f>
        <v>-0.43802032869171964</v>
      </c>
      <c r="D19" s="38">
        <f>AVERAGE(X264vsQY265_veryfast!R9:R16)</f>
        <v>-0.4189421243034237</v>
      </c>
      <c r="E19" s="38">
        <f>AVERAGE(X264vsQY265_veryfast!S9:S16)</f>
        <v>-0.45105045319963777</v>
      </c>
      <c r="F19" s="38">
        <f>AVERAGE(X264vsQY265_veryfast!T9:T16)</f>
        <v>-0.43891674209462067</v>
      </c>
      <c r="G19" s="39">
        <f>AVERAGE(X264vsQY265_veryfast!U9:U16)</f>
        <v>-9.0006180152785636E-2</v>
      </c>
      <c r="H19" s="39">
        <f>AVERAGE(X264vsQY265_veryfast!V9:V16)</f>
        <v>6.0898680555555564E-2</v>
      </c>
      <c r="I19" s="39">
        <f>AVERAGE(X264vsQY265_veryfast!W9:W16)</f>
        <v>3.3905016666666676E-2</v>
      </c>
    </row>
    <row r="20" spans="1:9" ht="16.5" thickBot="1" x14ac:dyDescent="0.3">
      <c r="A20" s="62"/>
      <c r="B20" s="37" t="s">
        <v>37</v>
      </c>
      <c r="C20" s="38">
        <f>AVERAGE(X264vsQY265_veryfast!Q17:Q36)</f>
        <v>-0.51115042140950617</v>
      </c>
      <c r="D20" s="38">
        <f>AVERAGE(X264vsQY265_veryfast!R17:R36)</f>
        <v>-0.55574871513065693</v>
      </c>
      <c r="E20" s="38">
        <f>AVERAGE(X264vsQY265_veryfast!S17:S36)</f>
        <v>-0.56391784152101054</v>
      </c>
      <c r="F20" s="38">
        <f>AVERAGE(X264vsQY265_veryfast!T17:T36)</f>
        <v>-0.51959274427202706</v>
      </c>
      <c r="G20" s="39">
        <f>AVERAGE(X264vsQY265_veryfast!U17:U36)</f>
        <v>7.7095457721139307E-2</v>
      </c>
      <c r="H20" s="39">
        <f>AVERAGE(X264vsQY265_veryfast!V17:V36)</f>
        <v>5.5178652777777767E-2</v>
      </c>
      <c r="I20" s="39">
        <f>AVERAGE(X264vsQY265_veryfast!W17:W36)</f>
        <v>1.592578666666666E-2</v>
      </c>
    </row>
    <row r="21" spans="1:9" ht="16.5" thickBot="1" x14ac:dyDescent="0.3">
      <c r="A21" s="62"/>
      <c r="B21" s="37" t="s">
        <v>39</v>
      </c>
      <c r="C21" s="38">
        <f>AVERAGE(X264vsQY265_veryfast!Q37:Q52)</f>
        <v>-0.38338413530856347</v>
      </c>
      <c r="D21" s="38">
        <f>AVERAGE(X264vsQY265_veryfast!R37:R52)</f>
        <v>-0.4995570551282007</v>
      </c>
      <c r="E21" s="38">
        <f>AVERAGE(X264vsQY265_veryfast!S37:S52)</f>
        <v>-0.49433293136328238</v>
      </c>
      <c r="F21" s="38">
        <f>AVERAGE(X264vsQY265_veryfast!T37:T52)</f>
        <v>-0.40392791752191026</v>
      </c>
      <c r="G21" s="39">
        <f>AVERAGE(X264vsQY265_veryfast!U37:U52)</f>
        <v>-0.12919087641277124</v>
      </c>
      <c r="H21" s="39">
        <f>AVERAGE(X264vsQY265_veryfast!V37:V52)</f>
        <v>3.8622855370435985E-2</v>
      </c>
      <c r="I21" s="39">
        <f>AVERAGE(X264vsQY265_veryfast!W37:W52)</f>
        <v>2.1015725000000027E-2</v>
      </c>
    </row>
    <row r="22" spans="1:9" ht="15.75" customHeight="1" thickBot="1" x14ac:dyDescent="0.3">
      <c r="A22" s="62"/>
      <c r="B22" s="37" t="s">
        <v>41</v>
      </c>
      <c r="C22" s="38">
        <f>AVERAGE(X264vsQY265_veryfast!Q53:Q68)</f>
        <v>-0.3160932680115297</v>
      </c>
      <c r="D22" s="38">
        <f>AVERAGE(X264vsQY265_veryfast!R53:R68)</f>
        <v>-0.5182046306437057</v>
      </c>
      <c r="E22" s="38">
        <f>AVERAGE(X264vsQY265_veryfast!S53:S68)</f>
        <v>-0.50715127063581833</v>
      </c>
      <c r="F22" s="38">
        <f>AVERAGE(X264vsQY265_veryfast!T53:T68)</f>
        <v>-0.35177845425141541</v>
      </c>
      <c r="G22" s="39">
        <f>AVERAGE(X264vsQY265_veryfast!U53:U68)</f>
        <v>-0.22934060454450853</v>
      </c>
      <c r="H22" s="39">
        <f>AVERAGE(X264vsQY265_veryfast!V53:V68)</f>
        <v>5.6971093749999979E-2</v>
      </c>
      <c r="I22" s="39">
        <f>AVERAGE(X264vsQY265_veryfast!W53:W68)</f>
        <v>2.6180683333333316E-2</v>
      </c>
    </row>
    <row r="23" spans="1:9" ht="16.5" thickBot="1" x14ac:dyDescent="0.3">
      <c r="A23" s="62"/>
      <c r="B23" s="37" t="s">
        <v>43</v>
      </c>
      <c r="C23" s="38">
        <f>AVERAGE(X264vsQY265_veryfast!Q69:Q80)</f>
        <v>-0.48048847111645027</v>
      </c>
      <c r="D23" s="38">
        <f>AVERAGE(X264vsQY265_veryfast!R69:R80)</f>
        <v>-0.61816511105477467</v>
      </c>
      <c r="E23" s="38">
        <f>AVERAGE(X264vsQY265_veryfast!S69:S80)</f>
        <v>-0.64148196818352754</v>
      </c>
      <c r="F23" s="38">
        <f>AVERAGE(X264vsQY265_veryfast!T69:T80)</f>
        <v>-0.51825364558257914</v>
      </c>
      <c r="G23" s="39">
        <f>AVERAGE(X264vsQY265_veryfast!U69:U80)</f>
        <v>0.21651038836392592</v>
      </c>
      <c r="H23" s="39">
        <f>AVERAGE(X264vsQY265_veryfast!V69:V80)</f>
        <v>8.1098004201680687E-2</v>
      </c>
      <c r="I23" s="39">
        <f>AVERAGE(X264vsQY265_veryfast!W69:W80)</f>
        <v>2.7922488888888888E-2</v>
      </c>
    </row>
    <row r="24" spans="1:9" ht="15.75" customHeight="1" thickBot="1" x14ac:dyDescent="0.3">
      <c r="A24" s="62"/>
      <c r="B24" s="48" t="s">
        <v>81</v>
      </c>
      <c r="C24" s="38">
        <f>AVERAGE(X264vsQY265_veryfast!Q81:Q124)</f>
        <v>-0.40610678703541514</v>
      </c>
      <c r="D24" s="38">
        <f>AVERAGE(X264vsQY265_veryfast!R81:R124)</f>
        <v>-0.42918095373687637</v>
      </c>
      <c r="E24" s="38">
        <f>AVERAGE(X264vsQY265_veryfast!S81:S124)</f>
        <v>-0.4434490433729909</v>
      </c>
      <c r="F24" s="38">
        <f>AVERAGE(X264vsQY265_veryfast!T81:T124)</f>
        <v>-0.41154225922972609</v>
      </c>
      <c r="G24" s="39">
        <f>AVERAGE(X264vsQY265_veryfast!U81:U124)</f>
        <v>-4.6892633466490688E-3</v>
      </c>
      <c r="H24" s="39">
        <f>AVERAGE(X264vsQY265_veryfast!V81:V124)</f>
        <v>1.8880227272727267E-2</v>
      </c>
      <c r="I24" s="39">
        <f>AVERAGE(X264vsQY265_veryfast!W81:W124)</f>
        <v>1.8204512878787878E-2</v>
      </c>
    </row>
    <row r="25" spans="1:9" ht="16.5" thickBot="1" x14ac:dyDescent="0.3">
      <c r="A25" s="63"/>
      <c r="B25" s="37" t="s">
        <v>75</v>
      </c>
      <c r="C25" s="38">
        <f>X264vsQY265_veryfast!Q125</f>
        <v>-0.41856353270518137</v>
      </c>
      <c r="D25" s="38">
        <f>X264vsQY265_veryfast!R125</f>
        <v>-0.49183311695233534</v>
      </c>
      <c r="E25" s="38">
        <f>X264vsQY265_veryfast!S125</f>
        <v>-0.50103490702255915</v>
      </c>
      <c r="F25" s="38">
        <f>X264vsQY265_veryfast!T125</f>
        <v>-0.43380512003163452</v>
      </c>
      <c r="G25" s="39">
        <f>X264vsQY265_veryfast!U125</f>
        <v>-2.1748680250012264E-2</v>
      </c>
      <c r="H25" s="39">
        <f>X264vsQY265_veryfast!V125</f>
        <v>4.2449756347820181E-2</v>
      </c>
      <c r="I25" s="39">
        <f>X264vsQY265_veryfast!W125</f>
        <v>2.1387645114942521E-2</v>
      </c>
    </row>
    <row r="26" spans="1:9" ht="16.5" thickBot="1" x14ac:dyDescent="0.3">
      <c r="A26" s="61" t="s">
        <v>74</v>
      </c>
      <c r="B26" s="37" t="s">
        <v>35</v>
      </c>
      <c r="C26" s="38">
        <f>AVERAGE(X264vsQY265_veryfast!Q131:Q138)</f>
        <v>-0.44068259064562115</v>
      </c>
      <c r="D26" s="38">
        <f>AVERAGE(X264vsQY265_veryfast!R131:R138)</f>
        <v>-0.41831973676993822</v>
      </c>
      <c r="E26" s="38">
        <f>AVERAGE(X264vsQY265_veryfast!S131:S138)</f>
        <v>-0.44884287168813292</v>
      </c>
      <c r="F26" s="38">
        <f>AVERAGE(X264vsQY265_veryfast!T131:T138)</f>
        <v>-0.44116554961264137</v>
      </c>
      <c r="G26" s="39">
        <f>AVERAGE(X264vsQY265_veryfast!U131:U138)</f>
        <v>0.15421265387139288</v>
      </c>
      <c r="H26" s="39">
        <f>AVERAGE(X264vsQY265_veryfast!V131:V138)</f>
        <v>6.7991666666666672E-2</v>
      </c>
      <c r="I26" s="39">
        <f>AVERAGE(X264vsQY265_veryfast!W131:W138)</f>
        <v>4.0628316666666699E-2</v>
      </c>
    </row>
    <row r="27" spans="1:9" ht="16.5" thickBot="1" x14ac:dyDescent="0.3">
      <c r="A27" s="62"/>
      <c r="B27" s="37" t="s">
        <v>37</v>
      </c>
      <c r="C27" s="38">
        <f>AVERAGE(X264vsQY265_veryfast!Q139:Q158)</f>
        <v>-0.50022613071411703</v>
      </c>
      <c r="D27" s="38">
        <f>AVERAGE(X264vsQY265_veryfast!R139:R158)</f>
        <v>-0.54540002261602916</v>
      </c>
      <c r="E27" s="38">
        <f>AVERAGE(X264vsQY265_veryfast!S139:S158)</f>
        <v>-0.55121830462224164</v>
      </c>
      <c r="F27" s="38">
        <f>AVERAGE(X264vsQY265_veryfast!T139:T158)</f>
        <v>-0.50866664642499226</v>
      </c>
      <c r="G27" s="39">
        <f>AVERAGE(X264vsQY265_veryfast!U139:U158)</f>
        <v>0.47084394579820976</v>
      </c>
      <c r="H27" s="39">
        <f>AVERAGE(X264vsQY265_veryfast!V139:V158)</f>
        <v>5.9305861111111094E-2</v>
      </c>
      <c r="I27" s="39">
        <f>AVERAGE(X264vsQY265_veryfast!W139:W158)</f>
        <v>1.6988314999999986E-2</v>
      </c>
    </row>
    <row r="28" spans="1:9" ht="16.5" thickBot="1" x14ac:dyDescent="0.3">
      <c r="A28" s="62"/>
      <c r="B28" s="37" t="s">
        <v>39</v>
      </c>
      <c r="C28" s="38">
        <f>AVERAGE(X264vsQY265_veryfast!Q159:Q174)</f>
        <v>-0.37179650245917339</v>
      </c>
      <c r="D28" s="38">
        <f>AVERAGE(X264vsQY265_veryfast!R159:R174)</f>
        <v>-0.48831216906914615</v>
      </c>
      <c r="E28" s="38">
        <f>AVERAGE(X264vsQY265_veryfast!S159:S174)</f>
        <v>-0.47438310958996543</v>
      </c>
      <c r="F28" s="38">
        <f>AVERAGE(X264vsQY265_veryfast!T159:T174)</f>
        <v>-0.39197000847288488</v>
      </c>
      <c r="G28" s="39">
        <f>AVERAGE(X264vsQY265_veryfast!U159:U174)</f>
        <v>9.0429643531550558E-2</v>
      </c>
      <c r="H28" s="39">
        <f>AVERAGE(X264vsQY265_veryfast!V159:V174)</f>
        <v>3.9075892672515655E-2</v>
      </c>
      <c r="I28" s="39">
        <f>AVERAGE(X264vsQY265_veryfast!W159:W174)</f>
        <v>1.13182E-2</v>
      </c>
    </row>
    <row r="29" spans="1:9" ht="16.5" thickBot="1" x14ac:dyDescent="0.3">
      <c r="A29" s="62"/>
      <c r="B29" s="37" t="s">
        <v>41</v>
      </c>
      <c r="C29" s="38">
        <f>AVERAGE(X264vsQY265_veryfast!Q175:Q190)</f>
        <v>-0.30330316080680036</v>
      </c>
      <c r="D29" s="38">
        <f>AVERAGE(X264vsQY265_veryfast!R175:R190)</f>
        <v>-0.49865414636021682</v>
      </c>
      <c r="E29" s="38">
        <f>AVERAGE(X264vsQY265_veryfast!S175:S190)</f>
        <v>-0.50555759591703553</v>
      </c>
      <c r="F29" s="38">
        <f>AVERAGE(X264vsQY265_veryfast!T175:T190)</f>
        <v>-0.33955640269538101</v>
      </c>
      <c r="G29" s="39">
        <f>AVERAGE(X264vsQY265_veryfast!U175:U190)</f>
        <v>-0.22782184023907689</v>
      </c>
      <c r="H29" s="39">
        <f>AVERAGE(X264vsQY265_veryfast!V175:V190)</f>
        <v>5.8268333333333339E-2</v>
      </c>
      <c r="I29" s="39">
        <f>AVERAGE(X264vsQY265_veryfast!W175:W190)</f>
        <v>1.8155133333333337E-2</v>
      </c>
    </row>
    <row r="30" spans="1:9" ht="16.5" thickBot="1" x14ac:dyDescent="0.3">
      <c r="A30" s="62"/>
      <c r="B30" s="37" t="s">
        <v>43</v>
      </c>
      <c r="C30" s="38">
        <f>AVERAGE(X264vsQY265_veryfast!Q191:Q202)</f>
        <v>-0.46381951549362549</v>
      </c>
      <c r="D30" s="38">
        <f>AVERAGE(X264vsQY265_veryfast!R191:R202)</f>
        <v>-0.59929754093731546</v>
      </c>
      <c r="E30" s="38">
        <f>AVERAGE(X264vsQY265_veryfast!S191:S202)</f>
        <v>-0.62261084869959815</v>
      </c>
      <c r="F30" s="38">
        <f>AVERAGE(X264vsQY265_veryfast!T191:T202)</f>
        <v>-0.50035832065571373</v>
      </c>
      <c r="G30" s="39">
        <f>AVERAGE(X264vsQY265_veryfast!U191:U202)</f>
        <v>0.64670313698917303</v>
      </c>
      <c r="H30" s="39">
        <f>AVERAGE(X264vsQY265_veryfast!V191:V202)</f>
        <v>8.5594415266106436E-2</v>
      </c>
      <c r="I30" s="39">
        <f>AVERAGE(X264vsQY265_veryfast!W191:W202)</f>
        <v>2.6942111111111128E-2</v>
      </c>
    </row>
    <row r="31" spans="1:9" ht="16.5" thickBot="1" x14ac:dyDescent="0.3">
      <c r="A31" s="62"/>
      <c r="B31" s="48" t="s">
        <v>81</v>
      </c>
      <c r="C31" s="38">
        <f>AVERAGE(X264vsQY265_veryfast!Q203:Q246)</f>
        <v>-0.39922556930418707</v>
      </c>
      <c r="D31" s="38">
        <f>AVERAGE(X264vsQY265_veryfast!R203:R246)</f>
        <v>-0.42246215661368142</v>
      </c>
      <c r="E31" s="38">
        <f>AVERAGE(X264vsQY265_veryfast!S203:S246)</f>
        <v>-0.43723244732223826</v>
      </c>
      <c r="F31" s="38">
        <f>AVERAGE(X264vsQY265_veryfast!T203:T246)</f>
        <v>-0.40477421889013193</v>
      </c>
      <c r="G31" s="39">
        <f>AVERAGE(X264vsQY265_veryfast!U203:U246)</f>
        <v>0.17660178513801342</v>
      </c>
      <c r="H31" s="39">
        <f>AVERAGE(X264vsQY265_veryfast!V203:V246)</f>
        <v>1.9110227272727268E-2</v>
      </c>
      <c r="I31" s="39">
        <f>AVERAGE(X264vsQY265_veryfast!W203:W246)</f>
        <v>1.9214815151515144E-2</v>
      </c>
    </row>
    <row r="32" spans="1:9" ht="15.75" customHeight="1" thickBot="1" x14ac:dyDescent="0.3">
      <c r="A32" s="63"/>
      <c r="B32" s="37" t="s">
        <v>75</v>
      </c>
      <c r="C32" s="38">
        <f>X264vsQY265_veryfast!Q247</f>
        <v>-0.40916669988802262</v>
      </c>
      <c r="D32" s="38">
        <f>X264vsQY265_veryfast!R247</f>
        <v>-0.48125797220344546</v>
      </c>
      <c r="E32" s="38">
        <f>X264vsQY265_veryfast!S247</f>
        <v>-0.49141136397099627</v>
      </c>
      <c r="F32" s="38">
        <f>X264vsQY265_veryfast!T247</f>
        <v>-0.42432280502696196</v>
      </c>
      <c r="G32" s="39">
        <f>X264vsQY265_veryfast!U247</f>
        <v>0.20675190680653094</v>
      </c>
      <c r="H32" s="39">
        <f>X264vsQY265_veryfast!V247</f>
        <v>4.4444320300365665E-2</v>
      </c>
      <c r="I32" s="39">
        <f>X264vsQY265_veryfast!W247</f>
        <v>1.9871753160919551E-2</v>
      </c>
    </row>
    <row r="33" spans="1:9" ht="16.5" thickBot="1" x14ac:dyDescent="0.3">
      <c r="A33" s="64" t="s">
        <v>133</v>
      </c>
      <c r="B33" s="65"/>
      <c r="C33" s="65"/>
      <c r="D33" s="65"/>
      <c r="E33" s="65"/>
      <c r="F33" s="65"/>
      <c r="G33" s="65"/>
      <c r="H33" s="65"/>
      <c r="I33" s="66"/>
    </row>
    <row r="34" spans="1:9" ht="16.5" thickBot="1" x14ac:dyDescent="0.3">
      <c r="A34" s="37" t="s">
        <v>72</v>
      </c>
      <c r="B34" s="37" t="s">
        <v>71</v>
      </c>
      <c r="C34" s="37" t="s">
        <v>67</v>
      </c>
      <c r="D34" s="37" t="s">
        <v>68</v>
      </c>
      <c r="E34" s="37" t="s">
        <v>69</v>
      </c>
      <c r="F34" s="37" t="s">
        <v>70</v>
      </c>
      <c r="G34" s="37" t="s">
        <v>73</v>
      </c>
      <c r="H34" s="37" t="s">
        <v>100</v>
      </c>
      <c r="I34" s="37" t="s">
        <v>99</v>
      </c>
    </row>
    <row r="35" spans="1:9" ht="16.5" thickBot="1" x14ac:dyDescent="0.3">
      <c r="A35" s="61">
        <v>1</v>
      </c>
      <c r="B35" s="37" t="s">
        <v>35</v>
      </c>
      <c r="C35" s="38">
        <f>AVERAGE(X264vsQY265_fast!Q9:Q16)</f>
        <v>-0.38754895971395814</v>
      </c>
      <c r="D35" s="38">
        <f>AVERAGE(X264vsQY265_fast!R9:R16)</f>
        <v>-0.53728468019733544</v>
      </c>
      <c r="E35" s="38">
        <f>AVERAGE(X264vsQY265_fast!S9:S16)</f>
        <v>-0.56753808603757205</v>
      </c>
      <c r="F35" s="38">
        <f>AVERAGE(X264vsQY265_fast!T9:T16)</f>
        <v>-0.41134919817756177</v>
      </c>
      <c r="G35" s="39">
        <f>AVERAGE(X264vsQY265_fast!U9:U16)</f>
        <v>1.8766561419461165E-2</v>
      </c>
      <c r="H35" s="39">
        <f>AVERAGE(X264vsQY265_fast!V9:V16)</f>
        <v>6.0876041666666658E-2</v>
      </c>
      <c r="I35" s="39">
        <f>AVERAGE(X264vsQY265_fast!W9:W16)</f>
        <v>4.2024699999999984E-2</v>
      </c>
    </row>
    <row r="36" spans="1:9" ht="16.5" thickBot="1" x14ac:dyDescent="0.3">
      <c r="A36" s="62"/>
      <c r="B36" s="37" t="s">
        <v>37</v>
      </c>
      <c r="C36" s="38">
        <f>AVERAGE(X264vsQY265_fast!Q17:Q36)</f>
        <v>-0.45129258503583614</v>
      </c>
      <c r="D36" s="38">
        <f>AVERAGE(X264vsQY265_fast!R17:R36)</f>
        <v>-0.63898433084625261</v>
      </c>
      <c r="E36" s="38">
        <f>AVERAGE(X264vsQY265_fast!S17:S36)</f>
        <v>-0.63779426694687458</v>
      </c>
      <c r="F36" s="38">
        <f>AVERAGE(X264vsQY265_fast!T17:T36)</f>
        <v>-0.48346789282780939</v>
      </c>
      <c r="G36" s="39">
        <f>AVERAGE(X264vsQY265_fast!U17:U36)</f>
        <v>0.18649996349545681</v>
      </c>
      <c r="H36" s="39">
        <f>AVERAGE(X264vsQY265_fast!V17:V36)</f>
        <v>6.0806666666666655E-2</v>
      </c>
      <c r="I36" s="39">
        <f>AVERAGE(X264vsQY265_fast!W17:W36)</f>
        <v>1.7607409999999997E-2</v>
      </c>
    </row>
    <row r="37" spans="1:9" ht="16.5" thickBot="1" x14ac:dyDescent="0.3">
      <c r="A37" s="62"/>
      <c r="B37" s="37" t="s">
        <v>39</v>
      </c>
      <c r="C37" s="38">
        <f>AVERAGE(X264vsQY265_fast!Q37:Q52)</f>
        <v>-0.31835108734789652</v>
      </c>
      <c r="D37" s="38">
        <f>AVERAGE(X264vsQY265_fast!R37:R52)</f>
        <v>-0.56482573028300687</v>
      </c>
      <c r="E37" s="38">
        <f>AVERAGE(X264vsQY265_fast!S37:S52)</f>
        <v>-0.55489942406290504</v>
      </c>
      <c r="F37" s="38">
        <f>AVERAGE(X264vsQY265_fast!T37:T52)</f>
        <v>-0.36196212039017372</v>
      </c>
      <c r="G37" s="39">
        <f>AVERAGE(X264vsQY265_fast!U37:U52)</f>
        <v>-0.25371928129420313</v>
      </c>
      <c r="H37" s="39">
        <f>AVERAGE(X264vsQY265_fast!V37:V52)</f>
        <v>3.7427066347630884E-2</v>
      </c>
      <c r="I37" s="39">
        <f>AVERAGE(X264vsQY265_fast!W37:W52)</f>
        <v>2.481775416666664E-2</v>
      </c>
    </row>
    <row r="38" spans="1:9" ht="15.75" customHeight="1" thickBot="1" x14ac:dyDescent="0.3">
      <c r="A38" s="62"/>
      <c r="B38" s="37" t="s">
        <v>41</v>
      </c>
      <c r="C38" s="38">
        <f>AVERAGE(X264vsQY265_fast!Q53:Q68)</f>
        <v>-0.23441236134299351</v>
      </c>
      <c r="D38" s="38">
        <f>AVERAGE(X264vsQY265_fast!R53:R68)</f>
        <v>-0.57179586656211612</v>
      </c>
      <c r="E38" s="38">
        <f>AVERAGE(X264vsQY265_fast!S53:S68)</f>
        <v>-0.56874298518800936</v>
      </c>
      <c r="F38" s="38">
        <f>AVERAGE(X264vsQY265_fast!T53:T68)</f>
        <v>-0.29982214722130551</v>
      </c>
      <c r="G38" s="39">
        <f>AVERAGE(X264vsQY265_fast!U53:U68)</f>
        <v>-0.26819561110349333</v>
      </c>
      <c r="H38" s="39">
        <f>AVERAGE(X264vsQY265_fast!V53:V68)</f>
        <v>5.9257552083333345E-2</v>
      </c>
      <c r="I38" s="39">
        <f>AVERAGE(X264vsQY265_fast!W53:W68)</f>
        <v>2.5105683333333326E-2</v>
      </c>
    </row>
    <row r="39" spans="1:9" ht="16.5" thickBot="1" x14ac:dyDescent="0.3">
      <c r="A39" s="62"/>
      <c r="B39" s="37" t="s">
        <v>43</v>
      </c>
      <c r="C39" s="38">
        <f>AVERAGE(X264vsQY265_fast!Q69:Q80)</f>
        <v>-0.43732434479814764</v>
      </c>
      <c r="D39" s="38">
        <f>AVERAGE(X264vsQY265_fast!R69:R80)</f>
        <v>-0.66752236398129838</v>
      </c>
      <c r="E39" s="38">
        <f>AVERAGE(X264vsQY265_fast!S69:S80)</f>
        <v>-0.68557077495120955</v>
      </c>
      <c r="F39" s="38">
        <f>AVERAGE(X264vsQY265_fast!T69:T80)</f>
        <v>-0.50510163501788352</v>
      </c>
      <c r="G39" s="39">
        <f>AVERAGE(X264vsQY265_fast!U69:U80)</f>
        <v>0.40818308216657373</v>
      </c>
      <c r="H39" s="39">
        <f>AVERAGE(X264vsQY265_fast!V69:V80)</f>
        <v>8.3854318394024283E-2</v>
      </c>
      <c r="I39" s="39">
        <f>AVERAGE(X264vsQY265_fast!W69:W80)</f>
        <v>2.6517644444444457E-2</v>
      </c>
    </row>
    <row r="40" spans="1:9" ht="15.75" customHeight="1" thickBot="1" x14ac:dyDescent="0.3">
      <c r="A40" s="62"/>
      <c r="B40" s="48" t="s">
        <v>81</v>
      </c>
      <c r="C40" s="38">
        <f>AVERAGE(X264vsQY265_fast!Q81:Q124)</f>
        <v>-0.29131449113348268</v>
      </c>
      <c r="D40" s="38">
        <f>AVERAGE(X264vsQY265_fast!R81:R124)</f>
        <v>-0.46388587183300878</v>
      </c>
      <c r="E40" s="38">
        <f>AVERAGE(X264vsQY265_fast!S81:S124)</f>
        <v>-0.47454699725949839</v>
      </c>
      <c r="F40" s="38">
        <f>AVERAGE(X264vsQY265_fast!T81:T124)</f>
        <v>-0.32943799879351643</v>
      </c>
      <c r="G40" s="39">
        <f>AVERAGE(X264vsQY265_fast!U81:U124)</f>
        <v>0.18227830054895755</v>
      </c>
      <c r="H40" s="39">
        <f>AVERAGE(X264vsQY265_fast!V81:V124)</f>
        <v>1.8480606060606058E-2</v>
      </c>
      <c r="I40" s="39">
        <f>AVERAGE(X264vsQY265_fast!W81:W124)</f>
        <v>1.5950566666666669E-2</v>
      </c>
    </row>
    <row r="41" spans="1:9" ht="16.5" thickBot="1" x14ac:dyDescent="0.3">
      <c r="A41" s="63"/>
      <c r="B41" s="37" t="s">
        <v>75</v>
      </c>
      <c r="C41" s="38">
        <f>X264vsQY265_fast!Q125</f>
        <v>-0.33651886469770392</v>
      </c>
      <c r="D41" s="38">
        <f>X264vsQY265_fast!R125</f>
        <v>-0.54900996841770411</v>
      </c>
      <c r="E41" s="38">
        <f>X264vsQY265_fast!S125</f>
        <v>-0.55501194615590654</v>
      </c>
      <c r="F41" s="38">
        <f>X264vsQY265_fast!T125</f>
        <v>-0.38021716630077296</v>
      </c>
      <c r="G41" s="39">
        <f>X264vsQY265_fast!U125</f>
        <v>7.2827031836678421E-2</v>
      </c>
      <c r="H41" s="39">
        <f>X264vsQY265_fast!V125</f>
        <v>4.3702534904802179E-2</v>
      </c>
      <c r="I41" s="39">
        <f>X264vsQY265_fast!W125</f>
        <v>2.1613426436781605E-2</v>
      </c>
    </row>
    <row r="42" spans="1:9" ht="16.5" thickBot="1" x14ac:dyDescent="0.3">
      <c r="A42" s="61" t="s">
        <v>74</v>
      </c>
      <c r="B42" s="37" t="s">
        <v>35</v>
      </c>
      <c r="C42" s="38">
        <f>AVERAGE(X264vsQY265_fast!Q131:Q138)</f>
        <v>-0.39245448398379984</v>
      </c>
      <c r="D42" s="38">
        <f>AVERAGE(X264vsQY265_fast!R131:R138)</f>
        <v>-0.53953249643935908</v>
      </c>
      <c r="E42" s="38">
        <f>AVERAGE(X264vsQY265_fast!S131:S138)</f>
        <v>-0.56518237970850937</v>
      </c>
      <c r="F42" s="38">
        <f>AVERAGE(X264vsQY265_fast!T131:T138)</f>
        <v>-0.41523345291617753</v>
      </c>
      <c r="G42" s="39">
        <f>AVERAGE(X264vsQY265_fast!U131:U138)</f>
        <v>7.2971832524571859E-2</v>
      </c>
      <c r="H42" s="39">
        <f>AVERAGE(X264vsQY265_fast!V131:V138)</f>
        <v>7.4406805555555566E-2</v>
      </c>
      <c r="I42" s="39">
        <f>AVERAGE(X264vsQY265_fast!W131:W138)</f>
        <v>4.7559400000000022E-2</v>
      </c>
    </row>
    <row r="43" spans="1:9" ht="16.5" thickBot="1" x14ac:dyDescent="0.3">
      <c r="A43" s="62"/>
      <c r="B43" s="37" t="s">
        <v>37</v>
      </c>
      <c r="C43" s="38">
        <f>AVERAGE(X264vsQY265_fast!Q139:Q158)</f>
        <v>-0.44223880866027637</v>
      </c>
      <c r="D43" s="38">
        <f>AVERAGE(X264vsQY265_fast!R139:R158)</f>
        <v>-0.63086897627142202</v>
      </c>
      <c r="E43" s="38">
        <f>AVERAGE(X264vsQY265_fast!S139:S158)</f>
        <v>-0.62767072160012127</v>
      </c>
      <c r="F43" s="38">
        <f>AVERAGE(X264vsQY265_fast!T139:T158)</f>
        <v>-0.47440301992336298</v>
      </c>
      <c r="G43" s="39">
        <f>AVERAGE(X264vsQY265_fast!U139:U158)</f>
        <v>0.18340125419912057</v>
      </c>
      <c r="H43" s="39">
        <f>AVERAGE(X264vsQY265_fast!V139:V158)</f>
        <v>6.5235236111111081E-2</v>
      </c>
      <c r="I43" s="39">
        <f>AVERAGE(X264vsQY265_fast!W139:W158)</f>
        <v>1.6693368333333319E-2</v>
      </c>
    </row>
    <row r="44" spans="1:9" ht="16.5" thickBot="1" x14ac:dyDescent="0.3">
      <c r="A44" s="62"/>
      <c r="B44" s="37" t="s">
        <v>39</v>
      </c>
      <c r="C44" s="38">
        <f>AVERAGE(X264vsQY265_fast!Q159:Q174)</f>
        <v>-0.30913368610979752</v>
      </c>
      <c r="D44" s="38">
        <f>AVERAGE(X264vsQY265_fast!R159:R174)</f>
        <v>-0.55767468509294449</v>
      </c>
      <c r="E44" s="38">
        <f>AVERAGE(X264vsQY265_fast!S159:S174)</f>
        <v>-0.54363700206799581</v>
      </c>
      <c r="F44" s="38">
        <f>AVERAGE(X264vsQY265_fast!T159:T174)</f>
        <v>-0.35306344272574453</v>
      </c>
      <c r="G44" s="39">
        <f>AVERAGE(X264vsQY265_fast!U159:U174)</f>
        <v>-0.20748694116157046</v>
      </c>
      <c r="H44" s="39">
        <f>AVERAGE(X264vsQY265_fast!V159:V174)</f>
        <v>3.956077355104571E-2</v>
      </c>
      <c r="I44" s="39">
        <f>AVERAGE(X264vsQY265_fast!W159:W174)</f>
        <v>1.1749608333333317E-2</v>
      </c>
    </row>
    <row r="45" spans="1:9" ht="16.5" thickBot="1" x14ac:dyDescent="0.3">
      <c r="A45" s="62"/>
      <c r="B45" s="37" t="s">
        <v>41</v>
      </c>
      <c r="C45" s="38">
        <f>AVERAGE(X264vsQY265_fast!Q175:Q190)</f>
        <v>-0.22466146750728075</v>
      </c>
      <c r="D45" s="38">
        <f>AVERAGE(X264vsQY265_fast!R175:R190)</f>
        <v>-0.56730756855351183</v>
      </c>
      <c r="E45" s="38">
        <f>AVERAGE(X264vsQY265_fast!S175:S190)</f>
        <v>-0.56089007980748251</v>
      </c>
      <c r="F45" s="38">
        <f>AVERAGE(X264vsQY265_fast!T175:T190)</f>
        <v>-0.29059712621151312</v>
      </c>
      <c r="G45" s="39">
        <f>AVERAGE(X264vsQY265_fast!U175:U190)</f>
        <v>-0.25486002485949072</v>
      </c>
      <c r="H45" s="39">
        <f>AVERAGE(X264vsQY265_fast!V175:V190)</f>
        <v>6.0279166666666661E-2</v>
      </c>
      <c r="I45" s="39">
        <f>AVERAGE(X264vsQY265_fast!W175:W190)</f>
        <v>1.3554224999999998E-2</v>
      </c>
    </row>
    <row r="46" spans="1:9" ht="16.5" thickBot="1" x14ac:dyDescent="0.3">
      <c r="A46" s="62"/>
      <c r="B46" s="37" t="s">
        <v>43</v>
      </c>
      <c r="C46" s="38">
        <f>AVERAGE(X264vsQY265_fast!Q191:Q202)</f>
        <v>-0.41897313511598666</v>
      </c>
      <c r="D46" s="38">
        <f>AVERAGE(X264vsQY265_fast!R191:R202)</f>
        <v>-0.64735288807428371</v>
      </c>
      <c r="E46" s="38">
        <f>AVERAGE(X264vsQY265_fast!S191:S202)</f>
        <v>-0.66823192263643116</v>
      </c>
      <c r="F46" s="38">
        <f>AVERAGE(X264vsQY265_fast!T191:T202)</f>
        <v>-0.48467762373041262</v>
      </c>
      <c r="G46" s="39">
        <f>AVERAGE(X264vsQY265_fast!U191:U202)</f>
        <v>0.28501073000030602</v>
      </c>
      <c r="H46" s="39">
        <f>AVERAGE(X264vsQY265_fast!V191:V202)</f>
        <v>9.023930905695611E-2</v>
      </c>
      <c r="I46" s="39">
        <f>AVERAGE(X264vsQY265_fast!W191:W202)</f>
        <v>2.8247622222222216E-2</v>
      </c>
    </row>
    <row r="47" spans="1:9" ht="16.5" thickBot="1" x14ac:dyDescent="0.3">
      <c r="A47" s="62"/>
      <c r="B47" s="48" t="s">
        <v>81</v>
      </c>
      <c r="C47" s="38">
        <f>AVERAGE(X264vsQY265_fast!Q203:Q246)</f>
        <v>-0.2842246362885581</v>
      </c>
      <c r="D47" s="38">
        <f>AVERAGE(X264vsQY265_fast!R203:R246)</f>
        <v>-0.45836145187873628</v>
      </c>
      <c r="E47" s="38">
        <f>AVERAGE(X264vsQY265_fast!S203:S246)</f>
        <v>-0.46975500489297689</v>
      </c>
      <c r="F47" s="38">
        <f>AVERAGE(X264vsQY265_fast!T203:T246)</f>
        <v>-0.32275055812050807</v>
      </c>
      <c r="G47" s="39">
        <f>AVERAGE(X264vsQY265_fast!U203:U246)</f>
        <v>0.21559632296088047</v>
      </c>
      <c r="H47" s="39">
        <f>AVERAGE(X264vsQY265_fast!V203:V246)</f>
        <v>1.8877803030303036E-2</v>
      </c>
      <c r="I47" s="39">
        <f>AVERAGE(X264vsQY265_fast!W203:W246)</f>
        <v>1.7525224999999988E-2</v>
      </c>
    </row>
    <row r="48" spans="1:9" ht="16.5" thickBot="1" x14ac:dyDescent="0.3">
      <c r="A48" s="63"/>
      <c r="B48" s="37" t="s">
        <v>75</v>
      </c>
      <c r="C48" s="38">
        <f>X264vsQY265_fast!Q247</f>
        <v>-0.32809220793997912</v>
      </c>
      <c r="D48" s="38">
        <f>X264vsQY265_fast!R247</f>
        <v>-0.54197839736933118</v>
      </c>
      <c r="E48" s="38">
        <f>X264vsQY265_fast!S247</f>
        <v>-0.54685612126384764</v>
      </c>
      <c r="F48" s="38">
        <f>X264vsQY265_fast!T247</f>
        <v>-0.37177287212810439</v>
      </c>
      <c r="G48" s="39">
        <f>X264vsQY265_fast!U247</f>
        <v>8.414323498383118E-2</v>
      </c>
      <c r="H48" s="39">
        <f>X264vsQY265_fast!V247</f>
        <v>4.6645631484197182E-2</v>
      </c>
      <c r="I48" s="39">
        <f>X264vsQY265_fast!W247</f>
        <v>1.9217976436781602E-2</v>
      </c>
    </row>
    <row r="49" spans="1:9" ht="16.5" thickBot="1" x14ac:dyDescent="0.3">
      <c r="A49" s="64" t="s">
        <v>134</v>
      </c>
      <c r="B49" s="65"/>
      <c r="C49" s="65"/>
      <c r="D49" s="65"/>
      <c r="E49" s="65"/>
      <c r="F49" s="65"/>
      <c r="G49" s="65"/>
      <c r="H49" s="65"/>
      <c r="I49" s="66"/>
    </row>
    <row r="50" spans="1:9" ht="16.5" thickBot="1" x14ac:dyDescent="0.3">
      <c r="A50" s="37" t="s">
        <v>72</v>
      </c>
      <c r="B50" s="37" t="s">
        <v>71</v>
      </c>
      <c r="C50" s="37" t="s">
        <v>67</v>
      </c>
      <c r="D50" s="37" t="s">
        <v>68</v>
      </c>
      <c r="E50" s="37" t="s">
        <v>69</v>
      </c>
      <c r="F50" s="37" t="s">
        <v>70</v>
      </c>
      <c r="G50" s="37" t="s">
        <v>73</v>
      </c>
      <c r="H50" s="37" t="s">
        <v>100</v>
      </c>
      <c r="I50" s="37" t="s">
        <v>99</v>
      </c>
    </row>
    <row r="51" spans="1:9" ht="16.5" thickBot="1" x14ac:dyDescent="0.3">
      <c r="A51" s="61">
        <v>1</v>
      </c>
      <c r="B51" s="37" t="s">
        <v>35</v>
      </c>
      <c r="C51" s="38">
        <f>AVERAGE(X264vsQY265_medium!Q9:Q16)</f>
        <v>-0.36417452802463246</v>
      </c>
      <c r="D51" s="38">
        <f>AVERAGE(X264vsQY265_medium!R9:R16)</f>
        <v>-0.48648938511602863</v>
      </c>
      <c r="E51" s="38">
        <f>AVERAGE(X264vsQY265_medium!S9:S16)</f>
        <v>-0.51725019835813169</v>
      </c>
      <c r="F51" s="38">
        <f>AVERAGE(X264vsQY265_medium!T9:T16)</f>
        <v>-0.38530893742241462</v>
      </c>
      <c r="G51" s="39">
        <f>AVERAGE(X264vsQY265_medium!U9:U16)</f>
        <v>-5.4964761142778998E-2</v>
      </c>
      <c r="H51" s="39">
        <f>AVERAGE(X264vsQY265_medium!V9:V16)</f>
        <v>5.0171458333333356E-2</v>
      </c>
      <c r="I51" s="39">
        <f>AVERAGE(X264vsQY265_medium!W9:W16)</f>
        <v>4.7569866666666655E-2</v>
      </c>
    </row>
    <row r="52" spans="1:9" ht="16.5" thickBot="1" x14ac:dyDescent="0.3">
      <c r="A52" s="62"/>
      <c r="B52" s="37" t="s">
        <v>37</v>
      </c>
      <c r="C52" s="38">
        <f>AVERAGE(X264vsQY265_medium!Q17:Q36)</f>
        <v>-0.4274290596660445</v>
      </c>
      <c r="D52" s="38">
        <f>AVERAGE(X264vsQY265_medium!R17:R36)</f>
        <v>-0.61058186416106575</v>
      </c>
      <c r="E52" s="38">
        <f>AVERAGE(X264vsQY265_medium!S17:S36)</f>
        <v>-0.6104604348891669</v>
      </c>
      <c r="F52" s="38">
        <f>AVERAGE(X264vsQY265_medium!T17:T36)</f>
        <v>-0.45892461537896911</v>
      </c>
      <c r="G52" s="39">
        <f>AVERAGE(X264vsQY265_medium!U17:U36)</f>
        <v>0.16610522729647034</v>
      </c>
      <c r="H52" s="39">
        <f>AVERAGE(X264vsQY265_medium!V17:V36)</f>
        <v>5.2805986111111113E-2</v>
      </c>
      <c r="I52" s="39">
        <f>AVERAGE(X264vsQY265_medium!W17:W36)</f>
        <v>1.8668598333333328E-2</v>
      </c>
    </row>
    <row r="53" spans="1:9" ht="16.5" thickBot="1" x14ac:dyDescent="0.3">
      <c r="A53" s="62"/>
      <c r="B53" s="37" t="s">
        <v>39</v>
      </c>
      <c r="C53" s="38">
        <f>AVERAGE(X264vsQY265_medium!Q37:Q52)</f>
        <v>-0.29031873270408487</v>
      </c>
      <c r="D53" s="38">
        <f>AVERAGE(X264vsQY265_medium!R37:R52)</f>
        <v>-0.53459586003835224</v>
      </c>
      <c r="E53" s="38">
        <f>AVERAGE(X264vsQY265_medium!S37:S52)</f>
        <v>-0.52631123618699738</v>
      </c>
      <c r="F53" s="38">
        <f>AVERAGE(X264vsQY265_medium!T37:T52)</f>
        <v>-0.33438763838845731</v>
      </c>
      <c r="G53" s="39">
        <f>AVERAGE(X264vsQY265_medium!U37:U52)</f>
        <v>-0.16442671194910402</v>
      </c>
      <c r="H53" s="39">
        <f>AVERAGE(X264vsQY265_medium!V37:V52)</f>
        <v>3.6843238767281114E-2</v>
      </c>
      <c r="I53" s="39">
        <f>AVERAGE(X264vsQY265_medium!W37:W52)</f>
        <v>2.412081666666667E-2</v>
      </c>
    </row>
    <row r="54" spans="1:9" ht="16.5" thickBot="1" x14ac:dyDescent="0.3">
      <c r="A54" s="62"/>
      <c r="B54" s="37" t="s">
        <v>41</v>
      </c>
      <c r="C54" s="38">
        <f>AVERAGE(X264vsQY265_medium!Q53:Q68)</f>
        <v>-0.21109454067212671</v>
      </c>
      <c r="D54" s="38">
        <f>AVERAGE(X264vsQY265_medium!R53:R68)</f>
        <v>-0.54660771277572839</v>
      </c>
      <c r="E54" s="38">
        <f>AVERAGE(X264vsQY265_medium!S53:S68)</f>
        <v>-0.5458551657932369</v>
      </c>
      <c r="F54" s="38">
        <f>AVERAGE(X264vsQY265_medium!T53:T68)</f>
        <v>-0.27649603352043195</v>
      </c>
      <c r="G54" s="39">
        <f>AVERAGE(X264vsQY265_medium!U53:U68)</f>
        <v>-0.15041489561282653</v>
      </c>
      <c r="H54" s="39">
        <f>AVERAGE(X264vsQY265_medium!V53:V68)</f>
        <v>5.5773593750000017E-2</v>
      </c>
      <c r="I54" s="39">
        <f>AVERAGE(X264vsQY265_medium!W53:W68)</f>
        <v>2.5653816666666662E-2</v>
      </c>
    </row>
    <row r="55" spans="1:9" ht="16.5" thickBot="1" x14ac:dyDescent="0.3">
      <c r="A55" s="62"/>
      <c r="B55" s="37" t="s">
        <v>43</v>
      </c>
      <c r="C55" s="38">
        <f>AVERAGE(X264vsQY265_medium!Q69:Q80)</f>
        <v>-0.44087244702475914</v>
      </c>
      <c r="D55" s="38">
        <f>AVERAGE(X264vsQY265_medium!R69:R80)</f>
        <v>-0.66568052080834117</v>
      </c>
      <c r="E55" s="38">
        <f>AVERAGE(X264vsQY265_medium!S69:S80)</f>
        <v>-0.68940181720194615</v>
      </c>
      <c r="F55" s="38">
        <f>AVERAGE(X264vsQY265_medium!T69:T80)</f>
        <v>-0.50914478592767454</v>
      </c>
      <c r="G55" s="39">
        <f>AVERAGE(X264vsQY265_medium!U69:U80)</f>
        <v>0.35155145301019991</v>
      </c>
      <c r="H55" s="39">
        <f>AVERAGE(X264vsQY265_medium!V69:V80)</f>
        <v>8.5817851307189552E-2</v>
      </c>
      <c r="I55" s="39">
        <f>AVERAGE(X264vsQY265_medium!W69:W80)</f>
        <v>2.4628822222222263E-2</v>
      </c>
    </row>
    <row r="56" spans="1:9" ht="16.5" thickBot="1" x14ac:dyDescent="0.3">
      <c r="A56" s="62"/>
      <c r="B56" s="48" t="s">
        <v>81</v>
      </c>
      <c r="C56" s="38">
        <f>AVERAGE(X264vsQY265_medium!Q81:Q124)</f>
        <v>-0.27505596724354348</v>
      </c>
      <c r="D56" s="38">
        <f>AVERAGE(X264vsQY265_medium!R81:R124)</f>
        <v>-0.45530680856874389</v>
      </c>
      <c r="E56" s="38">
        <f>AVERAGE(X264vsQY265_medium!S81:S124)</f>
        <v>-0.46277775864474469</v>
      </c>
      <c r="F56" s="38">
        <f>AVERAGE(X264vsQY265_medium!T81:T124)</f>
        <v>-0.31374519546656698</v>
      </c>
      <c r="G56" s="39">
        <f>AVERAGE(X264vsQY265_medium!U81:U124)</f>
        <v>8.0157032496624328E-2</v>
      </c>
      <c r="H56" s="39">
        <f>AVERAGE(X264vsQY265_medium!V81:V124)</f>
        <v>1.7031590909090913E-2</v>
      </c>
      <c r="I56" s="39">
        <f>AVERAGE(X264vsQY265_medium!W81:W124)</f>
        <v>1.5503916666666657E-2</v>
      </c>
    </row>
    <row r="57" spans="1:9" ht="16.5" thickBot="1" x14ac:dyDescent="0.3">
      <c r="A57" s="63"/>
      <c r="B57" s="37" t="s">
        <v>75</v>
      </c>
      <c r="C57" s="38">
        <f>X264vsQY265_medium!Q125</f>
        <v>-0.31790966995302034</v>
      </c>
      <c r="D57" s="38">
        <f>X264vsQY265_medium!R125</f>
        <v>-0.52952133927499712</v>
      </c>
      <c r="E57" s="38">
        <f>X264vsQY265_medium!S125</f>
        <v>-0.53566306813038167</v>
      </c>
      <c r="F57" s="38">
        <f>X264vsQY265_medium!T125</f>
        <v>-0.36163472921691348</v>
      </c>
      <c r="G57" s="39">
        <f>X264vsQY265_medium!U125</f>
        <v>4.8193513808363404E-2</v>
      </c>
      <c r="H57" s="39">
        <f>X264vsQY265_medium!V125</f>
        <v>4.0677283834928156E-2</v>
      </c>
      <c r="I57" s="39">
        <f>X264vsQY265_medium!W125</f>
        <v>2.1793476149425291E-2</v>
      </c>
    </row>
    <row r="58" spans="1:9" ht="16.5" thickBot="1" x14ac:dyDescent="0.3">
      <c r="A58" s="61" t="s">
        <v>74</v>
      </c>
      <c r="B58" s="37" t="s">
        <v>35</v>
      </c>
      <c r="C58" s="38">
        <f>AVERAGE(X264vsQY265_medium!Q131:Q138)</f>
        <v>-0.36843954452611227</v>
      </c>
      <c r="D58" s="38">
        <f>AVERAGE(X264vsQY265_medium!R131:R138)</f>
        <v>-0.4836037138418196</v>
      </c>
      <c r="E58" s="38">
        <f>AVERAGE(X264vsQY265_medium!S131:S138)</f>
        <v>-0.51616572724096987</v>
      </c>
      <c r="F58" s="38">
        <f>AVERAGE(X264vsQY265_medium!T131:T138)</f>
        <v>-0.38848677011644545</v>
      </c>
      <c r="G58" s="39">
        <f>AVERAGE(X264vsQY265_medium!U131:U138)</f>
        <v>0.17695001475041675</v>
      </c>
      <c r="H58" s="39">
        <f>AVERAGE(X264vsQY265_medium!V131:V138)</f>
        <v>6.0053749999999982E-2</v>
      </c>
      <c r="I58" s="39">
        <f>AVERAGE(X264vsQY265_medium!W131:W138)</f>
        <v>5.1629183333333328E-2</v>
      </c>
    </row>
    <row r="59" spans="1:9" ht="16.5" thickBot="1" x14ac:dyDescent="0.3">
      <c r="A59" s="62"/>
      <c r="B59" s="37" t="s">
        <v>37</v>
      </c>
      <c r="C59" s="38">
        <f>AVERAGE(X264vsQY265_medium!Q139:Q158)</f>
        <v>-0.41651640443782156</v>
      </c>
      <c r="D59" s="38">
        <f>AVERAGE(X264vsQY265_medium!R139:R158)</f>
        <v>-0.60240451205833812</v>
      </c>
      <c r="E59" s="38">
        <f>AVERAGE(X264vsQY265_medium!S139:S158)</f>
        <v>-0.60028304148351497</v>
      </c>
      <c r="F59" s="38">
        <f>AVERAGE(X264vsQY265_medium!T139:T158)</f>
        <v>-0.44806819159328565</v>
      </c>
      <c r="G59" s="39">
        <f>AVERAGE(X264vsQY265_medium!U139:U158)</f>
        <v>0.28319745540903074</v>
      </c>
      <c r="H59" s="39">
        <f>AVERAGE(X264vsQY265_medium!V139:V158)</f>
        <v>5.8840472222222232E-2</v>
      </c>
      <c r="I59" s="39">
        <f>AVERAGE(X264vsQY265_medium!W139:W158)</f>
        <v>1.6961505000000023E-2</v>
      </c>
    </row>
    <row r="60" spans="1:9" ht="16.5" thickBot="1" x14ac:dyDescent="0.3">
      <c r="A60" s="62"/>
      <c r="B60" s="37" t="s">
        <v>39</v>
      </c>
      <c r="C60" s="38">
        <f>AVERAGE(X264vsQY265_medium!Q159:Q174)</f>
        <v>-0.2789260900901942</v>
      </c>
      <c r="D60" s="38">
        <f>AVERAGE(X264vsQY265_medium!R159:R174)</f>
        <v>-0.52777115762775895</v>
      </c>
      <c r="E60" s="38">
        <f>AVERAGE(X264vsQY265_medium!S159:S174)</f>
        <v>-0.5193369895971498</v>
      </c>
      <c r="F60" s="38">
        <f>AVERAGE(X264vsQY265_medium!T159:T174)</f>
        <v>-0.32439773934703592</v>
      </c>
      <c r="G60" s="39">
        <f>AVERAGE(X264vsQY265_medium!U159:U174)</f>
        <v>-2.4022938754790685E-2</v>
      </c>
      <c r="H60" s="39">
        <f>AVERAGE(X264vsQY265_medium!V159:V174)</f>
        <v>3.7787034924081302E-2</v>
      </c>
      <c r="I60" s="39">
        <f>AVERAGE(X264vsQY265_medium!W159:W174)</f>
        <v>1.1516120833333336E-2</v>
      </c>
    </row>
    <row r="61" spans="1:9" ht="16.5" thickBot="1" x14ac:dyDescent="0.3">
      <c r="A61" s="62"/>
      <c r="B61" s="37" t="s">
        <v>41</v>
      </c>
      <c r="C61" s="38">
        <f>AVERAGE(X264vsQY265_medium!Q175:Q190)</f>
        <v>-0.19850308882075424</v>
      </c>
      <c r="D61" s="38">
        <f>AVERAGE(X264vsQY265_medium!R175:R190)</f>
        <v>-0.53867968089503604</v>
      </c>
      <c r="E61" s="38">
        <f>AVERAGE(X264vsQY265_medium!S175:S190)</f>
        <v>-0.53473775364003984</v>
      </c>
      <c r="F61" s="38">
        <f>AVERAGE(X264vsQY265_medium!T175:T190)</f>
        <v>-0.26546361660688034</v>
      </c>
      <c r="G61" s="39">
        <f>AVERAGE(X264vsQY265_medium!U175:U190)</f>
        <v>-9.4798280820041658E-2</v>
      </c>
      <c r="H61" s="39">
        <f>AVERAGE(X264vsQY265_medium!V175:V190)</f>
        <v>5.6316406249999965E-2</v>
      </c>
      <c r="I61" s="39">
        <f>AVERAGE(X264vsQY265_medium!W175:W190)</f>
        <v>1.2685116666666652E-2</v>
      </c>
    </row>
    <row r="62" spans="1:9" ht="16.5" thickBot="1" x14ac:dyDescent="0.3">
      <c r="A62" s="62"/>
      <c r="B62" s="37" t="s">
        <v>43</v>
      </c>
      <c r="C62" s="38">
        <f>AVERAGE(X264vsQY265_medium!Q191:Q202)</f>
        <v>-0.42681721046168891</v>
      </c>
      <c r="D62" s="38">
        <f>AVERAGE(X264vsQY265_medium!R191:R202)</f>
        <v>-0.65676603711127346</v>
      </c>
      <c r="E62" s="38">
        <f>AVERAGE(X264vsQY265_medium!S191:S202)</f>
        <v>-0.67536034106122367</v>
      </c>
      <c r="F62" s="38">
        <f>AVERAGE(X264vsQY265_medium!T191:T202)</f>
        <v>-0.49434010196857575</v>
      </c>
      <c r="G62" s="39">
        <f>AVERAGE(X264vsQY265_medium!U191:U202)</f>
        <v>0.30547208825276406</v>
      </c>
      <c r="H62" s="39">
        <f>AVERAGE(X264vsQY265_medium!V191:V202)</f>
        <v>9.2784903127917817E-2</v>
      </c>
      <c r="I62" s="39">
        <f>AVERAGE(X264vsQY265_medium!W191:W202)</f>
        <v>2.6669022222222217E-2</v>
      </c>
    </row>
    <row r="63" spans="1:9" ht="16.5" thickBot="1" x14ac:dyDescent="0.3">
      <c r="A63" s="62"/>
      <c r="B63" s="48" t="s">
        <v>81</v>
      </c>
      <c r="C63" s="38">
        <f>AVERAGE(X264vsQY265_medium!Q203:Q246)</f>
        <v>-0.26684322032213176</v>
      </c>
      <c r="D63" s="38">
        <f>AVERAGE(X264vsQY265_medium!R203:R246)</f>
        <v>-0.44800343439458817</v>
      </c>
      <c r="E63" s="38">
        <f>AVERAGE(X264vsQY265_medium!S203:S246)</f>
        <v>-0.45805424145175255</v>
      </c>
      <c r="F63" s="38">
        <f>AVERAGE(X264vsQY265_medium!T203:T246)</f>
        <v>-0.30619712831900636</v>
      </c>
      <c r="G63" s="39">
        <f>AVERAGE(X264vsQY265_medium!U203:U246)</f>
        <v>0.2858856562904572</v>
      </c>
      <c r="H63" s="39">
        <f>AVERAGE(X264vsQY265_medium!V203:V246)</f>
        <v>1.758499999999999E-2</v>
      </c>
      <c r="I63" s="39">
        <f>AVERAGE(X264vsQY265_medium!W203:W246)</f>
        <v>1.6661096212121203E-2</v>
      </c>
    </row>
    <row r="64" spans="1:9" ht="16.5" thickBot="1" x14ac:dyDescent="0.3">
      <c r="A64" s="63"/>
      <c r="B64" s="37" t="s">
        <v>75</v>
      </c>
      <c r="C64" s="38">
        <f>X264vsQY265_medium!Q247</f>
        <v>-0.30844499592460833</v>
      </c>
      <c r="D64" s="38">
        <f>X264vsQY265_medium!R247</f>
        <v>-0.52218514592209642</v>
      </c>
      <c r="E64" s="38">
        <f>X264vsQY265_medium!S247</f>
        <v>-0.52809390737935247</v>
      </c>
      <c r="F64" s="38">
        <f>X264vsQY265_medium!T247</f>
        <v>-0.35268788411826835</v>
      </c>
      <c r="G64" s="39">
        <f>X264vsQY265_medium!U247</f>
        <v>0.18468141076551656</v>
      </c>
      <c r="H64" s="39">
        <f>X264vsQY265_medium!V247</f>
        <v>4.3534942592799636E-2</v>
      </c>
      <c r="I64" s="39">
        <f>X264vsQY265_medium!W247</f>
        <v>1.8901722988505749E-2</v>
      </c>
    </row>
  </sheetData>
  <mergeCells count="12">
    <mergeCell ref="A51:A57"/>
    <mergeCell ref="A58:A64"/>
    <mergeCell ref="A1:I1"/>
    <mergeCell ref="A17:I17"/>
    <mergeCell ref="A49:I49"/>
    <mergeCell ref="A35:A41"/>
    <mergeCell ref="A19:A25"/>
    <mergeCell ref="A26:A32"/>
    <mergeCell ref="A3:A9"/>
    <mergeCell ref="A10:A16"/>
    <mergeCell ref="A42:A48"/>
    <mergeCell ref="A33:I33"/>
  </mergeCells>
  <phoneticPr fontId="5" type="noConversion"/>
  <conditionalFormatting sqref="C19:F19">
    <cfRule type="cellIs" dxfId="575" priority="9131" operator="greaterThan">
      <formula>0.03</formula>
    </cfRule>
    <cfRule type="cellIs" dxfId="574" priority="9132" stopIfTrue="1" operator="lessThan">
      <formula>-0.03</formula>
    </cfRule>
  </conditionalFormatting>
  <conditionalFormatting sqref="C25:F25">
    <cfRule type="cellIs" dxfId="573" priority="9129" operator="greaterThan">
      <formula>0.03</formula>
    </cfRule>
    <cfRule type="cellIs" dxfId="572" priority="9130" stopIfTrue="1" operator="lessThan">
      <formula>-0.03</formula>
    </cfRule>
  </conditionalFormatting>
  <conditionalFormatting sqref="C20:F23">
    <cfRule type="cellIs" dxfId="571" priority="9127" operator="greaterThan">
      <formula>0.03</formula>
    </cfRule>
    <cfRule type="cellIs" dxfId="570" priority="9128" stopIfTrue="1" operator="lessThan">
      <formula>-0.03</formula>
    </cfRule>
  </conditionalFormatting>
  <conditionalFormatting sqref="C26:F26">
    <cfRule type="cellIs" dxfId="569" priority="9119" operator="greaterThan">
      <formula>0.03</formula>
    </cfRule>
    <cfRule type="cellIs" dxfId="568" priority="9120" stopIfTrue="1" operator="lessThan">
      <formula>-0.03</formula>
    </cfRule>
  </conditionalFormatting>
  <conditionalFormatting sqref="C32:F32">
    <cfRule type="cellIs" dxfId="567" priority="9117" operator="greaterThan">
      <formula>0.03</formula>
    </cfRule>
    <cfRule type="cellIs" dxfId="566" priority="9118" stopIfTrue="1" operator="lessThan">
      <formula>-0.03</formula>
    </cfRule>
  </conditionalFormatting>
  <conditionalFormatting sqref="C27:F30">
    <cfRule type="cellIs" dxfId="565" priority="9115" operator="greaterThan">
      <formula>0.03</formula>
    </cfRule>
    <cfRule type="cellIs" dxfId="564" priority="9116" stopIfTrue="1" operator="lessThan">
      <formula>-0.03</formula>
    </cfRule>
  </conditionalFormatting>
  <conditionalFormatting sqref="C51:F51">
    <cfRule type="cellIs" dxfId="563" priority="9113" operator="greaterThan">
      <formula>0.03</formula>
    </cfRule>
    <cfRule type="cellIs" dxfId="562" priority="9114" stopIfTrue="1" operator="lessThan">
      <formula>-0.03</formula>
    </cfRule>
  </conditionalFormatting>
  <conditionalFormatting sqref="C57:F57">
    <cfRule type="cellIs" dxfId="561" priority="9111" operator="greaterThan">
      <formula>0.03</formula>
    </cfRule>
    <cfRule type="cellIs" dxfId="560" priority="9112" stopIfTrue="1" operator="lessThan">
      <formula>-0.03</formula>
    </cfRule>
  </conditionalFormatting>
  <conditionalFormatting sqref="C52:F55">
    <cfRule type="cellIs" dxfId="559" priority="9109" operator="greaterThan">
      <formula>0.03</formula>
    </cfRule>
    <cfRule type="cellIs" dxfId="558" priority="9110" stopIfTrue="1" operator="lessThan">
      <formula>-0.03</formula>
    </cfRule>
  </conditionalFormatting>
  <conditionalFormatting sqref="C58:F58">
    <cfRule type="cellIs" dxfId="557" priority="9101" operator="greaterThan">
      <formula>0.03</formula>
    </cfRule>
    <cfRule type="cellIs" dxfId="556" priority="9102" stopIfTrue="1" operator="lessThan">
      <formula>-0.03</formula>
    </cfRule>
  </conditionalFormatting>
  <conditionalFormatting sqref="C64:F64">
    <cfRule type="cellIs" dxfId="555" priority="9099" operator="greaterThan">
      <formula>0.03</formula>
    </cfRule>
    <cfRule type="cellIs" dxfId="554" priority="9100" stopIfTrue="1" operator="lessThan">
      <formula>-0.03</formula>
    </cfRule>
  </conditionalFormatting>
  <conditionalFormatting sqref="C59:F62">
    <cfRule type="cellIs" dxfId="553" priority="9097" operator="greaterThan">
      <formula>0.03</formula>
    </cfRule>
    <cfRule type="cellIs" dxfId="552" priority="9098" stopIfTrue="1" operator="lessThan">
      <formula>-0.03</formula>
    </cfRule>
  </conditionalFormatting>
  <conditionalFormatting sqref="C11:C14">
    <cfRule type="cellIs" dxfId="551" priority="8683" operator="greaterThan">
      <formula>0.03</formula>
    </cfRule>
    <cfRule type="cellIs" dxfId="550" priority="8684" stopIfTrue="1" operator="lessThan">
      <formula>-0.03</formula>
    </cfRule>
  </conditionalFormatting>
  <conditionalFormatting sqref="C3">
    <cfRule type="cellIs" dxfId="549" priority="8699" operator="greaterThan">
      <formula>0.03</formula>
    </cfRule>
    <cfRule type="cellIs" dxfId="548" priority="8700" stopIfTrue="1" operator="lessThan">
      <formula>-0.03</formula>
    </cfRule>
  </conditionalFormatting>
  <conditionalFormatting sqref="C9">
    <cfRule type="cellIs" dxfId="547" priority="8697" operator="greaterThan">
      <formula>0.03</formula>
    </cfRule>
    <cfRule type="cellIs" dxfId="546" priority="8698" stopIfTrue="1" operator="lessThan">
      <formula>-0.03</formula>
    </cfRule>
  </conditionalFormatting>
  <conditionalFormatting sqref="C4:C7">
    <cfRule type="cellIs" dxfId="545" priority="8695" operator="greaterThan">
      <formula>0.03</formula>
    </cfRule>
    <cfRule type="cellIs" dxfId="544" priority="8696" stopIfTrue="1" operator="lessThan">
      <formula>-0.03</formula>
    </cfRule>
  </conditionalFormatting>
  <conditionalFormatting sqref="C10">
    <cfRule type="cellIs" dxfId="543" priority="8687" operator="greaterThan">
      <formula>0.03</formula>
    </cfRule>
    <cfRule type="cellIs" dxfId="542" priority="8688" stopIfTrue="1" operator="lessThan">
      <formula>-0.03</formula>
    </cfRule>
  </conditionalFormatting>
  <conditionalFormatting sqref="C16">
    <cfRule type="cellIs" dxfId="541" priority="8685" operator="greaterThan">
      <formula>0.03</formula>
    </cfRule>
    <cfRule type="cellIs" dxfId="540" priority="8686" stopIfTrue="1" operator="lessThan">
      <formula>-0.03</formula>
    </cfRule>
  </conditionalFormatting>
  <conditionalFormatting sqref="C43:C46">
    <cfRule type="cellIs" dxfId="539" priority="8665" operator="greaterThan">
      <formula>0.03</formula>
    </cfRule>
    <cfRule type="cellIs" dxfId="538" priority="8666" stopIfTrue="1" operator="lessThan">
      <formula>-0.03</formula>
    </cfRule>
  </conditionalFormatting>
  <conditionalFormatting sqref="C35">
    <cfRule type="cellIs" dxfId="537" priority="8681" operator="greaterThan">
      <formula>0.03</formula>
    </cfRule>
    <cfRule type="cellIs" dxfId="536" priority="8682" stopIfTrue="1" operator="lessThan">
      <formula>-0.03</formula>
    </cfRule>
  </conditionalFormatting>
  <conditionalFormatting sqref="C41">
    <cfRule type="cellIs" dxfId="535" priority="8679" operator="greaterThan">
      <formula>0.03</formula>
    </cfRule>
    <cfRule type="cellIs" dxfId="534" priority="8680" stopIfTrue="1" operator="lessThan">
      <formula>-0.03</formula>
    </cfRule>
  </conditionalFormatting>
  <conditionalFormatting sqref="C36:C39">
    <cfRule type="cellIs" dxfId="533" priority="8677" operator="greaterThan">
      <formula>0.03</formula>
    </cfRule>
    <cfRule type="cellIs" dxfId="532" priority="8678" stopIfTrue="1" operator="lessThan">
      <formula>-0.03</formula>
    </cfRule>
  </conditionalFormatting>
  <conditionalFormatting sqref="C42">
    <cfRule type="cellIs" dxfId="531" priority="8669" operator="greaterThan">
      <formula>0.03</formula>
    </cfRule>
    <cfRule type="cellIs" dxfId="530" priority="8670" stopIfTrue="1" operator="lessThan">
      <formula>-0.03</formula>
    </cfRule>
  </conditionalFormatting>
  <conditionalFormatting sqref="C48">
    <cfRule type="cellIs" dxfId="529" priority="8667" operator="greaterThan">
      <formula>0.03</formula>
    </cfRule>
    <cfRule type="cellIs" dxfId="528" priority="8668" stopIfTrue="1" operator="lessThan">
      <formula>-0.03</formula>
    </cfRule>
  </conditionalFormatting>
  <conditionalFormatting sqref="D11:D14">
    <cfRule type="cellIs" dxfId="527" priority="8431" operator="greaterThan">
      <formula>0.03</formula>
    </cfRule>
    <cfRule type="cellIs" dxfId="526" priority="8432" stopIfTrue="1" operator="lessThan">
      <formula>-0.03</formula>
    </cfRule>
  </conditionalFormatting>
  <conditionalFormatting sqref="D3">
    <cfRule type="cellIs" dxfId="525" priority="8447" operator="greaterThan">
      <formula>0.03</formula>
    </cfRule>
    <cfRule type="cellIs" dxfId="524" priority="8448" stopIfTrue="1" operator="lessThan">
      <formula>-0.03</formula>
    </cfRule>
  </conditionalFormatting>
  <conditionalFormatting sqref="D9">
    <cfRule type="cellIs" dxfId="523" priority="8445" operator="greaterThan">
      <formula>0.03</formula>
    </cfRule>
    <cfRule type="cellIs" dxfId="522" priority="8446" stopIfTrue="1" operator="lessThan">
      <formula>-0.03</formula>
    </cfRule>
  </conditionalFormatting>
  <conditionalFormatting sqref="D4:D7">
    <cfRule type="cellIs" dxfId="521" priority="8443" operator="greaterThan">
      <formula>0.03</formula>
    </cfRule>
    <cfRule type="cellIs" dxfId="520" priority="8444" stopIfTrue="1" operator="lessThan">
      <formula>-0.03</formula>
    </cfRule>
  </conditionalFormatting>
  <conditionalFormatting sqref="D10">
    <cfRule type="cellIs" dxfId="519" priority="8435" operator="greaterThan">
      <formula>0.03</formula>
    </cfRule>
    <cfRule type="cellIs" dxfId="518" priority="8436" stopIfTrue="1" operator="lessThan">
      <formula>-0.03</formula>
    </cfRule>
  </conditionalFormatting>
  <conditionalFormatting sqref="D16">
    <cfRule type="cellIs" dxfId="517" priority="8433" operator="greaterThan">
      <formula>0.03</formula>
    </cfRule>
    <cfRule type="cellIs" dxfId="516" priority="8434" stopIfTrue="1" operator="lessThan">
      <formula>-0.03</formula>
    </cfRule>
  </conditionalFormatting>
  <conditionalFormatting sqref="E11:E14">
    <cfRule type="cellIs" dxfId="515" priority="8413" operator="greaterThan">
      <formula>0.03</formula>
    </cfRule>
    <cfRule type="cellIs" dxfId="514" priority="8414" stopIfTrue="1" operator="lessThan">
      <formula>-0.03</formula>
    </cfRule>
  </conditionalFormatting>
  <conditionalFormatting sqref="E3">
    <cfRule type="cellIs" dxfId="513" priority="8429" operator="greaterThan">
      <formula>0.03</formula>
    </cfRule>
    <cfRule type="cellIs" dxfId="512" priority="8430" stopIfTrue="1" operator="lessThan">
      <formula>-0.03</formula>
    </cfRule>
  </conditionalFormatting>
  <conditionalFormatting sqref="E9">
    <cfRule type="cellIs" dxfId="511" priority="8427" operator="greaterThan">
      <formula>0.03</formula>
    </cfRule>
    <cfRule type="cellIs" dxfId="510" priority="8428" stopIfTrue="1" operator="lessThan">
      <formula>-0.03</formula>
    </cfRule>
  </conditionalFormatting>
  <conditionalFormatting sqref="E4:E7">
    <cfRule type="cellIs" dxfId="509" priority="8425" operator="greaterThan">
      <formula>0.03</formula>
    </cfRule>
    <cfRule type="cellIs" dxfId="508" priority="8426" stopIfTrue="1" operator="lessThan">
      <formula>-0.03</formula>
    </cfRule>
  </conditionalFormatting>
  <conditionalFormatting sqref="E10">
    <cfRule type="cellIs" dxfId="507" priority="8417" operator="greaterThan">
      <formula>0.03</formula>
    </cfRule>
    <cfRule type="cellIs" dxfId="506" priority="8418" stopIfTrue="1" operator="lessThan">
      <formula>-0.03</formula>
    </cfRule>
  </conditionalFormatting>
  <conditionalFormatting sqref="E16">
    <cfRule type="cellIs" dxfId="505" priority="8415" operator="greaterThan">
      <formula>0.03</formula>
    </cfRule>
    <cfRule type="cellIs" dxfId="504" priority="8416" stopIfTrue="1" operator="lessThan">
      <formula>-0.03</formula>
    </cfRule>
  </conditionalFormatting>
  <conditionalFormatting sqref="F11:F14">
    <cfRule type="cellIs" dxfId="503" priority="8395" operator="greaterThan">
      <formula>0.03</formula>
    </cfRule>
    <cfRule type="cellIs" dxfId="502" priority="8396" stopIfTrue="1" operator="lessThan">
      <formula>-0.03</formula>
    </cfRule>
  </conditionalFormatting>
  <conditionalFormatting sqref="F3">
    <cfRule type="cellIs" dxfId="501" priority="8411" operator="greaterThan">
      <formula>0.03</formula>
    </cfRule>
    <cfRule type="cellIs" dxfId="500" priority="8412" stopIfTrue="1" operator="lessThan">
      <formula>-0.03</formula>
    </cfRule>
  </conditionalFormatting>
  <conditionalFormatting sqref="F9">
    <cfRule type="cellIs" dxfId="499" priority="8409" operator="greaterThan">
      <formula>0.03</formula>
    </cfRule>
    <cfRule type="cellIs" dxfId="498" priority="8410" stopIfTrue="1" operator="lessThan">
      <formula>-0.03</formula>
    </cfRule>
  </conditionalFormatting>
  <conditionalFormatting sqref="F4:F7">
    <cfRule type="cellIs" dxfId="497" priority="8407" operator="greaterThan">
      <formula>0.03</formula>
    </cfRule>
    <cfRule type="cellIs" dxfId="496" priority="8408" stopIfTrue="1" operator="lessThan">
      <formula>-0.03</formula>
    </cfRule>
  </conditionalFormatting>
  <conditionalFormatting sqref="F10">
    <cfRule type="cellIs" dxfId="495" priority="8399" operator="greaterThan">
      <formula>0.03</formula>
    </cfRule>
    <cfRule type="cellIs" dxfId="494" priority="8400" stopIfTrue="1" operator="lessThan">
      <formula>-0.03</formula>
    </cfRule>
  </conditionalFormatting>
  <conditionalFormatting sqref="F16">
    <cfRule type="cellIs" dxfId="493" priority="8397" operator="greaterThan">
      <formula>0.03</formula>
    </cfRule>
    <cfRule type="cellIs" dxfId="492" priority="8398" stopIfTrue="1" operator="lessThan">
      <formula>-0.03</formula>
    </cfRule>
  </conditionalFormatting>
  <conditionalFormatting sqref="D43:D46">
    <cfRule type="cellIs" dxfId="491" priority="8377" operator="greaterThan">
      <formula>0.03</formula>
    </cfRule>
    <cfRule type="cellIs" dxfId="490" priority="8378" stopIfTrue="1" operator="lessThan">
      <formula>-0.03</formula>
    </cfRule>
  </conditionalFormatting>
  <conditionalFormatting sqref="D35">
    <cfRule type="cellIs" dxfId="489" priority="8393" operator="greaterThan">
      <formula>0.03</formula>
    </cfRule>
    <cfRule type="cellIs" dxfId="488" priority="8394" stopIfTrue="1" operator="lessThan">
      <formula>-0.03</formula>
    </cfRule>
  </conditionalFormatting>
  <conditionalFormatting sqref="D41">
    <cfRule type="cellIs" dxfId="487" priority="8391" operator="greaterThan">
      <formula>0.03</formula>
    </cfRule>
    <cfRule type="cellIs" dxfId="486" priority="8392" stopIfTrue="1" operator="lessThan">
      <formula>-0.03</formula>
    </cfRule>
  </conditionalFormatting>
  <conditionalFormatting sqref="D36:D39">
    <cfRule type="cellIs" dxfId="485" priority="8389" operator="greaterThan">
      <formula>0.03</formula>
    </cfRule>
    <cfRule type="cellIs" dxfId="484" priority="8390" stopIfTrue="1" operator="lessThan">
      <formula>-0.03</formula>
    </cfRule>
  </conditionalFormatting>
  <conditionalFormatting sqref="D42">
    <cfRule type="cellIs" dxfId="483" priority="8381" operator="greaterThan">
      <formula>0.03</formula>
    </cfRule>
    <cfRule type="cellIs" dxfId="482" priority="8382" stopIfTrue="1" operator="lessThan">
      <formula>-0.03</formula>
    </cfRule>
  </conditionalFormatting>
  <conditionalFormatting sqref="D48">
    <cfRule type="cellIs" dxfId="481" priority="8379" operator="greaterThan">
      <formula>0.03</formula>
    </cfRule>
    <cfRule type="cellIs" dxfId="480" priority="8380" stopIfTrue="1" operator="lessThan">
      <formula>-0.03</formula>
    </cfRule>
  </conditionalFormatting>
  <conditionalFormatting sqref="E43:E46">
    <cfRule type="cellIs" dxfId="479" priority="8359" operator="greaterThan">
      <formula>0.03</formula>
    </cfRule>
    <cfRule type="cellIs" dxfId="478" priority="8360" stopIfTrue="1" operator="lessThan">
      <formula>-0.03</formula>
    </cfRule>
  </conditionalFormatting>
  <conditionalFormatting sqref="E35">
    <cfRule type="cellIs" dxfId="477" priority="8375" operator="greaterThan">
      <formula>0.03</formula>
    </cfRule>
    <cfRule type="cellIs" dxfId="476" priority="8376" stopIfTrue="1" operator="lessThan">
      <formula>-0.03</formula>
    </cfRule>
  </conditionalFormatting>
  <conditionalFormatting sqref="E41">
    <cfRule type="cellIs" dxfId="475" priority="8373" operator="greaterThan">
      <formula>0.03</formula>
    </cfRule>
    <cfRule type="cellIs" dxfId="474" priority="8374" stopIfTrue="1" operator="lessThan">
      <formula>-0.03</formula>
    </cfRule>
  </conditionalFormatting>
  <conditionalFormatting sqref="E36:E39">
    <cfRule type="cellIs" dxfId="473" priority="8371" operator="greaterThan">
      <formula>0.03</formula>
    </cfRule>
    <cfRule type="cellIs" dxfId="472" priority="8372" stopIfTrue="1" operator="lessThan">
      <formula>-0.03</formula>
    </cfRule>
  </conditionalFormatting>
  <conditionalFormatting sqref="E42">
    <cfRule type="cellIs" dxfId="471" priority="8363" operator="greaterThan">
      <formula>0.03</formula>
    </cfRule>
    <cfRule type="cellIs" dxfId="470" priority="8364" stopIfTrue="1" operator="lessThan">
      <formula>-0.03</formula>
    </cfRule>
  </conditionalFormatting>
  <conditionalFormatting sqref="E48">
    <cfRule type="cellIs" dxfId="469" priority="8361" operator="greaterThan">
      <formula>0.03</formula>
    </cfRule>
    <cfRule type="cellIs" dxfId="468" priority="8362" stopIfTrue="1" operator="lessThan">
      <formula>-0.03</formula>
    </cfRule>
  </conditionalFormatting>
  <conditionalFormatting sqref="F43:F46">
    <cfRule type="cellIs" dxfId="467" priority="8341" operator="greaterThan">
      <formula>0.03</formula>
    </cfRule>
    <cfRule type="cellIs" dxfId="466" priority="8342" stopIfTrue="1" operator="lessThan">
      <formula>-0.03</formula>
    </cfRule>
  </conditionalFormatting>
  <conditionalFormatting sqref="F35">
    <cfRule type="cellIs" dxfId="465" priority="8357" operator="greaterThan">
      <formula>0.03</formula>
    </cfRule>
    <cfRule type="cellIs" dxfId="464" priority="8358" stopIfTrue="1" operator="lessThan">
      <formula>-0.03</formula>
    </cfRule>
  </conditionalFormatting>
  <conditionalFormatting sqref="F41">
    <cfRule type="cellIs" dxfId="463" priority="8355" operator="greaterThan">
      <formula>0.03</formula>
    </cfRule>
    <cfRule type="cellIs" dxfId="462" priority="8356" stopIfTrue="1" operator="lessThan">
      <formula>-0.03</formula>
    </cfRule>
  </conditionalFormatting>
  <conditionalFormatting sqref="F36:F39">
    <cfRule type="cellIs" dxfId="461" priority="8353" operator="greaterThan">
      <formula>0.03</formula>
    </cfRule>
    <cfRule type="cellIs" dxfId="460" priority="8354" stopIfTrue="1" operator="lessThan">
      <formula>-0.03</formula>
    </cfRule>
  </conditionalFormatting>
  <conditionalFormatting sqref="F42">
    <cfRule type="cellIs" dxfId="459" priority="8345" operator="greaterThan">
      <formula>0.03</formula>
    </cfRule>
    <cfRule type="cellIs" dxfId="458" priority="8346" stopIfTrue="1" operator="lessThan">
      <formula>-0.03</formula>
    </cfRule>
  </conditionalFormatting>
  <conditionalFormatting sqref="F48">
    <cfRule type="cellIs" dxfId="457" priority="8343" operator="greaterThan">
      <formula>0.03</formula>
    </cfRule>
    <cfRule type="cellIs" dxfId="456" priority="8344" stopIfTrue="1" operator="lessThan">
      <formula>-0.03</formula>
    </cfRule>
  </conditionalFormatting>
  <conditionalFormatting sqref="C8">
    <cfRule type="cellIs" dxfId="455" priority="4853" operator="greaterThan">
      <formula>0.03</formula>
    </cfRule>
    <cfRule type="cellIs" dxfId="454" priority="4854" stopIfTrue="1" operator="lessThan">
      <formula>-0.03</formula>
    </cfRule>
  </conditionalFormatting>
  <conditionalFormatting sqref="D8">
    <cfRule type="cellIs" dxfId="453" priority="4851" operator="greaterThan">
      <formula>0.03</formula>
    </cfRule>
    <cfRule type="cellIs" dxfId="452" priority="4852" stopIfTrue="1" operator="lessThan">
      <formula>-0.03</formula>
    </cfRule>
  </conditionalFormatting>
  <conditionalFormatting sqref="E8">
    <cfRule type="cellIs" dxfId="451" priority="4849" operator="greaterThan">
      <formula>0.03</formula>
    </cfRule>
    <cfRule type="cellIs" dxfId="450" priority="4850" stopIfTrue="1" operator="lessThan">
      <formula>-0.03</formula>
    </cfRule>
  </conditionalFormatting>
  <conditionalFormatting sqref="F8">
    <cfRule type="cellIs" dxfId="449" priority="4847" operator="greaterThan">
      <formula>0.03</formula>
    </cfRule>
    <cfRule type="cellIs" dxfId="448" priority="4848" stopIfTrue="1" operator="lessThan">
      <formula>-0.03</formula>
    </cfRule>
  </conditionalFormatting>
  <conditionalFormatting sqref="C15">
    <cfRule type="cellIs" dxfId="447" priority="4805" operator="greaterThan">
      <formula>0.03</formula>
    </cfRule>
    <cfRule type="cellIs" dxfId="446" priority="4806" stopIfTrue="1" operator="lessThan">
      <formula>-0.03</formula>
    </cfRule>
  </conditionalFormatting>
  <conditionalFormatting sqref="D15">
    <cfRule type="cellIs" dxfId="445" priority="4803" operator="greaterThan">
      <formula>0.03</formula>
    </cfRule>
    <cfRule type="cellIs" dxfId="444" priority="4804" stopIfTrue="1" operator="lessThan">
      <formula>-0.03</formula>
    </cfRule>
  </conditionalFormatting>
  <conditionalFormatting sqref="E15">
    <cfRule type="cellIs" dxfId="443" priority="4801" operator="greaterThan">
      <formula>0.03</formula>
    </cfRule>
    <cfRule type="cellIs" dxfId="442" priority="4802" stopIfTrue="1" operator="lessThan">
      <formula>-0.03</formula>
    </cfRule>
  </conditionalFormatting>
  <conditionalFormatting sqref="F15">
    <cfRule type="cellIs" dxfId="441" priority="4799" operator="greaterThan">
      <formula>0.03</formula>
    </cfRule>
    <cfRule type="cellIs" dxfId="440" priority="4800" stopIfTrue="1" operator="lessThan">
      <formula>-0.03</formula>
    </cfRule>
  </conditionalFormatting>
  <conditionalFormatting sqref="C24">
    <cfRule type="cellIs" dxfId="439" priority="4757" operator="greaterThan">
      <formula>0.03</formula>
    </cfRule>
    <cfRule type="cellIs" dxfId="438" priority="4758" stopIfTrue="1" operator="lessThan">
      <formula>-0.03</formula>
    </cfRule>
  </conditionalFormatting>
  <conditionalFormatting sqref="D24">
    <cfRule type="cellIs" dxfId="437" priority="4755" operator="greaterThan">
      <formula>0.03</formula>
    </cfRule>
    <cfRule type="cellIs" dxfId="436" priority="4756" stopIfTrue="1" operator="lessThan">
      <formula>-0.03</formula>
    </cfRule>
  </conditionalFormatting>
  <conditionalFormatting sqref="E24">
    <cfRule type="cellIs" dxfId="435" priority="4753" operator="greaterThan">
      <formula>0.03</formula>
    </cfRule>
    <cfRule type="cellIs" dxfId="434" priority="4754" stopIfTrue="1" operator="lessThan">
      <formula>-0.03</formula>
    </cfRule>
  </conditionalFormatting>
  <conditionalFormatting sqref="F24">
    <cfRule type="cellIs" dxfId="433" priority="4751" operator="greaterThan">
      <formula>0.03</formula>
    </cfRule>
    <cfRule type="cellIs" dxfId="432" priority="4752" stopIfTrue="1" operator="lessThan">
      <formula>-0.03</formula>
    </cfRule>
  </conditionalFormatting>
  <conditionalFormatting sqref="C31">
    <cfRule type="cellIs" dxfId="431" priority="4709" operator="greaterThan">
      <formula>0.03</formula>
    </cfRule>
    <cfRule type="cellIs" dxfId="430" priority="4710" stopIfTrue="1" operator="lessThan">
      <formula>-0.03</formula>
    </cfRule>
  </conditionalFormatting>
  <conditionalFormatting sqref="D31">
    <cfRule type="cellIs" dxfId="429" priority="4707" operator="greaterThan">
      <formula>0.03</formula>
    </cfRule>
    <cfRule type="cellIs" dxfId="428" priority="4708" stopIfTrue="1" operator="lessThan">
      <formula>-0.03</formula>
    </cfRule>
  </conditionalFormatting>
  <conditionalFormatting sqref="E31">
    <cfRule type="cellIs" dxfId="427" priority="4705" operator="greaterThan">
      <formula>0.03</formula>
    </cfRule>
    <cfRule type="cellIs" dxfId="426" priority="4706" stopIfTrue="1" operator="lessThan">
      <formula>-0.03</formula>
    </cfRule>
  </conditionalFormatting>
  <conditionalFormatting sqref="F31">
    <cfRule type="cellIs" dxfId="425" priority="4703" operator="greaterThan">
      <formula>0.03</formula>
    </cfRule>
    <cfRule type="cellIs" dxfId="424" priority="4704" stopIfTrue="1" operator="lessThan">
      <formula>-0.03</formula>
    </cfRule>
  </conditionalFormatting>
  <conditionalFormatting sqref="C40">
    <cfRule type="cellIs" dxfId="423" priority="4661" operator="greaterThan">
      <formula>0.03</formula>
    </cfRule>
    <cfRule type="cellIs" dxfId="422" priority="4662" stopIfTrue="1" operator="lessThan">
      <formula>-0.03</formula>
    </cfRule>
  </conditionalFormatting>
  <conditionalFormatting sqref="D40">
    <cfRule type="cellIs" dxfId="421" priority="4659" operator="greaterThan">
      <formula>0.03</formula>
    </cfRule>
    <cfRule type="cellIs" dxfId="420" priority="4660" stopIfTrue="1" operator="lessThan">
      <formula>-0.03</formula>
    </cfRule>
  </conditionalFormatting>
  <conditionalFormatting sqref="E40">
    <cfRule type="cellIs" dxfId="419" priority="4657" operator="greaterThan">
      <formula>0.03</formula>
    </cfRule>
    <cfRule type="cellIs" dxfId="418" priority="4658" stopIfTrue="1" operator="lessThan">
      <formula>-0.03</formula>
    </cfRule>
  </conditionalFormatting>
  <conditionalFormatting sqref="F40">
    <cfRule type="cellIs" dxfId="417" priority="4655" operator="greaterThan">
      <formula>0.03</formula>
    </cfRule>
    <cfRule type="cellIs" dxfId="416" priority="4656" stopIfTrue="1" operator="lessThan">
      <formula>-0.03</formula>
    </cfRule>
  </conditionalFormatting>
  <conditionalFormatting sqref="C47">
    <cfRule type="cellIs" dxfId="415" priority="4613" operator="greaterThan">
      <formula>0.03</formula>
    </cfRule>
    <cfRule type="cellIs" dxfId="414" priority="4614" stopIfTrue="1" operator="lessThan">
      <formula>-0.03</formula>
    </cfRule>
  </conditionalFormatting>
  <conditionalFormatting sqref="D47">
    <cfRule type="cellIs" dxfId="413" priority="4611" operator="greaterThan">
      <formula>0.03</formula>
    </cfRule>
    <cfRule type="cellIs" dxfId="412" priority="4612" stopIfTrue="1" operator="lessThan">
      <formula>-0.03</formula>
    </cfRule>
  </conditionalFormatting>
  <conditionalFormatting sqref="E47">
    <cfRule type="cellIs" dxfId="411" priority="4609" operator="greaterThan">
      <formula>0.03</formula>
    </cfRule>
    <cfRule type="cellIs" dxfId="410" priority="4610" stopIfTrue="1" operator="lessThan">
      <formula>-0.03</formula>
    </cfRule>
  </conditionalFormatting>
  <conditionalFormatting sqref="F47">
    <cfRule type="cellIs" dxfId="409" priority="4607" operator="greaterThan">
      <formula>0.03</formula>
    </cfRule>
    <cfRule type="cellIs" dxfId="408" priority="4608" stopIfTrue="1" operator="lessThan">
      <formula>-0.03</formula>
    </cfRule>
  </conditionalFormatting>
  <conditionalFormatting sqref="C56">
    <cfRule type="cellIs" dxfId="407" priority="4565" operator="greaterThan">
      <formula>0.03</formula>
    </cfRule>
    <cfRule type="cellIs" dxfId="406" priority="4566" stopIfTrue="1" operator="lessThan">
      <formula>-0.03</formula>
    </cfRule>
  </conditionalFormatting>
  <conditionalFormatting sqref="D56">
    <cfRule type="cellIs" dxfId="405" priority="4563" operator="greaterThan">
      <formula>0.03</formula>
    </cfRule>
    <cfRule type="cellIs" dxfId="404" priority="4564" stopIfTrue="1" operator="lessThan">
      <formula>-0.03</formula>
    </cfRule>
  </conditionalFormatting>
  <conditionalFormatting sqref="E56">
    <cfRule type="cellIs" dxfId="403" priority="4561" operator="greaterThan">
      <formula>0.03</formula>
    </cfRule>
    <cfRule type="cellIs" dxfId="402" priority="4562" stopIfTrue="1" operator="lessThan">
      <formula>-0.03</formula>
    </cfRule>
  </conditionalFormatting>
  <conditionalFormatting sqref="F56">
    <cfRule type="cellIs" dxfId="401" priority="4559" operator="greaterThan">
      <formula>0.03</formula>
    </cfRule>
    <cfRule type="cellIs" dxfId="400" priority="4560" stopIfTrue="1" operator="lessThan">
      <formula>-0.03</formula>
    </cfRule>
  </conditionalFormatting>
  <conditionalFormatting sqref="C63">
    <cfRule type="cellIs" dxfId="399" priority="4517" operator="greaterThan">
      <formula>0.03</formula>
    </cfRule>
    <cfRule type="cellIs" dxfId="398" priority="4518" stopIfTrue="1" operator="lessThan">
      <formula>-0.03</formula>
    </cfRule>
  </conditionalFormatting>
  <conditionalFormatting sqref="D63">
    <cfRule type="cellIs" dxfId="397" priority="4515" operator="greaterThan">
      <formula>0.03</formula>
    </cfRule>
    <cfRule type="cellIs" dxfId="396" priority="4516" stopIfTrue="1" operator="lessThan">
      <formula>-0.03</formula>
    </cfRule>
  </conditionalFormatting>
  <conditionalFormatting sqref="E63">
    <cfRule type="cellIs" dxfId="395" priority="4513" operator="greaterThan">
      <formula>0.03</formula>
    </cfRule>
    <cfRule type="cellIs" dxfId="394" priority="4514" stopIfTrue="1" operator="lessThan">
      <formula>-0.03</formula>
    </cfRule>
  </conditionalFormatting>
  <conditionalFormatting sqref="F63">
    <cfRule type="cellIs" dxfId="393" priority="4511" operator="greaterThan">
      <formula>0.03</formula>
    </cfRule>
    <cfRule type="cellIs" dxfId="392" priority="451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>
      <selection activeCell="F8" sqref="F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122</v>
      </c>
    </row>
    <row r="2" spans="1:25" x14ac:dyDescent="0.25">
      <c r="A2" t="s">
        <v>78</v>
      </c>
    </row>
    <row r="3" spans="1:25" x14ac:dyDescent="0.25">
      <c r="A3" t="s">
        <v>130</v>
      </c>
    </row>
    <row r="4" spans="1:25" x14ac:dyDescent="0.25">
      <c r="A4" t="s">
        <v>79</v>
      </c>
    </row>
    <row r="5" spans="1:25" s="35" customFormat="1" ht="15.75" customHeight="1" x14ac:dyDescent="0.25">
      <c r="B5" s="74" t="s">
        <v>29</v>
      </c>
      <c r="C5" s="68" t="s">
        <v>114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75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6" t="s">
        <v>76</v>
      </c>
      <c r="D7" s="77"/>
      <c r="E7" s="77"/>
      <c r="F7" s="77"/>
      <c r="G7" s="77"/>
      <c r="H7" s="77"/>
      <c r="I7" s="5"/>
      <c r="J7" s="76" t="s">
        <v>109</v>
      </c>
      <c r="K7" s="77"/>
      <c r="L7" s="77"/>
      <c r="M7" s="77"/>
      <c r="N7" s="77"/>
      <c r="O7" s="77"/>
      <c r="Q7" s="76" t="s">
        <v>7</v>
      </c>
      <c r="R7" s="77"/>
      <c r="S7" s="78"/>
      <c r="T7" s="36"/>
      <c r="U7" s="79" t="s">
        <v>45</v>
      </c>
      <c r="V7" s="67" t="s">
        <v>93</v>
      </c>
      <c r="W7" s="67"/>
      <c r="X7" s="67"/>
      <c r="Y7" s="67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  <c r="V8" s="55" t="s">
        <v>101</v>
      </c>
      <c r="W8" s="55" t="s">
        <v>94</v>
      </c>
      <c r="X8" s="56" t="s">
        <v>102</v>
      </c>
      <c r="Y8" s="56" t="s">
        <v>95</v>
      </c>
    </row>
    <row r="9" spans="1:25" x14ac:dyDescent="0.25">
      <c r="A9" s="6" t="s">
        <v>35</v>
      </c>
      <c r="B9" s="6" t="s">
        <v>46</v>
      </c>
      <c r="C9" s="15">
        <v>5920.88</v>
      </c>
      <c r="D9" s="16">
        <v>36.281999999999996</v>
      </c>
      <c r="E9" s="16">
        <v>37.981999999999999</v>
      </c>
      <c r="F9" s="16">
        <v>40.140999999999998</v>
      </c>
      <c r="G9" s="16">
        <v>2.2000000000000002</v>
      </c>
      <c r="H9" s="16">
        <f t="shared" ref="H9:H80" si="0">(6*D9+E9+F9)/8</f>
        <v>36.976875</v>
      </c>
      <c r="I9" s="5"/>
      <c r="J9" s="15">
        <v>4015.1248000000001</v>
      </c>
      <c r="K9" s="16">
        <v>37.439599999999999</v>
      </c>
      <c r="L9" s="16">
        <v>39.360799999999998</v>
      </c>
      <c r="M9" s="16">
        <v>41.808300000000003</v>
      </c>
      <c r="N9" s="16">
        <v>2.1732</v>
      </c>
      <c r="O9" s="16">
        <f t="shared" ref="O9:O80" si="1">(6*K9+L9+M9)/8</f>
        <v>38.225837499999997</v>
      </c>
      <c r="P9" s="7"/>
      <c r="Q9" s="8">
        <f>bdrate(C9:C12,D9:D12,J9:J12,K9:K12)</f>
        <v>-0.52440147630395306</v>
      </c>
      <c r="R9" s="8">
        <f>bdrate(C9:C12,E9:E12,J9:J12,L9:L12)</f>
        <v>-0.66317847957048814</v>
      </c>
      <c r="S9" s="8">
        <f>bdrate(C9:C12,F9:F12,J9:J12,M9:M12)</f>
        <v>-0.67674620760992976</v>
      </c>
      <c r="T9" s="25">
        <f>bdrate(C9:C12,H9:H12,J9:J12,O9:O12)</f>
        <v>-0.54645929577975205</v>
      </c>
      <c r="U9" s="28">
        <f t="shared" ref="U9:U72" si="2">(N9-G9)/G9</f>
        <v>-1.2181818181818252E-2</v>
      </c>
      <c r="V9" s="57">
        <f>ABS(C9-X9)/X9</f>
        <v>1.3186666666666649E-2</v>
      </c>
      <c r="W9" s="57">
        <f t="shared" ref="W9:W72" si="3">ABS(J9-Y9)/Y9</f>
        <v>3.7812000000000128E-3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4411.93</v>
      </c>
      <c r="D10" s="18">
        <v>35.277999999999999</v>
      </c>
      <c r="E10" s="18">
        <v>37.677</v>
      </c>
      <c r="F10" s="18">
        <v>39.85</v>
      </c>
      <c r="G10" s="18">
        <v>2.69</v>
      </c>
      <c r="H10" s="18">
        <f t="shared" si="0"/>
        <v>36.149374999999999</v>
      </c>
      <c r="I10" s="5"/>
      <c r="J10" s="17">
        <v>2941.0688</v>
      </c>
      <c r="K10" s="18">
        <v>36.418799999999997</v>
      </c>
      <c r="L10" s="18">
        <v>38.7639</v>
      </c>
      <c r="M10" s="18">
        <v>41.107599999999998</v>
      </c>
      <c r="N10" s="18">
        <v>2.3512</v>
      </c>
      <c r="O10" s="18">
        <f t="shared" si="1"/>
        <v>37.298037499999992</v>
      </c>
      <c r="P10" s="7"/>
      <c r="Q10" s="10"/>
      <c r="R10" s="11"/>
      <c r="S10" s="11"/>
      <c r="T10" s="26"/>
      <c r="U10" s="28">
        <f t="shared" si="2"/>
        <v>-0.12594795539033457</v>
      </c>
      <c r="V10" s="57">
        <f t="shared" ref="V10:V73" si="4">ABS(C10-X10)/X10</f>
        <v>1.9571111111111046E-2</v>
      </c>
      <c r="W10" s="57">
        <f t="shared" si="3"/>
        <v>1.964373333333333E-2</v>
      </c>
      <c r="X10" s="56">
        <v>4500</v>
      </c>
      <c r="Y10" s="56">
        <v>3000</v>
      </c>
    </row>
    <row r="11" spans="1:25" x14ac:dyDescent="0.25">
      <c r="B11" s="9"/>
      <c r="C11" s="17">
        <v>2884.85</v>
      </c>
      <c r="D11" s="18">
        <v>33.454000000000001</v>
      </c>
      <c r="E11" s="18">
        <v>36.840000000000003</v>
      </c>
      <c r="F11" s="18">
        <v>39</v>
      </c>
      <c r="G11" s="18">
        <v>2.78</v>
      </c>
      <c r="H11" s="18">
        <f t="shared" si="0"/>
        <v>34.570499999999996</v>
      </c>
      <c r="I11" s="5"/>
      <c r="J11" s="17">
        <v>1923.7536</v>
      </c>
      <c r="K11" s="18">
        <v>34.8185</v>
      </c>
      <c r="L11" s="18">
        <v>38.078299999999999</v>
      </c>
      <c r="M11" s="18">
        <v>40.3733</v>
      </c>
      <c r="N11" s="18">
        <v>2.677</v>
      </c>
      <c r="O11" s="18">
        <f t="shared" si="1"/>
        <v>35.920325000000005</v>
      </c>
      <c r="P11" s="7"/>
      <c r="Q11" s="10"/>
      <c r="R11" s="11"/>
      <c r="S11" s="11"/>
      <c r="T11" s="26"/>
      <c r="U11" s="28">
        <f t="shared" si="2"/>
        <v>-3.7050359712230134E-2</v>
      </c>
      <c r="V11" s="57">
        <f t="shared" si="4"/>
        <v>3.8383333333333366E-2</v>
      </c>
      <c r="W11" s="57">
        <f t="shared" si="3"/>
        <v>3.8123199999999996E-2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1388.57</v>
      </c>
      <c r="D12" s="20">
        <v>30.018999999999998</v>
      </c>
      <c r="E12" s="20">
        <v>35.79</v>
      </c>
      <c r="F12" s="20">
        <v>37.807000000000002</v>
      </c>
      <c r="G12" s="20">
        <v>2.98</v>
      </c>
      <c r="H12" s="20">
        <f t="shared" si="0"/>
        <v>31.713874999999994</v>
      </c>
      <c r="I12" s="5"/>
      <c r="J12" s="19">
        <v>944.33439999999996</v>
      </c>
      <c r="K12" s="20">
        <v>32.001600000000003</v>
      </c>
      <c r="L12" s="20">
        <v>36.8123</v>
      </c>
      <c r="M12" s="20">
        <v>39.026000000000003</v>
      </c>
      <c r="N12" s="20">
        <v>3.2725</v>
      </c>
      <c r="O12" s="20">
        <f t="shared" si="1"/>
        <v>33.480987500000005</v>
      </c>
      <c r="P12" s="7"/>
      <c r="Q12" s="13"/>
      <c r="R12" s="14"/>
      <c r="S12" s="14"/>
      <c r="T12" s="27"/>
      <c r="U12" s="28">
        <f t="shared" si="2"/>
        <v>9.815436241610738E-2</v>
      </c>
      <c r="V12" s="57">
        <f t="shared" si="4"/>
        <v>7.4286666666666709E-2</v>
      </c>
      <c r="W12" s="57">
        <f t="shared" si="3"/>
        <v>5.5665600000000037E-2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6158.12</v>
      </c>
      <c r="D13" s="16">
        <v>29.254999999999999</v>
      </c>
      <c r="E13" s="16">
        <v>39.009</v>
      </c>
      <c r="F13" s="16">
        <v>39.776000000000003</v>
      </c>
      <c r="G13" s="16">
        <v>1.86</v>
      </c>
      <c r="H13" s="16">
        <f t="shared" si="0"/>
        <v>31.789375</v>
      </c>
      <c r="I13" s="5"/>
      <c r="J13" s="15">
        <v>4051.5360000000001</v>
      </c>
      <c r="K13" s="16">
        <v>28.885999999999999</v>
      </c>
      <c r="L13" s="16">
        <v>39.085000000000001</v>
      </c>
      <c r="M13" s="16">
        <v>40.043300000000002</v>
      </c>
      <c r="N13" s="16">
        <v>1.6047</v>
      </c>
      <c r="O13" s="16">
        <f t="shared" si="1"/>
        <v>31.5555375</v>
      </c>
      <c r="P13" s="7"/>
      <c r="Q13" s="8">
        <f>bdrate(C13:C16,D13:D16,J13:J16,K13:K16)</f>
        <v>-0.33144581715137755</v>
      </c>
      <c r="R13" s="8">
        <f>bdrate(C13:C16,E13:E16,J13:J16,L13:L16)</f>
        <v>-0.33649573699003765</v>
      </c>
      <c r="S13" s="8">
        <f>bdrate(C13:C16,F13:F16,J13:J16,M13:M16)</f>
        <v>-0.48222796594336437</v>
      </c>
      <c r="T13" s="25">
        <f>bdrate(C13:C16,H13:H16,J13:J16,O13:O16)</f>
        <v>-0.3431600509597128</v>
      </c>
      <c r="U13" s="28">
        <f t="shared" si="2"/>
        <v>-0.13725806451612907</v>
      </c>
      <c r="V13" s="57">
        <f t="shared" si="4"/>
        <v>2.6353333333333315E-2</v>
      </c>
      <c r="W13" s="57">
        <f t="shared" si="3"/>
        <v>1.2884000000000015E-2</v>
      </c>
      <c r="X13" s="56">
        <v>6000</v>
      </c>
      <c r="Y13" s="56">
        <v>4000</v>
      </c>
    </row>
    <row r="14" spans="1:25" x14ac:dyDescent="0.25">
      <c r="B14" s="9"/>
      <c r="C14" s="17">
        <v>4591.5200000000004</v>
      </c>
      <c r="D14" s="18">
        <v>27.797999999999998</v>
      </c>
      <c r="E14" s="18">
        <v>38.475999999999999</v>
      </c>
      <c r="F14" s="18">
        <v>39.183999999999997</v>
      </c>
      <c r="G14" s="18">
        <v>2.21</v>
      </c>
      <c r="H14" s="18">
        <f t="shared" si="0"/>
        <v>30.555999999999997</v>
      </c>
      <c r="I14" s="5"/>
      <c r="J14" s="17">
        <v>3032.3344000000002</v>
      </c>
      <c r="K14" s="18">
        <v>27.528099999999998</v>
      </c>
      <c r="L14" s="18">
        <v>38.559899999999999</v>
      </c>
      <c r="M14" s="18">
        <v>39.620699999999999</v>
      </c>
      <c r="N14" s="18">
        <v>1.8506</v>
      </c>
      <c r="O14" s="18">
        <f t="shared" si="1"/>
        <v>30.41865</v>
      </c>
      <c r="P14" s="7"/>
      <c r="Q14" s="10"/>
      <c r="R14" s="11"/>
      <c r="S14" s="11"/>
      <c r="T14" s="26"/>
      <c r="U14" s="28">
        <f t="shared" si="2"/>
        <v>-0.16262443438914026</v>
      </c>
      <c r="V14" s="57">
        <f t="shared" si="4"/>
        <v>2.0337777777777875E-2</v>
      </c>
      <c r="W14" s="57">
        <f t="shared" si="3"/>
        <v>1.0778133333333396E-2</v>
      </c>
      <c r="X14" s="56">
        <v>4500</v>
      </c>
      <c r="Y14" s="56">
        <v>3000</v>
      </c>
    </row>
    <row r="15" spans="1:25" x14ac:dyDescent="0.25">
      <c r="B15" s="9"/>
      <c r="C15" s="17">
        <v>3051.03</v>
      </c>
      <c r="D15" s="18">
        <v>25.879000000000001</v>
      </c>
      <c r="E15" s="18">
        <v>37.725000000000001</v>
      </c>
      <c r="F15" s="18">
        <v>38.393000000000001</v>
      </c>
      <c r="G15" s="18">
        <v>2.37</v>
      </c>
      <c r="H15" s="18">
        <f t="shared" si="0"/>
        <v>28.923999999999999</v>
      </c>
      <c r="I15" s="5"/>
      <c r="J15" s="17">
        <v>2009.8864000000001</v>
      </c>
      <c r="K15" s="18">
        <v>25.790900000000001</v>
      </c>
      <c r="L15" s="18">
        <v>37.753500000000003</v>
      </c>
      <c r="M15" s="18">
        <v>38.944800000000001</v>
      </c>
      <c r="N15" s="18">
        <v>2.2050000000000001</v>
      </c>
      <c r="O15" s="18">
        <f t="shared" si="1"/>
        <v>28.930462500000004</v>
      </c>
      <c r="P15" s="7"/>
      <c r="Q15" s="10"/>
      <c r="R15" s="11"/>
      <c r="S15" s="11"/>
      <c r="T15" s="26"/>
      <c r="U15" s="28">
        <f t="shared" si="2"/>
        <v>-6.9620253164556972E-2</v>
      </c>
      <c r="V15" s="57">
        <f t="shared" si="4"/>
        <v>1.7010000000000067E-2</v>
      </c>
      <c r="W15" s="57">
        <f t="shared" si="3"/>
        <v>4.9432000000000469E-3</v>
      </c>
      <c r="X15" s="56">
        <v>3000</v>
      </c>
      <c r="Y15" s="56">
        <v>2000</v>
      </c>
    </row>
    <row r="16" spans="1:25" ht="16.5" thickBot="1" x14ac:dyDescent="0.3">
      <c r="B16" s="12"/>
      <c r="C16" s="19">
        <v>1533.56</v>
      </c>
      <c r="D16" s="20">
        <v>22.428999999999998</v>
      </c>
      <c r="E16" s="20">
        <v>36.204000000000001</v>
      </c>
      <c r="F16" s="20">
        <v>37.021999999999998</v>
      </c>
      <c r="G16" s="20">
        <v>2.5499999999999998</v>
      </c>
      <c r="H16" s="20">
        <f t="shared" si="0"/>
        <v>25.974999999999998</v>
      </c>
      <c r="I16" s="5"/>
      <c r="J16" s="19">
        <v>1172.6400000000001</v>
      </c>
      <c r="K16" s="20">
        <v>23.883800000000001</v>
      </c>
      <c r="L16" s="20">
        <v>36.2806</v>
      </c>
      <c r="M16" s="20">
        <v>37.599400000000003</v>
      </c>
      <c r="N16" s="20">
        <v>2.5343</v>
      </c>
      <c r="O16" s="20">
        <f t="shared" si="1"/>
        <v>27.147849999999998</v>
      </c>
      <c r="P16" s="7"/>
      <c r="Q16" s="13"/>
      <c r="R16" s="14"/>
      <c r="S16" s="14"/>
      <c r="T16" s="27"/>
      <c r="U16" s="28">
        <f t="shared" si="2"/>
        <v>-6.1568627450979711E-3</v>
      </c>
      <c r="V16" s="57">
        <f t="shared" si="4"/>
        <v>2.2373333333333297E-2</v>
      </c>
      <c r="W16" s="57">
        <f t="shared" si="3"/>
        <v>0.1726400000000001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3276.56</v>
      </c>
      <c r="D17" s="16">
        <v>38.258000000000003</v>
      </c>
      <c r="E17" s="16">
        <v>41.417000000000002</v>
      </c>
      <c r="F17" s="16">
        <v>42.37</v>
      </c>
      <c r="G17" s="16">
        <v>3.42</v>
      </c>
      <c r="H17" s="16">
        <f t="shared" si="0"/>
        <v>39.166875000000005</v>
      </c>
      <c r="I17" s="5"/>
      <c r="J17" s="15">
        <v>2378.6455999999998</v>
      </c>
      <c r="K17" s="16">
        <v>38.851700000000001</v>
      </c>
      <c r="L17" s="16">
        <v>41.783200000000001</v>
      </c>
      <c r="M17" s="16">
        <v>43.1113</v>
      </c>
      <c r="N17" s="16">
        <v>3.9321999999999999</v>
      </c>
      <c r="O17" s="16">
        <f t="shared" si="1"/>
        <v>39.750587500000009</v>
      </c>
      <c r="P17" s="7"/>
      <c r="Q17" s="8">
        <f>bdrate(C17:C20,D17:D20,J17:J20,K17:K20)</f>
        <v>-0.44015652657018811</v>
      </c>
      <c r="R17" s="8">
        <f>bdrate(C17:C20,E17:E20,J17:J20,L17:L20)</f>
        <v>-0.39618832128392767</v>
      </c>
      <c r="S17" s="8">
        <f>bdrate(C17:C20,F17:F20,J17:J20,M17:M20)</f>
        <v>-0.49680841991338787</v>
      </c>
      <c r="T17" s="25">
        <f>bdrate(C17:C20,H17:H20,J17:J20,O17:O20)</f>
        <v>-0.44169158242494255</v>
      </c>
      <c r="U17" s="28">
        <f t="shared" si="2"/>
        <v>0.14976608187134502</v>
      </c>
      <c r="V17" s="57">
        <f t="shared" si="4"/>
        <v>8.9844444444444463E-2</v>
      </c>
      <c r="W17" s="57">
        <f t="shared" si="3"/>
        <v>8.8976666666667377E-3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2155.06</v>
      </c>
      <c r="D18" s="18">
        <v>36.78</v>
      </c>
      <c r="E18" s="18">
        <v>40.816000000000003</v>
      </c>
      <c r="F18" s="18">
        <v>41.744999999999997</v>
      </c>
      <c r="G18" s="18">
        <v>4.26</v>
      </c>
      <c r="H18" s="18">
        <f t="shared" si="0"/>
        <v>37.905124999999998</v>
      </c>
      <c r="I18" s="5"/>
      <c r="J18" s="17">
        <v>1580.7888</v>
      </c>
      <c r="K18" s="18">
        <v>37.573099999999997</v>
      </c>
      <c r="L18" s="18">
        <v>41.116</v>
      </c>
      <c r="M18" s="18">
        <v>42.330100000000002</v>
      </c>
      <c r="N18" s="18">
        <v>4.2525000000000004</v>
      </c>
      <c r="O18" s="18">
        <f t="shared" si="1"/>
        <v>38.610587500000001</v>
      </c>
      <c r="P18" s="7"/>
      <c r="Q18" s="10"/>
      <c r="R18" s="11"/>
      <c r="S18" s="11"/>
      <c r="T18" s="26"/>
      <c r="U18" s="28">
        <f t="shared" si="2"/>
        <v>-1.7605633802815484E-3</v>
      </c>
      <c r="V18" s="57">
        <f t="shared" si="4"/>
        <v>0.10205833333333336</v>
      </c>
      <c r="W18" s="57">
        <f t="shared" si="3"/>
        <v>1.2006999999999976E-2</v>
      </c>
      <c r="X18" s="56">
        <v>2400</v>
      </c>
      <c r="Y18" s="56">
        <v>1600</v>
      </c>
    </row>
    <row r="19" spans="1:25" x14ac:dyDescent="0.25">
      <c r="B19" s="9"/>
      <c r="C19" s="17">
        <v>1325.37</v>
      </c>
      <c r="D19" s="18">
        <v>34.921999999999997</v>
      </c>
      <c r="E19" s="18">
        <v>40.054000000000002</v>
      </c>
      <c r="F19" s="18">
        <v>40.904000000000003</v>
      </c>
      <c r="G19" s="18">
        <v>4.6100000000000003</v>
      </c>
      <c r="H19" s="18">
        <f t="shared" si="0"/>
        <v>36.311250000000001</v>
      </c>
      <c r="I19" s="5"/>
      <c r="J19" s="17">
        <v>968.92</v>
      </c>
      <c r="K19" s="18">
        <v>35.973999999999997</v>
      </c>
      <c r="L19" s="18">
        <v>40.326599999999999</v>
      </c>
      <c r="M19" s="18">
        <v>41.5</v>
      </c>
      <c r="N19" s="18">
        <v>4.6426999999999996</v>
      </c>
      <c r="O19" s="18">
        <f t="shared" si="1"/>
        <v>37.208824999999997</v>
      </c>
      <c r="P19" s="7"/>
      <c r="Q19" s="10"/>
      <c r="R19" s="11"/>
      <c r="S19" s="11"/>
      <c r="T19" s="26"/>
      <c r="U19" s="28">
        <f t="shared" si="2"/>
        <v>7.0932754880692591E-3</v>
      </c>
      <c r="V19" s="57">
        <f t="shared" si="4"/>
        <v>0.11642000000000008</v>
      </c>
      <c r="W19" s="57">
        <f t="shared" si="3"/>
        <v>3.1080000000000042E-2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783.09</v>
      </c>
      <c r="D20" s="20">
        <v>32.719000000000001</v>
      </c>
      <c r="E20" s="20">
        <v>39.216000000000001</v>
      </c>
      <c r="F20" s="20">
        <v>40.197000000000003</v>
      </c>
      <c r="G20" s="20">
        <v>4.96</v>
      </c>
      <c r="H20" s="20">
        <f t="shared" si="0"/>
        <v>34.465875000000004</v>
      </c>
      <c r="I20" s="5"/>
      <c r="J20" s="19">
        <v>556.524</v>
      </c>
      <c r="K20" s="20">
        <v>34.091999999999999</v>
      </c>
      <c r="L20" s="20">
        <v>39.536999999999999</v>
      </c>
      <c r="M20" s="20">
        <v>40.772599999999997</v>
      </c>
      <c r="N20" s="20">
        <v>5.2986000000000004</v>
      </c>
      <c r="O20" s="20">
        <f t="shared" si="1"/>
        <v>35.607700000000001</v>
      </c>
      <c r="P20" s="7"/>
      <c r="Q20" s="13"/>
      <c r="R20" s="14"/>
      <c r="S20" s="14"/>
      <c r="T20" s="27"/>
      <c r="U20" s="28">
        <f t="shared" si="2"/>
        <v>6.8266129032258163E-2</v>
      </c>
      <c r="V20" s="57">
        <f t="shared" si="4"/>
        <v>0.12989999999999996</v>
      </c>
      <c r="W20" s="57">
        <f t="shared" si="3"/>
        <v>7.2459999999999997E-2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3532.9</v>
      </c>
      <c r="D21" s="16">
        <v>35.198999999999998</v>
      </c>
      <c r="E21" s="16">
        <v>38.506999999999998</v>
      </c>
      <c r="F21" s="16">
        <v>39.712000000000003</v>
      </c>
      <c r="G21" s="16">
        <v>3.55</v>
      </c>
      <c r="H21" s="16">
        <f t="shared" si="0"/>
        <v>36.176625000000001</v>
      </c>
      <c r="I21" s="5"/>
      <c r="J21" s="15">
        <v>2440.9607999999998</v>
      </c>
      <c r="K21" s="16">
        <v>35.613900000000001</v>
      </c>
      <c r="L21" s="16">
        <v>39.7104</v>
      </c>
      <c r="M21" s="16">
        <v>40.9253</v>
      </c>
      <c r="N21" s="16">
        <v>3.7145000000000001</v>
      </c>
      <c r="O21" s="16">
        <f t="shared" si="1"/>
        <v>36.789887499999999</v>
      </c>
      <c r="P21" s="7"/>
      <c r="Q21" s="8">
        <f>bdrate(C21:C24,D21:D24,J21:J24,K21:K24)</f>
        <v>-0.43569195409759609</v>
      </c>
      <c r="R21" s="8">
        <f>bdrate(C21:C24,E21:E24,J21:J24,L21:L24)</f>
        <v>-0.59272562600868484</v>
      </c>
      <c r="S21" s="8">
        <f>bdrate(C21:C24,F21:F24,J21:J24,M21:M24)</f>
        <v>-0.60214152202699478</v>
      </c>
      <c r="T21" s="25">
        <f>bdrate(C21:C24,H21:H24,J21:J24,O21:O24)</f>
        <v>-0.46269308333093817</v>
      </c>
      <c r="U21" s="28">
        <f t="shared" si="2"/>
        <v>4.6338028169014174E-2</v>
      </c>
      <c r="V21" s="57">
        <f t="shared" si="4"/>
        <v>1.8638888888888865E-2</v>
      </c>
      <c r="W21" s="57">
        <f t="shared" si="3"/>
        <v>1.7066999999999933E-2</v>
      </c>
      <c r="X21" s="56">
        <v>3600</v>
      </c>
      <c r="Y21" s="56">
        <v>2400</v>
      </c>
    </row>
    <row r="22" spans="1:25" x14ac:dyDescent="0.25">
      <c r="B22" s="9"/>
      <c r="C22" s="17">
        <v>2335.65</v>
      </c>
      <c r="D22" s="18">
        <v>33.817</v>
      </c>
      <c r="E22" s="18">
        <v>37.963999999999999</v>
      </c>
      <c r="F22" s="18">
        <v>39.304000000000002</v>
      </c>
      <c r="G22" s="18">
        <v>4.67</v>
      </c>
      <c r="H22" s="18">
        <f t="shared" si="0"/>
        <v>35.021249999999995</v>
      </c>
      <c r="I22" s="5"/>
      <c r="J22" s="17">
        <v>1627.7424000000001</v>
      </c>
      <c r="K22" s="18">
        <v>34.365099999999998</v>
      </c>
      <c r="L22" s="18">
        <v>38.999099999999999</v>
      </c>
      <c r="M22" s="18">
        <v>40.240099999999998</v>
      </c>
      <c r="N22" s="18">
        <v>4.1680000000000001</v>
      </c>
      <c r="O22" s="18">
        <f t="shared" si="1"/>
        <v>35.678725</v>
      </c>
      <c r="P22" s="7"/>
      <c r="Q22" s="10"/>
      <c r="R22" s="11"/>
      <c r="S22" s="11"/>
      <c r="T22" s="26"/>
      <c r="U22" s="28">
        <f t="shared" si="2"/>
        <v>-0.10749464668094214</v>
      </c>
      <c r="V22" s="57">
        <f t="shared" si="4"/>
        <v>2.6812499999999961E-2</v>
      </c>
      <c r="W22" s="57">
        <f t="shared" si="3"/>
        <v>1.7339000000000056E-2</v>
      </c>
      <c r="X22" s="56">
        <v>2400</v>
      </c>
      <c r="Y22" s="56">
        <v>1600</v>
      </c>
    </row>
    <row r="23" spans="1:25" x14ac:dyDescent="0.25">
      <c r="B23" s="9"/>
      <c r="C23" s="17">
        <v>1455.48</v>
      </c>
      <c r="D23" s="18">
        <v>32.097000000000001</v>
      </c>
      <c r="E23" s="18">
        <v>37.311999999999998</v>
      </c>
      <c r="F23" s="18">
        <v>38.746000000000002</v>
      </c>
      <c r="G23" s="18">
        <v>4.99</v>
      </c>
      <c r="H23" s="18">
        <f t="shared" si="0"/>
        <v>33.58</v>
      </c>
      <c r="I23" s="5"/>
      <c r="J23" s="17">
        <v>1024.6768</v>
      </c>
      <c r="K23" s="18">
        <v>32.923299999999998</v>
      </c>
      <c r="L23" s="18">
        <v>38.117400000000004</v>
      </c>
      <c r="M23" s="18">
        <v>39.445799999999998</v>
      </c>
      <c r="N23" s="18">
        <v>4.7068000000000003</v>
      </c>
      <c r="O23" s="18">
        <f t="shared" si="1"/>
        <v>34.387875000000001</v>
      </c>
      <c r="P23" s="7"/>
      <c r="Q23" s="10"/>
      <c r="R23" s="11"/>
      <c r="S23" s="11"/>
      <c r="T23" s="26"/>
      <c r="U23" s="28">
        <f t="shared" si="2"/>
        <v>-5.675350701402803E-2</v>
      </c>
      <c r="V23" s="57">
        <f t="shared" si="4"/>
        <v>2.9679999999999988E-2</v>
      </c>
      <c r="W23" s="57">
        <f t="shared" si="3"/>
        <v>2.4676799999999957E-2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869.47</v>
      </c>
      <c r="D24" s="20">
        <v>30.303999999999998</v>
      </c>
      <c r="E24" s="20">
        <v>36.701000000000001</v>
      </c>
      <c r="F24" s="20">
        <v>38.225000000000001</v>
      </c>
      <c r="G24" s="20">
        <v>5.33</v>
      </c>
      <c r="H24" s="20">
        <f t="shared" si="0"/>
        <v>32.09375</v>
      </c>
      <c r="I24" s="5"/>
      <c r="J24" s="19">
        <v>581.25040000000001</v>
      </c>
      <c r="K24" s="20">
        <v>31.226900000000001</v>
      </c>
      <c r="L24" s="20">
        <v>37.152099999999997</v>
      </c>
      <c r="M24" s="20">
        <v>38.671399999999998</v>
      </c>
      <c r="N24" s="20">
        <v>5.4511000000000003</v>
      </c>
      <c r="O24" s="20">
        <f t="shared" si="1"/>
        <v>32.898112499999996</v>
      </c>
      <c r="P24" s="7"/>
      <c r="Q24" s="13"/>
      <c r="R24" s="14"/>
      <c r="S24" s="14"/>
      <c r="T24" s="27"/>
      <c r="U24" s="28">
        <f t="shared" si="2"/>
        <v>2.2720450281425931E-2</v>
      </c>
      <c r="V24" s="57">
        <f t="shared" si="4"/>
        <v>3.3922222222222194E-2</v>
      </c>
      <c r="W24" s="57">
        <f t="shared" si="3"/>
        <v>3.124933333333331E-2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3630</v>
      </c>
      <c r="D25" s="16">
        <v>32.826999999999998</v>
      </c>
      <c r="E25" s="16">
        <v>37.274999999999999</v>
      </c>
      <c r="F25" s="16">
        <v>38.470999999999997</v>
      </c>
      <c r="G25" s="16">
        <v>4.07</v>
      </c>
      <c r="H25" s="16">
        <f t="shared" si="0"/>
        <v>34.088499999999996</v>
      </c>
      <c r="I25" s="5"/>
      <c r="J25" s="15">
        <v>2411.1424000000002</v>
      </c>
      <c r="K25" s="16">
        <v>33.667499999999997</v>
      </c>
      <c r="L25" s="16">
        <v>38.056800000000003</v>
      </c>
      <c r="M25" s="16">
        <v>39.915700000000001</v>
      </c>
      <c r="N25" s="16">
        <v>4.8605</v>
      </c>
      <c r="O25" s="16">
        <f t="shared" si="1"/>
        <v>34.997187500000003</v>
      </c>
      <c r="P25" s="7"/>
      <c r="Q25" s="8">
        <f>bdrate(C25:C28,D25:D28,J25:J28,K25:K28)</f>
        <v>-0.52684886428727984</v>
      </c>
      <c r="R25" s="8">
        <f>bdrate(C25:C28,E25:E28,J25:J28,L25:L28)</f>
        <v>-0.61994428930218792</v>
      </c>
      <c r="S25" s="8">
        <f>bdrate(C25:C28,F25:F28,J25:J28,M25:M28)</f>
        <v>-0.63854580294529373</v>
      </c>
      <c r="T25" s="25">
        <f>bdrate(C25:C28,H25:H28,J25:J28,O25:O28)</f>
        <v>-0.54350290314760974</v>
      </c>
      <c r="U25" s="28">
        <f t="shared" si="2"/>
        <v>0.19422604422604414</v>
      </c>
      <c r="V25" s="57">
        <f t="shared" si="4"/>
        <v>8.3333333333333332E-3</v>
      </c>
      <c r="W25" s="57">
        <f t="shared" si="3"/>
        <v>4.6426666666667419E-3</v>
      </c>
      <c r="X25" s="56">
        <v>3600</v>
      </c>
      <c r="Y25" s="56">
        <v>2400</v>
      </c>
    </row>
    <row r="26" spans="1:25" x14ac:dyDescent="0.25">
      <c r="B26" s="9"/>
      <c r="C26" s="17">
        <v>2395.36</v>
      </c>
      <c r="D26" s="18">
        <v>31.271000000000001</v>
      </c>
      <c r="E26" s="18">
        <v>36.822000000000003</v>
      </c>
      <c r="F26" s="18">
        <v>37.671999999999997</v>
      </c>
      <c r="G26" s="18">
        <v>5.1100000000000003</v>
      </c>
      <c r="H26" s="18">
        <f t="shared" si="0"/>
        <v>32.765000000000001</v>
      </c>
      <c r="I26" s="5"/>
      <c r="J26" s="17">
        <v>1604.9136000000001</v>
      </c>
      <c r="K26" s="18">
        <v>32.433</v>
      </c>
      <c r="L26" s="18">
        <v>37.577500000000001</v>
      </c>
      <c r="M26" s="18">
        <v>39.082099999999997</v>
      </c>
      <c r="N26" s="18">
        <v>5.4465000000000003</v>
      </c>
      <c r="O26" s="18">
        <f t="shared" si="1"/>
        <v>33.907200000000003</v>
      </c>
      <c r="P26" s="7"/>
      <c r="Q26" s="10"/>
      <c r="R26" s="11"/>
      <c r="S26" s="11"/>
      <c r="T26" s="26"/>
      <c r="U26" s="28">
        <f t="shared" si="2"/>
        <v>6.5851272015655576E-2</v>
      </c>
      <c r="V26" s="57">
        <f t="shared" si="4"/>
        <v>1.9333333333332802E-3</v>
      </c>
      <c r="W26" s="57">
        <f t="shared" si="3"/>
        <v>3.0710000000000546E-3</v>
      </c>
      <c r="X26" s="56">
        <v>2400</v>
      </c>
      <c r="Y26" s="56">
        <v>1600</v>
      </c>
    </row>
    <row r="27" spans="1:25" x14ac:dyDescent="0.25">
      <c r="B27" s="9"/>
      <c r="C27" s="17">
        <v>1497.7</v>
      </c>
      <c r="D27" s="18">
        <v>29.405000000000001</v>
      </c>
      <c r="E27" s="18">
        <v>36.168999999999997</v>
      </c>
      <c r="F27" s="18">
        <v>36.712000000000003</v>
      </c>
      <c r="G27" s="18">
        <v>5.34</v>
      </c>
      <c r="H27" s="18">
        <f t="shared" si="0"/>
        <v>31.163874999999997</v>
      </c>
      <c r="I27" s="5"/>
      <c r="J27" s="17">
        <v>1006.5648</v>
      </c>
      <c r="K27" s="18">
        <v>30.774999999999999</v>
      </c>
      <c r="L27" s="18">
        <v>36.9223</v>
      </c>
      <c r="M27" s="18">
        <v>37.969200000000001</v>
      </c>
      <c r="N27" s="18">
        <v>6.1170999999999998</v>
      </c>
      <c r="O27" s="18">
        <f t="shared" si="1"/>
        <v>32.442687499999998</v>
      </c>
      <c r="P27" s="7"/>
      <c r="Q27" s="10"/>
      <c r="R27" s="11"/>
      <c r="S27" s="11"/>
      <c r="T27" s="26"/>
      <c r="U27" s="28">
        <f t="shared" si="2"/>
        <v>0.14552434456928837</v>
      </c>
      <c r="V27" s="57">
        <f t="shared" si="4"/>
        <v>1.533333333333303E-3</v>
      </c>
      <c r="W27" s="57">
        <f t="shared" si="3"/>
        <v>6.5647999999999913E-3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885.76</v>
      </c>
      <c r="D28" s="20">
        <v>27.234999999999999</v>
      </c>
      <c r="E28" s="20">
        <v>35.738</v>
      </c>
      <c r="F28" s="20">
        <v>35.895000000000003</v>
      </c>
      <c r="G28" s="20">
        <v>5.67</v>
      </c>
      <c r="H28" s="20">
        <f t="shared" si="0"/>
        <v>29.380375000000001</v>
      </c>
      <c r="I28" s="5"/>
      <c r="J28" s="19">
        <v>601.10239999999999</v>
      </c>
      <c r="K28" s="20">
        <v>29.105399999999999</v>
      </c>
      <c r="L28" s="20">
        <v>36.246099999999998</v>
      </c>
      <c r="M28" s="20">
        <v>36.895699999999998</v>
      </c>
      <c r="N28" s="20">
        <v>6.8419999999999996</v>
      </c>
      <c r="O28" s="20">
        <f t="shared" si="1"/>
        <v>30.971774999999997</v>
      </c>
      <c r="P28" s="7"/>
      <c r="Q28" s="13"/>
      <c r="R28" s="14"/>
      <c r="S28" s="14"/>
      <c r="T28" s="27"/>
      <c r="U28" s="28">
        <f t="shared" si="2"/>
        <v>0.20670194003527331</v>
      </c>
      <c r="V28" s="57">
        <f t="shared" si="4"/>
        <v>1.5822222222222234E-2</v>
      </c>
      <c r="W28" s="57">
        <f t="shared" si="3"/>
        <v>1.8373333333333145E-3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3628.02</v>
      </c>
      <c r="D29" s="30">
        <v>32.780999999999999</v>
      </c>
      <c r="E29" s="30">
        <v>39.356999999999999</v>
      </c>
      <c r="F29" s="30">
        <v>38.944000000000003</v>
      </c>
      <c r="G29" s="16">
        <v>3.87</v>
      </c>
      <c r="H29" s="16">
        <f t="shared" si="0"/>
        <v>34.373374999999996</v>
      </c>
      <c r="I29" s="5"/>
      <c r="J29" s="29">
        <v>2416.748</v>
      </c>
      <c r="K29" s="30">
        <v>33.669899999999998</v>
      </c>
      <c r="L29" s="30">
        <v>40.044600000000003</v>
      </c>
      <c r="M29" s="30">
        <v>39.617899999999999</v>
      </c>
      <c r="N29" s="16">
        <v>4.0434000000000001</v>
      </c>
      <c r="O29" s="16">
        <f t="shared" si="1"/>
        <v>35.210237499999998</v>
      </c>
      <c r="P29" s="7"/>
      <c r="Q29" s="8">
        <f>bdrate(C29:C32,D29:D32,J29:J32,K29:K32)</f>
        <v>-0.55225713252703734</v>
      </c>
      <c r="R29" s="8">
        <f>bdrate(C29:C32,E29:E32,J29:J32,L29:L32)</f>
        <v>-0.4935718142156208</v>
      </c>
      <c r="S29" s="8">
        <f>bdrate(C29:C32,F29:F32,J29:J32,M29:M32)</f>
        <v>-0.42376792129859531</v>
      </c>
      <c r="T29" s="25">
        <f>bdrate(C29:C32,H29:H32,J29:J32,O29:O32)</f>
        <v>-0.54351131441880041</v>
      </c>
      <c r="U29" s="28">
        <f t="shared" si="2"/>
        <v>4.4806201550387594E-2</v>
      </c>
      <c r="V29" s="57">
        <f t="shared" si="4"/>
        <v>7.7833333333333279E-3</v>
      </c>
      <c r="W29" s="57">
        <f t="shared" si="3"/>
        <v>6.9783333333333529E-3</v>
      </c>
      <c r="X29" s="56">
        <v>3600</v>
      </c>
      <c r="Y29" s="56">
        <v>2400</v>
      </c>
    </row>
    <row r="30" spans="1:25" x14ac:dyDescent="0.25">
      <c r="B30" s="9"/>
      <c r="C30" s="31">
        <v>2390.11</v>
      </c>
      <c r="D30" s="32">
        <v>30.84</v>
      </c>
      <c r="E30" s="32">
        <v>38.497999999999998</v>
      </c>
      <c r="F30" s="32">
        <v>38.046999999999997</v>
      </c>
      <c r="G30" s="18">
        <v>4.4800000000000004</v>
      </c>
      <c r="H30" s="18">
        <f t="shared" si="0"/>
        <v>32.698124999999997</v>
      </c>
      <c r="I30" s="5"/>
      <c r="J30" s="31">
        <v>1610.1472000000001</v>
      </c>
      <c r="K30" s="32">
        <v>32.257599999999996</v>
      </c>
      <c r="L30" s="32">
        <v>39.247199999999999</v>
      </c>
      <c r="M30" s="32">
        <v>38.624600000000001</v>
      </c>
      <c r="N30" s="18">
        <v>4.5171000000000001</v>
      </c>
      <c r="O30" s="18">
        <f t="shared" si="1"/>
        <v>33.927174999999998</v>
      </c>
      <c r="P30" s="7"/>
      <c r="Q30" s="10"/>
      <c r="R30" s="11"/>
      <c r="S30" s="11"/>
      <c r="T30" s="26"/>
      <c r="U30" s="28">
        <f t="shared" si="2"/>
        <v>8.2812499999999293E-3</v>
      </c>
      <c r="V30" s="57">
        <f t="shared" si="4"/>
        <v>4.1208333333332802E-3</v>
      </c>
      <c r="W30" s="57">
        <f t="shared" si="3"/>
        <v>6.3420000000000698E-3</v>
      </c>
      <c r="X30" s="56">
        <v>2400</v>
      </c>
      <c r="Y30" s="56">
        <v>1600</v>
      </c>
    </row>
    <row r="31" spans="1:25" x14ac:dyDescent="0.25">
      <c r="B31" s="9"/>
      <c r="C31" s="31">
        <v>1479.91</v>
      </c>
      <c r="D31" s="32">
        <v>28.134</v>
      </c>
      <c r="E31" s="32">
        <v>37.512999999999998</v>
      </c>
      <c r="F31" s="32">
        <v>36.979999999999997</v>
      </c>
      <c r="G31" s="18">
        <v>4.8899999999999997</v>
      </c>
      <c r="H31" s="18">
        <f t="shared" si="0"/>
        <v>30.412125</v>
      </c>
      <c r="I31" s="5"/>
      <c r="J31" s="31">
        <v>1001.5536</v>
      </c>
      <c r="K31" s="32">
        <v>30.5016</v>
      </c>
      <c r="L31" s="32">
        <v>38.185699999999997</v>
      </c>
      <c r="M31" s="32">
        <v>37.331099999999999</v>
      </c>
      <c r="N31" s="18">
        <v>5.1162000000000001</v>
      </c>
      <c r="O31" s="18">
        <f t="shared" si="1"/>
        <v>32.315800000000003</v>
      </c>
      <c r="P31" s="7"/>
      <c r="Q31" s="10"/>
      <c r="R31" s="11"/>
      <c r="S31" s="11"/>
      <c r="T31" s="26"/>
      <c r="U31" s="28">
        <f t="shared" si="2"/>
        <v>4.6257668711656527E-2</v>
      </c>
      <c r="V31" s="57">
        <f t="shared" si="4"/>
        <v>1.3393333333333278E-2</v>
      </c>
      <c r="W31" s="57">
        <f t="shared" si="3"/>
        <v>1.5535999999999604E-3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856.09</v>
      </c>
      <c r="D32" s="34">
        <v>24.335999999999999</v>
      </c>
      <c r="E32" s="34">
        <v>35.738</v>
      </c>
      <c r="F32" s="34">
        <v>35.058</v>
      </c>
      <c r="G32" s="20">
        <v>5.21</v>
      </c>
      <c r="H32" s="20">
        <f t="shared" si="0"/>
        <v>27.101499999999998</v>
      </c>
      <c r="I32" s="5"/>
      <c r="J32" s="33">
        <v>593.6</v>
      </c>
      <c r="K32" s="34">
        <v>28.5901</v>
      </c>
      <c r="L32" s="34">
        <v>36.565300000000001</v>
      </c>
      <c r="M32" s="34">
        <v>35.563299999999998</v>
      </c>
      <c r="N32" s="20">
        <v>5.8978000000000002</v>
      </c>
      <c r="O32" s="20">
        <f t="shared" si="1"/>
        <v>30.458649999999999</v>
      </c>
      <c r="P32" s="7"/>
      <c r="Q32" s="13"/>
      <c r="R32" s="14"/>
      <c r="S32" s="14"/>
      <c r="T32" s="27"/>
      <c r="U32" s="28">
        <f t="shared" si="2"/>
        <v>0.13201535508637241</v>
      </c>
      <c r="V32" s="57">
        <f t="shared" si="4"/>
        <v>4.8788888888888854E-2</v>
      </c>
      <c r="W32" s="57">
        <f t="shared" si="3"/>
        <v>1.0666666666666628E-2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3549.42</v>
      </c>
      <c r="D33" s="16">
        <v>32.027999999999999</v>
      </c>
      <c r="E33" s="16">
        <v>38.468000000000004</v>
      </c>
      <c r="F33" s="16">
        <v>41.011000000000003</v>
      </c>
      <c r="G33" s="16">
        <v>4.43</v>
      </c>
      <c r="H33" s="16">
        <f t="shared" si="0"/>
        <v>33.955875000000006</v>
      </c>
      <c r="I33" s="5"/>
      <c r="J33" s="15">
        <v>2420.8247999999999</v>
      </c>
      <c r="K33" s="16">
        <v>33.302799999999998</v>
      </c>
      <c r="L33" s="16">
        <v>39.715699999999998</v>
      </c>
      <c r="M33" s="16">
        <v>42.215200000000003</v>
      </c>
      <c r="N33" s="16">
        <v>5.0831</v>
      </c>
      <c r="O33" s="16">
        <f t="shared" si="1"/>
        <v>35.218462500000001</v>
      </c>
      <c r="P33" s="7"/>
      <c r="Q33" s="8">
        <f>bdrate(C33:C36,D33:D36,J33:J36,K33:K36)</f>
        <v>-0.65246394292015353</v>
      </c>
      <c r="R33" s="8">
        <f>bdrate(C33:C36,E33:E36,J33:J36,L33:L36)</f>
        <v>-0.69371674483678447</v>
      </c>
      <c r="S33" s="8">
        <f>bdrate(C33:C36,F33:F36,J33:J36,M33:M36)</f>
        <v>-0.71446704862291444</v>
      </c>
      <c r="T33" s="25">
        <f>bdrate(C33:C36,H33:H36,J33:J36,O33:O36)</f>
        <v>-0.65903133471235875</v>
      </c>
      <c r="U33" s="28">
        <f t="shared" si="2"/>
        <v>0.14742663656884883</v>
      </c>
      <c r="V33" s="57">
        <f t="shared" si="4"/>
        <v>1.4049999999999979E-2</v>
      </c>
      <c r="W33" s="57">
        <f t="shared" si="3"/>
        <v>8.6769999999999452E-3</v>
      </c>
      <c r="X33" s="56">
        <v>3600</v>
      </c>
      <c r="Y33" s="56">
        <v>2400</v>
      </c>
    </row>
    <row r="34" spans="1:25" x14ac:dyDescent="0.25">
      <c r="B34" s="9"/>
      <c r="C34" s="17">
        <v>2332.14</v>
      </c>
      <c r="D34" s="18">
        <v>30.792999999999999</v>
      </c>
      <c r="E34" s="18">
        <v>38.122999999999998</v>
      </c>
      <c r="F34" s="18">
        <v>40.576000000000001</v>
      </c>
      <c r="G34" s="18">
        <v>5.01</v>
      </c>
      <c r="H34" s="18">
        <f t="shared" si="0"/>
        <v>32.932124999999999</v>
      </c>
      <c r="I34" s="5"/>
      <c r="J34" s="17">
        <v>1619.7832000000001</v>
      </c>
      <c r="K34" s="18">
        <v>32.5807</v>
      </c>
      <c r="L34" s="18">
        <v>39.214500000000001</v>
      </c>
      <c r="M34" s="18">
        <v>41.7761</v>
      </c>
      <c r="N34" s="18">
        <v>5.4911000000000003</v>
      </c>
      <c r="O34" s="18">
        <f t="shared" si="1"/>
        <v>34.559349999999995</v>
      </c>
      <c r="P34" s="7"/>
      <c r="Q34" s="10"/>
      <c r="R34" s="11"/>
      <c r="S34" s="11"/>
      <c r="T34" s="26"/>
      <c r="U34" s="28">
        <f t="shared" si="2"/>
        <v>9.602794411177655E-2</v>
      </c>
      <c r="V34" s="57">
        <f t="shared" si="4"/>
        <v>2.8275000000000054E-2</v>
      </c>
      <c r="W34" s="57">
        <f t="shared" si="3"/>
        <v>1.2364500000000049E-2</v>
      </c>
      <c r="X34" s="56">
        <v>2400</v>
      </c>
      <c r="Y34" s="56">
        <v>1600</v>
      </c>
    </row>
    <row r="35" spans="1:25" x14ac:dyDescent="0.25">
      <c r="B35" s="9"/>
      <c r="C35" s="17">
        <v>1441.93</v>
      </c>
      <c r="D35" s="18">
        <v>29.167000000000002</v>
      </c>
      <c r="E35" s="18">
        <v>37.606999999999999</v>
      </c>
      <c r="F35" s="18">
        <v>39.906999999999996</v>
      </c>
      <c r="G35" s="18">
        <v>5.48</v>
      </c>
      <c r="H35" s="18">
        <f t="shared" si="0"/>
        <v>31.564500000000002</v>
      </c>
      <c r="I35" s="5"/>
      <c r="J35" s="17">
        <v>1026.0696</v>
      </c>
      <c r="K35" s="18">
        <v>31.459199999999999</v>
      </c>
      <c r="L35" s="18">
        <v>38.521999999999998</v>
      </c>
      <c r="M35" s="18">
        <v>41.053800000000003</v>
      </c>
      <c r="N35" s="18">
        <v>6.0461</v>
      </c>
      <c r="O35" s="18">
        <f t="shared" si="1"/>
        <v>33.541375000000002</v>
      </c>
      <c r="P35" s="7"/>
      <c r="Q35" s="10"/>
      <c r="R35" s="11"/>
      <c r="S35" s="11"/>
      <c r="T35" s="26"/>
      <c r="U35" s="28">
        <f t="shared" si="2"/>
        <v>0.10330291970802911</v>
      </c>
      <c r="V35" s="57">
        <f t="shared" si="4"/>
        <v>3.8713333333333294E-2</v>
      </c>
      <c r="W35" s="57">
        <f t="shared" si="3"/>
        <v>2.6069600000000036E-2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830.63</v>
      </c>
      <c r="D36" s="20">
        <v>26.943999999999999</v>
      </c>
      <c r="E36" s="20">
        <v>37.003</v>
      </c>
      <c r="F36" s="20">
        <v>39.225000000000001</v>
      </c>
      <c r="G36" s="20">
        <v>5.69</v>
      </c>
      <c r="H36" s="20">
        <f t="shared" si="0"/>
        <v>29.736499999999996</v>
      </c>
      <c r="I36" s="5"/>
      <c r="J36" s="19">
        <v>602.11919999999998</v>
      </c>
      <c r="K36" s="20">
        <v>29.9175</v>
      </c>
      <c r="L36" s="20">
        <v>37.909599999999998</v>
      </c>
      <c r="M36" s="20">
        <v>40.487400000000001</v>
      </c>
      <c r="N36" s="20">
        <v>6.6421999999999999</v>
      </c>
      <c r="O36" s="20">
        <f t="shared" si="1"/>
        <v>32.237749999999998</v>
      </c>
      <c r="P36" s="7"/>
      <c r="Q36" s="13"/>
      <c r="R36" s="14"/>
      <c r="S36" s="14"/>
      <c r="T36" s="27"/>
      <c r="U36" s="28">
        <f t="shared" si="2"/>
        <v>0.16734622144112468</v>
      </c>
      <c r="V36" s="57">
        <f t="shared" si="4"/>
        <v>7.7077777777777787E-2</v>
      </c>
      <c r="W36" s="57">
        <f t="shared" si="3"/>
        <v>3.5319999999999631E-3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1581.35</v>
      </c>
      <c r="D37" s="16">
        <v>33.182000000000002</v>
      </c>
      <c r="E37" s="16">
        <v>36.720999999999997</v>
      </c>
      <c r="F37" s="16">
        <v>36.597999999999999</v>
      </c>
      <c r="G37" s="16">
        <v>19.57</v>
      </c>
      <c r="H37" s="16">
        <f t="shared" si="0"/>
        <v>34.051375</v>
      </c>
      <c r="I37" s="5"/>
      <c r="J37" s="15">
        <v>1215.0519999999999</v>
      </c>
      <c r="K37" s="16">
        <v>34.3932</v>
      </c>
      <c r="L37" s="16">
        <v>38.5595</v>
      </c>
      <c r="M37" s="16">
        <v>38.331400000000002</v>
      </c>
      <c r="N37" s="16">
        <v>17.269400000000001</v>
      </c>
      <c r="O37" s="16">
        <f t="shared" si="1"/>
        <v>35.406262499999997</v>
      </c>
      <c r="P37" s="7"/>
      <c r="Q37" s="8">
        <f>bdrate(C37:C40,D37:D40,J37:J40,K37:K40)</f>
        <v>-0.44792508283562382</v>
      </c>
      <c r="R37" s="8">
        <f>bdrate(C37:C40,E37:E40,J37:J40,L37:L40)</f>
        <v>-0.56242917028259143</v>
      </c>
      <c r="S37" s="8">
        <f>bdrate(C37:C40,F37:F40,J37:J40,M37:M40)</f>
        <v>-0.52738177382705587</v>
      </c>
      <c r="T37" s="25">
        <f>bdrate(C37:C40,H37:H40,J37:J40,O37:O40)</f>
        <v>-0.46660719467849221</v>
      </c>
      <c r="U37" s="28">
        <f t="shared" si="2"/>
        <v>-0.11755748594787938</v>
      </c>
      <c r="V37" s="57">
        <f t="shared" si="4"/>
        <v>2.0225806451612843E-2</v>
      </c>
      <c r="W37" s="57">
        <f t="shared" si="3"/>
        <v>1.2543333333333255E-2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1067.48</v>
      </c>
      <c r="D38" s="18">
        <v>31.661999999999999</v>
      </c>
      <c r="E38" s="18">
        <v>35.921999999999997</v>
      </c>
      <c r="F38" s="18">
        <v>35.637</v>
      </c>
      <c r="G38" s="18">
        <v>25.98</v>
      </c>
      <c r="H38" s="18">
        <f t="shared" si="0"/>
        <v>32.691374999999994</v>
      </c>
      <c r="I38" s="5"/>
      <c r="J38" s="17">
        <v>809.54319999999996</v>
      </c>
      <c r="K38" s="18">
        <v>32.8504</v>
      </c>
      <c r="L38" s="18">
        <v>37.420099999999998</v>
      </c>
      <c r="M38" s="18">
        <v>37.098199999999999</v>
      </c>
      <c r="N38" s="18">
        <v>19.721499999999999</v>
      </c>
      <c r="O38" s="18">
        <f t="shared" si="1"/>
        <v>33.9525875</v>
      </c>
      <c r="P38" s="7"/>
      <c r="Q38" s="10"/>
      <c r="R38" s="11"/>
      <c r="S38" s="11"/>
      <c r="T38" s="26"/>
      <c r="U38" s="28">
        <f t="shared" si="2"/>
        <v>-0.24089684372594308</v>
      </c>
      <c r="V38" s="57">
        <f t="shared" si="4"/>
        <v>1.6647619047619064E-2</v>
      </c>
      <c r="W38" s="57">
        <f t="shared" si="3"/>
        <v>1.1928999999999945E-2</v>
      </c>
      <c r="X38" s="56">
        <v>1050</v>
      </c>
      <c r="Y38" s="56">
        <v>800</v>
      </c>
    </row>
    <row r="39" spans="1:25" x14ac:dyDescent="0.25">
      <c r="B39" s="9"/>
      <c r="C39" s="17">
        <v>661.56</v>
      </c>
      <c r="D39" s="18">
        <v>29.765000000000001</v>
      </c>
      <c r="E39" s="18">
        <v>35.04</v>
      </c>
      <c r="F39" s="18">
        <v>34.621000000000002</v>
      </c>
      <c r="G39" s="18">
        <v>28.37</v>
      </c>
      <c r="H39" s="18">
        <f t="shared" si="0"/>
        <v>31.031375000000001</v>
      </c>
      <c r="I39" s="5"/>
      <c r="J39" s="17">
        <v>506.25119999999998</v>
      </c>
      <c r="K39" s="18">
        <v>31.067299999999999</v>
      </c>
      <c r="L39" s="18">
        <v>36.166800000000002</v>
      </c>
      <c r="M39" s="18">
        <v>35.733600000000003</v>
      </c>
      <c r="N39" s="18">
        <v>22.8948</v>
      </c>
      <c r="O39" s="18">
        <f t="shared" si="1"/>
        <v>32.288024999999998</v>
      </c>
      <c r="P39" s="7"/>
      <c r="Q39" s="10"/>
      <c r="R39" s="11"/>
      <c r="S39" s="11"/>
      <c r="T39" s="26"/>
      <c r="U39" s="28">
        <f t="shared" si="2"/>
        <v>-0.19299259781459291</v>
      </c>
      <c r="V39" s="57">
        <f t="shared" si="4"/>
        <v>1.7784615384615302E-2</v>
      </c>
      <c r="W39" s="57">
        <f t="shared" si="3"/>
        <v>1.2502399999999966E-2</v>
      </c>
      <c r="X39" s="56">
        <v>650</v>
      </c>
      <c r="Y39" s="56">
        <v>500</v>
      </c>
    </row>
    <row r="40" spans="1:25" ht="16.5" thickBot="1" x14ac:dyDescent="0.3">
      <c r="B40" s="12"/>
      <c r="C40" s="19">
        <v>404.01</v>
      </c>
      <c r="D40" s="20">
        <v>27.521999999999998</v>
      </c>
      <c r="E40" s="20">
        <v>34.317999999999998</v>
      </c>
      <c r="F40" s="20">
        <v>33.844999999999999</v>
      </c>
      <c r="G40" s="20">
        <v>29.38</v>
      </c>
      <c r="H40" s="20">
        <f t="shared" si="0"/>
        <v>29.161874999999998</v>
      </c>
      <c r="I40" s="5"/>
      <c r="J40" s="19">
        <v>304.04079999999999</v>
      </c>
      <c r="K40" s="20">
        <v>29.081099999999999</v>
      </c>
      <c r="L40" s="20">
        <v>34.914400000000001</v>
      </c>
      <c r="M40" s="20">
        <v>34.294499999999999</v>
      </c>
      <c r="N40" s="20">
        <v>26.834099999999999</v>
      </c>
      <c r="O40" s="20">
        <f t="shared" si="1"/>
        <v>30.461937500000001</v>
      </c>
      <c r="P40" s="7"/>
      <c r="Q40" s="13"/>
      <c r="R40" s="14"/>
      <c r="S40" s="14"/>
      <c r="T40" s="27"/>
      <c r="U40" s="28">
        <f t="shared" si="2"/>
        <v>-8.6654186521443147E-2</v>
      </c>
      <c r="V40" s="57">
        <f t="shared" si="4"/>
        <v>1.0024999999999977E-2</v>
      </c>
      <c r="W40" s="57">
        <f t="shared" si="3"/>
        <v>1.34693333333333E-2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1574.29</v>
      </c>
      <c r="D41" s="16">
        <v>33.619</v>
      </c>
      <c r="E41" s="16">
        <v>38.848999999999997</v>
      </c>
      <c r="F41" s="16">
        <v>39.613</v>
      </c>
      <c r="G41" s="16">
        <v>19.11</v>
      </c>
      <c r="H41" s="16">
        <f t="shared" si="0"/>
        <v>35.021999999999998</v>
      </c>
      <c r="I41" s="5"/>
      <c r="J41" s="15">
        <v>1245.9967999999999</v>
      </c>
      <c r="K41" s="16">
        <v>34.789700000000003</v>
      </c>
      <c r="L41" s="16">
        <v>40.262799999999999</v>
      </c>
      <c r="M41" s="16">
        <v>41.143099999999997</v>
      </c>
      <c r="N41" s="16">
        <v>17.0532</v>
      </c>
      <c r="O41" s="16">
        <f t="shared" si="1"/>
        <v>36.268012499999998</v>
      </c>
      <c r="P41" s="7"/>
      <c r="Q41" s="8">
        <f>bdrate(C41:C44,D41:D44,J41:J44,K41:K44)</f>
        <v>-0.45485880762321929</v>
      </c>
      <c r="R41" s="8">
        <f>bdrate(C41:C44,E41:E44,J41:J44,L41:L44)</f>
        <v>-0.53878394686956232</v>
      </c>
      <c r="S41" s="8">
        <f>bdrate(C41:C44,F41:F44,J41:J44,M41:M44)</f>
        <v>-0.50436380992152907</v>
      </c>
      <c r="T41" s="25">
        <f>bdrate(C41:C44,H41:H44,J41:J44,O41:O44)</f>
        <v>-0.46655690994889187</v>
      </c>
      <c r="U41" s="28">
        <f t="shared" si="2"/>
        <v>-0.10762951334379901</v>
      </c>
      <c r="V41" s="57">
        <f t="shared" si="4"/>
        <v>1.5670967741935462E-2</v>
      </c>
      <c r="W41" s="57">
        <f t="shared" si="3"/>
        <v>3.8330666666666575E-2</v>
      </c>
      <c r="X41" s="56">
        <v>1550</v>
      </c>
      <c r="Y41" s="56">
        <v>1200</v>
      </c>
    </row>
    <row r="42" spans="1:25" x14ac:dyDescent="0.25">
      <c r="B42" s="9"/>
      <c r="C42" s="17">
        <v>1067.71</v>
      </c>
      <c r="D42" s="18">
        <v>31.875</v>
      </c>
      <c r="E42" s="18">
        <v>38.112000000000002</v>
      </c>
      <c r="F42" s="18">
        <v>38.845999999999997</v>
      </c>
      <c r="G42" s="18">
        <v>25.61</v>
      </c>
      <c r="H42" s="18">
        <f t="shared" si="0"/>
        <v>33.525999999999996</v>
      </c>
      <c r="I42" s="5"/>
      <c r="J42" s="17">
        <v>829.59439999999995</v>
      </c>
      <c r="K42" s="18">
        <v>33.244700000000002</v>
      </c>
      <c r="L42" s="18">
        <v>39.3277</v>
      </c>
      <c r="M42" s="18">
        <v>40.066800000000001</v>
      </c>
      <c r="N42" s="18">
        <v>19.361699999999999</v>
      </c>
      <c r="O42" s="18">
        <f t="shared" si="1"/>
        <v>34.857837500000002</v>
      </c>
      <c r="P42" s="7"/>
      <c r="Q42" s="10"/>
      <c r="R42" s="11"/>
      <c r="S42" s="11"/>
      <c r="T42" s="26"/>
      <c r="U42" s="28">
        <f t="shared" si="2"/>
        <v>-0.24397891448652873</v>
      </c>
      <c r="V42" s="57">
        <f t="shared" si="4"/>
        <v>1.68666666666667E-2</v>
      </c>
      <c r="W42" s="57">
        <f t="shared" si="3"/>
        <v>3.6992999999999936E-2</v>
      </c>
      <c r="X42" s="56">
        <v>1050</v>
      </c>
      <c r="Y42" s="56">
        <v>800</v>
      </c>
    </row>
    <row r="43" spans="1:25" x14ac:dyDescent="0.25">
      <c r="B43" s="9"/>
      <c r="C43" s="17">
        <v>662</v>
      </c>
      <c r="D43" s="18">
        <v>29.692</v>
      </c>
      <c r="E43" s="18">
        <v>37.295999999999999</v>
      </c>
      <c r="F43" s="18">
        <v>37.953000000000003</v>
      </c>
      <c r="G43" s="18">
        <v>26.83</v>
      </c>
      <c r="H43" s="18">
        <f t="shared" si="0"/>
        <v>31.675124999999998</v>
      </c>
      <c r="I43" s="5"/>
      <c r="J43" s="17">
        <v>518.47040000000004</v>
      </c>
      <c r="K43" s="18">
        <v>31.360600000000002</v>
      </c>
      <c r="L43" s="18">
        <v>38.253799999999998</v>
      </c>
      <c r="M43" s="18">
        <v>38.868699999999997</v>
      </c>
      <c r="N43" s="18">
        <v>22.347999999999999</v>
      </c>
      <c r="O43" s="18">
        <f t="shared" si="1"/>
        <v>33.160762499999997</v>
      </c>
      <c r="P43" s="7"/>
      <c r="Q43" s="10"/>
      <c r="R43" s="11"/>
      <c r="S43" s="11"/>
      <c r="T43" s="26"/>
      <c r="U43" s="28">
        <f t="shared" si="2"/>
        <v>-0.1670518076779724</v>
      </c>
      <c r="V43" s="57">
        <f t="shared" si="4"/>
        <v>1.8461538461538463E-2</v>
      </c>
      <c r="W43" s="57">
        <f t="shared" si="3"/>
        <v>3.6940800000000079E-2</v>
      </c>
      <c r="X43" s="56">
        <v>650</v>
      </c>
      <c r="Y43" s="56">
        <v>500</v>
      </c>
    </row>
    <row r="44" spans="1:25" ht="16.5" thickBot="1" x14ac:dyDescent="0.3">
      <c r="B44" s="12"/>
      <c r="C44" s="19">
        <v>408.5</v>
      </c>
      <c r="D44" s="20">
        <v>27.317</v>
      </c>
      <c r="E44" s="20">
        <v>36.515999999999998</v>
      </c>
      <c r="F44" s="20">
        <v>37.119</v>
      </c>
      <c r="G44" s="20">
        <v>28.07</v>
      </c>
      <c r="H44" s="20">
        <f t="shared" si="0"/>
        <v>29.692124999999997</v>
      </c>
      <c r="I44" s="5"/>
      <c r="J44" s="19">
        <v>311.06400000000002</v>
      </c>
      <c r="K44" s="20">
        <v>29.2958</v>
      </c>
      <c r="L44" s="20">
        <v>37.182099999999998</v>
      </c>
      <c r="M44" s="20">
        <v>37.630699999999997</v>
      </c>
      <c r="N44" s="20">
        <v>26.459700000000002</v>
      </c>
      <c r="O44" s="20">
        <f t="shared" si="1"/>
        <v>31.323449999999998</v>
      </c>
      <c r="P44" s="7"/>
      <c r="Q44" s="13"/>
      <c r="R44" s="14"/>
      <c r="S44" s="14"/>
      <c r="T44" s="27"/>
      <c r="U44" s="28">
        <f t="shared" si="2"/>
        <v>-5.7367296045600237E-2</v>
      </c>
      <c r="V44" s="57">
        <f t="shared" si="4"/>
        <v>2.1250000000000002E-2</v>
      </c>
      <c r="W44" s="57">
        <f t="shared" si="3"/>
        <v>3.6880000000000072E-2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1471.46</v>
      </c>
      <c r="D45" s="16">
        <v>28.134</v>
      </c>
      <c r="E45" s="16">
        <v>34.814999999999998</v>
      </c>
      <c r="F45" s="16">
        <v>35.502000000000002</v>
      </c>
      <c r="G45" s="16">
        <v>19.72</v>
      </c>
      <c r="H45" s="16">
        <f t="shared" si="0"/>
        <v>29.890125000000001</v>
      </c>
      <c r="I45" s="5"/>
      <c r="J45" s="15">
        <v>1227.0912000000001</v>
      </c>
      <c r="K45" s="16">
        <v>29.864599999999999</v>
      </c>
      <c r="L45" s="16">
        <v>36.450600000000001</v>
      </c>
      <c r="M45" s="16">
        <v>37.2453</v>
      </c>
      <c r="N45" s="16">
        <v>15.3553</v>
      </c>
      <c r="O45" s="16">
        <f t="shared" si="1"/>
        <v>31.610437500000003</v>
      </c>
      <c r="P45" s="7"/>
      <c r="Q45" s="8">
        <f>bdrate(C45:C48,D45:D48,J45:J48,K45:K48)</f>
        <v>-0.52934761518075457</v>
      </c>
      <c r="R45" s="8">
        <f>bdrate(C45:C48,E45:E48,J45:J48,L45:L48)</f>
        <v>-0.63595563015882939</v>
      </c>
      <c r="S45" s="8">
        <f>bdrate(C45:C48,F45:F48,J45:J48,M45:M48)</f>
        <v>-0.63194216565058381</v>
      </c>
      <c r="T45" s="25">
        <f>bdrate(C45:C48,H45:H48,J45:J48,O45:O48)</f>
        <v>-0.54575057390590564</v>
      </c>
      <c r="U45" s="28">
        <f t="shared" si="2"/>
        <v>-0.22133367139959428</v>
      </c>
      <c r="V45" s="57">
        <f t="shared" si="4"/>
        <v>5.0670967741935462E-2</v>
      </c>
      <c r="W45" s="57">
        <f t="shared" si="3"/>
        <v>2.2576000000000061E-2</v>
      </c>
      <c r="X45" s="56">
        <v>1550</v>
      </c>
      <c r="Y45" s="56">
        <v>1200</v>
      </c>
    </row>
    <row r="46" spans="1:25" x14ac:dyDescent="0.25">
      <c r="B46" s="9"/>
      <c r="C46" s="17">
        <v>998.08</v>
      </c>
      <c r="D46" s="18">
        <v>26.803999999999998</v>
      </c>
      <c r="E46" s="18">
        <v>34.36</v>
      </c>
      <c r="F46" s="18">
        <v>35.063000000000002</v>
      </c>
      <c r="G46" s="18">
        <v>26.74</v>
      </c>
      <c r="H46" s="18">
        <f t="shared" si="0"/>
        <v>28.780874999999995</v>
      </c>
      <c r="I46" s="5"/>
      <c r="J46" s="17">
        <v>817.25599999999997</v>
      </c>
      <c r="K46" s="18">
        <v>28.526199999999999</v>
      </c>
      <c r="L46" s="18">
        <v>35.677999999999997</v>
      </c>
      <c r="M46" s="18">
        <v>36.435299999999998</v>
      </c>
      <c r="N46" s="18">
        <v>17.992100000000001</v>
      </c>
      <c r="O46" s="18">
        <f t="shared" si="1"/>
        <v>30.408812499999996</v>
      </c>
      <c r="P46" s="7"/>
      <c r="Q46" s="10"/>
      <c r="R46" s="11"/>
      <c r="S46" s="11"/>
      <c r="T46" s="26"/>
      <c r="U46" s="28">
        <f t="shared" si="2"/>
        <v>-0.32714659685863867</v>
      </c>
      <c r="V46" s="57">
        <f t="shared" si="4"/>
        <v>4.9447619047619011E-2</v>
      </c>
      <c r="W46" s="57">
        <f t="shared" si="3"/>
        <v>2.1569999999999964E-2</v>
      </c>
      <c r="X46" s="56">
        <v>1050</v>
      </c>
      <c r="Y46" s="56">
        <v>800</v>
      </c>
    </row>
    <row r="47" spans="1:25" x14ac:dyDescent="0.25">
      <c r="B47" s="9"/>
      <c r="C47" s="17">
        <v>616.04</v>
      </c>
      <c r="D47" s="18">
        <v>25.314</v>
      </c>
      <c r="E47" s="18">
        <v>33.924999999999997</v>
      </c>
      <c r="F47" s="18">
        <v>34.648000000000003</v>
      </c>
      <c r="G47" s="18">
        <v>28.37</v>
      </c>
      <c r="H47" s="18">
        <f t="shared" si="0"/>
        <v>27.557125000000003</v>
      </c>
      <c r="I47" s="5"/>
      <c r="J47" s="17">
        <v>516.16800000000001</v>
      </c>
      <c r="K47" s="18">
        <v>27.099900000000002</v>
      </c>
      <c r="L47" s="18">
        <v>34.890700000000002</v>
      </c>
      <c r="M47" s="18">
        <v>35.606499999999997</v>
      </c>
      <c r="N47" s="18">
        <v>20.921399999999998</v>
      </c>
      <c r="O47" s="18">
        <f t="shared" si="1"/>
        <v>29.137075000000003</v>
      </c>
      <c r="P47" s="7"/>
      <c r="Q47" s="10"/>
      <c r="R47" s="11"/>
      <c r="S47" s="11"/>
      <c r="T47" s="26"/>
      <c r="U47" s="28">
        <f t="shared" si="2"/>
        <v>-0.26255199154035963</v>
      </c>
      <c r="V47" s="57">
        <f t="shared" si="4"/>
        <v>5.22461538461539E-2</v>
      </c>
      <c r="W47" s="57">
        <f t="shared" si="3"/>
        <v>3.2336000000000011E-2</v>
      </c>
      <c r="X47" s="56">
        <v>650</v>
      </c>
      <c r="Y47" s="56">
        <v>500</v>
      </c>
    </row>
    <row r="48" spans="1:25" ht="16.5" thickBot="1" x14ac:dyDescent="0.3">
      <c r="B48" s="12"/>
      <c r="C48" s="19">
        <v>380.75</v>
      </c>
      <c r="D48" s="20">
        <v>23.937999999999999</v>
      </c>
      <c r="E48" s="20">
        <v>33.581000000000003</v>
      </c>
      <c r="F48" s="20">
        <v>34.265999999999998</v>
      </c>
      <c r="G48" s="20">
        <v>29.99</v>
      </c>
      <c r="H48" s="20">
        <f t="shared" si="0"/>
        <v>26.434374999999999</v>
      </c>
      <c r="I48" s="5"/>
      <c r="J48" s="19">
        <v>310.024</v>
      </c>
      <c r="K48" s="20">
        <v>25.610600000000002</v>
      </c>
      <c r="L48" s="20">
        <v>34.0901</v>
      </c>
      <c r="M48" s="20">
        <v>34.770400000000002</v>
      </c>
      <c r="N48" s="20">
        <v>24.566400000000002</v>
      </c>
      <c r="O48" s="20">
        <f t="shared" si="1"/>
        <v>27.815512500000001</v>
      </c>
      <c r="P48" s="7"/>
      <c r="Q48" s="13"/>
      <c r="R48" s="14"/>
      <c r="S48" s="14"/>
      <c r="T48" s="27"/>
      <c r="U48" s="28">
        <f t="shared" si="2"/>
        <v>-0.18084694898299425</v>
      </c>
      <c r="V48" s="57">
        <f t="shared" si="4"/>
        <v>4.8125000000000001E-2</v>
      </c>
      <c r="W48" s="57">
        <f t="shared" si="3"/>
        <v>3.3413333333333337E-2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1485.79</v>
      </c>
      <c r="D49" s="16">
        <v>31.795000000000002</v>
      </c>
      <c r="E49" s="16">
        <v>36.058</v>
      </c>
      <c r="F49" s="16">
        <v>37.671999999999997</v>
      </c>
      <c r="G49" s="16">
        <v>15.48</v>
      </c>
      <c r="H49" s="16">
        <f t="shared" si="0"/>
        <v>33.0625</v>
      </c>
      <c r="I49" s="5"/>
      <c r="J49" s="15">
        <v>1211.1135999999999</v>
      </c>
      <c r="K49" s="16">
        <v>31.896000000000001</v>
      </c>
      <c r="L49" s="16">
        <v>36.606499999999997</v>
      </c>
      <c r="M49" s="16">
        <v>38.1843</v>
      </c>
      <c r="N49" s="16">
        <v>11.9947</v>
      </c>
      <c r="O49" s="16">
        <f t="shared" si="1"/>
        <v>33.270850000000003</v>
      </c>
      <c r="P49" s="7"/>
      <c r="Q49" s="8">
        <f>bdrate(C49:C52,D49:D52,J49:J52,K49:K52)</f>
        <v>-0.28050207849686926</v>
      </c>
      <c r="R49" s="8">
        <f>bdrate(C49:C52,E49:E52,J49:J52,L49:L52)</f>
        <v>-0.3189275651134712</v>
      </c>
      <c r="S49" s="8">
        <f>bdrate(C49:C52,F49:F52,J49:J52,M49:M52)</f>
        <v>-0.30721032896673539</v>
      </c>
      <c r="T49" s="25">
        <f>bdrate(C49:C52,H49:H52,J49:J52,O49:O52)</f>
        <v>-0.28794256088216852</v>
      </c>
      <c r="U49" s="28">
        <f t="shared" si="2"/>
        <v>-0.22514857881136954</v>
      </c>
      <c r="V49" s="57">
        <f t="shared" si="4"/>
        <v>4.142580645161293E-2</v>
      </c>
      <c r="W49" s="57">
        <f t="shared" si="3"/>
        <v>9.2613333333332552E-3</v>
      </c>
      <c r="X49" s="56">
        <v>1550</v>
      </c>
      <c r="Y49" s="56">
        <v>1200</v>
      </c>
    </row>
    <row r="50" spans="1:25" x14ac:dyDescent="0.25">
      <c r="B50" s="9"/>
      <c r="C50" s="17">
        <v>1018.88</v>
      </c>
      <c r="D50" s="18">
        <v>30.215</v>
      </c>
      <c r="E50" s="18">
        <v>35.393000000000001</v>
      </c>
      <c r="F50" s="18">
        <v>36.972999999999999</v>
      </c>
      <c r="G50" s="18">
        <v>19.78</v>
      </c>
      <c r="H50" s="18">
        <f t="shared" si="0"/>
        <v>31.707000000000001</v>
      </c>
      <c r="I50" s="5"/>
      <c r="J50" s="17">
        <v>808.97680000000003</v>
      </c>
      <c r="K50" s="18">
        <v>30.4499</v>
      </c>
      <c r="L50" s="18">
        <v>35.772100000000002</v>
      </c>
      <c r="M50" s="18">
        <v>37.329000000000001</v>
      </c>
      <c r="N50" s="18">
        <v>13.777900000000001</v>
      </c>
      <c r="O50" s="18">
        <f t="shared" si="1"/>
        <v>31.9750625</v>
      </c>
      <c r="P50" s="7"/>
      <c r="Q50" s="10"/>
      <c r="R50" s="11"/>
      <c r="S50" s="11"/>
      <c r="T50" s="26"/>
      <c r="U50" s="28">
        <f t="shared" si="2"/>
        <v>-0.30344287158746208</v>
      </c>
      <c r="V50" s="57">
        <f t="shared" si="4"/>
        <v>2.9638095238095241E-2</v>
      </c>
      <c r="W50" s="57">
        <f t="shared" si="3"/>
        <v>1.1221000000000031E-2</v>
      </c>
      <c r="X50" s="56">
        <v>1050</v>
      </c>
      <c r="Y50" s="56">
        <v>800</v>
      </c>
    </row>
    <row r="51" spans="1:25" x14ac:dyDescent="0.25">
      <c r="B51" s="9"/>
      <c r="C51" s="17">
        <v>642.83000000000004</v>
      </c>
      <c r="D51" s="18">
        <v>28.395</v>
      </c>
      <c r="E51" s="18">
        <v>34.668999999999997</v>
      </c>
      <c r="F51" s="18">
        <v>36.185000000000002</v>
      </c>
      <c r="G51" s="18">
        <v>21.08</v>
      </c>
      <c r="H51" s="18">
        <f t="shared" si="0"/>
        <v>30.152999999999999</v>
      </c>
      <c r="I51" s="5"/>
      <c r="J51" s="17">
        <v>504.98320000000001</v>
      </c>
      <c r="K51" s="18">
        <v>28.828600000000002</v>
      </c>
      <c r="L51" s="18">
        <v>34.881900000000002</v>
      </c>
      <c r="M51" s="18">
        <v>36.389800000000001</v>
      </c>
      <c r="N51" s="18">
        <v>16.192599999999999</v>
      </c>
      <c r="O51" s="18">
        <f t="shared" si="1"/>
        <v>30.530412500000004</v>
      </c>
      <c r="P51" s="7"/>
      <c r="Q51" s="10"/>
      <c r="R51" s="11"/>
      <c r="S51" s="11"/>
      <c r="T51" s="26"/>
      <c r="U51" s="28">
        <f t="shared" si="2"/>
        <v>-0.23185009487666033</v>
      </c>
      <c r="V51" s="57">
        <f t="shared" si="4"/>
        <v>1.1030769230769167E-2</v>
      </c>
      <c r="W51" s="57">
        <f t="shared" si="3"/>
        <v>9.9664000000000211E-3</v>
      </c>
      <c r="X51" s="56">
        <v>650</v>
      </c>
      <c r="Y51" s="56">
        <v>500</v>
      </c>
    </row>
    <row r="52" spans="1:25" ht="16.5" thickBot="1" x14ac:dyDescent="0.3">
      <c r="B52" s="12"/>
      <c r="C52" s="19">
        <v>401.57</v>
      </c>
      <c r="D52" s="20">
        <v>26.652000000000001</v>
      </c>
      <c r="E52" s="20">
        <v>33.942</v>
      </c>
      <c r="F52" s="20">
        <v>35.362000000000002</v>
      </c>
      <c r="G52" s="20">
        <v>22.74</v>
      </c>
      <c r="H52" s="20">
        <f t="shared" si="0"/>
        <v>28.652000000000001</v>
      </c>
      <c r="I52" s="5"/>
      <c r="J52" s="19">
        <v>302.52879999999999</v>
      </c>
      <c r="K52" s="20">
        <v>27.237200000000001</v>
      </c>
      <c r="L52" s="20">
        <v>33.927999999999997</v>
      </c>
      <c r="M52" s="20">
        <v>35.338099999999997</v>
      </c>
      <c r="N52" s="20">
        <v>19.611699999999999</v>
      </c>
      <c r="O52" s="20">
        <f t="shared" si="1"/>
        <v>29.0861625</v>
      </c>
      <c r="P52" s="7"/>
      <c r="Q52" s="13"/>
      <c r="R52" s="14"/>
      <c r="S52" s="14"/>
      <c r="T52" s="27"/>
      <c r="U52" s="28">
        <f t="shared" si="2"/>
        <v>-0.13756816182937553</v>
      </c>
      <c r="V52" s="57">
        <f t="shared" si="4"/>
        <v>3.9249999999999832E-3</v>
      </c>
      <c r="W52" s="57">
        <f t="shared" si="3"/>
        <v>8.4293333333332991E-3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836.11</v>
      </c>
      <c r="D53" s="16">
        <v>33.872999999999998</v>
      </c>
      <c r="E53" s="16">
        <v>38.365000000000002</v>
      </c>
      <c r="F53" s="16">
        <v>37.24</v>
      </c>
      <c r="G53" s="16">
        <v>66.2</v>
      </c>
      <c r="H53" s="16">
        <f t="shared" si="0"/>
        <v>34.855375000000002</v>
      </c>
      <c r="I53" s="5"/>
      <c r="J53" s="15">
        <v>609.75440000000003</v>
      </c>
      <c r="K53" s="16">
        <v>33.698599999999999</v>
      </c>
      <c r="L53" s="16">
        <v>39.193600000000004</v>
      </c>
      <c r="M53" s="16">
        <v>37.653799999999997</v>
      </c>
      <c r="N53" s="16">
        <v>55.224200000000003</v>
      </c>
      <c r="O53" s="16">
        <f t="shared" si="1"/>
        <v>34.879874999999998</v>
      </c>
      <c r="P53" s="7"/>
      <c r="Q53" s="8">
        <f>bdrate(C53:C56,D53:D56,J53:J56,K53:K56)</f>
        <v>-0.27913513685165714</v>
      </c>
      <c r="R53" s="8">
        <f>bdrate(C53:C56,E53:E56,J53:J56,L53:L56)</f>
        <v>-0.42011791129748843</v>
      </c>
      <c r="S53" s="8">
        <f>bdrate(C53:C56,F53:F56,J53:J56,M53:M56)</f>
        <v>-0.31467096273085282</v>
      </c>
      <c r="T53" s="25">
        <f>bdrate(C53:C56,H53:H56,J53:J56,O53:O56)</f>
        <v>-0.2941931385319384</v>
      </c>
      <c r="U53" s="28">
        <f t="shared" si="2"/>
        <v>-0.16579758308157097</v>
      </c>
      <c r="V53" s="57">
        <f t="shared" si="4"/>
        <v>4.5137500000000018E-2</v>
      </c>
      <c r="W53" s="57">
        <f t="shared" si="3"/>
        <v>1.6257333333333387E-2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523.91999999999996</v>
      </c>
      <c r="D54" s="18">
        <v>31.738</v>
      </c>
      <c r="E54" s="18">
        <v>37.316000000000003</v>
      </c>
      <c r="F54" s="18">
        <v>35.982999999999997</v>
      </c>
      <c r="G54" s="18">
        <v>95.3</v>
      </c>
      <c r="H54" s="18">
        <f t="shared" si="0"/>
        <v>32.965874999999997</v>
      </c>
      <c r="I54" s="5"/>
      <c r="J54" s="17">
        <v>405.24799999999999</v>
      </c>
      <c r="K54" s="18">
        <v>31.922899999999998</v>
      </c>
      <c r="L54" s="18">
        <v>38.098399999999998</v>
      </c>
      <c r="M54" s="18">
        <v>36.424500000000002</v>
      </c>
      <c r="N54" s="18">
        <v>62.1736</v>
      </c>
      <c r="O54" s="18">
        <f t="shared" si="1"/>
        <v>33.257537499999998</v>
      </c>
      <c r="P54" s="7"/>
      <c r="Q54" s="10"/>
      <c r="R54" s="11"/>
      <c r="S54" s="11"/>
      <c r="T54" s="26"/>
      <c r="U54" s="28">
        <f t="shared" si="2"/>
        <v>-0.34760125918153201</v>
      </c>
      <c r="V54" s="57">
        <f t="shared" si="4"/>
        <v>4.7839999999999917E-2</v>
      </c>
      <c r="W54" s="57">
        <f t="shared" si="3"/>
        <v>1.3119999999999975E-2</v>
      </c>
      <c r="X54" s="56">
        <v>500</v>
      </c>
      <c r="Y54" s="56">
        <v>400</v>
      </c>
    </row>
    <row r="55" spans="1:25" x14ac:dyDescent="0.25">
      <c r="B55" s="9"/>
      <c r="C55" s="17">
        <v>315.99</v>
      </c>
      <c r="D55" s="18">
        <v>29.574999999999999</v>
      </c>
      <c r="E55" s="18">
        <v>36.331000000000003</v>
      </c>
      <c r="F55" s="18">
        <v>34.825000000000003</v>
      </c>
      <c r="G55" s="18">
        <v>103.1</v>
      </c>
      <c r="H55" s="18">
        <f t="shared" si="0"/>
        <v>31.075749999999999</v>
      </c>
      <c r="I55" s="5"/>
      <c r="J55" s="17">
        <v>254.47919999999999</v>
      </c>
      <c r="K55" s="18">
        <v>30.016999999999999</v>
      </c>
      <c r="L55" s="18">
        <v>36.991599999999998</v>
      </c>
      <c r="M55" s="18">
        <v>35.229500000000002</v>
      </c>
      <c r="N55" s="18">
        <v>70.831599999999995</v>
      </c>
      <c r="O55" s="18">
        <f t="shared" si="1"/>
        <v>31.540387500000001</v>
      </c>
      <c r="P55" s="7"/>
      <c r="Q55" s="10"/>
      <c r="R55" s="11"/>
      <c r="S55" s="11"/>
      <c r="T55" s="26"/>
      <c r="U55" s="28">
        <f t="shared" si="2"/>
        <v>-0.3129815712900097</v>
      </c>
      <c r="V55" s="57">
        <f t="shared" si="4"/>
        <v>5.3300000000000028E-2</v>
      </c>
      <c r="W55" s="57">
        <f t="shared" si="3"/>
        <v>1.7916799999999965E-2</v>
      </c>
      <c r="X55" s="56">
        <v>300</v>
      </c>
      <c r="Y55" s="56">
        <v>250</v>
      </c>
    </row>
    <row r="56" spans="1:25" ht="16.5" thickBot="1" x14ac:dyDescent="0.3">
      <c r="B56" s="12"/>
      <c r="C56" s="19">
        <v>161.63999999999999</v>
      </c>
      <c r="D56" s="20">
        <v>26.762</v>
      </c>
      <c r="E56" s="20">
        <v>35.323</v>
      </c>
      <c r="F56" s="20">
        <v>33.607999999999997</v>
      </c>
      <c r="G56" s="20">
        <v>113.71</v>
      </c>
      <c r="H56" s="20">
        <f t="shared" si="0"/>
        <v>28.687875000000002</v>
      </c>
      <c r="I56" s="5"/>
      <c r="J56" s="19">
        <v>122.66240000000001</v>
      </c>
      <c r="K56" s="20">
        <v>27.404800000000002</v>
      </c>
      <c r="L56" s="20">
        <v>35.478400000000001</v>
      </c>
      <c r="M56" s="20">
        <v>33.373699999999999</v>
      </c>
      <c r="N56" s="20">
        <v>89.031300000000002</v>
      </c>
      <c r="O56" s="20">
        <f t="shared" si="1"/>
        <v>29.160112500000004</v>
      </c>
      <c r="P56" s="7"/>
      <c r="Q56" s="13"/>
      <c r="R56" s="14"/>
      <c r="S56" s="14"/>
      <c r="T56" s="27"/>
      <c r="U56" s="28">
        <f t="shared" si="2"/>
        <v>-0.21703192331369267</v>
      </c>
      <c r="V56" s="57">
        <f t="shared" si="4"/>
        <v>7.7599999999999905E-2</v>
      </c>
      <c r="W56" s="57">
        <f t="shared" si="3"/>
        <v>2.2186666666666709E-2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777.5</v>
      </c>
      <c r="D57" s="16">
        <v>30.890999999999998</v>
      </c>
      <c r="E57" s="16">
        <v>38.764000000000003</v>
      </c>
      <c r="F57" s="16">
        <v>39.228000000000002</v>
      </c>
      <c r="G57" s="16">
        <v>72.680000000000007</v>
      </c>
      <c r="H57" s="16">
        <f t="shared" si="0"/>
        <v>32.917250000000003</v>
      </c>
      <c r="I57" s="5"/>
      <c r="J57" s="15">
        <v>605.15440000000001</v>
      </c>
      <c r="K57" s="16">
        <v>33.139000000000003</v>
      </c>
      <c r="L57" s="16">
        <v>41.059699999999999</v>
      </c>
      <c r="M57" s="16">
        <v>41.896000000000001</v>
      </c>
      <c r="N57" s="16">
        <v>56.369799999999998</v>
      </c>
      <c r="O57" s="16">
        <f t="shared" si="1"/>
        <v>35.223712499999998</v>
      </c>
      <c r="P57" s="7"/>
      <c r="Q57" s="8">
        <f>bdrate(C57:C60,D57:D60,J57:J60,K57:K60)</f>
        <v>-0.60831888987301075</v>
      </c>
      <c r="R57" s="8">
        <f>bdrate(C57:C60,E57:E60,J57:J60,L57:L60)</f>
        <v>-0.71594540501564397</v>
      </c>
      <c r="S57" s="8">
        <f>bdrate(C57:C60,F57:F60,J57:J60,M57:M60)</f>
        <v>-0.79184202153250793</v>
      </c>
      <c r="T57" s="25">
        <f>bdrate(C57:C60,H57:H60,J57:J60,O57:O60)</f>
        <v>-0.63093233535026894</v>
      </c>
      <c r="U57" s="28">
        <f t="shared" si="2"/>
        <v>-0.22441111722619714</v>
      </c>
      <c r="V57" s="57">
        <f t="shared" si="4"/>
        <v>2.8125000000000001E-2</v>
      </c>
      <c r="W57" s="57">
        <f t="shared" si="3"/>
        <v>8.5906666666666822E-3</v>
      </c>
      <c r="X57" s="56">
        <v>800</v>
      </c>
      <c r="Y57" s="56">
        <v>600</v>
      </c>
    </row>
    <row r="58" spans="1:25" x14ac:dyDescent="0.25">
      <c r="B58" s="9"/>
      <c r="C58" s="17">
        <v>481.43</v>
      </c>
      <c r="D58" s="18">
        <v>29.321999999999999</v>
      </c>
      <c r="E58" s="18">
        <v>38.304000000000002</v>
      </c>
      <c r="F58" s="18">
        <v>38.570999999999998</v>
      </c>
      <c r="G58" s="18">
        <v>111.14</v>
      </c>
      <c r="H58" s="18">
        <f t="shared" si="0"/>
        <v>31.600874999999998</v>
      </c>
      <c r="I58" s="5"/>
      <c r="J58" s="17">
        <v>402.29520000000002</v>
      </c>
      <c r="K58" s="18">
        <v>31.8567</v>
      </c>
      <c r="L58" s="18">
        <v>40.203000000000003</v>
      </c>
      <c r="M58" s="18">
        <v>41.047699999999999</v>
      </c>
      <c r="N58" s="18">
        <v>64.759799999999998</v>
      </c>
      <c r="O58" s="18">
        <f t="shared" si="1"/>
        <v>34.048862499999998</v>
      </c>
      <c r="P58" s="7"/>
      <c r="Q58" s="10"/>
      <c r="R58" s="11"/>
      <c r="S58" s="11"/>
      <c r="T58" s="26"/>
      <c r="U58" s="28">
        <f t="shared" si="2"/>
        <v>-0.41731329854237897</v>
      </c>
      <c r="V58" s="57">
        <f t="shared" si="4"/>
        <v>3.7139999999999986E-2</v>
      </c>
      <c r="W58" s="57">
        <f t="shared" si="3"/>
        <v>5.7380000000000564E-3</v>
      </c>
      <c r="X58" s="56">
        <v>500</v>
      </c>
      <c r="Y58" s="56">
        <v>400</v>
      </c>
    </row>
    <row r="59" spans="1:25" x14ac:dyDescent="0.25">
      <c r="B59" s="9"/>
      <c r="C59" s="17">
        <v>287.31</v>
      </c>
      <c r="D59" s="18">
        <v>27.67</v>
      </c>
      <c r="E59" s="18">
        <v>37.895000000000003</v>
      </c>
      <c r="F59" s="18">
        <v>38.106999999999999</v>
      </c>
      <c r="G59" s="18">
        <v>121.55</v>
      </c>
      <c r="H59" s="18">
        <f t="shared" si="0"/>
        <v>30.252750000000002</v>
      </c>
      <c r="I59" s="5"/>
      <c r="J59" s="17">
        <v>252.9624</v>
      </c>
      <c r="K59" s="18">
        <v>30.3263</v>
      </c>
      <c r="L59" s="18">
        <v>39.292900000000003</v>
      </c>
      <c r="M59" s="18">
        <v>40.036299999999997</v>
      </c>
      <c r="N59" s="18">
        <v>76.804900000000004</v>
      </c>
      <c r="O59" s="18">
        <f t="shared" si="1"/>
        <v>32.660874999999997</v>
      </c>
      <c r="P59" s="7"/>
      <c r="Q59" s="10"/>
      <c r="R59" s="11"/>
      <c r="S59" s="11"/>
      <c r="T59" s="26"/>
      <c r="U59" s="28">
        <f t="shared" si="2"/>
        <v>-0.36812093788564371</v>
      </c>
      <c r="V59" s="57">
        <f t="shared" si="4"/>
        <v>4.229999999999999E-2</v>
      </c>
      <c r="W59" s="57">
        <f t="shared" si="3"/>
        <v>1.1849600000000009E-2</v>
      </c>
      <c r="X59" s="56">
        <v>300</v>
      </c>
      <c r="Y59" s="56">
        <v>250</v>
      </c>
    </row>
    <row r="60" spans="1:25" ht="16.5" thickBot="1" x14ac:dyDescent="0.3">
      <c r="B60" s="12"/>
      <c r="C60" s="19">
        <v>141.84</v>
      </c>
      <c r="D60" s="20">
        <v>25.536000000000001</v>
      </c>
      <c r="E60" s="20">
        <v>37.317</v>
      </c>
      <c r="F60" s="20">
        <v>37.478999999999999</v>
      </c>
      <c r="G60" s="20">
        <v>136.38999999999999</v>
      </c>
      <c r="H60" s="20">
        <f t="shared" si="0"/>
        <v>28.5015</v>
      </c>
      <c r="I60" s="5"/>
      <c r="J60" s="19">
        <v>121.2008</v>
      </c>
      <c r="K60" s="20">
        <v>27.802499999999998</v>
      </c>
      <c r="L60" s="20">
        <v>38.044699999999999</v>
      </c>
      <c r="M60" s="20">
        <v>38.767200000000003</v>
      </c>
      <c r="N60" s="20">
        <v>96.123000000000005</v>
      </c>
      <c r="O60" s="20">
        <f t="shared" si="1"/>
        <v>30.453362500000001</v>
      </c>
      <c r="P60" s="7"/>
      <c r="Q60" s="13"/>
      <c r="R60" s="14"/>
      <c r="S60" s="14"/>
      <c r="T60" s="27"/>
      <c r="U60" s="28">
        <f t="shared" si="2"/>
        <v>-0.29523425471075582</v>
      </c>
      <c r="V60" s="57">
        <f t="shared" si="4"/>
        <v>5.4399999999999976E-2</v>
      </c>
      <c r="W60" s="57">
        <f t="shared" si="3"/>
        <v>1.0006666666666674E-2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845.45</v>
      </c>
      <c r="D61" s="30">
        <v>32.122999999999998</v>
      </c>
      <c r="E61" s="30">
        <v>36.021999999999998</v>
      </c>
      <c r="F61" s="30">
        <v>36.445</v>
      </c>
      <c r="G61" s="16">
        <v>82.6</v>
      </c>
      <c r="H61" s="16">
        <f t="shared" si="0"/>
        <v>33.150624999999998</v>
      </c>
      <c r="I61" s="5"/>
      <c r="J61" s="29">
        <v>639.81920000000002</v>
      </c>
      <c r="K61" s="30">
        <v>32.631999999999998</v>
      </c>
      <c r="L61" s="30">
        <v>37.812800000000003</v>
      </c>
      <c r="M61" s="30">
        <v>38.575800000000001</v>
      </c>
      <c r="N61" s="16">
        <v>55.741399999999999</v>
      </c>
      <c r="O61" s="16">
        <f t="shared" si="1"/>
        <v>34.022574999999996</v>
      </c>
      <c r="P61" s="7"/>
      <c r="Q61" s="8">
        <f>bdrate(C61:C64,D61:D64,J61:J64,K61:K64)</f>
        <v>-0.37674146131670883</v>
      </c>
      <c r="R61" s="8">
        <f>bdrate(C61:C64,E61:E64,J61:J64,L61:L64)</f>
        <v>-0.63215725426004965</v>
      </c>
      <c r="S61" s="8">
        <f>bdrate(C61:C64,F61:F64,J61:J64,M61:M64)</f>
        <v>-0.67803376389268133</v>
      </c>
      <c r="T61" s="25">
        <f>bdrate(C61:C64,H61:H64,J61:J64,O61:O64)</f>
        <v>-0.43296232598238693</v>
      </c>
      <c r="U61" s="28">
        <f t="shared" si="2"/>
        <v>-0.32516464891041158</v>
      </c>
      <c r="V61" s="57">
        <f t="shared" si="4"/>
        <v>5.6812500000000057E-2</v>
      </c>
      <c r="W61" s="57">
        <f t="shared" si="3"/>
        <v>6.6365333333333373E-2</v>
      </c>
      <c r="X61" s="56">
        <v>800</v>
      </c>
      <c r="Y61" s="56">
        <v>600</v>
      </c>
    </row>
    <row r="62" spans="1:25" x14ac:dyDescent="0.25">
      <c r="B62" s="9"/>
      <c r="C62" s="31">
        <v>526.86</v>
      </c>
      <c r="D62" s="32">
        <v>30.239000000000001</v>
      </c>
      <c r="E62" s="32">
        <v>35.055</v>
      </c>
      <c r="F62" s="32">
        <v>35.503999999999998</v>
      </c>
      <c r="G62" s="18">
        <v>109.55</v>
      </c>
      <c r="H62" s="18">
        <f t="shared" si="0"/>
        <v>31.499124999999999</v>
      </c>
      <c r="I62" s="5"/>
      <c r="J62" s="31">
        <v>426.76960000000003</v>
      </c>
      <c r="K62" s="32">
        <v>31.1297</v>
      </c>
      <c r="L62" s="32">
        <v>36.865000000000002</v>
      </c>
      <c r="M62" s="32">
        <v>37.6203</v>
      </c>
      <c r="N62" s="18">
        <v>63.832500000000003</v>
      </c>
      <c r="O62" s="18">
        <f t="shared" si="1"/>
        <v>32.657937500000003</v>
      </c>
      <c r="P62" s="7"/>
      <c r="Q62" s="10"/>
      <c r="R62" s="11"/>
      <c r="S62" s="11"/>
      <c r="T62" s="26"/>
      <c r="U62" s="28">
        <f t="shared" si="2"/>
        <v>-0.41732085805568231</v>
      </c>
      <c r="V62" s="57">
        <f t="shared" si="4"/>
        <v>5.3720000000000025E-2</v>
      </c>
      <c r="W62" s="57">
        <f t="shared" si="3"/>
        <v>6.6924000000000067E-2</v>
      </c>
      <c r="X62" s="56">
        <v>500</v>
      </c>
      <c r="Y62" s="56">
        <v>400</v>
      </c>
    </row>
    <row r="63" spans="1:25" x14ac:dyDescent="0.25">
      <c r="B63" s="9"/>
      <c r="C63" s="31">
        <v>313.75</v>
      </c>
      <c r="D63" s="32">
        <v>28.367000000000001</v>
      </c>
      <c r="E63" s="32">
        <v>34.234000000000002</v>
      </c>
      <c r="F63" s="32">
        <v>34.715000000000003</v>
      </c>
      <c r="G63" s="18">
        <v>118.05</v>
      </c>
      <c r="H63" s="18">
        <f t="shared" si="0"/>
        <v>29.893875000000001</v>
      </c>
      <c r="I63" s="5"/>
      <c r="J63" s="31">
        <v>266.45600000000002</v>
      </c>
      <c r="K63" s="32">
        <v>29.479099999999999</v>
      </c>
      <c r="L63" s="32">
        <v>35.772599999999997</v>
      </c>
      <c r="M63" s="32">
        <v>36.460900000000002</v>
      </c>
      <c r="N63" s="18">
        <v>75.483099999999993</v>
      </c>
      <c r="O63" s="18">
        <f t="shared" si="1"/>
        <v>31.138512500000001</v>
      </c>
      <c r="P63" s="7"/>
      <c r="Q63" s="10"/>
      <c r="R63" s="11"/>
      <c r="S63" s="11"/>
      <c r="T63" s="26"/>
      <c r="U63" s="28">
        <f t="shared" si="2"/>
        <v>-0.36058365099534101</v>
      </c>
      <c r="V63" s="57">
        <f t="shared" si="4"/>
        <v>4.583333333333333E-2</v>
      </c>
      <c r="W63" s="57">
        <f t="shared" si="3"/>
        <v>6.5824000000000063E-2</v>
      </c>
      <c r="X63" s="56">
        <v>300</v>
      </c>
      <c r="Y63" s="56">
        <v>250</v>
      </c>
    </row>
    <row r="64" spans="1:25" ht="16.5" thickBot="1" x14ac:dyDescent="0.3">
      <c r="B64" s="12"/>
      <c r="C64" s="33">
        <v>154.53</v>
      </c>
      <c r="D64" s="34">
        <v>26.152000000000001</v>
      </c>
      <c r="E64" s="34">
        <v>33.454000000000001</v>
      </c>
      <c r="F64" s="34">
        <v>34</v>
      </c>
      <c r="G64" s="20">
        <v>130.46</v>
      </c>
      <c r="H64" s="20">
        <f t="shared" si="0"/>
        <v>28.045750000000002</v>
      </c>
      <c r="I64" s="5"/>
      <c r="J64" s="33">
        <v>129.25040000000001</v>
      </c>
      <c r="K64" s="34">
        <v>27.177</v>
      </c>
      <c r="L64" s="34">
        <v>34.228099999999998</v>
      </c>
      <c r="M64" s="34">
        <v>34.956600000000002</v>
      </c>
      <c r="N64" s="20">
        <v>96.079899999999995</v>
      </c>
      <c r="O64" s="20">
        <f t="shared" si="1"/>
        <v>29.030837500000001</v>
      </c>
      <c r="P64" s="7"/>
      <c r="Q64" s="13"/>
      <c r="R64" s="14"/>
      <c r="S64" s="14"/>
      <c r="T64" s="27"/>
      <c r="U64" s="28">
        <f t="shared" si="2"/>
        <v>-0.2635298175686035</v>
      </c>
      <c r="V64" s="57">
        <f t="shared" si="4"/>
        <v>3.0200000000000008E-2</v>
      </c>
      <c r="W64" s="57">
        <f t="shared" si="3"/>
        <v>7.7086666666666775E-2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793.58</v>
      </c>
      <c r="D65" s="16">
        <v>33.671999999999997</v>
      </c>
      <c r="E65" s="16">
        <v>36.642000000000003</v>
      </c>
      <c r="F65" s="16">
        <v>37.695999999999998</v>
      </c>
      <c r="G65" s="16">
        <v>55.54</v>
      </c>
      <c r="H65" s="16">
        <f t="shared" si="0"/>
        <v>34.546250000000001</v>
      </c>
      <c r="I65" s="5"/>
      <c r="J65" s="15">
        <v>608.27520000000004</v>
      </c>
      <c r="K65" s="16">
        <v>32.9011</v>
      </c>
      <c r="L65" s="16">
        <v>37.129600000000003</v>
      </c>
      <c r="M65" s="16">
        <v>38.226599999999998</v>
      </c>
      <c r="N65" s="16">
        <v>45.475200000000001</v>
      </c>
      <c r="O65" s="16">
        <f t="shared" si="1"/>
        <v>34.095350000000003</v>
      </c>
      <c r="P65" s="7"/>
      <c r="Q65" s="8">
        <f>bdrate(C65:C68,D65:D68,J65:J68,K65:K68)</f>
        <v>-0.13356679728196963</v>
      </c>
      <c r="R65" s="8">
        <f>bdrate(C65:C68,E65:E68,J65:J68,L65:L68)</f>
        <v>-0.32659436246353546</v>
      </c>
      <c r="S65" s="8">
        <f>bdrate(C65:C68,F65:F68,J65:J68,M65:M68)</f>
        <v>-0.32036002564154764</v>
      </c>
      <c r="T65" s="25">
        <f>bdrate(C65:C68,H65:H68,J65:J68,O65:O68)</f>
        <v>-0.16610637286036711</v>
      </c>
      <c r="U65" s="28">
        <f t="shared" si="2"/>
        <v>-0.1812171407994238</v>
      </c>
      <c r="V65" s="57">
        <f t="shared" si="4"/>
        <v>8.0249999999999488E-3</v>
      </c>
      <c r="W65" s="57">
        <f t="shared" si="3"/>
        <v>1.3792000000000068E-2</v>
      </c>
      <c r="X65" s="56">
        <v>800</v>
      </c>
      <c r="Y65" s="56">
        <v>600</v>
      </c>
    </row>
    <row r="66" spans="1:25" x14ac:dyDescent="0.25">
      <c r="B66" s="9"/>
      <c r="C66" s="17">
        <v>498.68</v>
      </c>
      <c r="D66" s="18">
        <v>31.556999999999999</v>
      </c>
      <c r="E66" s="18">
        <v>35.462000000000003</v>
      </c>
      <c r="F66" s="18">
        <v>36.518000000000001</v>
      </c>
      <c r="G66" s="18">
        <v>77.73</v>
      </c>
      <c r="H66" s="18">
        <f t="shared" si="0"/>
        <v>32.66525</v>
      </c>
      <c r="I66" s="5"/>
      <c r="J66" s="17">
        <v>405.63839999999999</v>
      </c>
      <c r="K66" s="18">
        <v>31.141200000000001</v>
      </c>
      <c r="L66" s="18">
        <v>36.031700000000001</v>
      </c>
      <c r="M66" s="18">
        <v>37.122399999999999</v>
      </c>
      <c r="N66" s="18">
        <v>52.228400000000001</v>
      </c>
      <c r="O66" s="18">
        <f t="shared" si="1"/>
        <v>32.500162500000002</v>
      </c>
      <c r="P66" s="7"/>
      <c r="Q66" s="10"/>
      <c r="R66" s="11"/>
      <c r="S66" s="11"/>
      <c r="T66" s="26"/>
      <c r="U66" s="28">
        <f t="shared" si="2"/>
        <v>-0.32807924868133287</v>
      </c>
      <c r="V66" s="57">
        <f t="shared" si="4"/>
        <v>2.6399999999999865E-3</v>
      </c>
      <c r="W66" s="57">
        <f t="shared" si="3"/>
        <v>1.4095999999999975E-2</v>
      </c>
      <c r="X66" s="56">
        <v>500</v>
      </c>
      <c r="Y66" s="56">
        <v>400</v>
      </c>
    </row>
    <row r="67" spans="1:25" x14ac:dyDescent="0.25">
      <c r="B67" s="9"/>
      <c r="C67" s="17">
        <v>301.79000000000002</v>
      </c>
      <c r="D67" s="18">
        <v>29.541</v>
      </c>
      <c r="E67" s="18">
        <v>34.518000000000001</v>
      </c>
      <c r="F67" s="18">
        <v>35.567</v>
      </c>
      <c r="G67" s="18">
        <v>84.75</v>
      </c>
      <c r="H67" s="18">
        <f t="shared" si="0"/>
        <v>30.916375000000002</v>
      </c>
      <c r="I67" s="5"/>
      <c r="J67" s="17">
        <v>253.4872</v>
      </c>
      <c r="K67" s="18">
        <v>29.413599999999999</v>
      </c>
      <c r="L67" s="18">
        <v>34.923499999999997</v>
      </c>
      <c r="M67" s="18">
        <v>35.959499999999998</v>
      </c>
      <c r="N67" s="18">
        <v>59.7134</v>
      </c>
      <c r="O67" s="18">
        <f t="shared" si="1"/>
        <v>30.920574999999996</v>
      </c>
      <c r="P67" s="7"/>
      <c r="Q67" s="10"/>
      <c r="R67" s="11"/>
      <c r="S67" s="11"/>
      <c r="T67" s="26"/>
      <c r="U67" s="28">
        <f t="shared" si="2"/>
        <v>-0.29541710914454278</v>
      </c>
      <c r="V67" s="57">
        <f t="shared" si="4"/>
        <v>5.9666666666667346E-3</v>
      </c>
      <c r="W67" s="57">
        <f t="shared" si="3"/>
        <v>1.3948800000000006E-2</v>
      </c>
      <c r="X67" s="56">
        <v>300</v>
      </c>
      <c r="Y67" s="56">
        <v>250</v>
      </c>
    </row>
    <row r="68" spans="1:25" ht="16.5" thickBot="1" x14ac:dyDescent="0.3">
      <c r="B68" s="12"/>
      <c r="C68" s="19">
        <v>150.81</v>
      </c>
      <c r="D68" s="20">
        <v>26.946999999999999</v>
      </c>
      <c r="E68" s="20">
        <v>33.363999999999997</v>
      </c>
      <c r="F68" s="20">
        <v>34.377000000000002</v>
      </c>
      <c r="G68" s="20">
        <v>96.56</v>
      </c>
      <c r="H68" s="20">
        <f t="shared" si="0"/>
        <v>28.677875</v>
      </c>
      <c r="I68" s="5"/>
      <c r="J68" s="19">
        <v>122.4208</v>
      </c>
      <c r="K68" s="20">
        <v>27.101800000000001</v>
      </c>
      <c r="L68" s="20">
        <v>33.486699999999999</v>
      </c>
      <c r="M68" s="20">
        <v>34.440399999999997</v>
      </c>
      <c r="N68" s="20">
        <v>76.3553</v>
      </c>
      <c r="O68" s="20">
        <f t="shared" si="1"/>
        <v>28.817237500000005</v>
      </c>
      <c r="P68" s="7"/>
      <c r="Q68" s="13"/>
      <c r="R68" s="14"/>
      <c r="S68" s="14"/>
      <c r="T68" s="27"/>
      <c r="U68" s="28">
        <f t="shared" si="2"/>
        <v>-0.20924502899751452</v>
      </c>
      <c r="V68" s="57">
        <f t="shared" si="4"/>
        <v>5.400000000000015E-3</v>
      </c>
      <c r="W68" s="57">
        <f t="shared" si="3"/>
        <v>2.0173333333333331E-2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1967.03</v>
      </c>
      <c r="D69" s="16">
        <v>40.259</v>
      </c>
      <c r="E69" s="16">
        <v>44.09</v>
      </c>
      <c r="F69" s="16">
        <v>45.188000000000002</v>
      </c>
      <c r="G69" s="16">
        <v>10.6</v>
      </c>
      <c r="H69" s="16">
        <f t="shared" si="0"/>
        <v>41.353999999999999</v>
      </c>
      <c r="I69" s="5"/>
      <c r="J69" s="15">
        <v>1499.96</v>
      </c>
      <c r="K69" s="16">
        <v>41.071800000000003</v>
      </c>
      <c r="L69" s="16">
        <v>45.643799999999999</v>
      </c>
      <c r="M69" s="16">
        <v>46.804000000000002</v>
      </c>
      <c r="N69" s="16">
        <v>13.4039</v>
      </c>
      <c r="O69" s="16">
        <f t="shared" si="1"/>
        <v>42.359825000000001</v>
      </c>
      <c r="P69" s="7"/>
      <c r="Q69" s="8">
        <f>bdrate(C69:C72,D69:D72,J69:J72,K69:K72)</f>
        <v>-0.46456100494805497</v>
      </c>
      <c r="R69" s="8">
        <f>bdrate(C69:C72,E69:E72,J69:J72,L69:L72)</f>
        <v>-0.58321483295420007</v>
      </c>
      <c r="S69" s="8">
        <f>bdrate(C69:C72,F69:F72,J69:J72,M69:M72)</f>
        <v>-0.57694596150455146</v>
      </c>
      <c r="T69" s="25">
        <f>bdrate(C69:C72,H69:H72,J69:J72,O69:O72)</f>
        <v>-0.4870759138642945</v>
      </c>
      <c r="U69" s="28">
        <f t="shared" si="2"/>
        <v>0.26451886792452833</v>
      </c>
      <c r="V69" s="57">
        <f t="shared" si="4"/>
        <v>6.3319047619047636E-2</v>
      </c>
      <c r="W69" s="57">
        <f t="shared" si="3"/>
        <v>2.6666666666642414E-5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1290.1099999999999</v>
      </c>
      <c r="D70" s="18">
        <v>38.718000000000004</v>
      </c>
      <c r="E70" s="18">
        <v>42.957000000000001</v>
      </c>
      <c r="F70" s="18">
        <v>44.115000000000002</v>
      </c>
      <c r="G70" s="18">
        <v>15.28</v>
      </c>
      <c r="H70" s="18">
        <f t="shared" si="0"/>
        <v>39.922500000000007</v>
      </c>
      <c r="I70" s="5"/>
      <c r="J70" s="17">
        <v>991.16880000000003</v>
      </c>
      <c r="K70" s="18">
        <v>39.879100000000001</v>
      </c>
      <c r="L70" s="18">
        <v>44.646099999999997</v>
      </c>
      <c r="M70" s="18">
        <v>45.7639</v>
      </c>
      <c r="N70" s="18">
        <v>14.6488</v>
      </c>
      <c r="O70" s="18">
        <f t="shared" si="1"/>
        <v>41.210574999999999</v>
      </c>
      <c r="P70" s="7"/>
      <c r="Q70" s="10"/>
      <c r="R70" s="11"/>
      <c r="S70" s="11"/>
      <c r="T70" s="26"/>
      <c r="U70" s="28">
        <f t="shared" si="2"/>
        <v>-4.1308900523560198E-2</v>
      </c>
      <c r="V70" s="57">
        <f t="shared" si="4"/>
        <v>7.8492857142857211E-2</v>
      </c>
      <c r="W70" s="57">
        <f t="shared" si="3"/>
        <v>8.8311999999999679E-3</v>
      </c>
      <c r="X70" s="56">
        <v>1400</v>
      </c>
      <c r="Y70" s="56">
        <v>1000</v>
      </c>
    </row>
    <row r="71" spans="1:25" x14ac:dyDescent="0.25">
      <c r="B71" s="9"/>
      <c r="C71" s="17">
        <v>769.02</v>
      </c>
      <c r="D71" s="18">
        <v>36.369999999999997</v>
      </c>
      <c r="E71" s="18">
        <v>41.731000000000002</v>
      </c>
      <c r="F71" s="18">
        <v>42.762</v>
      </c>
      <c r="G71" s="18">
        <v>15.85</v>
      </c>
      <c r="H71" s="18">
        <f t="shared" si="0"/>
        <v>37.839124999999996</v>
      </c>
      <c r="I71" s="5"/>
      <c r="J71" s="17">
        <v>581.19920000000002</v>
      </c>
      <c r="K71" s="18">
        <v>37.924100000000003</v>
      </c>
      <c r="L71" s="18">
        <v>43.203899999999997</v>
      </c>
      <c r="M71" s="18">
        <v>44.297600000000003</v>
      </c>
      <c r="N71" s="18">
        <v>16.287500000000001</v>
      </c>
      <c r="O71" s="18">
        <f t="shared" si="1"/>
        <v>39.380762499999996</v>
      </c>
      <c r="P71" s="7"/>
      <c r="Q71" s="10"/>
      <c r="R71" s="11"/>
      <c r="S71" s="11"/>
      <c r="T71" s="26"/>
      <c r="U71" s="28">
        <f t="shared" si="2"/>
        <v>2.7602523659306107E-2</v>
      </c>
      <c r="V71" s="57">
        <f t="shared" si="4"/>
        <v>9.5270588235294135E-2</v>
      </c>
      <c r="W71" s="57">
        <f t="shared" si="3"/>
        <v>3.1334666666666636E-2</v>
      </c>
      <c r="X71" s="56">
        <v>850</v>
      </c>
      <c r="Y71" s="56">
        <v>600</v>
      </c>
    </row>
    <row r="72" spans="1:25" ht="16.5" thickBot="1" x14ac:dyDescent="0.3">
      <c r="B72" s="12"/>
      <c r="C72" s="19">
        <v>352.25</v>
      </c>
      <c r="D72" s="20">
        <v>32.451999999999998</v>
      </c>
      <c r="E72" s="20">
        <v>39.738999999999997</v>
      </c>
      <c r="F72" s="20">
        <v>40.515999999999998</v>
      </c>
      <c r="G72" s="20">
        <v>16.37</v>
      </c>
      <c r="H72" s="20">
        <f t="shared" si="0"/>
        <v>34.370874999999998</v>
      </c>
      <c r="I72" s="5"/>
      <c r="J72" s="19">
        <v>284.02159999999998</v>
      </c>
      <c r="K72" s="20">
        <v>34.824199999999998</v>
      </c>
      <c r="L72" s="20">
        <v>41.341000000000001</v>
      </c>
      <c r="M72" s="20">
        <v>42.3416</v>
      </c>
      <c r="N72" s="20">
        <v>18.797599999999999</v>
      </c>
      <c r="O72" s="20">
        <f t="shared" si="1"/>
        <v>36.578474999999997</v>
      </c>
      <c r="P72" s="7"/>
      <c r="Q72" s="13"/>
      <c r="R72" s="14"/>
      <c r="S72" s="14"/>
      <c r="T72" s="27"/>
      <c r="U72" s="28">
        <f t="shared" si="2"/>
        <v>0.14829566279780074</v>
      </c>
      <c r="V72" s="57">
        <f t="shared" si="4"/>
        <v>0.119375</v>
      </c>
      <c r="W72" s="57">
        <f t="shared" si="3"/>
        <v>5.3261333333333404E-2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2030.49</v>
      </c>
      <c r="D73" s="16">
        <v>41.9</v>
      </c>
      <c r="E73" s="16">
        <v>46.420999999999999</v>
      </c>
      <c r="F73" s="16">
        <v>46.835999999999999</v>
      </c>
      <c r="G73" s="16">
        <v>10.34</v>
      </c>
      <c r="H73" s="16">
        <f t="shared" si="0"/>
        <v>43.082124999999998</v>
      </c>
      <c r="I73" s="5"/>
      <c r="J73" s="15">
        <v>1490.6304</v>
      </c>
      <c r="K73" s="16">
        <v>42.428100000000001</v>
      </c>
      <c r="L73" s="16">
        <v>47.681600000000003</v>
      </c>
      <c r="M73" s="16">
        <v>48.383000000000003</v>
      </c>
      <c r="N73" s="16">
        <v>13.984400000000001</v>
      </c>
      <c r="O73" s="16">
        <f t="shared" si="1"/>
        <v>43.829149999999998</v>
      </c>
      <c r="P73" s="7"/>
      <c r="Q73" s="8">
        <f>bdrate(C73:C76,D73:D76,J73:J76,K73:K76)</f>
        <v>-0.50806358903138005</v>
      </c>
      <c r="R73" s="8">
        <f>bdrate(C73:C76,E73:E76,J73:J76,L73:L76)</f>
        <v>-0.69140730597903177</v>
      </c>
      <c r="S73" s="8">
        <f>bdrate(C73:C76,F73:F76,J73:J76,M73:M76)</f>
        <v>-0.71967479769517384</v>
      </c>
      <c r="T73" s="25">
        <f>bdrate(C73:C76,H73:H76,J73:J76,O73:O76)</f>
        <v>-0.56433284294170871</v>
      </c>
      <c r="U73" s="28">
        <f t="shared" ref="U73:U80" si="5">(N73-G73)/G73</f>
        <v>0.35245647969052235</v>
      </c>
      <c r="V73" s="57">
        <f t="shared" si="4"/>
        <v>3.3099999999999997E-2</v>
      </c>
      <c r="W73" s="57">
        <f t="shared" ref="W73:W80" si="6">ABS(J73-Y73)/Y73</f>
        <v>6.246399999999994E-3</v>
      </c>
      <c r="X73" s="56">
        <v>2100</v>
      </c>
      <c r="Y73" s="56">
        <v>1500</v>
      </c>
    </row>
    <row r="74" spans="1:25" x14ac:dyDescent="0.25">
      <c r="B74" s="9"/>
      <c r="C74" s="17">
        <v>1333.99</v>
      </c>
      <c r="D74" s="18">
        <v>41.140999999999998</v>
      </c>
      <c r="E74" s="18">
        <v>45.6</v>
      </c>
      <c r="F74" s="18">
        <v>46.018000000000001</v>
      </c>
      <c r="G74" s="18">
        <v>14.83</v>
      </c>
      <c r="H74" s="18">
        <f t="shared" si="0"/>
        <v>42.308000000000007</v>
      </c>
      <c r="I74" s="5"/>
      <c r="J74" s="17">
        <v>981.64239999999995</v>
      </c>
      <c r="K74" s="18">
        <v>41.8521</v>
      </c>
      <c r="L74" s="18">
        <v>47.228999999999999</v>
      </c>
      <c r="M74" s="18">
        <v>47.886200000000002</v>
      </c>
      <c r="N74" s="18">
        <v>15.633100000000001</v>
      </c>
      <c r="O74" s="18">
        <f t="shared" si="1"/>
        <v>43.278475</v>
      </c>
      <c r="P74" s="7"/>
      <c r="Q74" s="10"/>
      <c r="R74" s="11"/>
      <c r="S74" s="11"/>
      <c r="T74" s="26"/>
      <c r="U74" s="28">
        <f t="shared" si="5"/>
        <v>5.4153742414025666E-2</v>
      </c>
      <c r="V74" s="57">
        <f t="shared" ref="V74:V80" si="7">ABS(C74-X74)/X74</f>
        <v>4.7149999999999991E-2</v>
      </c>
      <c r="W74" s="57">
        <f t="shared" si="6"/>
        <v>1.8357600000000047E-2</v>
      </c>
      <c r="X74" s="56">
        <v>1400</v>
      </c>
      <c r="Y74" s="56">
        <v>1000</v>
      </c>
    </row>
    <row r="75" spans="1:25" x14ac:dyDescent="0.25">
      <c r="B75" s="9"/>
      <c r="C75" s="17">
        <v>790.83</v>
      </c>
      <c r="D75" s="18">
        <v>39.890999999999998</v>
      </c>
      <c r="E75" s="18">
        <v>44.41</v>
      </c>
      <c r="F75" s="18">
        <v>44.881999999999998</v>
      </c>
      <c r="G75" s="18">
        <v>15.33</v>
      </c>
      <c r="H75" s="18">
        <f t="shared" si="0"/>
        <v>41.079749999999997</v>
      </c>
      <c r="I75" s="5"/>
      <c r="J75" s="17">
        <v>582.62159999999994</v>
      </c>
      <c r="K75" s="18">
        <v>40.865099999999998</v>
      </c>
      <c r="L75" s="18">
        <v>46.36</v>
      </c>
      <c r="M75" s="18">
        <v>46.9925</v>
      </c>
      <c r="N75" s="18">
        <v>17.0639</v>
      </c>
      <c r="O75" s="18">
        <f t="shared" si="1"/>
        <v>42.317887499999998</v>
      </c>
      <c r="P75" s="7"/>
      <c r="Q75" s="10"/>
      <c r="R75" s="11"/>
      <c r="S75" s="11"/>
      <c r="T75" s="26"/>
      <c r="U75" s="28">
        <f t="shared" si="5"/>
        <v>0.11310502283105024</v>
      </c>
      <c r="V75" s="57">
        <f t="shared" si="7"/>
        <v>6.9611764705882304E-2</v>
      </c>
      <c r="W75" s="57">
        <f t="shared" si="6"/>
        <v>2.8964000000000094E-2</v>
      </c>
      <c r="X75" s="56">
        <v>850</v>
      </c>
      <c r="Y75" s="56">
        <v>600</v>
      </c>
    </row>
    <row r="76" spans="1:25" ht="16.5" thickBot="1" x14ac:dyDescent="0.3">
      <c r="B76" s="12"/>
      <c r="C76" s="19">
        <v>349.21</v>
      </c>
      <c r="D76" s="20">
        <v>37.1</v>
      </c>
      <c r="E76" s="20">
        <v>42.338999999999999</v>
      </c>
      <c r="F76" s="20">
        <v>43.201000000000001</v>
      </c>
      <c r="G76" s="20">
        <v>16.16</v>
      </c>
      <c r="H76" s="20">
        <f t="shared" si="0"/>
        <v>38.517500000000005</v>
      </c>
      <c r="I76" s="5"/>
      <c r="J76" s="19">
        <v>285.01760000000002</v>
      </c>
      <c r="K76" s="20">
        <v>39.013199999999998</v>
      </c>
      <c r="L76" s="20">
        <v>44.616900000000001</v>
      </c>
      <c r="M76" s="20">
        <v>45.267099999999999</v>
      </c>
      <c r="N76" s="20">
        <v>18.944199999999999</v>
      </c>
      <c r="O76" s="20">
        <f t="shared" si="1"/>
        <v>40.495400000000004</v>
      </c>
      <c r="P76" s="7"/>
      <c r="Q76" s="13"/>
      <c r="R76" s="14"/>
      <c r="S76" s="14"/>
      <c r="T76" s="27"/>
      <c r="U76" s="28">
        <f t="shared" si="5"/>
        <v>0.17228960396039594</v>
      </c>
      <c r="V76" s="57">
        <f t="shared" si="7"/>
        <v>0.12697500000000006</v>
      </c>
      <c r="W76" s="57">
        <f t="shared" si="6"/>
        <v>4.9941333333333282E-2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2119.13</v>
      </c>
      <c r="D77" s="16">
        <v>41.585999999999999</v>
      </c>
      <c r="E77" s="16">
        <v>45.222999999999999</v>
      </c>
      <c r="F77" s="16">
        <v>45.981000000000002</v>
      </c>
      <c r="G77" s="16">
        <v>10.16</v>
      </c>
      <c r="H77" s="16">
        <f t="shared" si="0"/>
        <v>42.589999999999996</v>
      </c>
      <c r="I77" s="5"/>
      <c r="J77" s="15">
        <v>1544.4631999999999</v>
      </c>
      <c r="K77" s="16">
        <v>42.272599999999997</v>
      </c>
      <c r="L77" s="16">
        <v>46.754100000000001</v>
      </c>
      <c r="M77" s="16">
        <v>47.5929</v>
      </c>
      <c r="N77" s="16">
        <v>12.2484</v>
      </c>
      <c r="O77" s="16">
        <f t="shared" si="1"/>
        <v>43.497824999999999</v>
      </c>
      <c r="P77" s="7"/>
      <c r="Q77" s="8">
        <f>bdrate(C77:C80,D77:D80,J77:J80,K77:K80)</f>
        <v>-0.50878135974431826</v>
      </c>
      <c r="R77" s="8">
        <f>bdrate(C77:C80,E77:E80,J77:J80,L77:L80)</f>
        <v>-0.64952876578633356</v>
      </c>
      <c r="S77" s="8">
        <f>bdrate(C77:C80,F77:F80,J77:J80,M77:M80)</f>
        <v>-0.64243657849828439</v>
      </c>
      <c r="T77" s="25">
        <f>bdrate(C77:C80,H77:H80,J77:J80,O77:O80)</f>
        <v>-0.54160351399489404</v>
      </c>
      <c r="U77" s="28">
        <f t="shared" si="5"/>
        <v>0.2055511811023622</v>
      </c>
      <c r="V77" s="57">
        <f t="shared" si="7"/>
        <v>9.1095238095238607E-3</v>
      </c>
      <c r="W77" s="57">
        <f t="shared" si="6"/>
        <v>2.9642133333333275E-2</v>
      </c>
      <c r="X77" s="56">
        <v>2100</v>
      </c>
      <c r="Y77" s="56">
        <v>1500</v>
      </c>
    </row>
    <row r="78" spans="1:25" x14ac:dyDescent="0.25">
      <c r="B78" s="9"/>
      <c r="C78" s="17">
        <v>1399.4</v>
      </c>
      <c r="D78" s="18">
        <v>40.418999999999997</v>
      </c>
      <c r="E78" s="18">
        <v>44.158000000000001</v>
      </c>
      <c r="F78" s="18">
        <v>44.994</v>
      </c>
      <c r="G78" s="18">
        <v>14.36</v>
      </c>
      <c r="H78" s="18">
        <f t="shared" si="0"/>
        <v>41.458249999999992</v>
      </c>
      <c r="I78" s="5"/>
      <c r="J78" s="17">
        <v>1016.3696</v>
      </c>
      <c r="K78" s="18">
        <v>41.402000000000001</v>
      </c>
      <c r="L78" s="18">
        <v>45.979500000000002</v>
      </c>
      <c r="M78" s="18">
        <v>46.781599999999997</v>
      </c>
      <c r="N78" s="18">
        <v>13.479799999999999</v>
      </c>
      <c r="O78" s="18">
        <f t="shared" si="1"/>
        <v>42.646637499999997</v>
      </c>
      <c r="P78" s="7"/>
      <c r="Q78" s="10"/>
      <c r="R78" s="11"/>
      <c r="S78" s="11"/>
      <c r="T78" s="26"/>
      <c r="U78" s="28">
        <f t="shared" si="5"/>
        <v>-6.1295264623955459E-2</v>
      </c>
      <c r="V78" s="57">
        <f t="shared" si="7"/>
        <v>4.2857142857136361E-4</v>
      </c>
      <c r="W78" s="57">
        <f t="shared" si="6"/>
        <v>1.6369599999999991E-2</v>
      </c>
      <c r="X78" s="56">
        <v>1400</v>
      </c>
      <c r="Y78" s="56">
        <v>1000</v>
      </c>
    </row>
    <row r="79" spans="1:25" x14ac:dyDescent="0.25">
      <c r="B79" s="9"/>
      <c r="C79" s="17">
        <v>835.62</v>
      </c>
      <c r="D79" s="18">
        <v>38.542000000000002</v>
      </c>
      <c r="E79" s="18">
        <v>42.710999999999999</v>
      </c>
      <c r="F79" s="18">
        <v>43.595999999999997</v>
      </c>
      <c r="G79" s="18">
        <v>14.9</v>
      </c>
      <c r="H79" s="18">
        <f t="shared" si="0"/>
        <v>39.694875000000003</v>
      </c>
      <c r="I79" s="5"/>
      <c r="J79" s="17">
        <v>605.55999999999995</v>
      </c>
      <c r="K79" s="18">
        <v>39.968000000000004</v>
      </c>
      <c r="L79" s="18">
        <v>44.7254</v>
      </c>
      <c r="M79" s="18">
        <v>45.520099999999999</v>
      </c>
      <c r="N79" s="18">
        <v>14.9139</v>
      </c>
      <c r="O79" s="18">
        <f t="shared" si="1"/>
        <v>41.256687500000005</v>
      </c>
      <c r="P79" s="7"/>
      <c r="Q79" s="10"/>
      <c r="R79" s="11"/>
      <c r="S79" s="11"/>
      <c r="T79" s="26"/>
      <c r="U79" s="28">
        <f t="shared" si="5"/>
        <v>9.3288590604024017E-4</v>
      </c>
      <c r="V79" s="57">
        <f t="shared" si="7"/>
        <v>1.6917647058823523E-2</v>
      </c>
      <c r="W79" s="57">
        <f t="shared" si="6"/>
        <v>9.2666666666665759E-3</v>
      </c>
      <c r="X79" s="56">
        <v>850</v>
      </c>
      <c r="Y79" s="56">
        <v>600</v>
      </c>
    </row>
    <row r="80" spans="1:25" ht="16.5" thickBot="1" x14ac:dyDescent="0.3">
      <c r="B80" s="12"/>
      <c r="C80" s="19">
        <v>381.34</v>
      </c>
      <c r="D80" s="20">
        <v>35.109000000000002</v>
      </c>
      <c r="E80" s="20">
        <v>40.634999999999998</v>
      </c>
      <c r="F80" s="20">
        <v>41.521999999999998</v>
      </c>
      <c r="G80" s="20">
        <v>15.83</v>
      </c>
      <c r="H80" s="20">
        <f t="shared" si="0"/>
        <v>36.601374999999997</v>
      </c>
      <c r="I80" s="5"/>
      <c r="J80" s="19">
        <v>299.7792</v>
      </c>
      <c r="K80" s="20">
        <v>37.339500000000001</v>
      </c>
      <c r="L80" s="20">
        <v>42.7151</v>
      </c>
      <c r="M80" s="20">
        <v>43.481400000000001</v>
      </c>
      <c r="N80" s="20">
        <v>17.0518</v>
      </c>
      <c r="O80" s="20">
        <f t="shared" si="1"/>
        <v>38.779187499999999</v>
      </c>
      <c r="P80" s="7"/>
      <c r="Q80" s="13"/>
      <c r="R80" s="14"/>
      <c r="S80" s="14"/>
      <c r="T80" s="27"/>
      <c r="U80" s="28">
        <f t="shared" si="5"/>
        <v>7.7182564750473789E-2</v>
      </c>
      <c r="V80" s="57">
        <f t="shared" si="7"/>
        <v>4.6650000000000059E-2</v>
      </c>
      <c r="W80" s="57">
        <f t="shared" si="6"/>
        <v>7.3599999999999003E-4</v>
      </c>
      <c r="X80" s="56">
        <v>400</v>
      </c>
      <c r="Y80" s="56">
        <v>300</v>
      </c>
    </row>
    <row r="81" spans="1:25" x14ac:dyDescent="0.25">
      <c r="A81" s="6" t="s">
        <v>81</v>
      </c>
      <c r="B81" s="6" t="s">
        <v>82</v>
      </c>
      <c r="C81" s="15">
        <v>1521.5</v>
      </c>
      <c r="D81" s="16">
        <v>39.348999999999997</v>
      </c>
      <c r="E81" s="16">
        <v>46.040999999999997</v>
      </c>
      <c r="F81" s="16">
        <v>44.63</v>
      </c>
      <c r="G81" s="16">
        <v>6.25</v>
      </c>
      <c r="H81" s="16">
        <f t="shared" ref="H81:H103" si="8">(6*D81+E81+F81)/8</f>
        <v>40.845624999999998</v>
      </c>
      <c r="I81" s="5"/>
      <c r="J81" s="15">
        <v>1002.3319</v>
      </c>
      <c r="K81" s="16">
        <v>38.768599999999999</v>
      </c>
      <c r="L81" s="16">
        <v>45.685099999999998</v>
      </c>
      <c r="M81" s="16">
        <v>44.316899999999997</v>
      </c>
      <c r="N81" s="16">
        <v>6.798</v>
      </c>
      <c r="O81" s="16">
        <f t="shared" ref="O81:O124" si="9">(6*K81+L81+M81)/8</f>
        <v>40.326699999999995</v>
      </c>
      <c r="P81" s="7"/>
      <c r="Q81" s="8">
        <f>bdrate(C81:C84,D81:D84,J81:J84,K81:K84)</f>
        <v>-0.36657423023359947</v>
      </c>
      <c r="R81" s="8">
        <f>bdrate(C81:C84,E81:E84,J81:J84,L81:L84)</f>
        <v>-0.33673362547711905</v>
      </c>
      <c r="S81" s="8">
        <f>bdrate(C81:C84,F81:F84,J81:J84,M81:M84)</f>
        <v>-0.33003388879512274</v>
      </c>
      <c r="T81" s="25">
        <f>bdrate(C81:C84,H81:H84,J81:J84,O81:O84)</f>
        <v>-0.36198022639121463</v>
      </c>
      <c r="U81" s="28">
        <f t="shared" ref="U81:U103" si="10">(N81-G81)/G81</f>
        <v>8.7680000000000008E-2</v>
      </c>
      <c r="V81" s="57">
        <f t="shared" ref="V81:V124" si="11">ABS(C81-X81)/X81</f>
        <v>1.4333333333333333E-2</v>
      </c>
      <c r="W81" s="57">
        <f t="shared" ref="W81:W124" si="12">ABS(J81-Y81)/Y81</f>
        <v>2.3319000000000187E-3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1016.16</v>
      </c>
      <c r="D82" s="18">
        <v>37.473999999999997</v>
      </c>
      <c r="E82" s="18">
        <v>44.924999999999997</v>
      </c>
      <c r="F82" s="18">
        <v>43.478000000000002</v>
      </c>
      <c r="G82" s="18">
        <v>7.87</v>
      </c>
      <c r="H82" s="18">
        <f t="shared" si="8"/>
        <v>39.155875000000002</v>
      </c>
      <c r="I82" s="5"/>
      <c r="J82" s="17">
        <v>599.4941</v>
      </c>
      <c r="K82" s="18">
        <v>36.756399999999999</v>
      </c>
      <c r="L82" s="18">
        <v>44.463000000000001</v>
      </c>
      <c r="M82" s="18">
        <v>43.0443</v>
      </c>
      <c r="N82" s="18">
        <v>7.6580000000000004</v>
      </c>
      <c r="O82" s="18">
        <f t="shared" si="9"/>
        <v>38.505712500000001</v>
      </c>
      <c r="P82" s="7"/>
      <c r="Q82" s="10"/>
      <c r="R82" s="11"/>
      <c r="S82" s="11"/>
      <c r="T82" s="26"/>
      <c r="U82" s="28">
        <f t="shared" si="10"/>
        <v>-2.6937738246505687E-2</v>
      </c>
      <c r="V82" s="57">
        <f t="shared" si="11"/>
        <v>1.615999999999997E-2</v>
      </c>
      <c r="W82" s="57">
        <f t="shared" si="12"/>
        <v>8.4316666666666156E-4</v>
      </c>
      <c r="X82" s="56">
        <v>1000</v>
      </c>
      <c r="Y82" s="56">
        <v>600</v>
      </c>
    </row>
    <row r="83" spans="1:25" x14ac:dyDescent="0.25">
      <c r="B83" s="9"/>
      <c r="C83" s="17">
        <v>610.5</v>
      </c>
      <c r="D83" s="18">
        <v>34.868000000000002</v>
      </c>
      <c r="E83" s="18">
        <v>43.363</v>
      </c>
      <c r="F83" s="18">
        <v>41.947000000000003</v>
      </c>
      <c r="G83" s="18">
        <v>8.58</v>
      </c>
      <c r="H83" s="18">
        <f t="shared" si="8"/>
        <v>36.814750000000004</v>
      </c>
      <c r="I83" s="5"/>
      <c r="J83" s="17">
        <v>296.98759999999999</v>
      </c>
      <c r="K83" s="18">
        <v>33.828800000000001</v>
      </c>
      <c r="L83" s="18">
        <v>42.538499999999999</v>
      </c>
      <c r="M83" s="18">
        <v>41.077399999999997</v>
      </c>
      <c r="N83" s="18">
        <v>9.2293000000000003</v>
      </c>
      <c r="O83" s="18">
        <f t="shared" si="9"/>
        <v>35.823587500000002</v>
      </c>
      <c r="P83" s="7"/>
      <c r="Q83" s="10"/>
      <c r="R83" s="11"/>
      <c r="S83" s="11"/>
      <c r="T83" s="26"/>
      <c r="U83" s="28">
        <f t="shared" si="10"/>
        <v>7.5675990675990706E-2</v>
      </c>
      <c r="V83" s="57">
        <f t="shared" si="11"/>
        <v>1.7500000000000002E-2</v>
      </c>
      <c r="W83" s="57">
        <f t="shared" si="12"/>
        <v>1.004133333333338E-2</v>
      </c>
      <c r="X83" s="56">
        <v>600</v>
      </c>
      <c r="Y83" s="56">
        <v>300</v>
      </c>
    </row>
    <row r="84" spans="1:25" ht="16.5" thickBot="1" x14ac:dyDescent="0.3">
      <c r="B84" s="12"/>
      <c r="C84" s="19">
        <v>304.77</v>
      </c>
      <c r="D84" s="20">
        <v>30.614999999999998</v>
      </c>
      <c r="E84" s="20">
        <v>41.133000000000003</v>
      </c>
      <c r="F84" s="20">
        <v>39.813000000000002</v>
      </c>
      <c r="G84" s="20">
        <v>9.52</v>
      </c>
      <c r="H84" s="20">
        <f t="shared" si="8"/>
        <v>33.079500000000003</v>
      </c>
      <c r="I84" s="5"/>
      <c r="J84" s="19">
        <v>197.31129999999999</v>
      </c>
      <c r="K84" s="20">
        <v>31.9331</v>
      </c>
      <c r="L84" s="20">
        <v>41.275799999999997</v>
      </c>
      <c r="M84" s="20">
        <v>39.779600000000002</v>
      </c>
      <c r="N84" s="20">
        <v>10.429600000000001</v>
      </c>
      <c r="O84" s="20">
        <f t="shared" si="9"/>
        <v>34.08175</v>
      </c>
      <c r="P84" s="7"/>
      <c r="Q84" s="13"/>
      <c r="R84" s="14"/>
      <c r="S84" s="14"/>
      <c r="T84" s="27"/>
      <c r="U84" s="28">
        <f t="shared" si="10"/>
        <v>9.5546218487395071E-2</v>
      </c>
      <c r="V84" s="57">
        <f t="shared" si="11"/>
        <v>1.5899999999999938E-2</v>
      </c>
      <c r="W84" s="57">
        <f t="shared" si="12"/>
        <v>1.3443500000000058E-2</v>
      </c>
      <c r="X84" s="56">
        <v>300</v>
      </c>
      <c r="Y84" s="56">
        <v>200</v>
      </c>
    </row>
    <row r="85" spans="1:25" x14ac:dyDescent="0.25">
      <c r="B85" s="6" t="s">
        <v>83</v>
      </c>
      <c r="C85" s="29">
        <v>1486.57</v>
      </c>
      <c r="D85" s="30">
        <v>40.802</v>
      </c>
      <c r="E85" s="30">
        <v>46.600999999999999</v>
      </c>
      <c r="F85" s="30">
        <v>46.155000000000001</v>
      </c>
      <c r="G85" s="16">
        <v>6.69</v>
      </c>
      <c r="H85" s="16">
        <f t="shared" si="8"/>
        <v>42.195999999999998</v>
      </c>
      <c r="I85" s="5"/>
      <c r="J85" s="29">
        <v>1005.1199</v>
      </c>
      <c r="K85" s="30">
        <v>40.152799999999999</v>
      </c>
      <c r="L85" s="30">
        <v>46.159199999999998</v>
      </c>
      <c r="M85" s="30">
        <v>45.948999999999998</v>
      </c>
      <c r="N85" s="16">
        <v>7.3794000000000004</v>
      </c>
      <c r="O85" s="16">
        <f t="shared" si="9"/>
        <v>41.628125000000004</v>
      </c>
      <c r="P85" s="7"/>
      <c r="Q85" s="8">
        <f>bdrate(C85:C88,D85:D88,J85:J88,K85:K88)</f>
        <v>-0.35568419856392219</v>
      </c>
      <c r="R85" s="8">
        <f>bdrate(C85:C88,E85:E88,J85:J88,L85:L88)</f>
        <v>-0.32749683757061343</v>
      </c>
      <c r="S85" s="8">
        <f>bdrate(C85:C88,F85:F88,J85:J88,M85:M88)</f>
        <v>-0.37407723950438609</v>
      </c>
      <c r="T85" s="25">
        <f>bdrate(C85:C88,H85:H88,J85:J88,O85:O88)</f>
        <v>-0.35534511644079647</v>
      </c>
      <c r="U85" s="28">
        <f t="shared" si="10"/>
        <v>0.10304932735426009</v>
      </c>
      <c r="V85" s="57">
        <f t="shared" si="11"/>
        <v>8.9533333333333756E-3</v>
      </c>
      <c r="W85" s="57">
        <f t="shared" si="12"/>
        <v>5.1199000000000296E-3</v>
      </c>
      <c r="X85" s="56">
        <v>1500</v>
      </c>
      <c r="Y85" s="56">
        <v>1000</v>
      </c>
    </row>
    <row r="86" spans="1:25" x14ac:dyDescent="0.25">
      <c r="B86" s="9"/>
      <c r="C86" s="31">
        <v>988.45</v>
      </c>
      <c r="D86" s="32">
        <v>38.96</v>
      </c>
      <c r="E86" s="32">
        <v>45.542000000000002</v>
      </c>
      <c r="F86" s="32">
        <v>45.122</v>
      </c>
      <c r="G86" s="18">
        <v>8.6</v>
      </c>
      <c r="H86" s="18">
        <f t="shared" si="8"/>
        <v>40.553000000000004</v>
      </c>
      <c r="I86" s="5"/>
      <c r="J86" s="31">
        <v>603.43780000000004</v>
      </c>
      <c r="K86" s="32">
        <v>38.334000000000003</v>
      </c>
      <c r="L86" s="32">
        <v>45.145899999999997</v>
      </c>
      <c r="M86" s="32">
        <v>44.948300000000003</v>
      </c>
      <c r="N86" s="18">
        <v>8.4601000000000006</v>
      </c>
      <c r="O86" s="18">
        <f t="shared" si="9"/>
        <v>40.012275000000002</v>
      </c>
      <c r="P86" s="7"/>
      <c r="Q86" s="10"/>
      <c r="R86" s="11"/>
      <c r="S86" s="11"/>
      <c r="T86" s="26"/>
      <c r="U86" s="28">
        <f t="shared" si="10"/>
        <v>-1.6267441860465002E-2</v>
      </c>
      <c r="V86" s="57">
        <f t="shared" si="11"/>
        <v>1.1549999999999954E-2</v>
      </c>
      <c r="W86" s="57">
        <f t="shared" si="12"/>
        <v>5.7296666666667309E-3</v>
      </c>
      <c r="X86" s="56">
        <v>1000</v>
      </c>
      <c r="Y86" s="56">
        <v>600</v>
      </c>
    </row>
    <row r="87" spans="1:25" x14ac:dyDescent="0.25">
      <c r="B87" s="9"/>
      <c r="C87" s="31">
        <v>590.28</v>
      </c>
      <c r="D87" s="32">
        <v>36.529000000000003</v>
      </c>
      <c r="E87" s="32">
        <v>44.152999999999999</v>
      </c>
      <c r="F87" s="32">
        <v>43.734999999999999</v>
      </c>
      <c r="G87" s="18">
        <v>9.24</v>
      </c>
      <c r="H87" s="18">
        <f t="shared" si="8"/>
        <v>38.382750000000009</v>
      </c>
      <c r="I87" s="5"/>
      <c r="J87" s="31">
        <v>300.84190000000001</v>
      </c>
      <c r="K87" s="32">
        <v>35.811500000000002</v>
      </c>
      <c r="L87" s="32">
        <v>43.571300000000001</v>
      </c>
      <c r="M87" s="32">
        <v>43.3078</v>
      </c>
      <c r="N87" s="18">
        <v>9.9110999999999994</v>
      </c>
      <c r="O87" s="18">
        <f t="shared" si="9"/>
        <v>37.718512500000003</v>
      </c>
      <c r="P87" s="7"/>
      <c r="Q87" s="10"/>
      <c r="R87" s="11"/>
      <c r="S87" s="11"/>
      <c r="T87" s="26"/>
      <c r="U87" s="28">
        <f t="shared" si="10"/>
        <v>7.2629870129870031E-2</v>
      </c>
      <c r="V87" s="57">
        <f t="shared" si="11"/>
        <v>1.6200000000000044E-2</v>
      </c>
      <c r="W87" s="57">
        <f t="shared" si="12"/>
        <v>2.8063333333333655E-3</v>
      </c>
      <c r="X87" s="56">
        <v>600</v>
      </c>
      <c r="Y87" s="56">
        <v>300</v>
      </c>
    </row>
    <row r="88" spans="1:25" ht="16.5" thickBot="1" x14ac:dyDescent="0.3">
      <c r="B88" s="12"/>
      <c r="C88" s="33">
        <v>294.12</v>
      </c>
      <c r="D88" s="34">
        <v>32.67</v>
      </c>
      <c r="E88" s="34">
        <v>42.201999999999998</v>
      </c>
      <c r="F88" s="34">
        <v>41.738</v>
      </c>
      <c r="G88" s="20">
        <v>10.15</v>
      </c>
      <c r="H88" s="20">
        <f t="shared" si="8"/>
        <v>34.995000000000005</v>
      </c>
      <c r="I88" s="5"/>
      <c r="J88" s="33">
        <v>199.86170000000001</v>
      </c>
      <c r="K88" s="34">
        <v>34.202100000000002</v>
      </c>
      <c r="L88" s="34">
        <v>42.553400000000003</v>
      </c>
      <c r="M88" s="34">
        <v>42.287500000000001</v>
      </c>
      <c r="N88" s="20">
        <v>11.124499999999999</v>
      </c>
      <c r="O88" s="20">
        <f t="shared" si="9"/>
        <v>36.256687500000005</v>
      </c>
      <c r="P88" s="7"/>
      <c r="Q88" s="13"/>
      <c r="R88" s="14"/>
      <c r="S88" s="14"/>
      <c r="T88" s="27"/>
      <c r="U88" s="28">
        <f t="shared" si="10"/>
        <v>9.6009852216748667E-2</v>
      </c>
      <c r="V88" s="57">
        <f t="shared" si="11"/>
        <v>1.9599999999999985E-2</v>
      </c>
      <c r="W88" s="57">
        <f t="shared" si="12"/>
        <v>6.9149999999993381E-4</v>
      </c>
      <c r="X88" s="56">
        <v>300</v>
      </c>
      <c r="Y88" s="56">
        <v>200</v>
      </c>
    </row>
    <row r="89" spans="1:25" x14ac:dyDescent="0.25">
      <c r="B89" s="6" t="s">
        <v>84</v>
      </c>
      <c r="C89" s="15">
        <v>1519.51</v>
      </c>
      <c r="D89" s="16">
        <v>37.308999999999997</v>
      </c>
      <c r="E89" s="16">
        <v>45.987000000000002</v>
      </c>
      <c r="F89" s="16">
        <v>44.19</v>
      </c>
      <c r="G89" s="16">
        <v>6.76</v>
      </c>
      <c r="H89" s="16">
        <f t="shared" si="8"/>
        <v>39.253875000000001</v>
      </c>
      <c r="I89" s="5"/>
      <c r="J89" s="15">
        <v>1004.3526000000001</v>
      </c>
      <c r="K89" s="16">
        <v>36.900500000000001</v>
      </c>
      <c r="L89" s="16">
        <v>45.908200000000001</v>
      </c>
      <c r="M89" s="16">
        <v>44.264200000000002</v>
      </c>
      <c r="N89" s="16">
        <v>6.7778</v>
      </c>
      <c r="O89" s="16">
        <f t="shared" si="9"/>
        <v>38.946925000000007</v>
      </c>
      <c r="P89" s="7"/>
      <c r="Q89" s="8">
        <f>bdrate(C89:C92,D89:D92,J89:J92,K89:K92)</f>
        <v>-0.37575451968223028</v>
      </c>
      <c r="R89" s="8">
        <f>bdrate(C89:C92,E89:E92,J89:J92,L89:L92)</f>
        <v>-0.36184341410392773</v>
      </c>
      <c r="S89" s="8">
        <f>bdrate(C89:C92,F89:F92,J89:J92,M89:M92)</f>
        <v>-0.40113589904846381</v>
      </c>
      <c r="T89" s="25">
        <f>bdrate(C89:C92,H89:H92,J89:J92,O89:O92)</f>
        <v>-0.37679222477022734</v>
      </c>
      <c r="U89" s="28">
        <f t="shared" si="10"/>
        <v>2.6331360946745949E-3</v>
      </c>
      <c r="V89" s="57">
        <f t="shared" si="11"/>
        <v>1.3006666666666661E-2</v>
      </c>
      <c r="W89" s="57">
        <f t="shared" si="12"/>
        <v>4.3526000000000519E-3</v>
      </c>
      <c r="X89" s="56">
        <v>1500</v>
      </c>
      <c r="Y89" s="56">
        <v>1000</v>
      </c>
    </row>
    <row r="90" spans="1:25" x14ac:dyDescent="0.25">
      <c r="B90" s="9"/>
      <c r="C90" s="17">
        <v>1014.69</v>
      </c>
      <c r="D90" s="18">
        <v>35.613999999999997</v>
      </c>
      <c r="E90" s="18">
        <v>45.014000000000003</v>
      </c>
      <c r="F90" s="18">
        <v>43.140999999999998</v>
      </c>
      <c r="G90" s="18">
        <v>8.61</v>
      </c>
      <c r="H90" s="18">
        <f t="shared" si="8"/>
        <v>37.729875</v>
      </c>
      <c r="I90" s="5"/>
      <c r="J90" s="17">
        <v>600.6825</v>
      </c>
      <c r="K90" s="18">
        <v>35.101799999999997</v>
      </c>
      <c r="L90" s="18">
        <v>44.795200000000001</v>
      </c>
      <c r="M90" s="18">
        <v>43.106299999999997</v>
      </c>
      <c r="N90" s="18">
        <v>7.8901000000000003</v>
      </c>
      <c r="O90" s="18">
        <f t="shared" si="9"/>
        <v>37.314037499999998</v>
      </c>
      <c r="P90" s="7"/>
      <c r="Q90" s="10"/>
      <c r="R90" s="11"/>
      <c r="S90" s="11"/>
      <c r="T90" s="26"/>
      <c r="U90" s="28">
        <f t="shared" si="10"/>
        <v>-8.3612078977932533E-2</v>
      </c>
      <c r="V90" s="57">
        <f t="shared" si="11"/>
        <v>1.4690000000000054E-2</v>
      </c>
      <c r="W90" s="57">
        <f t="shared" si="12"/>
        <v>1.1375000000000076E-3</v>
      </c>
      <c r="X90" s="56">
        <v>1000</v>
      </c>
      <c r="Y90" s="56">
        <v>600</v>
      </c>
    </row>
    <row r="91" spans="1:25" x14ac:dyDescent="0.25">
      <c r="B91" s="9"/>
      <c r="C91" s="17">
        <v>608.51</v>
      </c>
      <c r="D91" s="18">
        <v>33.343000000000004</v>
      </c>
      <c r="E91" s="18">
        <v>43.753</v>
      </c>
      <c r="F91" s="18">
        <v>41.843000000000004</v>
      </c>
      <c r="G91" s="18">
        <v>9.23</v>
      </c>
      <c r="H91" s="18">
        <f t="shared" si="8"/>
        <v>35.706750000000007</v>
      </c>
      <c r="I91" s="5"/>
      <c r="J91" s="17">
        <v>298.05459999999999</v>
      </c>
      <c r="K91" s="18">
        <v>32.528100000000002</v>
      </c>
      <c r="L91" s="18">
        <v>43.095399999999998</v>
      </c>
      <c r="M91" s="18">
        <v>41.333100000000002</v>
      </c>
      <c r="N91" s="18">
        <v>9.7460000000000004</v>
      </c>
      <c r="O91" s="18">
        <f t="shared" si="9"/>
        <v>34.949637500000001</v>
      </c>
      <c r="P91" s="7"/>
      <c r="Q91" s="10"/>
      <c r="R91" s="11"/>
      <c r="S91" s="11"/>
      <c r="T91" s="26"/>
      <c r="U91" s="28">
        <f t="shared" si="10"/>
        <v>5.5904658721560127E-2</v>
      </c>
      <c r="V91" s="57">
        <f t="shared" si="11"/>
        <v>1.4183333333333319E-2</v>
      </c>
      <c r="W91" s="57">
        <f t="shared" si="12"/>
        <v>6.484666666666688E-3</v>
      </c>
      <c r="X91" s="56">
        <v>600</v>
      </c>
      <c r="Y91" s="56">
        <v>300</v>
      </c>
    </row>
    <row r="92" spans="1:25" ht="16.5" thickBot="1" x14ac:dyDescent="0.3">
      <c r="B92" s="12"/>
      <c r="C92" s="19">
        <v>303.56</v>
      </c>
      <c r="D92" s="20">
        <v>29.733000000000001</v>
      </c>
      <c r="E92" s="20">
        <v>41.805999999999997</v>
      </c>
      <c r="F92" s="20">
        <v>39.945999999999998</v>
      </c>
      <c r="G92" s="20">
        <v>10.15</v>
      </c>
      <c r="H92" s="20">
        <f t="shared" si="8"/>
        <v>32.518749999999997</v>
      </c>
      <c r="I92" s="5"/>
      <c r="J92" s="19">
        <v>197.8357</v>
      </c>
      <c r="K92" s="20">
        <v>30.9177</v>
      </c>
      <c r="L92" s="20">
        <v>42.165700000000001</v>
      </c>
      <c r="M92" s="20">
        <v>40.3245</v>
      </c>
      <c r="N92" s="20">
        <v>11.1058</v>
      </c>
      <c r="O92" s="20">
        <f t="shared" si="9"/>
        <v>33.499549999999999</v>
      </c>
      <c r="P92" s="7"/>
      <c r="Q92" s="13"/>
      <c r="R92" s="14"/>
      <c r="S92" s="14"/>
      <c r="T92" s="27"/>
      <c r="U92" s="28">
        <f t="shared" si="10"/>
        <v>9.4167487684729059E-2</v>
      </c>
      <c r="V92" s="57">
        <f t="shared" si="11"/>
        <v>1.1866666666666675E-2</v>
      </c>
      <c r="W92" s="57">
        <f t="shared" si="12"/>
        <v>1.0821499999999986E-2</v>
      </c>
      <c r="X92" s="56">
        <v>300</v>
      </c>
      <c r="Y92" s="56">
        <v>200</v>
      </c>
    </row>
    <row r="93" spans="1:25" x14ac:dyDescent="0.25">
      <c r="B93" s="6" t="s">
        <v>85</v>
      </c>
      <c r="C93" s="15">
        <v>1496.69</v>
      </c>
      <c r="D93" s="16">
        <v>36.31</v>
      </c>
      <c r="E93" s="16">
        <v>45.935000000000002</v>
      </c>
      <c r="F93" s="16">
        <v>44.107999999999997</v>
      </c>
      <c r="G93" s="16">
        <v>6.6</v>
      </c>
      <c r="H93" s="16">
        <f t="shared" si="8"/>
        <v>38.487875000000003</v>
      </c>
      <c r="I93" s="5"/>
      <c r="J93" s="15">
        <v>1001.2465999999999</v>
      </c>
      <c r="K93" s="16">
        <v>35.798499999999997</v>
      </c>
      <c r="L93" s="16">
        <v>45.727200000000003</v>
      </c>
      <c r="M93" s="16">
        <v>44.182099999999998</v>
      </c>
      <c r="N93" s="16">
        <v>6.9269999999999996</v>
      </c>
      <c r="O93" s="16">
        <f t="shared" si="9"/>
        <v>38.087537499999996</v>
      </c>
      <c r="P93" s="7"/>
      <c r="Q93" s="8">
        <f>bdrate(C93:C96,D93:D96,J93:J96,K93:K96)</f>
        <v>-0.3545851120777912</v>
      </c>
      <c r="R93" s="8">
        <f>bdrate(C93:C96,E93:E96,J93:J96,L93:L96)</f>
        <v>-0.32725167131324273</v>
      </c>
      <c r="S93" s="8">
        <f>bdrate(C93:C96,F93:F96,J93:J96,M93:M96)</f>
        <v>-0.4040581559390013</v>
      </c>
      <c r="T93" s="25">
        <f>bdrate(C93:C96,H93:H96,J93:J96,O93:O96)</f>
        <v>-0.35655669992343719</v>
      </c>
      <c r="U93" s="28">
        <f t="shared" si="10"/>
        <v>4.9545454545454538E-2</v>
      </c>
      <c r="V93" s="57">
        <f t="shared" si="11"/>
        <v>2.2066666666666302E-3</v>
      </c>
      <c r="W93" s="57">
        <f t="shared" si="12"/>
        <v>1.2465999999999439E-3</v>
      </c>
      <c r="X93" s="56">
        <v>1500</v>
      </c>
      <c r="Y93" s="56">
        <v>1000</v>
      </c>
    </row>
    <row r="94" spans="1:25" x14ac:dyDescent="0.25">
      <c r="B94" s="9"/>
      <c r="C94" s="17">
        <v>996.61</v>
      </c>
      <c r="D94" s="18">
        <v>34.643000000000001</v>
      </c>
      <c r="E94" s="18">
        <v>44.918999999999997</v>
      </c>
      <c r="F94" s="18">
        <v>43.012999999999998</v>
      </c>
      <c r="G94" s="18">
        <v>8.3800000000000008</v>
      </c>
      <c r="H94" s="18">
        <f t="shared" si="8"/>
        <v>36.973749999999995</v>
      </c>
      <c r="I94" s="5"/>
      <c r="J94" s="17">
        <v>599.83460000000002</v>
      </c>
      <c r="K94" s="18">
        <v>34.040199999999999</v>
      </c>
      <c r="L94" s="18">
        <v>44.599800000000002</v>
      </c>
      <c r="M94" s="18">
        <v>43.05</v>
      </c>
      <c r="N94" s="18">
        <v>7.9123000000000001</v>
      </c>
      <c r="O94" s="18">
        <f t="shared" si="9"/>
        <v>36.486375000000002</v>
      </c>
      <c r="P94" s="7"/>
      <c r="Q94" s="10"/>
      <c r="R94" s="11"/>
      <c r="S94" s="11"/>
      <c r="T94" s="26"/>
      <c r="U94" s="28">
        <f t="shared" si="10"/>
        <v>-5.5811455847255442E-2</v>
      </c>
      <c r="V94" s="57">
        <f t="shared" si="11"/>
        <v>3.3899999999999863E-3</v>
      </c>
      <c r="W94" s="57">
        <f t="shared" si="12"/>
        <v>2.7566666666662814E-4</v>
      </c>
      <c r="X94" s="56">
        <v>1000</v>
      </c>
      <c r="Y94" s="56">
        <v>600</v>
      </c>
    </row>
    <row r="95" spans="1:25" x14ac:dyDescent="0.25">
      <c r="B95" s="9"/>
      <c r="C95" s="17">
        <v>597.4</v>
      </c>
      <c r="D95" s="18">
        <v>32.417000000000002</v>
      </c>
      <c r="E95" s="18">
        <v>43.694000000000003</v>
      </c>
      <c r="F95" s="18">
        <v>41.786999999999999</v>
      </c>
      <c r="G95" s="18">
        <v>9.08</v>
      </c>
      <c r="H95" s="18">
        <f t="shared" si="8"/>
        <v>34.997875000000001</v>
      </c>
      <c r="I95" s="5"/>
      <c r="J95" s="17">
        <v>297.94060000000002</v>
      </c>
      <c r="K95" s="18">
        <v>31.5839</v>
      </c>
      <c r="L95" s="18">
        <v>42.997700000000002</v>
      </c>
      <c r="M95" s="18">
        <v>41.349800000000002</v>
      </c>
      <c r="N95" s="18">
        <v>9.7285000000000004</v>
      </c>
      <c r="O95" s="18">
        <f t="shared" si="9"/>
        <v>34.231362500000003</v>
      </c>
      <c r="P95" s="7"/>
      <c r="Q95" s="10"/>
      <c r="R95" s="11"/>
      <c r="S95" s="11"/>
      <c r="T95" s="26"/>
      <c r="U95" s="28">
        <f t="shared" si="10"/>
        <v>7.1420704845815017E-2</v>
      </c>
      <c r="V95" s="57">
        <f t="shared" si="11"/>
        <v>4.3333333333333713E-3</v>
      </c>
      <c r="W95" s="57">
        <f t="shared" si="12"/>
        <v>6.8646666666666075E-3</v>
      </c>
      <c r="X95" s="56">
        <v>600</v>
      </c>
      <c r="Y95" s="56">
        <v>300</v>
      </c>
    </row>
    <row r="96" spans="1:25" ht="16.5" thickBot="1" x14ac:dyDescent="0.3">
      <c r="B96" s="12"/>
      <c r="C96" s="19">
        <v>298.64</v>
      </c>
      <c r="D96" s="20">
        <v>28.91</v>
      </c>
      <c r="E96" s="20">
        <v>41.85</v>
      </c>
      <c r="F96" s="20">
        <v>39.969000000000001</v>
      </c>
      <c r="G96" s="20">
        <v>10.06</v>
      </c>
      <c r="H96" s="20">
        <f t="shared" si="8"/>
        <v>31.909875</v>
      </c>
      <c r="I96" s="5"/>
      <c r="J96" s="19">
        <v>197.37909999999999</v>
      </c>
      <c r="K96" s="20">
        <v>30.0365</v>
      </c>
      <c r="L96" s="20">
        <v>42.148499999999999</v>
      </c>
      <c r="M96" s="20">
        <v>40.435400000000001</v>
      </c>
      <c r="N96" s="20">
        <v>11.0769</v>
      </c>
      <c r="O96" s="20">
        <f t="shared" si="9"/>
        <v>32.850362500000003</v>
      </c>
      <c r="P96" s="7"/>
      <c r="Q96" s="13"/>
      <c r="R96" s="14"/>
      <c r="S96" s="14"/>
      <c r="T96" s="27"/>
      <c r="U96" s="28">
        <f t="shared" si="10"/>
        <v>0.10108349900596418</v>
      </c>
      <c r="V96" s="57">
        <f t="shared" si="11"/>
        <v>4.5333333333333788E-3</v>
      </c>
      <c r="W96" s="57">
        <f t="shared" si="12"/>
        <v>1.3104500000000029E-2</v>
      </c>
      <c r="X96" s="56">
        <v>300</v>
      </c>
      <c r="Y96" s="56">
        <v>200</v>
      </c>
    </row>
    <row r="97" spans="2:25" x14ac:dyDescent="0.25">
      <c r="B97" s="6" t="s">
        <v>86</v>
      </c>
      <c r="C97" s="15">
        <v>1511.91</v>
      </c>
      <c r="D97" s="16">
        <v>41.594999999999999</v>
      </c>
      <c r="E97" s="16">
        <v>48.527999999999999</v>
      </c>
      <c r="F97" s="16">
        <v>47.673999999999999</v>
      </c>
      <c r="G97" s="16">
        <v>7.43</v>
      </c>
      <c r="H97" s="16">
        <f t="shared" si="8"/>
        <v>43.221499999999999</v>
      </c>
      <c r="I97" s="5"/>
      <c r="J97" s="15">
        <v>1006.473</v>
      </c>
      <c r="K97" s="16">
        <v>40.9758</v>
      </c>
      <c r="L97" s="16">
        <v>48.052700000000002</v>
      </c>
      <c r="M97" s="16">
        <v>47.563000000000002</v>
      </c>
      <c r="N97" s="16">
        <v>7.6685999999999996</v>
      </c>
      <c r="O97" s="16">
        <f t="shared" si="9"/>
        <v>42.683812500000002</v>
      </c>
      <c r="P97" s="7"/>
      <c r="Q97" s="8">
        <f>bdrate(C97:C100,D97:D100,J97:J100,K97:K100)</f>
        <v>-0.35487509791188709</v>
      </c>
      <c r="R97" s="8">
        <f>bdrate(C97:C100,E97:E100,J97:J100,L97:L100)</f>
        <v>-0.33957061069197014</v>
      </c>
      <c r="S97" s="8">
        <f>bdrate(C97:C100,F97:F100,J97:J100,M97:M100)</f>
        <v>-0.45122080415879218</v>
      </c>
      <c r="T97" s="25">
        <f>bdrate(C97:C100,H97:H100,J97:J100,O97:O100)</f>
        <v>-0.36313710747883654</v>
      </c>
      <c r="U97" s="28">
        <f t="shared" si="10"/>
        <v>3.211305518169582E-2</v>
      </c>
      <c r="V97" s="57">
        <f t="shared" si="11"/>
        <v>7.9400000000000547E-3</v>
      </c>
      <c r="W97" s="57">
        <f t="shared" si="12"/>
        <v>6.4729999999999562E-3</v>
      </c>
      <c r="X97" s="56">
        <v>1500</v>
      </c>
      <c r="Y97" s="56">
        <v>1000</v>
      </c>
    </row>
    <row r="98" spans="2:25" x14ac:dyDescent="0.25">
      <c r="B98" s="9"/>
      <c r="C98" s="17">
        <v>1007.24</v>
      </c>
      <c r="D98" s="18">
        <v>40.203000000000003</v>
      </c>
      <c r="E98" s="18">
        <v>47.637</v>
      </c>
      <c r="F98" s="18">
        <v>46.655000000000001</v>
      </c>
      <c r="G98" s="18">
        <v>9.6999999999999993</v>
      </c>
      <c r="H98" s="18">
        <f t="shared" si="8"/>
        <v>41.938749999999999</v>
      </c>
      <c r="I98" s="5"/>
      <c r="J98" s="17">
        <v>602.35680000000002</v>
      </c>
      <c r="K98" s="18">
        <v>39.643000000000001</v>
      </c>
      <c r="L98" s="18">
        <v>47.356099999999998</v>
      </c>
      <c r="M98" s="18">
        <v>46.819000000000003</v>
      </c>
      <c r="N98" s="18">
        <v>8.7324999999999999</v>
      </c>
      <c r="O98" s="18">
        <f t="shared" si="9"/>
        <v>41.504137500000006</v>
      </c>
      <c r="P98" s="7"/>
      <c r="Q98" s="10"/>
      <c r="R98" s="11"/>
      <c r="S98" s="11"/>
      <c r="T98" s="26"/>
      <c r="U98" s="28">
        <f t="shared" si="10"/>
        <v>-9.974226804123705E-2</v>
      </c>
      <c r="V98" s="57">
        <f t="shared" si="11"/>
        <v>7.2400000000000094E-3</v>
      </c>
      <c r="W98" s="57">
        <f t="shared" si="12"/>
        <v>3.9280000000000348E-3</v>
      </c>
      <c r="X98" s="56">
        <v>1000</v>
      </c>
      <c r="Y98" s="56">
        <v>600</v>
      </c>
    </row>
    <row r="99" spans="2:25" x14ac:dyDescent="0.25">
      <c r="B99" s="9"/>
      <c r="C99" s="17">
        <v>603.64</v>
      </c>
      <c r="D99" s="18">
        <v>38.436999999999998</v>
      </c>
      <c r="E99" s="18">
        <v>46.625</v>
      </c>
      <c r="F99" s="18">
        <v>45.646999999999998</v>
      </c>
      <c r="G99" s="18">
        <v>10.41</v>
      </c>
      <c r="H99" s="18">
        <f t="shared" si="8"/>
        <v>40.361749999999994</v>
      </c>
      <c r="I99" s="5"/>
      <c r="J99" s="17">
        <v>296.76029999999997</v>
      </c>
      <c r="K99" s="18">
        <v>37.7241</v>
      </c>
      <c r="L99" s="18">
        <v>46.043399999999998</v>
      </c>
      <c r="M99" s="18">
        <v>45.5047</v>
      </c>
      <c r="N99" s="18">
        <v>10.370699999999999</v>
      </c>
      <c r="O99" s="18">
        <f t="shared" si="9"/>
        <v>39.736587500000006</v>
      </c>
      <c r="P99" s="7"/>
      <c r="Q99" s="10"/>
      <c r="R99" s="11"/>
      <c r="S99" s="11"/>
      <c r="T99" s="26"/>
      <c r="U99" s="28">
        <f t="shared" si="10"/>
        <v>-3.7752161383286052E-3</v>
      </c>
      <c r="V99" s="57">
        <f t="shared" si="11"/>
        <v>6.0666666666666438E-3</v>
      </c>
      <c r="W99" s="57">
        <f t="shared" si="12"/>
        <v>1.0799000000000092E-2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301.98</v>
      </c>
      <c r="D100" s="20">
        <v>35.35</v>
      </c>
      <c r="E100" s="20">
        <v>44.813000000000002</v>
      </c>
      <c r="F100" s="20">
        <v>44.045999999999999</v>
      </c>
      <c r="G100" s="20">
        <v>11.28</v>
      </c>
      <c r="H100" s="20">
        <f t="shared" si="8"/>
        <v>37.619875</v>
      </c>
      <c r="I100" s="5"/>
      <c r="J100" s="19">
        <v>192.62039999999999</v>
      </c>
      <c r="K100" s="20">
        <v>36.409599999999998</v>
      </c>
      <c r="L100" s="20">
        <v>45.037799999999997</v>
      </c>
      <c r="M100" s="20">
        <v>44.464500000000001</v>
      </c>
      <c r="N100" s="20">
        <v>11.577500000000001</v>
      </c>
      <c r="O100" s="20">
        <f t="shared" si="9"/>
        <v>38.494987499999993</v>
      </c>
      <c r="P100" s="7"/>
      <c r="Q100" s="13"/>
      <c r="R100" s="14"/>
      <c r="S100" s="14"/>
      <c r="T100" s="27"/>
      <c r="U100" s="28">
        <f t="shared" si="10"/>
        <v>2.6374113475177412E-2</v>
      </c>
      <c r="V100" s="57">
        <f t="shared" si="11"/>
        <v>6.6000000000000607E-3</v>
      </c>
      <c r="W100" s="57">
        <f t="shared" si="12"/>
        <v>3.6898000000000056E-2</v>
      </c>
      <c r="X100" s="56">
        <v>300</v>
      </c>
      <c r="Y100" s="56">
        <v>200</v>
      </c>
    </row>
    <row r="101" spans="2:25" x14ac:dyDescent="0.25">
      <c r="B101" s="6" t="s">
        <v>87</v>
      </c>
      <c r="C101" s="15">
        <v>1503.84</v>
      </c>
      <c r="D101" s="16">
        <v>41.737000000000002</v>
      </c>
      <c r="E101" s="16">
        <v>49.392000000000003</v>
      </c>
      <c r="F101" s="16">
        <v>49.238999999999997</v>
      </c>
      <c r="G101" s="16">
        <v>7.5</v>
      </c>
      <c r="H101" s="16">
        <f t="shared" si="8"/>
        <v>43.631625</v>
      </c>
      <c r="I101" s="5"/>
      <c r="J101" s="15">
        <v>1006.8681</v>
      </c>
      <c r="K101" s="16">
        <v>41.636099999999999</v>
      </c>
      <c r="L101" s="16">
        <v>49.2393</v>
      </c>
      <c r="M101" s="16">
        <v>49.001600000000003</v>
      </c>
      <c r="N101" s="16">
        <v>7.9452999999999996</v>
      </c>
      <c r="O101" s="16">
        <f t="shared" si="9"/>
        <v>43.507187500000001</v>
      </c>
      <c r="P101" s="7"/>
      <c r="Q101" s="8">
        <f>bdrate(C101:C104,D101:D104,J101:J104,K101:K104)</f>
        <v>-0.43882094008481687</v>
      </c>
      <c r="R101" s="8">
        <f>bdrate(C101:C104,E101:E104,J101:J104,L101:L104)</f>
        <v>-0.43820128335261954</v>
      </c>
      <c r="S101" s="8">
        <f>bdrate(C101:C104,F101:F104,J101:J104,M101:M104)</f>
        <v>-0.43731928846172852</v>
      </c>
      <c r="T101" s="25">
        <f>bdrate(C101:C104,H101:H104,J101:J104,O101:O104)</f>
        <v>-0.43839108725541998</v>
      </c>
      <c r="U101" s="28">
        <f t="shared" si="10"/>
        <v>5.9373333333333278E-2</v>
      </c>
      <c r="V101" s="57">
        <f t="shared" si="11"/>
        <v>2.5599999999999456E-3</v>
      </c>
      <c r="W101" s="57">
        <f t="shared" si="12"/>
        <v>6.8681000000000271E-3</v>
      </c>
      <c r="X101" s="56">
        <v>1500</v>
      </c>
      <c r="Y101" s="56">
        <v>1000</v>
      </c>
    </row>
    <row r="102" spans="2:25" x14ac:dyDescent="0.25">
      <c r="B102" s="9"/>
      <c r="C102" s="17">
        <v>995.45</v>
      </c>
      <c r="D102" s="18">
        <v>40.792999999999999</v>
      </c>
      <c r="E102" s="18">
        <v>48.860999999999997</v>
      </c>
      <c r="F102" s="18">
        <v>48.737000000000002</v>
      </c>
      <c r="G102" s="18">
        <v>9.84</v>
      </c>
      <c r="H102" s="18">
        <f t="shared" si="8"/>
        <v>42.794499999999999</v>
      </c>
      <c r="I102" s="5"/>
      <c r="J102" s="17">
        <v>592.20489999999995</v>
      </c>
      <c r="K102" s="18">
        <v>40.721499999999999</v>
      </c>
      <c r="L102" s="18">
        <v>48.799199999999999</v>
      </c>
      <c r="M102" s="18">
        <v>48.631799999999998</v>
      </c>
      <c r="N102" s="18">
        <v>9.4063999999999997</v>
      </c>
      <c r="O102" s="18">
        <f t="shared" si="9"/>
        <v>42.72</v>
      </c>
      <c r="P102" s="7"/>
      <c r="Q102" s="10"/>
      <c r="R102" s="11"/>
      <c r="S102" s="11"/>
      <c r="T102" s="26"/>
      <c r="U102" s="28">
        <f t="shared" si="10"/>
        <v>-4.4065040650406527E-2</v>
      </c>
      <c r="V102" s="57">
        <f t="shared" si="11"/>
        <v>4.5499999999999543E-3</v>
      </c>
      <c r="W102" s="57">
        <f t="shared" si="12"/>
        <v>1.2991833333333412E-2</v>
      </c>
      <c r="X102" s="56">
        <v>1000</v>
      </c>
      <c r="Y102" s="56">
        <v>600</v>
      </c>
    </row>
    <row r="103" spans="2:25" x14ac:dyDescent="0.25">
      <c r="B103" s="9"/>
      <c r="C103" s="17">
        <v>595.04</v>
      </c>
      <c r="D103" s="18">
        <v>39.561999999999998</v>
      </c>
      <c r="E103" s="18">
        <v>48.039000000000001</v>
      </c>
      <c r="F103" s="18">
        <v>48.006999999999998</v>
      </c>
      <c r="G103" s="18">
        <v>10.74</v>
      </c>
      <c r="H103" s="18">
        <f t="shared" si="8"/>
        <v>41.677250000000001</v>
      </c>
      <c r="I103" s="5"/>
      <c r="J103" s="17">
        <v>283.21940000000001</v>
      </c>
      <c r="K103" s="18">
        <v>39.369500000000002</v>
      </c>
      <c r="L103" s="18">
        <v>47.878</v>
      </c>
      <c r="M103" s="18">
        <v>47.897599999999997</v>
      </c>
      <c r="N103" s="18">
        <v>11.5189</v>
      </c>
      <c r="O103" s="18">
        <f t="shared" si="9"/>
        <v>41.499075000000005</v>
      </c>
      <c r="P103" s="7"/>
      <c r="Q103" s="10"/>
      <c r="R103" s="11"/>
      <c r="S103" s="11"/>
      <c r="T103" s="26"/>
      <c r="U103" s="28">
        <f t="shared" si="10"/>
        <v>7.2523277467411551E-2</v>
      </c>
      <c r="V103" s="57">
        <f t="shared" si="11"/>
        <v>8.2666666666667277E-3</v>
      </c>
      <c r="W103" s="57">
        <f t="shared" si="12"/>
        <v>5.5935333333333309E-2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294.45999999999998</v>
      </c>
      <c r="D104" s="20">
        <v>37.567999999999998</v>
      </c>
      <c r="E104" s="20">
        <v>46.633000000000003</v>
      </c>
      <c r="F104" s="20">
        <v>46.77</v>
      </c>
      <c r="G104" s="20">
        <v>11.67</v>
      </c>
      <c r="H104" s="20">
        <f t="shared" ref="H104:H124" si="13">(6*D104+E104+F104)/8</f>
        <v>39.851374999999997</v>
      </c>
      <c r="I104" s="5"/>
      <c r="J104" s="19">
        <v>180.45230000000001</v>
      </c>
      <c r="K104" s="20">
        <v>38.382899999999999</v>
      </c>
      <c r="L104" s="20">
        <v>47.0625</v>
      </c>
      <c r="M104" s="20">
        <v>47.192799999999998</v>
      </c>
      <c r="N104" s="20">
        <v>13.020899999999999</v>
      </c>
      <c r="O104" s="20">
        <f t="shared" si="9"/>
        <v>40.569087499999995</v>
      </c>
      <c r="P104" s="7"/>
      <c r="Q104" s="13"/>
      <c r="R104" s="14"/>
      <c r="S104" s="14"/>
      <c r="T104" s="27"/>
      <c r="U104" s="28">
        <f t="shared" ref="U104:U124" si="14">(N104-G104)/G104</f>
        <v>0.115758354755784</v>
      </c>
      <c r="V104" s="57">
        <f t="shared" si="11"/>
        <v>1.8466666666666735E-2</v>
      </c>
      <c r="W104" s="57">
        <f t="shared" si="12"/>
        <v>9.7738499999999964E-2</v>
      </c>
      <c r="X104" s="56">
        <v>300</v>
      </c>
      <c r="Y104" s="56">
        <v>200</v>
      </c>
    </row>
    <row r="105" spans="2:25" x14ac:dyDescent="0.25">
      <c r="B105" s="6" t="s">
        <v>88</v>
      </c>
      <c r="C105" s="15">
        <v>1506.08</v>
      </c>
      <c r="D105" s="16">
        <v>43.134999999999998</v>
      </c>
      <c r="E105" s="16">
        <v>51.238</v>
      </c>
      <c r="F105" s="16">
        <v>51.031999999999996</v>
      </c>
      <c r="G105" s="16">
        <v>7.26</v>
      </c>
      <c r="H105" s="16">
        <f t="shared" si="13"/>
        <v>45.134999999999998</v>
      </c>
      <c r="I105" s="5"/>
      <c r="J105" s="15">
        <v>1001.1153</v>
      </c>
      <c r="K105" s="16">
        <v>42.628</v>
      </c>
      <c r="L105" s="16">
        <v>50.7316</v>
      </c>
      <c r="M105" s="16">
        <v>50.506</v>
      </c>
      <c r="N105" s="16">
        <v>7.3421000000000003</v>
      </c>
      <c r="O105" s="16">
        <f t="shared" si="9"/>
        <v>44.625699999999995</v>
      </c>
      <c r="P105" s="7"/>
      <c r="Q105" s="8">
        <f>bdrate(C105:C108,D105:D108,J105:J108,K105:K108)</f>
        <v>-0.36161415533391139</v>
      </c>
      <c r="R105" s="8">
        <f>bdrate(C105:C108,E105:E108,J105:J108,L105:L108)</f>
        <v>-0.44534913491461048</v>
      </c>
      <c r="S105" s="8">
        <f>bdrate(C105:C108,F105:F108,J105:J108,M105:M108)</f>
        <v>-0.43789282500035365</v>
      </c>
      <c r="T105" s="25">
        <f>bdrate(C105:C108,H105:H108,J105:J108,O105:O108)</f>
        <v>-0.37613655457206485</v>
      </c>
      <c r="U105" s="28">
        <f t="shared" si="14"/>
        <v>1.1308539944903651E-2</v>
      </c>
      <c r="V105" s="57">
        <f t="shared" si="11"/>
        <v>4.0533333333332847E-3</v>
      </c>
      <c r="W105" s="57">
        <f t="shared" si="12"/>
        <v>1.1153000000000475E-3</v>
      </c>
      <c r="X105" s="56">
        <v>1500</v>
      </c>
      <c r="Y105" s="56">
        <v>1000</v>
      </c>
    </row>
    <row r="106" spans="2:25" x14ac:dyDescent="0.25">
      <c r="B106" s="9"/>
      <c r="C106" s="17">
        <v>987.77</v>
      </c>
      <c r="D106" s="18">
        <v>42.113</v>
      </c>
      <c r="E106" s="18">
        <v>50.558</v>
      </c>
      <c r="F106" s="18">
        <v>50.289000000000001</v>
      </c>
      <c r="G106" s="18">
        <v>9.66</v>
      </c>
      <c r="H106" s="18">
        <f t="shared" si="13"/>
        <v>44.190624999999997</v>
      </c>
      <c r="I106" s="5"/>
      <c r="J106" s="17">
        <v>600.4271</v>
      </c>
      <c r="K106" s="18">
        <v>41.681600000000003</v>
      </c>
      <c r="L106" s="18">
        <v>50.3705</v>
      </c>
      <c r="M106" s="18">
        <v>50.1282</v>
      </c>
      <c r="N106" s="18">
        <v>8.6265999999999998</v>
      </c>
      <c r="O106" s="18">
        <f t="shared" si="9"/>
        <v>43.8235375</v>
      </c>
      <c r="P106" s="7"/>
      <c r="Q106" s="10"/>
      <c r="R106" s="11"/>
      <c r="S106" s="11"/>
      <c r="T106" s="26"/>
      <c r="U106" s="28">
        <f t="shared" si="14"/>
        <v>-0.10697722567287787</v>
      </c>
      <c r="V106" s="57">
        <f t="shared" si="11"/>
        <v>1.2230000000000019E-2</v>
      </c>
      <c r="W106" s="57">
        <f t="shared" si="12"/>
        <v>7.1183333333332637E-4</v>
      </c>
      <c r="X106" s="56">
        <v>1000</v>
      </c>
      <c r="Y106" s="56">
        <v>600</v>
      </c>
    </row>
    <row r="107" spans="2:25" x14ac:dyDescent="0.25">
      <c r="B107" s="9"/>
      <c r="C107" s="17">
        <v>588.22</v>
      </c>
      <c r="D107" s="18">
        <v>40.768000000000001</v>
      </c>
      <c r="E107" s="18">
        <v>49.594999999999999</v>
      </c>
      <c r="F107" s="18">
        <v>49.326999999999998</v>
      </c>
      <c r="G107" s="18">
        <v>10.56</v>
      </c>
      <c r="H107" s="18">
        <f t="shared" si="13"/>
        <v>42.941249999999997</v>
      </c>
      <c r="I107" s="5"/>
      <c r="J107" s="17">
        <v>293.28399999999999</v>
      </c>
      <c r="K107" s="18">
        <v>40.460900000000002</v>
      </c>
      <c r="L107" s="18">
        <v>49.624099999999999</v>
      </c>
      <c r="M107" s="18">
        <v>49.314500000000002</v>
      </c>
      <c r="N107" s="18">
        <v>10.564299999999999</v>
      </c>
      <c r="O107" s="18">
        <f t="shared" si="9"/>
        <v>42.713000000000001</v>
      </c>
      <c r="P107" s="7"/>
      <c r="Q107" s="10"/>
      <c r="R107" s="11"/>
      <c r="S107" s="11"/>
      <c r="T107" s="26"/>
      <c r="U107" s="28">
        <f t="shared" si="14"/>
        <v>4.0719696969686173E-4</v>
      </c>
      <c r="V107" s="57">
        <f t="shared" si="11"/>
        <v>1.9633333333333287E-2</v>
      </c>
      <c r="W107" s="57">
        <f t="shared" si="12"/>
        <v>2.2386666666666694E-2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289.05</v>
      </c>
      <c r="D108" s="20">
        <v>38.622999999999998</v>
      </c>
      <c r="E108" s="20">
        <v>48.125</v>
      </c>
      <c r="F108" s="20">
        <v>47.917000000000002</v>
      </c>
      <c r="G108" s="20">
        <v>11.39</v>
      </c>
      <c r="H108" s="20">
        <f t="shared" si="13"/>
        <v>40.972499999999997</v>
      </c>
      <c r="I108" s="5"/>
      <c r="J108" s="19">
        <v>189.03659999999999</v>
      </c>
      <c r="K108" s="20">
        <v>39.648699999999998</v>
      </c>
      <c r="L108" s="20">
        <v>48.820900000000002</v>
      </c>
      <c r="M108" s="20">
        <v>48.560099999999998</v>
      </c>
      <c r="N108" s="20">
        <v>11.7437</v>
      </c>
      <c r="O108" s="20">
        <f t="shared" si="9"/>
        <v>41.909149999999997</v>
      </c>
      <c r="P108" s="7"/>
      <c r="Q108" s="13"/>
      <c r="R108" s="14"/>
      <c r="S108" s="14"/>
      <c r="T108" s="27"/>
      <c r="U108" s="28">
        <f t="shared" si="14"/>
        <v>3.1053555750658463E-2</v>
      </c>
      <c r="V108" s="57">
        <f t="shared" si="11"/>
        <v>3.6499999999999963E-2</v>
      </c>
      <c r="W108" s="57">
        <f t="shared" si="12"/>
        <v>5.4817000000000032E-2</v>
      </c>
      <c r="X108" s="56">
        <v>300</v>
      </c>
      <c r="Y108" s="56">
        <v>200</v>
      </c>
    </row>
    <row r="109" spans="2:25" x14ac:dyDescent="0.25">
      <c r="B109" s="6" t="s">
        <v>89</v>
      </c>
      <c r="C109" s="15">
        <v>1502.12</v>
      </c>
      <c r="D109" s="16">
        <v>43.262</v>
      </c>
      <c r="E109" s="16">
        <v>51.610999999999997</v>
      </c>
      <c r="F109" s="16">
        <v>51.615000000000002</v>
      </c>
      <c r="G109" s="16">
        <v>7.77</v>
      </c>
      <c r="H109" s="16">
        <f t="shared" si="13"/>
        <v>45.34975</v>
      </c>
      <c r="I109" s="5"/>
      <c r="J109" s="15">
        <v>1002.0278</v>
      </c>
      <c r="K109" s="16">
        <v>42.7881</v>
      </c>
      <c r="L109" s="16">
        <v>51.230899999999998</v>
      </c>
      <c r="M109" s="16">
        <v>51.234000000000002</v>
      </c>
      <c r="N109" s="16">
        <v>9.2653999999999996</v>
      </c>
      <c r="O109" s="16">
        <f t="shared" si="9"/>
        <v>44.899187500000004</v>
      </c>
      <c r="P109" s="7"/>
      <c r="Q109" s="8">
        <f>bdrate(C109:C112,D109:D112,J109:J112,K109:K112)</f>
        <v>-0.3611569802103417</v>
      </c>
      <c r="R109" s="8">
        <f>bdrate(C109:C112,E109:E112,J109:J112,L109:L112)</f>
        <v>-0.40769649564342658</v>
      </c>
      <c r="S109" s="8">
        <f>bdrate(C109:C112,F109:F112,J109:J112,M109:M112)</f>
        <v>-0.42962347274849166</v>
      </c>
      <c r="T109" s="25">
        <f>bdrate(C109:C112,H109:H112,J109:J112,O109:O112)</f>
        <v>-0.37194326929708932</v>
      </c>
      <c r="U109" s="28">
        <f t="shared" si="14"/>
        <v>0.19245817245817248</v>
      </c>
      <c r="V109" s="57">
        <f t="shared" si="11"/>
        <v>1.4133333333332606E-3</v>
      </c>
      <c r="W109" s="57">
        <f t="shared" si="12"/>
        <v>2.0277999999999564E-3</v>
      </c>
      <c r="X109" s="56">
        <v>1500</v>
      </c>
      <c r="Y109" s="56">
        <v>1000</v>
      </c>
    </row>
    <row r="110" spans="2:25" x14ac:dyDescent="0.25">
      <c r="B110" s="9"/>
      <c r="C110" s="17">
        <v>997.12</v>
      </c>
      <c r="D110" s="18">
        <v>41.844000000000001</v>
      </c>
      <c r="E110" s="18">
        <v>50.773000000000003</v>
      </c>
      <c r="F110" s="18">
        <v>50.780999999999999</v>
      </c>
      <c r="G110" s="18">
        <v>10.3</v>
      </c>
      <c r="H110" s="18">
        <f t="shared" si="13"/>
        <v>44.077250000000006</v>
      </c>
      <c r="I110" s="5"/>
      <c r="J110" s="17">
        <v>602.71730000000002</v>
      </c>
      <c r="K110" s="18">
        <v>41.368899999999996</v>
      </c>
      <c r="L110" s="18">
        <v>50.520699999999998</v>
      </c>
      <c r="M110" s="18">
        <v>50.602699999999999</v>
      </c>
      <c r="N110" s="18">
        <v>10.3812</v>
      </c>
      <c r="O110" s="18">
        <f t="shared" si="9"/>
        <v>43.667099999999991</v>
      </c>
      <c r="P110" s="7"/>
      <c r="Q110" s="10"/>
      <c r="R110" s="11"/>
      <c r="S110" s="11"/>
      <c r="T110" s="26"/>
      <c r="U110" s="28">
        <f t="shared" si="14"/>
        <v>7.8834951456309751E-3</v>
      </c>
      <c r="V110" s="57">
        <f t="shared" si="11"/>
        <v>2.8799999999999954E-3</v>
      </c>
      <c r="W110" s="57">
        <f t="shared" si="12"/>
        <v>4.5288333333333717E-3</v>
      </c>
      <c r="X110" s="56">
        <v>1000</v>
      </c>
      <c r="Y110" s="56">
        <v>600</v>
      </c>
    </row>
    <row r="111" spans="2:25" x14ac:dyDescent="0.25">
      <c r="B111" s="9"/>
      <c r="C111" s="17">
        <v>594.19000000000005</v>
      </c>
      <c r="D111" s="18">
        <v>39.981999999999999</v>
      </c>
      <c r="E111" s="18">
        <v>49.408000000000001</v>
      </c>
      <c r="F111" s="18">
        <v>49.350999999999999</v>
      </c>
      <c r="G111" s="18">
        <v>11.05</v>
      </c>
      <c r="H111" s="18">
        <f t="shared" si="13"/>
        <v>42.331375000000001</v>
      </c>
      <c r="I111" s="5"/>
      <c r="J111" s="17">
        <v>299.47680000000003</v>
      </c>
      <c r="K111" s="18">
        <v>39.408299999999997</v>
      </c>
      <c r="L111" s="18">
        <v>49.249600000000001</v>
      </c>
      <c r="M111" s="18">
        <v>49.303699999999999</v>
      </c>
      <c r="N111" s="18">
        <v>11.874700000000001</v>
      </c>
      <c r="O111" s="18">
        <f t="shared" si="9"/>
        <v>41.875387499999995</v>
      </c>
      <c r="P111" s="7"/>
      <c r="Q111" s="10"/>
      <c r="R111" s="11"/>
      <c r="S111" s="11"/>
      <c r="T111" s="26"/>
      <c r="U111" s="28">
        <f t="shared" si="14"/>
        <v>7.4633484162895919E-2</v>
      </c>
      <c r="V111" s="57">
        <f t="shared" si="11"/>
        <v>9.6833333333332418E-3</v>
      </c>
      <c r="W111" s="57">
        <f t="shared" si="12"/>
        <v>1.7439999999999145E-3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294.54000000000002</v>
      </c>
      <c r="D112" s="20">
        <v>37.079000000000001</v>
      </c>
      <c r="E112" s="20">
        <v>47.384</v>
      </c>
      <c r="F112" s="20">
        <v>47.503</v>
      </c>
      <c r="G112" s="20">
        <v>11.91</v>
      </c>
      <c r="H112" s="20">
        <f t="shared" si="13"/>
        <v>39.670124999999999</v>
      </c>
      <c r="I112" s="5"/>
      <c r="J112" s="19">
        <v>195.2936</v>
      </c>
      <c r="K112" s="20">
        <v>38.168599999999998</v>
      </c>
      <c r="L112" s="20">
        <v>48.041800000000002</v>
      </c>
      <c r="M112" s="20">
        <v>48.248199999999997</v>
      </c>
      <c r="N112" s="20">
        <v>12.9269</v>
      </c>
      <c r="O112" s="20">
        <f t="shared" si="9"/>
        <v>40.662700000000001</v>
      </c>
      <c r="P112" s="7"/>
      <c r="Q112" s="13"/>
      <c r="R112" s="14"/>
      <c r="S112" s="14"/>
      <c r="T112" s="27"/>
      <c r="U112" s="28">
        <f t="shared" si="14"/>
        <v>8.5382031905961345E-2</v>
      </c>
      <c r="V112" s="57">
        <f t="shared" si="11"/>
        <v>1.8199999999999932E-2</v>
      </c>
      <c r="W112" s="57">
        <f t="shared" si="12"/>
        <v>2.3532000000000011E-2</v>
      </c>
      <c r="X112" s="56">
        <v>300</v>
      </c>
      <c r="Y112" s="56">
        <v>200</v>
      </c>
    </row>
    <row r="113" spans="2:25" x14ac:dyDescent="0.25">
      <c r="B113" s="6" t="s">
        <v>90</v>
      </c>
      <c r="C113" s="15">
        <v>1514.81</v>
      </c>
      <c r="D113" s="16">
        <v>41.698</v>
      </c>
      <c r="E113" s="16">
        <v>49.396999999999998</v>
      </c>
      <c r="F113" s="16">
        <v>50.098999999999997</v>
      </c>
      <c r="G113" s="16">
        <v>7.88</v>
      </c>
      <c r="H113" s="16">
        <f t="shared" si="13"/>
        <v>43.710499999999996</v>
      </c>
      <c r="I113" s="5"/>
      <c r="J113" s="15">
        <v>1003.1856</v>
      </c>
      <c r="K113" s="16">
        <v>41.523600000000002</v>
      </c>
      <c r="L113" s="16">
        <v>49.328699999999998</v>
      </c>
      <c r="M113" s="16">
        <v>50.1616</v>
      </c>
      <c r="N113" s="16">
        <v>7.3657000000000004</v>
      </c>
      <c r="O113" s="16">
        <f t="shared" si="9"/>
        <v>43.578987500000004</v>
      </c>
      <c r="P113" s="7"/>
      <c r="Q113" s="8">
        <f>bdrate(C113:C116,D113:D116,J113:J116,K113:K116)</f>
        <v>-0.45850782201250173</v>
      </c>
      <c r="R113" s="8">
        <f>bdrate(C113:C116,E113:E116,J113:J116,L113:L116)</f>
        <v>-0.47985215579722862</v>
      </c>
      <c r="S113" s="8">
        <f>bdrate(C113:C116,F113:F116,J113:J116,M113:M116)</f>
        <v>-0.51201216221040391</v>
      </c>
      <c r="T113" s="25">
        <f>bdrate(C113:C116,H113:H116,J113:J116,O113:O116)</f>
        <v>-0.46668154281510532</v>
      </c>
      <c r="U113" s="28">
        <f t="shared" si="14"/>
        <v>-6.5266497461928877E-2</v>
      </c>
      <c r="V113" s="57">
        <f t="shared" si="11"/>
        <v>9.8733333333332965E-3</v>
      </c>
      <c r="W113" s="57">
        <f t="shared" si="12"/>
        <v>3.1856000000000224E-3</v>
      </c>
      <c r="X113" s="56">
        <v>1500</v>
      </c>
      <c r="Y113" s="56">
        <v>1000</v>
      </c>
    </row>
    <row r="114" spans="2:25" x14ac:dyDescent="0.25">
      <c r="B114" s="9"/>
      <c r="C114" s="17">
        <v>1010.32</v>
      </c>
      <c r="D114" s="18">
        <v>40.591000000000001</v>
      </c>
      <c r="E114" s="18">
        <v>48.720999999999997</v>
      </c>
      <c r="F114" s="18">
        <v>49.484000000000002</v>
      </c>
      <c r="G114" s="18">
        <v>10.55</v>
      </c>
      <c r="H114" s="18">
        <f t="shared" si="13"/>
        <v>42.718874999999997</v>
      </c>
      <c r="I114" s="5"/>
      <c r="J114" s="17">
        <v>600.4828</v>
      </c>
      <c r="K114" s="18">
        <v>40.544499999999999</v>
      </c>
      <c r="L114" s="18">
        <v>48.817900000000002</v>
      </c>
      <c r="M114" s="18">
        <v>49.682099999999998</v>
      </c>
      <c r="N114" s="18">
        <v>8.6306999999999992</v>
      </c>
      <c r="O114" s="18">
        <f t="shared" si="9"/>
        <v>42.720874999999999</v>
      </c>
      <c r="P114" s="7"/>
      <c r="Q114" s="10"/>
      <c r="R114" s="11"/>
      <c r="S114" s="11"/>
      <c r="T114" s="26"/>
      <c r="U114" s="28">
        <f t="shared" si="14"/>
        <v>-0.18192417061611388</v>
      </c>
      <c r="V114" s="57">
        <f t="shared" si="11"/>
        <v>1.032000000000005E-2</v>
      </c>
      <c r="W114" s="57">
        <f t="shared" si="12"/>
        <v>8.0466666666666241E-4</v>
      </c>
      <c r="X114" s="56">
        <v>1000</v>
      </c>
      <c r="Y114" s="56">
        <v>600</v>
      </c>
    </row>
    <row r="115" spans="2:25" x14ac:dyDescent="0.25">
      <c r="B115" s="9"/>
      <c r="C115" s="17">
        <v>606.29999999999995</v>
      </c>
      <c r="D115" s="18">
        <v>39.185000000000002</v>
      </c>
      <c r="E115" s="18">
        <v>47.621000000000002</v>
      </c>
      <c r="F115" s="18">
        <v>48.35</v>
      </c>
      <c r="G115" s="18">
        <v>11.32</v>
      </c>
      <c r="H115" s="18">
        <f t="shared" si="13"/>
        <v>41.385125000000002</v>
      </c>
      <c r="I115" s="5"/>
      <c r="J115" s="17">
        <v>287.06630000000001</v>
      </c>
      <c r="K115" s="18">
        <v>39.144100000000002</v>
      </c>
      <c r="L115" s="18">
        <v>47.581000000000003</v>
      </c>
      <c r="M115" s="18">
        <v>48.423499999999997</v>
      </c>
      <c r="N115" s="18">
        <v>10.6952</v>
      </c>
      <c r="O115" s="18">
        <f t="shared" si="9"/>
        <v>41.3586375</v>
      </c>
      <c r="P115" s="7"/>
      <c r="Q115" s="10"/>
      <c r="R115" s="11"/>
      <c r="S115" s="11"/>
      <c r="T115" s="26"/>
      <c r="U115" s="28">
        <f t="shared" si="14"/>
        <v>-5.5194346289752692E-2</v>
      </c>
      <c r="V115" s="57">
        <f t="shared" si="11"/>
        <v>1.0499999999999924E-2</v>
      </c>
      <c r="W115" s="57">
        <f t="shared" si="12"/>
        <v>4.3112333333333294E-2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302.56</v>
      </c>
      <c r="D116" s="20">
        <v>37.052</v>
      </c>
      <c r="E116" s="20">
        <v>46.16</v>
      </c>
      <c r="F116" s="20">
        <v>46.933</v>
      </c>
      <c r="G116" s="20">
        <v>12.3</v>
      </c>
      <c r="H116" s="20">
        <f t="shared" si="13"/>
        <v>39.425624999999997</v>
      </c>
      <c r="I116" s="5"/>
      <c r="J116" s="19">
        <v>186.7867</v>
      </c>
      <c r="K116" s="20">
        <v>38.149099999999997</v>
      </c>
      <c r="L116" s="20">
        <v>46.585900000000002</v>
      </c>
      <c r="M116" s="20">
        <v>47.446399999999997</v>
      </c>
      <c r="N116" s="20">
        <v>12.117800000000001</v>
      </c>
      <c r="O116" s="20">
        <f t="shared" si="9"/>
        <v>40.365862499999992</v>
      </c>
      <c r="P116" s="7"/>
      <c r="Q116" s="13"/>
      <c r="R116" s="14"/>
      <c r="S116" s="14"/>
      <c r="T116" s="27"/>
      <c r="U116" s="28">
        <f t="shared" si="14"/>
        <v>-1.4813008130081294E-2</v>
      </c>
      <c r="V116" s="57">
        <f t="shared" si="11"/>
        <v>8.5333333333333407E-3</v>
      </c>
      <c r="W116" s="57">
        <f t="shared" si="12"/>
        <v>6.6066500000000014E-2</v>
      </c>
      <c r="X116" s="56">
        <v>300</v>
      </c>
      <c r="Y116" s="56">
        <v>200</v>
      </c>
    </row>
    <row r="117" spans="2:25" x14ac:dyDescent="0.25">
      <c r="B117" s="6" t="s">
        <v>91</v>
      </c>
      <c r="C117" s="15">
        <v>1518.56</v>
      </c>
      <c r="D117" s="16">
        <v>40.366</v>
      </c>
      <c r="E117" s="16">
        <v>48.692999999999998</v>
      </c>
      <c r="F117" s="16">
        <v>47.609000000000002</v>
      </c>
      <c r="G117" s="16">
        <v>7.42</v>
      </c>
      <c r="H117" s="16">
        <f t="shared" si="13"/>
        <v>42.312249999999999</v>
      </c>
      <c r="I117" s="5"/>
      <c r="J117" s="15">
        <v>1004.0001</v>
      </c>
      <c r="K117" s="16">
        <v>40.068899999999999</v>
      </c>
      <c r="L117" s="16">
        <v>48.931800000000003</v>
      </c>
      <c r="M117" s="16">
        <v>48.2087</v>
      </c>
      <c r="N117" s="16">
        <v>7.1147</v>
      </c>
      <c r="O117" s="16">
        <f t="shared" si="9"/>
        <v>42.1942375</v>
      </c>
      <c r="P117" s="7"/>
      <c r="Q117" s="8">
        <f>bdrate(C117:C120,D117:D120,J117:J120,K117:K120)</f>
        <v>-0.42731735597461074</v>
      </c>
      <c r="R117" s="8">
        <f>bdrate(C117:C120,E117:E120,J117:J120,L117:L120)</f>
        <v>-0.48696068324230901</v>
      </c>
      <c r="S117" s="8">
        <f>bdrate(C117:C120,F117:F120,J117:J120,M117:M120)</f>
        <v>-0.56350989073843905</v>
      </c>
      <c r="T117" s="25">
        <f>bdrate(C117:C120,H117:H120,J117:J120,O117:O120)</f>
        <v>-0.44564696026224093</v>
      </c>
      <c r="U117" s="28">
        <f t="shared" si="14"/>
        <v>-4.1145552560646885E-2</v>
      </c>
      <c r="V117" s="57">
        <f t="shared" si="11"/>
        <v>1.2373333333333297E-2</v>
      </c>
      <c r="W117" s="57">
        <f t="shared" si="12"/>
        <v>4.0000999999999752E-3</v>
      </c>
      <c r="X117" s="56">
        <v>1500</v>
      </c>
      <c r="Y117" s="56">
        <v>1000</v>
      </c>
    </row>
    <row r="118" spans="2:25" x14ac:dyDescent="0.25">
      <c r="B118" s="9"/>
      <c r="C118" s="17">
        <v>1015.59</v>
      </c>
      <c r="D118" s="18">
        <v>38.866</v>
      </c>
      <c r="E118" s="18">
        <v>47.719000000000001</v>
      </c>
      <c r="F118" s="18">
        <v>46.512</v>
      </c>
      <c r="G118" s="18">
        <v>9.68</v>
      </c>
      <c r="H118" s="18">
        <f t="shared" si="13"/>
        <v>40.928375000000003</v>
      </c>
      <c r="I118" s="5"/>
      <c r="J118" s="17">
        <v>599.34079999999994</v>
      </c>
      <c r="K118" s="18">
        <v>38.6143</v>
      </c>
      <c r="L118" s="18">
        <v>48.05</v>
      </c>
      <c r="M118" s="18">
        <v>47.265099999999997</v>
      </c>
      <c r="N118" s="18">
        <v>8.3306000000000004</v>
      </c>
      <c r="O118" s="18">
        <f t="shared" si="9"/>
        <v>40.8751125</v>
      </c>
      <c r="P118" s="7"/>
      <c r="Q118" s="10"/>
      <c r="R118" s="11"/>
      <c r="S118" s="11"/>
      <c r="T118" s="26"/>
      <c r="U118" s="28">
        <f t="shared" si="14"/>
        <v>-0.13940082644628091</v>
      </c>
      <c r="V118" s="57">
        <f t="shared" si="11"/>
        <v>1.5590000000000033E-2</v>
      </c>
      <c r="W118" s="57">
        <f t="shared" si="12"/>
        <v>1.0986666666667588E-3</v>
      </c>
      <c r="X118" s="56">
        <v>1000</v>
      </c>
      <c r="Y118" s="56">
        <v>600</v>
      </c>
    </row>
    <row r="119" spans="2:25" x14ac:dyDescent="0.25">
      <c r="B119" s="9"/>
      <c r="C119" s="17">
        <v>609.49</v>
      </c>
      <c r="D119" s="18">
        <v>36.796999999999997</v>
      </c>
      <c r="E119" s="18">
        <v>46.545000000000002</v>
      </c>
      <c r="F119" s="18">
        <v>45.255000000000003</v>
      </c>
      <c r="G119" s="18">
        <v>10.32</v>
      </c>
      <c r="H119" s="18">
        <f t="shared" si="13"/>
        <v>39.072749999999999</v>
      </c>
      <c r="I119" s="5"/>
      <c r="J119" s="17">
        <v>286.95650000000001</v>
      </c>
      <c r="K119" s="18">
        <v>36.388599999999997</v>
      </c>
      <c r="L119" s="18">
        <v>46.348300000000002</v>
      </c>
      <c r="M119" s="18">
        <v>45.458500000000001</v>
      </c>
      <c r="N119" s="18">
        <v>10.212400000000001</v>
      </c>
      <c r="O119" s="18">
        <f t="shared" si="9"/>
        <v>38.767299999999999</v>
      </c>
      <c r="P119" s="7"/>
      <c r="Q119" s="10"/>
      <c r="R119" s="11"/>
      <c r="S119" s="11"/>
      <c r="T119" s="26"/>
      <c r="U119" s="28">
        <f t="shared" si="14"/>
        <v>-1.0426356589147256E-2</v>
      </c>
      <c r="V119" s="57">
        <f t="shared" si="11"/>
        <v>1.581666666666668E-2</v>
      </c>
      <c r="W119" s="57">
        <f t="shared" si="12"/>
        <v>4.3478333333333313E-2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305.61</v>
      </c>
      <c r="D120" s="20">
        <v>33.695</v>
      </c>
      <c r="E120" s="20">
        <v>44.718000000000004</v>
      </c>
      <c r="F120" s="20">
        <v>43.335000000000001</v>
      </c>
      <c r="G120" s="20">
        <v>11.21</v>
      </c>
      <c r="H120" s="20">
        <f t="shared" si="13"/>
        <v>36.277875000000002</v>
      </c>
      <c r="I120" s="5"/>
      <c r="J120" s="19">
        <v>187.33840000000001</v>
      </c>
      <c r="K120" s="20">
        <v>34.904299999999999</v>
      </c>
      <c r="L120" s="20">
        <v>45.207799999999999</v>
      </c>
      <c r="M120" s="20">
        <v>44.230699999999999</v>
      </c>
      <c r="N120" s="20">
        <v>11.4687</v>
      </c>
      <c r="O120" s="20">
        <f t="shared" si="9"/>
        <v>37.358037499999995</v>
      </c>
      <c r="P120" s="7"/>
      <c r="Q120" s="13"/>
      <c r="R120" s="14"/>
      <c r="S120" s="14"/>
      <c r="T120" s="27"/>
      <c r="U120" s="28">
        <f t="shared" si="14"/>
        <v>2.3077609277430799E-2</v>
      </c>
      <c r="V120" s="57">
        <f t="shared" si="11"/>
        <v>1.8700000000000046E-2</v>
      </c>
      <c r="W120" s="57">
        <f t="shared" si="12"/>
        <v>6.3307999999999962E-2</v>
      </c>
      <c r="X120" s="56">
        <v>300</v>
      </c>
      <c r="Y120" s="56">
        <v>200</v>
      </c>
    </row>
    <row r="121" spans="2:25" x14ac:dyDescent="0.25">
      <c r="B121" s="6" t="s">
        <v>92</v>
      </c>
      <c r="C121" s="29">
        <v>1495.66</v>
      </c>
      <c r="D121" s="30">
        <v>36.378</v>
      </c>
      <c r="E121" s="30">
        <v>45.145000000000003</v>
      </c>
      <c r="F121" s="30">
        <v>44.128</v>
      </c>
      <c r="G121" s="16">
        <v>7.09</v>
      </c>
      <c r="H121" s="16">
        <f t="shared" si="13"/>
        <v>38.442625</v>
      </c>
      <c r="I121" s="5"/>
      <c r="J121" s="29">
        <v>1007.8139</v>
      </c>
      <c r="K121" s="30">
        <v>35.9465</v>
      </c>
      <c r="L121" s="30">
        <v>46.042099999999998</v>
      </c>
      <c r="M121" s="30">
        <v>44.853900000000003</v>
      </c>
      <c r="N121" s="16">
        <v>6.9116999999999997</v>
      </c>
      <c r="O121" s="16">
        <f t="shared" si="9"/>
        <v>38.321874999999999</v>
      </c>
      <c r="P121" s="7"/>
      <c r="Q121" s="8">
        <f>bdrate(C121:C124,D121:D124,J121:J124,K121:K124)</f>
        <v>-0.3838690703600246</v>
      </c>
      <c r="R121" s="8">
        <f>bdrate(C121:C124,E121:E124,J121:J124,L121:L124)</f>
        <v>-0.51076605686272503</v>
      </c>
      <c r="S121" s="8">
        <f>bdrate(C121:C124,F121:F124,J121:J124,M121:M124)</f>
        <v>-0.4646387841617744</v>
      </c>
      <c r="T121" s="25">
        <f>bdrate(C121:C124,H121:H124,J121:J124,O121:O124)</f>
        <v>-0.40332609945750131</v>
      </c>
      <c r="U121" s="28">
        <f t="shared" si="14"/>
        <v>-2.5148095909732035E-2</v>
      </c>
      <c r="V121" s="57">
        <f t="shared" si="11"/>
        <v>2.8933333333332786E-3</v>
      </c>
      <c r="W121" s="57">
        <f t="shared" si="12"/>
        <v>7.81389999999999E-3</v>
      </c>
      <c r="X121" s="56">
        <v>1500</v>
      </c>
      <c r="Y121" s="56">
        <v>1000</v>
      </c>
    </row>
    <row r="122" spans="2:25" x14ac:dyDescent="0.25">
      <c r="B122" s="9"/>
      <c r="C122" s="31">
        <v>991.35</v>
      </c>
      <c r="D122" s="32">
        <v>35.078000000000003</v>
      </c>
      <c r="E122" s="32">
        <v>44.408999999999999</v>
      </c>
      <c r="F122" s="32">
        <v>43.457000000000001</v>
      </c>
      <c r="G122" s="18">
        <v>8.9700000000000006</v>
      </c>
      <c r="H122" s="18">
        <f t="shared" si="13"/>
        <v>37.29175</v>
      </c>
      <c r="I122" s="5"/>
      <c r="J122" s="31">
        <v>600.28139999999996</v>
      </c>
      <c r="K122" s="32">
        <v>34.687399999999997</v>
      </c>
      <c r="L122" s="32">
        <v>44.96</v>
      </c>
      <c r="M122" s="32">
        <v>43.825000000000003</v>
      </c>
      <c r="N122" s="18">
        <v>8.0467999999999993</v>
      </c>
      <c r="O122" s="18">
        <f t="shared" si="9"/>
        <v>37.113675000000001</v>
      </c>
      <c r="P122" s="7"/>
      <c r="Q122" s="10"/>
      <c r="R122" s="11"/>
      <c r="S122" s="11"/>
      <c r="T122" s="26"/>
      <c r="U122" s="28">
        <f t="shared" si="14"/>
        <v>-0.1029208472686735</v>
      </c>
      <c r="V122" s="57">
        <f t="shared" si="11"/>
        <v>8.6499999999999772E-3</v>
      </c>
      <c r="W122" s="57">
        <f t="shared" si="12"/>
        <v>4.6899999999993724E-4</v>
      </c>
      <c r="X122" s="56">
        <v>1000</v>
      </c>
      <c r="Y122" s="56">
        <v>600</v>
      </c>
    </row>
    <row r="123" spans="2:25" x14ac:dyDescent="0.25">
      <c r="B123" s="9"/>
      <c r="C123" s="31">
        <v>589</v>
      </c>
      <c r="D123" s="32">
        <v>33.216000000000001</v>
      </c>
      <c r="E123" s="32">
        <v>43.305</v>
      </c>
      <c r="F123" s="32">
        <v>42.433999999999997</v>
      </c>
      <c r="G123" s="18">
        <v>9.65</v>
      </c>
      <c r="H123" s="18">
        <f t="shared" si="13"/>
        <v>35.629374999999996</v>
      </c>
      <c r="I123" s="5"/>
      <c r="J123" s="31">
        <v>286.76330000000002</v>
      </c>
      <c r="K123" s="32">
        <v>32.639000000000003</v>
      </c>
      <c r="L123" s="32">
        <v>43.230400000000003</v>
      </c>
      <c r="M123" s="32">
        <v>42.154299999999999</v>
      </c>
      <c r="N123" s="18">
        <v>9.9408999999999992</v>
      </c>
      <c r="O123" s="18">
        <f t="shared" si="9"/>
        <v>35.152337500000002</v>
      </c>
      <c r="P123" s="7"/>
      <c r="Q123" s="10"/>
      <c r="R123" s="11"/>
      <c r="S123" s="11"/>
      <c r="T123" s="26"/>
      <c r="U123" s="28">
        <f t="shared" si="14"/>
        <v>3.0145077720207133E-2</v>
      </c>
      <c r="V123" s="57">
        <f t="shared" si="11"/>
        <v>1.8333333333333333E-2</v>
      </c>
      <c r="W123" s="57">
        <f t="shared" si="12"/>
        <v>4.4122333333333284E-2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290.07</v>
      </c>
      <c r="D124" s="34">
        <v>30.053000000000001</v>
      </c>
      <c r="E124" s="34">
        <v>41.603999999999999</v>
      </c>
      <c r="F124" s="34">
        <v>40.844000000000001</v>
      </c>
      <c r="G124" s="20">
        <v>10.57</v>
      </c>
      <c r="H124" s="20">
        <f t="shared" si="13"/>
        <v>32.845750000000002</v>
      </c>
      <c r="I124" s="5"/>
      <c r="J124" s="33">
        <v>186.17359999999999</v>
      </c>
      <c r="K124" s="34">
        <v>31.200500000000002</v>
      </c>
      <c r="L124" s="34">
        <v>42.152299999999997</v>
      </c>
      <c r="M124" s="34">
        <v>41.104999999999997</v>
      </c>
      <c r="N124" s="20">
        <v>11.5144</v>
      </c>
      <c r="O124" s="20">
        <f t="shared" si="9"/>
        <v>33.807537500000002</v>
      </c>
      <c r="P124" s="7"/>
      <c r="Q124" s="13"/>
      <c r="R124" s="14"/>
      <c r="S124" s="14"/>
      <c r="T124" s="27"/>
      <c r="U124" s="28">
        <f t="shared" si="14"/>
        <v>8.9347209082308407E-2</v>
      </c>
      <c r="V124" s="57">
        <f t="shared" si="11"/>
        <v>3.3100000000000025E-2</v>
      </c>
      <c r="W124" s="57">
        <f t="shared" si="12"/>
        <v>6.9132000000000027E-2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5">AVERAGE(Q9:Q124)</f>
        <v>-0.42392506963747556</v>
      </c>
      <c r="R125" s="21">
        <f t="shared" si="15"/>
        <v>-0.49422776315028494</v>
      </c>
      <c r="S125" s="21">
        <f t="shared" si="15"/>
        <v>-0.51224446513754973</v>
      </c>
      <c r="T125" s="21">
        <f t="shared" si="15"/>
        <v>-0.43931207366825409</v>
      </c>
      <c r="U125" s="21">
        <f t="shared" si="15"/>
        <v>-4.1401452070270496E-2</v>
      </c>
      <c r="V125" s="57">
        <f t="shared" si="15"/>
        <v>2.8295330103248615E-2</v>
      </c>
      <c r="W125" s="57">
        <f t="shared" si="15"/>
        <v>2.1078727586206894E-2</v>
      </c>
      <c r="X125" s="57"/>
      <c r="Y125" s="56"/>
    </row>
    <row r="127" spans="2:25" s="35" customFormat="1" ht="15.75" customHeight="1" x14ac:dyDescent="0.25">
      <c r="B127" s="74" t="s">
        <v>29</v>
      </c>
      <c r="C127" s="68" t="s">
        <v>115</v>
      </c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70"/>
    </row>
    <row r="128" spans="2:25" s="35" customFormat="1" x14ac:dyDescent="0.25">
      <c r="B128" s="75"/>
      <c r="C128" s="71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3"/>
    </row>
    <row r="129" spans="1:25" ht="16.5" customHeight="1" thickBot="1" x14ac:dyDescent="0.3">
      <c r="C129" s="76" t="s">
        <v>126</v>
      </c>
      <c r="D129" s="77"/>
      <c r="E129" s="77"/>
      <c r="F129" s="77"/>
      <c r="G129" s="77"/>
      <c r="H129" s="77"/>
      <c r="I129" s="5"/>
      <c r="J129" s="76" t="s">
        <v>110</v>
      </c>
      <c r="K129" s="77"/>
      <c r="L129" s="77"/>
      <c r="M129" s="77"/>
      <c r="N129" s="77"/>
      <c r="O129" s="77"/>
      <c r="Q129" s="76" t="s">
        <v>7</v>
      </c>
      <c r="R129" s="77"/>
      <c r="S129" s="78"/>
      <c r="T129" s="36"/>
      <c r="U129" s="79" t="s">
        <v>45</v>
      </c>
      <c r="V129" s="67" t="s">
        <v>96</v>
      </c>
      <c r="W129" s="67"/>
      <c r="X129" s="67"/>
      <c r="Y129" s="67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9"/>
      <c r="V130" s="55" t="s">
        <v>101</v>
      </c>
      <c r="W130" s="55" t="s">
        <v>97</v>
      </c>
      <c r="X130" s="56" t="s">
        <v>102</v>
      </c>
      <c r="Y130" s="56" t="s">
        <v>98</v>
      </c>
    </row>
    <row r="131" spans="1:25" x14ac:dyDescent="0.25">
      <c r="A131" s="6" t="s">
        <v>35</v>
      </c>
      <c r="B131" s="6" t="s">
        <v>46</v>
      </c>
      <c r="C131" s="15">
        <v>5916.16</v>
      </c>
      <c r="D131" s="16">
        <v>36.311999999999998</v>
      </c>
      <c r="E131" s="16">
        <v>37.972999999999999</v>
      </c>
      <c r="F131" s="16">
        <v>40.131</v>
      </c>
      <c r="G131" s="16">
        <v>9.56</v>
      </c>
      <c r="H131" s="16">
        <f t="shared" ref="H131:H202" si="16">(6*D131+E131+F131)/8</f>
        <v>36.997</v>
      </c>
      <c r="I131" s="5"/>
      <c r="J131" s="15">
        <v>3992.8368</v>
      </c>
      <c r="K131" s="16">
        <v>37.388599999999997</v>
      </c>
      <c r="L131" s="16">
        <v>39.328600000000002</v>
      </c>
      <c r="M131" s="16">
        <v>41.783299999999997</v>
      </c>
      <c r="N131" s="16">
        <v>6.2518000000000002</v>
      </c>
      <c r="O131" s="16">
        <f t="shared" ref="O131:O202" si="17">(6*K131+L131+M131)/8</f>
        <v>38.180437499999996</v>
      </c>
      <c r="P131" s="7"/>
      <c r="Q131" s="8">
        <f>bdrate(C131:C134,D131:D134,J131:J134,K131:K134)</f>
        <v>-0.51032758781420706</v>
      </c>
      <c r="R131" s="8">
        <f>bdrate(C131:C134,E131:E134,J131:J134,L131:L134)</f>
        <v>-0.66375918857677996</v>
      </c>
      <c r="S131" s="8">
        <f>bdrate(C131:C134,F131:F134,J131:J134,M131:M134)</f>
        <v>-0.67336702401717052</v>
      </c>
      <c r="T131" s="25">
        <f>bdrate(C131:C134,H131:H134,J131:J134,O131:O134)</f>
        <v>-0.53392619966968391</v>
      </c>
      <c r="U131" s="28">
        <f t="shared" ref="U131:U194" si="18">(N131-G131)/G131</f>
        <v>-0.34604602510460253</v>
      </c>
      <c r="V131" s="57">
        <f>ABS(C131-X131)/X131</f>
        <v>1.3973333333333358E-2</v>
      </c>
      <c r="W131" s="57">
        <f t="shared" ref="W131:W194" si="19">ABS(J131-Y131)/Y131</f>
        <v>1.7907999999999902E-3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4364.6000000000004</v>
      </c>
      <c r="D132" s="18">
        <v>35.295999999999999</v>
      </c>
      <c r="E132" s="18">
        <v>37.643000000000001</v>
      </c>
      <c r="F132" s="18">
        <v>39.823999999999998</v>
      </c>
      <c r="G132" s="18">
        <v>10.119999999999999</v>
      </c>
      <c r="H132" s="18">
        <f t="shared" si="16"/>
        <v>36.155374999999999</v>
      </c>
      <c r="I132" s="5"/>
      <c r="J132" s="17">
        <v>2951.1471999999999</v>
      </c>
      <c r="K132" s="18">
        <v>36.371899999999997</v>
      </c>
      <c r="L132" s="18">
        <v>38.7468</v>
      </c>
      <c r="M132" s="18">
        <v>41.087000000000003</v>
      </c>
      <c r="N132" s="18">
        <v>6.8674999999999997</v>
      </c>
      <c r="O132" s="18">
        <f t="shared" si="17"/>
        <v>37.258149999999993</v>
      </c>
      <c r="P132" s="7"/>
      <c r="Q132" s="10"/>
      <c r="R132" s="11"/>
      <c r="S132" s="11"/>
      <c r="T132" s="26"/>
      <c r="U132" s="28">
        <f t="shared" si="18"/>
        <v>-0.32139328063241102</v>
      </c>
      <c r="V132" s="57">
        <f t="shared" ref="V132:V195" si="20">ABS(C132-X132)/X132</f>
        <v>3.0088888888888807E-2</v>
      </c>
      <c r="W132" s="57">
        <f t="shared" si="19"/>
        <v>1.6284266666666707E-2</v>
      </c>
      <c r="X132" s="56">
        <v>4500</v>
      </c>
      <c r="Y132" s="56">
        <v>3000</v>
      </c>
    </row>
    <row r="133" spans="1:25" x14ac:dyDescent="0.25">
      <c r="B133" s="9"/>
      <c r="C133" s="17">
        <v>2859.94</v>
      </c>
      <c r="D133" s="18">
        <v>33.442</v>
      </c>
      <c r="E133" s="18">
        <v>36.832999999999998</v>
      </c>
      <c r="F133" s="18">
        <v>38.978999999999999</v>
      </c>
      <c r="G133" s="18">
        <v>10.67</v>
      </c>
      <c r="H133" s="18">
        <f t="shared" si="16"/>
        <v>34.558</v>
      </c>
      <c r="I133" s="5"/>
      <c r="J133" s="17">
        <v>1909.7184</v>
      </c>
      <c r="K133" s="18">
        <v>34.719299999999997</v>
      </c>
      <c r="L133" s="18">
        <v>38.056899999999999</v>
      </c>
      <c r="M133" s="18">
        <v>40.334000000000003</v>
      </c>
      <c r="N133" s="18">
        <v>7.6788999999999996</v>
      </c>
      <c r="O133" s="18">
        <f t="shared" si="17"/>
        <v>35.838337499999994</v>
      </c>
      <c r="P133" s="7"/>
      <c r="Q133" s="10"/>
      <c r="R133" s="11"/>
      <c r="S133" s="11"/>
      <c r="T133" s="26"/>
      <c r="U133" s="28">
        <f t="shared" si="18"/>
        <v>-0.28032802249297095</v>
      </c>
      <c r="V133" s="57">
        <f t="shared" si="20"/>
        <v>4.6686666666666647E-2</v>
      </c>
      <c r="W133" s="57">
        <f t="shared" si="19"/>
        <v>4.5140800000000016E-2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1394.31</v>
      </c>
      <c r="D134" s="20">
        <v>29.989000000000001</v>
      </c>
      <c r="E134" s="20">
        <v>35.79</v>
      </c>
      <c r="F134" s="20">
        <v>37.817</v>
      </c>
      <c r="G134" s="20">
        <v>11.04</v>
      </c>
      <c r="H134" s="20">
        <f t="shared" si="16"/>
        <v>31.692625</v>
      </c>
      <c r="I134" s="5"/>
      <c r="J134" s="19">
        <v>938.40480000000002</v>
      </c>
      <c r="K134" s="20">
        <v>31.831199999999999</v>
      </c>
      <c r="L134" s="20">
        <v>36.794199999999996</v>
      </c>
      <c r="M134" s="20">
        <v>38.984000000000002</v>
      </c>
      <c r="N134" s="20">
        <v>8.9387000000000008</v>
      </c>
      <c r="O134" s="20">
        <f t="shared" si="17"/>
        <v>33.345675</v>
      </c>
      <c r="P134" s="7"/>
      <c r="Q134" s="13"/>
      <c r="R134" s="14"/>
      <c r="S134" s="14"/>
      <c r="T134" s="27"/>
      <c r="U134" s="28">
        <f t="shared" si="18"/>
        <v>-0.19033514492753609</v>
      </c>
      <c r="V134" s="57">
        <f t="shared" si="20"/>
        <v>7.0460000000000036E-2</v>
      </c>
      <c r="W134" s="57">
        <f t="shared" si="19"/>
        <v>6.1595199999999975E-2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6177.16</v>
      </c>
      <c r="D135" s="16">
        <v>29.253</v>
      </c>
      <c r="E135" s="16">
        <v>38.972000000000001</v>
      </c>
      <c r="F135" s="16">
        <v>39.720999999999997</v>
      </c>
      <c r="G135" s="16">
        <v>7.85</v>
      </c>
      <c r="H135" s="16">
        <f t="shared" si="16"/>
        <v>31.776375000000002</v>
      </c>
      <c r="I135" s="5"/>
      <c r="J135" s="15">
        <v>4057.2703999999999</v>
      </c>
      <c r="K135" s="16">
        <v>28.802199999999999</v>
      </c>
      <c r="L135" s="16">
        <v>39.041699999999999</v>
      </c>
      <c r="M135" s="16">
        <v>40.029299999999999</v>
      </c>
      <c r="N135" s="16">
        <v>4.9259000000000004</v>
      </c>
      <c r="O135" s="16">
        <f t="shared" si="17"/>
        <v>31.485524999999999</v>
      </c>
      <c r="P135" s="7"/>
      <c r="Q135" s="8">
        <f>bdrate(C135:C138,D135:D138,J135:J138,K135:K138)</f>
        <v>-0.31410602938931043</v>
      </c>
      <c r="R135" s="8">
        <f>bdrate(C135:C138,E135:E138,J135:J138,L135:L138)</f>
        <v>-0.320832790053595</v>
      </c>
      <c r="S135" s="8">
        <f>bdrate(C135:C138,F135:F138,J135:J138,M135:M138)</f>
        <v>-0.47001030304845071</v>
      </c>
      <c r="T135" s="25">
        <f>bdrate(C135:C138,H135:H138,J135:J138,O135:O138)</f>
        <v>-0.32650873351263054</v>
      </c>
      <c r="U135" s="28">
        <f t="shared" si="18"/>
        <v>-0.37249681528662415</v>
      </c>
      <c r="V135" s="57">
        <f t="shared" si="20"/>
        <v>2.9526666666666642E-2</v>
      </c>
      <c r="W135" s="57">
        <f t="shared" si="19"/>
        <v>1.431759999999997E-2</v>
      </c>
      <c r="X135" s="56">
        <v>6000</v>
      </c>
      <c r="Y135" s="56">
        <v>4000</v>
      </c>
    </row>
    <row r="136" spans="1:25" x14ac:dyDescent="0.25">
      <c r="B136" s="9"/>
      <c r="C136" s="17">
        <v>4593.05</v>
      </c>
      <c r="D136" s="18">
        <v>27.815000000000001</v>
      </c>
      <c r="E136" s="18">
        <v>38.51</v>
      </c>
      <c r="F136" s="18">
        <v>39.183</v>
      </c>
      <c r="G136" s="18">
        <v>8.17</v>
      </c>
      <c r="H136" s="18">
        <f t="shared" si="16"/>
        <v>30.572875</v>
      </c>
      <c r="I136" s="5"/>
      <c r="J136" s="17">
        <v>3042.7440000000001</v>
      </c>
      <c r="K136" s="18">
        <v>27.462</v>
      </c>
      <c r="L136" s="18">
        <v>38.576500000000003</v>
      </c>
      <c r="M136" s="18">
        <v>39.609400000000001</v>
      </c>
      <c r="N136" s="18">
        <v>5.6532999999999998</v>
      </c>
      <c r="O136" s="18">
        <f t="shared" si="17"/>
        <v>30.369737499999999</v>
      </c>
      <c r="P136" s="7"/>
      <c r="Q136" s="10"/>
      <c r="R136" s="11"/>
      <c r="S136" s="11"/>
      <c r="T136" s="26"/>
      <c r="U136" s="28">
        <f t="shared" si="18"/>
        <v>-0.30804161566707466</v>
      </c>
      <c r="V136" s="57">
        <f t="shared" si="20"/>
        <v>2.0677777777777819E-2</v>
      </c>
      <c r="W136" s="57">
        <f t="shared" si="19"/>
        <v>1.4248000000000047E-2</v>
      </c>
      <c r="X136" s="56">
        <v>4500</v>
      </c>
      <c r="Y136" s="56">
        <v>3000</v>
      </c>
    </row>
    <row r="137" spans="1:25" x14ac:dyDescent="0.25">
      <c r="B137" s="9"/>
      <c r="C137" s="17">
        <v>3044.73</v>
      </c>
      <c r="D137" s="18">
        <v>25.891999999999999</v>
      </c>
      <c r="E137" s="18">
        <v>37.738</v>
      </c>
      <c r="F137" s="18">
        <v>38.411000000000001</v>
      </c>
      <c r="G137" s="18">
        <v>8.2200000000000006</v>
      </c>
      <c r="H137" s="18">
        <f t="shared" si="16"/>
        <v>28.937625000000001</v>
      </c>
      <c r="I137" s="5"/>
      <c r="J137" s="17">
        <v>2017.472</v>
      </c>
      <c r="K137" s="18">
        <v>25.7072</v>
      </c>
      <c r="L137" s="18">
        <v>37.746600000000001</v>
      </c>
      <c r="M137" s="18">
        <v>38.9191</v>
      </c>
      <c r="N137" s="18">
        <v>6.4896000000000003</v>
      </c>
      <c r="O137" s="18">
        <f t="shared" si="17"/>
        <v>28.863612500000002</v>
      </c>
      <c r="P137" s="7"/>
      <c r="Q137" s="10"/>
      <c r="R137" s="11"/>
      <c r="S137" s="11"/>
      <c r="T137" s="26"/>
      <c r="U137" s="28">
        <f t="shared" si="18"/>
        <v>-0.21051094890510952</v>
      </c>
      <c r="V137" s="57">
        <f t="shared" si="20"/>
        <v>1.4910000000000007E-2</v>
      </c>
      <c r="W137" s="57">
        <f t="shared" si="19"/>
        <v>8.7359999999999903E-3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1553.39</v>
      </c>
      <c r="D138" s="20">
        <v>22.488</v>
      </c>
      <c r="E138" s="20">
        <v>36.267000000000003</v>
      </c>
      <c r="F138" s="20">
        <v>37.085000000000001</v>
      </c>
      <c r="G138" s="20">
        <v>8.25</v>
      </c>
      <c r="H138" s="20">
        <f t="shared" si="16"/>
        <v>26.035</v>
      </c>
      <c r="I138" s="5"/>
      <c r="J138" s="19">
        <v>1206.2608</v>
      </c>
      <c r="K138" s="20">
        <v>23.863399999999999</v>
      </c>
      <c r="L138" s="20">
        <v>36.231999999999999</v>
      </c>
      <c r="M138" s="20">
        <v>37.594799999999999</v>
      </c>
      <c r="N138" s="20">
        <v>7.2713000000000001</v>
      </c>
      <c r="O138" s="20">
        <f t="shared" si="17"/>
        <v>27.125899999999998</v>
      </c>
      <c r="P138" s="7"/>
      <c r="Q138" s="13"/>
      <c r="R138" s="14"/>
      <c r="S138" s="14"/>
      <c r="T138" s="27"/>
      <c r="U138" s="28">
        <f t="shared" si="18"/>
        <v>-0.11863030303030302</v>
      </c>
      <c r="V138" s="57">
        <f t="shared" si="20"/>
        <v>3.55933333333334E-2</v>
      </c>
      <c r="W138" s="57">
        <f t="shared" si="19"/>
        <v>0.20626080000000002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3255.37</v>
      </c>
      <c r="D139" s="16">
        <v>38.244999999999997</v>
      </c>
      <c r="E139" s="16">
        <v>41.398000000000003</v>
      </c>
      <c r="F139" s="16">
        <v>42.356000000000002</v>
      </c>
      <c r="G139" s="16">
        <v>14.66</v>
      </c>
      <c r="H139" s="16">
        <f t="shared" si="16"/>
        <v>39.152999999999999</v>
      </c>
      <c r="I139" s="5"/>
      <c r="J139" s="15">
        <v>2371.4504000000002</v>
      </c>
      <c r="K139" s="16">
        <v>38.795000000000002</v>
      </c>
      <c r="L139" s="16">
        <v>41.792099999999998</v>
      </c>
      <c r="M139" s="16">
        <v>43.135199999999998</v>
      </c>
      <c r="N139" s="16">
        <v>11.815099999999999</v>
      </c>
      <c r="O139" s="16">
        <f t="shared" si="17"/>
        <v>39.712162499999998</v>
      </c>
      <c r="P139" s="7"/>
      <c r="Q139" s="8">
        <f>bdrate(C139:C142,D139:D142,J139:J142,K139:K142)</f>
        <v>-0.42847084042913741</v>
      </c>
      <c r="R139" s="8">
        <f>bdrate(C139:C142,E139:E142,J139:J142,L139:L142)</f>
        <v>-0.40079553491126085</v>
      </c>
      <c r="S139" s="8">
        <f>bdrate(C139:C142,F139:F142,J139:J142,M139:M142)</f>
        <v>-0.50276819535840034</v>
      </c>
      <c r="T139" s="25">
        <f>bdrate(C139:C142,H139:H142,J139:J142,O139:O142)</f>
        <v>-0.43247010915951767</v>
      </c>
      <c r="U139" s="28">
        <f t="shared" si="18"/>
        <v>-0.19405866302864944</v>
      </c>
      <c r="V139" s="57">
        <f t="shared" si="20"/>
        <v>9.5730555555555583E-2</v>
      </c>
      <c r="W139" s="57">
        <f t="shared" si="19"/>
        <v>1.1895666666666594E-2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2129.39</v>
      </c>
      <c r="D140" s="18">
        <v>36.755000000000003</v>
      </c>
      <c r="E140" s="18">
        <v>40.795999999999999</v>
      </c>
      <c r="F140" s="18">
        <v>41.707000000000001</v>
      </c>
      <c r="G140" s="18">
        <v>15.14</v>
      </c>
      <c r="H140" s="18">
        <f t="shared" si="16"/>
        <v>37.879125000000002</v>
      </c>
      <c r="I140" s="5"/>
      <c r="J140" s="17">
        <v>1563.6032</v>
      </c>
      <c r="K140" s="18">
        <v>37.508800000000001</v>
      </c>
      <c r="L140" s="18">
        <v>41.136200000000002</v>
      </c>
      <c r="M140" s="18">
        <v>42.354700000000001</v>
      </c>
      <c r="N140" s="18">
        <v>13.102600000000001</v>
      </c>
      <c r="O140" s="18">
        <f t="shared" si="17"/>
        <v>38.567962499999993</v>
      </c>
      <c r="P140" s="7"/>
      <c r="Q140" s="10"/>
      <c r="R140" s="11"/>
      <c r="S140" s="11"/>
      <c r="T140" s="26"/>
      <c r="U140" s="28">
        <f t="shared" si="18"/>
        <v>-0.13457067371202111</v>
      </c>
      <c r="V140" s="57">
        <f t="shared" si="20"/>
        <v>0.11275416666666672</v>
      </c>
      <c r="W140" s="57">
        <f t="shared" si="19"/>
        <v>2.274799999999999E-2</v>
      </c>
      <c r="X140" s="56">
        <v>2400</v>
      </c>
      <c r="Y140" s="56">
        <v>1600</v>
      </c>
    </row>
    <row r="141" spans="1:25" x14ac:dyDescent="0.25">
      <c r="B141" s="9"/>
      <c r="C141" s="17">
        <v>1312.68</v>
      </c>
      <c r="D141" s="18">
        <v>34.92</v>
      </c>
      <c r="E141" s="18">
        <v>40.048999999999999</v>
      </c>
      <c r="F141" s="18">
        <v>40.892000000000003</v>
      </c>
      <c r="G141" s="18">
        <v>15.26</v>
      </c>
      <c r="H141" s="18">
        <f t="shared" si="16"/>
        <v>36.307625000000002</v>
      </c>
      <c r="I141" s="5"/>
      <c r="J141" s="17">
        <v>964.09519999999998</v>
      </c>
      <c r="K141" s="18">
        <v>35.905700000000003</v>
      </c>
      <c r="L141" s="18">
        <v>40.335799999999999</v>
      </c>
      <c r="M141" s="18">
        <v>41.506500000000003</v>
      </c>
      <c r="N141" s="18">
        <v>14.020300000000001</v>
      </c>
      <c r="O141" s="18">
        <f t="shared" si="17"/>
        <v>37.159562500000007</v>
      </c>
      <c r="P141" s="7"/>
      <c r="Q141" s="10"/>
      <c r="R141" s="11"/>
      <c r="S141" s="11"/>
      <c r="T141" s="26"/>
      <c r="U141" s="28">
        <f t="shared" si="18"/>
        <v>-8.1238532110091688E-2</v>
      </c>
      <c r="V141" s="57">
        <f t="shared" si="20"/>
        <v>0.12487999999999996</v>
      </c>
      <c r="W141" s="57">
        <f t="shared" si="19"/>
        <v>3.5904800000000021E-2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774.87</v>
      </c>
      <c r="D142" s="20">
        <v>32.71</v>
      </c>
      <c r="E142" s="20">
        <v>39.209000000000003</v>
      </c>
      <c r="F142" s="20">
        <v>40.161999999999999</v>
      </c>
      <c r="G142" s="20">
        <v>15.33</v>
      </c>
      <c r="H142" s="20">
        <f t="shared" si="16"/>
        <v>34.453874999999996</v>
      </c>
      <c r="I142" s="5"/>
      <c r="J142" s="19">
        <v>562.42639999999994</v>
      </c>
      <c r="K142" s="20">
        <v>34.033999999999999</v>
      </c>
      <c r="L142" s="20">
        <v>39.520499999999998</v>
      </c>
      <c r="M142" s="20">
        <v>40.7408</v>
      </c>
      <c r="N142" s="20">
        <v>15.539</v>
      </c>
      <c r="O142" s="20">
        <f t="shared" si="17"/>
        <v>35.558162500000002</v>
      </c>
      <c r="P142" s="7"/>
      <c r="Q142" s="13"/>
      <c r="R142" s="14"/>
      <c r="S142" s="14"/>
      <c r="T142" s="27"/>
      <c r="U142" s="28">
        <f t="shared" si="18"/>
        <v>1.363339856490539E-2</v>
      </c>
      <c r="V142" s="57">
        <f t="shared" si="20"/>
        <v>0.13903333333333334</v>
      </c>
      <c r="W142" s="57">
        <f t="shared" si="19"/>
        <v>6.2622666666666757E-2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3517.92</v>
      </c>
      <c r="D143" s="16">
        <v>35.231999999999999</v>
      </c>
      <c r="E143" s="16">
        <v>38.515999999999998</v>
      </c>
      <c r="F143" s="16">
        <v>39.713999999999999</v>
      </c>
      <c r="G143" s="16">
        <v>16.25</v>
      </c>
      <c r="H143" s="16">
        <f t="shared" si="16"/>
        <v>36.202749999999995</v>
      </c>
      <c r="I143" s="5"/>
      <c r="J143" s="15">
        <v>2440.8496</v>
      </c>
      <c r="K143" s="16">
        <v>35.603099999999998</v>
      </c>
      <c r="L143" s="16">
        <v>39.7089</v>
      </c>
      <c r="M143" s="16">
        <v>40.929900000000004</v>
      </c>
      <c r="N143" s="16">
        <v>11.3352</v>
      </c>
      <c r="O143" s="16">
        <f t="shared" si="17"/>
        <v>36.782174999999995</v>
      </c>
      <c r="P143" s="7"/>
      <c r="Q143" s="8">
        <f>bdrate(C143:C146,D143:D146,J143:J146,K143:K146)</f>
        <v>-0.41874217731718189</v>
      </c>
      <c r="R143" s="8">
        <f>bdrate(C143:C146,E143:E146,J143:J146,L143:L146)</f>
        <v>-0.58063588304328717</v>
      </c>
      <c r="S143" s="8">
        <f>bdrate(C143:C146,F143:F146,J143:J146,M143:M146)</f>
        <v>-0.59284286165575661</v>
      </c>
      <c r="T143" s="25">
        <f>bdrate(C143:C146,H143:H146,J143:J146,O143:O146)</f>
        <v>-0.44656267249738912</v>
      </c>
      <c r="U143" s="28">
        <f t="shared" si="18"/>
        <v>-0.30244923076923075</v>
      </c>
      <c r="V143" s="57">
        <f t="shared" si="20"/>
        <v>2.279999999999998E-2</v>
      </c>
      <c r="W143" s="57">
        <f t="shared" si="19"/>
        <v>1.702066666666667E-2</v>
      </c>
      <c r="X143" s="56">
        <v>3600</v>
      </c>
      <c r="Y143" s="56">
        <v>2400</v>
      </c>
    </row>
    <row r="144" spans="1:25" x14ac:dyDescent="0.25">
      <c r="B144" s="9"/>
      <c r="C144" s="17">
        <v>2326.9499999999998</v>
      </c>
      <c r="D144" s="18">
        <v>33.829000000000001</v>
      </c>
      <c r="E144" s="18">
        <v>37.969000000000001</v>
      </c>
      <c r="F144" s="18">
        <v>39.311999999999998</v>
      </c>
      <c r="G144" s="18">
        <v>17.02</v>
      </c>
      <c r="H144" s="18">
        <f t="shared" si="16"/>
        <v>35.031874999999999</v>
      </c>
      <c r="I144" s="5"/>
      <c r="J144" s="17">
        <v>1648.9712</v>
      </c>
      <c r="K144" s="18">
        <v>34.339300000000001</v>
      </c>
      <c r="L144" s="18">
        <v>38.991799999999998</v>
      </c>
      <c r="M144" s="18">
        <v>40.241999999999997</v>
      </c>
      <c r="N144" s="18">
        <v>12.7517</v>
      </c>
      <c r="O144" s="18">
        <f t="shared" si="17"/>
        <v>35.658700000000003</v>
      </c>
      <c r="P144" s="7"/>
      <c r="Q144" s="10"/>
      <c r="R144" s="11"/>
      <c r="S144" s="11"/>
      <c r="T144" s="26"/>
      <c r="U144" s="28">
        <f t="shared" si="18"/>
        <v>-0.25078143360752059</v>
      </c>
      <c r="V144" s="57">
        <f t="shared" si="20"/>
        <v>3.0437500000000076E-2</v>
      </c>
      <c r="W144" s="57">
        <f t="shared" si="19"/>
        <v>3.0606999999999971E-2</v>
      </c>
      <c r="X144" s="56">
        <v>2400</v>
      </c>
      <c r="Y144" s="56">
        <v>1600</v>
      </c>
    </row>
    <row r="145" spans="1:25" x14ac:dyDescent="0.25">
      <c r="B145" s="9"/>
      <c r="C145" s="17">
        <v>1450.24</v>
      </c>
      <c r="D145" s="18">
        <v>32.104999999999997</v>
      </c>
      <c r="E145" s="18">
        <v>37.305999999999997</v>
      </c>
      <c r="F145" s="18">
        <v>38.752000000000002</v>
      </c>
      <c r="G145" s="18">
        <v>16.920000000000002</v>
      </c>
      <c r="H145" s="18">
        <f t="shared" si="16"/>
        <v>33.585999999999999</v>
      </c>
      <c r="I145" s="5"/>
      <c r="J145" s="17">
        <v>1023.66</v>
      </c>
      <c r="K145" s="18">
        <v>32.848399999999998</v>
      </c>
      <c r="L145" s="18">
        <v>38.068600000000004</v>
      </c>
      <c r="M145" s="18">
        <v>39.412399999999998</v>
      </c>
      <c r="N145" s="18">
        <v>14.022</v>
      </c>
      <c r="O145" s="18">
        <f t="shared" si="17"/>
        <v>34.321424999999998</v>
      </c>
      <c r="P145" s="7"/>
      <c r="Q145" s="10"/>
      <c r="R145" s="11"/>
      <c r="S145" s="11"/>
      <c r="T145" s="26"/>
      <c r="U145" s="28">
        <f t="shared" si="18"/>
        <v>-0.17127659574468093</v>
      </c>
      <c r="V145" s="57">
        <f t="shared" si="20"/>
        <v>3.3173333333333326E-2</v>
      </c>
      <c r="W145" s="57">
        <f t="shared" si="19"/>
        <v>2.3659999999999969E-2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864.29</v>
      </c>
      <c r="D146" s="20">
        <v>30.303000000000001</v>
      </c>
      <c r="E146" s="20">
        <v>36.670999999999999</v>
      </c>
      <c r="F146" s="20">
        <v>38.182000000000002</v>
      </c>
      <c r="G146" s="20">
        <v>16.86</v>
      </c>
      <c r="H146" s="20">
        <f t="shared" si="16"/>
        <v>32.083874999999999</v>
      </c>
      <c r="I146" s="5"/>
      <c r="J146" s="19">
        <v>588.2912</v>
      </c>
      <c r="K146" s="20">
        <v>31.177399999999999</v>
      </c>
      <c r="L146" s="20">
        <v>37.141800000000003</v>
      </c>
      <c r="M146" s="20">
        <v>38.690899999999999</v>
      </c>
      <c r="N146" s="20">
        <v>15.971299999999999</v>
      </c>
      <c r="O146" s="20">
        <f t="shared" si="17"/>
        <v>32.862137499999996</v>
      </c>
      <c r="P146" s="7"/>
      <c r="Q146" s="13"/>
      <c r="R146" s="14"/>
      <c r="S146" s="14"/>
      <c r="T146" s="27"/>
      <c r="U146" s="28">
        <f t="shared" si="18"/>
        <v>-5.2710557532621591E-2</v>
      </c>
      <c r="V146" s="57">
        <f t="shared" si="20"/>
        <v>3.9677777777777819E-2</v>
      </c>
      <c r="W146" s="57">
        <f t="shared" si="19"/>
        <v>1.9514666666666659E-2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3622.98</v>
      </c>
      <c r="D147" s="16">
        <v>32.825000000000003</v>
      </c>
      <c r="E147" s="16">
        <v>37.274000000000001</v>
      </c>
      <c r="F147" s="16">
        <v>38.462000000000003</v>
      </c>
      <c r="G147" s="16">
        <v>16.809999999999999</v>
      </c>
      <c r="H147" s="16">
        <f t="shared" si="16"/>
        <v>34.085750000000004</v>
      </c>
      <c r="I147" s="5"/>
      <c r="J147" s="15">
        <v>2410.2159999999999</v>
      </c>
      <c r="K147" s="16">
        <v>33.603299999999997</v>
      </c>
      <c r="L147" s="16">
        <v>38.029499999999999</v>
      </c>
      <c r="M147" s="16">
        <v>39.888800000000003</v>
      </c>
      <c r="N147" s="16">
        <v>14.1135</v>
      </c>
      <c r="O147" s="16">
        <f t="shared" si="17"/>
        <v>34.942262499999998</v>
      </c>
      <c r="P147" s="7"/>
      <c r="Q147" s="8">
        <f>bdrate(C147:C150,D147:D150,J147:J150,K147:K150)</f>
        <v>-0.51637656015711986</v>
      </c>
      <c r="R147" s="8">
        <f>bdrate(C147:C150,E147:E150,J147:J150,L147:L150)</f>
        <v>-0.61328922578484013</v>
      </c>
      <c r="S147" s="8">
        <f>bdrate(C147:C150,F147:F150,J147:J150,M147:M150)</f>
        <v>-0.62912043686404484</v>
      </c>
      <c r="T147" s="25">
        <f>bdrate(C147:C150,H147:H150,J147:J150,O147:O150)</f>
        <v>-0.53362279231641463</v>
      </c>
      <c r="U147" s="28">
        <f t="shared" si="18"/>
        <v>-0.16041046995835806</v>
      </c>
      <c r="V147" s="57">
        <f t="shared" si="20"/>
        <v>6.3833333333333381E-3</v>
      </c>
      <c r="W147" s="57">
        <f t="shared" si="19"/>
        <v>4.256666666666623E-3</v>
      </c>
      <c r="X147" s="56">
        <v>3600</v>
      </c>
      <c r="Y147" s="56">
        <v>2400</v>
      </c>
    </row>
    <row r="148" spans="1:25" x14ac:dyDescent="0.25">
      <c r="B148" s="9"/>
      <c r="C148" s="17">
        <v>2387.4699999999998</v>
      </c>
      <c r="D148" s="18">
        <v>31.277999999999999</v>
      </c>
      <c r="E148" s="18">
        <v>36.819000000000003</v>
      </c>
      <c r="F148" s="18">
        <v>37.677999999999997</v>
      </c>
      <c r="G148" s="18">
        <v>16.86</v>
      </c>
      <c r="H148" s="18">
        <f t="shared" si="16"/>
        <v>32.770625000000003</v>
      </c>
      <c r="I148" s="5"/>
      <c r="J148" s="17">
        <v>1606.0208</v>
      </c>
      <c r="K148" s="18">
        <v>32.326999999999998</v>
      </c>
      <c r="L148" s="18">
        <v>37.552300000000002</v>
      </c>
      <c r="M148" s="18">
        <v>39.029800000000002</v>
      </c>
      <c r="N148" s="18">
        <v>15.937799999999999</v>
      </c>
      <c r="O148" s="18">
        <f t="shared" si="17"/>
        <v>33.818012500000002</v>
      </c>
      <c r="P148" s="7"/>
      <c r="Q148" s="10"/>
      <c r="R148" s="11"/>
      <c r="S148" s="11"/>
      <c r="T148" s="26"/>
      <c r="U148" s="28">
        <f t="shared" si="18"/>
        <v>-5.4697508896797163E-2</v>
      </c>
      <c r="V148" s="57">
        <f t="shared" si="20"/>
        <v>5.2208333333334167E-3</v>
      </c>
      <c r="W148" s="57">
        <f t="shared" si="19"/>
        <v>3.7630000000000051E-3</v>
      </c>
      <c r="X148" s="56">
        <v>2400</v>
      </c>
      <c r="Y148" s="56">
        <v>1600</v>
      </c>
    </row>
    <row r="149" spans="1:25" x14ac:dyDescent="0.25">
      <c r="B149" s="9"/>
      <c r="C149" s="17">
        <v>1495.99</v>
      </c>
      <c r="D149" s="18">
        <v>29.393000000000001</v>
      </c>
      <c r="E149" s="18">
        <v>36.173000000000002</v>
      </c>
      <c r="F149" s="18">
        <v>36.713999999999999</v>
      </c>
      <c r="G149" s="18">
        <v>16.71</v>
      </c>
      <c r="H149" s="18">
        <f t="shared" si="16"/>
        <v>31.155625000000001</v>
      </c>
      <c r="I149" s="5"/>
      <c r="J149" s="17">
        <v>1001.7016</v>
      </c>
      <c r="K149" s="18">
        <v>30.729299999999999</v>
      </c>
      <c r="L149" s="18">
        <v>36.913600000000002</v>
      </c>
      <c r="M149" s="18">
        <v>37.9604</v>
      </c>
      <c r="N149" s="18">
        <v>17.448399999999999</v>
      </c>
      <c r="O149" s="18">
        <f t="shared" si="17"/>
        <v>32.406224999999999</v>
      </c>
      <c r="P149" s="7"/>
      <c r="Q149" s="10"/>
      <c r="R149" s="11"/>
      <c r="S149" s="11"/>
      <c r="T149" s="26"/>
      <c r="U149" s="28">
        <f t="shared" si="18"/>
        <v>4.4189108318372146E-2</v>
      </c>
      <c r="V149" s="57">
        <f t="shared" si="20"/>
        <v>2.6733333333333275E-3</v>
      </c>
      <c r="W149" s="57">
        <f t="shared" si="19"/>
        <v>1.701599999999985E-3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887.48</v>
      </c>
      <c r="D150" s="20">
        <v>27.234999999999999</v>
      </c>
      <c r="E150" s="20">
        <v>35.74</v>
      </c>
      <c r="F150" s="20">
        <v>35.881</v>
      </c>
      <c r="G150" s="20">
        <v>16.73</v>
      </c>
      <c r="H150" s="20">
        <f t="shared" si="16"/>
        <v>29.378875000000001</v>
      </c>
      <c r="I150" s="5"/>
      <c r="J150" s="19">
        <v>600.85199999999998</v>
      </c>
      <c r="K150" s="20">
        <v>28.924800000000001</v>
      </c>
      <c r="L150" s="20">
        <v>36.174599999999998</v>
      </c>
      <c r="M150" s="20">
        <v>36.744199999999999</v>
      </c>
      <c r="N150" s="20">
        <v>19.0396</v>
      </c>
      <c r="O150" s="20">
        <f t="shared" si="17"/>
        <v>30.808450000000001</v>
      </c>
      <c r="P150" s="7"/>
      <c r="Q150" s="13"/>
      <c r="R150" s="14"/>
      <c r="S150" s="14"/>
      <c r="T150" s="27"/>
      <c r="U150" s="28">
        <f t="shared" si="18"/>
        <v>0.1380514046622833</v>
      </c>
      <c r="V150" s="57">
        <f t="shared" si="20"/>
        <v>1.3911111111111091E-2</v>
      </c>
      <c r="W150" s="57">
        <f t="shared" si="19"/>
        <v>1.4199999999999591E-3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3633.58</v>
      </c>
      <c r="D151" s="30">
        <v>32.801000000000002</v>
      </c>
      <c r="E151" s="30">
        <v>39.341999999999999</v>
      </c>
      <c r="F151" s="30">
        <v>38.948999999999998</v>
      </c>
      <c r="G151" s="16">
        <v>14.2</v>
      </c>
      <c r="H151" s="16">
        <f t="shared" si="16"/>
        <v>34.387125000000005</v>
      </c>
      <c r="I151" s="5"/>
      <c r="J151" s="29">
        <v>2416.9376000000002</v>
      </c>
      <c r="K151" s="30">
        <v>33.5991</v>
      </c>
      <c r="L151" s="30">
        <v>40.004899999999999</v>
      </c>
      <c r="M151" s="30">
        <v>39.579799999999999</v>
      </c>
      <c r="N151" s="16">
        <v>12.277200000000001</v>
      </c>
      <c r="O151" s="16">
        <f t="shared" si="17"/>
        <v>35.147412500000002</v>
      </c>
      <c r="P151" s="7"/>
      <c r="Q151" s="8">
        <f>bdrate(C151:C154,D151:D154,J151:J154,K151:K154)</f>
        <v>-0.53572683938960142</v>
      </c>
      <c r="R151" s="8">
        <f>bdrate(C151:C154,E151:E154,J151:J154,L151:L154)</f>
        <v>-0.47734171467506681</v>
      </c>
      <c r="S151" s="8">
        <f>bdrate(C151:C154,F151:F154,J151:J154,M151:M154)</f>
        <v>-0.39596297139915404</v>
      </c>
      <c r="T151" s="25">
        <f>bdrate(C151:C154,H151:H154,J151:J154,O151:O154)</f>
        <v>-0.52655621524313334</v>
      </c>
      <c r="U151" s="28">
        <f t="shared" si="18"/>
        <v>-0.13540845070422527</v>
      </c>
      <c r="V151" s="57">
        <f t="shared" si="20"/>
        <v>9.3277777777777578E-3</v>
      </c>
      <c r="W151" s="57">
        <f t="shared" si="19"/>
        <v>7.057333333333418E-3</v>
      </c>
      <c r="X151" s="56">
        <v>3600</v>
      </c>
      <c r="Y151" s="56">
        <v>2400</v>
      </c>
    </row>
    <row r="152" spans="1:25" x14ac:dyDescent="0.25">
      <c r="B152" s="9"/>
      <c r="C152" s="31">
        <v>2386.04</v>
      </c>
      <c r="D152" s="32">
        <v>30.826000000000001</v>
      </c>
      <c r="E152" s="32">
        <v>38.508000000000003</v>
      </c>
      <c r="F152" s="32">
        <v>38.020000000000003</v>
      </c>
      <c r="G152" s="18">
        <v>14.33</v>
      </c>
      <c r="H152" s="18">
        <f t="shared" si="16"/>
        <v>32.685500000000005</v>
      </c>
      <c r="I152" s="5"/>
      <c r="J152" s="31">
        <v>1604.596</v>
      </c>
      <c r="K152" s="32">
        <v>32.14</v>
      </c>
      <c r="L152" s="32">
        <v>39.189700000000002</v>
      </c>
      <c r="M152" s="32">
        <v>38.5379</v>
      </c>
      <c r="N152" s="18">
        <v>13.8504</v>
      </c>
      <c r="O152" s="18">
        <f t="shared" si="17"/>
        <v>33.820949999999996</v>
      </c>
      <c r="P152" s="7"/>
      <c r="Q152" s="10"/>
      <c r="R152" s="11"/>
      <c r="S152" s="11"/>
      <c r="T152" s="26"/>
      <c r="U152" s="28">
        <f t="shared" si="18"/>
        <v>-3.3468248429867384E-2</v>
      </c>
      <c r="V152" s="57">
        <f t="shared" si="20"/>
        <v>5.8166666666666818E-3</v>
      </c>
      <c r="W152" s="57">
        <f t="shared" si="19"/>
        <v>2.8725000000000022E-3</v>
      </c>
      <c r="X152" s="56">
        <v>2400</v>
      </c>
      <c r="Y152" s="56">
        <v>1600</v>
      </c>
    </row>
    <row r="153" spans="1:25" x14ac:dyDescent="0.25">
      <c r="B153" s="9"/>
      <c r="C153" s="31">
        <v>1473.26</v>
      </c>
      <c r="D153" s="32">
        <v>28.08</v>
      </c>
      <c r="E153" s="32">
        <v>37.481000000000002</v>
      </c>
      <c r="F153" s="32">
        <v>36.988</v>
      </c>
      <c r="G153" s="18">
        <v>14.27</v>
      </c>
      <c r="H153" s="18">
        <f t="shared" si="16"/>
        <v>30.368624999999998</v>
      </c>
      <c r="I153" s="5"/>
      <c r="J153" s="31">
        <v>1003.0776</v>
      </c>
      <c r="K153" s="32">
        <v>30.324400000000001</v>
      </c>
      <c r="L153" s="32">
        <v>38.074599999999997</v>
      </c>
      <c r="M153" s="32">
        <v>37.1922</v>
      </c>
      <c r="N153" s="18">
        <v>15.395</v>
      </c>
      <c r="O153" s="18">
        <f t="shared" si="17"/>
        <v>32.151650000000004</v>
      </c>
      <c r="P153" s="7"/>
      <c r="Q153" s="10"/>
      <c r="R153" s="11"/>
      <c r="S153" s="11"/>
      <c r="T153" s="26"/>
      <c r="U153" s="28">
        <f t="shared" si="18"/>
        <v>7.8836720392431683E-2</v>
      </c>
      <c r="V153" s="57">
        <f t="shared" si="20"/>
        <v>1.7826666666666671E-2</v>
      </c>
      <c r="W153" s="57">
        <f t="shared" si="19"/>
        <v>3.0775999999999612E-3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874.99</v>
      </c>
      <c r="D154" s="34">
        <v>24.536999999999999</v>
      </c>
      <c r="E154" s="34">
        <v>36.034999999999997</v>
      </c>
      <c r="F154" s="34">
        <v>35.317</v>
      </c>
      <c r="G154" s="20">
        <v>14.1</v>
      </c>
      <c r="H154" s="20">
        <f t="shared" si="16"/>
        <v>27.321749999999998</v>
      </c>
      <c r="I154" s="5"/>
      <c r="J154" s="33">
        <v>601.30560000000003</v>
      </c>
      <c r="K154" s="34">
        <v>28.423400000000001</v>
      </c>
      <c r="L154" s="34">
        <v>36.6023</v>
      </c>
      <c r="M154" s="34">
        <v>35.494399999999999</v>
      </c>
      <c r="N154" s="20">
        <v>17.1934</v>
      </c>
      <c r="O154" s="20">
        <f t="shared" si="17"/>
        <v>30.329637499999997</v>
      </c>
      <c r="P154" s="7"/>
      <c r="Q154" s="13"/>
      <c r="R154" s="14"/>
      <c r="S154" s="14"/>
      <c r="T154" s="27"/>
      <c r="U154" s="28">
        <f t="shared" si="18"/>
        <v>0.21939007092198587</v>
      </c>
      <c r="V154" s="57">
        <f t="shared" si="20"/>
        <v>2.778888888888888E-2</v>
      </c>
      <c r="W154" s="57">
        <f t="shared" si="19"/>
        <v>2.1760000000000447E-3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3543.46</v>
      </c>
      <c r="D155" s="16">
        <v>32.017000000000003</v>
      </c>
      <c r="E155" s="16">
        <v>38.463000000000001</v>
      </c>
      <c r="F155" s="16">
        <v>40.966000000000001</v>
      </c>
      <c r="G155" s="16">
        <v>16.600000000000001</v>
      </c>
      <c r="H155" s="16">
        <f t="shared" si="16"/>
        <v>33.941375000000001</v>
      </c>
      <c r="I155" s="5"/>
      <c r="J155" s="15">
        <v>2396.0839999999998</v>
      </c>
      <c r="K155" s="16">
        <v>33.251800000000003</v>
      </c>
      <c r="L155" s="16">
        <v>39.681199999999997</v>
      </c>
      <c r="M155" s="16">
        <v>42.192799999999998</v>
      </c>
      <c r="N155" s="16">
        <v>14.6281</v>
      </c>
      <c r="O155" s="16">
        <f t="shared" si="17"/>
        <v>35.173099999999998</v>
      </c>
      <c r="P155" s="7"/>
      <c r="Q155" s="8">
        <f>bdrate(C155:C158,D155:D158,J155:J158,K155:K158)</f>
        <v>-0.64749662149736653</v>
      </c>
      <c r="R155" s="8">
        <f>bdrate(C155:C158,E155:E158,J155:J158,L155:L158)</f>
        <v>-0.70939791101128036</v>
      </c>
      <c r="S155" s="8">
        <f>bdrate(C155:C158,F155:F158,J155:J158,M155:M158)</f>
        <v>-0.71044429129365305</v>
      </c>
      <c r="T155" s="25">
        <f>bdrate(C155:C158,H155:H158,J155:J158,O155:O158)</f>
        <v>-0.65547617954398762</v>
      </c>
      <c r="U155" s="28">
        <f t="shared" si="18"/>
        <v>-0.1187891566265061</v>
      </c>
      <c r="V155" s="57">
        <f t="shared" si="20"/>
        <v>1.5705555555555546E-2</v>
      </c>
      <c r="W155" s="57">
        <f t="shared" si="19"/>
        <v>1.6316666666667363E-3</v>
      </c>
      <c r="X155" s="56">
        <v>3600</v>
      </c>
      <c r="Y155" s="56">
        <v>2400</v>
      </c>
    </row>
    <row r="156" spans="1:25" x14ac:dyDescent="0.25">
      <c r="B156" s="9"/>
      <c r="C156" s="17">
        <v>2321.23</v>
      </c>
      <c r="D156" s="18">
        <v>30.763999999999999</v>
      </c>
      <c r="E156" s="18">
        <v>38.112000000000002</v>
      </c>
      <c r="F156" s="18">
        <v>40.561999999999998</v>
      </c>
      <c r="G156" s="18">
        <v>16.73</v>
      </c>
      <c r="H156" s="18">
        <f t="shared" si="16"/>
        <v>32.907249999999998</v>
      </c>
      <c r="I156" s="5"/>
      <c r="J156" s="17">
        <v>1607.6695999999999</v>
      </c>
      <c r="K156" s="18">
        <v>32.5137</v>
      </c>
      <c r="L156" s="18">
        <v>39.195799999999998</v>
      </c>
      <c r="M156" s="18">
        <v>41.715499999999999</v>
      </c>
      <c r="N156" s="18">
        <v>16.187799999999999</v>
      </c>
      <c r="O156" s="18">
        <f t="shared" si="17"/>
        <v>34.499187499999998</v>
      </c>
      <c r="P156" s="7"/>
      <c r="Q156" s="10"/>
      <c r="R156" s="11"/>
      <c r="S156" s="11"/>
      <c r="T156" s="26"/>
      <c r="U156" s="28">
        <f t="shared" si="18"/>
        <v>-3.2408846383741849E-2</v>
      </c>
      <c r="V156" s="57">
        <f t="shared" si="20"/>
        <v>3.2820833333333327E-2</v>
      </c>
      <c r="W156" s="57">
        <f t="shared" si="19"/>
        <v>4.7934999999999662E-3</v>
      </c>
      <c r="X156" s="56">
        <v>2400</v>
      </c>
      <c r="Y156" s="56">
        <v>1600</v>
      </c>
    </row>
    <row r="157" spans="1:25" x14ac:dyDescent="0.25">
      <c r="B157" s="9"/>
      <c r="C157" s="17">
        <v>1436.65</v>
      </c>
      <c r="D157" s="18">
        <v>29.172999999999998</v>
      </c>
      <c r="E157" s="18">
        <v>37.601999999999997</v>
      </c>
      <c r="F157" s="18">
        <v>39.915999999999997</v>
      </c>
      <c r="G157" s="18">
        <v>16.71</v>
      </c>
      <c r="H157" s="18">
        <f t="shared" si="16"/>
        <v>31.569499999999998</v>
      </c>
      <c r="I157" s="5"/>
      <c r="J157" s="17">
        <v>1024.6424</v>
      </c>
      <c r="K157" s="18">
        <v>31.403300000000002</v>
      </c>
      <c r="L157" s="18">
        <v>38.543599999999998</v>
      </c>
      <c r="M157" s="18">
        <v>41.048299999999998</v>
      </c>
      <c r="N157" s="18">
        <v>17.494199999999999</v>
      </c>
      <c r="O157" s="18">
        <f t="shared" si="17"/>
        <v>33.501462500000002</v>
      </c>
      <c r="P157" s="7"/>
      <c r="Q157" s="10"/>
      <c r="R157" s="11"/>
      <c r="S157" s="11"/>
      <c r="T157" s="26"/>
      <c r="U157" s="28">
        <f t="shared" si="18"/>
        <v>4.6929982046678538E-2</v>
      </c>
      <c r="V157" s="57">
        <f t="shared" si="20"/>
        <v>4.2233333333333276E-2</v>
      </c>
      <c r="W157" s="57">
        <f t="shared" si="19"/>
        <v>2.4642399999999953E-2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828.63</v>
      </c>
      <c r="D158" s="20">
        <v>26.919</v>
      </c>
      <c r="E158" s="20">
        <v>37.017000000000003</v>
      </c>
      <c r="F158" s="20">
        <v>39.256</v>
      </c>
      <c r="G158" s="20">
        <v>16.670000000000002</v>
      </c>
      <c r="H158" s="20">
        <f t="shared" si="16"/>
        <v>29.723375000000001</v>
      </c>
      <c r="I158" s="5"/>
      <c r="J158" s="19">
        <v>599.70159999999998</v>
      </c>
      <c r="K158" s="20">
        <v>29.8552</v>
      </c>
      <c r="L158" s="20">
        <v>37.972299999999997</v>
      </c>
      <c r="M158" s="20">
        <v>40.409599999999998</v>
      </c>
      <c r="N158" s="20">
        <v>18.688099999999999</v>
      </c>
      <c r="O158" s="20">
        <f t="shared" si="17"/>
        <v>32.189137500000001</v>
      </c>
      <c r="P158" s="7"/>
      <c r="Q158" s="13"/>
      <c r="R158" s="14"/>
      <c r="S158" s="14"/>
      <c r="T158" s="27"/>
      <c r="U158" s="28">
        <f t="shared" si="18"/>
        <v>0.1210617876424713</v>
      </c>
      <c r="V158" s="57">
        <f t="shared" si="20"/>
        <v>7.9300000000000009E-2</v>
      </c>
      <c r="W158" s="57">
        <f t="shared" si="19"/>
        <v>4.973333333333585E-4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1581.18</v>
      </c>
      <c r="D159" s="16">
        <v>33.192999999999998</v>
      </c>
      <c r="E159" s="16">
        <v>36.750999999999998</v>
      </c>
      <c r="F159" s="16">
        <v>36.598999999999997</v>
      </c>
      <c r="G159" s="16">
        <v>83.75</v>
      </c>
      <c r="H159" s="16">
        <f t="shared" si="16"/>
        <v>34.063499999999998</v>
      </c>
      <c r="I159" s="5"/>
      <c r="J159" s="15">
        <v>1205.5808</v>
      </c>
      <c r="K159" s="16">
        <v>34.295699999999997</v>
      </c>
      <c r="L159" s="16">
        <v>38.514800000000001</v>
      </c>
      <c r="M159" s="16">
        <v>38.2849</v>
      </c>
      <c r="N159" s="16">
        <v>56.947600000000001</v>
      </c>
      <c r="O159" s="16">
        <f t="shared" si="17"/>
        <v>35.321737499999998</v>
      </c>
      <c r="P159" s="7"/>
      <c r="Q159" s="8">
        <f>bdrate(C159:C162,D159:D162,J159:J162,K159:K162)</f>
        <v>-0.42588620490975626</v>
      </c>
      <c r="R159" s="8">
        <f>bdrate(C159:C162,E159:E162,J159:J162,L159:L162)</f>
        <v>-0.53578062531779236</v>
      </c>
      <c r="S159" s="8">
        <f>bdrate(C159:C162,F159:F162,J159:J162,M159:M162)</f>
        <v>-0.49590306010880392</v>
      </c>
      <c r="T159" s="25">
        <f>bdrate(C159:C162,H159:H162,J159:J162,O159:O162)</f>
        <v>-0.44398492486549046</v>
      </c>
      <c r="U159" s="28">
        <f t="shared" si="18"/>
        <v>-0.32002865671641789</v>
      </c>
      <c r="V159" s="57">
        <f t="shared" si="20"/>
        <v>2.0116129032258106E-2</v>
      </c>
      <c r="W159" s="57">
        <f t="shared" si="19"/>
        <v>4.6506666666666285E-3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1069.79</v>
      </c>
      <c r="D160" s="18">
        <v>31.678000000000001</v>
      </c>
      <c r="E160" s="18">
        <v>35.92</v>
      </c>
      <c r="F160" s="18">
        <v>35.628</v>
      </c>
      <c r="G160" s="18">
        <v>91.88</v>
      </c>
      <c r="H160" s="18">
        <f t="shared" si="16"/>
        <v>32.701999999999998</v>
      </c>
      <c r="I160" s="5"/>
      <c r="J160" s="17">
        <v>803.96320000000003</v>
      </c>
      <c r="K160" s="18">
        <v>32.722499999999997</v>
      </c>
      <c r="L160" s="18">
        <v>37.363900000000001</v>
      </c>
      <c r="M160" s="18">
        <v>37.015999999999998</v>
      </c>
      <c r="N160" s="18">
        <v>63.930399999999999</v>
      </c>
      <c r="O160" s="18">
        <f t="shared" si="17"/>
        <v>33.8393625</v>
      </c>
      <c r="P160" s="7"/>
      <c r="Q160" s="10"/>
      <c r="R160" s="11"/>
      <c r="S160" s="11"/>
      <c r="T160" s="26"/>
      <c r="U160" s="28">
        <f t="shared" si="18"/>
        <v>-0.3041967784066173</v>
      </c>
      <c r="V160" s="57">
        <f t="shared" si="20"/>
        <v>1.8847619047619012E-2</v>
      </c>
      <c r="W160" s="57">
        <f t="shared" si="19"/>
        <v>4.9540000000000365E-3</v>
      </c>
      <c r="X160" s="56">
        <v>1050</v>
      </c>
      <c r="Y160" s="56">
        <v>800</v>
      </c>
    </row>
    <row r="161" spans="1:25" x14ac:dyDescent="0.25">
      <c r="B161" s="9"/>
      <c r="C161" s="17">
        <v>660.99</v>
      </c>
      <c r="D161" s="18">
        <v>29.783000000000001</v>
      </c>
      <c r="E161" s="18">
        <v>35.048000000000002</v>
      </c>
      <c r="F161" s="18">
        <v>34.662999999999997</v>
      </c>
      <c r="G161" s="18">
        <v>97.19</v>
      </c>
      <c r="H161" s="18">
        <f t="shared" si="16"/>
        <v>31.051124999999999</v>
      </c>
      <c r="I161" s="5"/>
      <c r="J161" s="17">
        <v>501.96960000000001</v>
      </c>
      <c r="K161" s="18">
        <v>30.885899999999999</v>
      </c>
      <c r="L161" s="18">
        <v>36.058999999999997</v>
      </c>
      <c r="M161" s="18">
        <v>35.606900000000003</v>
      </c>
      <c r="N161" s="18">
        <v>73.152900000000002</v>
      </c>
      <c r="O161" s="18">
        <f t="shared" si="17"/>
        <v>32.122662500000004</v>
      </c>
      <c r="P161" s="7"/>
      <c r="Q161" s="10"/>
      <c r="R161" s="11"/>
      <c r="S161" s="11"/>
      <c r="T161" s="26"/>
      <c r="U161" s="28">
        <f t="shared" si="18"/>
        <v>-0.24732071200740813</v>
      </c>
      <c r="V161" s="57">
        <f t="shared" si="20"/>
        <v>1.6907692307692321E-2</v>
      </c>
      <c r="W161" s="57">
        <f t="shared" si="19"/>
        <v>3.9392000000000281E-3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404.86</v>
      </c>
      <c r="D162" s="20">
        <v>27.57</v>
      </c>
      <c r="E162" s="20">
        <v>34.340000000000003</v>
      </c>
      <c r="F162" s="20">
        <v>33.83</v>
      </c>
      <c r="G162" s="20">
        <v>102.2</v>
      </c>
      <c r="H162" s="20">
        <f t="shared" si="16"/>
        <v>29.198750000000004</v>
      </c>
      <c r="I162" s="5"/>
      <c r="J162" s="19">
        <v>300.42079999999999</v>
      </c>
      <c r="K162" s="20">
        <v>28.8432</v>
      </c>
      <c r="L162" s="20">
        <v>34.715000000000003</v>
      </c>
      <c r="M162" s="20">
        <v>34.075400000000002</v>
      </c>
      <c r="N162" s="20">
        <v>82.685599999999994</v>
      </c>
      <c r="O162" s="20">
        <f t="shared" si="17"/>
        <v>30.231200000000001</v>
      </c>
      <c r="P162" s="7"/>
      <c r="Q162" s="13"/>
      <c r="R162" s="14"/>
      <c r="S162" s="14"/>
      <c r="T162" s="27"/>
      <c r="U162" s="28">
        <f t="shared" si="18"/>
        <v>-0.19094324853228972</v>
      </c>
      <c r="V162" s="57">
        <f t="shared" si="20"/>
        <v>1.2150000000000034E-2</v>
      </c>
      <c r="W162" s="57">
        <f t="shared" si="19"/>
        <v>1.4026666666666187E-3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1573.36</v>
      </c>
      <c r="D163" s="16">
        <v>33.622999999999998</v>
      </c>
      <c r="E163" s="16">
        <v>38.851999999999997</v>
      </c>
      <c r="F163" s="16">
        <v>39.613</v>
      </c>
      <c r="G163" s="16">
        <v>84.97</v>
      </c>
      <c r="H163" s="16">
        <f t="shared" si="16"/>
        <v>35.025374999999997</v>
      </c>
      <c r="I163" s="5"/>
      <c r="J163" s="15">
        <v>1236.0072</v>
      </c>
      <c r="K163" s="16">
        <v>34.732599999999998</v>
      </c>
      <c r="L163" s="16">
        <v>40.256799999999998</v>
      </c>
      <c r="M163" s="16">
        <v>41.099899999999998</v>
      </c>
      <c r="N163" s="16">
        <v>55.756900000000002</v>
      </c>
      <c r="O163" s="16">
        <f t="shared" si="17"/>
        <v>36.219037499999999</v>
      </c>
      <c r="P163" s="7"/>
      <c r="Q163" s="8">
        <f>bdrate(C163:C166,D163:D166,J163:J166,K163:K166)</f>
        <v>-0.44476698471705489</v>
      </c>
      <c r="R163" s="8">
        <f>bdrate(C163:C166,E163:E166,J163:J166,L163:L166)</f>
        <v>-0.54156485152718381</v>
      </c>
      <c r="S163" s="8">
        <f>bdrate(C163:C166,F163:F166,J163:J166,M163:M166)</f>
        <v>-0.49967560043403747</v>
      </c>
      <c r="T163" s="25">
        <f>bdrate(C163:C166,H163:H166,J163:J166,O163:O166)</f>
        <v>-0.45801384737954454</v>
      </c>
      <c r="U163" s="28">
        <f t="shared" si="18"/>
        <v>-0.34380487230787332</v>
      </c>
      <c r="V163" s="57">
        <f t="shared" si="20"/>
        <v>1.5070967741935419E-2</v>
      </c>
      <c r="W163" s="57">
        <f t="shared" si="19"/>
        <v>3.0006000000000008E-2</v>
      </c>
      <c r="X163" s="56">
        <v>1550</v>
      </c>
      <c r="Y163" s="56">
        <v>1200</v>
      </c>
    </row>
    <row r="164" spans="1:25" x14ac:dyDescent="0.25">
      <c r="B164" s="9"/>
      <c r="C164" s="17">
        <v>1065.94</v>
      </c>
      <c r="D164" s="18">
        <v>31.876999999999999</v>
      </c>
      <c r="E164" s="18">
        <v>38.112000000000002</v>
      </c>
      <c r="F164" s="18">
        <v>38.831000000000003</v>
      </c>
      <c r="G164" s="18">
        <v>88.24</v>
      </c>
      <c r="H164" s="18">
        <f t="shared" si="16"/>
        <v>33.525624999999998</v>
      </c>
      <c r="I164" s="5"/>
      <c r="J164" s="17">
        <v>824.02</v>
      </c>
      <c r="K164" s="18">
        <v>33.143900000000002</v>
      </c>
      <c r="L164" s="18">
        <v>39.320700000000002</v>
      </c>
      <c r="M164" s="18">
        <v>40.048400000000001</v>
      </c>
      <c r="N164" s="18">
        <v>63.532400000000003</v>
      </c>
      <c r="O164" s="18">
        <f t="shared" si="17"/>
        <v>34.779062500000002</v>
      </c>
      <c r="P164" s="7"/>
      <c r="Q164" s="10"/>
      <c r="R164" s="11"/>
      <c r="S164" s="11"/>
      <c r="T164" s="26"/>
      <c r="U164" s="28">
        <f t="shared" si="18"/>
        <v>-0.28000453309156836</v>
      </c>
      <c r="V164" s="57">
        <f t="shared" si="20"/>
        <v>1.5180952380952432E-2</v>
      </c>
      <c r="W164" s="57">
        <f t="shared" si="19"/>
        <v>3.0024999999999979E-2</v>
      </c>
      <c r="X164" s="56">
        <v>1050</v>
      </c>
      <c r="Y164" s="56">
        <v>800</v>
      </c>
    </row>
    <row r="165" spans="1:25" x14ac:dyDescent="0.25">
      <c r="B165" s="9"/>
      <c r="C165" s="17">
        <v>661.88</v>
      </c>
      <c r="D165" s="18">
        <v>29.69</v>
      </c>
      <c r="E165" s="18">
        <v>37.326999999999998</v>
      </c>
      <c r="F165" s="18">
        <v>37.92</v>
      </c>
      <c r="G165" s="18">
        <v>89.54</v>
      </c>
      <c r="H165" s="18">
        <f t="shared" si="16"/>
        <v>31.673375</v>
      </c>
      <c r="I165" s="5"/>
      <c r="J165" s="17">
        <v>514.3528</v>
      </c>
      <c r="K165" s="18">
        <v>31.260899999999999</v>
      </c>
      <c r="L165" s="18">
        <v>38.262500000000003</v>
      </c>
      <c r="M165" s="18">
        <v>38.840200000000003</v>
      </c>
      <c r="N165" s="18">
        <v>72.577699999999993</v>
      </c>
      <c r="O165" s="18">
        <f t="shared" si="17"/>
        <v>33.083512499999998</v>
      </c>
      <c r="P165" s="7"/>
      <c r="Q165" s="10"/>
      <c r="R165" s="11"/>
      <c r="S165" s="11"/>
      <c r="T165" s="26"/>
      <c r="U165" s="28">
        <f t="shared" si="18"/>
        <v>-0.18943823989278549</v>
      </c>
      <c r="V165" s="57">
        <f t="shared" si="20"/>
        <v>1.8276923076923069E-2</v>
      </c>
      <c r="W165" s="57">
        <f t="shared" si="19"/>
        <v>2.8705600000000005E-2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409.41</v>
      </c>
      <c r="D166" s="20">
        <v>27.326000000000001</v>
      </c>
      <c r="E166" s="20">
        <v>36.552</v>
      </c>
      <c r="F166" s="20">
        <v>37.055999999999997</v>
      </c>
      <c r="G166" s="20">
        <v>90.93</v>
      </c>
      <c r="H166" s="20">
        <f t="shared" si="16"/>
        <v>29.695500000000003</v>
      </c>
      <c r="I166" s="5"/>
      <c r="J166" s="19">
        <v>308.57040000000001</v>
      </c>
      <c r="K166" s="20">
        <v>29.1557</v>
      </c>
      <c r="L166" s="20">
        <v>37.192799999999998</v>
      </c>
      <c r="M166" s="20">
        <v>37.516300000000001</v>
      </c>
      <c r="N166" s="20">
        <v>84.116100000000003</v>
      </c>
      <c r="O166" s="20">
        <f t="shared" si="17"/>
        <v>31.205412500000001</v>
      </c>
      <c r="P166" s="7"/>
      <c r="Q166" s="13"/>
      <c r="R166" s="14"/>
      <c r="S166" s="14"/>
      <c r="T166" s="27"/>
      <c r="U166" s="28">
        <f t="shared" si="18"/>
        <v>-7.4935664797096707E-2</v>
      </c>
      <c r="V166" s="57">
        <f t="shared" si="20"/>
        <v>2.3525000000000063E-2</v>
      </c>
      <c r="W166" s="57">
        <f t="shared" si="19"/>
        <v>2.856800000000002E-2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1471.43</v>
      </c>
      <c r="D167" s="16">
        <v>28.128</v>
      </c>
      <c r="E167" s="16">
        <v>34.820999999999998</v>
      </c>
      <c r="F167" s="16">
        <v>35.509</v>
      </c>
      <c r="G167" s="16">
        <v>86.9</v>
      </c>
      <c r="H167" s="16">
        <f t="shared" si="16"/>
        <v>29.887250000000002</v>
      </c>
      <c r="I167" s="5"/>
      <c r="J167" s="15">
        <v>1212.7311999999999</v>
      </c>
      <c r="K167" s="16">
        <v>29.781500000000001</v>
      </c>
      <c r="L167" s="16">
        <v>36.436399999999999</v>
      </c>
      <c r="M167" s="16">
        <v>37.239899999999999</v>
      </c>
      <c r="N167" s="16">
        <v>51.926499999999997</v>
      </c>
      <c r="O167" s="16">
        <f t="shared" si="17"/>
        <v>31.545662500000002</v>
      </c>
      <c r="P167" s="7"/>
      <c r="Q167" s="8">
        <f>bdrate(C167:C170,D167:D170,J167:J170,K167:K170)</f>
        <v>-0.52026965856258411</v>
      </c>
      <c r="R167" s="8">
        <f>bdrate(C167:C170,E167:E170,J167:J170,L167:L170)</f>
        <v>-0.61894594529254809</v>
      </c>
      <c r="S167" s="8">
        <f>bdrate(C167:C170,F167:F170,J167:J170,M167:M170)</f>
        <v>-0.60858140310703945</v>
      </c>
      <c r="T167" s="25">
        <f>bdrate(C167:C170,H167:H170,J167:J170,O167:O170)</f>
        <v>-0.53548244663918232</v>
      </c>
      <c r="U167" s="28">
        <f t="shared" si="18"/>
        <v>-0.40245684695051792</v>
      </c>
      <c r="V167" s="57">
        <f t="shared" si="20"/>
        <v>5.0690322580645118E-2</v>
      </c>
      <c r="W167" s="57">
        <f t="shared" si="19"/>
        <v>1.0609333333333287E-2</v>
      </c>
      <c r="X167" s="56">
        <v>1550</v>
      </c>
      <c r="Y167" s="56">
        <v>1200</v>
      </c>
    </row>
    <row r="168" spans="1:25" x14ac:dyDescent="0.25">
      <c r="B168" s="9"/>
      <c r="C168" s="17">
        <v>998.15</v>
      </c>
      <c r="D168" s="18">
        <v>26.814</v>
      </c>
      <c r="E168" s="18">
        <v>34.36</v>
      </c>
      <c r="F168" s="18">
        <v>35.069000000000003</v>
      </c>
      <c r="G168" s="18">
        <v>94.74</v>
      </c>
      <c r="H168" s="18">
        <f t="shared" si="16"/>
        <v>28.789125000000006</v>
      </c>
      <c r="I168" s="5"/>
      <c r="J168" s="17">
        <v>809.29920000000004</v>
      </c>
      <c r="K168" s="18">
        <v>28.4558</v>
      </c>
      <c r="L168" s="18">
        <v>35.661999999999999</v>
      </c>
      <c r="M168" s="18">
        <v>36.414700000000003</v>
      </c>
      <c r="N168" s="18">
        <v>59.431800000000003</v>
      </c>
      <c r="O168" s="18">
        <f t="shared" si="17"/>
        <v>30.351437500000003</v>
      </c>
      <c r="P168" s="7"/>
      <c r="Q168" s="10"/>
      <c r="R168" s="11"/>
      <c r="S168" s="11"/>
      <c r="T168" s="26"/>
      <c r="U168" s="28">
        <f t="shared" si="18"/>
        <v>-0.37268524382520579</v>
      </c>
      <c r="V168" s="57">
        <f t="shared" si="20"/>
        <v>4.93809523809524E-2</v>
      </c>
      <c r="W168" s="57">
        <f t="shared" si="19"/>
        <v>1.1624000000000053E-2</v>
      </c>
      <c r="X168" s="56">
        <v>1050</v>
      </c>
      <c r="Y168" s="56">
        <v>800</v>
      </c>
    </row>
    <row r="169" spans="1:25" x14ac:dyDescent="0.25">
      <c r="B169" s="9"/>
      <c r="C169" s="17">
        <v>615.54999999999995</v>
      </c>
      <c r="D169" s="18">
        <v>25.297999999999998</v>
      </c>
      <c r="E169" s="18">
        <v>33.933</v>
      </c>
      <c r="F169" s="18">
        <v>34.662999999999997</v>
      </c>
      <c r="G169" s="18">
        <v>100.11</v>
      </c>
      <c r="H169" s="18">
        <f t="shared" si="16"/>
        <v>27.547999999999995</v>
      </c>
      <c r="I169" s="5"/>
      <c r="J169" s="17">
        <v>508.29919999999998</v>
      </c>
      <c r="K169" s="18">
        <v>27.004999999999999</v>
      </c>
      <c r="L169" s="18">
        <v>34.837200000000003</v>
      </c>
      <c r="M169" s="18">
        <v>35.540599999999998</v>
      </c>
      <c r="N169" s="18">
        <v>68.446299999999994</v>
      </c>
      <c r="O169" s="18">
        <f t="shared" si="17"/>
        <v>29.050975000000001</v>
      </c>
      <c r="P169" s="7"/>
      <c r="Q169" s="10"/>
      <c r="R169" s="11"/>
      <c r="S169" s="11"/>
      <c r="T169" s="26"/>
      <c r="U169" s="28">
        <f t="shared" si="18"/>
        <v>-0.31628908200978928</v>
      </c>
      <c r="V169" s="57">
        <f t="shared" si="20"/>
        <v>5.3000000000000068E-2</v>
      </c>
      <c r="W169" s="57">
        <f t="shared" si="19"/>
        <v>1.6598399999999968E-2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381.29</v>
      </c>
      <c r="D170" s="20">
        <v>23.939</v>
      </c>
      <c r="E170" s="20">
        <v>33.566000000000003</v>
      </c>
      <c r="F170" s="20">
        <v>34.29</v>
      </c>
      <c r="G170" s="20">
        <v>101.22</v>
      </c>
      <c r="H170" s="20">
        <f t="shared" si="16"/>
        <v>26.436250000000001</v>
      </c>
      <c r="I170" s="5"/>
      <c r="J170" s="19">
        <v>306.63279999999997</v>
      </c>
      <c r="K170" s="20">
        <v>25.475999999999999</v>
      </c>
      <c r="L170" s="20">
        <v>34.011099999999999</v>
      </c>
      <c r="M170" s="20">
        <v>34.683100000000003</v>
      </c>
      <c r="N170" s="20">
        <v>77.507400000000004</v>
      </c>
      <c r="O170" s="20">
        <f t="shared" si="17"/>
        <v>27.693774999999999</v>
      </c>
      <c r="P170" s="7"/>
      <c r="Q170" s="13"/>
      <c r="R170" s="14"/>
      <c r="S170" s="14"/>
      <c r="T170" s="27"/>
      <c r="U170" s="28">
        <f t="shared" si="18"/>
        <v>-0.23426793123888554</v>
      </c>
      <c r="V170" s="57">
        <f t="shared" si="20"/>
        <v>4.6774999999999949E-2</v>
      </c>
      <c r="W170" s="57">
        <f t="shared" si="19"/>
        <v>2.2109333333333248E-2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1488.64</v>
      </c>
      <c r="D171" s="16">
        <v>31.776</v>
      </c>
      <c r="E171" s="16">
        <v>36.06</v>
      </c>
      <c r="F171" s="16">
        <v>37.655000000000001</v>
      </c>
      <c r="G171" s="16">
        <v>65.17</v>
      </c>
      <c r="H171" s="16">
        <f t="shared" si="16"/>
        <v>33.046374999999998</v>
      </c>
      <c r="I171" s="5"/>
      <c r="J171" s="15">
        <v>1205.5719999999999</v>
      </c>
      <c r="K171" s="16">
        <v>31.794799999999999</v>
      </c>
      <c r="L171" s="16">
        <v>36.579799999999999</v>
      </c>
      <c r="M171" s="16">
        <v>38.145099999999999</v>
      </c>
      <c r="N171" s="16">
        <v>40.666899999999998</v>
      </c>
      <c r="O171" s="16">
        <f t="shared" si="17"/>
        <v>33.186712499999999</v>
      </c>
      <c r="P171" s="7"/>
      <c r="Q171" s="8">
        <f>bdrate(C171:C174,D171:D174,J171:J174,K171:K174)</f>
        <v>-0.2624866204308911</v>
      </c>
      <c r="R171" s="8">
        <f>bdrate(C171:C174,E171:E174,J171:J174,L171:L174)</f>
        <v>-0.30357829771255396</v>
      </c>
      <c r="S171" s="8">
        <f>bdrate(C171:C174,F171:F174,J171:J174,M171:M174)</f>
        <v>-0.29300570332627796</v>
      </c>
      <c r="T171" s="25">
        <f>bdrate(C171:C174,H171:H174,J171:J174,O171:O174)</f>
        <v>-0.27026285216210688</v>
      </c>
      <c r="U171" s="28">
        <f t="shared" si="18"/>
        <v>-0.37598741752340037</v>
      </c>
      <c r="V171" s="57">
        <f t="shared" si="20"/>
        <v>3.9587096774193482E-2</v>
      </c>
      <c r="W171" s="57">
        <f t="shared" si="19"/>
        <v>4.6433333333332407E-3</v>
      </c>
      <c r="X171" s="56">
        <v>1550</v>
      </c>
      <c r="Y171" s="56">
        <v>1200</v>
      </c>
    </row>
    <row r="172" spans="1:25" x14ac:dyDescent="0.25">
      <c r="B172" s="9"/>
      <c r="C172" s="17">
        <v>1015.3</v>
      </c>
      <c r="D172" s="18">
        <v>30.184000000000001</v>
      </c>
      <c r="E172" s="18">
        <v>35.357999999999997</v>
      </c>
      <c r="F172" s="18">
        <v>36.942</v>
      </c>
      <c r="G172" s="18">
        <v>70.08</v>
      </c>
      <c r="H172" s="18">
        <f t="shared" si="16"/>
        <v>31.675500000000003</v>
      </c>
      <c r="I172" s="5"/>
      <c r="J172" s="17">
        <v>802.80640000000005</v>
      </c>
      <c r="K172" s="18">
        <v>30.350200000000001</v>
      </c>
      <c r="L172" s="18">
        <v>35.742800000000003</v>
      </c>
      <c r="M172" s="18">
        <v>37.283299999999997</v>
      </c>
      <c r="N172" s="18">
        <v>47.259</v>
      </c>
      <c r="O172" s="18">
        <f t="shared" si="17"/>
        <v>31.890912499999999</v>
      </c>
      <c r="P172" s="7"/>
      <c r="Q172" s="10"/>
      <c r="R172" s="11"/>
      <c r="S172" s="11"/>
      <c r="T172" s="26"/>
      <c r="U172" s="28">
        <f t="shared" si="18"/>
        <v>-0.32564212328767123</v>
      </c>
      <c r="V172" s="57">
        <f t="shared" si="20"/>
        <v>3.304761904761909E-2</v>
      </c>
      <c r="W172" s="57">
        <f t="shared" si="19"/>
        <v>3.5080000000000666E-3</v>
      </c>
      <c r="X172" s="56">
        <v>1050</v>
      </c>
      <c r="Y172" s="56">
        <v>800</v>
      </c>
    </row>
    <row r="173" spans="1:25" x14ac:dyDescent="0.25">
      <c r="B173" s="9"/>
      <c r="C173" s="17">
        <v>640.32000000000005</v>
      </c>
      <c r="D173" s="18">
        <v>28.367000000000001</v>
      </c>
      <c r="E173" s="18">
        <v>34.664000000000001</v>
      </c>
      <c r="F173" s="18">
        <v>36.176000000000002</v>
      </c>
      <c r="G173" s="18">
        <v>73.08</v>
      </c>
      <c r="H173" s="18">
        <f t="shared" si="16"/>
        <v>30.130249999999997</v>
      </c>
      <c r="I173" s="5"/>
      <c r="J173" s="17">
        <v>501.65120000000002</v>
      </c>
      <c r="K173" s="18">
        <v>28.664000000000001</v>
      </c>
      <c r="L173" s="18">
        <v>34.806899999999999</v>
      </c>
      <c r="M173" s="18">
        <v>36.324800000000003</v>
      </c>
      <c r="N173" s="18">
        <v>55.442599999999999</v>
      </c>
      <c r="O173" s="18">
        <f t="shared" si="17"/>
        <v>30.389462500000004</v>
      </c>
      <c r="P173" s="7"/>
      <c r="Q173" s="10"/>
      <c r="R173" s="11"/>
      <c r="S173" s="11"/>
      <c r="T173" s="26"/>
      <c r="U173" s="28">
        <f t="shared" si="18"/>
        <v>-0.24134373289545702</v>
      </c>
      <c r="V173" s="57">
        <f t="shared" si="20"/>
        <v>1.4892307692307616E-2</v>
      </c>
      <c r="W173" s="57">
        <f t="shared" si="19"/>
        <v>3.3024000000000343E-3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402.38</v>
      </c>
      <c r="D174" s="20">
        <v>26.648</v>
      </c>
      <c r="E174" s="20">
        <v>33.944000000000003</v>
      </c>
      <c r="F174" s="20">
        <v>35.378</v>
      </c>
      <c r="G174" s="20">
        <v>74.349999999999994</v>
      </c>
      <c r="H174" s="20">
        <f t="shared" si="16"/>
        <v>28.651249999999997</v>
      </c>
      <c r="I174" s="5"/>
      <c r="J174" s="19">
        <v>300.29360000000003</v>
      </c>
      <c r="K174" s="20">
        <v>27.0838</v>
      </c>
      <c r="L174" s="20">
        <v>33.7849</v>
      </c>
      <c r="M174" s="20">
        <v>35.194299999999998</v>
      </c>
      <c r="N174" s="20">
        <v>65.746200000000002</v>
      </c>
      <c r="O174" s="20">
        <f t="shared" si="17"/>
        <v>28.93525</v>
      </c>
      <c r="P174" s="7"/>
      <c r="Q174" s="13"/>
      <c r="R174" s="14"/>
      <c r="S174" s="14"/>
      <c r="T174" s="27"/>
      <c r="U174" s="28">
        <f t="shared" si="18"/>
        <v>-0.11572024209818417</v>
      </c>
      <c r="V174" s="57">
        <f t="shared" si="20"/>
        <v>5.9499999999999883E-3</v>
      </c>
      <c r="W174" s="57">
        <f t="shared" si="19"/>
        <v>9.7866666666675435E-4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834.4</v>
      </c>
      <c r="D175" s="16">
        <v>33.856999999999999</v>
      </c>
      <c r="E175" s="16">
        <v>38.332999999999998</v>
      </c>
      <c r="F175" s="16">
        <v>37.234000000000002</v>
      </c>
      <c r="G175" s="16">
        <v>275.64999999999998</v>
      </c>
      <c r="H175" s="16">
        <f t="shared" si="16"/>
        <v>34.838625</v>
      </c>
      <c r="I175" s="5"/>
      <c r="J175" s="15">
        <v>603.56240000000003</v>
      </c>
      <c r="K175" s="16">
        <v>33.630200000000002</v>
      </c>
      <c r="L175" s="16">
        <v>39.168799999999997</v>
      </c>
      <c r="M175" s="16">
        <v>37.610399999999998</v>
      </c>
      <c r="N175" s="16">
        <v>156.9366</v>
      </c>
      <c r="O175" s="16">
        <f t="shared" si="17"/>
        <v>34.820050000000002</v>
      </c>
      <c r="P175" s="7"/>
      <c r="Q175" s="8">
        <f>bdrate(C175:C178,D175:D178,J175:J178,K175:K178)</f>
        <v>-0.26935477470336155</v>
      </c>
      <c r="R175" s="8">
        <f>bdrate(C175:C178,E175:E178,J175:J178,L175:L178)</f>
        <v>-0.39548517753411272</v>
      </c>
      <c r="S175" s="8">
        <f>bdrate(C175:C178,F175:F178,J175:J178,M175:M178)</f>
        <v>-0.29745293234612957</v>
      </c>
      <c r="T175" s="25">
        <f>bdrate(C175:C178,H175:H178,J175:J178,O175:O178)</f>
        <v>-0.28223224378497846</v>
      </c>
      <c r="U175" s="28">
        <f t="shared" si="18"/>
        <v>-0.43066715037184833</v>
      </c>
      <c r="V175" s="57">
        <f t="shared" si="20"/>
        <v>4.2999999999999969E-2</v>
      </c>
      <c r="W175" s="57">
        <f t="shared" si="19"/>
        <v>5.9373333333333752E-3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523.11</v>
      </c>
      <c r="D176" s="18">
        <v>31.71</v>
      </c>
      <c r="E176" s="18">
        <v>37.343000000000004</v>
      </c>
      <c r="F176" s="18">
        <v>35.978000000000002</v>
      </c>
      <c r="G176" s="18">
        <v>305.25</v>
      </c>
      <c r="H176" s="18">
        <f t="shared" si="16"/>
        <v>32.947625000000002</v>
      </c>
      <c r="I176" s="5"/>
      <c r="J176" s="17">
        <v>402.99360000000001</v>
      </c>
      <c r="K176" s="18">
        <v>31.839200000000002</v>
      </c>
      <c r="L176" s="18">
        <v>38.0366</v>
      </c>
      <c r="M176" s="18">
        <v>36.345999999999997</v>
      </c>
      <c r="N176" s="18">
        <v>184.5018</v>
      </c>
      <c r="O176" s="18">
        <f t="shared" si="17"/>
        <v>33.177225</v>
      </c>
      <c r="P176" s="7"/>
      <c r="Q176" s="10"/>
      <c r="R176" s="11"/>
      <c r="S176" s="11"/>
      <c r="T176" s="26"/>
      <c r="U176" s="28">
        <f t="shared" si="18"/>
        <v>-0.39557149877149878</v>
      </c>
      <c r="V176" s="57">
        <f t="shared" si="20"/>
        <v>4.6220000000000025E-2</v>
      </c>
      <c r="W176" s="57">
        <f t="shared" si="19"/>
        <v>7.4840000000000375E-3</v>
      </c>
      <c r="X176" s="56">
        <v>500</v>
      </c>
      <c r="Y176" s="56">
        <v>400</v>
      </c>
    </row>
    <row r="177" spans="1:25" x14ac:dyDescent="0.25">
      <c r="B177" s="9"/>
      <c r="C177" s="17">
        <v>316.06</v>
      </c>
      <c r="D177" s="18">
        <v>29.585999999999999</v>
      </c>
      <c r="E177" s="18">
        <v>36.389000000000003</v>
      </c>
      <c r="F177" s="18">
        <v>34.837000000000003</v>
      </c>
      <c r="G177" s="18">
        <v>327.78</v>
      </c>
      <c r="H177" s="18">
        <f t="shared" si="16"/>
        <v>31.092750000000002</v>
      </c>
      <c r="I177" s="5"/>
      <c r="J177" s="17">
        <v>252.1104</v>
      </c>
      <c r="K177" s="18">
        <v>29.925599999999999</v>
      </c>
      <c r="L177" s="18">
        <v>36.927500000000002</v>
      </c>
      <c r="M177" s="18">
        <v>35.151699999999998</v>
      </c>
      <c r="N177" s="18">
        <v>203.41739999999999</v>
      </c>
      <c r="O177" s="18">
        <f t="shared" si="17"/>
        <v>31.4541</v>
      </c>
      <c r="P177" s="7"/>
      <c r="Q177" s="10"/>
      <c r="R177" s="11"/>
      <c r="S177" s="11"/>
      <c r="T177" s="26"/>
      <c r="U177" s="28">
        <f t="shared" si="18"/>
        <v>-0.37940874977118799</v>
      </c>
      <c r="V177" s="57">
        <f t="shared" si="20"/>
        <v>5.3533333333333342E-2</v>
      </c>
      <c r="W177" s="57">
        <f t="shared" si="19"/>
        <v>8.4415999999999936E-3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161.82</v>
      </c>
      <c r="D178" s="20">
        <v>26.765999999999998</v>
      </c>
      <c r="E178" s="20">
        <v>35.311999999999998</v>
      </c>
      <c r="F178" s="20">
        <v>33.649000000000001</v>
      </c>
      <c r="G178" s="20">
        <v>354.5</v>
      </c>
      <c r="H178" s="20">
        <f t="shared" si="16"/>
        <v>28.694625000000002</v>
      </c>
      <c r="I178" s="5"/>
      <c r="J178" s="19">
        <v>121.35680000000001</v>
      </c>
      <c r="K178" s="20">
        <v>27.2331</v>
      </c>
      <c r="L178" s="20">
        <v>35.407499999999999</v>
      </c>
      <c r="M178" s="20">
        <v>33.267099999999999</v>
      </c>
      <c r="N178" s="20">
        <v>247.2799</v>
      </c>
      <c r="O178" s="20">
        <f t="shared" si="17"/>
        <v>29.009149999999998</v>
      </c>
      <c r="P178" s="7"/>
      <c r="Q178" s="13"/>
      <c r="R178" s="14"/>
      <c r="S178" s="14"/>
      <c r="T178" s="27"/>
      <c r="U178" s="28">
        <f t="shared" si="18"/>
        <v>-0.30245444287729195</v>
      </c>
      <c r="V178" s="57">
        <f t="shared" si="20"/>
        <v>7.8799999999999953E-2</v>
      </c>
      <c r="W178" s="57">
        <f t="shared" si="19"/>
        <v>1.1306666666666724E-2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779.95</v>
      </c>
      <c r="D179" s="16">
        <v>30.905999999999999</v>
      </c>
      <c r="E179" s="16">
        <v>38.768000000000001</v>
      </c>
      <c r="F179" s="16">
        <v>39.264000000000003</v>
      </c>
      <c r="G179" s="16">
        <v>304.05</v>
      </c>
      <c r="H179" s="16">
        <f t="shared" si="16"/>
        <v>32.933499999999995</v>
      </c>
      <c r="I179" s="5"/>
      <c r="J179" s="15">
        <v>599.65200000000004</v>
      </c>
      <c r="K179" s="16">
        <v>33.088000000000001</v>
      </c>
      <c r="L179" s="16">
        <v>41.108400000000003</v>
      </c>
      <c r="M179" s="16">
        <v>41.9251</v>
      </c>
      <c r="N179" s="16">
        <v>167.41069999999999</v>
      </c>
      <c r="O179" s="16">
        <f t="shared" si="17"/>
        <v>35.195187500000003</v>
      </c>
      <c r="P179" s="7"/>
      <c r="Q179" s="8">
        <f>bdrate(C179:C182,D179:D182,J179:J182,K179:K182)</f>
        <v>-0.60095360523834884</v>
      </c>
      <c r="R179" s="8">
        <f>bdrate(C179:C182,E179:E182,J179:J182,L179:L182)</f>
        <v>-0.7167554356219662</v>
      </c>
      <c r="S179" s="8">
        <f>bdrate(C179:C182,F179:F182,J179:J182,M179:M182)</f>
        <v>-0.76099064128144223</v>
      </c>
      <c r="T179" s="25">
        <f>bdrate(C179:C182,H179:H182,J179:J182,O179:O182)</f>
        <v>-0.62257881810656868</v>
      </c>
      <c r="U179" s="28">
        <f t="shared" si="18"/>
        <v>-0.44939746752178922</v>
      </c>
      <c r="V179" s="57">
        <f t="shared" si="20"/>
        <v>2.5062499999999942E-2</v>
      </c>
      <c r="W179" s="57">
        <f t="shared" si="19"/>
        <v>5.7999999999992725E-4</v>
      </c>
      <c r="X179" s="56">
        <v>800</v>
      </c>
      <c r="Y179" s="56">
        <v>600</v>
      </c>
    </row>
    <row r="180" spans="1:25" x14ac:dyDescent="0.25">
      <c r="B180" s="9"/>
      <c r="C180" s="17">
        <v>482.32</v>
      </c>
      <c r="D180" s="18">
        <v>29.32</v>
      </c>
      <c r="E180" s="18">
        <v>38.323</v>
      </c>
      <c r="F180" s="18">
        <v>38.646999999999998</v>
      </c>
      <c r="G180" s="18">
        <v>346.44</v>
      </c>
      <c r="H180" s="18">
        <f t="shared" si="16"/>
        <v>31.611250000000002</v>
      </c>
      <c r="I180" s="5"/>
      <c r="J180" s="17">
        <v>398.68880000000001</v>
      </c>
      <c r="K180" s="18">
        <v>31.795400000000001</v>
      </c>
      <c r="L180" s="18">
        <v>40.280099999999997</v>
      </c>
      <c r="M180" s="18">
        <v>41.081600000000002</v>
      </c>
      <c r="N180" s="18">
        <v>196.01439999999999</v>
      </c>
      <c r="O180" s="18">
        <f t="shared" si="17"/>
        <v>34.016762499999999</v>
      </c>
      <c r="P180" s="7"/>
      <c r="Q180" s="10"/>
      <c r="R180" s="11"/>
      <c r="S180" s="11"/>
      <c r="T180" s="26"/>
      <c r="U180" s="28">
        <f t="shared" si="18"/>
        <v>-0.43420390255166841</v>
      </c>
      <c r="V180" s="57">
        <f t="shared" si="20"/>
        <v>3.5360000000000016E-2</v>
      </c>
      <c r="W180" s="57">
        <f t="shared" si="19"/>
        <v>3.2779999999999632E-3</v>
      </c>
      <c r="X180" s="56">
        <v>500</v>
      </c>
      <c r="Y180" s="56">
        <v>400</v>
      </c>
    </row>
    <row r="181" spans="1:25" x14ac:dyDescent="0.25">
      <c r="B181" s="9"/>
      <c r="C181" s="17">
        <v>286.7</v>
      </c>
      <c r="D181" s="18">
        <v>27.661999999999999</v>
      </c>
      <c r="E181" s="18">
        <v>37.93</v>
      </c>
      <c r="F181" s="18">
        <v>38.082999999999998</v>
      </c>
      <c r="G181" s="18">
        <v>376.67</v>
      </c>
      <c r="H181" s="18">
        <f t="shared" si="16"/>
        <v>30.248124999999998</v>
      </c>
      <c r="I181" s="5"/>
      <c r="J181" s="17">
        <v>250.184</v>
      </c>
      <c r="K181" s="18">
        <v>30.249199999999998</v>
      </c>
      <c r="L181" s="18">
        <v>39.321599999999997</v>
      </c>
      <c r="M181" s="18">
        <v>40.0152</v>
      </c>
      <c r="N181" s="18">
        <v>223.71360000000001</v>
      </c>
      <c r="O181" s="18">
        <f t="shared" si="17"/>
        <v>32.603999999999999</v>
      </c>
      <c r="P181" s="7"/>
      <c r="Q181" s="10"/>
      <c r="R181" s="11"/>
      <c r="S181" s="11"/>
      <c r="T181" s="26"/>
      <c r="U181" s="28">
        <f t="shared" si="18"/>
        <v>-0.40607534446597815</v>
      </c>
      <c r="V181" s="57">
        <f t="shared" si="20"/>
        <v>4.433333333333337E-2</v>
      </c>
      <c r="W181" s="57">
        <f t="shared" si="19"/>
        <v>7.3599999999999003E-4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141.01</v>
      </c>
      <c r="D182" s="20">
        <v>25.56</v>
      </c>
      <c r="E182" s="20">
        <v>37.305</v>
      </c>
      <c r="F182" s="20">
        <v>37.445</v>
      </c>
      <c r="G182" s="20">
        <v>402.14</v>
      </c>
      <c r="H182" s="20">
        <f t="shared" si="16"/>
        <v>28.513749999999998</v>
      </c>
      <c r="I182" s="5"/>
      <c r="J182" s="19">
        <v>119.8464</v>
      </c>
      <c r="K182" s="20">
        <v>27.6492</v>
      </c>
      <c r="L182" s="20">
        <v>38.052500000000002</v>
      </c>
      <c r="M182" s="20">
        <v>38.587499999999999</v>
      </c>
      <c r="N182" s="20">
        <v>255.42779999999999</v>
      </c>
      <c r="O182" s="20">
        <f t="shared" si="17"/>
        <v>30.3169</v>
      </c>
      <c r="P182" s="7"/>
      <c r="Q182" s="13"/>
      <c r="R182" s="14"/>
      <c r="S182" s="14"/>
      <c r="T182" s="27"/>
      <c r="U182" s="28">
        <f t="shared" si="18"/>
        <v>-0.36482866663351071</v>
      </c>
      <c r="V182" s="57">
        <f t="shared" si="20"/>
        <v>5.9933333333333394E-2</v>
      </c>
      <c r="W182" s="57">
        <f t="shared" si="19"/>
        <v>1.2799999999999776E-3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846.14</v>
      </c>
      <c r="D183" s="30">
        <v>32.145000000000003</v>
      </c>
      <c r="E183" s="30">
        <v>36.034999999999997</v>
      </c>
      <c r="F183" s="30">
        <v>36.46</v>
      </c>
      <c r="G183" s="16">
        <v>291.20999999999998</v>
      </c>
      <c r="H183" s="16">
        <f t="shared" si="16"/>
        <v>33.170625000000001</v>
      </c>
      <c r="I183" s="5"/>
      <c r="J183" s="29">
        <v>635.04960000000005</v>
      </c>
      <c r="K183" s="30">
        <v>32.573799999999999</v>
      </c>
      <c r="L183" s="30">
        <v>37.795000000000002</v>
      </c>
      <c r="M183" s="30">
        <v>38.536900000000003</v>
      </c>
      <c r="N183" s="16">
        <v>158.98249999999999</v>
      </c>
      <c r="O183" s="16">
        <f t="shared" si="17"/>
        <v>33.971837499999999</v>
      </c>
      <c r="P183" s="7"/>
      <c r="Q183" s="8">
        <f>bdrate(C183:C186,D183:D186,J183:J186,K183:K186)</f>
        <v>-0.35733550214754306</v>
      </c>
      <c r="R183" s="8">
        <f>bdrate(C183:C186,E183:E186,J183:J186,L183:L186)</f>
        <v>-0.61212187090238701</v>
      </c>
      <c r="S183" s="8">
        <f>bdrate(C183:C186,F183:F186,J183:J186,M183:M186)</f>
        <v>-0.66889192899189398</v>
      </c>
      <c r="T183" s="25">
        <f>bdrate(C183:C186,H183:H186,J183:J186,O183:O186)</f>
        <v>-0.41390319882201076</v>
      </c>
      <c r="U183" s="28">
        <f t="shared" si="18"/>
        <v>-0.45406236049586207</v>
      </c>
      <c r="V183" s="57">
        <f t="shared" si="20"/>
        <v>5.7674999999999983E-2</v>
      </c>
      <c r="W183" s="57">
        <f t="shared" si="19"/>
        <v>5.8416000000000093E-2</v>
      </c>
      <c r="X183" s="56">
        <v>800</v>
      </c>
      <c r="Y183" s="56">
        <v>600</v>
      </c>
    </row>
    <row r="184" spans="1:25" x14ac:dyDescent="0.25">
      <c r="B184" s="9"/>
      <c r="C184" s="31">
        <v>527.11</v>
      </c>
      <c r="D184" s="32">
        <v>30.262</v>
      </c>
      <c r="E184" s="32">
        <v>35.043999999999997</v>
      </c>
      <c r="F184" s="32">
        <v>35.5</v>
      </c>
      <c r="G184" s="18">
        <v>324.68</v>
      </c>
      <c r="H184" s="18">
        <f t="shared" si="16"/>
        <v>31.514499999999998</v>
      </c>
      <c r="I184" s="5"/>
      <c r="J184" s="31">
        <v>421.68720000000002</v>
      </c>
      <c r="K184" s="32">
        <v>31.039899999999999</v>
      </c>
      <c r="L184" s="32">
        <v>36.824399999999997</v>
      </c>
      <c r="M184" s="32">
        <v>37.573900000000002</v>
      </c>
      <c r="N184" s="18">
        <v>182.28219999999999</v>
      </c>
      <c r="O184" s="18">
        <f t="shared" si="17"/>
        <v>32.579712499999999</v>
      </c>
      <c r="P184" s="7"/>
      <c r="Q184" s="10"/>
      <c r="R184" s="11"/>
      <c r="S184" s="11"/>
      <c r="T184" s="26"/>
      <c r="U184" s="28">
        <f t="shared" si="18"/>
        <v>-0.43857890846371816</v>
      </c>
      <c r="V184" s="57">
        <f t="shared" si="20"/>
        <v>5.4220000000000025E-2</v>
      </c>
      <c r="W184" s="57">
        <f t="shared" si="19"/>
        <v>5.4218000000000044E-2</v>
      </c>
      <c r="X184" s="56">
        <v>500</v>
      </c>
      <c r="Y184" s="56">
        <v>400</v>
      </c>
    </row>
    <row r="185" spans="1:25" x14ac:dyDescent="0.25">
      <c r="B185" s="9"/>
      <c r="C185" s="31">
        <v>313.86</v>
      </c>
      <c r="D185" s="32">
        <v>28.4</v>
      </c>
      <c r="E185" s="32">
        <v>34.228000000000002</v>
      </c>
      <c r="F185" s="32">
        <v>34.713999999999999</v>
      </c>
      <c r="G185" s="18">
        <v>355.89</v>
      </c>
      <c r="H185" s="18">
        <f t="shared" si="16"/>
        <v>29.917749999999998</v>
      </c>
      <c r="I185" s="5"/>
      <c r="J185" s="31">
        <v>264.06560000000002</v>
      </c>
      <c r="K185" s="32">
        <v>29.328800000000001</v>
      </c>
      <c r="L185" s="32">
        <v>35.610500000000002</v>
      </c>
      <c r="M185" s="32">
        <v>36.337400000000002</v>
      </c>
      <c r="N185" s="18">
        <v>209.11750000000001</v>
      </c>
      <c r="O185" s="18">
        <f t="shared" si="17"/>
        <v>30.990087500000001</v>
      </c>
      <c r="P185" s="7"/>
      <c r="Q185" s="10"/>
      <c r="R185" s="11"/>
      <c r="S185" s="11"/>
      <c r="T185" s="26"/>
      <c r="U185" s="28">
        <f t="shared" si="18"/>
        <v>-0.4124097333445727</v>
      </c>
      <c r="V185" s="57">
        <f t="shared" si="20"/>
        <v>4.6200000000000047E-2</v>
      </c>
      <c r="W185" s="57">
        <f t="shared" si="19"/>
        <v>5.6262400000000073E-2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154.31</v>
      </c>
      <c r="D186" s="34">
        <v>26.146999999999998</v>
      </c>
      <c r="E186" s="34">
        <v>33.473999999999997</v>
      </c>
      <c r="F186" s="34">
        <v>34.027999999999999</v>
      </c>
      <c r="G186" s="20">
        <v>367.77</v>
      </c>
      <c r="H186" s="20">
        <f t="shared" si="16"/>
        <v>28.047999999999998</v>
      </c>
      <c r="I186" s="5"/>
      <c r="J186" s="33">
        <v>126.244</v>
      </c>
      <c r="K186" s="34">
        <v>27.046700000000001</v>
      </c>
      <c r="L186" s="34">
        <v>34.149299999999997</v>
      </c>
      <c r="M186" s="34">
        <v>34.935299999999998</v>
      </c>
      <c r="N186" s="20">
        <v>259.20170000000002</v>
      </c>
      <c r="O186" s="20">
        <f t="shared" si="17"/>
        <v>28.9206</v>
      </c>
      <c r="P186" s="7"/>
      <c r="Q186" s="13"/>
      <c r="R186" s="14"/>
      <c r="S186" s="14"/>
      <c r="T186" s="27"/>
      <c r="U186" s="28">
        <f t="shared" si="18"/>
        <v>-0.29520705875955072</v>
      </c>
      <c r="V186" s="57">
        <f t="shared" si="20"/>
        <v>2.8733333333333347E-2</v>
      </c>
      <c r="W186" s="57">
        <f t="shared" si="19"/>
        <v>5.2033333333333334E-2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797.77</v>
      </c>
      <c r="D187" s="16">
        <v>33.627000000000002</v>
      </c>
      <c r="E187" s="16">
        <v>36.610999999999997</v>
      </c>
      <c r="F187" s="16">
        <v>37.677</v>
      </c>
      <c r="G187" s="16">
        <v>223.95</v>
      </c>
      <c r="H187" s="16">
        <f t="shared" si="16"/>
        <v>34.506250000000001</v>
      </c>
      <c r="I187" s="5"/>
      <c r="J187" s="15">
        <v>601.87040000000002</v>
      </c>
      <c r="K187" s="16">
        <v>32.745100000000001</v>
      </c>
      <c r="L187" s="16">
        <v>37.015999999999998</v>
      </c>
      <c r="M187" s="16">
        <v>38.0946</v>
      </c>
      <c r="N187" s="16">
        <v>134.28829999999999</v>
      </c>
      <c r="O187" s="16">
        <f t="shared" si="17"/>
        <v>33.947649999999996</v>
      </c>
      <c r="P187" s="7"/>
      <c r="Q187" s="8">
        <f>bdrate(C187:C190,D187:D190,J187:J190,K187:K190)</f>
        <v>-0.12251264732609335</v>
      </c>
      <c r="R187" s="8">
        <f>bdrate(C187:C190,E187:E190,J187:J190,L187:L190)</f>
        <v>-0.31555174436910938</v>
      </c>
      <c r="S187" s="8">
        <f>bdrate(C187:C190,F187:F190,J187:J190,M187:M190)</f>
        <v>-0.30707476325281702</v>
      </c>
      <c r="T187" s="25">
        <f>bdrate(C187:C190,H187:H190,J187:J190,O187:O190)</f>
        <v>-0.15458369786272164</v>
      </c>
      <c r="U187" s="28">
        <f t="shared" si="18"/>
        <v>-0.40036481357445858</v>
      </c>
      <c r="V187" s="57">
        <f t="shared" si="20"/>
        <v>2.7875000000000226E-3</v>
      </c>
      <c r="W187" s="57">
        <f t="shared" si="19"/>
        <v>3.117333333333363E-3</v>
      </c>
      <c r="X187" s="56">
        <v>800</v>
      </c>
      <c r="Y187" s="56">
        <v>600</v>
      </c>
    </row>
    <row r="188" spans="1:25" x14ac:dyDescent="0.25">
      <c r="B188" s="9"/>
      <c r="C188" s="17">
        <v>500.64</v>
      </c>
      <c r="D188" s="18">
        <v>31.527999999999999</v>
      </c>
      <c r="E188" s="18">
        <v>35.444000000000003</v>
      </c>
      <c r="F188" s="18">
        <v>36.51</v>
      </c>
      <c r="G188" s="18">
        <v>239.42</v>
      </c>
      <c r="H188" s="18">
        <f t="shared" si="16"/>
        <v>32.640250000000002</v>
      </c>
      <c r="I188" s="5"/>
      <c r="J188" s="17">
        <v>401.86959999999999</v>
      </c>
      <c r="K188" s="18">
        <v>31.031400000000001</v>
      </c>
      <c r="L188" s="18">
        <v>35.987200000000001</v>
      </c>
      <c r="M188" s="18">
        <v>37.066899999999997</v>
      </c>
      <c r="N188" s="18">
        <v>152.5941</v>
      </c>
      <c r="O188" s="18">
        <f t="shared" si="17"/>
        <v>32.405312500000001</v>
      </c>
      <c r="P188" s="7"/>
      <c r="Q188" s="10"/>
      <c r="R188" s="11"/>
      <c r="S188" s="11"/>
      <c r="T188" s="26"/>
      <c r="U188" s="28">
        <f t="shared" si="18"/>
        <v>-0.36265098989223954</v>
      </c>
      <c r="V188" s="57">
        <f t="shared" si="20"/>
        <v>1.2799999999999728E-3</v>
      </c>
      <c r="W188" s="57">
        <f t="shared" si="19"/>
        <v>4.6739999999999785E-3</v>
      </c>
      <c r="X188" s="56">
        <v>500</v>
      </c>
      <c r="Y188" s="56">
        <v>400</v>
      </c>
    </row>
    <row r="189" spans="1:25" x14ac:dyDescent="0.25">
      <c r="B189" s="9"/>
      <c r="C189" s="17">
        <v>301.10000000000002</v>
      </c>
      <c r="D189" s="18">
        <v>29.484999999999999</v>
      </c>
      <c r="E189" s="18">
        <v>34.494</v>
      </c>
      <c r="F189" s="18">
        <v>35.509</v>
      </c>
      <c r="G189" s="18">
        <v>261.20999999999998</v>
      </c>
      <c r="H189" s="18">
        <f t="shared" si="16"/>
        <v>30.864125000000001</v>
      </c>
      <c r="I189" s="5"/>
      <c r="J189" s="17">
        <v>250.62639999999999</v>
      </c>
      <c r="K189" s="18">
        <v>29.2715</v>
      </c>
      <c r="L189" s="18">
        <v>34.832599999999999</v>
      </c>
      <c r="M189" s="18">
        <v>35.8414</v>
      </c>
      <c r="N189" s="18">
        <v>174.8252</v>
      </c>
      <c r="O189" s="18">
        <f t="shared" si="17"/>
        <v>30.787874999999996</v>
      </c>
      <c r="P189" s="7"/>
      <c r="Q189" s="10"/>
      <c r="R189" s="11"/>
      <c r="S189" s="11"/>
      <c r="T189" s="26"/>
      <c r="U189" s="28">
        <f t="shared" si="18"/>
        <v>-0.33071015657899772</v>
      </c>
      <c r="V189" s="57">
        <f t="shared" si="20"/>
        <v>3.6666666666667425E-3</v>
      </c>
      <c r="W189" s="57">
        <f t="shared" si="19"/>
        <v>2.5055999999999586E-3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150.61000000000001</v>
      </c>
      <c r="D190" s="20">
        <v>26.898</v>
      </c>
      <c r="E190" s="20">
        <v>33.356000000000002</v>
      </c>
      <c r="F190" s="20">
        <v>34.332999999999998</v>
      </c>
      <c r="G190" s="20">
        <v>302.73</v>
      </c>
      <c r="H190" s="20">
        <f t="shared" si="16"/>
        <v>28.634625</v>
      </c>
      <c r="I190" s="5"/>
      <c r="J190" s="19">
        <v>121.5792</v>
      </c>
      <c r="K190" s="20">
        <v>26.9328</v>
      </c>
      <c r="L190" s="20">
        <v>33.408799999999999</v>
      </c>
      <c r="M190" s="20">
        <v>34.331400000000002</v>
      </c>
      <c r="N190" s="20">
        <v>212.917</v>
      </c>
      <c r="O190" s="20">
        <f t="shared" si="17"/>
        <v>28.667125000000002</v>
      </c>
      <c r="P190" s="7"/>
      <c r="Q190" s="13"/>
      <c r="R190" s="14"/>
      <c r="S190" s="14"/>
      <c r="T190" s="27"/>
      <c r="U190" s="28">
        <f t="shared" si="18"/>
        <v>-0.29667690681465336</v>
      </c>
      <c r="V190" s="57">
        <f t="shared" si="20"/>
        <v>4.0666666666667574E-3</v>
      </c>
      <c r="W190" s="57">
        <f t="shared" si="19"/>
        <v>1.3160000000000002E-2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1962.15</v>
      </c>
      <c r="D191" s="16">
        <v>40.24</v>
      </c>
      <c r="E191" s="16">
        <v>44.048999999999999</v>
      </c>
      <c r="F191" s="16">
        <v>45.18</v>
      </c>
      <c r="G191" s="16">
        <v>51.81</v>
      </c>
      <c r="H191" s="16">
        <f t="shared" si="16"/>
        <v>41.333624999999998</v>
      </c>
      <c r="I191" s="5"/>
      <c r="J191" s="15">
        <v>1497.116</v>
      </c>
      <c r="K191" s="16">
        <v>41.034599999999998</v>
      </c>
      <c r="L191" s="16">
        <v>45.611800000000002</v>
      </c>
      <c r="M191" s="16">
        <v>46.778700000000001</v>
      </c>
      <c r="N191" s="16">
        <v>37.039299999999997</v>
      </c>
      <c r="O191" s="16">
        <f t="shared" si="17"/>
        <v>42.324762499999999</v>
      </c>
      <c r="P191" s="7"/>
      <c r="Q191" s="8">
        <f>bdrate(C191:C194,D191:D194,J191:J194,K191:K194)</f>
        <v>-0.45209034546878757</v>
      </c>
      <c r="R191" s="8">
        <f>bdrate(C191:C194,E191:E194,J191:J194,L191:L194)</f>
        <v>-0.57376249225944598</v>
      </c>
      <c r="S191" s="8">
        <f>bdrate(C191:C194,F191:F194,J191:J194,M191:M194)</f>
        <v>-0.56667543850236957</v>
      </c>
      <c r="T191" s="25">
        <f>bdrate(C191:C194,H191:H194,J191:J194,O191:O194)</f>
        <v>-0.4751541531549629</v>
      </c>
      <c r="U191" s="28">
        <f t="shared" si="18"/>
        <v>-0.28509361127195532</v>
      </c>
      <c r="V191" s="57">
        <f t="shared" si="20"/>
        <v>6.56428571428571E-2</v>
      </c>
      <c r="W191" s="57">
        <f t="shared" si="19"/>
        <v>1.9226666666666765E-3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1285.19</v>
      </c>
      <c r="D192" s="18">
        <v>38.686</v>
      </c>
      <c r="E192" s="18">
        <v>42.906999999999996</v>
      </c>
      <c r="F192" s="18">
        <v>44.085999999999999</v>
      </c>
      <c r="G192" s="18">
        <v>56.08</v>
      </c>
      <c r="H192" s="18">
        <f t="shared" si="16"/>
        <v>39.888624999999998</v>
      </c>
      <c r="I192" s="5"/>
      <c r="J192" s="17">
        <v>990.5992</v>
      </c>
      <c r="K192" s="18">
        <v>39.856299999999997</v>
      </c>
      <c r="L192" s="18">
        <v>44.6524</v>
      </c>
      <c r="M192" s="18">
        <v>45.759900000000002</v>
      </c>
      <c r="N192" s="18">
        <v>41.410699999999999</v>
      </c>
      <c r="O192" s="18">
        <f t="shared" si="17"/>
        <v>41.193762499999998</v>
      </c>
      <c r="P192" s="7"/>
      <c r="Q192" s="10"/>
      <c r="R192" s="11"/>
      <c r="S192" s="11"/>
      <c r="T192" s="26"/>
      <c r="U192" s="28">
        <f t="shared" si="18"/>
        <v>-0.26157810271041371</v>
      </c>
      <c r="V192" s="57">
        <f t="shared" si="20"/>
        <v>8.200714285714282E-2</v>
      </c>
      <c r="W192" s="57">
        <f t="shared" si="19"/>
        <v>9.4008000000000043E-3</v>
      </c>
      <c r="X192" s="56">
        <v>1400</v>
      </c>
      <c r="Y192" s="56">
        <v>1000</v>
      </c>
    </row>
    <row r="193" spans="1:25" x14ac:dyDescent="0.25">
      <c r="B193" s="9"/>
      <c r="C193" s="17">
        <v>765.4</v>
      </c>
      <c r="D193" s="18">
        <v>36.313000000000002</v>
      </c>
      <c r="E193" s="18">
        <v>41.686</v>
      </c>
      <c r="F193" s="18">
        <v>42.685000000000002</v>
      </c>
      <c r="G193" s="18">
        <v>56.87</v>
      </c>
      <c r="H193" s="18">
        <f t="shared" si="16"/>
        <v>37.781125000000003</v>
      </c>
      <c r="I193" s="5"/>
      <c r="J193" s="17">
        <v>587.44960000000003</v>
      </c>
      <c r="K193" s="18">
        <v>37.866199999999999</v>
      </c>
      <c r="L193" s="18">
        <v>43.171500000000002</v>
      </c>
      <c r="M193" s="18">
        <v>44.277500000000003</v>
      </c>
      <c r="N193" s="18">
        <v>44.088500000000003</v>
      </c>
      <c r="O193" s="18">
        <f t="shared" si="17"/>
        <v>39.330775000000003</v>
      </c>
      <c r="P193" s="7"/>
      <c r="Q193" s="10"/>
      <c r="R193" s="11"/>
      <c r="S193" s="11"/>
      <c r="T193" s="26"/>
      <c r="U193" s="28">
        <f t="shared" si="18"/>
        <v>-0.22474942852118859</v>
      </c>
      <c r="V193" s="57">
        <f t="shared" si="20"/>
        <v>9.9529411764705908E-2</v>
      </c>
      <c r="W193" s="57">
        <f t="shared" si="19"/>
        <v>2.0917333333333281E-2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350.98</v>
      </c>
      <c r="D194" s="20">
        <v>32.423000000000002</v>
      </c>
      <c r="E194" s="20">
        <v>39.749000000000002</v>
      </c>
      <c r="F194" s="20">
        <v>40.521999999999998</v>
      </c>
      <c r="G194" s="20">
        <v>60.86</v>
      </c>
      <c r="H194" s="20">
        <f t="shared" si="16"/>
        <v>34.351125000000003</v>
      </c>
      <c r="I194" s="5"/>
      <c r="J194" s="19">
        <v>285.3528</v>
      </c>
      <c r="K194" s="20">
        <v>34.533999999999999</v>
      </c>
      <c r="L194" s="20">
        <v>41.180999999999997</v>
      </c>
      <c r="M194" s="20">
        <v>42.129100000000001</v>
      </c>
      <c r="N194" s="20">
        <v>49.293500000000002</v>
      </c>
      <c r="O194" s="20">
        <f t="shared" si="17"/>
        <v>36.314262499999998</v>
      </c>
      <c r="P194" s="7"/>
      <c r="Q194" s="13"/>
      <c r="R194" s="14"/>
      <c r="S194" s="14"/>
      <c r="T194" s="27"/>
      <c r="U194" s="28">
        <f t="shared" si="18"/>
        <v>-0.19005093657574759</v>
      </c>
      <c r="V194" s="57">
        <f t="shared" si="20"/>
        <v>0.12254999999999995</v>
      </c>
      <c r="W194" s="57">
        <f t="shared" si="19"/>
        <v>4.8823999999999992E-2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2025.02</v>
      </c>
      <c r="D195" s="16">
        <v>41.896000000000001</v>
      </c>
      <c r="E195" s="16">
        <v>46.401000000000003</v>
      </c>
      <c r="F195" s="16">
        <v>46.817999999999998</v>
      </c>
      <c r="G195" s="16">
        <v>50.09</v>
      </c>
      <c r="H195" s="16">
        <f t="shared" si="16"/>
        <v>43.074374999999996</v>
      </c>
      <c r="I195" s="5"/>
      <c r="J195" s="15">
        <v>1495.3024</v>
      </c>
      <c r="K195" s="16">
        <v>42.4024</v>
      </c>
      <c r="L195" s="16">
        <v>47.698399999999999</v>
      </c>
      <c r="M195" s="16">
        <v>48.3264</v>
      </c>
      <c r="N195" s="16">
        <v>38.056600000000003</v>
      </c>
      <c r="O195" s="16">
        <f t="shared" si="17"/>
        <v>43.804899999999996</v>
      </c>
      <c r="P195" s="7"/>
      <c r="Q195" s="8">
        <f>bdrate(C195:C198,D195:D198,J195:J198,K195:K198)</f>
        <v>-0.50903654678198629</v>
      </c>
      <c r="R195" s="8">
        <f>bdrate(C195:C198,E195:E198,J195:J198,L195:L198)</f>
        <v>-0.69339519598530985</v>
      </c>
      <c r="S195" s="8">
        <f>bdrate(C195:C198,F195:F198,J195:J198,M195:M198)</f>
        <v>-0.70449212929056371</v>
      </c>
      <c r="T195" s="25">
        <f>bdrate(C195:C198,H195:H198,J195:J198,O195:O198)</f>
        <v>-0.56324607969998941</v>
      </c>
      <c r="U195" s="28">
        <f t="shared" ref="U195:U202" si="21">(N195-G195)/G195</f>
        <v>-0.24023557596326611</v>
      </c>
      <c r="V195" s="57">
        <f t="shared" si="20"/>
        <v>3.5704761904761913E-2</v>
      </c>
      <c r="W195" s="57">
        <f t="shared" ref="W195:W202" si="22">ABS(J195-Y195)/Y195</f>
        <v>3.1317333333333104E-3</v>
      </c>
      <c r="X195" s="56">
        <v>2100</v>
      </c>
      <c r="Y195" s="56">
        <v>1500</v>
      </c>
    </row>
    <row r="196" spans="1:25" x14ac:dyDescent="0.25">
      <c r="B196" s="9"/>
      <c r="C196" s="17">
        <v>1331.73</v>
      </c>
      <c r="D196" s="18">
        <v>41.128</v>
      </c>
      <c r="E196" s="18">
        <v>45.548000000000002</v>
      </c>
      <c r="F196" s="18">
        <v>46.033999999999999</v>
      </c>
      <c r="G196" s="18">
        <v>54.82</v>
      </c>
      <c r="H196" s="18">
        <f t="shared" si="16"/>
        <v>42.293750000000003</v>
      </c>
      <c r="I196" s="5"/>
      <c r="J196" s="17">
        <v>981.62080000000003</v>
      </c>
      <c r="K196" s="18">
        <v>41.829799999999999</v>
      </c>
      <c r="L196" s="18">
        <v>47.226900000000001</v>
      </c>
      <c r="M196" s="18">
        <v>47.872900000000001</v>
      </c>
      <c r="N196" s="18">
        <v>42.049199999999999</v>
      </c>
      <c r="O196" s="18">
        <f t="shared" si="17"/>
        <v>43.259824999999999</v>
      </c>
      <c r="P196" s="7"/>
      <c r="Q196" s="10"/>
      <c r="R196" s="11"/>
      <c r="S196" s="11"/>
      <c r="T196" s="26"/>
      <c r="U196" s="28">
        <f t="shared" si="21"/>
        <v>-0.23295877417001096</v>
      </c>
      <c r="V196" s="57">
        <f t="shared" ref="V196:V202" si="23">ABS(C196-X196)/X196</f>
        <v>4.8764285714285704E-2</v>
      </c>
      <c r="W196" s="57">
        <f t="shared" si="22"/>
        <v>1.8379199999999971E-2</v>
      </c>
      <c r="X196" s="56">
        <v>1400</v>
      </c>
      <c r="Y196" s="56">
        <v>1000</v>
      </c>
    </row>
    <row r="197" spans="1:25" x14ac:dyDescent="0.25">
      <c r="B197" s="9"/>
      <c r="C197" s="17">
        <v>785.16</v>
      </c>
      <c r="D197" s="18">
        <v>39.853000000000002</v>
      </c>
      <c r="E197" s="18">
        <v>44.366999999999997</v>
      </c>
      <c r="F197" s="18">
        <v>44.847000000000001</v>
      </c>
      <c r="G197" s="18">
        <v>56.62</v>
      </c>
      <c r="H197" s="18">
        <f t="shared" si="16"/>
        <v>41.041499999999999</v>
      </c>
      <c r="I197" s="5"/>
      <c r="J197" s="17">
        <v>578.64959999999996</v>
      </c>
      <c r="K197" s="18">
        <v>40.852600000000002</v>
      </c>
      <c r="L197" s="18">
        <v>46.317799999999998</v>
      </c>
      <c r="M197" s="18">
        <v>46.905099999999997</v>
      </c>
      <c r="N197" s="18">
        <v>45.337800000000001</v>
      </c>
      <c r="O197" s="18">
        <f t="shared" si="17"/>
        <v>42.292312500000001</v>
      </c>
      <c r="P197" s="7"/>
      <c r="Q197" s="10"/>
      <c r="R197" s="11"/>
      <c r="S197" s="11"/>
      <c r="T197" s="26"/>
      <c r="U197" s="28">
        <f t="shared" si="21"/>
        <v>-0.19926174496644289</v>
      </c>
      <c r="V197" s="57">
        <f t="shared" si="23"/>
        <v>7.6282352941176509E-2</v>
      </c>
      <c r="W197" s="57">
        <f t="shared" si="22"/>
        <v>3.558400000000006E-2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347.74</v>
      </c>
      <c r="D198" s="20">
        <v>37.069000000000003</v>
      </c>
      <c r="E198" s="20">
        <v>42.320999999999998</v>
      </c>
      <c r="F198" s="20">
        <v>43.177</v>
      </c>
      <c r="G198" s="20">
        <v>60.33</v>
      </c>
      <c r="H198" s="20">
        <f t="shared" si="16"/>
        <v>38.489000000000004</v>
      </c>
      <c r="I198" s="5"/>
      <c r="J198" s="19">
        <v>282.21679999999998</v>
      </c>
      <c r="K198" s="20">
        <v>38.938200000000002</v>
      </c>
      <c r="L198" s="20">
        <v>44.591099999999997</v>
      </c>
      <c r="M198" s="20">
        <v>45.125300000000003</v>
      </c>
      <c r="N198" s="20">
        <v>49.055700000000002</v>
      </c>
      <c r="O198" s="20">
        <f t="shared" si="17"/>
        <v>40.418199999999999</v>
      </c>
      <c r="P198" s="7"/>
      <c r="Q198" s="13"/>
      <c r="R198" s="14"/>
      <c r="S198" s="14"/>
      <c r="T198" s="27"/>
      <c r="U198" s="28">
        <f t="shared" si="21"/>
        <v>-0.18687717553455988</v>
      </c>
      <c r="V198" s="57">
        <f t="shared" si="23"/>
        <v>0.13064999999999999</v>
      </c>
      <c r="W198" s="57">
        <f t="shared" si="22"/>
        <v>5.9277333333333404E-2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2115.3200000000002</v>
      </c>
      <c r="D199" s="16">
        <v>41.582999999999998</v>
      </c>
      <c r="E199" s="16">
        <v>45.216000000000001</v>
      </c>
      <c r="F199" s="16">
        <v>46.014000000000003</v>
      </c>
      <c r="G199" s="16">
        <v>48.7</v>
      </c>
      <c r="H199" s="16">
        <f t="shared" si="16"/>
        <v>42.591000000000001</v>
      </c>
      <c r="I199" s="5"/>
      <c r="J199" s="15">
        <v>1545.7816</v>
      </c>
      <c r="K199" s="16">
        <v>42.2575</v>
      </c>
      <c r="L199" s="16">
        <v>46.746400000000001</v>
      </c>
      <c r="M199" s="16">
        <v>47.621899999999997</v>
      </c>
      <c r="N199" s="16">
        <v>34.652000000000001</v>
      </c>
      <c r="O199" s="16">
        <f t="shared" si="17"/>
        <v>43.489162499999999</v>
      </c>
      <c r="P199" s="7"/>
      <c r="Q199" s="8">
        <f>bdrate(C199:C202,D199:D202,J199:J202,K199:K202)</f>
        <v>-0.50328377516973943</v>
      </c>
      <c r="R199" s="8">
        <f>bdrate(C199:C202,E199:E202,J199:J202,L199:L202)</f>
        <v>-0.64662097663556972</v>
      </c>
      <c r="S199" s="8">
        <f>bdrate(C199:C202,F199:F202,J199:J202,M199:M202)</f>
        <v>-0.63984660532868798</v>
      </c>
      <c r="T199" s="25">
        <f>bdrate(C199:C202,H199:H202,J199:J202,O199:O202)</f>
        <v>-0.53716237312042048</v>
      </c>
      <c r="U199" s="28">
        <f t="shared" si="21"/>
        <v>-0.28845995893223819</v>
      </c>
      <c r="V199" s="57">
        <f t="shared" si="23"/>
        <v>7.2952380952381731E-3</v>
      </c>
      <c r="W199" s="57">
        <f t="shared" si="22"/>
        <v>3.0521066666666683E-2</v>
      </c>
      <c r="X199" s="56">
        <v>2100</v>
      </c>
      <c r="Y199" s="56">
        <v>1500</v>
      </c>
    </row>
    <row r="200" spans="1:25" x14ac:dyDescent="0.25">
      <c r="B200" s="9"/>
      <c r="C200" s="17">
        <v>1393.58</v>
      </c>
      <c r="D200" s="18">
        <v>40.374000000000002</v>
      </c>
      <c r="E200" s="18">
        <v>44.11</v>
      </c>
      <c r="F200" s="18">
        <v>44.953000000000003</v>
      </c>
      <c r="G200" s="18">
        <v>53.05</v>
      </c>
      <c r="H200" s="18">
        <f t="shared" si="16"/>
        <v>41.413375000000002</v>
      </c>
      <c r="I200" s="5"/>
      <c r="J200" s="17">
        <v>1021.8167999999999</v>
      </c>
      <c r="K200" s="18">
        <v>41.348300000000002</v>
      </c>
      <c r="L200" s="18">
        <v>45.969799999999999</v>
      </c>
      <c r="M200" s="18">
        <v>46.765999999999998</v>
      </c>
      <c r="N200" s="18">
        <v>38.543100000000003</v>
      </c>
      <c r="O200" s="18">
        <f t="shared" si="17"/>
        <v>42.603200000000008</v>
      </c>
      <c r="P200" s="7"/>
      <c r="Q200" s="10"/>
      <c r="R200" s="11"/>
      <c r="S200" s="11"/>
      <c r="T200" s="26"/>
      <c r="U200" s="28">
        <f t="shared" si="21"/>
        <v>-0.27345711592836935</v>
      </c>
      <c r="V200" s="57">
        <f t="shared" si="23"/>
        <v>4.5857142857143379E-3</v>
      </c>
      <c r="W200" s="57">
        <f t="shared" si="22"/>
        <v>2.1816799999999945E-2</v>
      </c>
      <c r="X200" s="56">
        <v>1400</v>
      </c>
      <c r="Y200" s="56">
        <v>1000</v>
      </c>
    </row>
    <row r="201" spans="1:25" x14ac:dyDescent="0.25">
      <c r="B201" s="9"/>
      <c r="C201" s="17">
        <v>831.19</v>
      </c>
      <c r="D201" s="18">
        <v>38.496000000000002</v>
      </c>
      <c r="E201" s="18">
        <v>42.651000000000003</v>
      </c>
      <c r="F201" s="18">
        <v>43.529000000000003</v>
      </c>
      <c r="G201" s="18">
        <v>55.19</v>
      </c>
      <c r="H201" s="18">
        <f t="shared" si="16"/>
        <v>39.644500000000001</v>
      </c>
      <c r="I201" s="5"/>
      <c r="J201" s="17">
        <v>603.82240000000002</v>
      </c>
      <c r="K201" s="18">
        <v>39.912500000000001</v>
      </c>
      <c r="L201" s="18">
        <v>44.679000000000002</v>
      </c>
      <c r="M201" s="18">
        <v>45.514600000000002</v>
      </c>
      <c r="N201" s="18">
        <v>41.554099999999998</v>
      </c>
      <c r="O201" s="18">
        <f t="shared" si="17"/>
        <v>41.208574999999996</v>
      </c>
      <c r="P201" s="7"/>
      <c r="Q201" s="10"/>
      <c r="R201" s="11"/>
      <c r="S201" s="11"/>
      <c r="T201" s="26"/>
      <c r="U201" s="28">
        <f t="shared" si="21"/>
        <v>-0.24707193332125385</v>
      </c>
      <c r="V201" s="57">
        <f t="shared" si="23"/>
        <v>2.2129411764705818E-2</v>
      </c>
      <c r="W201" s="57">
        <f t="shared" si="22"/>
        <v>6.3706666666666937E-3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380.3</v>
      </c>
      <c r="D202" s="20">
        <v>35.079000000000001</v>
      </c>
      <c r="E202" s="20">
        <v>40.633000000000003</v>
      </c>
      <c r="F202" s="20">
        <v>41.518999999999998</v>
      </c>
      <c r="G202" s="20">
        <v>58.2</v>
      </c>
      <c r="H202" s="20">
        <f t="shared" si="16"/>
        <v>36.578249999999997</v>
      </c>
      <c r="I202" s="5"/>
      <c r="J202" s="19">
        <v>297.18239999999997</v>
      </c>
      <c r="K202" s="20">
        <v>37.191200000000002</v>
      </c>
      <c r="L202" s="20">
        <v>42.596200000000003</v>
      </c>
      <c r="M202" s="20">
        <v>43.290799999999997</v>
      </c>
      <c r="N202" s="20">
        <v>45.547699999999999</v>
      </c>
      <c r="O202" s="20">
        <f t="shared" si="17"/>
        <v>38.629275</v>
      </c>
      <c r="P202" s="7"/>
      <c r="Q202" s="13"/>
      <c r="R202" s="14"/>
      <c r="S202" s="14"/>
      <c r="T202" s="27"/>
      <c r="U202" s="28">
        <f t="shared" si="21"/>
        <v>-0.21739347079037807</v>
      </c>
      <c r="V202" s="57">
        <f t="shared" si="23"/>
        <v>4.9249999999999974E-2</v>
      </c>
      <c r="W202" s="57">
        <f t="shared" si="22"/>
        <v>9.3920000000000912E-3</v>
      </c>
      <c r="X202" s="56">
        <v>400</v>
      </c>
      <c r="Y202" s="56">
        <v>300</v>
      </c>
    </row>
    <row r="203" spans="1:25" x14ac:dyDescent="0.25">
      <c r="A203" s="6" t="s">
        <v>81</v>
      </c>
      <c r="B203" s="6" t="s">
        <v>82</v>
      </c>
      <c r="C203" s="15">
        <v>1521.16</v>
      </c>
      <c r="D203" s="16">
        <v>39.338999999999999</v>
      </c>
      <c r="E203" s="16">
        <v>46.036999999999999</v>
      </c>
      <c r="F203" s="16">
        <v>44.63</v>
      </c>
      <c r="G203" s="16">
        <v>26.69</v>
      </c>
      <c r="H203" s="16">
        <f t="shared" ref="H203:H225" si="24">(6*D203+E203+F203)/8</f>
        <v>40.837624999999996</v>
      </c>
      <c r="I203" s="5"/>
      <c r="J203" s="15">
        <v>1002.0495</v>
      </c>
      <c r="K203" s="16">
        <v>38.693800000000003</v>
      </c>
      <c r="L203" s="16">
        <v>45.645699999999998</v>
      </c>
      <c r="M203" s="16">
        <v>44.267899999999997</v>
      </c>
      <c r="N203" s="16">
        <v>22.0608</v>
      </c>
      <c r="O203" s="16">
        <f t="shared" ref="O203:O246" si="25">(6*K203+L203+M203)/8</f>
        <v>40.259549999999997</v>
      </c>
      <c r="P203" s="7"/>
      <c r="Q203" s="8">
        <f>bdrate(C203:C206,D203:D206,J203:J206,K203:K206)</f>
        <v>-0.35517397041764442</v>
      </c>
      <c r="R203" s="8">
        <f>bdrate(C203:C206,E203:E206,J203:J206,L203:L206)</f>
        <v>-0.32855273288458786</v>
      </c>
      <c r="S203" s="8">
        <f>bdrate(C203:C206,F203:F206,J203:J206,M203:M206)</f>
        <v>-0.31860294773922326</v>
      </c>
      <c r="T203" s="25">
        <f>bdrate(C203:C206,H203:H206,J203:J206,O203:O206)</f>
        <v>-0.35102358738168815</v>
      </c>
      <c r="U203" s="28">
        <f t="shared" ref="U203:U225" si="26">(N203-G203)/G203</f>
        <v>-0.17344323716747848</v>
      </c>
      <c r="V203" s="57">
        <f t="shared" ref="V203:V246" si="27">ABS(C203-X203)/X203</f>
        <v>1.410666666666672E-2</v>
      </c>
      <c r="W203" s="57">
        <f t="shared" ref="W203:W246" si="28">ABS(J203-Y203)/Y203</f>
        <v>2.0494999999999663E-3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1015.01</v>
      </c>
      <c r="D204" s="18">
        <v>37.454000000000001</v>
      </c>
      <c r="E204" s="18">
        <v>44.896999999999998</v>
      </c>
      <c r="F204" s="18">
        <v>43.466000000000001</v>
      </c>
      <c r="G204" s="18">
        <v>27.82</v>
      </c>
      <c r="H204" s="18">
        <f t="shared" si="24"/>
        <v>39.135874999999999</v>
      </c>
      <c r="I204" s="5"/>
      <c r="J204" s="17">
        <v>597.63900000000001</v>
      </c>
      <c r="K204" s="18">
        <v>36.673400000000001</v>
      </c>
      <c r="L204" s="18">
        <v>44.424900000000001</v>
      </c>
      <c r="M204" s="18">
        <v>43.013599999999997</v>
      </c>
      <c r="N204" s="18">
        <v>25.2852</v>
      </c>
      <c r="O204" s="18">
        <f t="shared" si="25"/>
        <v>38.434862500000001</v>
      </c>
      <c r="P204" s="7"/>
      <c r="Q204" s="10"/>
      <c r="R204" s="11"/>
      <c r="S204" s="11"/>
      <c r="T204" s="26"/>
      <c r="U204" s="28">
        <f t="shared" si="26"/>
        <v>-9.1114306254493196E-2</v>
      </c>
      <c r="V204" s="57">
        <f t="shared" si="27"/>
        <v>1.500999999999999E-2</v>
      </c>
      <c r="W204" s="57">
        <f t="shared" si="28"/>
        <v>3.9349999999999836E-3</v>
      </c>
      <c r="X204" s="56">
        <v>1000</v>
      </c>
      <c r="Y204" s="56">
        <v>600</v>
      </c>
    </row>
    <row r="205" spans="1:25" x14ac:dyDescent="0.25">
      <c r="B205" s="9"/>
      <c r="C205" s="17">
        <v>609.87</v>
      </c>
      <c r="D205" s="18">
        <v>34.844999999999999</v>
      </c>
      <c r="E205" s="18">
        <v>43.335000000000001</v>
      </c>
      <c r="F205" s="18">
        <v>41.921999999999997</v>
      </c>
      <c r="G205" s="18">
        <v>28.23</v>
      </c>
      <c r="H205" s="18">
        <f t="shared" si="24"/>
        <v>36.790875</v>
      </c>
      <c r="I205" s="5"/>
      <c r="J205" s="17">
        <v>296.16030000000001</v>
      </c>
      <c r="K205" s="18">
        <v>33.648099999999999</v>
      </c>
      <c r="L205" s="18">
        <v>42.447899999999997</v>
      </c>
      <c r="M205" s="18">
        <v>40.950200000000002</v>
      </c>
      <c r="N205" s="18">
        <v>30.1249</v>
      </c>
      <c r="O205" s="18">
        <f t="shared" si="25"/>
        <v>35.6608375</v>
      </c>
      <c r="P205" s="7"/>
      <c r="Q205" s="10"/>
      <c r="R205" s="11"/>
      <c r="S205" s="11"/>
      <c r="T205" s="26"/>
      <c r="U205" s="28">
        <f t="shared" si="26"/>
        <v>6.7123627346794182E-2</v>
      </c>
      <c r="V205" s="57">
        <f t="shared" si="27"/>
        <v>1.6450000000000006E-2</v>
      </c>
      <c r="W205" s="57">
        <f t="shared" si="28"/>
        <v>1.2798999999999979E-2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304.07</v>
      </c>
      <c r="D206" s="20">
        <v>30.55</v>
      </c>
      <c r="E206" s="20">
        <v>41.133000000000003</v>
      </c>
      <c r="F206" s="20">
        <v>39.774000000000001</v>
      </c>
      <c r="G206" s="20">
        <v>28.33</v>
      </c>
      <c r="H206" s="20">
        <f t="shared" si="24"/>
        <v>33.025874999999999</v>
      </c>
      <c r="I206" s="5"/>
      <c r="J206" s="19">
        <v>197.19290000000001</v>
      </c>
      <c r="K206" s="20">
        <v>31.778199999999998</v>
      </c>
      <c r="L206" s="20">
        <v>41.1648</v>
      </c>
      <c r="M206" s="20">
        <v>39.664700000000003</v>
      </c>
      <c r="N206" s="20">
        <v>33.062100000000001</v>
      </c>
      <c r="O206" s="20">
        <f t="shared" si="25"/>
        <v>33.937337499999998</v>
      </c>
      <c r="P206" s="7"/>
      <c r="Q206" s="13"/>
      <c r="R206" s="14"/>
      <c r="S206" s="14"/>
      <c r="T206" s="27"/>
      <c r="U206" s="28">
        <f t="shared" si="26"/>
        <v>0.16703494528768101</v>
      </c>
      <c r="V206" s="57">
        <f t="shared" si="27"/>
        <v>1.3566666666666644E-2</v>
      </c>
      <c r="W206" s="57">
        <f t="shared" si="28"/>
        <v>1.4035499999999956E-2</v>
      </c>
      <c r="X206" s="56">
        <v>300</v>
      </c>
      <c r="Y206" s="56">
        <v>200</v>
      </c>
    </row>
    <row r="207" spans="1:25" x14ac:dyDescent="0.25">
      <c r="B207" s="6" t="s">
        <v>83</v>
      </c>
      <c r="C207" s="29">
        <v>1486.32</v>
      </c>
      <c r="D207" s="30">
        <v>40.808</v>
      </c>
      <c r="E207" s="30">
        <v>46.606000000000002</v>
      </c>
      <c r="F207" s="30">
        <v>46.158000000000001</v>
      </c>
      <c r="G207" s="16">
        <v>29.14</v>
      </c>
      <c r="H207" s="16">
        <f t="shared" si="24"/>
        <v>42.201500000000003</v>
      </c>
      <c r="I207" s="5"/>
      <c r="J207" s="29">
        <v>1005.2808</v>
      </c>
      <c r="K207" s="30">
        <v>40.1126</v>
      </c>
      <c r="L207" s="30">
        <v>46.140700000000002</v>
      </c>
      <c r="M207" s="30">
        <v>45.914200000000001</v>
      </c>
      <c r="N207" s="16">
        <v>23.443200000000001</v>
      </c>
      <c r="O207" s="16">
        <f t="shared" si="25"/>
        <v>41.591312500000001</v>
      </c>
      <c r="P207" s="7"/>
      <c r="Q207" s="8">
        <f>bdrate(C207:C210,D207:D210,J207:J210,K207:K210)</f>
        <v>-0.34716581356590848</v>
      </c>
      <c r="R207" s="8">
        <f>bdrate(C207:C210,E207:E210,J207:J210,L207:L210)</f>
        <v>-0.31469630598730169</v>
      </c>
      <c r="S207" s="8">
        <f>bdrate(C207:C210,F207:F210,J207:J210,M207:M210)</f>
        <v>-0.36606557779624449</v>
      </c>
      <c r="T207" s="25">
        <f>bdrate(C207:C210,H207:H210,J207:J210,O207:O210)</f>
        <v>-0.3465130156294266</v>
      </c>
      <c r="U207" s="28">
        <f t="shared" si="26"/>
        <v>-0.19549759780370624</v>
      </c>
      <c r="V207" s="57">
        <f t="shared" si="27"/>
        <v>9.120000000000043E-3</v>
      </c>
      <c r="W207" s="57">
        <f t="shared" si="28"/>
        <v>5.2807999999999996E-3</v>
      </c>
      <c r="X207" s="56">
        <v>1500</v>
      </c>
      <c r="Y207" s="56">
        <v>1000</v>
      </c>
    </row>
    <row r="208" spans="1:25" x14ac:dyDescent="0.25">
      <c r="B208" s="9"/>
      <c r="C208" s="31">
        <v>988.08</v>
      </c>
      <c r="D208" s="32">
        <v>38.965000000000003</v>
      </c>
      <c r="E208" s="32">
        <v>45.543999999999997</v>
      </c>
      <c r="F208" s="32">
        <v>45.124000000000002</v>
      </c>
      <c r="G208" s="18">
        <v>30.43</v>
      </c>
      <c r="H208" s="18">
        <f t="shared" si="24"/>
        <v>40.557250000000003</v>
      </c>
      <c r="I208" s="5"/>
      <c r="J208" s="31">
        <v>603.72370000000001</v>
      </c>
      <c r="K208" s="32">
        <v>38.2806</v>
      </c>
      <c r="L208" s="32">
        <v>45.122300000000003</v>
      </c>
      <c r="M208" s="32">
        <v>44.927900000000001</v>
      </c>
      <c r="N208" s="18">
        <v>26.738600000000002</v>
      </c>
      <c r="O208" s="18">
        <f t="shared" si="25"/>
        <v>39.966725000000004</v>
      </c>
      <c r="P208" s="7"/>
      <c r="Q208" s="10"/>
      <c r="R208" s="11"/>
      <c r="S208" s="11"/>
      <c r="T208" s="26"/>
      <c r="U208" s="28">
        <f t="shared" si="26"/>
        <v>-0.12130791981597101</v>
      </c>
      <c r="V208" s="57">
        <f t="shared" si="27"/>
        <v>1.1919999999999958E-2</v>
      </c>
      <c r="W208" s="57">
        <f t="shared" si="28"/>
        <v>6.2061666666666801E-3</v>
      </c>
      <c r="X208" s="56">
        <v>1000</v>
      </c>
      <c r="Y208" s="56">
        <v>600</v>
      </c>
    </row>
    <row r="209" spans="2:25" x14ac:dyDescent="0.25">
      <c r="B209" s="9"/>
      <c r="C209" s="31">
        <v>589.82000000000005</v>
      </c>
      <c r="D209" s="32">
        <v>36.536000000000001</v>
      </c>
      <c r="E209" s="32">
        <v>44.164999999999999</v>
      </c>
      <c r="F209" s="32">
        <v>43.743000000000002</v>
      </c>
      <c r="G209" s="18">
        <v>30.89</v>
      </c>
      <c r="H209" s="18">
        <f t="shared" si="24"/>
        <v>38.390500000000003</v>
      </c>
      <c r="I209" s="5"/>
      <c r="J209" s="31">
        <v>299.06130000000002</v>
      </c>
      <c r="K209" s="32">
        <v>35.7211</v>
      </c>
      <c r="L209" s="32">
        <v>43.487200000000001</v>
      </c>
      <c r="M209" s="32">
        <v>43.253900000000002</v>
      </c>
      <c r="N209" s="18">
        <v>30.896799999999999</v>
      </c>
      <c r="O209" s="18">
        <f t="shared" si="25"/>
        <v>37.6334625</v>
      </c>
      <c r="P209" s="7"/>
      <c r="Q209" s="10"/>
      <c r="R209" s="11"/>
      <c r="S209" s="11"/>
      <c r="T209" s="26"/>
      <c r="U209" s="28">
        <f t="shared" si="26"/>
        <v>2.2013596633209333E-4</v>
      </c>
      <c r="V209" s="57">
        <f t="shared" si="27"/>
        <v>1.6966666666666585E-2</v>
      </c>
      <c r="W209" s="57">
        <f t="shared" si="28"/>
        <v>3.1289999999999435E-3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294.10000000000002</v>
      </c>
      <c r="D210" s="34">
        <v>32.685000000000002</v>
      </c>
      <c r="E210" s="34">
        <v>42.177999999999997</v>
      </c>
      <c r="F210" s="34">
        <v>41.712000000000003</v>
      </c>
      <c r="G210" s="20">
        <v>30.97</v>
      </c>
      <c r="H210" s="20">
        <f t="shared" si="24"/>
        <v>35</v>
      </c>
      <c r="I210" s="5"/>
      <c r="J210" s="33">
        <v>199.27760000000001</v>
      </c>
      <c r="K210" s="34">
        <v>34.056800000000003</v>
      </c>
      <c r="L210" s="34">
        <v>42.479900000000001</v>
      </c>
      <c r="M210" s="34">
        <v>42.191499999999998</v>
      </c>
      <c r="N210" s="20">
        <v>34.129199999999997</v>
      </c>
      <c r="O210" s="20">
        <f t="shared" si="25"/>
        <v>36.126525000000001</v>
      </c>
      <c r="P210" s="7"/>
      <c r="Q210" s="13"/>
      <c r="R210" s="14"/>
      <c r="S210" s="14"/>
      <c r="T210" s="27"/>
      <c r="U210" s="28">
        <f t="shared" si="26"/>
        <v>0.10200839522118174</v>
      </c>
      <c r="V210" s="57">
        <f t="shared" si="27"/>
        <v>1.9666666666666589E-2</v>
      </c>
      <c r="W210" s="57">
        <f t="shared" si="28"/>
        <v>3.6119999999999664E-3</v>
      </c>
      <c r="X210" s="56">
        <v>300</v>
      </c>
      <c r="Y210" s="56">
        <v>200</v>
      </c>
    </row>
    <row r="211" spans="2:25" x14ac:dyDescent="0.25">
      <c r="B211" s="6" t="s">
        <v>84</v>
      </c>
      <c r="C211" s="15">
        <v>1519.73</v>
      </c>
      <c r="D211" s="16">
        <v>37.308</v>
      </c>
      <c r="E211" s="16">
        <v>45.969000000000001</v>
      </c>
      <c r="F211" s="16">
        <v>44.198999999999998</v>
      </c>
      <c r="G211" s="16">
        <v>30.09</v>
      </c>
      <c r="H211" s="16">
        <f t="shared" si="24"/>
        <v>39.252000000000002</v>
      </c>
      <c r="I211" s="5"/>
      <c r="J211" s="15">
        <v>1001.1215999999999</v>
      </c>
      <c r="K211" s="16">
        <v>36.852899999999998</v>
      </c>
      <c r="L211" s="16">
        <v>45.8994</v>
      </c>
      <c r="M211" s="16">
        <v>44.247500000000002</v>
      </c>
      <c r="N211" s="16">
        <v>22</v>
      </c>
      <c r="O211" s="16">
        <f t="shared" si="25"/>
        <v>38.908037499999999</v>
      </c>
      <c r="P211" s="7"/>
      <c r="Q211" s="8">
        <f>bdrate(C211:C214,D211:D214,J211:J214,K211:K214)</f>
        <v>-0.36525317787395839</v>
      </c>
      <c r="R211" s="8">
        <f>bdrate(C211:C214,E211:E214,J211:J214,L211:L214)</f>
        <v>-0.35191654596436195</v>
      </c>
      <c r="S211" s="8">
        <f>bdrate(C211:C214,F211:F214,J211:J214,M211:M214)</f>
        <v>-0.39081974876650949</v>
      </c>
      <c r="T211" s="25">
        <f>bdrate(C211:C214,H211:H214,J211:J214,O211:O214)</f>
        <v>-0.36631062473340636</v>
      </c>
      <c r="U211" s="28">
        <f t="shared" si="26"/>
        <v>-0.26886008640744435</v>
      </c>
      <c r="V211" s="57">
        <f t="shared" si="27"/>
        <v>1.3153333333333345E-2</v>
      </c>
      <c r="W211" s="57">
        <f t="shared" si="28"/>
        <v>1.121599999999944E-3</v>
      </c>
      <c r="X211" s="56">
        <v>1500</v>
      </c>
      <c r="Y211" s="56">
        <v>1000</v>
      </c>
    </row>
    <row r="212" spans="2:25" x14ac:dyDescent="0.25">
      <c r="B212" s="9"/>
      <c r="C212" s="17">
        <v>1014.37</v>
      </c>
      <c r="D212" s="18">
        <v>35.613</v>
      </c>
      <c r="E212" s="18">
        <v>44.994</v>
      </c>
      <c r="F212" s="18">
        <v>43.131999999999998</v>
      </c>
      <c r="G212" s="18">
        <v>32.049999999999997</v>
      </c>
      <c r="H212" s="18">
        <f t="shared" si="24"/>
        <v>37.725500000000004</v>
      </c>
      <c r="I212" s="5"/>
      <c r="J212" s="17">
        <v>598.51570000000004</v>
      </c>
      <c r="K212" s="18">
        <v>35.032499999999999</v>
      </c>
      <c r="L212" s="18">
        <v>44.785899999999998</v>
      </c>
      <c r="M212" s="18">
        <v>43.075099999999999</v>
      </c>
      <c r="N212" s="18">
        <v>25.6235</v>
      </c>
      <c r="O212" s="18">
        <f t="shared" si="25"/>
        <v>37.256999999999998</v>
      </c>
      <c r="P212" s="7"/>
      <c r="Q212" s="10"/>
      <c r="R212" s="11"/>
      <c r="S212" s="11"/>
      <c r="T212" s="26"/>
      <c r="U212" s="28">
        <f t="shared" si="26"/>
        <v>-0.20051482059282363</v>
      </c>
      <c r="V212" s="57">
        <f t="shared" si="27"/>
        <v>1.4370000000000004E-2</v>
      </c>
      <c r="W212" s="57">
        <f t="shared" si="28"/>
        <v>2.4738333333332698E-3</v>
      </c>
      <c r="X212" s="56">
        <v>1000</v>
      </c>
      <c r="Y212" s="56">
        <v>600</v>
      </c>
    </row>
    <row r="213" spans="2:25" x14ac:dyDescent="0.25">
      <c r="B213" s="9"/>
      <c r="C213" s="17">
        <v>607.71</v>
      </c>
      <c r="D213" s="18">
        <v>33.338999999999999</v>
      </c>
      <c r="E213" s="18">
        <v>43.75</v>
      </c>
      <c r="F213" s="18">
        <v>41.835000000000001</v>
      </c>
      <c r="G213" s="18">
        <v>32.72</v>
      </c>
      <c r="H213" s="18">
        <f t="shared" si="24"/>
        <v>35.702374999999996</v>
      </c>
      <c r="I213" s="5"/>
      <c r="J213" s="17">
        <v>297.4443</v>
      </c>
      <c r="K213" s="18">
        <v>32.409199999999998</v>
      </c>
      <c r="L213" s="18">
        <v>42.9908</v>
      </c>
      <c r="M213" s="18">
        <v>41.252400000000002</v>
      </c>
      <c r="N213" s="18">
        <v>30.695900000000002</v>
      </c>
      <c r="O213" s="18">
        <f t="shared" si="25"/>
        <v>34.837299999999999</v>
      </c>
      <c r="P213" s="7"/>
      <c r="Q213" s="10"/>
      <c r="R213" s="11"/>
      <c r="S213" s="11"/>
      <c r="T213" s="26"/>
      <c r="U213" s="28">
        <f t="shared" si="26"/>
        <v>-6.1861246943765193E-2</v>
      </c>
      <c r="V213" s="57">
        <f t="shared" si="27"/>
        <v>1.2850000000000061E-2</v>
      </c>
      <c r="W213" s="57">
        <f t="shared" si="28"/>
        <v>8.5190000000000057E-3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303.26</v>
      </c>
      <c r="D214" s="20">
        <v>29.731999999999999</v>
      </c>
      <c r="E214" s="20">
        <v>41.834000000000003</v>
      </c>
      <c r="F214" s="20">
        <v>39.97</v>
      </c>
      <c r="G214" s="20">
        <v>33.07</v>
      </c>
      <c r="H214" s="20">
        <f t="shared" si="24"/>
        <v>32.524500000000003</v>
      </c>
      <c r="I214" s="5"/>
      <c r="J214" s="19">
        <v>196.8793</v>
      </c>
      <c r="K214" s="20">
        <v>30.749199999999998</v>
      </c>
      <c r="L214" s="20">
        <v>42.123600000000003</v>
      </c>
      <c r="M214" s="20">
        <v>40.264899999999997</v>
      </c>
      <c r="N214" s="20">
        <v>34.223700000000001</v>
      </c>
      <c r="O214" s="20">
        <f t="shared" si="25"/>
        <v>33.360462499999997</v>
      </c>
      <c r="P214" s="7"/>
      <c r="Q214" s="13"/>
      <c r="R214" s="14"/>
      <c r="S214" s="14"/>
      <c r="T214" s="27"/>
      <c r="U214" s="28">
        <f t="shared" si="26"/>
        <v>3.4886604172966455E-2</v>
      </c>
      <c r="V214" s="57">
        <f t="shared" si="27"/>
        <v>1.0866666666666636E-2</v>
      </c>
      <c r="W214" s="57">
        <f t="shared" si="28"/>
        <v>1.5603499999999998E-2</v>
      </c>
      <c r="X214" s="56">
        <v>300</v>
      </c>
      <c r="Y214" s="56">
        <v>200</v>
      </c>
    </row>
    <row r="215" spans="2:25" x14ac:dyDescent="0.25">
      <c r="B215" s="6" t="s">
        <v>85</v>
      </c>
      <c r="C215" s="15">
        <v>1495.63</v>
      </c>
      <c r="D215" s="16">
        <v>36.317</v>
      </c>
      <c r="E215" s="16">
        <v>45.938000000000002</v>
      </c>
      <c r="F215" s="16">
        <v>44.097999999999999</v>
      </c>
      <c r="G215" s="16">
        <v>29.51</v>
      </c>
      <c r="H215" s="16">
        <f t="shared" si="24"/>
        <v>38.492249999999999</v>
      </c>
      <c r="I215" s="5"/>
      <c r="J215" s="15">
        <v>1003.3236000000001</v>
      </c>
      <c r="K215" s="16">
        <v>35.782899999999998</v>
      </c>
      <c r="L215" s="16">
        <v>45.719299999999997</v>
      </c>
      <c r="M215" s="16">
        <v>44.186900000000001</v>
      </c>
      <c r="N215" s="16">
        <v>22.261199999999999</v>
      </c>
      <c r="O215" s="16">
        <f t="shared" si="25"/>
        <v>38.075449999999996</v>
      </c>
      <c r="P215" s="7"/>
      <c r="Q215" s="8">
        <f>bdrate(C215:C218,D215:D218,J215:J218,K215:K218)</f>
        <v>-0.34533048632891006</v>
      </c>
      <c r="R215" s="8">
        <f>bdrate(C215:C218,E215:E218,J215:J218,L215:L218)</f>
        <v>-0.32324964268158307</v>
      </c>
      <c r="S215" s="8">
        <f>bdrate(C215:C218,F215:F218,J215:J218,M215:M218)</f>
        <v>-0.39556005452567145</v>
      </c>
      <c r="T215" s="25">
        <f>bdrate(C215:C218,H215:H218,J215:J218,O215:O218)</f>
        <v>-0.34784415806023616</v>
      </c>
      <c r="U215" s="28">
        <f t="shared" si="26"/>
        <v>-0.24563876651982386</v>
      </c>
      <c r="V215" s="57">
        <f t="shared" si="27"/>
        <v>2.9133333333332605E-3</v>
      </c>
      <c r="W215" s="57">
        <f t="shared" si="28"/>
        <v>3.3236000000000558E-3</v>
      </c>
      <c r="X215" s="56">
        <v>1500</v>
      </c>
      <c r="Y215" s="56">
        <v>1000</v>
      </c>
    </row>
    <row r="216" spans="2:25" x14ac:dyDescent="0.25">
      <c r="B216" s="9"/>
      <c r="C216" s="17">
        <v>995.97</v>
      </c>
      <c r="D216" s="18">
        <v>34.652999999999999</v>
      </c>
      <c r="E216" s="18">
        <v>44.904000000000003</v>
      </c>
      <c r="F216" s="18">
        <v>43.01</v>
      </c>
      <c r="G216" s="18">
        <v>31.36</v>
      </c>
      <c r="H216" s="18">
        <f t="shared" si="24"/>
        <v>36.978999999999999</v>
      </c>
      <c r="I216" s="5"/>
      <c r="J216" s="17">
        <v>599.00130000000001</v>
      </c>
      <c r="K216" s="18">
        <v>33.993099999999998</v>
      </c>
      <c r="L216" s="18">
        <v>44.581200000000003</v>
      </c>
      <c r="M216" s="18">
        <v>42.996600000000001</v>
      </c>
      <c r="N216" s="18">
        <v>25.8416</v>
      </c>
      <c r="O216" s="18">
        <f t="shared" si="25"/>
        <v>36.442049999999995</v>
      </c>
      <c r="P216" s="7"/>
      <c r="Q216" s="10"/>
      <c r="R216" s="11"/>
      <c r="S216" s="11"/>
      <c r="T216" s="26"/>
      <c r="U216" s="28">
        <f t="shared" si="26"/>
        <v>-0.17596938775510204</v>
      </c>
      <c r="V216" s="57">
        <f t="shared" si="27"/>
        <v>4.0299999999999728E-3</v>
      </c>
      <c r="W216" s="57">
        <f t="shared" si="28"/>
        <v>1.6644999999999755E-3</v>
      </c>
      <c r="X216" s="56">
        <v>1000</v>
      </c>
      <c r="Y216" s="56">
        <v>600</v>
      </c>
    </row>
    <row r="217" spans="2:25" x14ac:dyDescent="0.25">
      <c r="B217" s="9"/>
      <c r="C217" s="17">
        <v>596.91999999999996</v>
      </c>
      <c r="D217" s="18">
        <v>32.417999999999999</v>
      </c>
      <c r="E217" s="18">
        <v>43.683</v>
      </c>
      <c r="F217" s="18">
        <v>41.784999999999997</v>
      </c>
      <c r="G217" s="18">
        <v>32.31</v>
      </c>
      <c r="H217" s="18">
        <f t="shared" si="24"/>
        <v>34.997</v>
      </c>
      <c r="I217" s="5"/>
      <c r="J217" s="17">
        <v>295.71820000000002</v>
      </c>
      <c r="K217" s="18">
        <v>31.473500000000001</v>
      </c>
      <c r="L217" s="18">
        <v>42.949599999999997</v>
      </c>
      <c r="M217" s="18">
        <v>41.307600000000001</v>
      </c>
      <c r="N217" s="18">
        <v>30.796500000000002</v>
      </c>
      <c r="O217" s="18">
        <f t="shared" si="25"/>
        <v>34.137275000000002</v>
      </c>
      <c r="P217" s="7"/>
      <c r="Q217" s="10"/>
      <c r="R217" s="11"/>
      <c r="S217" s="11"/>
      <c r="T217" s="26"/>
      <c r="U217" s="28">
        <f t="shared" si="26"/>
        <v>-4.6843082636954518E-2</v>
      </c>
      <c r="V217" s="57">
        <f t="shared" si="27"/>
        <v>5.1333333333334012E-3</v>
      </c>
      <c r="W217" s="57">
        <f t="shared" si="28"/>
        <v>1.4272666666666585E-2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298.61</v>
      </c>
      <c r="D218" s="20">
        <v>28.914999999999999</v>
      </c>
      <c r="E218" s="20">
        <v>41.857999999999997</v>
      </c>
      <c r="F218" s="20">
        <v>39.954999999999998</v>
      </c>
      <c r="G218" s="20">
        <v>32.69</v>
      </c>
      <c r="H218" s="20">
        <f t="shared" si="24"/>
        <v>31.912875</v>
      </c>
      <c r="I218" s="5"/>
      <c r="J218" s="19">
        <v>196.5865</v>
      </c>
      <c r="K218" s="20">
        <v>29.896599999999999</v>
      </c>
      <c r="L218" s="20">
        <v>42.046100000000003</v>
      </c>
      <c r="M218" s="20">
        <v>40.313299999999998</v>
      </c>
      <c r="N218" s="20">
        <v>34.048000000000002</v>
      </c>
      <c r="O218" s="20">
        <f t="shared" si="25"/>
        <v>32.717374999999997</v>
      </c>
      <c r="P218" s="7"/>
      <c r="Q218" s="13"/>
      <c r="R218" s="14"/>
      <c r="S218" s="14"/>
      <c r="T218" s="27"/>
      <c r="U218" s="28">
        <f t="shared" si="26"/>
        <v>4.154175588865109E-2</v>
      </c>
      <c r="V218" s="57">
        <f t="shared" si="27"/>
        <v>4.633333333333288E-3</v>
      </c>
      <c r="W218" s="57">
        <f t="shared" si="28"/>
        <v>1.7067499999999996E-2</v>
      </c>
      <c r="X218" s="56">
        <v>300</v>
      </c>
      <c r="Y218" s="56">
        <v>200</v>
      </c>
    </row>
    <row r="219" spans="2:25" x14ac:dyDescent="0.25">
      <c r="B219" s="6" t="s">
        <v>86</v>
      </c>
      <c r="C219" s="15">
        <v>1511.56</v>
      </c>
      <c r="D219" s="16">
        <v>41.597999999999999</v>
      </c>
      <c r="E219" s="16">
        <v>48.542999999999999</v>
      </c>
      <c r="F219" s="16">
        <v>47.680999999999997</v>
      </c>
      <c r="G219" s="16">
        <v>33.5</v>
      </c>
      <c r="H219" s="16">
        <f t="shared" si="24"/>
        <v>43.226499999999994</v>
      </c>
      <c r="I219" s="5"/>
      <c r="J219" s="15">
        <v>1005.2474999999999</v>
      </c>
      <c r="K219" s="16">
        <v>40.917000000000002</v>
      </c>
      <c r="L219" s="16">
        <v>48.046900000000001</v>
      </c>
      <c r="M219" s="16">
        <v>47.533999999999999</v>
      </c>
      <c r="N219" s="16">
        <v>24.6051</v>
      </c>
      <c r="O219" s="16">
        <f t="shared" si="25"/>
        <v>42.635362499999999</v>
      </c>
      <c r="P219" s="7"/>
      <c r="Q219" s="8">
        <f>bdrate(C219:C222,D219:D222,J219:J222,K219:K222)</f>
        <v>-0.33697034219465016</v>
      </c>
      <c r="R219" s="8">
        <f>bdrate(C219:C222,E219:E222,J219:J222,L219:L222)</f>
        <v>-0.32387745854036587</v>
      </c>
      <c r="S219" s="8">
        <f>bdrate(C219:C222,F219:F222,J219:J222,M219:M222)</f>
        <v>-0.44236317343487552</v>
      </c>
      <c r="T219" s="25">
        <f>bdrate(C219:C222,H219:H222,J219:J222,O219:O222)</f>
        <v>-0.34615063458343431</v>
      </c>
      <c r="U219" s="28">
        <f t="shared" si="26"/>
        <v>-0.26551940298507465</v>
      </c>
      <c r="V219" s="57">
        <f t="shared" si="27"/>
        <v>7.7066666666666299E-3</v>
      </c>
      <c r="W219" s="57">
        <f t="shared" si="28"/>
        <v>5.2474999999999458E-3</v>
      </c>
      <c r="X219" s="56">
        <v>1500</v>
      </c>
      <c r="Y219" s="56">
        <v>1000</v>
      </c>
    </row>
    <row r="220" spans="2:25" x14ac:dyDescent="0.25">
      <c r="B220" s="9"/>
      <c r="C220" s="17">
        <v>1007.14</v>
      </c>
      <c r="D220" s="18">
        <v>40.241</v>
      </c>
      <c r="E220" s="18">
        <v>47.628999999999998</v>
      </c>
      <c r="F220" s="18">
        <v>46.624000000000002</v>
      </c>
      <c r="G220" s="18">
        <v>36.15</v>
      </c>
      <c r="H220" s="18">
        <f t="shared" si="24"/>
        <v>41.962375000000002</v>
      </c>
      <c r="I220" s="5"/>
      <c r="J220" s="17">
        <v>601.25469999999996</v>
      </c>
      <c r="K220" s="18">
        <v>39.570900000000002</v>
      </c>
      <c r="L220" s="18">
        <v>47.31</v>
      </c>
      <c r="M220" s="18">
        <v>46.800600000000003</v>
      </c>
      <c r="N220" s="18">
        <v>27.887699999999999</v>
      </c>
      <c r="O220" s="18">
        <f t="shared" si="25"/>
        <v>41.442000000000007</v>
      </c>
      <c r="P220" s="7"/>
      <c r="Q220" s="10"/>
      <c r="R220" s="11"/>
      <c r="S220" s="11"/>
      <c r="T220" s="26"/>
      <c r="U220" s="28">
        <f t="shared" si="26"/>
        <v>-0.22855601659751038</v>
      </c>
      <c r="V220" s="57">
        <f t="shared" si="27"/>
        <v>7.1399999999999866E-3</v>
      </c>
      <c r="W220" s="57">
        <f t="shared" si="28"/>
        <v>2.091166666666595E-3</v>
      </c>
      <c r="X220" s="56">
        <v>1000</v>
      </c>
      <c r="Y220" s="56">
        <v>600</v>
      </c>
    </row>
    <row r="221" spans="2:25" x14ac:dyDescent="0.25">
      <c r="B221" s="9"/>
      <c r="C221" s="17">
        <v>603.34</v>
      </c>
      <c r="D221" s="18">
        <v>38.448</v>
      </c>
      <c r="E221" s="18">
        <v>46.628</v>
      </c>
      <c r="F221" s="18">
        <v>45.652999999999999</v>
      </c>
      <c r="G221" s="18">
        <v>37.700000000000003</v>
      </c>
      <c r="H221" s="18">
        <f t="shared" si="24"/>
        <v>40.371124999999999</v>
      </c>
      <c r="I221" s="5"/>
      <c r="J221" s="17">
        <v>296.08139999999997</v>
      </c>
      <c r="K221" s="18">
        <v>37.616399999999999</v>
      </c>
      <c r="L221" s="18">
        <v>45.978200000000001</v>
      </c>
      <c r="M221" s="18">
        <v>45.430900000000001</v>
      </c>
      <c r="N221" s="18">
        <v>32.243099999999998</v>
      </c>
      <c r="O221" s="18">
        <f t="shared" si="25"/>
        <v>39.638437500000002</v>
      </c>
      <c r="P221" s="7"/>
      <c r="Q221" s="10"/>
      <c r="R221" s="11"/>
      <c r="S221" s="11"/>
      <c r="T221" s="26"/>
      <c r="U221" s="28">
        <f t="shared" si="26"/>
        <v>-0.14474535809018579</v>
      </c>
      <c r="V221" s="57">
        <f t="shared" si="27"/>
        <v>5.5666666666667197E-3</v>
      </c>
      <c r="W221" s="57">
        <f t="shared" si="28"/>
        <v>1.3062000000000087E-2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301.79000000000002</v>
      </c>
      <c r="D222" s="20">
        <v>35.368000000000002</v>
      </c>
      <c r="E222" s="20">
        <v>44.802</v>
      </c>
      <c r="F222" s="20">
        <v>44.034999999999997</v>
      </c>
      <c r="G222" s="20">
        <v>38.26</v>
      </c>
      <c r="H222" s="20">
        <f t="shared" si="24"/>
        <v>37.630625000000009</v>
      </c>
      <c r="I222" s="5"/>
      <c r="J222" s="19">
        <v>193.18559999999999</v>
      </c>
      <c r="K222" s="20">
        <v>36.287100000000002</v>
      </c>
      <c r="L222" s="20">
        <v>44.948300000000003</v>
      </c>
      <c r="M222" s="20">
        <v>44.424599999999998</v>
      </c>
      <c r="N222" s="20">
        <v>35.210999999999999</v>
      </c>
      <c r="O222" s="20">
        <f t="shared" si="25"/>
        <v>38.386937500000002</v>
      </c>
      <c r="P222" s="7"/>
      <c r="Q222" s="13"/>
      <c r="R222" s="14"/>
      <c r="S222" s="14"/>
      <c r="T222" s="27"/>
      <c r="U222" s="28">
        <f t="shared" si="26"/>
        <v>-7.9691583899634072E-2</v>
      </c>
      <c r="V222" s="57">
        <f t="shared" si="27"/>
        <v>5.9666666666667346E-3</v>
      </c>
      <c r="W222" s="57">
        <f t="shared" si="28"/>
        <v>3.4072000000000033E-2</v>
      </c>
      <c r="X222" s="56">
        <v>300</v>
      </c>
      <c r="Y222" s="56">
        <v>200</v>
      </c>
    </row>
    <row r="223" spans="2:25" x14ac:dyDescent="0.25">
      <c r="B223" s="6" t="s">
        <v>87</v>
      </c>
      <c r="C223" s="15">
        <v>1504.23</v>
      </c>
      <c r="D223" s="16">
        <v>41.732999999999997</v>
      </c>
      <c r="E223" s="16">
        <v>49.387</v>
      </c>
      <c r="F223" s="16">
        <v>49.23</v>
      </c>
      <c r="G223" s="16">
        <v>33.729999999999997</v>
      </c>
      <c r="H223" s="16">
        <f t="shared" si="24"/>
        <v>43.626874999999998</v>
      </c>
      <c r="I223" s="5"/>
      <c r="J223" s="15">
        <v>1004.1076</v>
      </c>
      <c r="K223" s="16">
        <v>41.601300000000002</v>
      </c>
      <c r="L223" s="16">
        <v>49.234400000000001</v>
      </c>
      <c r="M223" s="16">
        <v>48.994700000000002</v>
      </c>
      <c r="N223" s="16">
        <v>25.514099999999999</v>
      </c>
      <c r="O223" s="16">
        <f t="shared" si="25"/>
        <v>43.479612500000002</v>
      </c>
      <c r="P223" s="7"/>
      <c r="Q223" s="8">
        <f>bdrate(C223:C226,D223:D226,J223:J226,K223:K226)</f>
        <v>-0.43326080891352081</v>
      </c>
      <c r="R223" s="8">
        <f>bdrate(C223:C226,E223:E226,J223:J226,L223:L226)</f>
        <v>-0.43082331929682938</v>
      </c>
      <c r="S223" s="8">
        <f>bdrate(C223:C226,F223:F226,J223:J226,M223:M226)</f>
        <v>-0.42671271774889552</v>
      </c>
      <c r="T223" s="25">
        <f>bdrate(C223:C226,H223:H226,J223:J226,O223:O226)</f>
        <v>-0.43248264737124664</v>
      </c>
      <c r="U223" s="28">
        <f t="shared" si="26"/>
        <v>-0.24357841683960862</v>
      </c>
      <c r="V223" s="57">
        <f t="shared" si="27"/>
        <v>2.8200000000000122E-3</v>
      </c>
      <c r="W223" s="57">
        <f t="shared" si="28"/>
        <v>4.107600000000048E-3</v>
      </c>
      <c r="X223" s="56">
        <v>1500</v>
      </c>
      <c r="Y223" s="56">
        <v>1000</v>
      </c>
    </row>
    <row r="224" spans="2:25" x14ac:dyDescent="0.25">
      <c r="B224" s="9"/>
      <c r="C224" s="17">
        <v>994.91</v>
      </c>
      <c r="D224" s="18">
        <v>40.786999999999999</v>
      </c>
      <c r="E224" s="18">
        <v>48.857999999999997</v>
      </c>
      <c r="F224" s="18">
        <v>48.738999999999997</v>
      </c>
      <c r="G224" s="18">
        <v>37.020000000000003</v>
      </c>
      <c r="H224" s="18">
        <f t="shared" si="24"/>
        <v>42.789874999999995</v>
      </c>
      <c r="I224" s="5"/>
      <c r="J224" s="17">
        <v>590.04409999999996</v>
      </c>
      <c r="K224" s="18">
        <v>40.689700000000002</v>
      </c>
      <c r="L224" s="18">
        <v>48.795499999999997</v>
      </c>
      <c r="M224" s="18">
        <v>48.634999999999998</v>
      </c>
      <c r="N224" s="18">
        <v>29.719000000000001</v>
      </c>
      <c r="O224" s="18">
        <f t="shared" si="25"/>
        <v>42.696087499999997</v>
      </c>
      <c r="P224" s="7"/>
      <c r="Q224" s="10"/>
      <c r="R224" s="11"/>
      <c r="S224" s="11"/>
      <c r="T224" s="26"/>
      <c r="U224" s="28">
        <f t="shared" si="26"/>
        <v>-0.19721772015126962</v>
      </c>
      <c r="V224" s="57">
        <f t="shared" si="27"/>
        <v>5.090000000000032E-3</v>
      </c>
      <c r="W224" s="57">
        <f t="shared" si="28"/>
        <v>1.6593166666666739E-2</v>
      </c>
      <c r="X224" s="56">
        <v>1000</v>
      </c>
      <c r="Y224" s="56">
        <v>600</v>
      </c>
    </row>
    <row r="225" spans="2:25" x14ac:dyDescent="0.25">
      <c r="B225" s="9"/>
      <c r="C225" s="17">
        <v>594.29999999999995</v>
      </c>
      <c r="D225" s="18">
        <v>39.549999999999997</v>
      </c>
      <c r="E225" s="18">
        <v>48.02</v>
      </c>
      <c r="F225" s="18">
        <v>47.994999999999997</v>
      </c>
      <c r="G225" s="18">
        <v>39.61</v>
      </c>
      <c r="H225" s="18">
        <f t="shared" si="24"/>
        <v>41.664375</v>
      </c>
      <c r="I225" s="5"/>
      <c r="J225" s="17">
        <v>281.84500000000003</v>
      </c>
      <c r="K225" s="18">
        <v>39.319699999999997</v>
      </c>
      <c r="L225" s="18">
        <v>47.818800000000003</v>
      </c>
      <c r="M225" s="18">
        <v>47.823700000000002</v>
      </c>
      <c r="N225" s="18">
        <v>34.827599999999997</v>
      </c>
      <c r="O225" s="18">
        <f t="shared" si="25"/>
        <v>41.4450875</v>
      </c>
      <c r="P225" s="7"/>
      <c r="Q225" s="10"/>
      <c r="R225" s="11"/>
      <c r="S225" s="11"/>
      <c r="T225" s="26"/>
      <c r="U225" s="28">
        <f t="shared" si="26"/>
        <v>-0.12073718757889429</v>
      </c>
      <c r="V225" s="57">
        <f t="shared" si="27"/>
        <v>9.5000000000000761E-3</v>
      </c>
      <c r="W225" s="57">
        <f t="shared" si="28"/>
        <v>6.0516666666666573E-2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293.58</v>
      </c>
      <c r="D226" s="20">
        <v>37.563000000000002</v>
      </c>
      <c r="E226" s="20">
        <v>46.628</v>
      </c>
      <c r="F226" s="20">
        <v>46.744</v>
      </c>
      <c r="G226" s="20">
        <v>41.24</v>
      </c>
      <c r="H226" s="20">
        <f t="shared" ref="H226:H246" si="29">(6*D226+E226+F226)/8</f>
        <v>39.84375</v>
      </c>
      <c r="I226" s="5"/>
      <c r="J226" s="19">
        <v>181.08969999999999</v>
      </c>
      <c r="K226" s="20">
        <v>38.272599999999997</v>
      </c>
      <c r="L226" s="20">
        <v>46.908000000000001</v>
      </c>
      <c r="M226" s="20">
        <v>47.055700000000002</v>
      </c>
      <c r="N226" s="20">
        <v>38.361800000000002</v>
      </c>
      <c r="O226" s="20">
        <f t="shared" si="25"/>
        <v>40.449912499999996</v>
      </c>
      <c r="P226" s="7"/>
      <c r="Q226" s="13"/>
      <c r="R226" s="14"/>
      <c r="S226" s="14"/>
      <c r="T226" s="27"/>
      <c r="U226" s="28">
        <f t="shared" ref="U226:U246" si="30">(N226-G226)/G226</f>
        <v>-6.9791464597478162E-2</v>
      </c>
      <c r="V226" s="57">
        <f t="shared" si="27"/>
        <v>2.1400000000000054E-2</v>
      </c>
      <c r="W226" s="57">
        <f t="shared" si="28"/>
        <v>9.4551500000000038E-2</v>
      </c>
      <c r="X226" s="56">
        <v>300</v>
      </c>
      <c r="Y226" s="56">
        <v>200</v>
      </c>
    </row>
    <row r="227" spans="2:25" x14ac:dyDescent="0.25">
      <c r="B227" s="6" t="s">
        <v>88</v>
      </c>
      <c r="C227" s="15">
        <v>1506.99</v>
      </c>
      <c r="D227" s="16">
        <v>43.142000000000003</v>
      </c>
      <c r="E227" s="16">
        <v>51.241</v>
      </c>
      <c r="F227" s="16">
        <v>51.03</v>
      </c>
      <c r="G227" s="16">
        <v>32.9</v>
      </c>
      <c r="H227" s="16">
        <f t="shared" si="29"/>
        <v>45.140375000000006</v>
      </c>
      <c r="I227" s="5"/>
      <c r="J227" s="15">
        <v>1001.562</v>
      </c>
      <c r="K227" s="16">
        <v>42.600200000000001</v>
      </c>
      <c r="L227" s="16">
        <v>50.731400000000001</v>
      </c>
      <c r="M227" s="16">
        <v>50.494799999999998</v>
      </c>
      <c r="N227" s="16">
        <v>23.7013</v>
      </c>
      <c r="O227" s="16">
        <f t="shared" si="25"/>
        <v>44.603425000000001</v>
      </c>
      <c r="P227" s="7"/>
      <c r="Q227" s="8">
        <f>bdrate(C227:C230,D227:D230,J227:J230,K227:K230)</f>
        <v>-0.34907880816398607</v>
      </c>
      <c r="R227" s="8">
        <f>bdrate(C227:C230,E227:E230,J227:J230,L227:L230)</f>
        <v>-0.44021146490250662</v>
      </c>
      <c r="S227" s="8">
        <f>bdrate(C227:C230,F227:F230,J227:J230,M227:M230)</f>
        <v>-0.43409988218473161</v>
      </c>
      <c r="T227" s="25">
        <f>bdrate(C227:C230,H227:H230,J227:J230,O227:O230)</f>
        <v>-0.36531009387608149</v>
      </c>
      <c r="U227" s="28">
        <f t="shared" si="30"/>
        <v>-0.27959574468085102</v>
      </c>
      <c r="V227" s="57">
        <f t="shared" si="27"/>
        <v>4.6600000000000062E-3</v>
      </c>
      <c r="W227" s="57">
        <f t="shared" si="28"/>
        <v>1.5620000000000117E-3</v>
      </c>
      <c r="X227" s="56">
        <v>1500</v>
      </c>
      <c r="Y227" s="56">
        <v>1000</v>
      </c>
    </row>
    <row r="228" spans="2:25" x14ac:dyDescent="0.25">
      <c r="B228" s="9"/>
      <c r="C228" s="17">
        <v>987.84</v>
      </c>
      <c r="D228" s="18">
        <v>42.116</v>
      </c>
      <c r="E228" s="18">
        <v>50.561</v>
      </c>
      <c r="F228" s="18">
        <v>50.286000000000001</v>
      </c>
      <c r="G228" s="18">
        <v>36.44</v>
      </c>
      <c r="H228" s="18">
        <f t="shared" si="29"/>
        <v>44.192875000000001</v>
      </c>
      <c r="I228" s="5"/>
      <c r="J228" s="17">
        <v>599.49300000000005</v>
      </c>
      <c r="K228" s="18">
        <v>41.639299999999999</v>
      </c>
      <c r="L228" s="18">
        <v>50.351100000000002</v>
      </c>
      <c r="M228" s="18">
        <v>50.101199999999999</v>
      </c>
      <c r="N228" s="18">
        <v>27.7624</v>
      </c>
      <c r="O228" s="18">
        <f t="shared" si="25"/>
        <v>43.786012500000005</v>
      </c>
      <c r="P228" s="7"/>
      <c r="Q228" s="10"/>
      <c r="R228" s="11"/>
      <c r="S228" s="11"/>
      <c r="T228" s="26"/>
      <c r="U228" s="28">
        <f t="shared" si="30"/>
        <v>-0.23813391877058174</v>
      </c>
      <c r="V228" s="57">
        <f t="shared" si="27"/>
        <v>1.2159999999999968E-2</v>
      </c>
      <c r="W228" s="57">
        <f t="shared" si="28"/>
        <v>8.4499999999991364E-4</v>
      </c>
      <c r="X228" s="56">
        <v>1000</v>
      </c>
      <c r="Y228" s="56">
        <v>600</v>
      </c>
    </row>
    <row r="229" spans="2:25" x14ac:dyDescent="0.25">
      <c r="B229" s="9"/>
      <c r="C229" s="17">
        <v>588.04999999999995</v>
      </c>
      <c r="D229" s="18">
        <v>40.774000000000001</v>
      </c>
      <c r="E229" s="18">
        <v>49.581000000000003</v>
      </c>
      <c r="F229" s="18">
        <v>49.323</v>
      </c>
      <c r="G229" s="18">
        <v>38.03</v>
      </c>
      <c r="H229" s="18">
        <f t="shared" si="29"/>
        <v>42.9435</v>
      </c>
      <c r="I229" s="5"/>
      <c r="J229" s="17">
        <v>292.8929</v>
      </c>
      <c r="K229" s="18">
        <v>40.397199999999998</v>
      </c>
      <c r="L229" s="18">
        <v>49.598999999999997</v>
      </c>
      <c r="M229" s="18">
        <v>49.307400000000001</v>
      </c>
      <c r="N229" s="18">
        <v>32.393599999999999</v>
      </c>
      <c r="O229" s="18">
        <f t="shared" si="25"/>
        <v>42.661199999999994</v>
      </c>
      <c r="P229" s="7"/>
      <c r="Q229" s="10"/>
      <c r="R229" s="11"/>
      <c r="S229" s="11"/>
      <c r="T229" s="26"/>
      <c r="U229" s="28">
        <f t="shared" si="30"/>
        <v>-0.14820930844070476</v>
      </c>
      <c r="V229" s="57">
        <f t="shared" si="27"/>
        <v>1.9916666666666742E-2</v>
      </c>
      <c r="W229" s="57">
        <f t="shared" si="28"/>
        <v>2.3690333333333341E-2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288.99</v>
      </c>
      <c r="D230" s="20">
        <v>38.618000000000002</v>
      </c>
      <c r="E230" s="20">
        <v>48.119</v>
      </c>
      <c r="F230" s="20">
        <v>47.924999999999997</v>
      </c>
      <c r="G230" s="20">
        <v>38.380000000000003</v>
      </c>
      <c r="H230" s="20">
        <f t="shared" si="29"/>
        <v>40.969000000000001</v>
      </c>
      <c r="I230" s="5"/>
      <c r="J230" s="19">
        <v>188.75</v>
      </c>
      <c r="K230" s="20">
        <v>39.570399999999999</v>
      </c>
      <c r="L230" s="20">
        <v>48.770299999999999</v>
      </c>
      <c r="M230" s="20">
        <v>48.513399999999997</v>
      </c>
      <c r="N230" s="20">
        <v>35.883400000000002</v>
      </c>
      <c r="O230" s="20">
        <f t="shared" si="25"/>
        <v>41.838262499999999</v>
      </c>
      <c r="P230" s="7"/>
      <c r="Q230" s="13"/>
      <c r="R230" s="14"/>
      <c r="S230" s="14"/>
      <c r="T230" s="27"/>
      <c r="U230" s="28">
        <f t="shared" si="30"/>
        <v>-6.5049504950495066E-2</v>
      </c>
      <c r="V230" s="57">
        <f t="shared" si="27"/>
        <v>3.6699999999999969E-2</v>
      </c>
      <c r="W230" s="57">
        <f t="shared" si="28"/>
        <v>5.6250000000000001E-2</v>
      </c>
      <c r="X230" s="56">
        <v>300</v>
      </c>
      <c r="Y230" s="56">
        <v>200</v>
      </c>
    </row>
    <row r="231" spans="2:25" x14ac:dyDescent="0.25">
      <c r="B231" s="6" t="s">
        <v>89</v>
      </c>
      <c r="C231" s="15">
        <v>1502.21</v>
      </c>
      <c r="D231" s="16">
        <v>43.265000000000001</v>
      </c>
      <c r="E231" s="16">
        <v>51.609000000000002</v>
      </c>
      <c r="F231" s="16">
        <v>51.613999999999997</v>
      </c>
      <c r="G231" s="16">
        <v>35.31</v>
      </c>
      <c r="H231" s="16">
        <f t="shared" si="29"/>
        <v>45.351624999999999</v>
      </c>
      <c r="I231" s="5"/>
      <c r="J231" s="15">
        <v>1002.4584</v>
      </c>
      <c r="K231" s="16">
        <v>42.762599999999999</v>
      </c>
      <c r="L231" s="16">
        <v>51.177500000000002</v>
      </c>
      <c r="M231" s="16">
        <v>51.229900000000001</v>
      </c>
      <c r="N231" s="16">
        <v>28.546099999999999</v>
      </c>
      <c r="O231" s="16">
        <f t="shared" si="25"/>
        <v>44.872875000000001</v>
      </c>
      <c r="P231" s="7"/>
      <c r="Q231" s="8">
        <f>bdrate(C231:C234,D231:D234,J231:J234,K231:K234)</f>
        <v>-0.35137364048030095</v>
      </c>
      <c r="R231" s="8">
        <f>bdrate(C231:C234,E231:E234,J231:J234,L231:L234)</f>
        <v>-0.39983594294301117</v>
      </c>
      <c r="S231" s="8">
        <f>bdrate(C231:C234,F231:F234,J231:J234,M231:M234)</f>
        <v>-0.42687774760883046</v>
      </c>
      <c r="T231" s="25">
        <f>bdrate(C231:C234,H231:H234,J231:J234,O231:O234)</f>
        <v>-0.36298058059199734</v>
      </c>
      <c r="U231" s="28">
        <f t="shared" si="30"/>
        <v>-0.19155763239875398</v>
      </c>
      <c r="V231" s="57">
        <f t="shared" si="27"/>
        <v>1.4733333333333575E-3</v>
      </c>
      <c r="W231" s="57">
        <f t="shared" si="28"/>
        <v>2.4583999999999834E-3</v>
      </c>
      <c r="X231" s="56">
        <v>1500</v>
      </c>
      <c r="Y231" s="56">
        <v>1000</v>
      </c>
    </row>
    <row r="232" spans="2:25" x14ac:dyDescent="0.25">
      <c r="B232" s="9"/>
      <c r="C232" s="17">
        <v>996.51</v>
      </c>
      <c r="D232" s="18">
        <v>41.850999999999999</v>
      </c>
      <c r="E232" s="18">
        <v>50.79</v>
      </c>
      <c r="F232" s="18">
        <v>50.78</v>
      </c>
      <c r="G232" s="18">
        <v>38.68</v>
      </c>
      <c r="H232" s="18">
        <f t="shared" si="29"/>
        <v>44.084500000000006</v>
      </c>
      <c r="I232" s="5"/>
      <c r="J232" s="17">
        <v>600.92169999999999</v>
      </c>
      <c r="K232" s="18">
        <v>41.314599999999999</v>
      </c>
      <c r="L232" s="18">
        <v>50.483400000000003</v>
      </c>
      <c r="M232" s="18">
        <v>50.554000000000002</v>
      </c>
      <c r="N232" s="18">
        <v>32.412199999999999</v>
      </c>
      <c r="O232" s="18">
        <f t="shared" si="25"/>
        <v>43.615624999999994</v>
      </c>
      <c r="P232" s="7"/>
      <c r="Q232" s="10"/>
      <c r="R232" s="11"/>
      <c r="S232" s="11"/>
      <c r="T232" s="26"/>
      <c r="U232" s="28">
        <f t="shared" si="30"/>
        <v>-0.16204239917269911</v>
      </c>
      <c r="V232" s="57">
        <f t="shared" si="27"/>
        <v>3.4900000000000092E-3</v>
      </c>
      <c r="W232" s="57">
        <f t="shared" si="28"/>
        <v>1.5361666666666451E-3</v>
      </c>
      <c r="X232" s="56">
        <v>1000</v>
      </c>
      <c r="Y232" s="56">
        <v>600</v>
      </c>
    </row>
    <row r="233" spans="2:25" x14ac:dyDescent="0.25">
      <c r="B233" s="9"/>
      <c r="C233" s="17">
        <v>594.27</v>
      </c>
      <c r="D233" s="18">
        <v>39.987000000000002</v>
      </c>
      <c r="E233" s="18">
        <v>49.408999999999999</v>
      </c>
      <c r="F233" s="18">
        <v>49.338999999999999</v>
      </c>
      <c r="G233" s="18">
        <v>40.840000000000003</v>
      </c>
      <c r="H233" s="18">
        <f t="shared" si="29"/>
        <v>42.333750000000002</v>
      </c>
      <c r="I233" s="5"/>
      <c r="J233" s="17">
        <v>297.94560000000001</v>
      </c>
      <c r="K233" s="18">
        <v>39.326599999999999</v>
      </c>
      <c r="L233" s="18">
        <v>49.209899999999998</v>
      </c>
      <c r="M233" s="18">
        <v>49.299900000000001</v>
      </c>
      <c r="N233" s="18">
        <v>35.999400000000001</v>
      </c>
      <c r="O233" s="18">
        <f t="shared" si="25"/>
        <v>41.808674999999994</v>
      </c>
      <c r="P233" s="7"/>
      <c r="Q233" s="10"/>
      <c r="R233" s="11"/>
      <c r="S233" s="11"/>
      <c r="T233" s="26"/>
      <c r="U233" s="28">
        <f t="shared" si="30"/>
        <v>-0.11852595494613129</v>
      </c>
      <c r="V233" s="57">
        <f t="shared" si="27"/>
        <v>9.5500000000000307E-3</v>
      </c>
      <c r="W233" s="57">
        <f t="shared" si="28"/>
        <v>6.8479999999999566E-3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294.2</v>
      </c>
      <c r="D234" s="20">
        <v>37.076999999999998</v>
      </c>
      <c r="E234" s="20">
        <v>47.398000000000003</v>
      </c>
      <c r="F234" s="20">
        <v>47.482999999999997</v>
      </c>
      <c r="G234" s="20">
        <v>41.69</v>
      </c>
      <c r="H234" s="20">
        <f t="shared" si="29"/>
        <v>39.667875000000002</v>
      </c>
      <c r="I234" s="5"/>
      <c r="J234" s="19">
        <v>194.6199</v>
      </c>
      <c r="K234" s="20">
        <v>38.037999999999997</v>
      </c>
      <c r="L234" s="20">
        <v>47.976999999999997</v>
      </c>
      <c r="M234" s="20">
        <v>48.136299999999999</v>
      </c>
      <c r="N234" s="20">
        <v>38.588200000000001</v>
      </c>
      <c r="O234" s="20">
        <f t="shared" si="25"/>
        <v>40.542662499999999</v>
      </c>
      <c r="P234" s="7"/>
      <c r="Q234" s="13"/>
      <c r="R234" s="14"/>
      <c r="S234" s="14"/>
      <c r="T234" s="27"/>
      <c r="U234" s="28">
        <f t="shared" si="30"/>
        <v>-7.4401535140321357E-2</v>
      </c>
      <c r="V234" s="57">
        <f t="shared" si="27"/>
        <v>1.9333333333333372E-2</v>
      </c>
      <c r="W234" s="57">
        <f t="shared" si="28"/>
        <v>2.6900499999999994E-2</v>
      </c>
      <c r="X234" s="56">
        <v>300</v>
      </c>
      <c r="Y234" s="56">
        <v>200</v>
      </c>
    </row>
    <row r="235" spans="2:25" x14ac:dyDescent="0.25">
      <c r="B235" s="6" t="s">
        <v>90</v>
      </c>
      <c r="C235" s="15">
        <v>1515.55</v>
      </c>
      <c r="D235" s="16">
        <v>41.707000000000001</v>
      </c>
      <c r="E235" s="16">
        <v>49.401000000000003</v>
      </c>
      <c r="F235" s="16">
        <v>50.103999999999999</v>
      </c>
      <c r="G235" s="16">
        <v>36.35</v>
      </c>
      <c r="H235" s="16">
        <f t="shared" si="29"/>
        <v>43.718375000000002</v>
      </c>
      <c r="I235" s="5"/>
      <c r="J235" s="15">
        <v>1004.4982</v>
      </c>
      <c r="K235" s="16">
        <v>41.491799999999998</v>
      </c>
      <c r="L235" s="16">
        <v>49.330399999999997</v>
      </c>
      <c r="M235" s="16">
        <v>50.129100000000001</v>
      </c>
      <c r="N235" s="16">
        <v>23.493300000000001</v>
      </c>
      <c r="O235" s="16">
        <f t="shared" si="25"/>
        <v>43.551287500000001</v>
      </c>
      <c r="P235" s="7"/>
      <c r="Q235" s="8">
        <f>bdrate(C235:C238,D235:D238,J235:J238,K235:K238)</f>
        <v>-0.44689593603461819</v>
      </c>
      <c r="R235" s="8">
        <f>bdrate(C235:C238,E235:E238,J235:J238,L235:L238)</f>
        <v>-0.4776300981895647</v>
      </c>
      <c r="S235" s="8">
        <f>bdrate(C235:C238,F235:F238,J235:J238,M235:M238)</f>
        <v>-0.50878698560482916</v>
      </c>
      <c r="T235" s="25">
        <f>bdrate(C235:C238,H235:H238,J235:J238,O235:O238)</f>
        <v>-0.45693292726032697</v>
      </c>
      <c r="U235" s="28">
        <f t="shared" si="30"/>
        <v>-0.35369188445667121</v>
      </c>
      <c r="V235" s="57">
        <f t="shared" si="27"/>
        <v>1.0366666666666637E-2</v>
      </c>
      <c r="W235" s="57">
        <f t="shared" si="28"/>
        <v>4.4981999999999973E-3</v>
      </c>
      <c r="X235" s="56">
        <v>1500</v>
      </c>
      <c r="Y235" s="56">
        <v>1000</v>
      </c>
    </row>
    <row r="236" spans="2:25" x14ac:dyDescent="0.25">
      <c r="B236" s="9"/>
      <c r="C236" s="17">
        <v>1010.1</v>
      </c>
      <c r="D236" s="18">
        <v>40.6</v>
      </c>
      <c r="E236" s="18">
        <v>48.701999999999998</v>
      </c>
      <c r="F236" s="18">
        <v>49.472000000000001</v>
      </c>
      <c r="G236" s="18">
        <v>39.909999999999997</v>
      </c>
      <c r="H236" s="18">
        <f t="shared" si="29"/>
        <v>42.72175</v>
      </c>
      <c r="I236" s="5"/>
      <c r="J236" s="17">
        <v>598.43970000000002</v>
      </c>
      <c r="K236" s="18">
        <v>40.511299999999999</v>
      </c>
      <c r="L236" s="18">
        <v>48.813200000000002</v>
      </c>
      <c r="M236" s="18">
        <v>49.660499999999999</v>
      </c>
      <c r="N236" s="18">
        <v>27.6831</v>
      </c>
      <c r="O236" s="18">
        <f t="shared" si="25"/>
        <v>42.692687499999998</v>
      </c>
      <c r="P236" s="7"/>
      <c r="Q236" s="10"/>
      <c r="R236" s="11"/>
      <c r="S236" s="11"/>
      <c r="T236" s="26"/>
      <c r="U236" s="28">
        <f t="shared" si="30"/>
        <v>-0.30636181408168373</v>
      </c>
      <c r="V236" s="57">
        <f t="shared" si="27"/>
        <v>1.0100000000000022E-2</v>
      </c>
      <c r="W236" s="57">
        <f t="shared" si="28"/>
        <v>2.6004999999999731E-3</v>
      </c>
      <c r="X236" s="56">
        <v>1000</v>
      </c>
      <c r="Y236" s="56">
        <v>600</v>
      </c>
    </row>
    <row r="237" spans="2:25" x14ac:dyDescent="0.25">
      <c r="B237" s="9"/>
      <c r="C237" s="17">
        <v>605.71</v>
      </c>
      <c r="D237" s="18">
        <v>39.198999999999998</v>
      </c>
      <c r="E237" s="18">
        <v>47.621000000000002</v>
      </c>
      <c r="F237" s="18">
        <v>48.357999999999997</v>
      </c>
      <c r="G237" s="18">
        <v>42.43</v>
      </c>
      <c r="H237" s="18">
        <f t="shared" si="29"/>
        <v>41.396625</v>
      </c>
      <c r="I237" s="5"/>
      <c r="J237" s="17">
        <v>286.01179999999999</v>
      </c>
      <c r="K237" s="18">
        <v>39.062899999999999</v>
      </c>
      <c r="L237" s="18">
        <v>47.545999999999999</v>
      </c>
      <c r="M237" s="18">
        <v>48.414700000000003</v>
      </c>
      <c r="N237" s="18">
        <v>32.795200000000001</v>
      </c>
      <c r="O237" s="18">
        <f t="shared" si="25"/>
        <v>41.2922625</v>
      </c>
      <c r="P237" s="7"/>
      <c r="Q237" s="10"/>
      <c r="R237" s="11"/>
      <c r="S237" s="11"/>
      <c r="T237" s="26"/>
      <c r="U237" s="28">
        <f t="shared" si="30"/>
        <v>-0.22707518265378265</v>
      </c>
      <c r="V237" s="57">
        <f t="shared" si="27"/>
        <v>9.516666666666727E-3</v>
      </c>
      <c r="W237" s="57">
        <f t="shared" si="28"/>
        <v>4.6627333333333354E-2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302.14</v>
      </c>
      <c r="D238" s="20">
        <v>37.039000000000001</v>
      </c>
      <c r="E238" s="20">
        <v>46.134999999999998</v>
      </c>
      <c r="F238" s="20">
        <v>46.908000000000001</v>
      </c>
      <c r="G238" s="20">
        <v>43.7</v>
      </c>
      <c r="H238" s="20">
        <f t="shared" si="29"/>
        <v>39.409625000000005</v>
      </c>
      <c r="I238" s="5"/>
      <c r="J238" s="19">
        <v>186.26349999999999</v>
      </c>
      <c r="K238" s="20">
        <v>38.060499999999998</v>
      </c>
      <c r="L238" s="20">
        <v>46.551400000000001</v>
      </c>
      <c r="M238" s="20">
        <v>47.4437</v>
      </c>
      <c r="N238" s="20">
        <v>36.114699999999999</v>
      </c>
      <c r="O238" s="20">
        <f t="shared" si="25"/>
        <v>40.294762499999997</v>
      </c>
      <c r="P238" s="7"/>
      <c r="Q238" s="13"/>
      <c r="R238" s="14"/>
      <c r="S238" s="14"/>
      <c r="T238" s="27"/>
      <c r="U238" s="28">
        <f t="shared" si="30"/>
        <v>-0.17357665903890168</v>
      </c>
      <c r="V238" s="57">
        <f t="shared" si="27"/>
        <v>7.1333333333332876E-3</v>
      </c>
      <c r="W238" s="57">
        <f t="shared" si="28"/>
        <v>6.8682500000000035E-2</v>
      </c>
      <c r="X238" s="56">
        <v>300</v>
      </c>
      <c r="Y238" s="56">
        <v>200</v>
      </c>
    </row>
    <row r="239" spans="2:25" x14ac:dyDescent="0.25">
      <c r="B239" s="6" t="s">
        <v>91</v>
      </c>
      <c r="C239" s="15">
        <v>1518.74</v>
      </c>
      <c r="D239" s="16">
        <v>40.375</v>
      </c>
      <c r="E239" s="16">
        <v>48.694000000000003</v>
      </c>
      <c r="F239" s="16">
        <v>47.603000000000002</v>
      </c>
      <c r="G239" s="16">
        <v>33.869999999999997</v>
      </c>
      <c r="H239" s="16">
        <f t="shared" si="29"/>
        <v>42.318375000000003</v>
      </c>
      <c r="I239" s="5"/>
      <c r="J239" s="15">
        <v>1000.9229</v>
      </c>
      <c r="K239" s="16">
        <v>40.013199999999998</v>
      </c>
      <c r="L239" s="16">
        <v>48.9148</v>
      </c>
      <c r="M239" s="16">
        <v>48.172699999999999</v>
      </c>
      <c r="N239" s="16">
        <v>22.964500000000001</v>
      </c>
      <c r="O239" s="16">
        <f t="shared" si="25"/>
        <v>42.145837499999999</v>
      </c>
      <c r="P239" s="7"/>
      <c r="Q239" s="8">
        <f>bdrate(C239:C242,D239:D242,J239:J242,K239:K242)</f>
        <v>-0.4147813154996649</v>
      </c>
      <c r="R239" s="8">
        <f>bdrate(C239:C242,E239:E242,J239:J242,L239:L242)</f>
        <v>-0.48317654018787837</v>
      </c>
      <c r="S239" s="8">
        <f>bdrate(C239:C242,F239:F242,J239:J242,M239:M242)</f>
        <v>-0.55396261047199236</v>
      </c>
      <c r="T239" s="25">
        <f>bdrate(C239:C242,H239:H242,J239:J242,O239:O242)</f>
        <v>-0.43406816377681023</v>
      </c>
      <c r="U239" s="28">
        <f t="shared" si="30"/>
        <v>-0.32198110422202531</v>
      </c>
      <c r="V239" s="57">
        <f t="shared" si="27"/>
        <v>1.2493333333333339E-2</v>
      </c>
      <c r="W239" s="57">
        <f t="shared" si="28"/>
        <v>9.2290000000002693E-4</v>
      </c>
      <c r="X239" s="56">
        <v>1500</v>
      </c>
      <c r="Y239" s="56">
        <v>1000</v>
      </c>
    </row>
    <row r="240" spans="2:25" x14ac:dyDescent="0.25">
      <c r="B240" s="9"/>
      <c r="C240" s="17">
        <v>1015.65</v>
      </c>
      <c r="D240" s="18">
        <v>38.872</v>
      </c>
      <c r="E240" s="18">
        <v>47.712000000000003</v>
      </c>
      <c r="F240" s="18">
        <v>46.506999999999998</v>
      </c>
      <c r="G240" s="18">
        <v>36.49</v>
      </c>
      <c r="H240" s="18">
        <f t="shared" si="29"/>
        <v>40.931375000000003</v>
      </c>
      <c r="I240" s="5"/>
      <c r="J240" s="17">
        <v>595.05589999999995</v>
      </c>
      <c r="K240" s="18">
        <v>38.529000000000003</v>
      </c>
      <c r="L240" s="18">
        <v>48.006799999999998</v>
      </c>
      <c r="M240" s="18">
        <v>47.193100000000001</v>
      </c>
      <c r="N240" s="18">
        <v>27.038399999999999</v>
      </c>
      <c r="O240" s="18">
        <f t="shared" si="25"/>
        <v>40.796737500000006</v>
      </c>
      <c r="P240" s="7"/>
      <c r="Q240" s="10"/>
      <c r="R240" s="11"/>
      <c r="S240" s="11"/>
      <c r="T240" s="26"/>
      <c r="U240" s="28">
        <f t="shared" si="30"/>
        <v>-0.25901890929021654</v>
      </c>
      <c r="V240" s="57">
        <f t="shared" si="27"/>
        <v>1.5649999999999976E-2</v>
      </c>
      <c r="W240" s="57">
        <f t="shared" si="28"/>
        <v>8.240166666666748E-3</v>
      </c>
      <c r="X240" s="56">
        <v>1000</v>
      </c>
      <c r="Y240" s="56">
        <v>600</v>
      </c>
    </row>
    <row r="241" spans="2:25" x14ac:dyDescent="0.25">
      <c r="B241" s="9"/>
      <c r="C241" s="17">
        <v>609.19000000000005</v>
      </c>
      <c r="D241" s="18">
        <v>36.792000000000002</v>
      </c>
      <c r="E241" s="18">
        <v>46.518000000000001</v>
      </c>
      <c r="F241" s="18">
        <v>45.241999999999997</v>
      </c>
      <c r="G241" s="18">
        <v>38.32</v>
      </c>
      <c r="H241" s="18">
        <f t="shared" si="29"/>
        <v>39.064</v>
      </c>
      <c r="I241" s="5"/>
      <c r="J241" s="17">
        <v>288.18130000000002</v>
      </c>
      <c r="K241" s="18">
        <v>36.2941</v>
      </c>
      <c r="L241" s="18">
        <v>46.313499999999998</v>
      </c>
      <c r="M241" s="18">
        <v>45.394799999999996</v>
      </c>
      <c r="N241" s="18">
        <v>31.8919</v>
      </c>
      <c r="O241" s="18">
        <f t="shared" si="25"/>
        <v>38.684112499999998</v>
      </c>
      <c r="P241" s="7"/>
      <c r="Q241" s="10"/>
      <c r="R241" s="11"/>
      <c r="S241" s="11"/>
      <c r="T241" s="26"/>
      <c r="U241" s="28">
        <f t="shared" si="30"/>
        <v>-0.16774791231732777</v>
      </c>
      <c r="V241" s="57">
        <f t="shared" si="27"/>
        <v>1.5316666666666758E-2</v>
      </c>
      <c r="W241" s="57">
        <f t="shared" si="28"/>
        <v>3.9395666666666593E-2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305.67</v>
      </c>
      <c r="D242" s="20">
        <v>33.722000000000001</v>
      </c>
      <c r="E242" s="20">
        <v>44.642000000000003</v>
      </c>
      <c r="F242" s="20">
        <v>43.326000000000001</v>
      </c>
      <c r="G242" s="20">
        <v>39.229999999999997</v>
      </c>
      <c r="H242" s="20">
        <f t="shared" si="29"/>
        <v>36.287500000000001</v>
      </c>
      <c r="I242" s="5"/>
      <c r="J242" s="19">
        <v>188.12209999999999</v>
      </c>
      <c r="K242" s="20">
        <v>34.803699999999999</v>
      </c>
      <c r="L242" s="20">
        <v>45.18</v>
      </c>
      <c r="M242" s="20">
        <v>44.225900000000003</v>
      </c>
      <c r="N242" s="20">
        <v>35.223399999999998</v>
      </c>
      <c r="O242" s="20">
        <f t="shared" si="25"/>
        <v>37.278512500000005</v>
      </c>
      <c r="P242" s="7"/>
      <c r="Q242" s="13"/>
      <c r="R242" s="14"/>
      <c r="S242" s="14"/>
      <c r="T242" s="27"/>
      <c r="U242" s="28">
        <f t="shared" si="30"/>
        <v>-0.10213102217690541</v>
      </c>
      <c r="V242" s="57">
        <f t="shared" si="27"/>
        <v>1.8900000000000052E-2</v>
      </c>
      <c r="W242" s="57">
        <f t="shared" si="28"/>
        <v>5.9389500000000053E-2</v>
      </c>
      <c r="X242" s="56">
        <v>300</v>
      </c>
      <c r="Y242" s="56">
        <v>200</v>
      </c>
    </row>
    <row r="243" spans="2:25" x14ac:dyDescent="0.25">
      <c r="B243" s="6" t="s">
        <v>92</v>
      </c>
      <c r="C243" s="29">
        <v>1496.48</v>
      </c>
      <c r="D243" s="30">
        <v>36.372999999999998</v>
      </c>
      <c r="E243" s="30">
        <v>45.149000000000001</v>
      </c>
      <c r="F243" s="30">
        <v>44.134</v>
      </c>
      <c r="G243" s="16">
        <v>31.42</v>
      </c>
      <c r="H243" s="16">
        <f t="shared" si="29"/>
        <v>38.440125000000002</v>
      </c>
      <c r="I243" s="5"/>
      <c r="J243" s="29">
        <v>1003.1464999999999</v>
      </c>
      <c r="K243" s="30">
        <v>35.875599999999999</v>
      </c>
      <c r="L243" s="30">
        <v>45.991399999999999</v>
      </c>
      <c r="M243" s="30">
        <v>44.7911</v>
      </c>
      <c r="N243" s="16">
        <v>22.481999999999999</v>
      </c>
      <c r="O243" s="16">
        <f t="shared" si="25"/>
        <v>38.254512500000004</v>
      </c>
      <c r="P243" s="7"/>
      <c r="Q243" s="8">
        <f>bdrate(C243:C246,D243:D246,J243:J246,K243:K246)</f>
        <v>-0.37400696885650042</v>
      </c>
      <c r="R243" s="8">
        <f>bdrate(C243:C246,E243:E246,J243:J246,L243:L246)</f>
        <v>-0.50176097869357827</v>
      </c>
      <c r="S243" s="8">
        <f>bdrate(C243:C246,F243:F246,J243:J246,M243:M246)</f>
        <v>-0.4526638171966868</v>
      </c>
      <c r="T243" s="25">
        <f>bdrate(C243:C246,H243:H246,J243:J246,O243:O246)</f>
        <v>-0.39272133896369954</v>
      </c>
      <c r="U243" s="28">
        <f t="shared" si="30"/>
        <v>-0.28446849140674735</v>
      </c>
      <c r="V243" s="57">
        <f t="shared" si="27"/>
        <v>2.3466666666666545E-3</v>
      </c>
      <c r="W243" s="57">
        <f t="shared" si="28"/>
        <v>3.1464999999999462E-3</v>
      </c>
      <c r="X243" s="56">
        <v>1500</v>
      </c>
      <c r="Y243" s="56">
        <v>1000</v>
      </c>
    </row>
    <row r="244" spans="2:25" x14ac:dyDescent="0.25">
      <c r="B244" s="9"/>
      <c r="C244" s="31">
        <v>990.82</v>
      </c>
      <c r="D244" s="32">
        <v>35.067</v>
      </c>
      <c r="E244" s="32">
        <v>44.405000000000001</v>
      </c>
      <c r="F244" s="32">
        <v>43.45</v>
      </c>
      <c r="G244" s="18">
        <v>33.950000000000003</v>
      </c>
      <c r="H244" s="18">
        <f t="shared" si="29"/>
        <v>37.282125000000001</v>
      </c>
      <c r="I244" s="5"/>
      <c r="J244" s="31">
        <v>598.94299999999998</v>
      </c>
      <c r="K244" s="32">
        <v>34.632800000000003</v>
      </c>
      <c r="L244" s="32">
        <v>44.898699999999998</v>
      </c>
      <c r="M244" s="32">
        <v>43.7622</v>
      </c>
      <c r="N244" s="18">
        <v>26.2392</v>
      </c>
      <c r="O244" s="18">
        <f t="shared" si="25"/>
        <v>37.057212499999999</v>
      </c>
      <c r="P244" s="7"/>
      <c r="Q244" s="10"/>
      <c r="R244" s="11"/>
      <c r="S244" s="11"/>
      <c r="T244" s="26"/>
      <c r="U244" s="28">
        <f t="shared" si="30"/>
        <v>-0.22712223858615616</v>
      </c>
      <c r="V244" s="57">
        <f t="shared" si="27"/>
        <v>9.1799999999999504E-3</v>
      </c>
      <c r="W244" s="57">
        <f t="shared" si="28"/>
        <v>1.7616666666666939E-3</v>
      </c>
      <c r="X244" s="56">
        <v>1000</v>
      </c>
      <c r="Y244" s="56">
        <v>600</v>
      </c>
    </row>
    <row r="245" spans="2:25" x14ac:dyDescent="0.25">
      <c r="B245" s="9"/>
      <c r="C245" s="31">
        <v>588.32000000000005</v>
      </c>
      <c r="D245" s="32">
        <v>33.204000000000001</v>
      </c>
      <c r="E245" s="32">
        <v>43.295999999999999</v>
      </c>
      <c r="F245" s="32">
        <v>42.44</v>
      </c>
      <c r="G245" s="18">
        <v>35.1</v>
      </c>
      <c r="H245" s="18">
        <f t="shared" si="29"/>
        <v>35.619999999999997</v>
      </c>
      <c r="I245" s="5"/>
      <c r="J245" s="31">
        <v>286.6728</v>
      </c>
      <c r="K245" s="32">
        <v>32.549599999999998</v>
      </c>
      <c r="L245" s="32">
        <v>43.183799999999998</v>
      </c>
      <c r="M245" s="32">
        <v>42.1218</v>
      </c>
      <c r="N245" s="18">
        <v>31.461500000000001</v>
      </c>
      <c r="O245" s="18">
        <f t="shared" si="25"/>
        <v>35.075399999999995</v>
      </c>
      <c r="P245" s="7"/>
      <c r="Q245" s="10"/>
      <c r="R245" s="11"/>
      <c r="S245" s="11"/>
      <c r="T245" s="26"/>
      <c r="U245" s="28">
        <f t="shared" si="30"/>
        <v>-0.10366096866096867</v>
      </c>
      <c r="V245" s="57">
        <f t="shared" si="27"/>
        <v>1.9466666666666584E-2</v>
      </c>
      <c r="W245" s="57">
        <f t="shared" si="28"/>
        <v>4.4424000000000019E-2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289.87</v>
      </c>
      <c r="D246" s="34">
        <v>30.061</v>
      </c>
      <c r="E246" s="34">
        <v>41.600999999999999</v>
      </c>
      <c r="F246" s="34">
        <v>40.857999999999997</v>
      </c>
      <c r="G246" s="20">
        <v>35.56</v>
      </c>
      <c r="H246" s="20">
        <f t="shared" si="29"/>
        <v>32.853124999999999</v>
      </c>
      <c r="I246" s="5"/>
      <c r="J246" s="33">
        <v>187.2492</v>
      </c>
      <c r="K246" s="34">
        <v>31.09</v>
      </c>
      <c r="L246" s="34">
        <v>42.145800000000001</v>
      </c>
      <c r="M246" s="34">
        <v>41.072000000000003</v>
      </c>
      <c r="N246" s="20">
        <v>35.255000000000003</v>
      </c>
      <c r="O246" s="20">
        <f t="shared" si="25"/>
        <v>33.719724999999997</v>
      </c>
      <c r="P246" s="7"/>
      <c r="Q246" s="13"/>
      <c r="R246" s="14"/>
      <c r="S246" s="14"/>
      <c r="T246" s="27"/>
      <c r="U246" s="28">
        <f t="shared" si="30"/>
        <v>-8.577052868391442E-3</v>
      </c>
      <c r="V246" s="57">
        <f t="shared" si="27"/>
        <v>3.3766666666666653E-2</v>
      </c>
      <c r="W246" s="57">
        <f t="shared" si="28"/>
        <v>6.3753999999999991E-2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1">AVERAGE(Q131:Q246)</f>
        <v>-0.41236257206137011</v>
      </c>
      <c r="R247" s="21">
        <f t="shared" si="31"/>
        <v>-0.48604641005122962</v>
      </c>
      <c r="S247" s="21">
        <f t="shared" si="31"/>
        <v>-0.50115936388569593</v>
      </c>
      <c r="T247" s="21">
        <f t="shared" si="31"/>
        <v>-0.4280712175782444</v>
      </c>
      <c r="U247" s="21">
        <f t="shared" si="31"/>
        <v>-0.19719379942389273</v>
      </c>
      <c r="V247" s="57">
        <f t="shared" si="31"/>
        <v>2.9340859987359379E-2</v>
      </c>
      <c r="W247" s="57">
        <f t="shared" si="31"/>
        <v>1.9083595689655179E-2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91" priority="477" operator="greaterThan">
      <formula>0.03</formula>
    </cfRule>
    <cfRule type="cellIs" dxfId="390" priority="478" stopIfTrue="1" operator="lessThan">
      <formula>-0.03</formula>
    </cfRule>
  </conditionalFormatting>
  <conditionalFormatting sqref="Q33:T36">
    <cfRule type="cellIs" dxfId="389" priority="475" operator="greaterThan">
      <formula>0.03</formula>
    </cfRule>
    <cfRule type="cellIs" dxfId="388" priority="476" stopIfTrue="1" operator="lessThan">
      <formula>-0.03</formula>
    </cfRule>
  </conditionalFormatting>
  <conditionalFormatting sqref="Q46:T48 Q62:T64">
    <cfRule type="cellIs" dxfId="387" priority="473" operator="greaterThan">
      <formula>0.03</formula>
    </cfRule>
    <cfRule type="cellIs" dxfId="386" priority="474" stopIfTrue="1" operator="lessThan">
      <formula>-0.03</formula>
    </cfRule>
  </conditionalFormatting>
  <conditionalFormatting sqref="Q50:T52 Q54:T56 Q58:T60">
    <cfRule type="cellIs" dxfId="385" priority="471" operator="greaterThan">
      <formula>0.03</formula>
    </cfRule>
    <cfRule type="cellIs" dxfId="384" priority="472" stopIfTrue="1" operator="lessThan">
      <formula>-0.03</formula>
    </cfRule>
  </conditionalFormatting>
  <conditionalFormatting sqref="Q70:T72 Q74:T76">
    <cfRule type="cellIs" dxfId="383" priority="469" operator="greaterThan">
      <formula>0.03</formula>
    </cfRule>
    <cfRule type="cellIs" dxfId="382" priority="470" stopIfTrue="1" operator="lessThan">
      <formula>-0.03</formula>
    </cfRule>
  </conditionalFormatting>
  <conditionalFormatting sqref="Q66:T68">
    <cfRule type="cellIs" dxfId="381" priority="467" operator="greaterThan">
      <formula>0.03</formula>
    </cfRule>
    <cfRule type="cellIs" dxfId="380" priority="468" stopIfTrue="1" operator="lessThan">
      <formula>-0.03</formula>
    </cfRule>
  </conditionalFormatting>
  <conditionalFormatting sqref="Q78:T80">
    <cfRule type="cellIs" dxfId="379" priority="465" operator="greaterThan">
      <formula>0.03</formula>
    </cfRule>
    <cfRule type="cellIs" dxfId="378" priority="466" stopIfTrue="1" operator="lessThan">
      <formula>-0.03</formula>
    </cfRule>
  </conditionalFormatting>
  <conditionalFormatting sqref="Q21:T28">
    <cfRule type="cellIs" dxfId="377" priority="447" operator="greaterThan">
      <formula>0.03</formula>
    </cfRule>
    <cfRule type="cellIs" dxfId="376" priority="448" stopIfTrue="1" operator="lessThan">
      <formula>-0.03</formula>
    </cfRule>
  </conditionalFormatting>
  <conditionalFormatting sqref="Q151:T154 Q159:T166 Q131:T142">
    <cfRule type="cellIs" dxfId="375" priority="443" operator="greaterThan">
      <formula>0.03</formula>
    </cfRule>
    <cfRule type="cellIs" dxfId="374" priority="444" stopIfTrue="1" operator="lessThan">
      <formula>-0.03</formula>
    </cfRule>
  </conditionalFormatting>
  <conditionalFormatting sqref="Q155:T158">
    <cfRule type="cellIs" dxfId="373" priority="441" operator="greaterThan">
      <formula>0.03</formula>
    </cfRule>
    <cfRule type="cellIs" dxfId="372" priority="442" stopIfTrue="1" operator="lessThan">
      <formula>-0.03</formula>
    </cfRule>
  </conditionalFormatting>
  <conditionalFormatting sqref="Q167:T170 Q183:T186">
    <cfRule type="cellIs" dxfId="371" priority="439" operator="greaterThan">
      <formula>0.03</formula>
    </cfRule>
    <cfRule type="cellIs" dxfId="370" priority="440" stopIfTrue="1" operator="lessThan">
      <formula>-0.03</formula>
    </cfRule>
  </conditionalFormatting>
  <conditionalFormatting sqref="Q171:T182">
    <cfRule type="cellIs" dxfId="369" priority="437" operator="greaterThan">
      <formula>0.03</formula>
    </cfRule>
    <cfRule type="cellIs" dxfId="368" priority="438" stopIfTrue="1" operator="lessThan">
      <formula>-0.03</formula>
    </cfRule>
  </conditionalFormatting>
  <conditionalFormatting sqref="Q191:T198">
    <cfRule type="cellIs" dxfId="367" priority="435" operator="greaterThan">
      <formula>0.03</formula>
    </cfRule>
    <cfRule type="cellIs" dxfId="366" priority="436" stopIfTrue="1" operator="lessThan">
      <formula>-0.03</formula>
    </cfRule>
  </conditionalFormatting>
  <conditionalFormatting sqref="Q187:T190">
    <cfRule type="cellIs" dxfId="365" priority="433" operator="greaterThan">
      <formula>0.03</formula>
    </cfRule>
    <cfRule type="cellIs" dxfId="364" priority="434" stopIfTrue="1" operator="lessThan">
      <formula>-0.03</formula>
    </cfRule>
  </conditionalFormatting>
  <conditionalFormatting sqref="Q199:T202">
    <cfRule type="cellIs" dxfId="363" priority="431" operator="greaterThan">
      <formula>0.03</formula>
    </cfRule>
    <cfRule type="cellIs" dxfId="362" priority="432" stopIfTrue="1" operator="lessThan">
      <formula>-0.03</formula>
    </cfRule>
  </conditionalFormatting>
  <conditionalFormatting sqref="Q143:T150">
    <cfRule type="cellIs" dxfId="361" priority="429" operator="greaterThan">
      <formula>0.03</formula>
    </cfRule>
    <cfRule type="cellIs" dxfId="360" priority="430" stopIfTrue="1" operator="lessThan">
      <formula>-0.03</formula>
    </cfRule>
  </conditionalFormatting>
  <conditionalFormatting sqref="Q45:T45">
    <cfRule type="cellIs" dxfId="359" priority="427" operator="greaterThan">
      <formula>0.03</formula>
    </cfRule>
    <cfRule type="cellIs" dxfId="358" priority="428" stopIfTrue="1" operator="lessThan">
      <formula>-0.03</formula>
    </cfRule>
  </conditionalFormatting>
  <conditionalFormatting sqref="Q49:T49">
    <cfRule type="cellIs" dxfId="357" priority="425" operator="greaterThan">
      <formula>0.03</formula>
    </cfRule>
    <cfRule type="cellIs" dxfId="356" priority="426" stopIfTrue="1" operator="lessThan">
      <formula>-0.03</formula>
    </cfRule>
  </conditionalFormatting>
  <conditionalFormatting sqref="Q53:T53">
    <cfRule type="cellIs" dxfId="355" priority="423" operator="greaterThan">
      <formula>0.03</formula>
    </cfRule>
    <cfRule type="cellIs" dxfId="354" priority="424" stopIfTrue="1" operator="lessThan">
      <formula>-0.03</formula>
    </cfRule>
  </conditionalFormatting>
  <conditionalFormatting sqref="Q57:T57">
    <cfRule type="cellIs" dxfId="353" priority="421" operator="greaterThan">
      <formula>0.03</formula>
    </cfRule>
    <cfRule type="cellIs" dxfId="352" priority="422" stopIfTrue="1" operator="lessThan">
      <formula>-0.03</formula>
    </cfRule>
  </conditionalFormatting>
  <conditionalFormatting sqref="Q61:T61">
    <cfRule type="cellIs" dxfId="351" priority="419" operator="greaterThan">
      <formula>0.03</formula>
    </cfRule>
    <cfRule type="cellIs" dxfId="350" priority="420" stopIfTrue="1" operator="lessThan">
      <formula>-0.03</formula>
    </cfRule>
  </conditionalFormatting>
  <conditionalFormatting sqref="Q65:T65">
    <cfRule type="cellIs" dxfId="349" priority="417" operator="greaterThan">
      <formula>0.03</formula>
    </cfRule>
    <cfRule type="cellIs" dxfId="348" priority="418" stopIfTrue="1" operator="lessThan">
      <formula>-0.03</formula>
    </cfRule>
  </conditionalFormatting>
  <conditionalFormatting sqref="Q69:T69">
    <cfRule type="cellIs" dxfId="347" priority="415" operator="greaterThan">
      <formula>0.03</formula>
    </cfRule>
    <cfRule type="cellIs" dxfId="346" priority="416" stopIfTrue="1" operator="lessThan">
      <formula>-0.03</formula>
    </cfRule>
  </conditionalFormatting>
  <conditionalFormatting sqref="Q73:T73">
    <cfRule type="cellIs" dxfId="345" priority="413" operator="greaterThan">
      <formula>0.03</formula>
    </cfRule>
    <cfRule type="cellIs" dxfId="344" priority="414" stopIfTrue="1" operator="lessThan">
      <formula>-0.03</formula>
    </cfRule>
  </conditionalFormatting>
  <conditionalFormatting sqref="Q77:T77">
    <cfRule type="cellIs" dxfId="343" priority="411" operator="greaterThan">
      <formula>0.03</formula>
    </cfRule>
    <cfRule type="cellIs" dxfId="342" priority="412" stopIfTrue="1" operator="lessThan">
      <formula>-0.03</formula>
    </cfRule>
  </conditionalFormatting>
  <conditionalFormatting sqref="Q105:T105">
    <cfRule type="cellIs" dxfId="341" priority="105" operator="greaterThan">
      <formula>0.03</formula>
    </cfRule>
    <cfRule type="cellIs" dxfId="340" priority="106" stopIfTrue="1" operator="lessThan">
      <formula>-0.03</formula>
    </cfRule>
  </conditionalFormatting>
  <conditionalFormatting sqref="Q117:T117">
    <cfRule type="cellIs" dxfId="339" priority="93" operator="greaterThan">
      <formula>0.03</formula>
    </cfRule>
    <cfRule type="cellIs" dxfId="338" priority="94" stopIfTrue="1" operator="lessThan">
      <formula>-0.03</formula>
    </cfRule>
  </conditionalFormatting>
  <conditionalFormatting sqref="Q93:T100 Q81:T88">
    <cfRule type="cellIs" dxfId="337" priority="119" operator="greaterThan">
      <formula>0.03</formula>
    </cfRule>
    <cfRule type="cellIs" dxfId="336" priority="120" stopIfTrue="1" operator="lessThan">
      <formula>-0.03</formula>
    </cfRule>
  </conditionalFormatting>
  <conditionalFormatting sqref="Q89:T92">
    <cfRule type="cellIs" dxfId="335" priority="117" operator="greaterThan">
      <formula>0.03</formula>
    </cfRule>
    <cfRule type="cellIs" dxfId="334" priority="118" stopIfTrue="1" operator="lessThan">
      <formula>-0.03</formula>
    </cfRule>
  </conditionalFormatting>
  <conditionalFormatting sqref="Q102:T104 Q122:T124">
    <cfRule type="cellIs" dxfId="333" priority="115" operator="greaterThan">
      <formula>0.03</formula>
    </cfRule>
    <cfRule type="cellIs" dxfId="332" priority="116" stopIfTrue="1" operator="lessThan">
      <formula>-0.03</formula>
    </cfRule>
  </conditionalFormatting>
  <conditionalFormatting sqref="Q106:T108">
    <cfRule type="cellIs" dxfId="331" priority="113" operator="greaterThan">
      <formula>0.03</formula>
    </cfRule>
    <cfRule type="cellIs" dxfId="330" priority="114" stopIfTrue="1" operator="lessThan">
      <formula>-0.03</formula>
    </cfRule>
  </conditionalFormatting>
  <conditionalFormatting sqref="Q101:T101">
    <cfRule type="cellIs" dxfId="329" priority="109" operator="greaterThan">
      <formula>0.03</formula>
    </cfRule>
    <cfRule type="cellIs" dxfId="328" priority="110" stopIfTrue="1" operator="lessThan">
      <formula>-0.03</formula>
    </cfRule>
  </conditionalFormatting>
  <conditionalFormatting sqref="Q121:T121">
    <cfRule type="cellIs" dxfId="327" priority="103" operator="greaterThan">
      <formula>0.03</formula>
    </cfRule>
    <cfRule type="cellIs" dxfId="326" priority="104" stopIfTrue="1" operator="lessThan">
      <formula>-0.03</formula>
    </cfRule>
  </conditionalFormatting>
  <conditionalFormatting sqref="Q109:T112">
    <cfRule type="cellIs" dxfId="325" priority="101" operator="greaterThan">
      <formula>0.03</formula>
    </cfRule>
    <cfRule type="cellIs" dxfId="324" priority="102" stopIfTrue="1" operator="lessThan">
      <formula>-0.03</formula>
    </cfRule>
  </conditionalFormatting>
  <conditionalFormatting sqref="Q114:T116">
    <cfRule type="cellIs" dxfId="323" priority="99" operator="greaterThan">
      <formula>0.03</formula>
    </cfRule>
    <cfRule type="cellIs" dxfId="322" priority="100" stopIfTrue="1" operator="lessThan">
      <formula>-0.03</formula>
    </cfRule>
  </conditionalFormatting>
  <conditionalFormatting sqref="Q118:T120">
    <cfRule type="cellIs" dxfId="321" priority="97" operator="greaterThan">
      <formula>0.03</formula>
    </cfRule>
    <cfRule type="cellIs" dxfId="320" priority="98" stopIfTrue="1" operator="lessThan">
      <formula>-0.03</formula>
    </cfRule>
  </conditionalFormatting>
  <conditionalFormatting sqref="Q113:T113">
    <cfRule type="cellIs" dxfId="319" priority="95" operator="greaterThan">
      <formula>0.03</formula>
    </cfRule>
    <cfRule type="cellIs" dxfId="318" priority="96" stopIfTrue="1" operator="lessThan">
      <formula>-0.03</formula>
    </cfRule>
  </conditionalFormatting>
  <conditionalFormatting sqref="Q227:T227">
    <cfRule type="cellIs" dxfId="317" priority="39" operator="greaterThan">
      <formula>0.03</formula>
    </cfRule>
    <cfRule type="cellIs" dxfId="316" priority="40" stopIfTrue="1" operator="lessThan">
      <formula>-0.03</formula>
    </cfRule>
  </conditionalFormatting>
  <conditionalFormatting sqref="Q239:T239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215:T222 Q203:T210">
    <cfRule type="cellIs" dxfId="313" priority="53" operator="greaterThan">
      <formula>0.03</formula>
    </cfRule>
    <cfRule type="cellIs" dxfId="312" priority="54" stopIfTrue="1" operator="lessThan">
      <formula>-0.03</formula>
    </cfRule>
  </conditionalFormatting>
  <conditionalFormatting sqref="Q211:T214">
    <cfRule type="cellIs" dxfId="311" priority="51" operator="greaterThan">
      <formula>0.03</formula>
    </cfRule>
    <cfRule type="cellIs" dxfId="310" priority="52" stopIfTrue="1" operator="lessThan">
      <formula>-0.03</formula>
    </cfRule>
  </conditionalFormatting>
  <conditionalFormatting sqref="Q224:T226 Q244:T246">
    <cfRule type="cellIs" dxfId="309" priority="49" operator="greaterThan">
      <formula>0.03</formula>
    </cfRule>
    <cfRule type="cellIs" dxfId="308" priority="50" stopIfTrue="1" operator="lessThan">
      <formula>-0.03</formula>
    </cfRule>
  </conditionalFormatting>
  <conditionalFormatting sqref="Q228:T230">
    <cfRule type="cellIs" dxfId="307" priority="47" operator="greaterThan">
      <formula>0.03</formula>
    </cfRule>
    <cfRule type="cellIs" dxfId="306" priority="48" stopIfTrue="1" operator="lessThan">
      <formula>-0.03</formula>
    </cfRule>
  </conditionalFormatting>
  <conditionalFormatting sqref="Q223:T223">
    <cfRule type="cellIs" dxfId="305" priority="43" operator="greaterThan">
      <formula>0.03</formula>
    </cfRule>
    <cfRule type="cellIs" dxfId="304" priority="44" stopIfTrue="1" operator="lessThan">
      <formula>-0.03</formula>
    </cfRule>
  </conditionalFormatting>
  <conditionalFormatting sqref="Q243:T243">
    <cfRule type="cellIs" dxfId="303" priority="37" operator="greaterThan">
      <formula>0.03</formula>
    </cfRule>
    <cfRule type="cellIs" dxfId="302" priority="38" stopIfTrue="1" operator="lessThan">
      <formula>-0.03</formula>
    </cfRule>
  </conditionalFormatting>
  <conditionalFormatting sqref="Q231:T234">
    <cfRule type="cellIs" dxfId="301" priority="35" operator="greaterThan">
      <formula>0.03</formula>
    </cfRule>
    <cfRule type="cellIs" dxfId="300" priority="36" stopIfTrue="1" operator="lessThan">
      <formula>-0.03</formula>
    </cfRule>
  </conditionalFormatting>
  <conditionalFormatting sqref="Q236:T238">
    <cfRule type="cellIs" dxfId="299" priority="33" operator="greaterThan">
      <formula>0.03</formula>
    </cfRule>
    <cfRule type="cellIs" dxfId="298" priority="34" stopIfTrue="1" operator="lessThan">
      <formula>-0.03</formula>
    </cfRule>
  </conditionalFormatting>
  <conditionalFormatting sqref="Q240:T242">
    <cfRule type="cellIs" dxfId="297" priority="31" operator="greaterThan">
      <formula>0.03</formula>
    </cfRule>
    <cfRule type="cellIs" dxfId="296" priority="32" stopIfTrue="1" operator="lessThan">
      <formula>-0.03</formula>
    </cfRule>
  </conditionalFormatting>
  <conditionalFormatting sqref="Q235:T235">
    <cfRule type="cellIs" dxfId="295" priority="29" operator="greaterThan">
      <formula>0.03</formula>
    </cfRule>
    <cfRule type="cellIs" dxfId="294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123</v>
      </c>
    </row>
    <row r="2" spans="1:25" x14ac:dyDescent="0.25">
      <c r="A2" t="s">
        <v>78</v>
      </c>
    </row>
    <row r="3" spans="1:25" x14ac:dyDescent="0.25">
      <c r="A3" t="s">
        <v>113</v>
      </c>
    </row>
    <row r="4" spans="1:25" x14ac:dyDescent="0.25">
      <c r="A4" t="s">
        <v>79</v>
      </c>
    </row>
    <row r="5" spans="1:25" s="35" customFormat="1" ht="15.75" customHeight="1" x14ac:dyDescent="0.25">
      <c r="B5" s="74" t="s">
        <v>29</v>
      </c>
      <c r="C5" s="68" t="s">
        <v>116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75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6" t="s">
        <v>65</v>
      </c>
      <c r="D7" s="77"/>
      <c r="E7" s="77"/>
      <c r="F7" s="77"/>
      <c r="G7" s="77"/>
      <c r="H7" s="77"/>
      <c r="I7" s="5"/>
      <c r="J7" s="76" t="s">
        <v>107</v>
      </c>
      <c r="K7" s="77"/>
      <c r="L7" s="77"/>
      <c r="M7" s="77"/>
      <c r="N7" s="77"/>
      <c r="O7" s="77"/>
      <c r="Q7" s="76" t="s">
        <v>7</v>
      </c>
      <c r="R7" s="77"/>
      <c r="S7" s="78"/>
      <c r="T7" s="36"/>
      <c r="U7" s="79" t="s">
        <v>45</v>
      </c>
      <c r="V7" s="67" t="s">
        <v>93</v>
      </c>
      <c r="W7" s="67"/>
      <c r="X7" s="67"/>
      <c r="Y7" s="67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  <c r="V8" s="55" t="s">
        <v>101</v>
      </c>
      <c r="W8" s="55" t="s">
        <v>94</v>
      </c>
      <c r="X8" s="56" t="s">
        <v>102</v>
      </c>
      <c r="Y8" s="56" t="s">
        <v>95</v>
      </c>
    </row>
    <row r="9" spans="1:25" x14ac:dyDescent="0.25">
      <c r="A9" s="6" t="s">
        <v>35</v>
      </c>
      <c r="B9" s="6" t="s">
        <v>46</v>
      </c>
      <c r="C9" s="15">
        <v>5842.44</v>
      </c>
      <c r="D9" s="16">
        <v>37.375</v>
      </c>
      <c r="E9" s="16">
        <v>38.874000000000002</v>
      </c>
      <c r="F9" s="16">
        <v>41.213000000000001</v>
      </c>
      <c r="G9" s="16">
        <v>1.5</v>
      </c>
      <c r="H9" s="16">
        <f t="shared" ref="H9:H80" si="0">(6*D9+E9+F9)/8</f>
        <v>38.042125000000006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1.3801000000000001</v>
      </c>
      <c r="O9" s="16">
        <f t="shared" ref="O9:O80" si="1">(6*K9+L9+M9)/8</f>
        <v>38.61345</v>
      </c>
      <c r="P9" s="7"/>
      <c r="Q9" s="8">
        <f>bdrate(C9:C12,D9:D12,J9:J12,K9:K12)</f>
        <v>-0.44623105485827663</v>
      </c>
      <c r="R9" s="8">
        <f>bdrate(C9:C12,E9:E12,J9:J12,L9:L12)</f>
        <v>-0.49219101077896421</v>
      </c>
      <c r="S9" s="8">
        <f>bdrate(C9:C12,F9:F12,J9:J12,M9:M12)</f>
        <v>-0.49621608500339365</v>
      </c>
      <c r="T9" s="25">
        <f>bdrate(C9:C12,H9:H12,J9:J12,O9:O12)</f>
        <v>-0.45316326515694882</v>
      </c>
      <c r="U9" s="28">
        <f t="shared" ref="U9:U40" si="2">(N9-G9)/G9</f>
        <v>-7.9933333333333259E-2</v>
      </c>
      <c r="V9" s="57">
        <f>ABS(C9-X9)/X9</f>
        <v>2.6260000000000068E-2</v>
      </c>
      <c r="W9" s="57">
        <f t="shared" ref="W9:W72" si="3">ABS(J9-Y9)/Y9</f>
        <v>5.6535999999999835E-3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4337.07</v>
      </c>
      <c r="D10" s="18">
        <v>36.28</v>
      </c>
      <c r="E10" s="18">
        <v>38.386000000000003</v>
      </c>
      <c r="F10" s="18">
        <v>40.683999999999997</v>
      </c>
      <c r="G10" s="18">
        <v>1.69</v>
      </c>
      <c r="H10" s="18">
        <f t="shared" si="0"/>
        <v>37.09375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1.5138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-0.10426035502958575</v>
      </c>
      <c r="V10" s="57">
        <f t="shared" ref="V10:V73" si="4">ABS(C10-X10)/X10</f>
        <v>3.6206666666666734E-2</v>
      </c>
      <c r="W10" s="57">
        <f t="shared" si="3"/>
        <v>1.8672000000000025E-2</v>
      </c>
      <c r="X10" s="56">
        <v>4500</v>
      </c>
      <c r="Y10" s="56">
        <v>3000</v>
      </c>
    </row>
    <row r="11" spans="1:25" x14ac:dyDescent="0.25">
      <c r="B11" s="9"/>
      <c r="C11" s="17">
        <v>2861.94</v>
      </c>
      <c r="D11" s="18">
        <v>34.633000000000003</v>
      </c>
      <c r="E11" s="18">
        <v>37.756999999999998</v>
      </c>
      <c r="F11" s="18">
        <v>40.023000000000003</v>
      </c>
      <c r="G11" s="18">
        <v>1.81</v>
      </c>
      <c r="H11" s="18">
        <f t="shared" si="0"/>
        <v>35.697250000000004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1.7191000000000001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-5.0220994475138107E-2</v>
      </c>
      <c r="V11" s="57">
        <f t="shared" si="4"/>
        <v>4.6019999999999985E-2</v>
      </c>
      <c r="W11" s="57">
        <f t="shared" si="3"/>
        <v>2.9094399999999951E-2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1385.73</v>
      </c>
      <c r="D12" s="20">
        <v>31.259</v>
      </c>
      <c r="E12" s="20">
        <v>36.651000000000003</v>
      </c>
      <c r="F12" s="20">
        <v>38.826000000000001</v>
      </c>
      <c r="G12" s="20">
        <v>2</v>
      </c>
      <c r="H12" s="20">
        <f t="shared" si="0"/>
        <v>32.878875000000001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2.1692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8.4600000000000009E-2</v>
      </c>
      <c r="V12" s="57">
        <f t="shared" si="4"/>
        <v>7.6179999999999984E-2</v>
      </c>
      <c r="W12" s="57">
        <f t="shared" si="3"/>
        <v>7.5601599999999963E-2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6268.63</v>
      </c>
      <c r="D13" s="16">
        <v>29.460999999999999</v>
      </c>
      <c r="E13" s="16">
        <v>39.420999999999999</v>
      </c>
      <c r="F13" s="16">
        <v>40.206000000000003</v>
      </c>
      <c r="G13" s="16">
        <v>1.22</v>
      </c>
      <c r="H13" s="16">
        <f t="shared" si="0"/>
        <v>32.049124999999997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0.99450000000000005</v>
      </c>
      <c r="O13" s="16">
        <f t="shared" si="1"/>
        <v>32.092874999999999</v>
      </c>
      <c r="P13" s="7"/>
      <c r="Q13" s="8">
        <f>bdrate(C13:C16,D13:D16,J13:J16,K13:K16)</f>
        <v>-0.42980960252516265</v>
      </c>
      <c r="R13" s="8">
        <f>bdrate(C13:C16,E13:E16,J13:J16,L13:L16)</f>
        <v>-0.34569323782788319</v>
      </c>
      <c r="S13" s="8">
        <f>bdrate(C13:C16,F13:F16,J13:J16,M13:M16)</f>
        <v>-0.40588482139588189</v>
      </c>
      <c r="T13" s="25">
        <f>bdrate(C13:C16,H13:H16,J13:J16,O13:O16)</f>
        <v>-0.42467021903229252</v>
      </c>
      <c r="U13" s="28">
        <f t="shared" si="2"/>
        <v>-0.18483606557377044</v>
      </c>
      <c r="V13" s="57">
        <f t="shared" si="4"/>
        <v>4.4771666666666682E-2</v>
      </c>
      <c r="W13" s="57">
        <f t="shared" si="3"/>
        <v>1.4117200000000026E-2</v>
      </c>
      <c r="X13" s="56">
        <v>6000</v>
      </c>
      <c r="Y13" s="56">
        <v>4000</v>
      </c>
    </row>
    <row r="14" spans="1:25" x14ac:dyDescent="0.25">
      <c r="B14" s="9"/>
      <c r="C14" s="17">
        <v>4732.55</v>
      </c>
      <c r="D14" s="18">
        <v>27.922999999999998</v>
      </c>
      <c r="E14" s="18">
        <v>38.890999999999998</v>
      </c>
      <c r="F14" s="18">
        <v>39.738999999999997</v>
      </c>
      <c r="G14" s="18">
        <v>1.36</v>
      </c>
      <c r="H14" s="18">
        <f t="shared" si="0"/>
        <v>30.770999999999997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1.1032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-0.18882352941176481</v>
      </c>
      <c r="V14" s="57">
        <f t="shared" si="4"/>
        <v>5.1677777777777816E-2</v>
      </c>
      <c r="W14" s="57">
        <f t="shared" si="3"/>
        <v>1.6458133333333385E-2</v>
      </c>
      <c r="X14" s="56">
        <v>4500</v>
      </c>
      <c r="Y14" s="56">
        <v>3000</v>
      </c>
    </row>
    <row r="15" spans="1:25" x14ac:dyDescent="0.25">
      <c r="B15" s="9"/>
      <c r="C15" s="17">
        <v>3142.18</v>
      </c>
      <c r="D15" s="18">
        <v>25.806000000000001</v>
      </c>
      <c r="E15" s="18">
        <v>38.180999999999997</v>
      </c>
      <c r="F15" s="18">
        <v>39.070999999999998</v>
      </c>
      <c r="G15" s="18">
        <v>1.53</v>
      </c>
      <c r="H15" s="18">
        <f t="shared" si="0"/>
        <v>29.010999999999999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1.3160000000000001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-0.13986928104575161</v>
      </c>
      <c r="V15" s="57">
        <f t="shared" si="4"/>
        <v>4.739333333333328E-2</v>
      </c>
      <c r="W15" s="57">
        <f t="shared" si="3"/>
        <v>6.6752000000000183E-3</v>
      </c>
      <c r="X15" s="56">
        <v>3000</v>
      </c>
      <c r="Y15" s="56">
        <v>2000</v>
      </c>
    </row>
    <row r="16" spans="1:25" ht="16.5" thickBot="1" x14ac:dyDescent="0.3">
      <c r="B16" s="12"/>
      <c r="C16" s="19">
        <v>1738.02</v>
      </c>
      <c r="D16" s="20">
        <v>22.776</v>
      </c>
      <c r="E16" s="20">
        <v>36.709000000000003</v>
      </c>
      <c r="F16" s="20">
        <v>37.783999999999999</v>
      </c>
      <c r="G16" s="20">
        <v>1.7</v>
      </c>
      <c r="H16" s="20">
        <f t="shared" si="0"/>
        <v>26.393625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1.6035999999999999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-5.6705882352941203E-2</v>
      </c>
      <c r="V16" s="57">
        <f t="shared" si="4"/>
        <v>0.15867999999999999</v>
      </c>
      <c r="W16" s="57">
        <f t="shared" si="3"/>
        <v>0.10496800000000008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3055.04</v>
      </c>
      <c r="D17" s="16">
        <v>38.25</v>
      </c>
      <c r="E17" s="16">
        <v>41.569000000000003</v>
      </c>
      <c r="F17" s="16">
        <v>42.598999999999997</v>
      </c>
      <c r="G17" s="16">
        <v>2.2200000000000002</v>
      </c>
      <c r="H17" s="16">
        <f t="shared" si="0"/>
        <v>39.208500000000001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2.4089999999999998</v>
      </c>
      <c r="O17" s="16">
        <f t="shared" si="1"/>
        <v>39.971512499999996</v>
      </c>
      <c r="P17" s="7"/>
      <c r="Q17" s="8">
        <f>bdrate(C17:C20,D17:D20,J17:J20,K17:K20)</f>
        <v>-0.45779115005445359</v>
      </c>
      <c r="R17" s="8">
        <f>bdrate(C17:C20,E17:E20,J17:J20,L17:L20)</f>
        <v>-0.37419664240322237</v>
      </c>
      <c r="S17" s="8">
        <f>bdrate(C17:C20,F17:F20,J17:J20,M17:M20)</f>
        <v>-0.46809538205058898</v>
      </c>
      <c r="T17" s="25">
        <f>bdrate(C17:C20,H17:H20,J17:J20,O17:O20)</f>
        <v>-0.45347263514709168</v>
      </c>
      <c r="U17" s="28">
        <f t="shared" si="2"/>
        <v>8.5135135135134959E-2</v>
      </c>
      <c r="V17" s="57">
        <f t="shared" si="4"/>
        <v>0.15137777777777778</v>
      </c>
      <c r="W17" s="57">
        <f t="shared" si="3"/>
        <v>8.5493333333333029E-3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2021.56</v>
      </c>
      <c r="D18" s="18">
        <v>36.780999999999999</v>
      </c>
      <c r="E18" s="18">
        <v>40.893000000000001</v>
      </c>
      <c r="F18" s="18">
        <v>41.844000000000001</v>
      </c>
      <c r="G18" s="18">
        <v>2.66</v>
      </c>
      <c r="H18" s="18">
        <f t="shared" si="0"/>
        <v>37.927874999999993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2.6070000000000002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-1.9924812030075161E-2</v>
      </c>
      <c r="V18" s="57">
        <f t="shared" si="4"/>
        <v>0.15768333333333337</v>
      </c>
      <c r="W18" s="57">
        <f t="shared" si="3"/>
        <v>1.7436500000000025E-2</v>
      </c>
      <c r="X18" s="56">
        <v>2400</v>
      </c>
      <c r="Y18" s="56">
        <v>1600</v>
      </c>
    </row>
    <row r="19" spans="1:25" x14ac:dyDescent="0.25">
      <c r="B19" s="9"/>
      <c r="C19" s="17">
        <v>1250.1199999999999</v>
      </c>
      <c r="D19" s="18">
        <v>34.848999999999997</v>
      </c>
      <c r="E19" s="18">
        <v>40.134</v>
      </c>
      <c r="F19" s="18">
        <v>41.02</v>
      </c>
      <c r="G19" s="18">
        <v>2.96</v>
      </c>
      <c r="H19" s="18">
        <f t="shared" si="0"/>
        <v>36.280999999999999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2.9765999999999999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5.6081081081080907E-3</v>
      </c>
      <c r="V19" s="57">
        <f t="shared" si="4"/>
        <v>0.16658666666666674</v>
      </c>
      <c r="W19" s="57">
        <f t="shared" si="3"/>
        <v>3.4901600000000033E-2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746.76</v>
      </c>
      <c r="D20" s="20">
        <v>32.616</v>
      </c>
      <c r="E20" s="20">
        <v>39.28</v>
      </c>
      <c r="F20" s="20">
        <v>40.302</v>
      </c>
      <c r="G20" s="20">
        <v>3.29</v>
      </c>
      <c r="H20" s="20">
        <f t="shared" si="0"/>
        <v>34.409750000000003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3.4579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5.1033434650455907E-2</v>
      </c>
      <c r="V20" s="57">
        <f t="shared" si="4"/>
        <v>0.17026666666666668</v>
      </c>
      <c r="W20" s="57">
        <f t="shared" si="3"/>
        <v>6.9994666666666677E-2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3447.54</v>
      </c>
      <c r="D21" s="16">
        <v>35.823</v>
      </c>
      <c r="E21" s="16">
        <v>38.985999999999997</v>
      </c>
      <c r="F21" s="16">
        <v>40.183999999999997</v>
      </c>
      <c r="G21" s="16">
        <v>2.52</v>
      </c>
      <c r="H21" s="16">
        <f t="shared" si="0"/>
        <v>36.763499999999993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2.3988</v>
      </c>
      <c r="O21" s="16">
        <f t="shared" si="1"/>
        <v>37.154849999999996</v>
      </c>
      <c r="P21" s="7"/>
      <c r="Q21" s="8">
        <f>bdrate(C21:C24,D21:D24,J21:J24,K21:K24)</f>
        <v>-0.40325600058728239</v>
      </c>
      <c r="R21" s="8">
        <f>bdrate(C21:C24,E21:E24,J21:J24,L21:L24)</f>
        <v>-0.53474070614350788</v>
      </c>
      <c r="S21" s="8">
        <f>bdrate(C21:C24,F21:F24,J21:J24,M21:M24)</f>
        <v>-0.53801062245175224</v>
      </c>
      <c r="T21" s="25">
        <f>bdrate(C21:C24,H21:H24,J21:J24,O21:O24)</f>
        <v>-0.42600332245880479</v>
      </c>
      <c r="U21" s="28">
        <f t="shared" si="2"/>
        <v>-4.8095238095238087E-2</v>
      </c>
      <c r="V21" s="57">
        <f t="shared" si="4"/>
        <v>4.2350000000000013E-2</v>
      </c>
      <c r="W21" s="57">
        <f t="shared" si="3"/>
        <v>3.2286333333333347E-2</v>
      </c>
      <c r="X21" s="56">
        <v>3600</v>
      </c>
      <c r="Y21" s="56">
        <v>2400</v>
      </c>
    </row>
    <row r="22" spans="1:25" x14ac:dyDescent="0.25">
      <c r="B22" s="9"/>
      <c r="C22" s="17">
        <v>2286.64</v>
      </c>
      <c r="D22" s="18">
        <v>34.271999999999998</v>
      </c>
      <c r="E22" s="18">
        <v>38.292999999999999</v>
      </c>
      <c r="F22" s="18">
        <v>39.609000000000002</v>
      </c>
      <c r="G22" s="18">
        <v>2.98</v>
      </c>
      <c r="H22" s="18">
        <f t="shared" si="0"/>
        <v>35.441749999999999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2.7454999999999998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-7.8691275167785291E-2</v>
      </c>
      <c r="V22" s="57">
        <f t="shared" si="4"/>
        <v>4.7233333333333384E-2</v>
      </c>
      <c r="W22" s="57">
        <f t="shared" si="3"/>
        <v>2.1685499999999962E-2</v>
      </c>
      <c r="X22" s="56">
        <v>2400</v>
      </c>
      <c r="Y22" s="56">
        <v>1600</v>
      </c>
    </row>
    <row r="23" spans="1:25" x14ac:dyDescent="0.25">
      <c r="B23" s="9"/>
      <c r="C23" s="17">
        <v>1423.87</v>
      </c>
      <c r="D23" s="18">
        <v>32.439</v>
      </c>
      <c r="E23" s="18">
        <v>37.542999999999999</v>
      </c>
      <c r="F23" s="18">
        <v>38.972999999999999</v>
      </c>
      <c r="G23" s="18">
        <v>3.23</v>
      </c>
      <c r="H23" s="18">
        <f t="shared" si="0"/>
        <v>33.893750000000004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3.1608000000000001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-2.1424148606811123E-2</v>
      </c>
      <c r="V23" s="57">
        <f t="shared" si="4"/>
        <v>5.0753333333333407E-2</v>
      </c>
      <c r="W23" s="57">
        <f t="shared" si="3"/>
        <v>2.1054399999999987E-2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849.97</v>
      </c>
      <c r="D24" s="20">
        <v>30.486000000000001</v>
      </c>
      <c r="E24" s="20">
        <v>36.881</v>
      </c>
      <c r="F24" s="20">
        <v>38.365000000000002</v>
      </c>
      <c r="G24" s="20">
        <v>3.52</v>
      </c>
      <c r="H24" s="20">
        <f t="shared" si="0"/>
        <v>32.270249999999997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3.6429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3.4914772727272732E-2</v>
      </c>
      <c r="V24" s="57">
        <f t="shared" si="4"/>
        <v>5.5588888888888861E-2</v>
      </c>
      <c r="W24" s="57">
        <f t="shared" si="3"/>
        <v>4.5440000000000202E-3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3556.94</v>
      </c>
      <c r="D25" s="16">
        <v>33.716000000000001</v>
      </c>
      <c r="E25" s="16">
        <v>37.706000000000003</v>
      </c>
      <c r="F25" s="16">
        <v>39.143999999999998</v>
      </c>
      <c r="G25" s="16">
        <v>2.71</v>
      </c>
      <c r="H25" s="16">
        <f t="shared" si="0"/>
        <v>34.893250000000002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3.1246999999999998</v>
      </c>
      <c r="O25" s="16">
        <f t="shared" si="1"/>
        <v>35.377949999999998</v>
      </c>
      <c r="P25" s="7"/>
      <c r="Q25" s="8">
        <f>bdrate(C25:C28,D25:D28,J25:J28,K25:K28)</f>
        <v>-0.47441376818206116</v>
      </c>
      <c r="R25" s="8">
        <f>bdrate(C25:C28,E25:E28,J25:J28,L25:L28)</f>
        <v>-0.54968942593731196</v>
      </c>
      <c r="S25" s="8">
        <f>bdrate(C25:C28,F25:F28,J25:J28,M25:M28)</f>
        <v>-0.58638068949431243</v>
      </c>
      <c r="T25" s="25">
        <f>bdrate(C25:C28,H25:H28,J25:J28,O25:O28)</f>
        <v>-0.48961683841689652</v>
      </c>
      <c r="U25" s="28">
        <f t="shared" si="2"/>
        <v>0.15302583025830252</v>
      </c>
      <c r="V25" s="57">
        <f t="shared" si="4"/>
        <v>1.1961111111111096E-2</v>
      </c>
      <c r="W25" s="57">
        <f t="shared" si="3"/>
        <v>5.7956666666666478E-3</v>
      </c>
      <c r="X25" s="56">
        <v>3600</v>
      </c>
      <c r="Y25" s="56">
        <v>2400</v>
      </c>
    </row>
    <row r="26" spans="1:25" x14ac:dyDescent="0.25">
      <c r="B26" s="9"/>
      <c r="C26" s="17">
        <v>2372.63</v>
      </c>
      <c r="D26" s="18">
        <v>32.216000000000001</v>
      </c>
      <c r="E26" s="18">
        <v>37.22</v>
      </c>
      <c r="F26" s="18">
        <v>38.326999999999998</v>
      </c>
      <c r="G26" s="18">
        <v>3.26</v>
      </c>
      <c r="H26" s="18">
        <f t="shared" si="0"/>
        <v>33.605374999999995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3.5154999999999998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7.8374233128834375E-2</v>
      </c>
      <c r="V26" s="57">
        <f t="shared" si="4"/>
        <v>1.1404166666666622E-2</v>
      </c>
      <c r="W26" s="57">
        <f t="shared" si="3"/>
        <v>5.1090000000000657E-3</v>
      </c>
      <c r="X26" s="56">
        <v>2400</v>
      </c>
      <c r="Y26" s="56">
        <v>1600</v>
      </c>
    </row>
    <row r="27" spans="1:25" x14ac:dyDescent="0.25">
      <c r="B27" s="9"/>
      <c r="C27" s="17">
        <v>1475.57</v>
      </c>
      <c r="D27" s="18">
        <v>30.28</v>
      </c>
      <c r="E27" s="18">
        <v>36.616999999999997</v>
      </c>
      <c r="F27" s="18">
        <v>37.35</v>
      </c>
      <c r="G27" s="18">
        <v>3.49</v>
      </c>
      <c r="H27" s="18">
        <f t="shared" si="0"/>
        <v>31.955874999999999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4.0122999999999998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0.14965616045845259</v>
      </c>
      <c r="V27" s="57">
        <f t="shared" si="4"/>
        <v>1.628666666666671E-2</v>
      </c>
      <c r="W27" s="57">
        <f t="shared" si="3"/>
        <v>3.0416000000000167E-3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879.29</v>
      </c>
      <c r="D28" s="20">
        <v>27.995999999999999</v>
      </c>
      <c r="E28" s="20">
        <v>35.921999999999997</v>
      </c>
      <c r="F28" s="20">
        <v>36.374000000000002</v>
      </c>
      <c r="G28" s="20">
        <v>3.78</v>
      </c>
      <c r="H28" s="20">
        <f t="shared" si="0"/>
        <v>30.033999999999999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4.6513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0.23050264550264557</v>
      </c>
      <c r="V28" s="57">
        <f t="shared" si="4"/>
        <v>2.3011111111111152E-2</v>
      </c>
      <c r="W28" s="57">
        <f t="shared" si="3"/>
        <v>2.6373333333333259E-2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3587.09</v>
      </c>
      <c r="D29" s="30">
        <v>33.000999999999998</v>
      </c>
      <c r="E29" s="30">
        <v>39.420999999999999</v>
      </c>
      <c r="F29" s="30">
        <v>39.070999999999998</v>
      </c>
      <c r="G29" s="16">
        <v>2.39</v>
      </c>
      <c r="H29" s="16">
        <f t="shared" si="0"/>
        <v>34.562249999999992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2.6724999999999999</v>
      </c>
      <c r="O29" s="16">
        <f t="shared" si="1"/>
        <v>35.573987500000001</v>
      </c>
      <c r="P29" s="7"/>
      <c r="Q29" s="8">
        <f>bdrate(C29:C32,D29:D32,J29:J32,K29:K32)</f>
        <v>-0.58066558057084849</v>
      </c>
      <c r="R29" s="8">
        <f>bdrate(C29:C32,E29:E32,J29:J32,L29:L32)</f>
        <v>-0.6219170126304272</v>
      </c>
      <c r="S29" s="8">
        <f>bdrate(C29:C32,F29:F32,J29:J32,M29:M32)</f>
        <v>-0.53493048724440506</v>
      </c>
      <c r="T29" s="25">
        <f>bdrate(C29:C32,H29:H32,J29:J32,O29:O32)</f>
        <v>-0.58222256477499057</v>
      </c>
      <c r="U29" s="28">
        <f t="shared" si="2"/>
        <v>0.11820083682008357</v>
      </c>
      <c r="V29" s="57">
        <f t="shared" si="4"/>
        <v>3.5861111111110708E-3</v>
      </c>
      <c r="W29" s="57">
        <f t="shared" si="3"/>
        <v>6.5356666666665812E-3</v>
      </c>
      <c r="X29" s="56">
        <v>3600</v>
      </c>
      <c r="Y29" s="56">
        <v>2400</v>
      </c>
    </row>
    <row r="30" spans="1:25" x14ac:dyDescent="0.25">
      <c r="B30" s="9"/>
      <c r="C30" s="31">
        <v>2373.0700000000002</v>
      </c>
      <c r="D30" s="32">
        <v>30.992000000000001</v>
      </c>
      <c r="E30" s="32">
        <v>38.579000000000001</v>
      </c>
      <c r="F30" s="32">
        <v>38.106000000000002</v>
      </c>
      <c r="G30" s="18">
        <v>2.94</v>
      </c>
      <c r="H30" s="18">
        <f t="shared" si="0"/>
        <v>32.829625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3.0295999999999998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3.0476190476190445E-2</v>
      </c>
      <c r="V30" s="57">
        <f t="shared" si="4"/>
        <v>1.1220833333333265E-2</v>
      </c>
      <c r="W30" s="57">
        <f t="shared" si="3"/>
        <v>5.9345000000000422E-3</v>
      </c>
      <c r="X30" s="56">
        <v>2400</v>
      </c>
      <c r="Y30" s="56">
        <v>1600</v>
      </c>
    </row>
    <row r="31" spans="1:25" x14ac:dyDescent="0.25">
      <c r="B31" s="9"/>
      <c r="C31" s="31">
        <v>1471.64</v>
      </c>
      <c r="D31" s="32">
        <v>28.053000000000001</v>
      </c>
      <c r="E31" s="32">
        <v>37.393000000000001</v>
      </c>
      <c r="F31" s="32">
        <v>36.878999999999998</v>
      </c>
      <c r="G31" s="18">
        <v>3.2</v>
      </c>
      <c r="H31" s="18">
        <f t="shared" si="0"/>
        <v>30.32375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3.5015000000000001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9.4218749999999962E-2</v>
      </c>
      <c r="V31" s="57">
        <f t="shared" si="4"/>
        <v>1.8906666666666599E-2</v>
      </c>
      <c r="W31" s="57">
        <f t="shared" si="3"/>
        <v>1.1888000000000148E-3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873.11</v>
      </c>
      <c r="D32" s="34">
        <v>24.103000000000002</v>
      </c>
      <c r="E32" s="34">
        <v>35.709000000000003</v>
      </c>
      <c r="F32" s="34">
        <v>34.898000000000003</v>
      </c>
      <c r="G32" s="20">
        <v>3.49</v>
      </c>
      <c r="H32" s="20">
        <f t="shared" si="0"/>
        <v>26.903124999999999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4.0937999999999999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0.17300859598853857</v>
      </c>
      <c r="V32" s="57">
        <f t="shared" si="4"/>
        <v>2.9877777777777764E-2</v>
      </c>
      <c r="W32" s="57">
        <f t="shared" si="3"/>
        <v>9.1413333333332496E-3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3591.13</v>
      </c>
      <c r="D33" s="16">
        <v>32.518999999999998</v>
      </c>
      <c r="E33" s="16">
        <v>38.725999999999999</v>
      </c>
      <c r="F33" s="16">
        <v>41.338999999999999</v>
      </c>
      <c r="G33" s="16">
        <v>2.97</v>
      </c>
      <c r="H33" s="16">
        <f t="shared" si="0"/>
        <v>34.397374999999997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3.3426</v>
      </c>
      <c r="O33" s="16">
        <f t="shared" si="1"/>
        <v>35.465599999999995</v>
      </c>
      <c r="P33" s="7"/>
      <c r="Q33" s="8">
        <f>bdrate(C33:C36,D33:D36,J33:J36,K33:K36)</f>
        <v>-0.63962560765288545</v>
      </c>
      <c r="R33" s="8">
        <f>bdrate(C33:C36,E33:E36,J33:J36,L33:L36)</f>
        <v>-0.69819978853881559</v>
      </c>
      <c r="S33" s="8">
        <f>bdrate(C33:C36,F33:F36,J33:J36,M33:M36)</f>
        <v>-0.69217202636399411</v>
      </c>
      <c r="T33" s="25">
        <f>bdrate(C33:C36,H33:H36,J33:J36,O33:O36)</f>
        <v>-0.64664836056235153</v>
      </c>
      <c r="U33" s="28">
        <f t="shared" si="2"/>
        <v>0.12545454545454537</v>
      </c>
      <c r="V33" s="57">
        <f t="shared" si="4"/>
        <v>2.4638888888888584E-3</v>
      </c>
      <c r="W33" s="57">
        <f t="shared" si="3"/>
        <v>1.0692999999999984E-2</v>
      </c>
      <c r="X33" s="56">
        <v>3600</v>
      </c>
      <c r="Y33" s="56">
        <v>2400</v>
      </c>
    </row>
    <row r="34" spans="1:25" x14ac:dyDescent="0.25">
      <c r="B34" s="9"/>
      <c r="C34" s="17">
        <v>2357.65</v>
      </c>
      <c r="D34" s="18">
        <v>31.405999999999999</v>
      </c>
      <c r="E34" s="18">
        <v>38.259</v>
      </c>
      <c r="F34" s="18">
        <v>40.777000000000001</v>
      </c>
      <c r="G34" s="18">
        <v>3.46</v>
      </c>
      <c r="H34" s="18">
        <f t="shared" si="0"/>
        <v>33.433999999999997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3.7088000000000001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7.1907514450867085E-2</v>
      </c>
      <c r="V34" s="57">
        <f t="shared" si="4"/>
        <v>1.7645833333333295E-2</v>
      </c>
      <c r="W34" s="57">
        <f t="shared" si="3"/>
        <v>3.6665000000000703E-3</v>
      </c>
      <c r="X34" s="56">
        <v>2400</v>
      </c>
      <c r="Y34" s="56">
        <v>1600</v>
      </c>
    </row>
    <row r="35" spans="1:25" x14ac:dyDescent="0.25">
      <c r="B35" s="9"/>
      <c r="C35" s="17">
        <v>1441.73</v>
      </c>
      <c r="D35" s="18">
        <v>29.794</v>
      </c>
      <c r="E35" s="18">
        <v>37.707999999999998</v>
      </c>
      <c r="F35" s="18">
        <v>40.302999999999997</v>
      </c>
      <c r="G35" s="18">
        <v>3.73</v>
      </c>
      <c r="H35" s="18">
        <f t="shared" si="0"/>
        <v>32.096874999999997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4.1745000000000001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0.11916890080428957</v>
      </c>
      <c r="V35" s="57">
        <f t="shared" si="4"/>
        <v>3.8846666666666654E-2</v>
      </c>
      <c r="W35" s="57">
        <f t="shared" si="3"/>
        <v>2.4163999999999988E-2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831.13</v>
      </c>
      <c r="D36" s="20">
        <v>27.405999999999999</v>
      </c>
      <c r="E36" s="20">
        <v>37.098999999999997</v>
      </c>
      <c r="F36" s="20">
        <v>39.295000000000002</v>
      </c>
      <c r="G36" s="20">
        <v>3.9</v>
      </c>
      <c r="H36" s="20">
        <f t="shared" si="0"/>
        <v>30.103749999999998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4.6384999999999996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0.18935897435897428</v>
      </c>
      <c r="V36" s="57">
        <f t="shared" si="4"/>
        <v>7.6522222222222228E-2</v>
      </c>
      <c r="W36" s="57">
        <f t="shared" si="3"/>
        <v>6.4199999999999587E-3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1558.6</v>
      </c>
      <c r="D37" s="16">
        <v>34.148000000000003</v>
      </c>
      <c r="E37" s="16">
        <v>37.457999999999998</v>
      </c>
      <c r="F37" s="16">
        <v>37.331000000000003</v>
      </c>
      <c r="G37" s="16">
        <v>12.57</v>
      </c>
      <c r="H37" s="16">
        <f t="shared" si="0"/>
        <v>34.959625000000003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11.2859</v>
      </c>
      <c r="O37" s="16">
        <f t="shared" si="1"/>
        <v>36.092212500000002</v>
      </c>
      <c r="P37" s="7"/>
      <c r="Q37" s="8">
        <f>bdrate(C37:C40,D37:D40,J37:J40,K37:K40)</f>
        <v>-0.41001437589072232</v>
      </c>
      <c r="R37" s="8">
        <f>bdrate(C37:C40,E37:E40,J37:J40,L37:L40)</f>
        <v>-0.5772267263528863</v>
      </c>
      <c r="S37" s="8">
        <f>bdrate(C37:C40,F37:F40,J37:J40,M37:M40)</f>
        <v>-0.5471148959190677</v>
      </c>
      <c r="T37" s="25">
        <f>bdrate(C37:C40,H37:H40,J37:J40,O37:O40)</f>
        <v>-0.44087507427684869</v>
      </c>
      <c r="U37" s="28">
        <f t="shared" si="2"/>
        <v>-0.10215592680986479</v>
      </c>
      <c r="V37" s="57">
        <f t="shared" si="4"/>
        <v>5.5483870967741348E-3</v>
      </c>
      <c r="W37" s="57">
        <f t="shared" si="3"/>
        <v>1.2683333333333355E-2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1053.02</v>
      </c>
      <c r="D38" s="18">
        <v>32.591999999999999</v>
      </c>
      <c r="E38" s="18">
        <v>36.478999999999999</v>
      </c>
      <c r="F38" s="18">
        <v>36.290999999999997</v>
      </c>
      <c r="G38" s="18">
        <v>15.31</v>
      </c>
      <c r="H38" s="18">
        <f t="shared" si="0"/>
        <v>33.54025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12.832000000000001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-0.16185499673416065</v>
      </c>
      <c r="V38" s="57">
        <f t="shared" si="4"/>
        <v>2.8761904761904588E-3</v>
      </c>
      <c r="W38" s="57">
        <f t="shared" si="3"/>
        <v>1.3363999999999977E-2</v>
      </c>
      <c r="X38" s="56">
        <v>1050</v>
      </c>
      <c r="Y38" s="56">
        <v>800</v>
      </c>
    </row>
    <row r="39" spans="1:25" x14ac:dyDescent="0.25">
      <c r="B39" s="9"/>
      <c r="C39" s="17">
        <v>650.49</v>
      </c>
      <c r="D39" s="18">
        <v>30.605</v>
      </c>
      <c r="E39" s="18">
        <v>35.439</v>
      </c>
      <c r="F39" s="18">
        <v>35.066000000000003</v>
      </c>
      <c r="G39" s="18">
        <v>16.649999999999999</v>
      </c>
      <c r="H39" s="18">
        <f t="shared" si="0"/>
        <v>31.766874999999999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15.1837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-8.8066066066065984E-2</v>
      </c>
      <c r="V39" s="57">
        <f t="shared" si="4"/>
        <v>7.5384615384616787E-4</v>
      </c>
      <c r="W39" s="57">
        <f t="shared" si="3"/>
        <v>1.3939200000000028E-2</v>
      </c>
      <c r="X39" s="56">
        <v>650</v>
      </c>
      <c r="Y39" s="56">
        <v>500</v>
      </c>
    </row>
    <row r="40" spans="1:25" ht="16.5" thickBot="1" x14ac:dyDescent="0.3">
      <c r="B40" s="12"/>
      <c r="C40" s="19">
        <v>396.3</v>
      </c>
      <c r="D40" s="20">
        <v>28.268999999999998</v>
      </c>
      <c r="E40" s="20">
        <v>34.515000000000001</v>
      </c>
      <c r="F40" s="20">
        <v>34.036000000000001</v>
      </c>
      <c r="G40" s="20">
        <v>17.95</v>
      </c>
      <c r="H40" s="20">
        <f t="shared" si="0"/>
        <v>29.770624999999995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18.3063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1.9849582172702003E-2</v>
      </c>
      <c r="V40" s="57">
        <f t="shared" si="4"/>
        <v>9.2499999999999718E-3</v>
      </c>
      <c r="W40" s="57">
        <f t="shared" si="3"/>
        <v>1.1018666666666756E-2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1560.75</v>
      </c>
      <c r="D41" s="16">
        <v>34.475999999999999</v>
      </c>
      <c r="E41" s="16">
        <v>39.296999999999997</v>
      </c>
      <c r="F41" s="16">
        <v>40.058</v>
      </c>
      <c r="G41" s="16">
        <v>12.77</v>
      </c>
      <c r="H41" s="16">
        <f t="shared" si="0"/>
        <v>35.776375000000002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11.742800000000001</v>
      </c>
      <c r="O41" s="16">
        <f t="shared" si="1"/>
        <v>36.685937499999994</v>
      </c>
      <c r="P41" s="7"/>
      <c r="Q41" s="8">
        <f>bdrate(C41:C44,D41:D44,J41:J44,K41:K44)</f>
        <v>-0.41433588780611086</v>
      </c>
      <c r="R41" s="8">
        <f>bdrate(C41:C44,E41:E44,J41:J44,L41:L44)</f>
        <v>-0.50832557569994075</v>
      </c>
      <c r="S41" s="8">
        <f>bdrate(C41:C44,F41:F44,J41:J44,M41:M44)</f>
        <v>-0.50282762776819467</v>
      </c>
      <c r="T41" s="25">
        <f>bdrate(C41:C44,H41:H44,J41:J44,O41:O44)</f>
        <v>-0.42962600047327537</v>
      </c>
      <c r="U41" s="28">
        <f t="shared" ref="U41:U72" si="5">(N41-G41)/G41</f>
        <v>-8.0438527799530049E-2</v>
      </c>
      <c r="V41" s="57">
        <f t="shared" si="4"/>
        <v>6.9354838709677416E-3</v>
      </c>
      <c r="W41" s="57">
        <f t="shared" si="3"/>
        <v>3.7251999999999917E-2</v>
      </c>
      <c r="X41" s="56">
        <v>1550</v>
      </c>
      <c r="Y41" s="56">
        <v>1200</v>
      </c>
    </row>
    <row r="42" spans="1:25" x14ac:dyDescent="0.25">
      <c r="B42" s="9"/>
      <c r="C42" s="17">
        <v>1058.29</v>
      </c>
      <c r="D42" s="18">
        <v>32.670999999999999</v>
      </c>
      <c r="E42" s="18">
        <v>38.494</v>
      </c>
      <c r="F42" s="18">
        <v>39.148000000000003</v>
      </c>
      <c r="G42" s="18">
        <v>15.58</v>
      </c>
      <c r="H42" s="18">
        <f t="shared" si="0"/>
        <v>34.208500000000001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13.3277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5"/>
        <v>-0.14456354300385107</v>
      </c>
      <c r="V42" s="57">
        <f t="shared" si="4"/>
        <v>7.8952380952380611E-3</v>
      </c>
      <c r="W42" s="57">
        <f t="shared" si="3"/>
        <v>3.689300000000003E-2</v>
      </c>
      <c r="X42" s="56">
        <v>1050</v>
      </c>
      <c r="Y42" s="56">
        <v>800</v>
      </c>
    </row>
    <row r="43" spans="1:25" x14ac:dyDescent="0.25">
      <c r="B43" s="9"/>
      <c r="C43" s="17">
        <v>653.55999999999995</v>
      </c>
      <c r="D43" s="18">
        <v>30.228000000000002</v>
      </c>
      <c r="E43" s="18">
        <v>37.551000000000002</v>
      </c>
      <c r="F43" s="18">
        <v>38.154000000000003</v>
      </c>
      <c r="G43" s="18">
        <v>16.670000000000002</v>
      </c>
      <c r="H43" s="18">
        <f t="shared" si="0"/>
        <v>32.134124999999997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15.4839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5"/>
        <v>-7.1151769646070867E-2</v>
      </c>
      <c r="V43" s="57">
        <f t="shared" si="4"/>
        <v>5.476923076922993E-3</v>
      </c>
      <c r="W43" s="57">
        <f t="shared" si="3"/>
        <v>3.6427200000000083E-2</v>
      </c>
      <c r="X43" s="56">
        <v>650</v>
      </c>
      <c r="Y43" s="56">
        <v>500</v>
      </c>
    </row>
    <row r="44" spans="1:25" ht="16.5" thickBot="1" x14ac:dyDescent="0.3">
      <c r="B44" s="12"/>
      <c r="C44" s="19">
        <v>402.57</v>
      </c>
      <c r="D44" s="20">
        <v>27.454999999999998</v>
      </c>
      <c r="E44" s="20">
        <v>36.625</v>
      </c>
      <c r="F44" s="20">
        <v>37.155000000000001</v>
      </c>
      <c r="G44" s="20">
        <v>17.78</v>
      </c>
      <c r="H44" s="20">
        <f t="shared" si="0"/>
        <v>29.813749999999999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18.367699999999999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5"/>
        <v>3.3053993250843537E-2</v>
      </c>
      <c r="V44" s="57">
        <f t="shared" si="4"/>
        <v>6.4249999999999828E-3</v>
      </c>
      <c r="W44" s="57">
        <f t="shared" si="3"/>
        <v>3.5504000000000056E-2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1415.74</v>
      </c>
      <c r="D45" s="16">
        <v>28.95</v>
      </c>
      <c r="E45" s="16">
        <v>35.201000000000001</v>
      </c>
      <c r="F45" s="16">
        <v>35.871000000000002</v>
      </c>
      <c r="G45" s="16">
        <v>13.18</v>
      </c>
      <c r="H45" s="16">
        <f t="shared" si="0"/>
        <v>30.596499999999999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10.46</v>
      </c>
      <c r="O45" s="16">
        <f t="shared" si="1"/>
        <v>32.067599999999999</v>
      </c>
      <c r="P45" s="7"/>
      <c r="Q45" s="8">
        <f>bdrate(C45:C48,D45:D48,J45:J48,K45:K48)</f>
        <v>-0.45798788895574682</v>
      </c>
      <c r="R45" s="8">
        <f>bdrate(C45:C48,E45:E48,J45:J48,L45:L48)</f>
        <v>-0.59550830972142554</v>
      </c>
      <c r="S45" s="8">
        <f>bdrate(C45:C48,F45:F48,J45:J48,M45:M48)</f>
        <v>-0.5976747643937439</v>
      </c>
      <c r="T45" s="25">
        <f>bdrate(C45:C48,H45:H48,J45:J48,O45:O48)</f>
        <v>-0.4812469327147606</v>
      </c>
      <c r="U45" s="28">
        <f t="shared" si="5"/>
        <v>-0.2063732928679817</v>
      </c>
      <c r="V45" s="57">
        <f t="shared" si="4"/>
        <v>8.6619354838709667E-2</v>
      </c>
      <c r="W45" s="57">
        <f t="shared" si="3"/>
        <v>1.9222666666666631E-2</v>
      </c>
      <c r="X45" s="56">
        <v>1550</v>
      </c>
      <c r="Y45" s="56">
        <v>1200</v>
      </c>
    </row>
    <row r="46" spans="1:25" x14ac:dyDescent="0.25">
      <c r="B46" s="9"/>
      <c r="C46" s="17">
        <v>963.27</v>
      </c>
      <c r="D46" s="18">
        <v>27.600999999999999</v>
      </c>
      <c r="E46" s="18">
        <v>34.679000000000002</v>
      </c>
      <c r="F46" s="18">
        <v>35.395000000000003</v>
      </c>
      <c r="G46" s="18">
        <v>16.63</v>
      </c>
      <c r="H46" s="18">
        <f t="shared" si="0"/>
        <v>29.46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12.240500000000001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5"/>
        <v>-0.26395069152134687</v>
      </c>
      <c r="V46" s="57">
        <f t="shared" si="4"/>
        <v>8.2600000000000021E-2</v>
      </c>
      <c r="W46" s="57">
        <f t="shared" si="3"/>
        <v>2.324700000000007E-2</v>
      </c>
      <c r="X46" s="56">
        <v>1050</v>
      </c>
      <c r="Y46" s="56">
        <v>800</v>
      </c>
    </row>
    <row r="47" spans="1:25" x14ac:dyDescent="0.25">
      <c r="B47" s="9"/>
      <c r="C47" s="17">
        <v>596.99</v>
      </c>
      <c r="D47" s="18">
        <v>26.032</v>
      </c>
      <c r="E47" s="18">
        <v>34.189</v>
      </c>
      <c r="F47" s="18">
        <v>34.902999999999999</v>
      </c>
      <c r="G47" s="18">
        <v>18.079999999999998</v>
      </c>
      <c r="H47" s="18">
        <f t="shared" si="0"/>
        <v>28.160499999999999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14.462199999999999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5"/>
        <v>-0.20009955752212386</v>
      </c>
      <c r="V47" s="57">
        <f t="shared" si="4"/>
        <v>8.1553846153846143E-2</v>
      </c>
      <c r="W47" s="57">
        <f t="shared" si="3"/>
        <v>2.96400000000001E-2</v>
      </c>
      <c r="X47" s="56">
        <v>650</v>
      </c>
      <c r="Y47" s="56">
        <v>500</v>
      </c>
    </row>
    <row r="48" spans="1:25" ht="16.5" thickBot="1" x14ac:dyDescent="0.3">
      <c r="B48" s="12"/>
      <c r="C48" s="19">
        <v>369.6</v>
      </c>
      <c r="D48" s="20">
        <v>24.56</v>
      </c>
      <c r="E48" s="20">
        <v>33.692</v>
      </c>
      <c r="F48" s="20">
        <v>34.39</v>
      </c>
      <c r="G48" s="20">
        <v>19.52</v>
      </c>
      <c r="H48" s="20">
        <f t="shared" si="0"/>
        <v>26.930250000000001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16.950900000000001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5"/>
        <v>-0.13161372950819666</v>
      </c>
      <c r="V48" s="57">
        <f t="shared" si="4"/>
        <v>7.5999999999999943E-2</v>
      </c>
      <c r="W48" s="57">
        <f t="shared" si="3"/>
        <v>3.2917333333333354E-2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1427.46</v>
      </c>
      <c r="D49" s="16">
        <v>32.366</v>
      </c>
      <c r="E49" s="16">
        <v>36.353999999999999</v>
      </c>
      <c r="F49" s="16">
        <v>37.933999999999997</v>
      </c>
      <c r="G49" s="16">
        <v>9.61</v>
      </c>
      <c r="H49" s="16">
        <f t="shared" si="0"/>
        <v>33.560500000000005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7.8989000000000003</v>
      </c>
      <c r="O49" s="16">
        <f t="shared" si="1"/>
        <v>33.766012500000002</v>
      </c>
      <c r="P49" s="7"/>
      <c r="Q49" s="8">
        <f>bdrate(C49:C52,D49:D52,J49:J52,K49:K52)</f>
        <v>-0.25119838858167376</v>
      </c>
      <c r="R49" s="8">
        <f>bdrate(C49:C52,E49:E52,J49:J52,L49:L52)</f>
        <v>-0.31716760873855021</v>
      </c>
      <c r="S49" s="8">
        <f>bdrate(C49:C52,F49:F52,J49:J52,M49:M52)</f>
        <v>-0.32971443737212336</v>
      </c>
      <c r="T49" s="25">
        <f>bdrate(C49:C52,H49:H52,J49:J52,O49:O52)</f>
        <v>-0.26396366262275639</v>
      </c>
      <c r="U49" s="28">
        <f t="shared" si="5"/>
        <v>-0.1780541103017689</v>
      </c>
      <c r="V49" s="57">
        <f t="shared" si="4"/>
        <v>7.9058064516129012E-2</v>
      </c>
      <c r="W49" s="57">
        <f t="shared" si="3"/>
        <v>8.9213333333333367E-3</v>
      </c>
      <c r="X49" s="56">
        <v>1550</v>
      </c>
      <c r="Y49" s="56">
        <v>1200</v>
      </c>
    </row>
    <row r="50" spans="1:25" x14ac:dyDescent="0.25">
      <c r="B50" s="9"/>
      <c r="C50" s="17">
        <v>976.11</v>
      </c>
      <c r="D50" s="18">
        <v>30.74</v>
      </c>
      <c r="E50" s="18">
        <v>35.625999999999998</v>
      </c>
      <c r="F50" s="18">
        <v>37.180999999999997</v>
      </c>
      <c r="G50" s="18">
        <v>11.65</v>
      </c>
      <c r="H50" s="18">
        <f t="shared" si="0"/>
        <v>32.155875000000002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9.0629000000000008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5"/>
        <v>-0.22206866952789694</v>
      </c>
      <c r="V50" s="57">
        <f t="shared" si="4"/>
        <v>7.0371428571428557E-2</v>
      </c>
      <c r="W50" s="57">
        <f t="shared" si="3"/>
        <v>8.0320000000000391E-3</v>
      </c>
      <c r="X50" s="56">
        <v>1050</v>
      </c>
      <c r="Y50" s="56">
        <v>800</v>
      </c>
    </row>
    <row r="51" spans="1:25" x14ac:dyDescent="0.25">
      <c r="B51" s="9"/>
      <c r="C51" s="17">
        <v>614.98</v>
      </c>
      <c r="D51" s="18">
        <v>28.736999999999998</v>
      </c>
      <c r="E51" s="18">
        <v>34.840000000000003</v>
      </c>
      <c r="F51" s="18">
        <v>36.340000000000003</v>
      </c>
      <c r="G51" s="18">
        <v>12.85</v>
      </c>
      <c r="H51" s="18">
        <f t="shared" si="0"/>
        <v>30.45025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10.6595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5"/>
        <v>-0.17046692607003894</v>
      </c>
      <c r="V51" s="57">
        <f t="shared" si="4"/>
        <v>5.3876923076923051E-2</v>
      </c>
      <c r="W51" s="57">
        <f t="shared" si="3"/>
        <v>8.0751999999999959E-3</v>
      </c>
      <c r="X51" s="56">
        <v>650</v>
      </c>
      <c r="Y51" s="56">
        <v>500</v>
      </c>
    </row>
    <row r="52" spans="1:25" ht="16.5" thickBot="1" x14ac:dyDescent="0.3">
      <c r="B52" s="12"/>
      <c r="C52" s="19">
        <v>382.91</v>
      </c>
      <c r="D52" s="20">
        <v>26.681000000000001</v>
      </c>
      <c r="E52" s="20">
        <v>33.966000000000001</v>
      </c>
      <c r="F52" s="20">
        <v>35.325000000000003</v>
      </c>
      <c r="G52" s="20">
        <v>14.33</v>
      </c>
      <c r="H52" s="20">
        <f t="shared" si="0"/>
        <v>28.672125000000001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12.9099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5"/>
        <v>-9.909979064898812E-2</v>
      </c>
      <c r="V52" s="57">
        <f t="shared" si="4"/>
        <v>4.2724999999999937E-2</v>
      </c>
      <c r="W52" s="57">
        <f t="shared" si="3"/>
        <v>9.1146666666666459E-3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852.52</v>
      </c>
      <c r="D53" s="16">
        <v>34.862000000000002</v>
      </c>
      <c r="E53" s="16">
        <v>38.920999999999999</v>
      </c>
      <c r="F53" s="16">
        <v>37.777999999999999</v>
      </c>
      <c r="G53" s="16">
        <v>40.25</v>
      </c>
      <c r="H53" s="16">
        <f t="shared" si="0"/>
        <v>35.733875000000005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33.831800000000001</v>
      </c>
      <c r="O53" s="16">
        <f t="shared" si="1"/>
        <v>35.521212499999997</v>
      </c>
      <c r="P53" s="7"/>
      <c r="Q53" s="8">
        <f>bdrate(C53:C56,D53:D56,J53:J56,K53:K56)</f>
        <v>-0.26783495546853486</v>
      </c>
      <c r="R53" s="8">
        <f>bdrate(C53:C56,E53:E56,J53:J56,L53:L56)</f>
        <v>-0.44230083072612036</v>
      </c>
      <c r="S53" s="8">
        <f>bdrate(C53:C56,F53:F56,J53:J56,M53:M56)</f>
        <v>-0.3552720038034497</v>
      </c>
      <c r="T53" s="25">
        <f>bdrate(C53:C56,H53:H56,J53:J56,O53:O56)</f>
        <v>-0.28941803270124755</v>
      </c>
      <c r="U53" s="28">
        <f t="shared" si="5"/>
        <v>-0.15945838509316768</v>
      </c>
      <c r="V53" s="57">
        <f t="shared" si="4"/>
        <v>6.5649999999999972E-2</v>
      </c>
      <c r="W53" s="57">
        <f t="shared" si="3"/>
        <v>9.6213333333332682E-3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534.61</v>
      </c>
      <c r="D54" s="18">
        <v>32.634</v>
      </c>
      <c r="E54" s="18">
        <v>37.731000000000002</v>
      </c>
      <c r="F54" s="18">
        <v>36.362000000000002</v>
      </c>
      <c r="G54" s="18">
        <v>52.45</v>
      </c>
      <c r="H54" s="18">
        <f t="shared" si="0"/>
        <v>33.737124999999999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38.467500000000001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5"/>
        <v>-0.26658722592945666</v>
      </c>
      <c r="V54" s="57">
        <f t="shared" si="4"/>
        <v>6.9220000000000032E-2</v>
      </c>
      <c r="W54" s="57">
        <f t="shared" si="3"/>
        <v>1.2711999999999932E-2</v>
      </c>
      <c r="X54" s="56">
        <v>500</v>
      </c>
      <c r="Y54" s="56">
        <v>400</v>
      </c>
    </row>
    <row r="55" spans="1:25" x14ac:dyDescent="0.25">
      <c r="B55" s="9"/>
      <c r="C55" s="17">
        <v>322.94</v>
      </c>
      <c r="D55" s="18">
        <v>30.32</v>
      </c>
      <c r="E55" s="18">
        <v>36.72</v>
      </c>
      <c r="F55" s="18">
        <v>35.156999999999996</v>
      </c>
      <c r="G55" s="18">
        <v>58.21</v>
      </c>
      <c r="H55" s="18">
        <f t="shared" si="0"/>
        <v>31.724625000000003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45.114100000000001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5"/>
        <v>-0.2249768081085724</v>
      </c>
      <c r="V55" s="57">
        <f t="shared" si="4"/>
        <v>7.6466666666666655E-2</v>
      </c>
      <c r="W55" s="57">
        <f t="shared" si="3"/>
        <v>1.7734400000000049E-2</v>
      </c>
      <c r="X55" s="56">
        <v>300</v>
      </c>
      <c r="Y55" s="56">
        <v>250</v>
      </c>
    </row>
    <row r="56" spans="1:25" ht="16.5" thickBot="1" x14ac:dyDescent="0.3">
      <c r="B56" s="12"/>
      <c r="C56" s="19">
        <v>164.59</v>
      </c>
      <c r="D56" s="20">
        <v>27.245000000000001</v>
      </c>
      <c r="E56" s="20">
        <v>35.465000000000003</v>
      </c>
      <c r="F56" s="20">
        <v>33.713000000000001</v>
      </c>
      <c r="G56" s="20">
        <v>67.540000000000006</v>
      </c>
      <c r="H56" s="20">
        <f t="shared" si="0"/>
        <v>29.081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59.609000000000002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5"/>
        <v>-0.11742671009771992</v>
      </c>
      <c r="V56" s="57">
        <f t="shared" si="4"/>
        <v>9.7266666666666696E-2</v>
      </c>
      <c r="W56" s="57">
        <f t="shared" si="3"/>
        <v>2.4966666666666627E-2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752.67</v>
      </c>
      <c r="D57" s="16">
        <v>31.817</v>
      </c>
      <c r="E57" s="16">
        <v>39.091000000000001</v>
      </c>
      <c r="F57" s="16">
        <v>39.701000000000001</v>
      </c>
      <c r="G57" s="16">
        <v>49.8</v>
      </c>
      <c r="H57" s="16">
        <f t="shared" si="0"/>
        <v>33.711750000000002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38.444299999999998</v>
      </c>
      <c r="O57" s="16">
        <f t="shared" si="1"/>
        <v>35.650874999999999</v>
      </c>
      <c r="P57" s="7"/>
      <c r="Q57" s="8">
        <f>bdrate(C57:C60,D57:D60,J57:J60,K57:K60)</f>
        <v>-0.55711995742574483</v>
      </c>
      <c r="R57" s="8">
        <f>bdrate(C57:C60,E57:E60,J57:J60,L57:L60)</f>
        <v>-0.69434852355074128</v>
      </c>
      <c r="S57" s="8">
        <f>bdrate(C57:C60,F57:F60,J57:J60,M57:M60)</f>
        <v>-0.69741509550930547</v>
      </c>
      <c r="T57" s="25">
        <f>bdrate(C57:C60,H57:H60,J57:J60,O57:O60)</f>
        <v>-0.57950749771687815</v>
      </c>
      <c r="U57" s="28">
        <f t="shared" si="5"/>
        <v>-0.22802610441767068</v>
      </c>
      <c r="V57" s="57">
        <f t="shared" si="4"/>
        <v>5.9162500000000048E-2</v>
      </c>
      <c r="W57" s="57">
        <f t="shared" si="3"/>
        <v>7.2759999999999535E-3</v>
      </c>
      <c r="X57" s="56">
        <v>800</v>
      </c>
      <c r="Y57" s="56">
        <v>600</v>
      </c>
    </row>
    <row r="58" spans="1:25" x14ac:dyDescent="0.25">
      <c r="B58" s="9"/>
      <c r="C58" s="17">
        <v>464.3</v>
      </c>
      <c r="D58" s="18">
        <v>30.166</v>
      </c>
      <c r="E58" s="18">
        <v>38.64</v>
      </c>
      <c r="F58" s="18">
        <v>39.145000000000003</v>
      </c>
      <c r="G58" s="18">
        <v>69.98</v>
      </c>
      <c r="H58" s="18">
        <f t="shared" si="0"/>
        <v>32.347625000000001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46.1965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5"/>
        <v>-0.33986138896827667</v>
      </c>
      <c r="V58" s="57">
        <f t="shared" si="4"/>
        <v>7.1399999999999977E-2</v>
      </c>
      <c r="W58" s="57">
        <f t="shared" si="3"/>
        <v>9.5980000000000128E-3</v>
      </c>
      <c r="X58" s="56">
        <v>500</v>
      </c>
      <c r="Y58" s="56">
        <v>400</v>
      </c>
    </row>
    <row r="59" spans="1:25" x14ac:dyDescent="0.25">
      <c r="B59" s="9"/>
      <c r="C59" s="17">
        <v>274.22000000000003</v>
      </c>
      <c r="D59" s="18">
        <v>28.38</v>
      </c>
      <c r="E59" s="18">
        <v>38.115000000000002</v>
      </c>
      <c r="F59" s="18">
        <v>38.523000000000003</v>
      </c>
      <c r="G59" s="18">
        <v>77.53</v>
      </c>
      <c r="H59" s="18">
        <f t="shared" si="0"/>
        <v>30.864750000000001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56.769799999999996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5"/>
        <v>-0.26776989552431324</v>
      </c>
      <c r="V59" s="57">
        <f t="shared" si="4"/>
        <v>8.5933333333333237E-2</v>
      </c>
      <c r="W59" s="57">
        <f t="shared" si="3"/>
        <v>9.9103999999999807E-3</v>
      </c>
      <c r="X59" s="56">
        <v>300</v>
      </c>
      <c r="Y59" s="56">
        <v>250</v>
      </c>
    </row>
    <row r="60" spans="1:25" ht="16.5" thickBot="1" x14ac:dyDescent="0.3">
      <c r="B60" s="12"/>
      <c r="C60" s="19">
        <v>135.05000000000001</v>
      </c>
      <c r="D60" s="20">
        <v>26.085000000000001</v>
      </c>
      <c r="E60" s="20">
        <v>37.534999999999997</v>
      </c>
      <c r="F60" s="20">
        <v>37.753</v>
      </c>
      <c r="G60" s="20">
        <v>86.63</v>
      </c>
      <c r="H60" s="20">
        <f t="shared" si="0"/>
        <v>28.97475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72.376400000000004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5"/>
        <v>-0.16453422601870013</v>
      </c>
      <c r="V60" s="57">
        <f t="shared" si="4"/>
        <v>9.9666666666666584E-2</v>
      </c>
      <c r="W60" s="57">
        <f t="shared" si="3"/>
        <v>5.9133333333332887E-3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835.33</v>
      </c>
      <c r="D61" s="30">
        <v>33.07</v>
      </c>
      <c r="E61" s="30">
        <v>36.625</v>
      </c>
      <c r="F61" s="30">
        <v>37.049999999999997</v>
      </c>
      <c r="G61" s="16">
        <v>46.93</v>
      </c>
      <c r="H61" s="16">
        <f t="shared" si="0"/>
        <v>34.011875000000003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36.654200000000003</v>
      </c>
      <c r="O61" s="16">
        <f t="shared" si="1"/>
        <v>34.531700000000001</v>
      </c>
      <c r="P61" s="7"/>
      <c r="Q61" s="8">
        <f>bdrate(C61:C64,D61:D64,J61:J64,K61:K64)</f>
        <v>-0.29615194848257698</v>
      </c>
      <c r="R61" s="8">
        <f>bdrate(C61:C64,E61:E64,J61:J64,L61:L64)</f>
        <v>-0.58946416098216092</v>
      </c>
      <c r="S61" s="8">
        <f>bdrate(C61:C64,F61:F64,J61:J64,M61:M64)</f>
        <v>-0.62660121578953132</v>
      </c>
      <c r="T61" s="25">
        <f>bdrate(C61:C64,H61:H64,J61:J64,O61:O64)</f>
        <v>-0.3602637331119416</v>
      </c>
      <c r="U61" s="28">
        <f t="shared" si="5"/>
        <v>-0.21896015341998715</v>
      </c>
      <c r="V61" s="57">
        <f t="shared" si="4"/>
        <v>4.4162500000000049E-2</v>
      </c>
      <c r="W61" s="57">
        <f t="shared" si="3"/>
        <v>7.1924000000000016E-2</v>
      </c>
      <c r="X61" s="56">
        <v>800</v>
      </c>
      <c r="Y61" s="56">
        <v>600</v>
      </c>
    </row>
    <row r="62" spans="1:25" x14ac:dyDescent="0.25">
      <c r="B62" s="9"/>
      <c r="C62" s="31">
        <v>521.54999999999995</v>
      </c>
      <c r="D62" s="32">
        <v>31.126999999999999</v>
      </c>
      <c r="E62" s="32">
        <v>35.569000000000003</v>
      </c>
      <c r="F62" s="32">
        <v>36.031999999999996</v>
      </c>
      <c r="G62" s="18">
        <v>63.92</v>
      </c>
      <c r="H62" s="18">
        <f t="shared" si="0"/>
        <v>32.295375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42.408799999999999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5"/>
        <v>-0.33653316645807263</v>
      </c>
      <c r="V62" s="57">
        <f t="shared" si="4"/>
        <v>4.3099999999999909E-2</v>
      </c>
      <c r="W62" s="57">
        <f t="shared" si="3"/>
        <v>6.8867999999999943E-2</v>
      </c>
      <c r="X62" s="56">
        <v>500</v>
      </c>
      <c r="Y62" s="56">
        <v>400</v>
      </c>
    </row>
    <row r="63" spans="1:25" x14ac:dyDescent="0.25">
      <c r="B63" s="9"/>
      <c r="C63" s="31">
        <v>311.57</v>
      </c>
      <c r="D63" s="32">
        <v>29.201000000000001</v>
      </c>
      <c r="E63" s="32">
        <v>34.594999999999999</v>
      </c>
      <c r="F63" s="32">
        <v>35.06</v>
      </c>
      <c r="G63" s="18">
        <v>69.959999999999994</v>
      </c>
      <c r="H63" s="18">
        <f t="shared" si="0"/>
        <v>30.607625000000002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50.200800000000001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5"/>
        <v>-0.28243567753001708</v>
      </c>
      <c r="V63" s="57">
        <f t="shared" si="4"/>
        <v>3.8566666666666645E-2</v>
      </c>
      <c r="W63" s="57">
        <f t="shared" si="3"/>
        <v>6.6822400000000018E-2</v>
      </c>
      <c r="X63" s="56">
        <v>300</v>
      </c>
      <c r="Y63" s="56">
        <v>250</v>
      </c>
    </row>
    <row r="64" spans="1:25" ht="16.5" thickBot="1" x14ac:dyDescent="0.3">
      <c r="B64" s="12"/>
      <c r="C64" s="33">
        <v>152.94999999999999</v>
      </c>
      <c r="D64" s="34">
        <v>26.791</v>
      </c>
      <c r="E64" s="34">
        <v>33.655000000000001</v>
      </c>
      <c r="F64" s="34">
        <v>34.197000000000003</v>
      </c>
      <c r="G64" s="20">
        <v>79.290000000000006</v>
      </c>
      <c r="H64" s="20">
        <f t="shared" si="0"/>
        <v>28.574750000000002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66.515900000000002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5"/>
        <v>-0.16110606633875652</v>
      </c>
      <c r="V64" s="57">
        <f t="shared" si="4"/>
        <v>1.9666666666666589E-2</v>
      </c>
      <c r="W64" s="57">
        <f t="shared" si="3"/>
        <v>6.5979999999999941E-2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767.47</v>
      </c>
      <c r="D65" s="16">
        <v>34.615000000000002</v>
      </c>
      <c r="E65" s="16">
        <v>37.128</v>
      </c>
      <c r="F65" s="16">
        <v>38.194000000000003</v>
      </c>
      <c r="G65" s="16">
        <v>32.979999999999997</v>
      </c>
      <c r="H65" s="16">
        <f t="shared" si="0"/>
        <v>35.3765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26.230699999999999</v>
      </c>
      <c r="O65" s="16">
        <f t="shared" si="1"/>
        <v>34.971250000000005</v>
      </c>
      <c r="P65" s="7"/>
      <c r="Q65" s="8">
        <f>bdrate(C65:C68,D65:D68,J65:J68,K65:K68)</f>
        <v>-0.14326621066926226</v>
      </c>
      <c r="R65" s="8">
        <f>bdrate(C65:C68,E65:E68,J65:J68,L65:L68)</f>
        <v>-0.34670500731580023</v>
      </c>
      <c r="S65" s="8">
        <f>bdrate(C65:C68,F65:F68,J65:J68,M65:M68)</f>
        <v>-0.34931676744098683</v>
      </c>
      <c r="T65" s="25">
        <f>bdrate(C65:C68,H65:H68,J65:J68,O65:O68)</f>
        <v>-0.17792455347559433</v>
      </c>
      <c r="U65" s="28">
        <f t="shared" si="5"/>
        <v>-0.2046482716798059</v>
      </c>
      <c r="V65" s="57">
        <f t="shared" si="4"/>
        <v>4.0662499999999963E-2</v>
      </c>
      <c r="W65" s="57">
        <f t="shared" si="3"/>
        <v>9.2119999999999893E-3</v>
      </c>
      <c r="X65" s="56">
        <v>800</v>
      </c>
      <c r="Y65" s="56">
        <v>600</v>
      </c>
    </row>
    <row r="66" spans="1:25" x14ac:dyDescent="0.25">
      <c r="B66" s="9"/>
      <c r="C66" s="17">
        <v>482.21</v>
      </c>
      <c r="D66" s="18">
        <v>32.363999999999997</v>
      </c>
      <c r="E66" s="18">
        <v>35.920999999999999</v>
      </c>
      <c r="F66" s="18">
        <v>36.984000000000002</v>
      </c>
      <c r="G66" s="18">
        <v>41.86</v>
      </c>
      <c r="H66" s="18">
        <f t="shared" si="0"/>
        <v>33.386124999999993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29.972999999999999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5"/>
        <v>-0.28397037744863834</v>
      </c>
      <c r="V66" s="57">
        <f t="shared" si="4"/>
        <v>3.5580000000000042E-2</v>
      </c>
      <c r="W66" s="57">
        <f t="shared" si="3"/>
        <v>9.189999999999969E-3</v>
      </c>
      <c r="X66" s="56">
        <v>500</v>
      </c>
      <c r="Y66" s="56">
        <v>400</v>
      </c>
    </row>
    <row r="67" spans="1:25" x14ac:dyDescent="0.25">
      <c r="B67" s="9"/>
      <c r="C67" s="17">
        <v>290.23</v>
      </c>
      <c r="D67" s="18">
        <v>30.138999999999999</v>
      </c>
      <c r="E67" s="18">
        <v>34.814</v>
      </c>
      <c r="F67" s="18">
        <v>35.841000000000001</v>
      </c>
      <c r="G67" s="18">
        <v>46.92</v>
      </c>
      <c r="H67" s="18">
        <f t="shared" si="0"/>
        <v>31.436125000000001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35.281700000000001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5"/>
        <v>-0.2480456095481671</v>
      </c>
      <c r="V67" s="57">
        <f t="shared" si="4"/>
        <v>3.2566666666666605E-2</v>
      </c>
      <c r="W67" s="57">
        <f t="shared" si="3"/>
        <v>1.1542400000000043E-2</v>
      </c>
      <c r="X67" s="56">
        <v>300</v>
      </c>
      <c r="Y67" s="56">
        <v>250</v>
      </c>
    </row>
    <row r="68" spans="1:25" ht="16.5" thickBot="1" x14ac:dyDescent="0.3">
      <c r="B68" s="12"/>
      <c r="C68" s="19">
        <v>145.13</v>
      </c>
      <c r="D68" s="20">
        <v>27.245000000000001</v>
      </c>
      <c r="E68" s="20">
        <v>33.515000000000001</v>
      </c>
      <c r="F68" s="20">
        <v>34.463000000000001</v>
      </c>
      <c r="G68" s="20">
        <v>56.11</v>
      </c>
      <c r="H68" s="20">
        <f t="shared" si="0"/>
        <v>28.931000000000001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46.845700000000001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5"/>
        <v>-0.16510960613081446</v>
      </c>
      <c r="V68" s="57">
        <f t="shared" si="4"/>
        <v>3.2466666666666699E-2</v>
      </c>
      <c r="W68" s="57">
        <f t="shared" si="3"/>
        <v>1.7620000000000028E-2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1904.2</v>
      </c>
      <c r="D69" s="16">
        <v>40.884</v>
      </c>
      <c r="E69" s="16">
        <v>44.563000000000002</v>
      </c>
      <c r="F69" s="16">
        <v>45.656999999999996</v>
      </c>
      <c r="G69" s="16">
        <v>7.22</v>
      </c>
      <c r="H69" s="16">
        <f t="shared" si="0"/>
        <v>41.9405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8.74</v>
      </c>
      <c r="O69" s="16">
        <f t="shared" si="1"/>
        <v>42.617787500000006</v>
      </c>
      <c r="P69" s="7"/>
      <c r="Q69" s="8">
        <f>bdrate(C69:C72,D69:D72,J69:J72,K69:K72)</f>
        <v>-0.4070384851455191</v>
      </c>
      <c r="R69" s="8">
        <f>bdrate(C69:C72,E69:E72,J69:J72,L69:L72)</f>
        <v>-0.54967248096318888</v>
      </c>
      <c r="S69" s="8">
        <f>bdrate(C69:C72,F69:F72,J69:J72,M69:M72)</f>
        <v>-0.56700959749338964</v>
      </c>
      <c r="T69" s="25">
        <f>bdrate(C69:C72,H69:H72,J69:J72,O69:O72)</f>
        <v>-0.43927925352627062</v>
      </c>
      <c r="U69" s="28">
        <f t="shared" si="5"/>
        <v>0.21052631578947376</v>
      </c>
      <c r="V69" s="57">
        <f t="shared" si="4"/>
        <v>9.3238095238095217E-2</v>
      </c>
      <c r="W69" s="57">
        <f t="shared" si="3"/>
        <v>3.789866666666664E-3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1243.04</v>
      </c>
      <c r="D70" s="18">
        <v>39.484000000000002</v>
      </c>
      <c r="E70" s="18">
        <v>43.384</v>
      </c>
      <c r="F70" s="18">
        <v>44.392000000000003</v>
      </c>
      <c r="G70" s="18">
        <v>9.19</v>
      </c>
      <c r="H70" s="18">
        <f t="shared" si="0"/>
        <v>40.585000000000001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9.7529000000000003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5"/>
        <v>6.1251360174102383E-2</v>
      </c>
      <c r="V70" s="57">
        <f t="shared" si="4"/>
        <v>0.11211428571428574</v>
      </c>
      <c r="W70" s="57">
        <f t="shared" si="3"/>
        <v>1.5216800000000036E-2</v>
      </c>
      <c r="X70" s="56">
        <v>1400</v>
      </c>
      <c r="Y70" s="56">
        <v>1000</v>
      </c>
    </row>
    <row r="71" spans="1:25" x14ac:dyDescent="0.25">
      <c r="B71" s="9"/>
      <c r="C71" s="17">
        <v>741.95</v>
      </c>
      <c r="D71" s="18">
        <v>37.167999999999999</v>
      </c>
      <c r="E71" s="18">
        <v>41.856000000000002</v>
      </c>
      <c r="F71" s="18">
        <v>42.862000000000002</v>
      </c>
      <c r="G71" s="18">
        <v>9.6300000000000008</v>
      </c>
      <c r="H71" s="18">
        <f t="shared" si="0"/>
        <v>38.46575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11.0465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5"/>
        <v>0.14709241952232596</v>
      </c>
      <c r="V71" s="57">
        <f t="shared" si="4"/>
        <v>0.12711764705882347</v>
      </c>
      <c r="W71" s="57">
        <f t="shared" si="3"/>
        <v>4.1986666666666679E-2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342.37</v>
      </c>
      <c r="D72" s="20">
        <v>32.941000000000003</v>
      </c>
      <c r="E72" s="20">
        <v>39.783999999999999</v>
      </c>
      <c r="F72" s="20">
        <v>40.581000000000003</v>
      </c>
      <c r="G72" s="20">
        <v>10.15</v>
      </c>
      <c r="H72" s="20">
        <f t="shared" si="0"/>
        <v>34.751375000000003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13.0648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5"/>
        <v>0.28717241379310338</v>
      </c>
      <c r="V72" s="57">
        <f t="shared" si="4"/>
        <v>0.14407499999999998</v>
      </c>
      <c r="W72" s="57">
        <f t="shared" si="3"/>
        <v>6.1656000000000023E-2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1994.04</v>
      </c>
      <c r="D73" s="16">
        <v>42.076999999999998</v>
      </c>
      <c r="E73" s="16">
        <v>46.692</v>
      </c>
      <c r="F73" s="16">
        <v>47.180999999999997</v>
      </c>
      <c r="G73" s="16">
        <v>6.88</v>
      </c>
      <c r="H73" s="16">
        <f t="shared" si="0"/>
        <v>43.291874999999997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9.3062000000000005</v>
      </c>
      <c r="O73" s="16">
        <f t="shared" si="1"/>
        <v>44.021049999999995</v>
      </c>
      <c r="P73" s="7"/>
      <c r="Q73" s="8">
        <f>bdrate(C73:C76,D73:D76,J73:J76,K73:K76)</f>
        <v>-0.5458697061345128</v>
      </c>
      <c r="R73" s="8">
        <f>bdrate(C73:C76,E73:E76,J73:J76,L73:L76)</f>
        <v>-0.69469064319595009</v>
      </c>
      <c r="S73" s="8">
        <f>bdrate(C73:C76,F73:F76,J73:J76,M73:M76)</f>
        <v>-0.72219083120699401</v>
      </c>
      <c r="T73" s="25">
        <f>bdrate(C73:C76,H73:H76,J73:J76,O73:O76)</f>
        <v>-0.59303807129970409</v>
      </c>
      <c r="U73" s="28">
        <f t="shared" ref="U73:U80" si="6">(N73-G73)/G73</f>
        <v>0.35264534883720938</v>
      </c>
      <c r="V73" s="57">
        <f t="shared" si="4"/>
        <v>5.0457142857142874E-2</v>
      </c>
      <c r="W73" s="57">
        <f t="shared" ref="W73:W80" si="7">ABS(J73-Y73)/Y73</f>
        <v>1.4682133333333392E-2</v>
      </c>
      <c r="X73" s="56">
        <v>2100</v>
      </c>
      <c r="Y73" s="56">
        <v>1500</v>
      </c>
    </row>
    <row r="74" spans="1:25" x14ac:dyDescent="0.25">
      <c r="B74" s="9"/>
      <c r="C74" s="17">
        <v>1303.3800000000001</v>
      </c>
      <c r="D74" s="18">
        <v>41.305</v>
      </c>
      <c r="E74" s="18">
        <v>45.753999999999998</v>
      </c>
      <c r="F74" s="18">
        <v>46.109000000000002</v>
      </c>
      <c r="G74" s="18">
        <v>8.8699999999999992</v>
      </c>
      <c r="H74" s="18">
        <f t="shared" si="0"/>
        <v>42.461624999999998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10.4825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6"/>
        <v>0.18179255918827519</v>
      </c>
      <c r="V74" s="57">
        <f t="shared" ref="V74:V80" si="8">ABS(C74-X74)/X74</f>
        <v>6.9014285714285639E-2</v>
      </c>
      <c r="W74" s="57">
        <f t="shared" si="7"/>
        <v>2.8388799999999947E-2</v>
      </c>
      <c r="X74" s="56">
        <v>1400</v>
      </c>
      <c r="Y74" s="56">
        <v>1000</v>
      </c>
    </row>
    <row r="75" spans="1:25" x14ac:dyDescent="0.25">
      <c r="B75" s="9"/>
      <c r="C75" s="17">
        <v>766.41</v>
      </c>
      <c r="D75" s="18">
        <v>39.965000000000003</v>
      </c>
      <c r="E75" s="18">
        <v>44.476999999999997</v>
      </c>
      <c r="F75" s="18">
        <v>44.911000000000001</v>
      </c>
      <c r="G75" s="18">
        <v>9.3699999999999992</v>
      </c>
      <c r="H75" s="18">
        <f t="shared" si="0"/>
        <v>41.14725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11.682700000000001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6"/>
        <v>0.24681963713980806</v>
      </c>
      <c r="V75" s="57">
        <f t="shared" si="8"/>
        <v>9.8341176470588279E-2</v>
      </c>
      <c r="W75" s="57">
        <f t="shared" si="7"/>
        <v>3.7602666666666666E-2</v>
      </c>
      <c r="X75" s="56">
        <v>850</v>
      </c>
      <c r="Y75" s="56">
        <v>600</v>
      </c>
    </row>
    <row r="76" spans="1:25" ht="16.5" thickBot="1" x14ac:dyDescent="0.3">
      <c r="B76" s="12"/>
      <c r="C76" s="19">
        <v>341.01</v>
      </c>
      <c r="D76" s="20">
        <v>36.735999999999997</v>
      </c>
      <c r="E76" s="20">
        <v>42.082999999999998</v>
      </c>
      <c r="F76" s="20">
        <v>42.866999999999997</v>
      </c>
      <c r="G76" s="20">
        <v>10</v>
      </c>
      <c r="H76" s="20">
        <f t="shared" si="0"/>
        <v>38.170750000000005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13.381500000000001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6"/>
        <v>0.33815000000000006</v>
      </c>
      <c r="V76" s="57">
        <f t="shared" si="8"/>
        <v>0.14747500000000002</v>
      </c>
      <c r="W76" s="57">
        <f t="shared" si="7"/>
        <v>6.278933333333328E-2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2084.6</v>
      </c>
      <c r="D77" s="16">
        <v>41.973999999999997</v>
      </c>
      <c r="E77" s="16">
        <v>45.747999999999998</v>
      </c>
      <c r="F77" s="16">
        <v>46.472999999999999</v>
      </c>
      <c r="G77" s="16">
        <v>6.61</v>
      </c>
      <c r="H77" s="16">
        <f t="shared" si="0"/>
        <v>43.008125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8.3270999999999997</v>
      </c>
      <c r="O77" s="16">
        <f t="shared" si="1"/>
        <v>43.714862500000002</v>
      </c>
      <c r="P77" s="7"/>
      <c r="Q77" s="8">
        <f>bdrate(C77:C80,D77:D80,J77:J80,K77:K80)</f>
        <v>-0.48855722206931884</v>
      </c>
      <c r="R77" s="8">
        <f>bdrate(C77:C80,E77:E80,J77:J80,L77:L80)</f>
        <v>-0.61013220900518539</v>
      </c>
      <c r="S77" s="8">
        <f>bdrate(C77:C80,F77:F80,J77:J80,M77:M80)</f>
        <v>-0.63524547585019886</v>
      </c>
      <c r="T77" s="25">
        <f>bdrate(C77:C80,H77:H80,J77:J80,O77:O80)</f>
        <v>-0.5224436119217627</v>
      </c>
      <c r="U77" s="28">
        <f t="shared" si="6"/>
        <v>0.25977307110438719</v>
      </c>
      <c r="V77" s="57">
        <f t="shared" si="8"/>
        <v>7.3333333333333766E-3</v>
      </c>
      <c r="W77" s="57">
        <f t="shared" si="7"/>
        <v>2.8095466666666652E-2</v>
      </c>
      <c r="X77" s="56">
        <v>2100</v>
      </c>
      <c r="Y77" s="56">
        <v>1500</v>
      </c>
    </row>
    <row r="78" spans="1:25" x14ac:dyDescent="0.25">
      <c r="B78" s="9"/>
      <c r="C78" s="17">
        <v>1372.06</v>
      </c>
      <c r="D78" s="18">
        <v>40.853999999999999</v>
      </c>
      <c r="E78" s="18">
        <v>44.667000000000002</v>
      </c>
      <c r="F78" s="18">
        <v>45.359000000000002</v>
      </c>
      <c r="G78" s="18">
        <v>8.48</v>
      </c>
      <c r="H78" s="18">
        <f t="shared" si="0"/>
        <v>41.893749999999997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9.2574000000000005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6"/>
        <v>9.1674528301886798E-2</v>
      </c>
      <c r="V78" s="57">
        <f t="shared" si="8"/>
        <v>1.9957142857142895E-2</v>
      </c>
      <c r="W78" s="57">
        <f t="shared" si="7"/>
        <v>1.4076800000000049E-2</v>
      </c>
      <c r="X78" s="56">
        <v>1400</v>
      </c>
      <c r="Y78" s="56">
        <v>1000</v>
      </c>
    </row>
    <row r="79" spans="1:25" x14ac:dyDescent="0.25">
      <c r="B79" s="9"/>
      <c r="C79" s="17">
        <v>816.89</v>
      </c>
      <c r="D79" s="18">
        <v>38.999000000000002</v>
      </c>
      <c r="E79" s="18">
        <v>43.048999999999999</v>
      </c>
      <c r="F79" s="18">
        <v>43.741</v>
      </c>
      <c r="G79" s="18">
        <v>8.98</v>
      </c>
      <c r="H79" s="18">
        <f t="shared" si="0"/>
        <v>40.097999999999999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10.4511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6"/>
        <v>0.16381959910913138</v>
      </c>
      <c r="V79" s="57">
        <f t="shared" si="8"/>
        <v>3.8952941176470607E-2</v>
      </c>
      <c r="W79" s="57">
        <f t="shared" si="7"/>
        <v>9.3160000000000309E-3</v>
      </c>
      <c r="X79" s="56">
        <v>850</v>
      </c>
      <c r="Y79" s="56">
        <v>600</v>
      </c>
    </row>
    <row r="80" spans="1:25" ht="16.5" thickBot="1" x14ac:dyDescent="0.3">
      <c r="B80" s="12"/>
      <c r="C80" s="19">
        <v>373.96</v>
      </c>
      <c r="D80" s="20">
        <v>35.197000000000003</v>
      </c>
      <c r="E80" s="20">
        <v>40.762</v>
      </c>
      <c r="F80" s="20">
        <v>41.326999999999998</v>
      </c>
      <c r="G80" s="20">
        <v>9.7200000000000006</v>
      </c>
      <c r="H80" s="20">
        <f t="shared" si="0"/>
        <v>36.658875000000002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12.222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6"/>
        <v>0.25740740740740725</v>
      </c>
      <c r="V80" s="57">
        <f t="shared" si="8"/>
        <v>6.5100000000000047E-2</v>
      </c>
      <c r="W80" s="57">
        <f t="shared" si="7"/>
        <v>1.7469333333333264E-2</v>
      </c>
      <c r="X80" s="56">
        <v>400</v>
      </c>
      <c r="Y80" s="56">
        <v>300</v>
      </c>
    </row>
    <row r="81" spans="1:25" x14ac:dyDescent="0.25">
      <c r="A81" s="6" t="s">
        <v>81</v>
      </c>
      <c r="B81" s="6" t="s">
        <v>82</v>
      </c>
      <c r="C81" s="15">
        <v>1530.51</v>
      </c>
      <c r="D81" s="16">
        <v>39.731000000000002</v>
      </c>
      <c r="E81" s="16">
        <v>46.298000000000002</v>
      </c>
      <c r="F81" s="16">
        <v>44.984999999999999</v>
      </c>
      <c r="G81" s="16">
        <v>3.9</v>
      </c>
      <c r="H81" s="16">
        <f t="shared" ref="H81:H103" si="9">(6*D81+E81+F81)/8</f>
        <v>41.208625000000005</v>
      </c>
      <c r="I81" s="5"/>
      <c r="J81" s="15">
        <v>1001.9601</v>
      </c>
      <c r="K81" s="16">
        <v>39.380400000000002</v>
      </c>
      <c r="L81" s="16">
        <v>46.247900000000001</v>
      </c>
      <c r="M81" s="16">
        <v>44.884700000000002</v>
      </c>
      <c r="N81" s="16">
        <v>4.0395000000000003</v>
      </c>
      <c r="O81" s="16">
        <f t="shared" ref="O81:O103" si="10">(6*K81+L81+M81)/8</f>
        <v>40.926875000000003</v>
      </c>
      <c r="P81" s="7"/>
      <c r="Q81" s="8">
        <f>bdrate(C81:C84,D81:D84,J81:J84,K81:K84)</f>
        <v>-0.41103607482714766</v>
      </c>
      <c r="R81" s="8">
        <f>bdrate(C81:C84,E81:E84,J81:J84,L81:L84)</f>
        <v>-0.43739871110386297</v>
      </c>
      <c r="S81" s="8">
        <f>bdrate(C81:C84,F81:F84,J81:J84,M81:M84)</f>
        <v>-0.40054145246493023</v>
      </c>
      <c r="T81" s="25">
        <f>bdrate(C81:C84,H81:H84,J81:J84,O81:O84)</f>
        <v>-0.41257308763155032</v>
      </c>
      <c r="U81" s="28">
        <f t="shared" ref="U81:U103" si="11">(N81-G81)/G81</f>
        <v>3.5769230769230873E-2</v>
      </c>
      <c r="V81" s="57">
        <f t="shared" ref="V81:V124" si="12">ABS(C81-X81)/X81</f>
        <v>2.0339999999999994E-2</v>
      </c>
      <c r="W81" s="57">
        <f t="shared" ref="W81:W124" si="13">ABS(J81-Y81)/Y81</f>
        <v>1.9601000000000115E-3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1022.84</v>
      </c>
      <c r="D82" s="18">
        <v>37.892000000000003</v>
      </c>
      <c r="E82" s="18">
        <v>45.073999999999998</v>
      </c>
      <c r="F82" s="18">
        <v>43.783999999999999</v>
      </c>
      <c r="G82" s="18">
        <v>4.7</v>
      </c>
      <c r="H82" s="18">
        <f t="shared" si="9"/>
        <v>39.526250000000005</v>
      </c>
      <c r="I82" s="5"/>
      <c r="J82" s="17">
        <v>600.35389999999995</v>
      </c>
      <c r="K82" s="18">
        <v>37.471699999999998</v>
      </c>
      <c r="L82" s="18">
        <v>45.007800000000003</v>
      </c>
      <c r="M82" s="18">
        <v>43.575899999999997</v>
      </c>
      <c r="N82" s="18">
        <v>4.6755000000000004</v>
      </c>
      <c r="O82" s="18">
        <f t="shared" si="10"/>
        <v>39.176737499999994</v>
      </c>
      <c r="P82" s="7"/>
      <c r="Q82" s="10"/>
      <c r="R82" s="11"/>
      <c r="S82" s="11"/>
      <c r="T82" s="26"/>
      <c r="U82" s="28">
        <f t="shared" si="11"/>
        <v>-5.2127659574467541E-3</v>
      </c>
      <c r="V82" s="57">
        <f t="shared" si="12"/>
        <v>2.284000000000003E-2</v>
      </c>
      <c r="W82" s="57">
        <f t="shared" si="13"/>
        <v>5.8983333333325542E-4</v>
      </c>
      <c r="X82" s="56">
        <v>1000</v>
      </c>
      <c r="Y82" s="56">
        <v>600</v>
      </c>
    </row>
    <row r="83" spans="1:25" x14ac:dyDescent="0.25">
      <c r="B83" s="9"/>
      <c r="C83" s="17">
        <v>614.59</v>
      </c>
      <c r="D83" s="18">
        <v>35.238</v>
      </c>
      <c r="E83" s="18">
        <v>43.445999999999998</v>
      </c>
      <c r="F83" s="18">
        <v>42.197000000000003</v>
      </c>
      <c r="G83" s="18">
        <v>5.31</v>
      </c>
      <c r="H83" s="18">
        <f t="shared" si="9"/>
        <v>37.133875000000003</v>
      </c>
      <c r="I83" s="5"/>
      <c r="J83" s="17">
        <v>296.99040000000002</v>
      </c>
      <c r="K83" s="18">
        <v>34.564900000000002</v>
      </c>
      <c r="L83" s="18">
        <v>43.198900000000002</v>
      </c>
      <c r="M83" s="18">
        <v>41.692700000000002</v>
      </c>
      <c r="N83" s="18">
        <v>5.9524999999999997</v>
      </c>
      <c r="O83" s="18">
        <f t="shared" si="10"/>
        <v>36.535125000000008</v>
      </c>
      <c r="P83" s="7"/>
      <c r="Q83" s="10"/>
      <c r="R83" s="11"/>
      <c r="S83" s="11"/>
      <c r="T83" s="26"/>
      <c r="U83" s="28">
        <f t="shared" si="11"/>
        <v>0.12099811676082865</v>
      </c>
      <c r="V83" s="57">
        <f t="shared" si="12"/>
        <v>2.4316666666666719E-2</v>
      </c>
      <c r="W83" s="57">
        <f t="shared" si="13"/>
        <v>1.0031999999999925E-2</v>
      </c>
      <c r="X83" s="56">
        <v>600</v>
      </c>
      <c r="Y83" s="56">
        <v>300</v>
      </c>
    </row>
    <row r="84" spans="1:25" ht="16.5" thickBot="1" x14ac:dyDescent="0.3">
      <c r="B84" s="12"/>
      <c r="C84" s="19">
        <v>306.05</v>
      </c>
      <c r="D84" s="20">
        <v>30.683</v>
      </c>
      <c r="E84" s="20">
        <v>41.116999999999997</v>
      </c>
      <c r="F84" s="20">
        <v>39.927</v>
      </c>
      <c r="G84" s="20">
        <v>6.14</v>
      </c>
      <c r="H84" s="20">
        <f t="shared" si="9"/>
        <v>33.142749999999999</v>
      </c>
      <c r="I84" s="5"/>
      <c r="J84" s="19">
        <v>196.5616</v>
      </c>
      <c r="K84" s="20">
        <v>32.654299999999999</v>
      </c>
      <c r="L84" s="20">
        <v>42.0593</v>
      </c>
      <c r="M84" s="20">
        <v>40.491599999999998</v>
      </c>
      <c r="N84" s="20">
        <v>6.8376999999999999</v>
      </c>
      <c r="O84" s="20">
        <f t="shared" si="10"/>
        <v>34.809587499999999</v>
      </c>
      <c r="P84" s="7"/>
      <c r="Q84" s="13"/>
      <c r="R84" s="14"/>
      <c r="S84" s="14"/>
      <c r="T84" s="27"/>
      <c r="U84" s="28">
        <f t="shared" si="11"/>
        <v>0.11363192182410427</v>
      </c>
      <c r="V84" s="57">
        <f t="shared" si="12"/>
        <v>2.0166666666666704E-2</v>
      </c>
      <c r="W84" s="57">
        <f t="shared" si="13"/>
        <v>1.7192000000000006E-2</v>
      </c>
      <c r="X84" s="56">
        <v>300</v>
      </c>
      <c r="Y84" s="56">
        <v>200</v>
      </c>
    </row>
    <row r="85" spans="1:25" x14ac:dyDescent="0.25">
      <c r="B85" s="6" t="s">
        <v>83</v>
      </c>
      <c r="C85" s="29">
        <v>1462.91</v>
      </c>
      <c r="D85" s="30">
        <v>41.023000000000003</v>
      </c>
      <c r="E85" s="30">
        <v>46.752000000000002</v>
      </c>
      <c r="F85" s="30">
        <v>46.393000000000001</v>
      </c>
      <c r="G85" s="16">
        <v>4.22</v>
      </c>
      <c r="H85" s="16">
        <f t="shared" si="9"/>
        <v>42.410375000000002</v>
      </c>
      <c r="I85" s="5"/>
      <c r="J85" s="29">
        <v>1004.3102</v>
      </c>
      <c r="K85" s="30">
        <v>40.771500000000003</v>
      </c>
      <c r="L85" s="30">
        <v>46.842100000000002</v>
      </c>
      <c r="M85" s="30">
        <v>46.528199999999998</v>
      </c>
      <c r="N85" s="16">
        <v>4.1437999999999997</v>
      </c>
      <c r="O85" s="16">
        <f t="shared" si="10"/>
        <v>42.249912500000008</v>
      </c>
      <c r="P85" s="7"/>
      <c r="Q85" s="8">
        <f>bdrate(C85:C88,D85:D88,J85:J88,K85:K88)</f>
        <v>-0.40153773358282674</v>
      </c>
      <c r="R85" s="8">
        <f>bdrate(C85:C88,E85:E88,J85:J88,L85:L88)</f>
        <v>-0.43253814278468661</v>
      </c>
      <c r="S85" s="8">
        <f>bdrate(C85:C88,F85:F88,J85:J88,M85:M88)</f>
        <v>-0.44753059189641164</v>
      </c>
      <c r="T85" s="25">
        <f>bdrate(C85:C88,H85:H88,J85:J88,O85:O88)</f>
        <v>-0.40768475306859053</v>
      </c>
      <c r="U85" s="28">
        <f t="shared" si="11"/>
        <v>-1.8056872037914704E-2</v>
      </c>
      <c r="V85" s="57">
        <f t="shared" si="12"/>
        <v>2.4726666666666612E-2</v>
      </c>
      <c r="W85" s="57">
        <f t="shared" si="13"/>
        <v>4.3102000000000088E-3</v>
      </c>
      <c r="X85" s="56">
        <v>1500</v>
      </c>
      <c r="Y85" s="56">
        <v>1000</v>
      </c>
    </row>
    <row r="86" spans="1:25" x14ac:dyDescent="0.25">
      <c r="B86" s="9"/>
      <c r="C86" s="31">
        <v>971.3</v>
      </c>
      <c r="D86" s="32">
        <v>39.194000000000003</v>
      </c>
      <c r="E86" s="32">
        <v>45.628999999999998</v>
      </c>
      <c r="F86" s="32">
        <v>45.252000000000002</v>
      </c>
      <c r="G86" s="18">
        <v>5.14</v>
      </c>
      <c r="H86" s="18">
        <f t="shared" si="9"/>
        <v>40.755625000000002</v>
      </c>
      <c r="I86" s="5"/>
      <c r="J86" s="31">
        <v>602.58680000000004</v>
      </c>
      <c r="K86" s="32">
        <v>38.953699999999998</v>
      </c>
      <c r="L86" s="32">
        <v>45.6785</v>
      </c>
      <c r="M86" s="32">
        <v>45.396099999999997</v>
      </c>
      <c r="N86" s="18">
        <v>4.8498000000000001</v>
      </c>
      <c r="O86" s="18">
        <f t="shared" si="10"/>
        <v>40.599599999999995</v>
      </c>
      <c r="P86" s="7"/>
      <c r="Q86" s="10"/>
      <c r="R86" s="11"/>
      <c r="S86" s="11"/>
      <c r="T86" s="26"/>
      <c r="U86" s="28">
        <f t="shared" si="11"/>
        <v>-5.6459143968871514E-2</v>
      </c>
      <c r="V86" s="57">
        <f t="shared" si="12"/>
        <v>2.8700000000000045E-2</v>
      </c>
      <c r="W86" s="57">
        <f t="shared" si="13"/>
        <v>4.3113333333333987E-3</v>
      </c>
      <c r="X86" s="56">
        <v>1000</v>
      </c>
      <c r="Y86" s="56">
        <v>600</v>
      </c>
    </row>
    <row r="87" spans="1:25" x14ac:dyDescent="0.25">
      <c r="B87" s="9"/>
      <c r="C87" s="31">
        <v>582.42999999999995</v>
      </c>
      <c r="D87" s="32">
        <v>36.698</v>
      </c>
      <c r="E87" s="32">
        <v>44.091999999999999</v>
      </c>
      <c r="F87" s="32">
        <v>43.743000000000002</v>
      </c>
      <c r="G87" s="18">
        <v>5.68</v>
      </c>
      <c r="H87" s="18">
        <f t="shared" si="9"/>
        <v>38.502874999999996</v>
      </c>
      <c r="I87" s="5"/>
      <c r="J87" s="31">
        <v>300.35550000000001</v>
      </c>
      <c r="K87" s="32">
        <v>36.440399999999997</v>
      </c>
      <c r="L87" s="32">
        <v>44.04</v>
      </c>
      <c r="M87" s="32">
        <v>43.737400000000001</v>
      </c>
      <c r="N87" s="18">
        <v>6.0346000000000002</v>
      </c>
      <c r="O87" s="18">
        <f t="shared" si="10"/>
        <v>38.302474999999994</v>
      </c>
      <c r="P87" s="7"/>
      <c r="Q87" s="10"/>
      <c r="R87" s="11"/>
      <c r="S87" s="11"/>
      <c r="T87" s="26"/>
      <c r="U87" s="28">
        <f t="shared" si="11"/>
        <v>6.2429577464788819E-2</v>
      </c>
      <c r="V87" s="57">
        <f t="shared" si="12"/>
        <v>2.9283333333333418E-2</v>
      </c>
      <c r="W87" s="57">
        <f t="shared" si="13"/>
        <v>1.1850000000000213E-3</v>
      </c>
      <c r="X87" s="56">
        <v>600</v>
      </c>
      <c r="Y87" s="56">
        <v>300</v>
      </c>
    </row>
    <row r="88" spans="1:25" ht="16.5" thickBot="1" x14ac:dyDescent="0.3">
      <c r="B88" s="12"/>
      <c r="C88" s="33">
        <v>289.31</v>
      </c>
      <c r="D88" s="34">
        <v>32.673999999999999</v>
      </c>
      <c r="E88" s="34">
        <v>41.932000000000002</v>
      </c>
      <c r="F88" s="34">
        <v>41.57</v>
      </c>
      <c r="G88" s="20">
        <v>6.48</v>
      </c>
      <c r="H88" s="20">
        <f t="shared" si="9"/>
        <v>34.943249999999999</v>
      </c>
      <c r="I88" s="5"/>
      <c r="J88" s="33">
        <v>199.64420000000001</v>
      </c>
      <c r="K88" s="34">
        <v>34.873399999999997</v>
      </c>
      <c r="L88" s="34">
        <v>43.116999999999997</v>
      </c>
      <c r="M88" s="34">
        <v>42.759099999999997</v>
      </c>
      <c r="N88" s="20">
        <v>6.9508999999999999</v>
      </c>
      <c r="O88" s="20">
        <f t="shared" si="10"/>
        <v>36.889562499999997</v>
      </c>
      <c r="P88" s="7"/>
      <c r="Q88" s="13"/>
      <c r="R88" s="14"/>
      <c r="S88" s="14"/>
      <c r="T88" s="27"/>
      <c r="U88" s="28">
        <f t="shared" si="11"/>
        <v>7.2669753086419667E-2</v>
      </c>
      <c r="V88" s="57">
        <f t="shared" si="12"/>
        <v>3.5633333333333322E-2</v>
      </c>
      <c r="W88" s="57">
        <f t="shared" si="13"/>
        <v>1.7789999999999395E-3</v>
      </c>
      <c r="X88" s="56">
        <v>300</v>
      </c>
      <c r="Y88" s="56">
        <v>200</v>
      </c>
    </row>
    <row r="89" spans="1:25" x14ac:dyDescent="0.25">
      <c r="B89" s="6" t="s">
        <v>84</v>
      </c>
      <c r="C89" s="15">
        <v>1507.03</v>
      </c>
      <c r="D89" s="16">
        <v>37.795000000000002</v>
      </c>
      <c r="E89" s="16">
        <v>46.29</v>
      </c>
      <c r="F89" s="16">
        <v>44.603000000000002</v>
      </c>
      <c r="G89" s="16">
        <v>4.22</v>
      </c>
      <c r="H89" s="16">
        <f t="shared" si="9"/>
        <v>39.707875000000001</v>
      </c>
      <c r="I89" s="5"/>
      <c r="J89" s="15">
        <v>1001.438</v>
      </c>
      <c r="K89" s="16">
        <v>37.488100000000003</v>
      </c>
      <c r="L89" s="16">
        <v>46.241100000000003</v>
      </c>
      <c r="M89" s="16">
        <v>44.6569</v>
      </c>
      <c r="N89" s="16">
        <v>3.8685999999999998</v>
      </c>
      <c r="O89" s="16">
        <f t="shared" si="10"/>
        <v>39.478325000000005</v>
      </c>
      <c r="P89" s="7"/>
      <c r="Q89" s="8">
        <f>bdrate(C89:C92,D89:D92,J89:J92,K89:K92)</f>
        <v>-0.39969909022296779</v>
      </c>
      <c r="R89" s="8">
        <f>bdrate(C89:C92,E89:E92,J89:J92,L89:L92)</f>
        <v>-0.40099888851495824</v>
      </c>
      <c r="S89" s="8">
        <f>bdrate(C89:C92,F89:F92,J89:J92,M89:M92)</f>
        <v>-0.4267267934943838</v>
      </c>
      <c r="T89" s="25">
        <f>bdrate(C89:C92,H89:H92,J89:J92,O89:O92)</f>
        <v>-0.40205672534271353</v>
      </c>
      <c r="U89" s="28">
        <f t="shared" si="11"/>
        <v>-8.3270142180094778E-2</v>
      </c>
      <c r="V89" s="57">
        <f t="shared" si="12"/>
        <v>4.6866666666666489E-3</v>
      </c>
      <c r="W89" s="57">
        <f t="shared" si="13"/>
        <v>1.4379999999999881E-3</v>
      </c>
      <c r="X89" s="56">
        <v>1500</v>
      </c>
      <c r="Y89" s="56">
        <v>1000</v>
      </c>
    </row>
    <row r="90" spans="1:25" x14ac:dyDescent="0.25">
      <c r="B90" s="9"/>
      <c r="C90" s="17">
        <v>1006.69</v>
      </c>
      <c r="D90" s="18">
        <v>36.106999999999999</v>
      </c>
      <c r="E90" s="18">
        <v>45.261000000000003</v>
      </c>
      <c r="F90" s="18">
        <v>43.484000000000002</v>
      </c>
      <c r="G90" s="18">
        <v>5.12</v>
      </c>
      <c r="H90" s="18">
        <f t="shared" si="9"/>
        <v>38.173375</v>
      </c>
      <c r="I90" s="5"/>
      <c r="J90" s="17">
        <v>601.52089999999998</v>
      </c>
      <c r="K90" s="18">
        <v>35.755000000000003</v>
      </c>
      <c r="L90" s="18">
        <v>45.1417</v>
      </c>
      <c r="M90" s="18">
        <v>43.505099999999999</v>
      </c>
      <c r="N90" s="18">
        <v>4.5503</v>
      </c>
      <c r="O90" s="18">
        <f t="shared" si="10"/>
        <v>37.897100000000009</v>
      </c>
      <c r="P90" s="7"/>
      <c r="Q90" s="10"/>
      <c r="R90" s="11"/>
      <c r="S90" s="11"/>
      <c r="T90" s="26"/>
      <c r="U90" s="28">
        <f t="shared" si="11"/>
        <v>-0.11126953125000001</v>
      </c>
      <c r="V90" s="57">
        <f t="shared" si="12"/>
        <v>6.6900000000000544E-3</v>
      </c>
      <c r="W90" s="57">
        <f t="shared" si="13"/>
        <v>2.5348333333333056E-3</v>
      </c>
      <c r="X90" s="56">
        <v>1000</v>
      </c>
      <c r="Y90" s="56">
        <v>600</v>
      </c>
    </row>
    <row r="91" spans="1:25" x14ac:dyDescent="0.25">
      <c r="B91" s="9"/>
      <c r="C91" s="17">
        <v>602.29</v>
      </c>
      <c r="D91" s="18">
        <v>33.795999999999999</v>
      </c>
      <c r="E91" s="18">
        <v>43.859000000000002</v>
      </c>
      <c r="F91" s="18">
        <v>42.048000000000002</v>
      </c>
      <c r="G91" s="18">
        <v>5.68</v>
      </c>
      <c r="H91" s="18">
        <f t="shared" si="9"/>
        <v>36.085374999999999</v>
      </c>
      <c r="I91" s="5"/>
      <c r="J91" s="17">
        <v>298.65230000000003</v>
      </c>
      <c r="K91" s="18">
        <v>33.254800000000003</v>
      </c>
      <c r="L91" s="18">
        <v>43.480400000000003</v>
      </c>
      <c r="M91" s="18">
        <v>41.760199999999998</v>
      </c>
      <c r="N91" s="18">
        <v>5.6776</v>
      </c>
      <c r="O91" s="18">
        <f t="shared" si="10"/>
        <v>35.596175000000002</v>
      </c>
      <c r="P91" s="7"/>
      <c r="Q91" s="10"/>
      <c r="R91" s="11"/>
      <c r="S91" s="11"/>
      <c r="T91" s="26"/>
      <c r="U91" s="28">
        <f t="shared" si="11"/>
        <v>-4.2253521126755914E-4</v>
      </c>
      <c r="V91" s="57">
        <f t="shared" si="12"/>
        <v>3.8166666666666058E-3</v>
      </c>
      <c r="W91" s="57">
        <f t="shared" si="13"/>
        <v>4.4923333333332493E-3</v>
      </c>
      <c r="X91" s="56">
        <v>600</v>
      </c>
      <c r="Y91" s="56">
        <v>300</v>
      </c>
    </row>
    <row r="92" spans="1:25" ht="16.5" thickBot="1" x14ac:dyDescent="0.3">
      <c r="B92" s="12"/>
      <c r="C92" s="19">
        <v>299.60000000000002</v>
      </c>
      <c r="D92" s="20">
        <v>29.952000000000002</v>
      </c>
      <c r="E92" s="20">
        <v>41.892000000000003</v>
      </c>
      <c r="F92" s="20">
        <v>40.061999999999998</v>
      </c>
      <c r="G92" s="20">
        <v>6.52</v>
      </c>
      <c r="H92" s="20">
        <f t="shared" si="9"/>
        <v>32.70825</v>
      </c>
      <c r="I92" s="5"/>
      <c r="J92" s="19">
        <v>197.8177</v>
      </c>
      <c r="K92" s="20">
        <v>31.629000000000001</v>
      </c>
      <c r="L92" s="20">
        <v>42.629800000000003</v>
      </c>
      <c r="M92" s="20">
        <v>40.835999999999999</v>
      </c>
      <c r="N92" s="20">
        <v>6.6414</v>
      </c>
      <c r="O92" s="20">
        <f t="shared" si="10"/>
        <v>34.154975</v>
      </c>
      <c r="P92" s="7"/>
      <c r="Q92" s="13"/>
      <c r="R92" s="14"/>
      <c r="S92" s="14"/>
      <c r="T92" s="27"/>
      <c r="U92" s="28">
        <f t="shared" si="11"/>
        <v>1.8619631901840551E-2</v>
      </c>
      <c r="V92" s="57">
        <f t="shared" si="12"/>
        <v>1.3333333333332576E-3</v>
      </c>
      <c r="W92" s="57">
        <f t="shared" si="13"/>
        <v>1.0911499999999989E-2</v>
      </c>
      <c r="X92" s="56">
        <v>300</v>
      </c>
      <c r="Y92" s="56">
        <v>200</v>
      </c>
    </row>
    <row r="93" spans="1:25" x14ac:dyDescent="0.25">
      <c r="B93" s="6" t="s">
        <v>85</v>
      </c>
      <c r="C93" s="15">
        <v>1482.71</v>
      </c>
      <c r="D93" s="16">
        <v>36.85</v>
      </c>
      <c r="E93" s="16">
        <v>46.293999999999997</v>
      </c>
      <c r="F93" s="16">
        <v>44.555999999999997</v>
      </c>
      <c r="G93" s="16">
        <v>4.0999999999999996</v>
      </c>
      <c r="H93" s="16">
        <f t="shared" si="9"/>
        <v>38.993749999999999</v>
      </c>
      <c r="I93" s="5"/>
      <c r="J93" s="15">
        <v>1002.8259</v>
      </c>
      <c r="K93" s="16">
        <v>36.429699999999997</v>
      </c>
      <c r="L93" s="16">
        <v>46.044899999999998</v>
      </c>
      <c r="M93" s="16">
        <v>44.563400000000001</v>
      </c>
      <c r="N93" s="16">
        <v>3.8521000000000001</v>
      </c>
      <c r="O93" s="16">
        <f t="shared" si="10"/>
        <v>38.648312499999996</v>
      </c>
      <c r="P93" s="7"/>
      <c r="Q93" s="8">
        <f>bdrate(C93:C96,D93:D96,J93:J96,K93:K96)</f>
        <v>-0.37187806339720253</v>
      </c>
      <c r="R93" s="8">
        <f>bdrate(C93:C96,E93:E96,J93:J96,L93:L96)</f>
        <v>-0.34272659551605844</v>
      </c>
      <c r="S93" s="8">
        <f>bdrate(C93:C96,F93:F96,J93:J96,M93:M96)</f>
        <v>-0.42422479610671981</v>
      </c>
      <c r="T93" s="25">
        <f>bdrate(C93:C96,H93:H96,J93:J96,O93:O96)</f>
        <v>-0.37422000528638943</v>
      </c>
      <c r="U93" s="28">
        <f t="shared" si="11"/>
        <v>-6.0463414634146243E-2</v>
      </c>
      <c r="V93" s="57">
        <f t="shared" si="12"/>
        <v>1.1526666666666642E-2</v>
      </c>
      <c r="W93" s="57">
        <f t="shared" si="13"/>
        <v>2.825900000000047E-3</v>
      </c>
      <c r="X93" s="56">
        <v>1500</v>
      </c>
      <c r="Y93" s="56">
        <v>1000</v>
      </c>
    </row>
    <row r="94" spans="1:25" x14ac:dyDescent="0.25">
      <c r="B94" s="9"/>
      <c r="C94" s="17">
        <v>987.07</v>
      </c>
      <c r="D94" s="18">
        <v>35.194000000000003</v>
      </c>
      <c r="E94" s="18">
        <v>45.284999999999997</v>
      </c>
      <c r="F94" s="18">
        <v>43.454000000000001</v>
      </c>
      <c r="G94" s="18">
        <v>5</v>
      </c>
      <c r="H94" s="18">
        <f t="shared" si="9"/>
        <v>37.487875000000003</v>
      </c>
      <c r="I94" s="5"/>
      <c r="J94" s="17">
        <v>599.38869999999997</v>
      </c>
      <c r="K94" s="18">
        <v>34.710799999999999</v>
      </c>
      <c r="L94" s="18">
        <v>44.941499999999998</v>
      </c>
      <c r="M94" s="18">
        <v>43.441200000000002</v>
      </c>
      <c r="N94" s="18">
        <v>4.4949000000000003</v>
      </c>
      <c r="O94" s="18">
        <f t="shared" si="10"/>
        <v>37.080937499999997</v>
      </c>
      <c r="P94" s="7"/>
      <c r="Q94" s="10"/>
      <c r="R94" s="11"/>
      <c r="S94" s="11"/>
      <c r="T94" s="26"/>
      <c r="U94" s="28">
        <f t="shared" si="11"/>
        <v>-0.10101999999999993</v>
      </c>
      <c r="V94" s="57">
        <f t="shared" si="12"/>
        <v>1.292999999999995E-2</v>
      </c>
      <c r="W94" s="57">
        <f t="shared" si="13"/>
        <v>1.0188333333333807E-3</v>
      </c>
      <c r="X94" s="56">
        <v>1000</v>
      </c>
      <c r="Y94" s="56">
        <v>600</v>
      </c>
    </row>
    <row r="95" spans="1:25" x14ac:dyDescent="0.25">
      <c r="B95" s="9"/>
      <c r="C95" s="17">
        <v>592.20000000000005</v>
      </c>
      <c r="D95" s="18">
        <v>32.924999999999997</v>
      </c>
      <c r="E95" s="18">
        <v>43.914000000000001</v>
      </c>
      <c r="F95" s="18">
        <v>41.994</v>
      </c>
      <c r="G95" s="18">
        <v>5.55</v>
      </c>
      <c r="H95" s="18">
        <f t="shared" si="9"/>
        <v>35.432249999999996</v>
      </c>
      <c r="I95" s="5"/>
      <c r="J95" s="17">
        <v>297.6567</v>
      </c>
      <c r="K95" s="18">
        <v>32.249699999999997</v>
      </c>
      <c r="L95" s="18">
        <v>43.353400000000001</v>
      </c>
      <c r="M95" s="18">
        <v>41.812199999999997</v>
      </c>
      <c r="N95" s="18">
        <v>5.6901000000000002</v>
      </c>
      <c r="O95" s="18">
        <f t="shared" si="10"/>
        <v>34.832974999999998</v>
      </c>
      <c r="P95" s="7"/>
      <c r="Q95" s="10"/>
      <c r="R95" s="11"/>
      <c r="S95" s="11"/>
      <c r="T95" s="26"/>
      <c r="U95" s="28">
        <f t="shared" si="11"/>
        <v>2.5243243243243306E-2</v>
      </c>
      <c r="V95" s="57">
        <f t="shared" si="12"/>
        <v>1.2999999999999925E-2</v>
      </c>
      <c r="W95" s="57">
        <f t="shared" si="13"/>
        <v>7.8109999999999976E-3</v>
      </c>
      <c r="X95" s="56">
        <v>600</v>
      </c>
      <c r="Y95" s="56">
        <v>300</v>
      </c>
    </row>
    <row r="96" spans="1:25" ht="16.5" thickBot="1" x14ac:dyDescent="0.3">
      <c r="B96" s="12"/>
      <c r="C96" s="19">
        <v>296.20999999999998</v>
      </c>
      <c r="D96" s="20">
        <v>29.158999999999999</v>
      </c>
      <c r="E96" s="20">
        <v>41.927</v>
      </c>
      <c r="F96" s="20">
        <v>39.988999999999997</v>
      </c>
      <c r="G96" s="20">
        <v>6.45</v>
      </c>
      <c r="H96" s="20">
        <f t="shared" si="9"/>
        <v>32.108750000000001</v>
      </c>
      <c r="I96" s="5"/>
      <c r="J96" s="19">
        <v>196.5052</v>
      </c>
      <c r="K96" s="20">
        <v>30.6907</v>
      </c>
      <c r="L96" s="20">
        <v>42.588299999999997</v>
      </c>
      <c r="M96" s="20">
        <v>40.915599999999998</v>
      </c>
      <c r="N96" s="20">
        <v>6.6585999999999999</v>
      </c>
      <c r="O96" s="20">
        <f t="shared" si="10"/>
        <v>33.4560125</v>
      </c>
      <c r="P96" s="7"/>
      <c r="Q96" s="13"/>
      <c r="R96" s="14"/>
      <c r="S96" s="14"/>
      <c r="T96" s="27"/>
      <c r="U96" s="28">
        <f t="shared" si="11"/>
        <v>3.2341085271317779E-2</v>
      </c>
      <c r="V96" s="57">
        <f t="shared" si="12"/>
        <v>1.2633333333333401E-2</v>
      </c>
      <c r="W96" s="57">
        <f t="shared" si="13"/>
        <v>1.747399999999999E-2</v>
      </c>
      <c r="X96" s="56">
        <v>300</v>
      </c>
      <c r="Y96" s="56">
        <v>200</v>
      </c>
    </row>
    <row r="97" spans="2:25" x14ac:dyDescent="0.25">
      <c r="B97" s="6" t="s">
        <v>86</v>
      </c>
      <c r="C97" s="15">
        <v>1494.93</v>
      </c>
      <c r="D97" s="16">
        <v>41.777999999999999</v>
      </c>
      <c r="E97" s="16">
        <v>48.603999999999999</v>
      </c>
      <c r="F97" s="16">
        <v>47.902999999999999</v>
      </c>
      <c r="G97" s="16">
        <v>4.5999999999999996</v>
      </c>
      <c r="H97" s="16">
        <f t="shared" si="9"/>
        <v>43.396875000000001</v>
      </c>
      <c r="I97" s="5"/>
      <c r="J97" s="15">
        <v>1005.2534000000001</v>
      </c>
      <c r="K97" s="16">
        <v>41.370699999999999</v>
      </c>
      <c r="L97" s="16">
        <v>48.495800000000003</v>
      </c>
      <c r="M97" s="16">
        <v>47.927900000000001</v>
      </c>
      <c r="N97" s="16">
        <v>4.4444999999999997</v>
      </c>
      <c r="O97" s="16">
        <f t="shared" si="10"/>
        <v>43.080987500000006</v>
      </c>
      <c r="P97" s="7"/>
      <c r="Q97" s="8">
        <f>bdrate(C97:C100,D97:D100,J97:J100,K97:K100)</f>
        <v>-0.40223056893336706</v>
      </c>
      <c r="R97" s="8">
        <f>bdrate(C97:C100,E97:E100,J97:J100,L97:L100)</f>
        <v>-0.42950354169006677</v>
      </c>
      <c r="S97" s="8">
        <f>bdrate(C97:C100,F97:F100,J97:J100,M97:M100)</f>
        <v>-0.47171817863486754</v>
      </c>
      <c r="T97" s="25">
        <f>bdrate(C97:C100,H97:H100,J97:J100,O97:O100)</f>
        <v>-0.41128094810948357</v>
      </c>
      <c r="U97" s="28">
        <f t="shared" si="11"/>
        <v>-3.3804347826086954E-2</v>
      </c>
      <c r="V97" s="57">
        <f t="shared" si="12"/>
        <v>3.3799999999999577E-3</v>
      </c>
      <c r="W97" s="57">
        <f t="shared" si="13"/>
        <v>5.2534000000000556E-3</v>
      </c>
      <c r="X97" s="56">
        <v>1500</v>
      </c>
      <c r="Y97" s="56">
        <v>1000</v>
      </c>
    </row>
    <row r="98" spans="2:25" x14ac:dyDescent="0.25">
      <c r="B98" s="9"/>
      <c r="C98" s="17">
        <v>996.55</v>
      </c>
      <c r="D98" s="18">
        <v>40.433999999999997</v>
      </c>
      <c r="E98" s="18">
        <v>47.765000000000001</v>
      </c>
      <c r="F98" s="18">
        <v>46.996000000000002</v>
      </c>
      <c r="G98" s="18">
        <v>5.71</v>
      </c>
      <c r="H98" s="18">
        <f t="shared" si="9"/>
        <v>42.170624999999994</v>
      </c>
      <c r="I98" s="5"/>
      <c r="J98" s="17">
        <v>602.43939999999998</v>
      </c>
      <c r="K98" s="18">
        <v>40.106699999999996</v>
      </c>
      <c r="L98" s="18">
        <v>47.698999999999998</v>
      </c>
      <c r="M98" s="18">
        <v>47.111800000000002</v>
      </c>
      <c r="N98" s="18">
        <v>5.1505000000000001</v>
      </c>
      <c r="O98" s="18">
        <f t="shared" si="10"/>
        <v>41.931375000000003</v>
      </c>
      <c r="P98" s="7"/>
      <c r="Q98" s="10"/>
      <c r="R98" s="11"/>
      <c r="S98" s="11"/>
      <c r="T98" s="26"/>
      <c r="U98" s="28">
        <f t="shared" si="11"/>
        <v>-9.7985989492119063E-2</v>
      </c>
      <c r="V98" s="57">
        <f t="shared" si="12"/>
        <v>3.4500000000000455E-3</v>
      </c>
      <c r="W98" s="57">
        <f t="shared" si="13"/>
        <v>4.0656666666666298E-3</v>
      </c>
      <c r="X98" s="56">
        <v>1000</v>
      </c>
      <c r="Y98" s="56">
        <v>600</v>
      </c>
    </row>
    <row r="99" spans="2:25" x14ac:dyDescent="0.25">
      <c r="B99" s="9"/>
      <c r="C99" s="17">
        <v>597.5</v>
      </c>
      <c r="D99" s="18">
        <v>38.551000000000002</v>
      </c>
      <c r="E99" s="18">
        <v>46.606000000000002</v>
      </c>
      <c r="F99" s="18">
        <v>45.783999999999999</v>
      </c>
      <c r="G99" s="18">
        <v>6.28</v>
      </c>
      <c r="H99" s="18">
        <f t="shared" si="9"/>
        <v>40.462000000000003</v>
      </c>
      <c r="I99" s="5"/>
      <c r="J99" s="17">
        <v>296.65929999999997</v>
      </c>
      <c r="K99" s="18">
        <v>38.244</v>
      </c>
      <c r="L99" s="18">
        <v>46.459899999999998</v>
      </c>
      <c r="M99" s="18">
        <v>45.829700000000003</v>
      </c>
      <c r="N99" s="18">
        <v>6.3052000000000001</v>
      </c>
      <c r="O99" s="18">
        <f t="shared" si="10"/>
        <v>40.219200000000001</v>
      </c>
      <c r="P99" s="7"/>
      <c r="Q99" s="10"/>
      <c r="R99" s="11"/>
      <c r="S99" s="11"/>
      <c r="T99" s="26"/>
      <c r="U99" s="28">
        <f t="shared" si="11"/>
        <v>4.0127388535031666E-3</v>
      </c>
      <c r="V99" s="57">
        <f t="shared" si="12"/>
        <v>4.1666666666666666E-3</v>
      </c>
      <c r="W99" s="57">
        <f t="shared" si="13"/>
        <v>1.1135666666666755E-2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298.22000000000003</v>
      </c>
      <c r="D100" s="20">
        <v>35.506</v>
      </c>
      <c r="E100" s="20">
        <v>44.536999999999999</v>
      </c>
      <c r="F100" s="20">
        <v>43.784999999999997</v>
      </c>
      <c r="G100" s="20">
        <v>7.06</v>
      </c>
      <c r="H100" s="20">
        <f t="shared" si="9"/>
        <v>37.669749999999993</v>
      </c>
      <c r="I100" s="5"/>
      <c r="J100" s="19">
        <v>193.4417</v>
      </c>
      <c r="K100" s="20">
        <v>37.008800000000001</v>
      </c>
      <c r="L100" s="20">
        <v>45.520400000000002</v>
      </c>
      <c r="M100" s="20">
        <v>44.875500000000002</v>
      </c>
      <c r="N100" s="20">
        <v>7.2713999999999999</v>
      </c>
      <c r="O100" s="20">
        <f t="shared" si="10"/>
        <v>39.056087499999997</v>
      </c>
      <c r="P100" s="7"/>
      <c r="Q100" s="13"/>
      <c r="R100" s="14"/>
      <c r="S100" s="14"/>
      <c r="T100" s="27"/>
      <c r="U100" s="28">
        <f t="shared" si="11"/>
        <v>2.9943342776204005E-2</v>
      </c>
      <c r="V100" s="57">
        <f t="shared" si="12"/>
        <v>5.9333333333332428E-3</v>
      </c>
      <c r="W100" s="57">
        <f t="shared" si="13"/>
        <v>3.2791500000000015E-2</v>
      </c>
      <c r="X100" s="56">
        <v>300</v>
      </c>
      <c r="Y100" s="56">
        <v>200</v>
      </c>
    </row>
    <row r="101" spans="2:25" x14ac:dyDescent="0.25">
      <c r="B101" s="6" t="s">
        <v>87</v>
      </c>
      <c r="C101" s="15">
        <v>1481.4</v>
      </c>
      <c r="D101" s="16">
        <v>41.914000000000001</v>
      </c>
      <c r="E101" s="16">
        <v>49.405000000000001</v>
      </c>
      <c r="F101" s="16">
        <v>49.293999999999997</v>
      </c>
      <c r="G101" s="16">
        <v>4.68</v>
      </c>
      <c r="H101" s="16">
        <f t="shared" si="9"/>
        <v>43.772874999999999</v>
      </c>
      <c r="I101" s="5"/>
      <c r="J101" s="15">
        <v>1005.3482</v>
      </c>
      <c r="K101" s="16">
        <v>41.899099999999997</v>
      </c>
      <c r="L101" s="16">
        <v>49.503900000000002</v>
      </c>
      <c r="M101" s="16">
        <v>49.261600000000001</v>
      </c>
      <c r="N101" s="16">
        <v>4.8535000000000004</v>
      </c>
      <c r="O101" s="16">
        <f t="shared" si="10"/>
        <v>43.770012499999993</v>
      </c>
      <c r="P101" s="7"/>
      <c r="Q101" s="8">
        <f>bdrate(C101:C104,D101:D104,J101:J104,K101:K104)</f>
        <v>-0.47070115525119594</v>
      </c>
      <c r="R101" s="8">
        <f>bdrate(C101:C104,E101:E104,J101:J104,L101:L104)</f>
        <v>-0.47363232005858658</v>
      </c>
      <c r="S101" s="8">
        <f>bdrate(C101:C104,F101:F104,J101:J104,M101:M104)</f>
        <v>-0.44618713078839933</v>
      </c>
      <c r="T101" s="25">
        <f>bdrate(C101:C104,H101:H104,J101:J104,O101:O104)</f>
        <v>-0.4688511562347274</v>
      </c>
      <c r="U101" s="28">
        <f t="shared" si="11"/>
        <v>3.7072649572649712E-2</v>
      </c>
      <c r="V101" s="57">
        <f t="shared" si="12"/>
        <v>1.2399999999999939E-2</v>
      </c>
      <c r="W101" s="57">
        <f t="shared" si="13"/>
        <v>5.34820000000002E-3</v>
      </c>
      <c r="X101" s="56">
        <v>1500</v>
      </c>
      <c r="Y101" s="56">
        <v>1000</v>
      </c>
    </row>
    <row r="102" spans="2:25" x14ac:dyDescent="0.25">
      <c r="B102" s="9"/>
      <c r="C102" s="17">
        <v>983.13</v>
      </c>
      <c r="D102" s="18">
        <v>40.948999999999998</v>
      </c>
      <c r="E102" s="18">
        <v>48.87</v>
      </c>
      <c r="F102" s="18">
        <v>48.808</v>
      </c>
      <c r="G102" s="18">
        <v>5.96</v>
      </c>
      <c r="H102" s="18">
        <f t="shared" si="9"/>
        <v>42.921499999999995</v>
      </c>
      <c r="I102" s="5"/>
      <c r="J102" s="17">
        <v>593.87350000000004</v>
      </c>
      <c r="K102" s="18">
        <v>41.0167</v>
      </c>
      <c r="L102" s="18">
        <v>48.947099999999999</v>
      </c>
      <c r="M102" s="18">
        <v>48.768700000000003</v>
      </c>
      <c r="N102" s="18">
        <v>5.8513000000000002</v>
      </c>
      <c r="O102" s="18">
        <f t="shared" si="10"/>
        <v>42.977000000000004</v>
      </c>
      <c r="P102" s="7"/>
      <c r="Q102" s="10"/>
      <c r="R102" s="11"/>
      <c r="S102" s="11"/>
      <c r="T102" s="26"/>
      <c r="U102" s="28">
        <f t="shared" si="11"/>
        <v>-1.8238255033557013E-2</v>
      </c>
      <c r="V102" s="57">
        <f t="shared" si="12"/>
        <v>1.6870000000000003E-2</v>
      </c>
      <c r="W102" s="57">
        <f t="shared" si="13"/>
        <v>1.0210833333333275E-2</v>
      </c>
      <c r="X102" s="56">
        <v>1000</v>
      </c>
      <c r="Y102" s="56">
        <v>600</v>
      </c>
    </row>
    <row r="103" spans="2:25" x14ac:dyDescent="0.25">
      <c r="B103" s="9"/>
      <c r="C103" s="17">
        <v>584.46</v>
      </c>
      <c r="D103" s="18">
        <v>39.691000000000003</v>
      </c>
      <c r="E103" s="18">
        <v>48.055</v>
      </c>
      <c r="F103" s="18">
        <v>48.061</v>
      </c>
      <c r="G103" s="18">
        <v>6.71</v>
      </c>
      <c r="H103" s="18">
        <f t="shared" si="9"/>
        <v>41.78275</v>
      </c>
      <c r="I103" s="5"/>
      <c r="J103" s="17">
        <v>282.1986</v>
      </c>
      <c r="K103" s="18">
        <v>39.718000000000004</v>
      </c>
      <c r="L103" s="18">
        <v>47.999099999999999</v>
      </c>
      <c r="M103" s="18">
        <v>47.9923</v>
      </c>
      <c r="N103" s="18">
        <v>7.3971</v>
      </c>
      <c r="O103" s="18">
        <f t="shared" si="10"/>
        <v>41.787424999999999</v>
      </c>
      <c r="P103" s="7"/>
      <c r="Q103" s="10"/>
      <c r="R103" s="11"/>
      <c r="S103" s="11"/>
      <c r="T103" s="26"/>
      <c r="U103" s="28">
        <f t="shared" si="11"/>
        <v>0.10239940387481372</v>
      </c>
      <c r="V103" s="57">
        <f t="shared" si="12"/>
        <v>2.589999999999994E-2</v>
      </c>
      <c r="W103" s="57">
        <f t="shared" si="13"/>
        <v>5.9338000000000002E-2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288.60000000000002</v>
      </c>
      <c r="D104" s="20">
        <v>37.655000000000001</v>
      </c>
      <c r="E104" s="20">
        <v>46.613999999999997</v>
      </c>
      <c r="F104" s="20">
        <v>46.777999999999999</v>
      </c>
      <c r="G104" s="20">
        <v>7.6</v>
      </c>
      <c r="H104" s="20">
        <f t="shared" ref="H104:H124" si="14">(6*D104+E104+F104)/8</f>
        <v>39.91525</v>
      </c>
      <c r="I104" s="5"/>
      <c r="J104" s="19">
        <v>178.9759</v>
      </c>
      <c r="K104" s="20">
        <v>38.7258</v>
      </c>
      <c r="L104" s="20">
        <v>47.173200000000001</v>
      </c>
      <c r="M104" s="20">
        <v>47.303400000000003</v>
      </c>
      <c r="N104" s="20">
        <v>8.6568000000000005</v>
      </c>
      <c r="O104" s="20">
        <f t="shared" ref="O104:O124" si="15">(6*K104+L104+M104)/8</f>
        <v>40.853925000000004</v>
      </c>
      <c r="P104" s="7"/>
      <c r="Q104" s="13"/>
      <c r="R104" s="14"/>
      <c r="S104" s="14"/>
      <c r="T104" s="27"/>
      <c r="U104" s="28">
        <f t="shared" ref="U104:U124" si="16">(N104-G104)/G104</f>
        <v>0.13905263157894748</v>
      </c>
      <c r="V104" s="57">
        <f t="shared" si="12"/>
        <v>3.7999999999999923E-2</v>
      </c>
      <c r="W104" s="57">
        <f t="shared" si="13"/>
        <v>0.10512050000000002</v>
      </c>
      <c r="X104" s="56">
        <v>300</v>
      </c>
      <c r="Y104" s="56">
        <v>200</v>
      </c>
    </row>
    <row r="105" spans="2:25" x14ac:dyDescent="0.25">
      <c r="B105" s="6" t="s">
        <v>88</v>
      </c>
      <c r="C105" s="15">
        <v>1474.05</v>
      </c>
      <c r="D105" s="16">
        <v>43.232999999999997</v>
      </c>
      <c r="E105" s="16">
        <v>51.186</v>
      </c>
      <c r="F105" s="16">
        <v>50.944000000000003</v>
      </c>
      <c r="G105" s="16">
        <v>4.45</v>
      </c>
      <c r="H105" s="16">
        <f t="shared" si="14"/>
        <v>45.190999999999995</v>
      </c>
      <c r="I105" s="5"/>
      <c r="J105" s="15">
        <v>1001.5876</v>
      </c>
      <c r="K105" s="16">
        <v>42.871400000000001</v>
      </c>
      <c r="L105" s="16">
        <v>51.024500000000003</v>
      </c>
      <c r="M105" s="16">
        <v>50.822699999999998</v>
      </c>
      <c r="N105" s="16">
        <v>4.5513000000000003</v>
      </c>
      <c r="O105" s="16">
        <f t="shared" si="15"/>
        <v>44.884450000000001</v>
      </c>
      <c r="P105" s="7"/>
      <c r="Q105" s="8">
        <f>bdrate(C105:C108,D105:D108,J105:J108,K105:K108)</f>
        <v>-0.40886813538262434</v>
      </c>
      <c r="R105" s="8">
        <f>bdrate(C105:C108,E105:E108,J105:J108,L105:L108)</f>
        <v>-0.45207951714604899</v>
      </c>
      <c r="S105" s="8">
        <f>bdrate(C105:C108,F105:F108,J105:J108,M105:M108)</f>
        <v>-0.45343427155224036</v>
      </c>
      <c r="T105" s="25">
        <f>bdrate(C105:C108,H105:H108,J105:J108,O105:O108)</f>
        <v>-0.41738970867001357</v>
      </c>
      <c r="U105" s="28">
        <f t="shared" si="16"/>
        <v>2.2764044943820262E-2</v>
      </c>
      <c r="V105" s="57">
        <f t="shared" si="12"/>
        <v>1.7300000000000031E-2</v>
      </c>
      <c r="W105" s="57">
        <f t="shared" si="13"/>
        <v>1.5875999999999521E-3</v>
      </c>
      <c r="X105" s="56">
        <v>1500</v>
      </c>
      <c r="Y105" s="56">
        <v>1000</v>
      </c>
    </row>
    <row r="106" spans="2:25" x14ac:dyDescent="0.25">
      <c r="B106" s="9"/>
      <c r="C106" s="17">
        <v>975.24</v>
      </c>
      <c r="D106" s="18">
        <v>42.161999999999999</v>
      </c>
      <c r="E106" s="18">
        <v>50.438000000000002</v>
      </c>
      <c r="F106" s="18">
        <v>50.219000000000001</v>
      </c>
      <c r="G106" s="18">
        <v>5.67</v>
      </c>
      <c r="H106" s="18">
        <f t="shared" si="14"/>
        <v>44.203624999999995</v>
      </c>
      <c r="I106" s="5"/>
      <c r="J106" s="17">
        <v>600.60119999999995</v>
      </c>
      <c r="K106" s="18">
        <v>41.9375</v>
      </c>
      <c r="L106" s="18">
        <v>50.433500000000002</v>
      </c>
      <c r="M106" s="18">
        <v>50.216999999999999</v>
      </c>
      <c r="N106" s="18">
        <v>5.3918999999999997</v>
      </c>
      <c r="O106" s="18">
        <f t="shared" si="15"/>
        <v>44.034437499999996</v>
      </c>
      <c r="P106" s="7"/>
      <c r="Q106" s="10"/>
      <c r="R106" s="11"/>
      <c r="S106" s="11"/>
      <c r="T106" s="26"/>
      <c r="U106" s="28">
        <f t="shared" si="16"/>
        <v>-4.904761904761909E-2</v>
      </c>
      <c r="V106" s="57">
        <f t="shared" si="12"/>
        <v>2.475999999999999E-2</v>
      </c>
      <c r="W106" s="57">
        <f t="shared" si="13"/>
        <v>1.0019999999999149E-3</v>
      </c>
      <c r="X106" s="56">
        <v>1000</v>
      </c>
      <c r="Y106" s="56">
        <v>600</v>
      </c>
    </row>
    <row r="107" spans="2:25" x14ac:dyDescent="0.25">
      <c r="B107" s="9"/>
      <c r="C107" s="17">
        <v>577.07000000000005</v>
      </c>
      <c r="D107" s="18">
        <v>40.755000000000003</v>
      </c>
      <c r="E107" s="18">
        <v>49.478000000000002</v>
      </c>
      <c r="F107" s="18">
        <v>49.305999999999997</v>
      </c>
      <c r="G107" s="18">
        <v>6.41</v>
      </c>
      <c r="H107" s="18">
        <f t="shared" si="14"/>
        <v>42.914250000000003</v>
      </c>
      <c r="I107" s="5"/>
      <c r="J107" s="17">
        <v>292.61599999999999</v>
      </c>
      <c r="K107" s="18">
        <v>40.7498</v>
      </c>
      <c r="L107" s="18">
        <v>49.574599999999997</v>
      </c>
      <c r="M107" s="18">
        <v>49.396900000000002</v>
      </c>
      <c r="N107" s="18">
        <v>6.7195999999999998</v>
      </c>
      <c r="O107" s="18">
        <f t="shared" si="15"/>
        <v>42.933787500000001</v>
      </c>
      <c r="P107" s="7"/>
      <c r="Q107" s="10"/>
      <c r="R107" s="11"/>
      <c r="S107" s="11"/>
      <c r="T107" s="26"/>
      <c r="U107" s="28">
        <f t="shared" si="16"/>
        <v>4.8299531981279197E-2</v>
      </c>
      <c r="V107" s="57">
        <f t="shared" si="12"/>
        <v>3.8216666666666586E-2</v>
      </c>
      <c r="W107" s="57">
        <f t="shared" si="13"/>
        <v>2.4613333333333383E-2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282.64</v>
      </c>
      <c r="D108" s="20">
        <v>38.478000000000002</v>
      </c>
      <c r="E108" s="20">
        <v>47.704999999999998</v>
      </c>
      <c r="F108" s="20">
        <v>47.593000000000004</v>
      </c>
      <c r="G108" s="20">
        <v>7.22</v>
      </c>
      <c r="H108" s="20">
        <f t="shared" si="14"/>
        <v>40.77075</v>
      </c>
      <c r="I108" s="5"/>
      <c r="J108" s="19">
        <v>189.3124</v>
      </c>
      <c r="K108" s="20">
        <v>39.983699999999999</v>
      </c>
      <c r="L108" s="20">
        <v>48.992400000000004</v>
      </c>
      <c r="M108" s="20">
        <v>48.770400000000002</v>
      </c>
      <c r="N108" s="20">
        <v>7.7028999999999996</v>
      </c>
      <c r="O108" s="20">
        <f t="shared" si="15"/>
        <v>42.208124999999995</v>
      </c>
      <c r="P108" s="7"/>
      <c r="Q108" s="13"/>
      <c r="R108" s="14"/>
      <c r="S108" s="14"/>
      <c r="T108" s="27"/>
      <c r="U108" s="28">
        <f t="shared" si="16"/>
        <v>6.6883656509695272E-2</v>
      </c>
      <c r="V108" s="57">
        <f t="shared" si="12"/>
        <v>5.7866666666666712E-2</v>
      </c>
      <c r="W108" s="57">
        <f t="shared" si="13"/>
        <v>5.3438000000000013E-2</v>
      </c>
      <c r="X108" s="56">
        <v>300</v>
      </c>
      <c r="Y108" s="56">
        <v>200</v>
      </c>
    </row>
    <row r="109" spans="2:25" x14ac:dyDescent="0.25">
      <c r="B109" s="6" t="s">
        <v>89</v>
      </c>
      <c r="C109" s="15">
        <v>1473.3</v>
      </c>
      <c r="D109" s="16">
        <v>43.581000000000003</v>
      </c>
      <c r="E109" s="16">
        <v>51.753999999999998</v>
      </c>
      <c r="F109" s="16">
        <v>51.777000000000001</v>
      </c>
      <c r="G109" s="16">
        <v>5.09</v>
      </c>
      <c r="H109" s="16">
        <f t="shared" si="14"/>
        <v>45.627124999999999</v>
      </c>
      <c r="I109" s="5"/>
      <c r="J109" s="15">
        <v>1004.6666</v>
      </c>
      <c r="K109" s="16">
        <v>43.204599999999999</v>
      </c>
      <c r="L109" s="16">
        <v>51.559800000000003</v>
      </c>
      <c r="M109" s="16">
        <v>51.608400000000003</v>
      </c>
      <c r="N109" s="16">
        <v>5.5076000000000001</v>
      </c>
      <c r="O109" s="16">
        <f t="shared" si="15"/>
        <v>45.299475000000001</v>
      </c>
      <c r="P109" s="7"/>
      <c r="Q109" s="8">
        <f>bdrate(C109:C112,D109:D112,J109:J112,K109:K112)</f>
        <v>-0.3523797399381422</v>
      </c>
      <c r="R109" s="8">
        <f>bdrate(C109:C112,E109:E112,J109:J112,L109:L112)</f>
        <v>-0.37918252451012946</v>
      </c>
      <c r="S109" s="8">
        <f>bdrate(C109:C112,F109:F112,J109:J112,M109:M112)</f>
        <v>-0.40161990980159901</v>
      </c>
      <c r="T109" s="25">
        <f>bdrate(C109:C112,H109:H112,J109:J112,O109:O112)</f>
        <v>-0.35948124572355811</v>
      </c>
      <c r="U109" s="28">
        <f t="shared" si="16"/>
        <v>8.2043222003929314E-2</v>
      </c>
      <c r="V109" s="57">
        <f t="shared" si="12"/>
        <v>1.7800000000000031E-2</v>
      </c>
      <c r="W109" s="57">
        <f t="shared" si="13"/>
        <v>4.6666000000000164E-3</v>
      </c>
      <c r="X109" s="56">
        <v>1500</v>
      </c>
      <c r="Y109" s="56">
        <v>1000</v>
      </c>
    </row>
    <row r="110" spans="2:25" x14ac:dyDescent="0.25">
      <c r="B110" s="9"/>
      <c r="C110" s="17">
        <v>979.46</v>
      </c>
      <c r="D110" s="18">
        <v>42.249000000000002</v>
      </c>
      <c r="E110" s="18">
        <v>51.072000000000003</v>
      </c>
      <c r="F110" s="18">
        <v>51.045000000000002</v>
      </c>
      <c r="G110" s="18">
        <v>6.42</v>
      </c>
      <c r="H110" s="18">
        <f t="shared" si="14"/>
        <v>44.451375000000006</v>
      </c>
      <c r="I110" s="5"/>
      <c r="J110" s="17">
        <v>602.41920000000005</v>
      </c>
      <c r="K110" s="18">
        <v>41.802500000000002</v>
      </c>
      <c r="L110" s="18">
        <v>50.727400000000003</v>
      </c>
      <c r="M110" s="18">
        <v>50.8294</v>
      </c>
      <c r="N110" s="18">
        <v>6.3243999999999998</v>
      </c>
      <c r="O110" s="18">
        <f t="shared" si="15"/>
        <v>44.046475000000001</v>
      </c>
      <c r="P110" s="7"/>
      <c r="Q110" s="10"/>
      <c r="R110" s="11"/>
      <c r="S110" s="11"/>
      <c r="T110" s="26"/>
      <c r="U110" s="28">
        <f t="shared" si="16"/>
        <v>-1.4890965732087248E-2</v>
      </c>
      <c r="V110" s="57">
        <f t="shared" si="12"/>
        <v>2.0539999999999965E-2</v>
      </c>
      <c r="W110" s="57">
        <f t="shared" si="13"/>
        <v>4.0320000000000772E-3</v>
      </c>
      <c r="X110" s="56">
        <v>1000</v>
      </c>
      <c r="Y110" s="56">
        <v>600</v>
      </c>
    </row>
    <row r="111" spans="2:25" x14ac:dyDescent="0.25">
      <c r="B111" s="9"/>
      <c r="C111" s="17">
        <v>584.85</v>
      </c>
      <c r="D111" s="18">
        <v>40.408999999999999</v>
      </c>
      <c r="E111" s="18">
        <v>49.779000000000003</v>
      </c>
      <c r="F111" s="18">
        <v>49.784999999999997</v>
      </c>
      <c r="G111" s="18">
        <v>7.17</v>
      </c>
      <c r="H111" s="18">
        <f t="shared" si="14"/>
        <v>42.752250000000004</v>
      </c>
      <c r="I111" s="5"/>
      <c r="J111" s="17">
        <v>299.89819999999997</v>
      </c>
      <c r="K111" s="18">
        <v>39.845300000000002</v>
      </c>
      <c r="L111" s="18">
        <v>49.6051</v>
      </c>
      <c r="M111" s="18">
        <v>49.671100000000003</v>
      </c>
      <c r="N111" s="18">
        <v>7.4896000000000003</v>
      </c>
      <c r="O111" s="18">
        <f t="shared" si="15"/>
        <v>42.293500000000002</v>
      </c>
      <c r="P111" s="7"/>
      <c r="Q111" s="10"/>
      <c r="R111" s="11"/>
      <c r="S111" s="11"/>
      <c r="T111" s="26"/>
      <c r="U111" s="28">
        <f t="shared" si="16"/>
        <v>4.4574616457461691E-2</v>
      </c>
      <c r="V111" s="57">
        <f t="shared" si="12"/>
        <v>2.5249999999999963E-2</v>
      </c>
      <c r="W111" s="57">
        <f t="shared" si="13"/>
        <v>3.3933333333341885E-4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290.16000000000003</v>
      </c>
      <c r="D112" s="20">
        <v>37.585000000000001</v>
      </c>
      <c r="E112" s="20">
        <v>47.628999999999998</v>
      </c>
      <c r="F112" s="20">
        <v>47.667999999999999</v>
      </c>
      <c r="G112" s="20">
        <v>7.86</v>
      </c>
      <c r="H112" s="20">
        <f t="shared" si="14"/>
        <v>40.100875000000002</v>
      </c>
      <c r="I112" s="5"/>
      <c r="J112" s="19">
        <v>195.73599999999999</v>
      </c>
      <c r="K112" s="20">
        <v>38.622900000000001</v>
      </c>
      <c r="L112" s="20">
        <v>48.701099999999997</v>
      </c>
      <c r="M112" s="20">
        <v>48.813600000000001</v>
      </c>
      <c r="N112" s="20">
        <v>8.2893000000000008</v>
      </c>
      <c r="O112" s="20">
        <f t="shared" si="15"/>
        <v>41.156512499999998</v>
      </c>
      <c r="P112" s="7"/>
      <c r="Q112" s="13"/>
      <c r="R112" s="14"/>
      <c r="S112" s="14"/>
      <c r="T112" s="27"/>
      <c r="U112" s="28">
        <f t="shared" si="16"/>
        <v>5.4618320610687082E-2</v>
      </c>
      <c r="V112" s="57">
        <f t="shared" si="12"/>
        <v>3.2799999999999919E-2</v>
      </c>
      <c r="W112" s="57">
        <f t="shared" si="13"/>
        <v>2.1320000000000051E-2</v>
      </c>
      <c r="X112" s="56">
        <v>300</v>
      </c>
      <c r="Y112" s="56">
        <v>200</v>
      </c>
    </row>
    <row r="113" spans="2:25" x14ac:dyDescent="0.25">
      <c r="B113" s="6" t="s">
        <v>90</v>
      </c>
      <c r="C113" s="15">
        <v>1495.36</v>
      </c>
      <c r="D113" s="16">
        <v>41.892000000000003</v>
      </c>
      <c r="E113" s="16">
        <v>49.594999999999999</v>
      </c>
      <c r="F113" s="16">
        <v>50.323</v>
      </c>
      <c r="G113" s="16">
        <v>4.9800000000000004</v>
      </c>
      <c r="H113" s="16">
        <f t="shared" si="14"/>
        <v>43.908749999999998</v>
      </c>
      <c r="I113" s="5"/>
      <c r="J113" s="15">
        <v>1005.5568</v>
      </c>
      <c r="K113" s="16">
        <v>41.826999999999998</v>
      </c>
      <c r="L113" s="16">
        <v>49.681800000000003</v>
      </c>
      <c r="M113" s="16">
        <v>50.437899999999999</v>
      </c>
      <c r="N113" s="16">
        <v>4.5263</v>
      </c>
      <c r="O113" s="16">
        <f t="shared" si="15"/>
        <v>43.885212500000002</v>
      </c>
      <c r="P113" s="7"/>
      <c r="Q113" s="8">
        <f>bdrate(C113:C116,D113:D116,J113:J116,K113:K116)</f>
        <v>-0.4662968644100457</v>
      </c>
      <c r="R113" s="8">
        <f>bdrate(C113:C116,E113:E116,J113:J116,L113:L116)</f>
        <v>-0.44108765389045335</v>
      </c>
      <c r="S113" s="8">
        <f>bdrate(C113:C116,F113:F116,J113:J116,M113:M116)</f>
        <v>-0.4609588771421429</v>
      </c>
      <c r="T113" s="25">
        <f>bdrate(C113:C116,H113:H116,J113:J116,O113:O116)</f>
        <v>-0.46300380319356971</v>
      </c>
      <c r="U113" s="28">
        <f t="shared" si="16"/>
        <v>-9.1104417670682808E-2</v>
      </c>
      <c r="V113" s="57">
        <f t="shared" si="12"/>
        <v>3.0933333333334001E-3</v>
      </c>
      <c r="W113" s="57">
        <f t="shared" si="13"/>
        <v>5.5567999999999529E-3</v>
      </c>
      <c r="X113" s="56">
        <v>1500</v>
      </c>
      <c r="Y113" s="56">
        <v>1000</v>
      </c>
    </row>
    <row r="114" spans="2:25" x14ac:dyDescent="0.25">
      <c r="B114" s="9"/>
      <c r="C114" s="17">
        <v>997.33</v>
      </c>
      <c r="D114" s="18">
        <v>40.823999999999998</v>
      </c>
      <c r="E114" s="18">
        <v>48.942999999999998</v>
      </c>
      <c r="F114" s="18">
        <v>49.695999999999998</v>
      </c>
      <c r="G114" s="18">
        <v>6.26</v>
      </c>
      <c r="H114" s="18">
        <f t="shared" si="14"/>
        <v>42.947874999999996</v>
      </c>
      <c r="I114" s="5"/>
      <c r="J114" s="17">
        <v>601.99599999999998</v>
      </c>
      <c r="K114" s="18">
        <v>40.876199999999997</v>
      </c>
      <c r="L114" s="18">
        <v>48.970799999999997</v>
      </c>
      <c r="M114" s="18">
        <v>49.787199999999999</v>
      </c>
      <c r="N114" s="18">
        <v>5.3109000000000002</v>
      </c>
      <c r="O114" s="18">
        <f t="shared" si="15"/>
        <v>43.001899999999992</v>
      </c>
      <c r="P114" s="7"/>
      <c r="Q114" s="10"/>
      <c r="R114" s="11"/>
      <c r="S114" s="11"/>
      <c r="T114" s="26"/>
      <c r="U114" s="28">
        <f t="shared" si="16"/>
        <v>-0.15161341853035137</v>
      </c>
      <c r="V114" s="57">
        <f t="shared" si="12"/>
        <v>2.6699999999999589E-3</v>
      </c>
      <c r="W114" s="57">
        <f t="shared" si="13"/>
        <v>3.3266666666666349E-3</v>
      </c>
      <c r="X114" s="56">
        <v>1000</v>
      </c>
      <c r="Y114" s="56">
        <v>600</v>
      </c>
    </row>
    <row r="115" spans="2:25" x14ac:dyDescent="0.25">
      <c r="B115" s="9"/>
      <c r="C115" s="17">
        <v>597.32000000000005</v>
      </c>
      <c r="D115" s="18">
        <v>39.476999999999997</v>
      </c>
      <c r="E115" s="18">
        <v>47.927999999999997</v>
      </c>
      <c r="F115" s="18">
        <v>48.713999999999999</v>
      </c>
      <c r="G115" s="18">
        <v>7</v>
      </c>
      <c r="H115" s="18">
        <f t="shared" si="14"/>
        <v>41.687999999999995</v>
      </c>
      <c r="I115" s="5"/>
      <c r="J115" s="17">
        <v>286.56569999999999</v>
      </c>
      <c r="K115" s="18">
        <v>39.493899999999996</v>
      </c>
      <c r="L115" s="18">
        <v>47.691699999999997</v>
      </c>
      <c r="M115" s="18">
        <v>48.543199999999999</v>
      </c>
      <c r="N115" s="18">
        <v>6.7640000000000002</v>
      </c>
      <c r="O115" s="18">
        <f t="shared" si="15"/>
        <v>41.649787499999995</v>
      </c>
      <c r="P115" s="7"/>
      <c r="Q115" s="10"/>
      <c r="R115" s="11"/>
      <c r="S115" s="11"/>
      <c r="T115" s="26"/>
      <c r="U115" s="28">
        <f t="shared" si="16"/>
        <v>-3.3714285714285683E-2</v>
      </c>
      <c r="V115" s="57">
        <f t="shared" si="12"/>
        <v>4.4666666666665833E-3</v>
      </c>
      <c r="W115" s="57">
        <f t="shared" si="13"/>
        <v>4.4781000000000022E-2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298.13</v>
      </c>
      <c r="D116" s="20">
        <v>37.366999999999997</v>
      </c>
      <c r="E116" s="20">
        <v>46.247999999999998</v>
      </c>
      <c r="F116" s="20">
        <v>47.008000000000003</v>
      </c>
      <c r="G116" s="20">
        <v>7.79</v>
      </c>
      <c r="H116" s="20">
        <f t="shared" si="14"/>
        <v>39.682249999999996</v>
      </c>
      <c r="I116" s="5"/>
      <c r="J116" s="19">
        <v>186.5729</v>
      </c>
      <c r="K116" s="20">
        <v>38.5364</v>
      </c>
      <c r="L116" s="20">
        <v>46.784999999999997</v>
      </c>
      <c r="M116" s="20">
        <v>47.6843</v>
      </c>
      <c r="N116" s="20">
        <v>7.7060000000000004</v>
      </c>
      <c r="O116" s="20">
        <f t="shared" si="15"/>
        <v>40.710962500000001</v>
      </c>
      <c r="P116" s="7"/>
      <c r="Q116" s="13"/>
      <c r="R116" s="14"/>
      <c r="S116" s="14"/>
      <c r="T116" s="27"/>
      <c r="U116" s="28">
        <f t="shared" si="16"/>
        <v>-1.0783055198972994E-2</v>
      </c>
      <c r="V116" s="57">
        <f t="shared" si="12"/>
        <v>6.2333333333333485E-3</v>
      </c>
      <c r="W116" s="57">
        <f t="shared" si="13"/>
        <v>6.7135499999999973E-2</v>
      </c>
      <c r="X116" s="56">
        <v>300</v>
      </c>
      <c r="Y116" s="56">
        <v>200</v>
      </c>
    </row>
    <row r="117" spans="2:25" x14ac:dyDescent="0.25">
      <c r="B117" s="6" t="s">
        <v>91</v>
      </c>
      <c r="C117" s="15">
        <v>1515.47</v>
      </c>
      <c r="D117" s="16">
        <v>40.938000000000002</v>
      </c>
      <c r="E117" s="16">
        <v>49.203000000000003</v>
      </c>
      <c r="F117" s="16">
        <v>48.271000000000001</v>
      </c>
      <c r="G117" s="16">
        <v>4.72</v>
      </c>
      <c r="H117" s="16">
        <f t="shared" si="14"/>
        <v>42.887750000000004</v>
      </c>
      <c r="I117" s="5"/>
      <c r="J117" s="15">
        <v>1000.7115</v>
      </c>
      <c r="K117" s="16">
        <v>40.576900000000002</v>
      </c>
      <c r="L117" s="16">
        <v>49.233800000000002</v>
      </c>
      <c r="M117" s="16">
        <v>48.519399999999997</v>
      </c>
      <c r="N117" s="16">
        <v>4.3299000000000003</v>
      </c>
      <c r="O117" s="16">
        <f t="shared" si="15"/>
        <v>42.651825000000002</v>
      </c>
      <c r="P117" s="7"/>
      <c r="Q117" s="8">
        <f>bdrate(C117:C120,D117:D120,J117:J120,K117:K120)</f>
        <v>-0.4130112661765839</v>
      </c>
      <c r="R117" s="8">
        <f>bdrate(C117:C120,E117:E120,J117:J120,L117:L120)</f>
        <v>-0.44933146456926143</v>
      </c>
      <c r="S117" s="8">
        <f>bdrate(C117:C120,F117:F120,J117:J120,M117:M120)</f>
        <v>-0.4939196301540919</v>
      </c>
      <c r="T117" s="25">
        <f>bdrate(C117:C120,H117:H120,J117:J120,O117:O120)</f>
        <v>-0.4238490150547588</v>
      </c>
      <c r="U117" s="28">
        <f t="shared" si="16"/>
        <v>-8.2648305084745646E-2</v>
      </c>
      <c r="V117" s="57">
        <f t="shared" si="12"/>
        <v>1.0313333333333351E-2</v>
      </c>
      <c r="W117" s="57">
        <f t="shared" si="13"/>
        <v>7.1150000000000087E-4</v>
      </c>
      <c r="X117" s="56">
        <v>1500</v>
      </c>
      <c r="Y117" s="56">
        <v>1000</v>
      </c>
    </row>
    <row r="118" spans="2:25" x14ac:dyDescent="0.25">
      <c r="B118" s="9"/>
      <c r="C118" s="17">
        <v>1010.7</v>
      </c>
      <c r="D118" s="18">
        <v>39.491999999999997</v>
      </c>
      <c r="E118" s="18">
        <v>48.27</v>
      </c>
      <c r="F118" s="18">
        <v>47.235999999999997</v>
      </c>
      <c r="G118" s="18">
        <v>5.87</v>
      </c>
      <c r="H118" s="18">
        <f t="shared" si="14"/>
        <v>41.557249999999996</v>
      </c>
      <c r="I118" s="5"/>
      <c r="J118" s="17">
        <v>595.97469999999998</v>
      </c>
      <c r="K118" s="18">
        <v>39.1614</v>
      </c>
      <c r="L118" s="18">
        <v>48.309600000000003</v>
      </c>
      <c r="M118" s="18">
        <v>47.519599999999997</v>
      </c>
      <c r="N118" s="18">
        <v>5.0564</v>
      </c>
      <c r="O118" s="18">
        <f t="shared" si="15"/>
        <v>41.349699999999999</v>
      </c>
      <c r="P118" s="7"/>
      <c r="Q118" s="10"/>
      <c r="R118" s="11"/>
      <c r="S118" s="11"/>
      <c r="T118" s="26"/>
      <c r="U118" s="28">
        <f t="shared" si="16"/>
        <v>-0.13860306643952303</v>
      </c>
      <c r="V118" s="57">
        <f t="shared" si="12"/>
        <v>1.0700000000000046E-2</v>
      </c>
      <c r="W118" s="57">
        <f t="shared" si="13"/>
        <v>6.7088333333333592E-3</v>
      </c>
      <c r="X118" s="56">
        <v>1000</v>
      </c>
      <c r="Y118" s="56">
        <v>600</v>
      </c>
    </row>
    <row r="119" spans="2:25" x14ac:dyDescent="0.25">
      <c r="B119" s="9"/>
      <c r="C119" s="17">
        <v>607.82000000000005</v>
      </c>
      <c r="D119" s="18">
        <v>37.470999999999997</v>
      </c>
      <c r="E119" s="18">
        <v>46.957000000000001</v>
      </c>
      <c r="F119" s="18">
        <v>45.838999999999999</v>
      </c>
      <c r="G119" s="18">
        <v>6.46</v>
      </c>
      <c r="H119" s="18">
        <f t="shared" si="14"/>
        <v>39.702749999999995</v>
      </c>
      <c r="I119" s="5"/>
      <c r="J119" s="17">
        <v>286.12830000000002</v>
      </c>
      <c r="K119" s="18">
        <v>36.918100000000003</v>
      </c>
      <c r="L119" s="18">
        <v>46.641199999999998</v>
      </c>
      <c r="M119" s="18">
        <v>45.717399999999998</v>
      </c>
      <c r="N119" s="18">
        <v>6.3129</v>
      </c>
      <c r="O119" s="18">
        <f t="shared" si="15"/>
        <v>39.233400000000003</v>
      </c>
      <c r="P119" s="7"/>
      <c r="Q119" s="10"/>
      <c r="R119" s="11"/>
      <c r="S119" s="11"/>
      <c r="T119" s="26"/>
      <c r="U119" s="28">
        <f t="shared" si="16"/>
        <v>-2.2770897832817338E-2</v>
      </c>
      <c r="V119" s="57">
        <f t="shared" si="12"/>
        <v>1.3033333333333418E-2</v>
      </c>
      <c r="W119" s="57">
        <f t="shared" si="13"/>
        <v>4.6238999999999919E-2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304.74</v>
      </c>
      <c r="D120" s="20">
        <v>34.252000000000002</v>
      </c>
      <c r="E120" s="20">
        <v>44.738</v>
      </c>
      <c r="F120" s="20">
        <v>43.716999999999999</v>
      </c>
      <c r="G120" s="20">
        <v>7.26</v>
      </c>
      <c r="H120" s="20">
        <f t="shared" si="14"/>
        <v>36.745874999999998</v>
      </c>
      <c r="I120" s="5"/>
      <c r="J120" s="19">
        <v>185.53210000000001</v>
      </c>
      <c r="K120" s="20">
        <v>35.4602</v>
      </c>
      <c r="L120" s="20">
        <v>45.658200000000001</v>
      </c>
      <c r="M120" s="20">
        <v>44.625500000000002</v>
      </c>
      <c r="N120" s="20">
        <v>7.3230000000000004</v>
      </c>
      <c r="O120" s="20">
        <f t="shared" si="15"/>
        <v>37.880612499999998</v>
      </c>
      <c r="P120" s="7"/>
      <c r="Q120" s="13"/>
      <c r="R120" s="14"/>
      <c r="S120" s="14"/>
      <c r="T120" s="27"/>
      <c r="U120" s="28">
        <f t="shared" si="16"/>
        <v>8.677685950413308E-3</v>
      </c>
      <c r="V120" s="57">
        <f t="shared" si="12"/>
        <v>1.5800000000000029E-2</v>
      </c>
      <c r="W120" s="57">
        <f t="shared" si="13"/>
        <v>7.2339499999999932E-2</v>
      </c>
      <c r="X120" s="56">
        <v>300</v>
      </c>
      <c r="Y120" s="56">
        <v>200</v>
      </c>
    </row>
    <row r="121" spans="2:25" x14ac:dyDescent="0.25">
      <c r="B121" s="6" t="s">
        <v>92</v>
      </c>
      <c r="C121" s="29">
        <v>1467.47</v>
      </c>
      <c r="D121" s="30">
        <v>36.75</v>
      </c>
      <c r="E121" s="30">
        <v>45.777000000000001</v>
      </c>
      <c r="F121" s="30">
        <v>44.655000000000001</v>
      </c>
      <c r="G121" s="16">
        <v>4.4000000000000004</v>
      </c>
      <c r="H121" s="16">
        <f t="shared" si="14"/>
        <v>38.866500000000002</v>
      </c>
      <c r="I121" s="5"/>
      <c r="J121" s="29">
        <v>1006.3216</v>
      </c>
      <c r="K121" s="30">
        <v>36.292700000000004</v>
      </c>
      <c r="L121" s="30">
        <v>46.316200000000002</v>
      </c>
      <c r="M121" s="30">
        <v>45.126199999999997</v>
      </c>
      <c r="N121" s="16">
        <v>4.0895999999999999</v>
      </c>
      <c r="O121" s="16">
        <f t="shared" si="15"/>
        <v>38.649825</v>
      </c>
      <c r="P121" s="7"/>
      <c r="Q121" s="8">
        <f>bdrate(C121:C124,D121:D124,J121:J124,K121:K124)</f>
        <v>-0.36953596526746324</v>
      </c>
      <c r="R121" s="8">
        <f>bdrate(C121:C124,E121:E124,J121:J124,L121:L124)</f>
        <v>-0.48251113132152745</v>
      </c>
      <c r="S121" s="8">
        <f>bdrate(C121:C124,F121:F124,J121:J124,M121:M124)</f>
        <v>-0.45107784506711368</v>
      </c>
      <c r="T121" s="25">
        <f>bdrate(C121:C124,H121:H124,J121:J124,O121:O124)</f>
        <v>-0.38657440321163239</v>
      </c>
      <c r="U121" s="28">
        <f t="shared" si="16"/>
        <v>-7.0545454545454647E-2</v>
      </c>
      <c r="V121" s="57">
        <f t="shared" si="12"/>
        <v>2.1686666666666649E-2</v>
      </c>
      <c r="W121" s="57">
        <f t="shared" si="13"/>
        <v>6.3215999999999897E-3</v>
      </c>
      <c r="X121" s="56">
        <v>1500</v>
      </c>
      <c r="Y121" s="56">
        <v>1000</v>
      </c>
    </row>
    <row r="122" spans="2:25" x14ac:dyDescent="0.25">
      <c r="B122" s="9"/>
      <c r="C122" s="31">
        <v>972.34</v>
      </c>
      <c r="D122" s="32">
        <v>35.493000000000002</v>
      </c>
      <c r="E122" s="32">
        <v>44.93</v>
      </c>
      <c r="F122" s="32">
        <v>43.875</v>
      </c>
      <c r="G122" s="18">
        <v>5.4</v>
      </c>
      <c r="H122" s="18">
        <f t="shared" si="14"/>
        <v>37.720375000000004</v>
      </c>
      <c r="I122" s="5"/>
      <c r="J122" s="31">
        <v>602.26189999999997</v>
      </c>
      <c r="K122" s="32">
        <v>35.067</v>
      </c>
      <c r="L122" s="32">
        <v>45.322400000000002</v>
      </c>
      <c r="M122" s="32">
        <v>44.161200000000001</v>
      </c>
      <c r="N122" s="18">
        <v>4.7686999999999999</v>
      </c>
      <c r="O122" s="18">
        <f t="shared" si="15"/>
        <v>37.485700000000001</v>
      </c>
      <c r="P122" s="7"/>
      <c r="Q122" s="10"/>
      <c r="R122" s="11"/>
      <c r="S122" s="11"/>
      <c r="T122" s="26"/>
      <c r="U122" s="28">
        <f t="shared" si="16"/>
        <v>-0.11690740740740747</v>
      </c>
      <c r="V122" s="57">
        <f t="shared" si="12"/>
        <v>2.7659999999999969E-2</v>
      </c>
      <c r="W122" s="57">
        <f t="shared" si="13"/>
        <v>3.7698333333332813E-3</v>
      </c>
      <c r="X122" s="56">
        <v>1000</v>
      </c>
      <c r="Y122" s="56">
        <v>600</v>
      </c>
    </row>
    <row r="123" spans="2:25" x14ac:dyDescent="0.25">
      <c r="B123" s="9"/>
      <c r="C123" s="31">
        <v>575.71</v>
      </c>
      <c r="D123" s="32">
        <v>33.652999999999999</v>
      </c>
      <c r="E123" s="32">
        <v>43.85</v>
      </c>
      <c r="F123" s="32">
        <v>42.84</v>
      </c>
      <c r="G123" s="18">
        <v>6</v>
      </c>
      <c r="H123" s="18">
        <f t="shared" si="14"/>
        <v>36.076000000000001</v>
      </c>
      <c r="I123" s="5"/>
      <c r="J123" s="31">
        <v>288.04579999999999</v>
      </c>
      <c r="K123" s="32">
        <v>33.123199999999997</v>
      </c>
      <c r="L123" s="32">
        <v>43.758099999999999</v>
      </c>
      <c r="M123" s="32">
        <v>42.598300000000002</v>
      </c>
      <c r="N123" s="18">
        <v>6.0610999999999997</v>
      </c>
      <c r="O123" s="18">
        <f t="shared" si="15"/>
        <v>35.636949999999999</v>
      </c>
      <c r="P123" s="7"/>
      <c r="Q123" s="10"/>
      <c r="R123" s="11"/>
      <c r="S123" s="11"/>
      <c r="T123" s="26"/>
      <c r="U123" s="28">
        <f t="shared" si="16"/>
        <v>1.0183333333333286E-2</v>
      </c>
      <c r="V123" s="57">
        <f t="shared" si="12"/>
        <v>4.0483333333333274E-2</v>
      </c>
      <c r="W123" s="57">
        <f t="shared" si="13"/>
        <v>3.984733333333338E-2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282.8</v>
      </c>
      <c r="D124" s="34">
        <v>30.379000000000001</v>
      </c>
      <c r="E124" s="34">
        <v>42.133000000000003</v>
      </c>
      <c r="F124" s="34">
        <v>41.192</v>
      </c>
      <c r="G124" s="20">
        <v>6.87</v>
      </c>
      <c r="H124" s="20">
        <f t="shared" si="14"/>
        <v>33.199874999999999</v>
      </c>
      <c r="I124" s="5"/>
      <c r="J124" s="33">
        <v>185.9735</v>
      </c>
      <c r="K124" s="34">
        <v>31.725200000000001</v>
      </c>
      <c r="L124" s="34">
        <v>42.721600000000002</v>
      </c>
      <c r="M124" s="34">
        <v>41.610300000000002</v>
      </c>
      <c r="N124" s="20">
        <v>7.0780000000000003</v>
      </c>
      <c r="O124" s="20">
        <f t="shared" si="15"/>
        <v>34.335387500000003</v>
      </c>
      <c r="P124" s="7"/>
      <c r="Q124" s="13"/>
      <c r="R124" s="14"/>
      <c r="S124" s="14"/>
      <c r="T124" s="27"/>
      <c r="U124" s="28">
        <f t="shared" si="16"/>
        <v>3.0276564774381395E-2</v>
      </c>
      <c r="V124" s="57">
        <f t="shared" si="12"/>
        <v>5.7333333333333299E-2</v>
      </c>
      <c r="W124" s="57">
        <f t="shared" si="13"/>
        <v>7.0132499999999987E-2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7">AVERAGE(Q9:Q124)</f>
        <v>-0.41856353270518137</v>
      </c>
      <c r="R125" s="21">
        <f t="shared" si="17"/>
        <v>-0.49183311695233534</v>
      </c>
      <c r="S125" s="21">
        <f t="shared" si="17"/>
        <v>-0.50103490702255915</v>
      </c>
      <c r="T125" s="21">
        <f t="shared" si="17"/>
        <v>-0.43380512003163452</v>
      </c>
      <c r="U125" s="21">
        <f t="shared" si="17"/>
        <v>-2.1748680250012264E-2</v>
      </c>
      <c r="V125" s="57">
        <f t="shared" si="17"/>
        <v>4.2449756347820181E-2</v>
      </c>
      <c r="W125" s="57">
        <f t="shared" si="17"/>
        <v>2.1387645114942521E-2</v>
      </c>
      <c r="X125" s="57"/>
      <c r="Y125" s="56"/>
    </row>
    <row r="127" spans="2:25" s="35" customFormat="1" ht="15.75" customHeight="1" x14ac:dyDescent="0.25">
      <c r="B127" s="74" t="s">
        <v>29</v>
      </c>
      <c r="C127" s="68" t="s">
        <v>117</v>
      </c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70"/>
    </row>
    <row r="128" spans="2:25" s="35" customFormat="1" x14ac:dyDescent="0.25">
      <c r="B128" s="75"/>
      <c r="C128" s="71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3"/>
    </row>
    <row r="129" spans="1:25" ht="16.5" customHeight="1" thickBot="1" x14ac:dyDescent="0.3">
      <c r="C129" s="76" t="s">
        <v>127</v>
      </c>
      <c r="D129" s="77"/>
      <c r="E129" s="77"/>
      <c r="F129" s="77"/>
      <c r="G129" s="77"/>
      <c r="H129" s="77"/>
      <c r="I129" s="5"/>
      <c r="J129" s="76" t="s">
        <v>108</v>
      </c>
      <c r="K129" s="77"/>
      <c r="L129" s="77"/>
      <c r="M129" s="77"/>
      <c r="N129" s="77"/>
      <c r="O129" s="77"/>
      <c r="Q129" s="76" t="s">
        <v>7</v>
      </c>
      <c r="R129" s="77"/>
      <c r="S129" s="78"/>
      <c r="T129" s="36"/>
      <c r="U129" s="79" t="s">
        <v>45</v>
      </c>
      <c r="V129" s="67" t="s">
        <v>96</v>
      </c>
      <c r="W129" s="67"/>
      <c r="X129" s="67"/>
      <c r="Y129" s="67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9"/>
      <c r="V130" s="55" t="s">
        <v>101</v>
      </c>
      <c r="W130" s="55" t="s">
        <v>97</v>
      </c>
      <c r="X130" s="56" t="s">
        <v>102</v>
      </c>
      <c r="Y130" s="56" t="s">
        <v>98</v>
      </c>
    </row>
    <row r="131" spans="1:25" x14ac:dyDescent="0.25">
      <c r="A131" s="6" t="s">
        <v>35</v>
      </c>
      <c r="B131" s="6" t="s">
        <v>46</v>
      </c>
      <c r="C131" s="15">
        <v>5773.15</v>
      </c>
      <c r="D131" s="16">
        <v>37.281999999999996</v>
      </c>
      <c r="E131" s="16">
        <v>38.847000000000001</v>
      </c>
      <c r="F131" s="16">
        <v>41.179000000000002</v>
      </c>
      <c r="G131" s="16">
        <v>4.24</v>
      </c>
      <c r="H131" s="16">
        <f t="shared" ref="H131:H202" si="18">(6*D131+E131+F131)/8</f>
        <v>37.964749999999995</v>
      </c>
      <c r="I131" s="5"/>
      <c r="J131" s="15">
        <v>4024.5808000000002</v>
      </c>
      <c r="K131" s="16">
        <v>37.880200000000002</v>
      </c>
      <c r="L131" s="16">
        <v>39.488799999999998</v>
      </c>
      <c r="M131" s="16">
        <v>41.9636</v>
      </c>
      <c r="N131" s="16">
        <v>4.4273999999999996</v>
      </c>
      <c r="O131" s="16">
        <f t="shared" ref="O131:O202" si="19">(6*K131+L131+M131)/8</f>
        <v>38.591699999999996</v>
      </c>
      <c r="P131" s="7"/>
      <c r="Q131" s="8">
        <f>bdrate(C131:C134,D131:D134,J131:J134,K131:K134)</f>
        <v>-0.44450676528194666</v>
      </c>
      <c r="R131" s="8">
        <f>bdrate(C131:C134,E131:E134,J131:J134,L131:L134)</f>
        <v>-0.49253638711948444</v>
      </c>
      <c r="S131" s="8">
        <f>bdrate(C131:C134,F131:F134,J131:J134,M131:M134)</f>
        <v>-0.49014592798582757</v>
      </c>
      <c r="T131" s="25">
        <f>bdrate(C131:C134,H131:H134,J131:J134,O131:O134)</f>
        <v>-0.45113217753963542</v>
      </c>
      <c r="U131" s="28">
        <f t="shared" ref="U131:U162" si="20">(N131-G131)/G131</f>
        <v>4.4198113207547012E-2</v>
      </c>
      <c r="V131" s="57">
        <f>ABS(C131-X131)/X131</f>
        <v>3.7808333333333395E-2</v>
      </c>
      <c r="W131" s="57">
        <f t="shared" ref="W131:W194" si="21">ABS(J131-Y131)/Y131</f>
        <v>6.1452000000000451E-3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4275.09</v>
      </c>
      <c r="D132" s="18">
        <v>36.186999999999998</v>
      </c>
      <c r="E132" s="18">
        <v>38.359000000000002</v>
      </c>
      <c r="F132" s="18">
        <v>40.677999999999997</v>
      </c>
      <c r="G132" s="18">
        <v>4.3</v>
      </c>
      <c r="H132" s="18">
        <f t="shared" si="18"/>
        <v>37.019874999999999</v>
      </c>
      <c r="I132" s="5"/>
      <c r="J132" s="17">
        <v>2940.6704</v>
      </c>
      <c r="K132" s="18">
        <v>36.868899999999996</v>
      </c>
      <c r="L132" s="18">
        <v>38.915799999999997</v>
      </c>
      <c r="M132" s="18">
        <v>41.2684</v>
      </c>
      <c r="N132" s="18">
        <v>4.8628999999999998</v>
      </c>
      <c r="O132" s="18">
        <f t="shared" si="19"/>
        <v>37.674699999999994</v>
      </c>
      <c r="P132" s="7"/>
      <c r="Q132" s="10"/>
      <c r="R132" s="11"/>
      <c r="S132" s="11"/>
      <c r="T132" s="26"/>
      <c r="U132" s="28">
        <f t="shared" si="20"/>
        <v>0.13090697674418605</v>
      </c>
      <c r="V132" s="57">
        <f t="shared" ref="V132:V195" si="22">ABS(C132-X132)/X132</f>
        <v>4.9979999999999969E-2</v>
      </c>
      <c r="W132" s="57">
        <f t="shared" si="21"/>
        <v>1.9776533333333342E-2</v>
      </c>
      <c r="X132" s="56">
        <v>4500</v>
      </c>
      <c r="Y132" s="56">
        <v>3000</v>
      </c>
    </row>
    <row r="133" spans="1:25" x14ac:dyDescent="0.25">
      <c r="B133" s="9"/>
      <c r="C133" s="17">
        <v>2816</v>
      </c>
      <c r="D133" s="18">
        <v>34.503</v>
      </c>
      <c r="E133" s="18">
        <v>37.722999999999999</v>
      </c>
      <c r="F133" s="18">
        <v>39.982999999999997</v>
      </c>
      <c r="G133" s="18">
        <v>4.34</v>
      </c>
      <c r="H133" s="18">
        <f t="shared" si="18"/>
        <v>35.590499999999999</v>
      </c>
      <c r="I133" s="5"/>
      <c r="J133" s="17">
        <v>1925.5888</v>
      </c>
      <c r="K133" s="18">
        <v>35.298000000000002</v>
      </c>
      <c r="L133" s="18">
        <v>38.235500000000002</v>
      </c>
      <c r="M133" s="18">
        <v>40.529400000000003</v>
      </c>
      <c r="N133" s="18">
        <v>5.4904999999999999</v>
      </c>
      <c r="O133" s="18">
        <f t="shared" si="19"/>
        <v>36.319112500000003</v>
      </c>
      <c r="P133" s="7"/>
      <c r="Q133" s="10"/>
      <c r="R133" s="11"/>
      <c r="S133" s="11"/>
      <c r="T133" s="26"/>
      <c r="U133" s="28">
        <f t="shared" si="20"/>
        <v>0.26509216589861756</v>
      </c>
      <c r="V133" s="57">
        <f t="shared" si="22"/>
        <v>6.133333333333333E-2</v>
      </c>
      <c r="W133" s="57">
        <f t="shared" si="21"/>
        <v>3.7205600000000005E-2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1363.76</v>
      </c>
      <c r="D134" s="20">
        <v>31.146000000000001</v>
      </c>
      <c r="E134" s="20">
        <v>36.630000000000003</v>
      </c>
      <c r="F134" s="20">
        <v>38.83</v>
      </c>
      <c r="G134" s="20">
        <v>4.38</v>
      </c>
      <c r="H134" s="20">
        <f t="shared" si="18"/>
        <v>32.792000000000002</v>
      </c>
      <c r="I134" s="5"/>
      <c r="J134" s="19">
        <v>911.72799999999995</v>
      </c>
      <c r="K134" s="20">
        <v>32.337800000000001</v>
      </c>
      <c r="L134" s="20">
        <v>36.8992</v>
      </c>
      <c r="M134" s="20">
        <v>39.101399999999998</v>
      </c>
      <c r="N134" s="20">
        <v>6.6829999999999998</v>
      </c>
      <c r="O134" s="20">
        <f t="shared" si="19"/>
        <v>33.753425</v>
      </c>
      <c r="P134" s="7"/>
      <c r="Q134" s="13"/>
      <c r="R134" s="14"/>
      <c r="S134" s="14"/>
      <c r="T134" s="27"/>
      <c r="U134" s="28">
        <f t="shared" si="20"/>
        <v>0.52579908675799092</v>
      </c>
      <c r="V134" s="57">
        <f t="shared" si="22"/>
        <v>9.0826666666666667E-2</v>
      </c>
      <c r="W134" s="57">
        <f t="shared" si="21"/>
        <v>8.8272000000000045E-2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6324.07</v>
      </c>
      <c r="D135" s="16">
        <v>29.297999999999998</v>
      </c>
      <c r="E135" s="16">
        <v>39.354999999999997</v>
      </c>
      <c r="F135" s="16">
        <v>40.177</v>
      </c>
      <c r="G135" s="16">
        <v>3.8</v>
      </c>
      <c r="H135" s="16">
        <f t="shared" si="18"/>
        <v>31.914999999999996</v>
      </c>
      <c r="I135" s="5"/>
      <c r="J135" s="15">
        <v>4060.3168000000001</v>
      </c>
      <c r="K135" s="16">
        <v>29.4283</v>
      </c>
      <c r="L135" s="16">
        <v>39.328099999999999</v>
      </c>
      <c r="M135" s="16">
        <v>40.266800000000003</v>
      </c>
      <c r="N135" s="16">
        <v>3.3574000000000002</v>
      </c>
      <c r="O135" s="16">
        <f t="shared" si="19"/>
        <v>32.020587499999998</v>
      </c>
      <c r="P135" s="7"/>
      <c r="Q135" s="8">
        <f>bdrate(C135:C138,D135:D138,J135:J138,K135:K138)</f>
        <v>-0.43685841600929565</v>
      </c>
      <c r="R135" s="8">
        <f>bdrate(C135:C138,E135:E138,J135:J138,L135:L138)</f>
        <v>-0.344103086420392</v>
      </c>
      <c r="S135" s="8">
        <f>bdrate(C135:C138,F135:F138,J135:J138,M135:M138)</f>
        <v>-0.40753981539043826</v>
      </c>
      <c r="T135" s="25">
        <f>bdrate(C135:C138,H135:H138,J135:J138,O135:O138)</f>
        <v>-0.43119892168564733</v>
      </c>
      <c r="U135" s="28">
        <f t="shared" si="20"/>
        <v>-0.11647368421052623</v>
      </c>
      <c r="V135" s="57">
        <f t="shared" si="22"/>
        <v>5.4011666666666618E-2</v>
      </c>
      <c r="W135" s="57">
        <f t="shared" si="21"/>
        <v>1.5079200000000015E-2</v>
      </c>
      <c r="X135" s="56">
        <v>6000</v>
      </c>
      <c r="Y135" s="56">
        <v>4000</v>
      </c>
    </row>
    <row r="136" spans="1:25" x14ac:dyDescent="0.25">
      <c r="B136" s="9"/>
      <c r="C136" s="17">
        <v>4768.05</v>
      </c>
      <c r="D136" s="18">
        <v>27.803000000000001</v>
      </c>
      <c r="E136" s="18">
        <v>38.860999999999997</v>
      </c>
      <c r="F136" s="18">
        <v>39.697000000000003</v>
      </c>
      <c r="G136" s="18">
        <v>3.84</v>
      </c>
      <c r="H136" s="18">
        <f t="shared" si="18"/>
        <v>30.672000000000001</v>
      </c>
      <c r="I136" s="5"/>
      <c r="J136" s="17">
        <v>3023.0448000000001</v>
      </c>
      <c r="K136" s="18">
        <v>28.1069</v>
      </c>
      <c r="L136" s="18">
        <v>38.839799999999997</v>
      </c>
      <c r="M136" s="18">
        <v>39.847799999999999</v>
      </c>
      <c r="N136" s="18">
        <v>3.7722000000000002</v>
      </c>
      <c r="O136" s="18">
        <f t="shared" si="19"/>
        <v>30.916125000000001</v>
      </c>
      <c r="P136" s="7"/>
      <c r="Q136" s="10"/>
      <c r="R136" s="11"/>
      <c r="S136" s="11"/>
      <c r="T136" s="26"/>
      <c r="U136" s="28">
        <f t="shared" si="20"/>
        <v>-1.7656249999999908E-2</v>
      </c>
      <c r="V136" s="57">
        <f t="shared" si="22"/>
        <v>5.9566666666666705E-2</v>
      </c>
      <c r="W136" s="57">
        <f t="shared" si="21"/>
        <v>7.681600000000041E-3</v>
      </c>
      <c r="X136" s="56">
        <v>4500</v>
      </c>
      <c r="Y136" s="56">
        <v>3000</v>
      </c>
    </row>
    <row r="137" spans="1:25" x14ac:dyDescent="0.25">
      <c r="B137" s="9"/>
      <c r="C137" s="17">
        <v>3132.38</v>
      </c>
      <c r="D137" s="18">
        <v>25.602</v>
      </c>
      <c r="E137" s="18">
        <v>38.133000000000003</v>
      </c>
      <c r="F137" s="18">
        <v>39.033000000000001</v>
      </c>
      <c r="G137" s="18">
        <v>3.87</v>
      </c>
      <c r="H137" s="18">
        <f t="shared" si="18"/>
        <v>28.847250000000003</v>
      </c>
      <c r="I137" s="5"/>
      <c r="J137" s="17">
        <v>2016.5360000000001</v>
      </c>
      <c r="K137" s="18">
        <v>26.324000000000002</v>
      </c>
      <c r="L137" s="18">
        <v>38.115600000000001</v>
      </c>
      <c r="M137" s="18">
        <v>39.2273</v>
      </c>
      <c r="N137" s="18">
        <v>4.3350999999999997</v>
      </c>
      <c r="O137" s="18">
        <f t="shared" si="19"/>
        <v>29.4108625</v>
      </c>
      <c r="P137" s="7"/>
      <c r="Q137" s="10"/>
      <c r="R137" s="11"/>
      <c r="S137" s="11"/>
      <c r="T137" s="26"/>
      <c r="U137" s="28">
        <f t="shared" si="20"/>
        <v>0.12018087855297148</v>
      </c>
      <c r="V137" s="57">
        <f t="shared" si="22"/>
        <v>4.4126666666666703E-2</v>
      </c>
      <c r="W137" s="57">
        <f t="shared" si="21"/>
        <v>8.2680000000000288E-3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1719.42</v>
      </c>
      <c r="D138" s="20">
        <v>22.78</v>
      </c>
      <c r="E138" s="20">
        <v>36.676000000000002</v>
      </c>
      <c r="F138" s="20">
        <v>37.771999999999998</v>
      </c>
      <c r="G138" s="20">
        <v>3.93</v>
      </c>
      <c r="H138" s="20">
        <f t="shared" si="18"/>
        <v>26.390999999999998</v>
      </c>
      <c r="I138" s="5"/>
      <c r="J138" s="19">
        <v>1142.5984000000001</v>
      </c>
      <c r="K138" s="20">
        <v>24.174099999999999</v>
      </c>
      <c r="L138" s="20">
        <v>36.565300000000001</v>
      </c>
      <c r="M138" s="20">
        <v>37.845300000000002</v>
      </c>
      <c r="N138" s="20">
        <v>5.0369000000000002</v>
      </c>
      <c r="O138" s="20">
        <f t="shared" si="19"/>
        <v>27.431900000000002</v>
      </c>
      <c r="P138" s="7"/>
      <c r="Q138" s="13"/>
      <c r="R138" s="14"/>
      <c r="S138" s="14"/>
      <c r="T138" s="27"/>
      <c r="U138" s="28">
        <f t="shared" si="20"/>
        <v>0.28165394402035621</v>
      </c>
      <c r="V138" s="57">
        <f t="shared" si="22"/>
        <v>0.14628000000000005</v>
      </c>
      <c r="W138" s="57">
        <f t="shared" si="21"/>
        <v>0.14259840000000007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3041.17</v>
      </c>
      <c r="D139" s="16">
        <v>38.189</v>
      </c>
      <c r="E139" s="16">
        <v>41.548999999999999</v>
      </c>
      <c r="F139" s="16">
        <v>42.570999999999998</v>
      </c>
      <c r="G139" s="16">
        <v>7.17</v>
      </c>
      <c r="H139" s="16">
        <f t="shared" si="18"/>
        <v>39.156750000000002</v>
      </c>
      <c r="I139" s="5"/>
      <c r="J139" s="15">
        <v>2361.136</v>
      </c>
      <c r="K139" s="16">
        <v>39.046700000000001</v>
      </c>
      <c r="L139" s="16">
        <v>41.909599999999998</v>
      </c>
      <c r="M139" s="16">
        <v>43.229500000000002</v>
      </c>
      <c r="N139" s="16">
        <v>8.0604999999999993</v>
      </c>
      <c r="O139" s="16">
        <f t="shared" si="19"/>
        <v>39.927412500000003</v>
      </c>
      <c r="P139" s="7"/>
      <c r="Q139" s="8">
        <f>bdrate(C139:C142,D139:D142,J139:J142,K139:K142)</f>
        <v>-0.45928779794827346</v>
      </c>
      <c r="R139" s="8">
        <f>bdrate(C139:C142,E139:E142,J139:J142,L139:L142)</f>
        <v>-0.37631068172493054</v>
      </c>
      <c r="S139" s="8">
        <f>bdrate(C139:C142,F139:F142,J139:J142,M139:M142)</f>
        <v>-0.4602098981206183</v>
      </c>
      <c r="T139" s="25">
        <f>bdrate(C139:C142,H139:H142,J139:J142,O139:O142)</f>
        <v>-0.45429322187941534</v>
      </c>
      <c r="U139" s="28">
        <f t="shared" si="20"/>
        <v>0.12419804741980466</v>
      </c>
      <c r="V139" s="57">
        <f t="shared" si="22"/>
        <v>0.15523055555555554</v>
      </c>
      <c r="W139" s="57">
        <f t="shared" si="21"/>
        <v>1.6193333333333348E-2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2001.46</v>
      </c>
      <c r="D140" s="18">
        <v>36.688000000000002</v>
      </c>
      <c r="E140" s="18">
        <v>40.853999999999999</v>
      </c>
      <c r="F140" s="18">
        <v>41.795000000000002</v>
      </c>
      <c r="G140" s="18">
        <v>7.23</v>
      </c>
      <c r="H140" s="18">
        <f t="shared" si="18"/>
        <v>37.847125000000005</v>
      </c>
      <c r="I140" s="5"/>
      <c r="J140" s="17">
        <v>1572.0640000000001</v>
      </c>
      <c r="K140" s="18">
        <v>37.808900000000001</v>
      </c>
      <c r="L140" s="18">
        <v>41.2395</v>
      </c>
      <c r="M140" s="18">
        <v>42.478499999999997</v>
      </c>
      <c r="N140" s="18">
        <v>8.9169999999999998</v>
      </c>
      <c r="O140" s="18">
        <f t="shared" si="19"/>
        <v>38.821425000000005</v>
      </c>
      <c r="P140" s="7"/>
      <c r="Q140" s="10"/>
      <c r="R140" s="11"/>
      <c r="S140" s="11"/>
      <c r="T140" s="26"/>
      <c r="U140" s="28">
        <f t="shared" si="20"/>
        <v>0.23333333333333323</v>
      </c>
      <c r="V140" s="57">
        <f t="shared" si="22"/>
        <v>0.16605833333333331</v>
      </c>
      <c r="W140" s="57">
        <f t="shared" si="21"/>
        <v>1.7459999999999951E-2</v>
      </c>
      <c r="X140" s="56">
        <v>2400</v>
      </c>
      <c r="Y140" s="56">
        <v>1600</v>
      </c>
    </row>
    <row r="141" spans="1:25" x14ac:dyDescent="0.25">
      <c r="B141" s="9"/>
      <c r="C141" s="17">
        <v>1241.1400000000001</v>
      </c>
      <c r="D141" s="18">
        <v>34.774000000000001</v>
      </c>
      <c r="E141" s="18">
        <v>40.091999999999999</v>
      </c>
      <c r="F141" s="18">
        <v>41.048999999999999</v>
      </c>
      <c r="G141" s="18">
        <v>7.25</v>
      </c>
      <c r="H141" s="18">
        <f t="shared" si="18"/>
        <v>36.223124999999996</v>
      </c>
      <c r="I141" s="5"/>
      <c r="J141" s="17">
        <v>958.80960000000005</v>
      </c>
      <c r="K141" s="18">
        <v>36.217799999999997</v>
      </c>
      <c r="L141" s="18">
        <v>40.396999999999998</v>
      </c>
      <c r="M141" s="18">
        <v>41.567100000000003</v>
      </c>
      <c r="N141" s="18">
        <v>9.8440999999999992</v>
      </c>
      <c r="O141" s="18">
        <f t="shared" si="19"/>
        <v>37.408862499999998</v>
      </c>
      <c r="P141" s="7"/>
      <c r="Q141" s="10"/>
      <c r="R141" s="11"/>
      <c r="S141" s="11"/>
      <c r="T141" s="26"/>
      <c r="U141" s="28">
        <f t="shared" si="20"/>
        <v>0.35780689655172404</v>
      </c>
      <c r="V141" s="57">
        <f t="shared" si="22"/>
        <v>0.17257333333333327</v>
      </c>
      <c r="W141" s="57">
        <f t="shared" si="21"/>
        <v>4.1190399999999953E-2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739.41</v>
      </c>
      <c r="D142" s="20">
        <v>32.533999999999999</v>
      </c>
      <c r="E142" s="20">
        <v>39.262</v>
      </c>
      <c r="F142" s="20">
        <v>40.293999999999997</v>
      </c>
      <c r="G142" s="20">
        <v>7.29</v>
      </c>
      <c r="H142" s="20">
        <f t="shared" si="18"/>
        <v>34.344999999999999</v>
      </c>
      <c r="I142" s="5"/>
      <c r="J142" s="19">
        <v>558.62480000000005</v>
      </c>
      <c r="K142" s="20">
        <v>34.388599999999997</v>
      </c>
      <c r="L142" s="20">
        <v>39.676099999999998</v>
      </c>
      <c r="M142" s="20">
        <v>40.883299999999998</v>
      </c>
      <c r="N142" s="20">
        <v>11.3064</v>
      </c>
      <c r="O142" s="20">
        <f t="shared" si="19"/>
        <v>35.861374999999995</v>
      </c>
      <c r="P142" s="7"/>
      <c r="Q142" s="13"/>
      <c r="R142" s="14"/>
      <c r="S142" s="14"/>
      <c r="T142" s="27"/>
      <c r="U142" s="28">
        <f t="shared" si="20"/>
        <v>0.5509465020576132</v>
      </c>
      <c r="V142" s="57">
        <f t="shared" si="22"/>
        <v>0.17843333333333336</v>
      </c>
      <c r="W142" s="57">
        <f t="shared" si="21"/>
        <v>6.8958666666666585E-2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3432.34</v>
      </c>
      <c r="D143" s="16">
        <v>35.777000000000001</v>
      </c>
      <c r="E143" s="16">
        <v>38.975000000000001</v>
      </c>
      <c r="F143" s="16">
        <v>40.17</v>
      </c>
      <c r="G143" s="16">
        <v>7.71</v>
      </c>
      <c r="H143" s="16">
        <f t="shared" si="18"/>
        <v>36.725875000000002</v>
      </c>
      <c r="I143" s="5"/>
      <c r="J143" s="15">
        <v>2477.9472000000001</v>
      </c>
      <c r="K143" s="16">
        <v>35.9985</v>
      </c>
      <c r="L143" s="16">
        <v>39.931199999999997</v>
      </c>
      <c r="M143" s="16">
        <v>41.1449</v>
      </c>
      <c r="N143" s="16">
        <v>7.9420000000000002</v>
      </c>
      <c r="O143" s="16">
        <f t="shared" si="19"/>
        <v>37.133387499999998</v>
      </c>
      <c r="P143" s="7"/>
      <c r="Q143" s="8">
        <f>bdrate(C143:C146,D143:D146,J143:J146,K143:K146)</f>
        <v>-0.39979794743577457</v>
      </c>
      <c r="R143" s="8">
        <f>bdrate(C143:C146,E143:E146,J143:J146,L143:L146)</f>
        <v>-0.53324118539048349</v>
      </c>
      <c r="S143" s="8">
        <f>bdrate(C143:C146,F143:F146,J143:J146,M143:M146)</f>
        <v>-0.53214352187810576</v>
      </c>
      <c r="T143" s="25">
        <f>bdrate(C143:C146,H143:H146,J143:J146,O143:O146)</f>
        <v>-0.42207609317342365</v>
      </c>
      <c r="U143" s="28">
        <f t="shared" si="20"/>
        <v>3.0090791180285372E-2</v>
      </c>
      <c r="V143" s="57">
        <f t="shared" si="22"/>
        <v>4.6572222222222182E-2</v>
      </c>
      <c r="W143" s="57">
        <f t="shared" si="21"/>
        <v>3.2478000000000028E-2</v>
      </c>
      <c r="X143" s="56">
        <v>3600</v>
      </c>
      <c r="Y143" s="56">
        <v>2400</v>
      </c>
    </row>
    <row r="144" spans="1:25" x14ac:dyDescent="0.25">
      <c r="B144" s="9"/>
      <c r="C144" s="17">
        <v>2269.6</v>
      </c>
      <c r="D144" s="18">
        <v>34.231000000000002</v>
      </c>
      <c r="E144" s="18">
        <v>38.279000000000003</v>
      </c>
      <c r="F144" s="18">
        <v>39.604999999999997</v>
      </c>
      <c r="G144" s="18">
        <v>7.81</v>
      </c>
      <c r="H144" s="18">
        <f t="shared" si="18"/>
        <v>35.408750000000005</v>
      </c>
      <c r="I144" s="5"/>
      <c r="J144" s="17">
        <v>1676.3096</v>
      </c>
      <c r="K144" s="18">
        <v>34.706499999999998</v>
      </c>
      <c r="L144" s="18">
        <v>39.158900000000003</v>
      </c>
      <c r="M144" s="18">
        <v>40.3964</v>
      </c>
      <c r="N144" s="18">
        <v>9.1602999999999994</v>
      </c>
      <c r="O144" s="18">
        <f t="shared" si="19"/>
        <v>35.974287500000003</v>
      </c>
      <c r="P144" s="7"/>
      <c r="Q144" s="10"/>
      <c r="R144" s="11"/>
      <c r="S144" s="11"/>
      <c r="T144" s="26"/>
      <c r="U144" s="28">
        <f t="shared" si="20"/>
        <v>0.17289372599231753</v>
      </c>
      <c r="V144" s="57">
        <f t="shared" si="22"/>
        <v>5.4333333333333372E-2</v>
      </c>
      <c r="W144" s="57">
        <f t="shared" si="21"/>
        <v>4.7693500000000028E-2</v>
      </c>
      <c r="X144" s="56">
        <v>2400</v>
      </c>
      <c r="Y144" s="56">
        <v>1600</v>
      </c>
    </row>
    <row r="145" spans="1:25" x14ac:dyDescent="0.25">
      <c r="B145" s="9"/>
      <c r="C145" s="17">
        <v>1413.41</v>
      </c>
      <c r="D145" s="18">
        <v>32.384</v>
      </c>
      <c r="E145" s="18">
        <v>37.527999999999999</v>
      </c>
      <c r="F145" s="18">
        <v>38.99</v>
      </c>
      <c r="G145" s="18">
        <v>7.82</v>
      </c>
      <c r="H145" s="18">
        <f t="shared" si="18"/>
        <v>33.85275</v>
      </c>
      <c r="I145" s="5"/>
      <c r="J145" s="17">
        <v>1014.7304</v>
      </c>
      <c r="K145" s="18">
        <v>33.203099999999999</v>
      </c>
      <c r="L145" s="18">
        <v>38.2149</v>
      </c>
      <c r="M145" s="18">
        <v>39.537799999999997</v>
      </c>
      <c r="N145" s="18">
        <v>10.3368</v>
      </c>
      <c r="O145" s="18">
        <f t="shared" si="19"/>
        <v>34.621412499999998</v>
      </c>
      <c r="P145" s="7"/>
      <c r="Q145" s="10"/>
      <c r="R145" s="11"/>
      <c r="S145" s="11"/>
      <c r="T145" s="26"/>
      <c r="U145" s="28">
        <f t="shared" si="20"/>
        <v>0.32184143222506389</v>
      </c>
      <c r="V145" s="57">
        <f t="shared" si="22"/>
        <v>5.7726666666666614E-2</v>
      </c>
      <c r="W145" s="57">
        <f t="shared" si="21"/>
        <v>1.4730400000000031E-2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840.82</v>
      </c>
      <c r="D146" s="20">
        <v>30.443000000000001</v>
      </c>
      <c r="E146" s="20">
        <v>36.847999999999999</v>
      </c>
      <c r="F146" s="20">
        <v>38.368000000000002</v>
      </c>
      <c r="G146" s="20">
        <v>7.87</v>
      </c>
      <c r="H146" s="20">
        <f t="shared" si="18"/>
        <v>32.234250000000003</v>
      </c>
      <c r="I146" s="5"/>
      <c r="J146" s="19">
        <v>583.47040000000004</v>
      </c>
      <c r="K146" s="20">
        <v>31.5396</v>
      </c>
      <c r="L146" s="20">
        <v>37.270600000000002</v>
      </c>
      <c r="M146" s="20">
        <v>38.779800000000002</v>
      </c>
      <c r="N146" s="20">
        <v>11.8093</v>
      </c>
      <c r="O146" s="20">
        <f t="shared" si="19"/>
        <v>33.161000000000001</v>
      </c>
      <c r="P146" s="7"/>
      <c r="Q146" s="13"/>
      <c r="R146" s="14"/>
      <c r="S146" s="14"/>
      <c r="T146" s="27"/>
      <c r="U146" s="28">
        <f t="shared" si="20"/>
        <v>0.50054637865311313</v>
      </c>
      <c r="V146" s="57">
        <f t="shared" si="22"/>
        <v>6.5755555555555498E-2</v>
      </c>
      <c r="W146" s="57">
        <f t="shared" si="21"/>
        <v>2.7549333333333266E-2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3546.93</v>
      </c>
      <c r="D147" s="16">
        <v>33.700000000000003</v>
      </c>
      <c r="E147" s="16">
        <v>37.707999999999998</v>
      </c>
      <c r="F147" s="16">
        <v>39.149000000000001</v>
      </c>
      <c r="G147" s="16">
        <v>7.68</v>
      </c>
      <c r="H147" s="16">
        <f t="shared" si="18"/>
        <v>34.882125000000002</v>
      </c>
      <c r="I147" s="5"/>
      <c r="J147" s="15">
        <v>2409.7224000000001</v>
      </c>
      <c r="K147" s="16">
        <v>34.0214</v>
      </c>
      <c r="L147" s="16">
        <v>38.173499999999997</v>
      </c>
      <c r="M147" s="16">
        <v>40.126899999999999</v>
      </c>
      <c r="N147" s="16">
        <v>10.3765</v>
      </c>
      <c r="O147" s="16">
        <f t="shared" si="19"/>
        <v>35.303599999999996</v>
      </c>
      <c r="P147" s="7"/>
      <c r="Q147" s="8">
        <f>bdrate(C147:C150,D147:D150,J147:J150,K147:K150)</f>
        <v>-0.45370011771393004</v>
      </c>
      <c r="R147" s="8">
        <f>bdrate(C147:C150,E147:E150,J147:J150,L147:L150)</f>
        <v>-0.52565395825953098</v>
      </c>
      <c r="S147" s="8">
        <f>bdrate(C147:C150,F147:F150,J147:J150,M147:M150)</f>
        <v>-0.5670898551074266</v>
      </c>
      <c r="T147" s="25">
        <f>bdrate(C147:C150,H147:H150,J147:J150,O147:O150)</f>
        <v>-0.46901255924373231</v>
      </c>
      <c r="U147" s="28">
        <f t="shared" si="20"/>
        <v>0.35110677083333341</v>
      </c>
      <c r="V147" s="57">
        <f t="shared" si="22"/>
        <v>1.4741666666666712E-2</v>
      </c>
      <c r="W147" s="57">
        <f t="shared" si="21"/>
        <v>4.0510000000000441E-3</v>
      </c>
      <c r="X147" s="56">
        <v>3600</v>
      </c>
      <c r="Y147" s="56">
        <v>2400</v>
      </c>
    </row>
    <row r="148" spans="1:25" x14ac:dyDescent="0.25">
      <c r="B148" s="9"/>
      <c r="C148" s="17">
        <v>2365.8000000000002</v>
      </c>
      <c r="D148" s="18">
        <v>32.201999999999998</v>
      </c>
      <c r="E148" s="18">
        <v>37.222999999999999</v>
      </c>
      <c r="F148" s="18">
        <v>38.32</v>
      </c>
      <c r="G148" s="18">
        <v>7.72</v>
      </c>
      <c r="H148" s="18">
        <f t="shared" si="18"/>
        <v>33.594374999999999</v>
      </c>
      <c r="I148" s="5"/>
      <c r="J148" s="17">
        <v>1606.0183999999999</v>
      </c>
      <c r="K148" s="18">
        <v>32.820099999999996</v>
      </c>
      <c r="L148" s="18">
        <v>37.696199999999997</v>
      </c>
      <c r="M148" s="18">
        <v>39.310600000000001</v>
      </c>
      <c r="N148" s="18">
        <v>11.730499999999999</v>
      </c>
      <c r="O148" s="18">
        <f t="shared" si="19"/>
        <v>34.240924999999997</v>
      </c>
      <c r="P148" s="7"/>
      <c r="Q148" s="10"/>
      <c r="R148" s="11"/>
      <c r="S148" s="11"/>
      <c r="T148" s="26"/>
      <c r="U148" s="28">
        <f t="shared" si="20"/>
        <v>0.51949481865284974</v>
      </c>
      <c r="V148" s="57">
        <f t="shared" si="22"/>
        <v>1.4249999999999924E-2</v>
      </c>
      <c r="W148" s="57">
        <f t="shared" si="21"/>
        <v>3.7614999999999554E-3</v>
      </c>
      <c r="X148" s="56">
        <v>2400</v>
      </c>
      <c r="Y148" s="56">
        <v>1600</v>
      </c>
    </row>
    <row r="149" spans="1:25" x14ac:dyDescent="0.25">
      <c r="B149" s="9"/>
      <c r="C149" s="17">
        <v>1470.42</v>
      </c>
      <c r="D149" s="18">
        <v>30.262</v>
      </c>
      <c r="E149" s="18">
        <v>36.615000000000002</v>
      </c>
      <c r="F149" s="18">
        <v>37.341000000000001</v>
      </c>
      <c r="G149" s="18">
        <v>7.76</v>
      </c>
      <c r="H149" s="18">
        <f t="shared" si="18"/>
        <v>31.941000000000003</v>
      </c>
      <c r="I149" s="5"/>
      <c r="J149" s="17">
        <v>1002.3984</v>
      </c>
      <c r="K149" s="18">
        <v>31.226099999999999</v>
      </c>
      <c r="L149" s="18">
        <v>37.074199999999998</v>
      </c>
      <c r="M149" s="18">
        <v>38.269399999999997</v>
      </c>
      <c r="N149" s="18">
        <v>12.9655</v>
      </c>
      <c r="O149" s="18">
        <f t="shared" si="19"/>
        <v>32.837524999999999</v>
      </c>
      <c r="P149" s="7"/>
      <c r="Q149" s="10"/>
      <c r="R149" s="11"/>
      <c r="S149" s="11"/>
      <c r="T149" s="26"/>
      <c r="U149" s="28">
        <f t="shared" si="20"/>
        <v>0.67081185567010315</v>
      </c>
      <c r="V149" s="57">
        <f t="shared" si="22"/>
        <v>1.9719999999999953E-2</v>
      </c>
      <c r="W149" s="57">
        <f t="shared" si="21"/>
        <v>2.3984000000000379E-3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875.52</v>
      </c>
      <c r="D150" s="20">
        <v>27.97</v>
      </c>
      <c r="E150" s="20">
        <v>35.923999999999999</v>
      </c>
      <c r="F150" s="20">
        <v>36.356000000000002</v>
      </c>
      <c r="G150" s="20">
        <v>7.78</v>
      </c>
      <c r="H150" s="20">
        <f t="shared" si="18"/>
        <v>30.012499999999999</v>
      </c>
      <c r="I150" s="5"/>
      <c r="J150" s="19">
        <v>594.65599999999995</v>
      </c>
      <c r="K150" s="20">
        <v>29.460699999999999</v>
      </c>
      <c r="L150" s="20">
        <v>36.383299999999998</v>
      </c>
      <c r="M150" s="20">
        <v>37.167499999999997</v>
      </c>
      <c r="N150" s="20">
        <v>14.7684</v>
      </c>
      <c r="O150" s="20">
        <f t="shared" si="19"/>
        <v>31.289374999999996</v>
      </c>
      <c r="P150" s="7"/>
      <c r="Q150" s="13"/>
      <c r="R150" s="14"/>
      <c r="S150" s="14"/>
      <c r="T150" s="27"/>
      <c r="U150" s="28">
        <f t="shared" si="20"/>
        <v>0.89825192802056542</v>
      </c>
      <c r="V150" s="57">
        <f t="shared" si="22"/>
        <v>2.7200000000000019E-2</v>
      </c>
      <c r="W150" s="57">
        <f t="shared" si="21"/>
        <v>8.9066666666667519E-3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3582.91</v>
      </c>
      <c r="D151" s="30">
        <v>32.996000000000002</v>
      </c>
      <c r="E151" s="30">
        <v>39.42</v>
      </c>
      <c r="F151" s="30">
        <v>39.031999999999996</v>
      </c>
      <c r="G151" s="16">
        <v>6.99</v>
      </c>
      <c r="H151" s="16">
        <f t="shared" si="18"/>
        <v>34.5535</v>
      </c>
      <c r="I151" s="5"/>
      <c r="J151" s="29">
        <v>2413.5695999999998</v>
      </c>
      <c r="K151" s="30">
        <v>33.975900000000003</v>
      </c>
      <c r="L151" s="30">
        <v>40.304600000000001</v>
      </c>
      <c r="M151" s="30">
        <v>39.898499999999999</v>
      </c>
      <c r="N151" s="16">
        <v>8.9148999999999994</v>
      </c>
      <c r="O151" s="16">
        <f t="shared" si="19"/>
        <v>35.507312500000005</v>
      </c>
      <c r="P151" s="7"/>
      <c r="Q151" s="8">
        <f>bdrate(C151:C154,D151:D154,J151:J154,K151:K154)</f>
        <v>-0.56475145506418767</v>
      </c>
      <c r="R151" s="8">
        <f>bdrate(C151:C154,E151:E154,J151:J154,L151:L154)</f>
        <v>-0.60135172448990182</v>
      </c>
      <c r="S151" s="8">
        <f>bdrate(C151:C154,F151:F154,J151:J154,M151:M154)</f>
        <v>-0.50691684017064786</v>
      </c>
      <c r="T151" s="25">
        <f>bdrate(C151:C154,H151:H154,J151:J154,O151:O154)</f>
        <v>-0.56559763951227349</v>
      </c>
      <c r="U151" s="28">
        <f t="shared" si="20"/>
        <v>0.27537911301859785</v>
      </c>
      <c r="V151" s="57">
        <f t="shared" si="22"/>
        <v>4.7472222222222629E-3</v>
      </c>
      <c r="W151" s="57">
        <f t="shared" si="21"/>
        <v>5.6539999999999204E-3</v>
      </c>
      <c r="X151" s="56">
        <v>3600</v>
      </c>
      <c r="Y151" s="56">
        <v>2400</v>
      </c>
    </row>
    <row r="152" spans="1:25" x14ac:dyDescent="0.25">
      <c r="B152" s="9"/>
      <c r="C152" s="31">
        <v>2375.92</v>
      </c>
      <c r="D152" s="32">
        <v>31.006</v>
      </c>
      <c r="E152" s="32">
        <v>38.576999999999998</v>
      </c>
      <c r="F152" s="32">
        <v>38.088999999999999</v>
      </c>
      <c r="G152" s="18">
        <v>7.07</v>
      </c>
      <c r="H152" s="18">
        <f t="shared" si="18"/>
        <v>32.83775</v>
      </c>
      <c r="I152" s="5"/>
      <c r="J152" s="31">
        <v>1606.0935999999999</v>
      </c>
      <c r="K152" s="32">
        <v>32.578499999999998</v>
      </c>
      <c r="L152" s="32">
        <v>39.588999999999999</v>
      </c>
      <c r="M152" s="32">
        <v>38.939599999999999</v>
      </c>
      <c r="N152" s="18">
        <v>10.1313</v>
      </c>
      <c r="O152" s="18">
        <f t="shared" si="19"/>
        <v>34.249949999999998</v>
      </c>
      <c r="P152" s="7"/>
      <c r="Q152" s="10"/>
      <c r="R152" s="11"/>
      <c r="S152" s="11"/>
      <c r="T152" s="26"/>
      <c r="U152" s="28">
        <f t="shared" si="20"/>
        <v>0.43299858557284288</v>
      </c>
      <c r="V152" s="57">
        <f t="shared" si="22"/>
        <v>1.0033333333333304E-2</v>
      </c>
      <c r="W152" s="57">
        <f t="shared" si="21"/>
        <v>3.8084999999999525E-3</v>
      </c>
      <c r="X152" s="56">
        <v>2400</v>
      </c>
      <c r="Y152" s="56">
        <v>1600</v>
      </c>
    </row>
    <row r="153" spans="1:25" x14ac:dyDescent="0.25">
      <c r="B153" s="9"/>
      <c r="C153" s="31">
        <v>1472.91</v>
      </c>
      <c r="D153" s="32">
        <v>28.09</v>
      </c>
      <c r="E153" s="32">
        <v>37.402999999999999</v>
      </c>
      <c r="F153" s="32">
        <v>36.936999999999998</v>
      </c>
      <c r="G153" s="18">
        <v>7.1</v>
      </c>
      <c r="H153" s="18">
        <f t="shared" si="18"/>
        <v>30.36</v>
      </c>
      <c r="I153" s="5"/>
      <c r="J153" s="31">
        <v>1001.7328</v>
      </c>
      <c r="K153" s="32">
        <v>30.8184</v>
      </c>
      <c r="L153" s="32">
        <v>38.703699999999998</v>
      </c>
      <c r="M153" s="32">
        <v>37.761000000000003</v>
      </c>
      <c r="N153" s="18">
        <v>11.513299999999999</v>
      </c>
      <c r="O153" s="18">
        <f t="shared" si="19"/>
        <v>32.671887500000004</v>
      </c>
      <c r="P153" s="7"/>
      <c r="Q153" s="10"/>
      <c r="R153" s="11"/>
      <c r="S153" s="11"/>
      <c r="T153" s="26"/>
      <c r="U153" s="28">
        <f t="shared" si="20"/>
        <v>0.62159154929577465</v>
      </c>
      <c r="V153" s="57">
        <f t="shared" si="22"/>
        <v>1.8059999999999944E-2</v>
      </c>
      <c r="W153" s="57">
        <f t="shared" si="21"/>
        <v>1.7327999999999974E-3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874.16</v>
      </c>
      <c r="D154" s="34">
        <v>24.167000000000002</v>
      </c>
      <c r="E154" s="34">
        <v>35.674999999999997</v>
      </c>
      <c r="F154" s="34">
        <v>34.914000000000001</v>
      </c>
      <c r="G154" s="20">
        <v>7.09</v>
      </c>
      <c r="H154" s="20">
        <f t="shared" si="18"/>
        <v>26.948875000000001</v>
      </c>
      <c r="I154" s="5"/>
      <c r="J154" s="33">
        <v>599.27279999999996</v>
      </c>
      <c r="K154" s="34">
        <v>28.928599999999999</v>
      </c>
      <c r="L154" s="34">
        <v>37.472099999999998</v>
      </c>
      <c r="M154" s="34">
        <v>36.155799999999999</v>
      </c>
      <c r="N154" s="20">
        <v>13.195</v>
      </c>
      <c r="O154" s="20">
        <f t="shared" si="19"/>
        <v>30.8999375</v>
      </c>
      <c r="P154" s="7"/>
      <c r="Q154" s="13"/>
      <c r="R154" s="14"/>
      <c r="S154" s="14"/>
      <c r="T154" s="27"/>
      <c r="U154" s="28">
        <f t="shared" si="20"/>
        <v>0.8610719322990128</v>
      </c>
      <c r="V154" s="57">
        <f t="shared" si="22"/>
        <v>2.8711111111111146E-2</v>
      </c>
      <c r="W154" s="57">
        <f t="shared" si="21"/>
        <v>1.2120000000000648E-3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3575.59</v>
      </c>
      <c r="D155" s="16">
        <v>32.494</v>
      </c>
      <c r="E155" s="16">
        <v>38.722999999999999</v>
      </c>
      <c r="F155" s="16">
        <v>41.314</v>
      </c>
      <c r="G155" s="16">
        <v>7.78</v>
      </c>
      <c r="H155" s="16">
        <f t="shared" si="18"/>
        <v>34.375125000000004</v>
      </c>
      <c r="I155" s="5"/>
      <c r="J155" s="15">
        <v>2403.4928</v>
      </c>
      <c r="K155" s="16">
        <v>33.556699999999999</v>
      </c>
      <c r="L155" s="16">
        <v>39.785299999999999</v>
      </c>
      <c r="M155" s="16">
        <v>42.272500000000001</v>
      </c>
      <c r="N155" s="16">
        <v>10.8344</v>
      </c>
      <c r="O155" s="16">
        <f t="shared" si="19"/>
        <v>35.424749999999996</v>
      </c>
      <c r="P155" s="7"/>
      <c r="Q155" s="8">
        <f>bdrate(C155:C158,D155:D158,J155:J158,K155:K158)</f>
        <v>-0.6235933354084191</v>
      </c>
      <c r="R155" s="8">
        <f>bdrate(C155:C158,E155:E158,J155:J158,L155:L158)</f>
        <v>-0.69044256321529818</v>
      </c>
      <c r="S155" s="8">
        <f>bdrate(C155:C158,F155:F158,J155:J158,M155:M158)</f>
        <v>-0.68973140783441</v>
      </c>
      <c r="T155" s="25">
        <f>bdrate(C155:C158,H155:H158,J155:J158,O155:O158)</f>
        <v>-0.63235371831611631</v>
      </c>
      <c r="U155" s="28">
        <f t="shared" si="20"/>
        <v>0.39259640102827764</v>
      </c>
      <c r="V155" s="57">
        <f t="shared" si="22"/>
        <v>6.7805555555555154E-3</v>
      </c>
      <c r="W155" s="57">
        <f t="shared" si="21"/>
        <v>1.4553333333333284E-3</v>
      </c>
      <c r="X155" s="56">
        <v>3600</v>
      </c>
      <c r="Y155" s="56">
        <v>2400</v>
      </c>
    </row>
    <row r="156" spans="1:25" x14ac:dyDescent="0.25">
      <c r="B156" s="9"/>
      <c r="C156" s="17">
        <v>2347.8000000000002</v>
      </c>
      <c r="D156" s="18">
        <v>31.408999999999999</v>
      </c>
      <c r="E156" s="18">
        <v>38.258000000000003</v>
      </c>
      <c r="F156" s="18">
        <v>40.795999999999999</v>
      </c>
      <c r="G156" s="18">
        <v>7.81</v>
      </c>
      <c r="H156" s="18">
        <f t="shared" si="18"/>
        <v>33.438500000000005</v>
      </c>
      <c r="I156" s="5"/>
      <c r="J156" s="17">
        <v>1607.3807999999999</v>
      </c>
      <c r="K156" s="18">
        <v>32.860900000000001</v>
      </c>
      <c r="L156" s="18">
        <v>39.298999999999999</v>
      </c>
      <c r="M156" s="18">
        <v>41.835799999999999</v>
      </c>
      <c r="N156" s="18">
        <v>12.011100000000001</v>
      </c>
      <c r="O156" s="18">
        <f t="shared" si="19"/>
        <v>34.787525000000002</v>
      </c>
      <c r="P156" s="7"/>
      <c r="Q156" s="10"/>
      <c r="R156" s="11"/>
      <c r="S156" s="11"/>
      <c r="T156" s="26"/>
      <c r="U156" s="28">
        <f t="shared" si="20"/>
        <v>0.53791293213828439</v>
      </c>
      <c r="V156" s="57">
        <f t="shared" si="22"/>
        <v>2.1749999999999926E-2</v>
      </c>
      <c r="W156" s="57">
        <f t="shared" si="21"/>
        <v>4.6129999999999427E-3</v>
      </c>
      <c r="X156" s="56">
        <v>2400</v>
      </c>
      <c r="Y156" s="56">
        <v>1600</v>
      </c>
    </row>
    <row r="157" spans="1:25" x14ac:dyDescent="0.25">
      <c r="B157" s="9"/>
      <c r="C157" s="17">
        <v>1432.79</v>
      </c>
      <c r="D157" s="18">
        <v>29.745000000000001</v>
      </c>
      <c r="E157" s="18">
        <v>37.671999999999997</v>
      </c>
      <c r="F157" s="18">
        <v>40.249000000000002</v>
      </c>
      <c r="G157" s="18">
        <v>7.83</v>
      </c>
      <c r="H157" s="18">
        <f t="shared" si="18"/>
        <v>32.048875000000002</v>
      </c>
      <c r="I157" s="5"/>
      <c r="J157" s="17">
        <v>1030.2048</v>
      </c>
      <c r="K157" s="18">
        <v>31.779499999999999</v>
      </c>
      <c r="L157" s="18">
        <v>38.650399999999998</v>
      </c>
      <c r="M157" s="18">
        <v>41.208399999999997</v>
      </c>
      <c r="N157" s="18">
        <v>13.3292</v>
      </c>
      <c r="O157" s="18">
        <f t="shared" si="19"/>
        <v>33.816974999999999</v>
      </c>
      <c r="P157" s="7"/>
      <c r="Q157" s="10"/>
      <c r="R157" s="11"/>
      <c r="S157" s="11"/>
      <c r="T157" s="26"/>
      <c r="U157" s="28">
        <f t="shared" si="20"/>
        <v>0.70232439335887609</v>
      </c>
      <c r="V157" s="57">
        <f t="shared" si="22"/>
        <v>4.4806666666666689E-2</v>
      </c>
      <c r="W157" s="57">
        <f t="shared" si="21"/>
        <v>3.0204799999999976E-2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829.23</v>
      </c>
      <c r="D158" s="20">
        <v>27.425000000000001</v>
      </c>
      <c r="E158" s="20">
        <v>37.033000000000001</v>
      </c>
      <c r="F158" s="20">
        <v>39.357999999999997</v>
      </c>
      <c r="G158" s="20">
        <v>7.85</v>
      </c>
      <c r="H158" s="20">
        <f t="shared" si="18"/>
        <v>30.117625000000004</v>
      </c>
      <c r="I158" s="5"/>
      <c r="J158" s="19">
        <v>596.57119999999998</v>
      </c>
      <c r="K158" s="20">
        <v>30.291499999999999</v>
      </c>
      <c r="L158" s="20">
        <v>38.057499999999997</v>
      </c>
      <c r="M158" s="20">
        <v>40.591700000000003</v>
      </c>
      <c r="N158" s="20">
        <v>14.6142</v>
      </c>
      <c r="O158" s="20">
        <f t="shared" si="19"/>
        <v>32.549774999999997</v>
      </c>
      <c r="P158" s="7"/>
      <c r="Q158" s="13"/>
      <c r="R158" s="14"/>
      <c r="S158" s="14"/>
      <c r="T158" s="27"/>
      <c r="U158" s="28">
        <f t="shared" si="20"/>
        <v>0.86168152866242054</v>
      </c>
      <c r="V158" s="57">
        <f t="shared" si="22"/>
        <v>7.8633333333333319E-2</v>
      </c>
      <c r="W158" s="57">
        <f t="shared" si="21"/>
        <v>5.7146666666667064E-3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1556.68</v>
      </c>
      <c r="D159" s="16">
        <v>34.146000000000001</v>
      </c>
      <c r="E159" s="16">
        <v>37.430999999999997</v>
      </c>
      <c r="F159" s="16">
        <v>37.341999999999999</v>
      </c>
      <c r="G159" s="16">
        <v>43.77</v>
      </c>
      <c r="H159" s="16">
        <f t="shared" si="18"/>
        <v>34.956125</v>
      </c>
      <c r="I159" s="5"/>
      <c r="J159" s="15">
        <v>1204.9295999999999</v>
      </c>
      <c r="K159" s="16">
        <v>34.951700000000002</v>
      </c>
      <c r="L159" s="16">
        <v>39.180900000000001</v>
      </c>
      <c r="M159" s="16">
        <v>39.062899999999999</v>
      </c>
      <c r="N159" s="16">
        <v>38.859099999999998</v>
      </c>
      <c r="O159" s="16">
        <f t="shared" si="19"/>
        <v>35.994250000000001</v>
      </c>
      <c r="P159" s="7"/>
      <c r="Q159" s="8">
        <f>bdrate(C159:C162,D159:D162,J159:J162,K159:K162)</f>
        <v>-0.39431100399890895</v>
      </c>
      <c r="R159" s="8">
        <f>bdrate(C159:C162,E159:E162,J159:J162,L159:L162)</f>
        <v>-0.57020208814630169</v>
      </c>
      <c r="S159" s="8">
        <f>bdrate(C159:C162,F159:F162,J159:J162,M159:M162)</f>
        <v>-0.52632850794090646</v>
      </c>
      <c r="T159" s="25">
        <f>bdrate(C159:C162,H159:H162,J159:J162,O159:O162)</f>
        <v>-0.42588197232428981</v>
      </c>
      <c r="U159" s="28">
        <f t="shared" si="20"/>
        <v>-0.11219785241032681</v>
      </c>
      <c r="V159" s="57">
        <f t="shared" si="22"/>
        <v>4.3096774193548794E-3</v>
      </c>
      <c r="W159" s="57">
        <f t="shared" si="21"/>
        <v>4.1079999999999476E-3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1052.44</v>
      </c>
      <c r="D160" s="18">
        <v>32.591000000000001</v>
      </c>
      <c r="E160" s="18">
        <v>36.47</v>
      </c>
      <c r="F160" s="18">
        <v>36.304000000000002</v>
      </c>
      <c r="G160" s="18">
        <v>44.06</v>
      </c>
      <c r="H160" s="18">
        <f t="shared" si="18"/>
        <v>33.54</v>
      </c>
      <c r="I160" s="5"/>
      <c r="J160" s="17">
        <v>802.54480000000001</v>
      </c>
      <c r="K160" s="18">
        <v>33.398299999999999</v>
      </c>
      <c r="L160" s="18">
        <v>38.003599999999999</v>
      </c>
      <c r="M160" s="18">
        <v>37.777700000000003</v>
      </c>
      <c r="N160" s="18">
        <v>45.0045</v>
      </c>
      <c r="O160" s="18">
        <f t="shared" si="19"/>
        <v>34.521387499999996</v>
      </c>
      <c r="P160" s="7"/>
      <c r="Q160" s="10"/>
      <c r="R160" s="11"/>
      <c r="S160" s="11"/>
      <c r="T160" s="26"/>
      <c r="U160" s="28">
        <f t="shared" si="20"/>
        <v>2.1436677258284111E-2</v>
      </c>
      <c r="V160" s="57">
        <f t="shared" si="22"/>
        <v>2.3238095238095756E-3</v>
      </c>
      <c r="W160" s="57">
        <f t="shared" si="21"/>
        <v>3.1810000000000115E-3</v>
      </c>
      <c r="X160" s="56">
        <v>1050</v>
      </c>
      <c r="Y160" s="56">
        <v>800</v>
      </c>
    </row>
    <row r="161" spans="1:25" x14ac:dyDescent="0.25">
      <c r="B161" s="9"/>
      <c r="C161" s="17">
        <v>651.03</v>
      </c>
      <c r="D161" s="18">
        <v>30.611999999999998</v>
      </c>
      <c r="E161" s="18">
        <v>35.448</v>
      </c>
      <c r="F161" s="18">
        <v>35.067999999999998</v>
      </c>
      <c r="G161" s="18">
        <v>44.23</v>
      </c>
      <c r="H161" s="18">
        <f t="shared" si="18"/>
        <v>31.773499999999999</v>
      </c>
      <c r="I161" s="5"/>
      <c r="J161" s="17">
        <v>502.21280000000002</v>
      </c>
      <c r="K161" s="18">
        <v>31.6296</v>
      </c>
      <c r="L161" s="18">
        <v>36.813200000000002</v>
      </c>
      <c r="M161" s="18">
        <v>36.376199999999997</v>
      </c>
      <c r="N161" s="18">
        <v>52.045400000000001</v>
      </c>
      <c r="O161" s="18">
        <f t="shared" si="19"/>
        <v>32.870874999999998</v>
      </c>
      <c r="P161" s="7"/>
      <c r="Q161" s="10"/>
      <c r="R161" s="11"/>
      <c r="S161" s="11"/>
      <c r="T161" s="26"/>
      <c r="U161" s="28">
        <f t="shared" si="20"/>
        <v>0.1766990730273571</v>
      </c>
      <c r="V161" s="57">
        <f t="shared" si="22"/>
        <v>1.5846153846153426E-3</v>
      </c>
      <c r="W161" s="57">
        <f t="shared" si="21"/>
        <v>4.4256000000000312E-3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396.38</v>
      </c>
      <c r="D162" s="20">
        <v>28.27</v>
      </c>
      <c r="E162" s="20">
        <v>34.503</v>
      </c>
      <c r="F162" s="20">
        <v>34.006999999999998</v>
      </c>
      <c r="G162" s="20">
        <v>44.3</v>
      </c>
      <c r="H162" s="20">
        <f t="shared" si="18"/>
        <v>29.766249999999999</v>
      </c>
      <c r="I162" s="5"/>
      <c r="J162" s="19">
        <v>300.47039999999998</v>
      </c>
      <c r="K162" s="20">
        <v>29.653099999999998</v>
      </c>
      <c r="L162" s="20">
        <v>35.3673</v>
      </c>
      <c r="M162" s="20">
        <v>34.8001</v>
      </c>
      <c r="N162" s="20">
        <v>61.858199999999997</v>
      </c>
      <c r="O162" s="20">
        <f t="shared" si="19"/>
        <v>31.010750000000002</v>
      </c>
      <c r="P162" s="7"/>
      <c r="Q162" s="13"/>
      <c r="R162" s="14"/>
      <c r="S162" s="14"/>
      <c r="T162" s="27"/>
      <c r="U162" s="28">
        <f t="shared" si="20"/>
        <v>0.39634762979683974</v>
      </c>
      <c r="V162" s="57">
        <f t="shared" si="22"/>
        <v>9.0500000000000112E-3</v>
      </c>
      <c r="W162" s="57">
        <f t="shared" si="21"/>
        <v>1.5679999999999457E-3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1559.14</v>
      </c>
      <c r="D163" s="16">
        <v>34.481000000000002</v>
      </c>
      <c r="E163" s="16">
        <v>39.286999999999999</v>
      </c>
      <c r="F163" s="16">
        <v>40.037999999999997</v>
      </c>
      <c r="G163" s="16">
        <v>41.11</v>
      </c>
      <c r="H163" s="16">
        <f t="shared" si="18"/>
        <v>35.776375000000002</v>
      </c>
      <c r="I163" s="5"/>
      <c r="J163" s="15">
        <v>1232.7568000000001</v>
      </c>
      <c r="K163" s="16">
        <v>35.1614</v>
      </c>
      <c r="L163" s="16">
        <v>40.525700000000001</v>
      </c>
      <c r="M163" s="16">
        <v>41.386699999999998</v>
      </c>
      <c r="N163" s="16">
        <v>40.115000000000002</v>
      </c>
      <c r="O163" s="16">
        <f t="shared" si="19"/>
        <v>36.610100000000003</v>
      </c>
      <c r="P163" s="7"/>
      <c r="Q163" s="8">
        <f>bdrate(C163:C166,D163:D166,J163:J166,K163:K166)</f>
        <v>-0.40246275350809479</v>
      </c>
      <c r="R163" s="8">
        <f>bdrate(C163:C166,E163:E166,J163:J166,L163:L166)</f>
        <v>-0.50200468686872712</v>
      </c>
      <c r="S163" s="8">
        <f>bdrate(C163:C166,F163:F166,J163:J166,M163:M166)</f>
        <v>-0.49310496847541596</v>
      </c>
      <c r="T163" s="25">
        <f>bdrate(C163:C166,H163:H166,J163:J166,O163:O166)</f>
        <v>-0.41895994765531974</v>
      </c>
      <c r="U163" s="28">
        <f t="shared" ref="U163:U194" si="23">(N163-G163)/G163</f>
        <v>-2.4203356847482302E-2</v>
      </c>
      <c r="V163" s="57">
        <f t="shared" si="22"/>
        <v>5.896774193548452E-3</v>
      </c>
      <c r="W163" s="57">
        <f t="shared" si="21"/>
        <v>2.7297333333333427E-2</v>
      </c>
      <c r="X163" s="56">
        <v>1550</v>
      </c>
      <c r="Y163" s="56">
        <v>1200</v>
      </c>
    </row>
    <row r="164" spans="1:25" x14ac:dyDescent="0.25">
      <c r="B164" s="9"/>
      <c r="C164" s="17">
        <v>1056.6600000000001</v>
      </c>
      <c r="D164" s="18">
        <v>32.670999999999999</v>
      </c>
      <c r="E164" s="18">
        <v>38.491</v>
      </c>
      <c r="F164" s="18">
        <v>39.164000000000001</v>
      </c>
      <c r="G164" s="18">
        <v>41.32</v>
      </c>
      <c r="H164" s="18">
        <f t="shared" si="18"/>
        <v>34.210124999999998</v>
      </c>
      <c r="I164" s="5"/>
      <c r="J164" s="17">
        <v>821.03920000000005</v>
      </c>
      <c r="K164" s="18">
        <v>33.593800000000002</v>
      </c>
      <c r="L164" s="18">
        <v>39.552999999999997</v>
      </c>
      <c r="M164" s="18">
        <v>40.295000000000002</v>
      </c>
      <c r="N164" s="18">
        <v>45.686399999999999</v>
      </c>
      <c r="O164" s="18">
        <f t="shared" si="19"/>
        <v>35.176349999999999</v>
      </c>
      <c r="P164" s="7"/>
      <c r="Q164" s="10"/>
      <c r="R164" s="11"/>
      <c r="S164" s="11"/>
      <c r="T164" s="26"/>
      <c r="U164" s="28">
        <f t="shared" si="23"/>
        <v>0.10567279767666986</v>
      </c>
      <c r="V164" s="57">
        <f t="shared" si="22"/>
        <v>6.3428571428572212E-3</v>
      </c>
      <c r="W164" s="57">
        <f t="shared" si="21"/>
        <v>2.6299000000000062E-2</v>
      </c>
      <c r="X164" s="56">
        <v>1050</v>
      </c>
      <c r="Y164" s="56">
        <v>800</v>
      </c>
    </row>
    <row r="165" spans="1:25" x14ac:dyDescent="0.25">
      <c r="B165" s="9"/>
      <c r="C165" s="17">
        <v>652.65</v>
      </c>
      <c r="D165" s="18">
        <v>30.212</v>
      </c>
      <c r="E165" s="18">
        <v>37.549999999999997</v>
      </c>
      <c r="F165" s="18">
        <v>38.130000000000003</v>
      </c>
      <c r="G165" s="18">
        <v>41.35</v>
      </c>
      <c r="H165" s="18">
        <f t="shared" si="18"/>
        <v>32.119</v>
      </c>
      <c r="I165" s="5"/>
      <c r="J165" s="17">
        <v>512.70799999999997</v>
      </c>
      <c r="K165" s="18">
        <v>31.684999999999999</v>
      </c>
      <c r="L165" s="18">
        <v>38.446800000000003</v>
      </c>
      <c r="M165" s="18">
        <v>39.075899999999997</v>
      </c>
      <c r="N165" s="18">
        <v>53.323900000000002</v>
      </c>
      <c r="O165" s="18">
        <f t="shared" si="19"/>
        <v>33.4540875</v>
      </c>
      <c r="P165" s="7"/>
      <c r="Q165" s="10"/>
      <c r="R165" s="11"/>
      <c r="S165" s="11"/>
      <c r="T165" s="26"/>
      <c r="U165" s="28">
        <f t="shared" si="23"/>
        <v>0.28957436517533253</v>
      </c>
      <c r="V165" s="57">
        <f t="shared" si="22"/>
        <v>4.0769230769230422E-3</v>
      </c>
      <c r="W165" s="57">
        <f t="shared" si="21"/>
        <v>2.5415999999999939E-2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401.3</v>
      </c>
      <c r="D166" s="20">
        <v>27.443999999999999</v>
      </c>
      <c r="E166" s="20">
        <v>36.640999999999998</v>
      </c>
      <c r="F166" s="20">
        <v>37.137</v>
      </c>
      <c r="G166" s="20">
        <v>41.59</v>
      </c>
      <c r="H166" s="20">
        <f t="shared" si="18"/>
        <v>29.805249999999997</v>
      </c>
      <c r="I166" s="5"/>
      <c r="J166" s="19">
        <v>307.45359999999999</v>
      </c>
      <c r="K166" s="20">
        <v>29.6022</v>
      </c>
      <c r="L166" s="20">
        <v>37.3566</v>
      </c>
      <c r="M166" s="20">
        <v>37.872199999999999</v>
      </c>
      <c r="N166" s="20">
        <v>62.781199999999998</v>
      </c>
      <c r="O166" s="20">
        <f t="shared" si="19"/>
        <v>31.605250000000002</v>
      </c>
      <c r="P166" s="7"/>
      <c r="Q166" s="13"/>
      <c r="R166" s="14"/>
      <c r="S166" s="14"/>
      <c r="T166" s="27"/>
      <c r="U166" s="28">
        <f t="shared" si="23"/>
        <v>0.50952632844433743</v>
      </c>
      <c r="V166" s="57">
        <f t="shared" si="22"/>
        <v>3.2500000000000285E-3</v>
      </c>
      <c r="W166" s="57">
        <f t="shared" si="21"/>
        <v>2.4845333333333317E-2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1414.8</v>
      </c>
      <c r="D167" s="16">
        <v>28.934999999999999</v>
      </c>
      <c r="E167" s="16">
        <v>35.189</v>
      </c>
      <c r="F167" s="16">
        <v>35.865000000000002</v>
      </c>
      <c r="G167" s="16">
        <v>44.2</v>
      </c>
      <c r="H167" s="16">
        <f t="shared" si="18"/>
        <v>30.582999999999998</v>
      </c>
      <c r="I167" s="5"/>
      <c r="J167" s="15">
        <v>1213.48</v>
      </c>
      <c r="K167" s="16">
        <v>30.279399999999999</v>
      </c>
      <c r="L167" s="16">
        <v>36.801499999999997</v>
      </c>
      <c r="M167" s="16">
        <v>37.591999999999999</v>
      </c>
      <c r="N167" s="16">
        <v>36.250300000000003</v>
      </c>
      <c r="O167" s="16">
        <f t="shared" si="19"/>
        <v>32.008737500000002</v>
      </c>
      <c r="P167" s="7"/>
      <c r="Q167" s="8">
        <f>bdrate(C167:C170,D167:D170,J167:J170,K167:K170)</f>
        <v>-0.44861450336470177</v>
      </c>
      <c r="R167" s="8">
        <f>bdrate(C167:C170,E167:E170,J167:J170,L167:L170)</f>
        <v>-0.5767091165297269</v>
      </c>
      <c r="S167" s="8">
        <f>bdrate(C167:C170,F167:F170,J167:J170,M167:M170)</f>
        <v>-0.57164401061761572</v>
      </c>
      <c r="T167" s="25">
        <f>bdrate(C167:C170,H167:H170,J167:J170,O167:O170)</f>
        <v>-0.46966902593432003</v>
      </c>
      <c r="U167" s="28">
        <f t="shared" si="23"/>
        <v>-0.1798574660633484</v>
      </c>
      <c r="V167" s="57">
        <f t="shared" si="22"/>
        <v>8.7225806451612931E-2</v>
      </c>
      <c r="W167" s="57">
        <f t="shared" si="21"/>
        <v>1.1233333333333349E-2</v>
      </c>
      <c r="X167" s="56">
        <v>1550</v>
      </c>
      <c r="Y167" s="56">
        <v>1200</v>
      </c>
    </row>
    <row r="168" spans="1:25" x14ac:dyDescent="0.25">
      <c r="B168" s="9"/>
      <c r="C168" s="17">
        <v>960.88</v>
      </c>
      <c r="D168" s="18">
        <v>27.573</v>
      </c>
      <c r="E168" s="18">
        <v>34.685000000000002</v>
      </c>
      <c r="F168" s="18">
        <v>35.396999999999998</v>
      </c>
      <c r="G168" s="18">
        <v>44.37</v>
      </c>
      <c r="H168" s="18">
        <f t="shared" si="18"/>
        <v>29.439999999999998</v>
      </c>
      <c r="I168" s="5"/>
      <c r="J168" s="17">
        <v>808.26080000000002</v>
      </c>
      <c r="K168" s="18">
        <v>28.9312</v>
      </c>
      <c r="L168" s="18">
        <v>35.947800000000001</v>
      </c>
      <c r="M168" s="18">
        <v>36.726599999999998</v>
      </c>
      <c r="N168" s="18">
        <v>42.680300000000003</v>
      </c>
      <c r="O168" s="18">
        <f t="shared" si="19"/>
        <v>30.782699999999998</v>
      </c>
      <c r="P168" s="7"/>
      <c r="Q168" s="10"/>
      <c r="R168" s="11"/>
      <c r="S168" s="11"/>
      <c r="T168" s="26"/>
      <c r="U168" s="28">
        <f t="shared" si="23"/>
        <v>-3.8082037412666102E-2</v>
      </c>
      <c r="V168" s="57">
        <f t="shared" si="22"/>
        <v>8.487619047619048E-2</v>
      </c>
      <c r="W168" s="57">
        <f t="shared" si="21"/>
        <v>1.0326000000000023E-2</v>
      </c>
      <c r="X168" s="56">
        <v>1050</v>
      </c>
      <c r="Y168" s="56">
        <v>800</v>
      </c>
    </row>
    <row r="169" spans="1:25" x14ac:dyDescent="0.25">
      <c r="B169" s="9"/>
      <c r="C169" s="17">
        <v>595.36</v>
      </c>
      <c r="D169" s="18">
        <v>26.010999999999999</v>
      </c>
      <c r="E169" s="18">
        <v>34.177</v>
      </c>
      <c r="F169" s="18">
        <v>34.912999999999997</v>
      </c>
      <c r="G169" s="18">
        <v>44.53</v>
      </c>
      <c r="H169" s="18">
        <f t="shared" si="18"/>
        <v>28.144500000000001</v>
      </c>
      <c r="I169" s="5"/>
      <c r="J169" s="17">
        <v>508.96</v>
      </c>
      <c r="K169" s="18">
        <v>27.4451</v>
      </c>
      <c r="L169" s="18">
        <v>35.084200000000003</v>
      </c>
      <c r="M169" s="18">
        <v>35.8399</v>
      </c>
      <c r="N169" s="18">
        <v>49.495100000000001</v>
      </c>
      <c r="O169" s="18">
        <f t="shared" si="19"/>
        <v>29.449337500000002</v>
      </c>
      <c r="P169" s="7"/>
      <c r="Q169" s="10"/>
      <c r="R169" s="11"/>
      <c r="S169" s="11"/>
      <c r="T169" s="26"/>
      <c r="U169" s="28">
        <f t="shared" si="23"/>
        <v>0.11150011228385356</v>
      </c>
      <c r="V169" s="57">
        <f t="shared" si="22"/>
        <v>8.4061538461538438E-2</v>
      </c>
      <c r="W169" s="57">
        <f t="shared" si="21"/>
        <v>1.791999999999996E-2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367.98</v>
      </c>
      <c r="D170" s="20">
        <v>24.55</v>
      </c>
      <c r="E170" s="20">
        <v>33.703000000000003</v>
      </c>
      <c r="F170" s="20">
        <v>34.405000000000001</v>
      </c>
      <c r="G170" s="20">
        <v>44.67</v>
      </c>
      <c r="H170" s="20">
        <f t="shared" si="18"/>
        <v>26.926000000000002</v>
      </c>
      <c r="I170" s="5"/>
      <c r="J170" s="19">
        <v>305.51679999999999</v>
      </c>
      <c r="K170" s="20">
        <v>25.860199999999999</v>
      </c>
      <c r="L170" s="20">
        <v>34.223799999999997</v>
      </c>
      <c r="M170" s="20">
        <v>34.886299999999999</v>
      </c>
      <c r="N170" s="20">
        <v>57.930700000000002</v>
      </c>
      <c r="O170" s="20">
        <f t="shared" si="19"/>
        <v>28.0339125</v>
      </c>
      <c r="P170" s="7"/>
      <c r="Q170" s="13"/>
      <c r="R170" s="14"/>
      <c r="S170" s="14"/>
      <c r="T170" s="27"/>
      <c r="U170" s="28">
        <f t="shared" si="23"/>
        <v>0.29685918961271546</v>
      </c>
      <c r="V170" s="57">
        <f t="shared" si="22"/>
        <v>8.0049999999999955E-2</v>
      </c>
      <c r="W170" s="57">
        <f t="shared" si="21"/>
        <v>1.8389333333333299E-2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1429.66</v>
      </c>
      <c r="D171" s="16">
        <v>32.313000000000002</v>
      </c>
      <c r="E171" s="16">
        <v>36.335999999999999</v>
      </c>
      <c r="F171" s="16">
        <v>37.917999999999999</v>
      </c>
      <c r="G171" s="16">
        <v>35.57</v>
      </c>
      <c r="H171" s="16">
        <f t="shared" si="18"/>
        <v>33.516500000000001</v>
      </c>
      <c r="I171" s="5"/>
      <c r="J171" s="15">
        <v>1203.6904</v>
      </c>
      <c r="K171" s="16">
        <v>32.352400000000003</v>
      </c>
      <c r="L171" s="16">
        <v>36.877000000000002</v>
      </c>
      <c r="M171" s="16">
        <v>38.4666</v>
      </c>
      <c r="N171" s="16">
        <v>27.7546</v>
      </c>
      <c r="O171" s="16">
        <f t="shared" si="19"/>
        <v>33.682250000000003</v>
      </c>
      <c r="P171" s="7"/>
      <c r="Q171" s="8">
        <f>bdrate(C171:C174,D171:D174,J171:J174,K171:K174)</f>
        <v>-0.24179774896498796</v>
      </c>
      <c r="R171" s="8">
        <f>bdrate(C171:C174,E171:E174,J171:J174,L171:L174)</f>
        <v>-0.3043327847318289</v>
      </c>
      <c r="S171" s="8">
        <f>bdrate(C171:C174,F171:F174,J171:J174,M171:M174)</f>
        <v>-0.30645495132592349</v>
      </c>
      <c r="T171" s="25">
        <f>bdrate(C171:C174,H171:H174,J171:J174,O171:O174)</f>
        <v>-0.25336908797760971</v>
      </c>
      <c r="U171" s="28">
        <f t="shared" si="23"/>
        <v>-0.21971886421141412</v>
      </c>
      <c r="V171" s="57">
        <f t="shared" si="22"/>
        <v>7.7638709677419301E-2</v>
      </c>
      <c r="W171" s="57">
        <f t="shared" si="21"/>
        <v>3.075333333333295E-3</v>
      </c>
      <c r="X171" s="56">
        <v>1550</v>
      </c>
      <c r="Y171" s="56">
        <v>1200</v>
      </c>
    </row>
    <row r="172" spans="1:25" x14ac:dyDescent="0.25">
      <c r="B172" s="9"/>
      <c r="C172" s="17">
        <v>974.24</v>
      </c>
      <c r="D172" s="18">
        <v>30.675999999999998</v>
      </c>
      <c r="E172" s="18">
        <v>35.619999999999997</v>
      </c>
      <c r="F172" s="18">
        <v>37.168999999999997</v>
      </c>
      <c r="G172" s="18">
        <v>36.659999999999997</v>
      </c>
      <c r="H172" s="18">
        <f t="shared" si="18"/>
        <v>32.105624999999996</v>
      </c>
      <c r="I172" s="5"/>
      <c r="J172" s="17">
        <v>801.20320000000004</v>
      </c>
      <c r="K172" s="18">
        <v>30.805599999999998</v>
      </c>
      <c r="L172" s="18">
        <v>35.993899999999996</v>
      </c>
      <c r="M172" s="18">
        <v>37.560600000000001</v>
      </c>
      <c r="N172" s="18">
        <v>32.003399999999999</v>
      </c>
      <c r="O172" s="18">
        <f t="shared" si="19"/>
        <v>32.298512500000001</v>
      </c>
      <c r="P172" s="7"/>
      <c r="Q172" s="10"/>
      <c r="R172" s="11"/>
      <c r="S172" s="11"/>
      <c r="T172" s="26"/>
      <c r="U172" s="28">
        <f t="shared" si="23"/>
        <v>-0.12702127659574461</v>
      </c>
      <c r="V172" s="57">
        <f t="shared" si="22"/>
        <v>7.215238095238094E-2</v>
      </c>
      <c r="W172" s="57">
        <f t="shared" si="21"/>
        <v>1.5040000000000476E-3</v>
      </c>
      <c r="X172" s="56">
        <v>1050</v>
      </c>
      <c r="Y172" s="56">
        <v>800</v>
      </c>
    </row>
    <row r="173" spans="1:25" x14ac:dyDescent="0.25">
      <c r="B173" s="9"/>
      <c r="C173" s="17">
        <v>613.86</v>
      </c>
      <c r="D173" s="18">
        <v>28.693999999999999</v>
      </c>
      <c r="E173" s="18">
        <v>34.811999999999998</v>
      </c>
      <c r="F173" s="18">
        <v>36.304000000000002</v>
      </c>
      <c r="G173" s="18">
        <v>36.89</v>
      </c>
      <c r="H173" s="18">
        <f t="shared" si="18"/>
        <v>30.41</v>
      </c>
      <c r="I173" s="5"/>
      <c r="J173" s="17">
        <v>500.27280000000002</v>
      </c>
      <c r="K173" s="18">
        <v>29.1099</v>
      </c>
      <c r="L173" s="18">
        <v>35.053899999999999</v>
      </c>
      <c r="M173" s="18">
        <v>36.572800000000001</v>
      </c>
      <c r="N173" s="18">
        <v>37.641199999999998</v>
      </c>
      <c r="O173" s="18">
        <f t="shared" si="19"/>
        <v>30.785762500000001</v>
      </c>
      <c r="P173" s="7"/>
      <c r="Q173" s="10"/>
      <c r="R173" s="11"/>
      <c r="S173" s="11"/>
      <c r="T173" s="26"/>
      <c r="U173" s="28">
        <f t="shared" si="23"/>
        <v>2.0363242071021879E-2</v>
      </c>
      <c r="V173" s="57">
        <f t="shared" si="22"/>
        <v>5.5599999999999976E-2</v>
      </c>
      <c r="W173" s="57">
        <f t="shared" si="21"/>
        <v>5.4560000000003581E-4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381.29</v>
      </c>
      <c r="D174" s="20">
        <v>26.631</v>
      </c>
      <c r="E174" s="20">
        <v>33.926000000000002</v>
      </c>
      <c r="F174" s="20">
        <v>35.305</v>
      </c>
      <c r="G174" s="20">
        <v>37.090000000000003</v>
      </c>
      <c r="H174" s="20">
        <f t="shared" si="18"/>
        <v>28.627124999999999</v>
      </c>
      <c r="I174" s="5"/>
      <c r="J174" s="19">
        <v>300.28719999999998</v>
      </c>
      <c r="K174" s="20">
        <v>27.514299999999999</v>
      </c>
      <c r="L174" s="20">
        <v>34.137</v>
      </c>
      <c r="M174" s="20">
        <v>35.577399999999997</v>
      </c>
      <c r="N174" s="20">
        <v>45.248899999999999</v>
      </c>
      <c r="O174" s="20">
        <f t="shared" si="19"/>
        <v>29.350025000000002</v>
      </c>
      <c r="P174" s="7"/>
      <c r="Q174" s="13"/>
      <c r="R174" s="14"/>
      <c r="S174" s="14"/>
      <c r="T174" s="27"/>
      <c r="U174" s="28">
        <f t="shared" si="23"/>
        <v>0.21997573469937975</v>
      </c>
      <c r="V174" s="57">
        <f t="shared" si="22"/>
        <v>4.6774999999999949E-2</v>
      </c>
      <c r="W174" s="57">
        <f t="shared" si="21"/>
        <v>9.5733333333328121E-4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852.19</v>
      </c>
      <c r="D175" s="16">
        <v>34.86</v>
      </c>
      <c r="E175" s="16">
        <v>38.927999999999997</v>
      </c>
      <c r="F175" s="16">
        <v>37.774000000000001</v>
      </c>
      <c r="G175" s="16">
        <v>151.04</v>
      </c>
      <c r="H175" s="16">
        <f t="shared" si="18"/>
        <v>35.732749999999996</v>
      </c>
      <c r="I175" s="5"/>
      <c r="J175" s="15">
        <v>601.73599999999999</v>
      </c>
      <c r="K175" s="16">
        <v>34.298299999999998</v>
      </c>
      <c r="L175" s="16">
        <v>39.678600000000003</v>
      </c>
      <c r="M175" s="16">
        <v>38.174500000000002</v>
      </c>
      <c r="N175" s="16">
        <v>101.6467</v>
      </c>
      <c r="O175" s="16">
        <f t="shared" si="19"/>
        <v>35.4553625</v>
      </c>
      <c r="P175" s="7"/>
      <c r="Q175" s="8">
        <f>bdrate(C175:C178,D175:D178,J175:J178,K175:K178)</f>
        <v>-0.25266334488144693</v>
      </c>
      <c r="R175" s="8">
        <f>bdrate(C175:C178,E175:E178,J175:J178,L175:L178)</f>
        <v>-0.4253044689592167</v>
      </c>
      <c r="S175" s="8">
        <f>bdrate(C175:C178,F175:F178,J175:J178,M175:M178)</f>
        <v>-0.33294985223610696</v>
      </c>
      <c r="T175" s="25">
        <f>bdrate(C175:C178,H175:H178,J175:J178,O175:O178)</f>
        <v>-0.27364851008241575</v>
      </c>
      <c r="U175" s="28">
        <f t="shared" si="23"/>
        <v>-0.32702131885593222</v>
      </c>
      <c r="V175" s="57">
        <f t="shared" si="22"/>
        <v>6.5237500000000073E-2</v>
      </c>
      <c r="W175" s="57">
        <f t="shared" si="21"/>
        <v>2.8933333333333168E-3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534.25</v>
      </c>
      <c r="D176" s="18">
        <v>32.628</v>
      </c>
      <c r="E176" s="18">
        <v>37.747999999999998</v>
      </c>
      <c r="F176" s="18">
        <v>36.378999999999998</v>
      </c>
      <c r="G176" s="18">
        <v>167.66</v>
      </c>
      <c r="H176" s="18">
        <f t="shared" si="18"/>
        <v>33.736874999999998</v>
      </c>
      <c r="I176" s="5"/>
      <c r="J176" s="17">
        <v>403.17680000000001</v>
      </c>
      <c r="K176" s="18">
        <v>32.484400000000001</v>
      </c>
      <c r="L176" s="18">
        <v>38.510300000000001</v>
      </c>
      <c r="M176" s="18">
        <v>36.837400000000002</v>
      </c>
      <c r="N176" s="18">
        <v>114.25960000000001</v>
      </c>
      <c r="O176" s="18">
        <f t="shared" si="19"/>
        <v>33.781762499999999</v>
      </c>
      <c r="P176" s="7"/>
      <c r="Q176" s="10"/>
      <c r="R176" s="11"/>
      <c r="S176" s="11"/>
      <c r="T176" s="26"/>
      <c r="U176" s="28">
        <f t="shared" si="23"/>
        <v>-0.31850411547178809</v>
      </c>
      <c r="V176" s="57">
        <f t="shared" si="22"/>
        <v>6.8500000000000005E-2</v>
      </c>
      <c r="W176" s="57">
        <f t="shared" si="21"/>
        <v>7.9420000000000358E-3</v>
      </c>
      <c r="X176" s="56">
        <v>500</v>
      </c>
      <c r="Y176" s="56">
        <v>400</v>
      </c>
    </row>
    <row r="177" spans="1:25" x14ac:dyDescent="0.25">
      <c r="B177" s="9"/>
      <c r="C177" s="17">
        <v>322.75</v>
      </c>
      <c r="D177" s="18">
        <v>30.326000000000001</v>
      </c>
      <c r="E177" s="18">
        <v>36.731000000000002</v>
      </c>
      <c r="F177" s="18">
        <v>35.15</v>
      </c>
      <c r="G177" s="18">
        <v>173.66</v>
      </c>
      <c r="H177" s="18">
        <f t="shared" si="18"/>
        <v>31.729625000000002</v>
      </c>
      <c r="I177" s="5"/>
      <c r="J177" s="17">
        <v>252.86080000000001</v>
      </c>
      <c r="K177" s="18">
        <v>30.5335</v>
      </c>
      <c r="L177" s="18">
        <v>37.3855</v>
      </c>
      <c r="M177" s="18">
        <v>35.579000000000001</v>
      </c>
      <c r="N177" s="18">
        <v>133.04949999999999</v>
      </c>
      <c r="O177" s="18">
        <f t="shared" si="19"/>
        <v>32.020687500000001</v>
      </c>
      <c r="P177" s="7"/>
      <c r="Q177" s="10"/>
      <c r="R177" s="11"/>
      <c r="S177" s="11"/>
      <c r="T177" s="26"/>
      <c r="U177" s="28">
        <f t="shared" si="23"/>
        <v>-0.23385062766325004</v>
      </c>
      <c r="V177" s="57">
        <f t="shared" si="22"/>
        <v>7.5833333333333336E-2</v>
      </c>
      <c r="W177" s="57">
        <f t="shared" si="21"/>
        <v>1.1443200000000047E-2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164.89</v>
      </c>
      <c r="D178" s="20">
        <v>27.25</v>
      </c>
      <c r="E178" s="20">
        <v>35.466000000000001</v>
      </c>
      <c r="F178" s="20">
        <v>33.737000000000002</v>
      </c>
      <c r="G178" s="20">
        <v>175.91</v>
      </c>
      <c r="H178" s="20">
        <f t="shared" si="18"/>
        <v>29.087875</v>
      </c>
      <c r="I178" s="5"/>
      <c r="J178" s="19">
        <v>121.6016</v>
      </c>
      <c r="K178" s="20">
        <v>27.6905</v>
      </c>
      <c r="L178" s="20">
        <v>35.741</v>
      </c>
      <c r="M178" s="20">
        <v>33.5989</v>
      </c>
      <c r="N178" s="20">
        <v>171.1157</v>
      </c>
      <c r="O178" s="20">
        <f t="shared" si="19"/>
        <v>29.435362500000004</v>
      </c>
      <c r="P178" s="7"/>
      <c r="Q178" s="13"/>
      <c r="R178" s="14"/>
      <c r="S178" s="14"/>
      <c r="T178" s="27"/>
      <c r="U178" s="28">
        <f t="shared" si="23"/>
        <v>-2.7254277755670471E-2</v>
      </c>
      <c r="V178" s="57">
        <f t="shared" si="22"/>
        <v>9.9266666666666573E-2</v>
      </c>
      <c r="W178" s="57">
        <f t="shared" si="21"/>
        <v>1.3346666666666706E-2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750.64</v>
      </c>
      <c r="D179" s="16">
        <v>31.797000000000001</v>
      </c>
      <c r="E179" s="16">
        <v>39.103999999999999</v>
      </c>
      <c r="F179" s="16">
        <v>39.707999999999998</v>
      </c>
      <c r="G179" s="16">
        <v>180.03</v>
      </c>
      <c r="H179" s="16">
        <f t="shared" si="18"/>
        <v>33.699250000000006</v>
      </c>
      <c r="I179" s="5"/>
      <c r="J179" s="15">
        <v>599.44640000000004</v>
      </c>
      <c r="K179" s="16">
        <v>33.567300000000003</v>
      </c>
      <c r="L179" s="16">
        <v>41.322899999999997</v>
      </c>
      <c r="M179" s="16">
        <v>42.155099999999997</v>
      </c>
      <c r="N179" s="16">
        <v>121.4821</v>
      </c>
      <c r="O179" s="16">
        <f t="shared" si="19"/>
        <v>35.610225</v>
      </c>
      <c r="P179" s="7"/>
      <c r="Q179" s="8">
        <f>bdrate(C179:C182,D179:D182,J179:J182,K179:K182)</f>
        <v>-0.54222853203272248</v>
      </c>
      <c r="R179" s="8">
        <f>bdrate(C179:C182,E179:E182,J179:J182,L179:L182)</f>
        <v>-0.65915945430894274</v>
      </c>
      <c r="S179" s="8">
        <f>bdrate(C179:C182,F179:F182,J179:J182,M179:M182)</f>
        <v>-0.71829665742142357</v>
      </c>
      <c r="T179" s="25">
        <f>bdrate(C179:C182,H179:H182,J179:J182,O179:O182)</f>
        <v>-0.56703641485457612</v>
      </c>
      <c r="U179" s="28">
        <f t="shared" si="23"/>
        <v>-0.32521190912625675</v>
      </c>
      <c r="V179" s="57">
        <f t="shared" si="22"/>
        <v>6.1700000000000019E-2</v>
      </c>
      <c r="W179" s="57">
        <f t="shared" si="21"/>
        <v>9.2266666666660055E-4</v>
      </c>
      <c r="X179" s="56">
        <v>800</v>
      </c>
      <c r="Y179" s="56">
        <v>600</v>
      </c>
    </row>
    <row r="180" spans="1:25" x14ac:dyDescent="0.25">
      <c r="B180" s="9"/>
      <c r="C180" s="17">
        <v>463.18</v>
      </c>
      <c r="D180" s="18">
        <v>30.175000000000001</v>
      </c>
      <c r="E180" s="18">
        <v>38.668999999999997</v>
      </c>
      <c r="F180" s="18">
        <v>39.106000000000002</v>
      </c>
      <c r="G180" s="18">
        <v>181.33</v>
      </c>
      <c r="H180" s="18">
        <f t="shared" si="18"/>
        <v>32.353124999999999</v>
      </c>
      <c r="I180" s="5"/>
      <c r="J180" s="17">
        <v>399.20319999999998</v>
      </c>
      <c r="K180" s="18">
        <v>32.2883</v>
      </c>
      <c r="L180" s="18">
        <v>40.497900000000001</v>
      </c>
      <c r="M180" s="18">
        <v>41.284300000000002</v>
      </c>
      <c r="N180" s="18">
        <v>142.48400000000001</v>
      </c>
      <c r="O180" s="18">
        <f t="shared" si="19"/>
        <v>34.439000000000007</v>
      </c>
      <c r="P180" s="7"/>
      <c r="Q180" s="10"/>
      <c r="R180" s="11"/>
      <c r="S180" s="11"/>
      <c r="T180" s="26"/>
      <c r="U180" s="28">
        <f t="shared" si="23"/>
        <v>-0.21422820272431478</v>
      </c>
      <c r="V180" s="57">
        <f t="shared" si="22"/>
        <v>7.3639999999999983E-2</v>
      </c>
      <c r="W180" s="57">
        <f t="shared" si="21"/>
        <v>1.9920000000000471E-3</v>
      </c>
      <c r="X180" s="56">
        <v>500</v>
      </c>
      <c r="Y180" s="56">
        <v>400</v>
      </c>
    </row>
    <row r="181" spans="1:25" x14ac:dyDescent="0.25">
      <c r="B181" s="9"/>
      <c r="C181" s="17">
        <v>274.01</v>
      </c>
      <c r="D181" s="18">
        <v>28.355</v>
      </c>
      <c r="E181" s="18">
        <v>38.145000000000003</v>
      </c>
      <c r="F181" s="18">
        <v>38.414000000000001</v>
      </c>
      <c r="G181" s="18">
        <v>184.12</v>
      </c>
      <c r="H181" s="18">
        <f t="shared" si="18"/>
        <v>30.836125000000003</v>
      </c>
      <c r="I181" s="5"/>
      <c r="J181" s="17">
        <v>249.8272</v>
      </c>
      <c r="K181" s="18">
        <v>30.746400000000001</v>
      </c>
      <c r="L181" s="18">
        <v>39.501800000000003</v>
      </c>
      <c r="M181" s="18">
        <v>40.309699999999999</v>
      </c>
      <c r="N181" s="18">
        <v>164.60910000000001</v>
      </c>
      <c r="O181" s="18">
        <f t="shared" si="19"/>
        <v>33.036237500000006</v>
      </c>
      <c r="P181" s="7"/>
      <c r="Q181" s="10"/>
      <c r="R181" s="11"/>
      <c r="S181" s="11"/>
      <c r="T181" s="26"/>
      <c r="U181" s="28">
        <f t="shared" si="23"/>
        <v>-0.10596839018031715</v>
      </c>
      <c r="V181" s="57">
        <f t="shared" si="22"/>
        <v>8.6633333333333368E-2</v>
      </c>
      <c r="W181" s="57">
        <f t="shared" si="21"/>
        <v>6.911999999999807E-4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134.53</v>
      </c>
      <c r="D182" s="20">
        <v>26.074000000000002</v>
      </c>
      <c r="E182" s="20">
        <v>37.448</v>
      </c>
      <c r="F182" s="20">
        <v>37.747</v>
      </c>
      <c r="G182" s="20">
        <v>186.18</v>
      </c>
      <c r="H182" s="20">
        <f t="shared" si="18"/>
        <v>28.954875000000001</v>
      </c>
      <c r="I182" s="5"/>
      <c r="J182" s="19">
        <v>119.64239999999999</v>
      </c>
      <c r="K182" s="20">
        <v>28.132000000000001</v>
      </c>
      <c r="L182" s="20">
        <v>38.200200000000002</v>
      </c>
      <c r="M182" s="20">
        <v>38.835999999999999</v>
      </c>
      <c r="N182" s="20">
        <v>200.46780000000001</v>
      </c>
      <c r="O182" s="20">
        <f t="shared" si="19"/>
        <v>30.728524999999998</v>
      </c>
      <c r="P182" s="7"/>
      <c r="Q182" s="13"/>
      <c r="R182" s="14"/>
      <c r="S182" s="14"/>
      <c r="T182" s="27"/>
      <c r="U182" s="28">
        <f t="shared" si="23"/>
        <v>7.6741862713503084E-2</v>
      </c>
      <c r="V182" s="57">
        <f t="shared" si="22"/>
        <v>0.10313333333333333</v>
      </c>
      <c r="W182" s="57">
        <f t="shared" si="21"/>
        <v>2.9800000000000421E-3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835.29</v>
      </c>
      <c r="D183" s="30">
        <v>33.063000000000002</v>
      </c>
      <c r="E183" s="30">
        <v>36.619999999999997</v>
      </c>
      <c r="F183" s="30">
        <v>37.048999999999999</v>
      </c>
      <c r="G183" s="16">
        <v>172.15</v>
      </c>
      <c r="H183" s="16">
        <f t="shared" si="18"/>
        <v>34.005875000000003</v>
      </c>
      <c r="I183" s="5"/>
      <c r="J183" s="29">
        <v>639.65520000000004</v>
      </c>
      <c r="K183" s="30">
        <v>33.1126</v>
      </c>
      <c r="L183" s="30">
        <v>38.164200000000001</v>
      </c>
      <c r="M183" s="30">
        <v>38.933300000000003</v>
      </c>
      <c r="N183" s="16">
        <v>112.0072</v>
      </c>
      <c r="O183" s="16">
        <f t="shared" si="19"/>
        <v>34.4716375</v>
      </c>
      <c r="P183" s="7"/>
      <c r="Q183" s="8">
        <f>bdrate(C183:C186,D183:D186,J183:J186,K183:K186)</f>
        <v>-0.28549585218262707</v>
      </c>
      <c r="R183" s="8">
        <f>bdrate(C183:C186,E183:E186,J183:J186,L183:L186)</f>
        <v>-0.58221466017895596</v>
      </c>
      <c r="S183" s="8">
        <f>bdrate(C183:C186,F183:F186,J183:J186,M183:M186)</f>
        <v>-0.62836842961247497</v>
      </c>
      <c r="T183" s="25">
        <f>bdrate(C183:C186,H183:H186,J183:J186,O183:O186)</f>
        <v>-0.35014193812089001</v>
      </c>
      <c r="U183" s="28">
        <f t="shared" si="23"/>
        <v>-0.34936276503049668</v>
      </c>
      <c r="V183" s="57">
        <f t="shared" si="22"/>
        <v>4.4112499999999957E-2</v>
      </c>
      <c r="W183" s="57">
        <f t="shared" si="21"/>
        <v>6.6092000000000053E-2</v>
      </c>
      <c r="X183" s="56">
        <v>800</v>
      </c>
      <c r="Y183" s="56">
        <v>600</v>
      </c>
    </row>
    <row r="184" spans="1:25" x14ac:dyDescent="0.25">
      <c r="B184" s="9"/>
      <c r="C184" s="31">
        <v>520.98</v>
      </c>
      <c r="D184" s="32">
        <v>31.126999999999999</v>
      </c>
      <c r="E184" s="32">
        <v>35.572000000000003</v>
      </c>
      <c r="F184" s="32">
        <v>36.003</v>
      </c>
      <c r="G184" s="18">
        <v>178.77</v>
      </c>
      <c r="H184" s="18">
        <f t="shared" si="18"/>
        <v>32.292124999999999</v>
      </c>
      <c r="I184" s="5"/>
      <c r="J184" s="31">
        <v>422.54079999999999</v>
      </c>
      <c r="K184" s="32">
        <v>31.530899999999999</v>
      </c>
      <c r="L184" s="32">
        <v>37.105600000000003</v>
      </c>
      <c r="M184" s="32">
        <v>37.827399999999997</v>
      </c>
      <c r="N184" s="18">
        <v>126.6785</v>
      </c>
      <c r="O184" s="18">
        <f t="shared" si="19"/>
        <v>33.014800000000001</v>
      </c>
      <c r="P184" s="7"/>
      <c r="Q184" s="10"/>
      <c r="R184" s="11"/>
      <c r="S184" s="11"/>
      <c r="T184" s="26"/>
      <c r="U184" s="28">
        <f t="shared" si="23"/>
        <v>-0.29138837612574819</v>
      </c>
      <c r="V184" s="57">
        <f t="shared" si="22"/>
        <v>4.1960000000000039E-2</v>
      </c>
      <c r="W184" s="57">
        <f t="shared" si="21"/>
        <v>5.6351999999999978E-2</v>
      </c>
      <c r="X184" s="56">
        <v>500</v>
      </c>
      <c r="Y184" s="56">
        <v>400</v>
      </c>
    </row>
    <row r="185" spans="1:25" x14ac:dyDescent="0.25">
      <c r="B185" s="9"/>
      <c r="C185" s="31">
        <v>311.05</v>
      </c>
      <c r="D185" s="32">
        <v>29.187000000000001</v>
      </c>
      <c r="E185" s="32">
        <v>34.591000000000001</v>
      </c>
      <c r="F185" s="32">
        <v>35.091000000000001</v>
      </c>
      <c r="G185" s="18">
        <v>181.95</v>
      </c>
      <c r="H185" s="18">
        <f t="shared" si="18"/>
        <v>30.600500000000004</v>
      </c>
      <c r="I185" s="5"/>
      <c r="J185" s="31">
        <v>263.91120000000001</v>
      </c>
      <c r="K185" s="32">
        <v>29.8504</v>
      </c>
      <c r="L185" s="32">
        <v>35.979700000000001</v>
      </c>
      <c r="M185" s="32">
        <v>36.7012</v>
      </c>
      <c r="N185" s="18">
        <v>143.88489999999999</v>
      </c>
      <c r="O185" s="18">
        <f t="shared" si="19"/>
        <v>31.4729125</v>
      </c>
      <c r="P185" s="7"/>
      <c r="Q185" s="10"/>
      <c r="R185" s="11"/>
      <c r="S185" s="11"/>
      <c r="T185" s="26"/>
      <c r="U185" s="28">
        <f t="shared" si="23"/>
        <v>-0.20920637537785108</v>
      </c>
      <c r="V185" s="57">
        <f t="shared" si="22"/>
        <v>3.6833333333333371E-2</v>
      </c>
      <c r="W185" s="57">
        <f t="shared" si="21"/>
        <v>5.5644800000000029E-2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152.88</v>
      </c>
      <c r="D186" s="34">
        <v>26.786000000000001</v>
      </c>
      <c r="E186" s="34">
        <v>33.668999999999997</v>
      </c>
      <c r="F186" s="34">
        <v>34.203000000000003</v>
      </c>
      <c r="G186" s="20">
        <v>183.92</v>
      </c>
      <c r="H186" s="20">
        <f t="shared" si="18"/>
        <v>28.573499999999999</v>
      </c>
      <c r="I186" s="5"/>
      <c r="J186" s="33">
        <v>126.2864</v>
      </c>
      <c r="K186" s="34">
        <v>27.4115</v>
      </c>
      <c r="L186" s="34">
        <v>34.518099999999997</v>
      </c>
      <c r="M186" s="34">
        <v>35.132800000000003</v>
      </c>
      <c r="N186" s="20">
        <v>183.35169999999999</v>
      </c>
      <c r="O186" s="20">
        <f t="shared" si="19"/>
        <v>29.2649875</v>
      </c>
      <c r="P186" s="7"/>
      <c r="Q186" s="13"/>
      <c r="R186" s="14"/>
      <c r="S186" s="14"/>
      <c r="T186" s="27"/>
      <c r="U186" s="28">
        <f t="shared" si="23"/>
        <v>-3.0899304045236714E-3</v>
      </c>
      <c r="V186" s="57">
        <f t="shared" si="22"/>
        <v>1.9199999999999971E-2</v>
      </c>
      <c r="W186" s="57">
        <f t="shared" si="21"/>
        <v>5.2386666666666672E-2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766.76</v>
      </c>
      <c r="D187" s="16">
        <v>34.593000000000004</v>
      </c>
      <c r="E187" s="16">
        <v>37.106999999999999</v>
      </c>
      <c r="F187" s="16">
        <v>38.167000000000002</v>
      </c>
      <c r="G187" s="16">
        <v>126.7</v>
      </c>
      <c r="H187" s="16">
        <f t="shared" si="18"/>
        <v>35.353999999999999</v>
      </c>
      <c r="I187" s="5"/>
      <c r="J187" s="15">
        <v>601.94079999999997</v>
      </c>
      <c r="K187" s="16">
        <v>33.868099999999998</v>
      </c>
      <c r="L187" s="16">
        <v>37.734499999999997</v>
      </c>
      <c r="M187" s="16">
        <v>38.820099999999996</v>
      </c>
      <c r="N187" s="16">
        <v>73.909800000000004</v>
      </c>
      <c r="O187" s="16">
        <f t="shared" si="19"/>
        <v>34.970399999999998</v>
      </c>
      <c r="P187" s="7"/>
      <c r="Q187" s="8">
        <f>bdrate(C187:C190,D187:D190,J187:J190,K187:K190)</f>
        <v>-0.13282491413040498</v>
      </c>
      <c r="R187" s="8">
        <f>bdrate(C187:C190,E187:E190,J187:J190,L187:L190)</f>
        <v>-0.32793800199375189</v>
      </c>
      <c r="S187" s="8">
        <f>bdrate(C187:C190,F187:F190,J187:J190,M187:M190)</f>
        <v>-0.34261544439813685</v>
      </c>
      <c r="T187" s="25">
        <f>bdrate(C187:C190,H187:H190,J187:J190,O187:O190)</f>
        <v>-0.16739874772364205</v>
      </c>
      <c r="U187" s="28">
        <f t="shared" si="23"/>
        <v>-0.41665509076558799</v>
      </c>
      <c r="V187" s="57">
        <f t="shared" si="22"/>
        <v>4.1550000000000011E-2</v>
      </c>
      <c r="W187" s="57">
        <f t="shared" si="21"/>
        <v>3.2346666666666123E-3</v>
      </c>
      <c r="X187" s="56">
        <v>800</v>
      </c>
      <c r="Y187" s="56">
        <v>600</v>
      </c>
    </row>
    <row r="188" spans="1:25" x14ac:dyDescent="0.25">
      <c r="B188" s="9"/>
      <c r="C188" s="17">
        <v>480.72</v>
      </c>
      <c r="D188" s="18">
        <v>32.335999999999999</v>
      </c>
      <c r="E188" s="18">
        <v>35.901000000000003</v>
      </c>
      <c r="F188" s="18">
        <v>36.923999999999999</v>
      </c>
      <c r="G188" s="18">
        <v>137.72999999999999</v>
      </c>
      <c r="H188" s="18">
        <f t="shared" si="18"/>
        <v>33.355125000000001</v>
      </c>
      <c r="I188" s="5"/>
      <c r="J188" s="17">
        <v>402.60879999999997</v>
      </c>
      <c r="K188" s="18">
        <v>31.968399999999999</v>
      </c>
      <c r="L188" s="18">
        <v>36.522300000000001</v>
      </c>
      <c r="M188" s="18">
        <v>37.628</v>
      </c>
      <c r="N188" s="18">
        <v>83.588700000000003</v>
      </c>
      <c r="O188" s="18">
        <f t="shared" si="19"/>
        <v>33.245087499999997</v>
      </c>
      <c r="P188" s="7"/>
      <c r="Q188" s="10"/>
      <c r="R188" s="11"/>
      <c r="S188" s="11"/>
      <c r="T188" s="26"/>
      <c r="U188" s="28">
        <f t="shared" si="23"/>
        <v>-0.39309736440862553</v>
      </c>
      <c r="V188" s="57">
        <f t="shared" si="22"/>
        <v>3.8559999999999948E-2</v>
      </c>
      <c r="W188" s="57">
        <f t="shared" si="21"/>
        <v>6.5219999999999341E-3</v>
      </c>
      <c r="X188" s="56">
        <v>500</v>
      </c>
      <c r="Y188" s="56">
        <v>400</v>
      </c>
    </row>
    <row r="189" spans="1:25" x14ac:dyDescent="0.25">
      <c r="B189" s="9"/>
      <c r="C189" s="17">
        <v>289.39999999999998</v>
      </c>
      <c r="D189" s="18">
        <v>30.096</v>
      </c>
      <c r="E189" s="18">
        <v>34.816000000000003</v>
      </c>
      <c r="F189" s="18">
        <v>35.816000000000003</v>
      </c>
      <c r="G189" s="18">
        <v>150.4</v>
      </c>
      <c r="H189" s="18">
        <f t="shared" si="18"/>
        <v>31.401</v>
      </c>
      <c r="I189" s="5"/>
      <c r="J189" s="17">
        <v>250.60640000000001</v>
      </c>
      <c r="K189" s="18">
        <v>30.085000000000001</v>
      </c>
      <c r="L189" s="18">
        <v>35.326300000000003</v>
      </c>
      <c r="M189" s="18">
        <v>36.3887</v>
      </c>
      <c r="N189" s="18">
        <v>99.5685</v>
      </c>
      <c r="O189" s="18">
        <f t="shared" si="19"/>
        <v>31.528124999999999</v>
      </c>
      <c r="P189" s="7"/>
      <c r="Q189" s="10"/>
      <c r="R189" s="11"/>
      <c r="S189" s="11"/>
      <c r="T189" s="26"/>
      <c r="U189" s="28">
        <f t="shared" si="23"/>
        <v>-0.33797539893617023</v>
      </c>
      <c r="V189" s="57">
        <f t="shared" si="22"/>
        <v>3.5333333333333411E-2</v>
      </c>
      <c r="W189" s="57">
        <f t="shared" si="21"/>
        <v>2.4256000000000312E-3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143.88</v>
      </c>
      <c r="D190" s="20">
        <v>27.198</v>
      </c>
      <c r="E190" s="20">
        <v>33.484000000000002</v>
      </c>
      <c r="F190" s="20">
        <v>34.433</v>
      </c>
      <c r="G190" s="20">
        <v>153.44</v>
      </c>
      <c r="H190" s="20">
        <f t="shared" si="18"/>
        <v>28.888124999999999</v>
      </c>
      <c r="I190" s="5"/>
      <c r="J190" s="19">
        <v>120.67359999999999</v>
      </c>
      <c r="K190" s="20">
        <v>27.593399999999999</v>
      </c>
      <c r="L190" s="20">
        <v>33.815800000000003</v>
      </c>
      <c r="M190" s="20">
        <v>34.8232</v>
      </c>
      <c r="N190" s="20">
        <v>127.49679999999999</v>
      </c>
      <c r="O190" s="20">
        <f t="shared" si="19"/>
        <v>29.274924999999996</v>
      </c>
      <c r="P190" s="7"/>
      <c r="Q190" s="13"/>
      <c r="R190" s="14"/>
      <c r="S190" s="14"/>
      <c r="T190" s="27"/>
      <c r="U190" s="28">
        <f t="shared" si="23"/>
        <v>-0.16907716371220025</v>
      </c>
      <c r="V190" s="57">
        <f t="shared" si="22"/>
        <v>4.0800000000000031E-2</v>
      </c>
      <c r="W190" s="57">
        <f t="shared" si="21"/>
        <v>5.6133333333332775E-3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1897.66</v>
      </c>
      <c r="D191" s="16">
        <v>40.859000000000002</v>
      </c>
      <c r="E191" s="16">
        <v>44.552999999999997</v>
      </c>
      <c r="F191" s="16">
        <v>45.646999999999998</v>
      </c>
      <c r="G191" s="16">
        <v>20.46</v>
      </c>
      <c r="H191" s="16">
        <f t="shared" si="18"/>
        <v>41.919249999999998</v>
      </c>
      <c r="I191" s="5"/>
      <c r="J191" s="15">
        <v>1498.6207999999999</v>
      </c>
      <c r="K191" s="16">
        <v>41.336599999999997</v>
      </c>
      <c r="L191" s="16">
        <v>45.800800000000002</v>
      </c>
      <c r="M191" s="16">
        <v>47.000999999999998</v>
      </c>
      <c r="N191" s="16">
        <v>26.505299999999998</v>
      </c>
      <c r="O191" s="16">
        <f t="shared" si="19"/>
        <v>42.602674999999991</v>
      </c>
      <c r="P191" s="7"/>
      <c r="Q191" s="8">
        <f>bdrate(C191:C194,D191:D194,J191:J194,K191:K194)</f>
        <v>-0.38150737749970054</v>
      </c>
      <c r="R191" s="8">
        <f>bdrate(C191:C194,E191:E194,J191:J194,L191:L194)</f>
        <v>-0.52695588637406798</v>
      </c>
      <c r="S191" s="8">
        <f>bdrate(C191:C194,F191:F194,J191:J194,M191:M194)</f>
        <v>-0.54090251777983545</v>
      </c>
      <c r="T191" s="25">
        <f>bdrate(C191:C194,H191:H194,J191:J194,O191:O194)</f>
        <v>-0.41366949194592029</v>
      </c>
      <c r="U191" s="28">
        <f t="shared" si="23"/>
        <v>0.29546920821114359</v>
      </c>
      <c r="V191" s="57">
        <f t="shared" si="22"/>
        <v>9.6352380952380912E-2</v>
      </c>
      <c r="W191" s="57">
        <f t="shared" si="21"/>
        <v>9.1946666666672169E-4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1237.3</v>
      </c>
      <c r="D192" s="18">
        <v>39.444000000000003</v>
      </c>
      <c r="E192" s="18">
        <v>43.365000000000002</v>
      </c>
      <c r="F192" s="18">
        <v>44.357999999999997</v>
      </c>
      <c r="G192" s="18">
        <v>20.59</v>
      </c>
      <c r="H192" s="18">
        <f t="shared" si="18"/>
        <v>40.548375</v>
      </c>
      <c r="I192" s="5"/>
      <c r="J192" s="17">
        <v>987.37120000000004</v>
      </c>
      <c r="K192" s="18">
        <v>40.191299999999998</v>
      </c>
      <c r="L192" s="18">
        <v>44.861899999999999</v>
      </c>
      <c r="M192" s="18">
        <v>46.027000000000001</v>
      </c>
      <c r="N192" s="18">
        <v>30.006</v>
      </c>
      <c r="O192" s="18">
        <f t="shared" si="19"/>
        <v>41.5045875</v>
      </c>
      <c r="P192" s="7"/>
      <c r="Q192" s="10"/>
      <c r="R192" s="11"/>
      <c r="S192" s="11"/>
      <c r="T192" s="26"/>
      <c r="U192" s="28">
        <f t="shared" si="23"/>
        <v>0.45730937348227296</v>
      </c>
      <c r="V192" s="57">
        <f t="shared" si="22"/>
        <v>0.11621428571428574</v>
      </c>
      <c r="W192" s="57">
        <f t="shared" si="21"/>
        <v>1.2628799999999956E-2</v>
      </c>
      <c r="X192" s="56">
        <v>1400</v>
      </c>
      <c r="Y192" s="56">
        <v>1000</v>
      </c>
    </row>
    <row r="193" spans="1:25" x14ac:dyDescent="0.25">
      <c r="B193" s="9"/>
      <c r="C193" s="17">
        <v>738.35</v>
      </c>
      <c r="D193" s="18">
        <v>37.143999999999998</v>
      </c>
      <c r="E193" s="18">
        <v>41.838000000000001</v>
      </c>
      <c r="F193" s="18">
        <v>42.857999999999997</v>
      </c>
      <c r="G193" s="18">
        <v>20.53</v>
      </c>
      <c r="H193" s="18">
        <f t="shared" si="18"/>
        <v>38.445</v>
      </c>
      <c r="I193" s="5"/>
      <c r="J193" s="17">
        <v>580.10479999999995</v>
      </c>
      <c r="K193" s="18">
        <v>38.241300000000003</v>
      </c>
      <c r="L193" s="18">
        <v>43.302799999999998</v>
      </c>
      <c r="M193" s="18">
        <v>44.445</v>
      </c>
      <c r="N193" s="18">
        <v>33.793300000000002</v>
      </c>
      <c r="O193" s="18">
        <f t="shared" si="19"/>
        <v>39.649450000000002</v>
      </c>
      <c r="P193" s="7"/>
      <c r="Q193" s="10"/>
      <c r="R193" s="11"/>
      <c r="S193" s="11"/>
      <c r="T193" s="26"/>
      <c r="U193" s="28">
        <f t="shared" si="23"/>
        <v>0.64604481246955681</v>
      </c>
      <c r="V193" s="57">
        <f t="shared" si="22"/>
        <v>0.13135294117647056</v>
      </c>
      <c r="W193" s="57">
        <f t="shared" si="21"/>
        <v>3.3158666666666739E-2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340.88</v>
      </c>
      <c r="D194" s="20">
        <v>32.905000000000001</v>
      </c>
      <c r="E194" s="20">
        <v>39.784999999999997</v>
      </c>
      <c r="F194" s="20">
        <v>40.578000000000003</v>
      </c>
      <c r="G194" s="20">
        <v>20.41</v>
      </c>
      <c r="H194" s="20">
        <f t="shared" si="18"/>
        <v>34.724125000000001</v>
      </c>
      <c r="I194" s="5"/>
      <c r="J194" s="19">
        <v>283.59359999999998</v>
      </c>
      <c r="K194" s="20">
        <v>34.910400000000003</v>
      </c>
      <c r="L194" s="20">
        <v>41.267800000000001</v>
      </c>
      <c r="M194" s="20">
        <v>42.258499999999998</v>
      </c>
      <c r="N194" s="20">
        <v>38.925699999999999</v>
      </c>
      <c r="O194" s="20">
        <f t="shared" si="19"/>
        <v>36.623587499999999</v>
      </c>
      <c r="P194" s="7"/>
      <c r="Q194" s="13"/>
      <c r="R194" s="14"/>
      <c r="S194" s="14"/>
      <c r="T194" s="27"/>
      <c r="U194" s="28">
        <f t="shared" si="23"/>
        <v>0.90718765311121996</v>
      </c>
      <c r="V194" s="57">
        <f t="shared" si="22"/>
        <v>0.14780000000000001</v>
      </c>
      <c r="W194" s="57">
        <f t="shared" si="21"/>
        <v>5.4688000000000063E-2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1987.99</v>
      </c>
      <c r="D195" s="16">
        <v>42.061999999999998</v>
      </c>
      <c r="E195" s="16">
        <v>46.658999999999999</v>
      </c>
      <c r="F195" s="16">
        <v>47.152999999999999</v>
      </c>
      <c r="G195" s="16">
        <v>19.5</v>
      </c>
      <c r="H195" s="16">
        <f t="shared" si="18"/>
        <v>43.273000000000003</v>
      </c>
      <c r="I195" s="5"/>
      <c r="J195" s="15">
        <v>1474.3288</v>
      </c>
      <c r="K195" s="16">
        <v>42.5884</v>
      </c>
      <c r="L195" s="16">
        <v>47.839199999999998</v>
      </c>
      <c r="M195" s="16">
        <v>48.501199999999997</v>
      </c>
      <c r="N195" s="16">
        <v>29.2013</v>
      </c>
      <c r="O195" s="16">
        <f t="shared" si="19"/>
        <v>43.983849999999997</v>
      </c>
      <c r="P195" s="7"/>
      <c r="Q195" s="8">
        <f>bdrate(C195:C198,D195:D198,J195:J198,K195:K198)</f>
        <v>-0.53128931876151397</v>
      </c>
      <c r="R195" s="8">
        <f>bdrate(C195:C198,E195:E198,J195:J198,L195:L198)</f>
        <v>-0.67121834454665286</v>
      </c>
      <c r="S195" s="8">
        <f>bdrate(C195:C198,F195:F198,J195:J198,M195:M198)</f>
        <v>-0.70391089205151403</v>
      </c>
      <c r="T195" s="25">
        <f>bdrate(C195:C198,H195:H198,J195:J198,O195:O198)</f>
        <v>-0.57567780362292864</v>
      </c>
      <c r="U195" s="28">
        <f t="shared" ref="U195:U202" si="24">(N195-G195)/G195</f>
        <v>0.4975025641025641</v>
      </c>
      <c r="V195" s="57">
        <f t="shared" si="22"/>
        <v>5.3338095238095233E-2</v>
      </c>
      <c r="W195" s="57">
        <f t="shared" ref="W195:W202" si="25">ABS(J195-Y195)/Y195</f>
        <v>1.7114133333333333E-2</v>
      </c>
      <c r="X195" s="56">
        <v>2100</v>
      </c>
      <c r="Y195" s="56">
        <v>1500</v>
      </c>
    </row>
    <row r="196" spans="1:25" x14ac:dyDescent="0.25">
      <c r="B196" s="9"/>
      <c r="C196" s="17">
        <v>1297.07</v>
      </c>
      <c r="D196" s="18">
        <v>41.27</v>
      </c>
      <c r="E196" s="18">
        <v>45.774000000000001</v>
      </c>
      <c r="F196" s="18">
        <v>46.162999999999997</v>
      </c>
      <c r="G196" s="18">
        <v>19.579999999999998</v>
      </c>
      <c r="H196" s="18">
        <f t="shared" si="18"/>
        <v>42.444625000000002</v>
      </c>
      <c r="I196" s="5"/>
      <c r="J196" s="17">
        <v>967.94240000000002</v>
      </c>
      <c r="K196" s="18">
        <v>42.032899999999998</v>
      </c>
      <c r="L196" s="18">
        <v>47.315600000000003</v>
      </c>
      <c r="M196" s="18">
        <v>47.987299999999998</v>
      </c>
      <c r="N196" s="18">
        <v>32.4465</v>
      </c>
      <c r="O196" s="18">
        <f t="shared" si="19"/>
        <v>43.437537499999998</v>
      </c>
      <c r="P196" s="7"/>
      <c r="Q196" s="10"/>
      <c r="R196" s="11"/>
      <c r="S196" s="11"/>
      <c r="T196" s="26"/>
      <c r="U196" s="28">
        <f t="shared" si="24"/>
        <v>0.65712461695607782</v>
      </c>
      <c r="V196" s="57">
        <f t="shared" ref="V196:V202" si="26">ABS(C196-X196)/X196</f>
        <v>7.3521428571428613E-2</v>
      </c>
      <c r="W196" s="57">
        <f t="shared" si="25"/>
        <v>3.2057599999999978E-2</v>
      </c>
      <c r="X196" s="56">
        <v>1400</v>
      </c>
      <c r="Y196" s="56">
        <v>1000</v>
      </c>
    </row>
    <row r="197" spans="1:25" x14ac:dyDescent="0.25">
      <c r="B197" s="9"/>
      <c r="C197" s="17">
        <v>761.19</v>
      </c>
      <c r="D197" s="18">
        <v>39.921999999999997</v>
      </c>
      <c r="E197" s="18">
        <v>44.408999999999999</v>
      </c>
      <c r="F197" s="18">
        <v>44.878</v>
      </c>
      <c r="G197" s="18">
        <v>19.66</v>
      </c>
      <c r="H197" s="18">
        <f t="shared" si="18"/>
        <v>41.102374999999995</v>
      </c>
      <c r="I197" s="5"/>
      <c r="J197" s="17">
        <v>574.05600000000004</v>
      </c>
      <c r="K197" s="18">
        <v>41.116700000000002</v>
      </c>
      <c r="L197" s="18">
        <v>46.406500000000001</v>
      </c>
      <c r="M197" s="18">
        <v>47.0595</v>
      </c>
      <c r="N197" s="18">
        <v>35.473599999999998</v>
      </c>
      <c r="O197" s="18">
        <f t="shared" si="19"/>
        <v>42.520775</v>
      </c>
      <c r="P197" s="7"/>
      <c r="Q197" s="10"/>
      <c r="R197" s="11"/>
      <c r="S197" s="11"/>
      <c r="T197" s="26"/>
      <c r="U197" s="28">
        <f t="shared" si="24"/>
        <v>0.80435401831129183</v>
      </c>
      <c r="V197" s="57">
        <f t="shared" si="26"/>
        <v>0.1044823529411764</v>
      </c>
      <c r="W197" s="57">
        <f t="shared" si="25"/>
        <v>4.3239999999999931E-2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337.41</v>
      </c>
      <c r="D198" s="20">
        <v>36.725999999999999</v>
      </c>
      <c r="E198" s="20">
        <v>42.029000000000003</v>
      </c>
      <c r="F198" s="20">
        <v>42.87</v>
      </c>
      <c r="G198" s="20">
        <v>19.57</v>
      </c>
      <c r="H198" s="20">
        <f t="shared" si="18"/>
        <v>38.156874999999999</v>
      </c>
      <c r="I198" s="5"/>
      <c r="J198" s="19">
        <v>278.29919999999998</v>
      </c>
      <c r="K198" s="20">
        <v>39.209099999999999</v>
      </c>
      <c r="L198" s="20">
        <v>44.662500000000001</v>
      </c>
      <c r="M198" s="20">
        <v>45.342500000000001</v>
      </c>
      <c r="N198" s="20">
        <v>39.192599999999999</v>
      </c>
      <c r="O198" s="20">
        <f t="shared" si="19"/>
        <v>40.657449999999997</v>
      </c>
      <c r="P198" s="7"/>
      <c r="Q198" s="13"/>
      <c r="R198" s="14"/>
      <c r="S198" s="14"/>
      <c r="T198" s="27"/>
      <c r="U198" s="28">
        <f t="shared" si="24"/>
        <v>1.0026877874297393</v>
      </c>
      <c r="V198" s="57">
        <f t="shared" si="26"/>
        <v>0.15647499999999995</v>
      </c>
      <c r="W198" s="57">
        <f t="shared" si="25"/>
        <v>7.2336000000000053E-2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2074.66</v>
      </c>
      <c r="D199" s="16">
        <v>41.947000000000003</v>
      </c>
      <c r="E199" s="16">
        <v>45.743000000000002</v>
      </c>
      <c r="F199" s="16">
        <v>46.448999999999998</v>
      </c>
      <c r="G199" s="16">
        <v>19.190000000000001</v>
      </c>
      <c r="H199" s="16">
        <f t="shared" si="18"/>
        <v>42.984250000000003</v>
      </c>
      <c r="I199" s="5"/>
      <c r="J199" s="15">
        <v>1539.3664000000001</v>
      </c>
      <c r="K199" s="16">
        <v>42.4773</v>
      </c>
      <c r="L199" s="16">
        <v>46.930999999999997</v>
      </c>
      <c r="M199" s="16">
        <v>47.794800000000002</v>
      </c>
      <c r="N199" s="16">
        <v>26.029199999999999</v>
      </c>
      <c r="O199" s="16">
        <f t="shared" si="19"/>
        <v>43.698700000000002</v>
      </c>
      <c r="P199" s="7"/>
      <c r="Q199" s="8">
        <f>bdrate(C199:C202,D199:D202,J199:J202,K199:K202)</f>
        <v>-0.4786618502196619</v>
      </c>
      <c r="R199" s="8">
        <f>bdrate(C199:C202,E199:E202,J199:J202,L199:L202)</f>
        <v>-0.59971839189122556</v>
      </c>
      <c r="S199" s="8">
        <f>bdrate(C199:C202,F199:F202,J199:J202,M199:M202)</f>
        <v>-0.62301913626744487</v>
      </c>
      <c r="T199" s="25">
        <f>bdrate(C199:C202,H199:H202,J199:J202,O199:O202)</f>
        <v>-0.51172766639829204</v>
      </c>
      <c r="U199" s="28">
        <f t="shared" si="24"/>
        <v>0.35639395518499206</v>
      </c>
      <c r="V199" s="57">
        <f t="shared" si="26"/>
        <v>1.2066666666666736E-2</v>
      </c>
      <c r="W199" s="57">
        <f t="shared" si="25"/>
        <v>2.6244266666666741E-2</v>
      </c>
      <c r="X199" s="56">
        <v>2100</v>
      </c>
      <c r="Y199" s="56">
        <v>1500</v>
      </c>
    </row>
    <row r="200" spans="1:25" x14ac:dyDescent="0.25">
      <c r="B200" s="9"/>
      <c r="C200" s="17">
        <v>1367.89</v>
      </c>
      <c r="D200" s="18">
        <v>40.828000000000003</v>
      </c>
      <c r="E200" s="18">
        <v>44.643000000000001</v>
      </c>
      <c r="F200" s="18">
        <v>45.283999999999999</v>
      </c>
      <c r="G200" s="18">
        <v>19.350000000000001</v>
      </c>
      <c r="H200" s="18">
        <f t="shared" si="18"/>
        <v>41.861874999999998</v>
      </c>
      <c r="I200" s="5"/>
      <c r="J200" s="17">
        <v>1006.5504</v>
      </c>
      <c r="K200" s="18">
        <v>41.626399999999997</v>
      </c>
      <c r="L200" s="18">
        <v>46.176299999999998</v>
      </c>
      <c r="M200" s="18">
        <v>47.043799999999997</v>
      </c>
      <c r="N200" s="18">
        <v>29.584299999999999</v>
      </c>
      <c r="O200" s="18">
        <f t="shared" si="19"/>
        <v>42.8723125</v>
      </c>
      <c r="P200" s="7"/>
      <c r="Q200" s="10"/>
      <c r="R200" s="11"/>
      <c r="S200" s="11"/>
      <c r="T200" s="26"/>
      <c r="U200" s="28">
        <f t="shared" si="24"/>
        <v>0.52890439276485768</v>
      </c>
      <c r="V200" s="57">
        <f t="shared" si="26"/>
        <v>2.2935714285714216E-2</v>
      </c>
      <c r="W200" s="57">
        <f t="shared" si="25"/>
        <v>6.5503999999999675E-3</v>
      </c>
      <c r="X200" s="56">
        <v>1400</v>
      </c>
      <c r="Y200" s="56">
        <v>1000</v>
      </c>
    </row>
    <row r="201" spans="1:25" x14ac:dyDescent="0.25">
      <c r="B201" s="9"/>
      <c r="C201" s="17">
        <v>813.54</v>
      </c>
      <c r="D201" s="18">
        <v>38.953000000000003</v>
      </c>
      <c r="E201" s="18">
        <v>43.033999999999999</v>
      </c>
      <c r="F201" s="18">
        <v>43.680999999999997</v>
      </c>
      <c r="G201" s="18">
        <v>19.350000000000001</v>
      </c>
      <c r="H201" s="18">
        <f t="shared" si="18"/>
        <v>40.054124999999999</v>
      </c>
      <c r="I201" s="5"/>
      <c r="J201" s="17">
        <v>596.34559999999999</v>
      </c>
      <c r="K201" s="18">
        <v>40.209099999999999</v>
      </c>
      <c r="L201" s="18">
        <v>44.853700000000003</v>
      </c>
      <c r="M201" s="18">
        <v>45.6706</v>
      </c>
      <c r="N201" s="18">
        <v>32.779699999999998</v>
      </c>
      <c r="O201" s="18">
        <f t="shared" si="19"/>
        <v>41.472362499999996</v>
      </c>
      <c r="P201" s="7"/>
      <c r="Q201" s="10"/>
      <c r="R201" s="11"/>
      <c r="S201" s="11"/>
      <c r="T201" s="26"/>
      <c r="U201" s="28">
        <f t="shared" si="24"/>
        <v>0.69404134366925041</v>
      </c>
      <c r="V201" s="57">
        <f t="shared" si="26"/>
        <v>4.2894117647058867E-2</v>
      </c>
      <c r="W201" s="57">
        <f t="shared" si="25"/>
        <v>6.0906666666666826E-3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372.12</v>
      </c>
      <c r="D202" s="20">
        <v>35.159999999999997</v>
      </c>
      <c r="E202" s="20">
        <v>40.774000000000001</v>
      </c>
      <c r="F202" s="20">
        <v>41.334000000000003</v>
      </c>
      <c r="G202" s="20">
        <v>19.309999999999999</v>
      </c>
      <c r="H202" s="20">
        <f t="shared" si="18"/>
        <v>36.633499999999998</v>
      </c>
      <c r="I202" s="5"/>
      <c r="J202" s="19">
        <v>294.51679999999999</v>
      </c>
      <c r="K202" s="20">
        <v>37.528799999999997</v>
      </c>
      <c r="L202" s="20">
        <v>42.723399999999998</v>
      </c>
      <c r="M202" s="20">
        <v>43.593800000000002</v>
      </c>
      <c r="N202" s="20">
        <v>36.948099999999997</v>
      </c>
      <c r="O202" s="20">
        <f t="shared" si="19"/>
        <v>38.936250000000001</v>
      </c>
      <c r="P202" s="7"/>
      <c r="Q202" s="13"/>
      <c r="R202" s="14"/>
      <c r="S202" s="14"/>
      <c r="T202" s="27"/>
      <c r="U202" s="28">
        <f t="shared" si="24"/>
        <v>0.91341791817711027</v>
      </c>
      <c r="V202" s="57">
        <f t="shared" si="26"/>
        <v>6.9699999999999984E-2</v>
      </c>
      <c r="W202" s="57">
        <f t="shared" si="25"/>
        <v>1.8277333333333368E-2</v>
      </c>
      <c r="X202" s="56">
        <v>400</v>
      </c>
      <c r="Y202" s="56">
        <v>300</v>
      </c>
    </row>
    <row r="203" spans="1:25" x14ac:dyDescent="0.25">
      <c r="A203" s="6" t="s">
        <v>81</v>
      </c>
      <c r="B203" s="6" t="s">
        <v>82</v>
      </c>
      <c r="C203" s="15">
        <v>1528.01</v>
      </c>
      <c r="D203" s="16">
        <v>39.69</v>
      </c>
      <c r="E203" s="16">
        <v>46.27</v>
      </c>
      <c r="F203" s="16">
        <v>44.954999999999998</v>
      </c>
      <c r="G203" s="16">
        <v>13.74</v>
      </c>
      <c r="H203" s="16">
        <f t="shared" ref="H203:H225" si="27">(6*D203+E203+F203)/8</f>
        <v>41.170624999999994</v>
      </c>
      <c r="I203" s="5"/>
      <c r="J203" s="15">
        <v>1001.4496</v>
      </c>
      <c r="K203" s="16">
        <v>39.344299999999997</v>
      </c>
      <c r="L203" s="16">
        <v>46.240400000000001</v>
      </c>
      <c r="M203" s="16">
        <v>44.87</v>
      </c>
      <c r="N203" s="16">
        <v>14.1028</v>
      </c>
      <c r="O203" s="16">
        <f t="shared" ref="O203:O225" si="28">(6*K203+L203+M203)/8</f>
        <v>40.897024999999999</v>
      </c>
      <c r="P203" s="7"/>
      <c r="Q203" s="8">
        <f>bdrate(C203:C206,D203:D206,J203:J206,K203:K206)</f>
        <v>-0.40633216407607342</v>
      </c>
      <c r="R203" s="8">
        <f>bdrate(C203:C206,E203:E206,J203:J206,L203:L206)</f>
        <v>-0.43826710619433462</v>
      </c>
      <c r="S203" s="8">
        <f>bdrate(C203:C206,F203:F206,J203:J206,M203:M206)</f>
        <v>-0.39764721264870639</v>
      </c>
      <c r="T203" s="25">
        <f>bdrate(C203:C206,H203:H206,J203:J206,O203:O206)</f>
        <v>-0.40854914975367096</v>
      </c>
      <c r="U203" s="28">
        <f t="shared" ref="U203:U225" si="29">(N203-G203)/G203</f>
        <v>2.6404657933042214E-2</v>
      </c>
      <c r="V203" s="57">
        <f t="shared" ref="V203:V246" si="30">ABS(C203-X203)/X203</f>
        <v>1.8673333333333327E-2</v>
      </c>
      <c r="W203" s="57">
        <f t="shared" ref="W203:W246" si="31">ABS(J203-Y203)/Y203</f>
        <v>1.4496000000000322E-3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1019.69</v>
      </c>
      <c r="D204" s="18">
        <v>37.831000000000003</v>
      </c>
      <c r="E204" s="18">
        <v>45.033000000000001</v>
      </c>
      <c r="F204" s="18">
        <v>43.737000000000002</v>
      </c>
      <c r="G204" s="18">
        <v>14.06</v>
      </c>
      <c r="H204" s="18">
        <f t="shared" si="27"/>
        <v>39.469500000000004</v>
      </c>
      <c r="I204" s="5"/>
      <c r="J204" s="17">
        <v>599.77139999999997</v>
      </c>
      <c r="K204" s="18">
        <v>37.396299999999997</v>
      </c>
      <c r="L204" s="18">
        <v>44.965699999999998</v>
      </c>
      <c r="M204" s="18">
        <v>43.5456</v>
      </c>
      <c r="N204" s="18">
        <v>16.474900000000002</v>
      </c>
      <c r="O204" s="18">
        <f t="shared" si="28"/>
        <v>39.111137499999991</v>
      </c>
      <c r="P204" s="7"/>
      <c r="Q204" s="10"/>
      <c r="R204" s="11"/>
      <c r="S204" s="11"/>
      <c r="T204" s="26"/>
      <c r="U204" s="28">
        <f t="shared" si="29"/>
        <v>0.17175675675675683</v>
      </c>
      <c r="V204" s="57">
        <f t="shared" si="30"/>
        <v>1.9690000000000055E-2</v>
      </c>
      <c r="W204" s="57">
        <f t="shared" si="31"/>
        <v>3.8100000000004759E-4</v>
      </c>
      <c r="X204" s="56">
        <v>1000</v>
      </c>
      <c r="Y204" s="56">
        <v>600</v>
      </c>
    </row>
    <row r="205" spans="1:25" x14ac:dyDescent="0.25">
      <c r="B205" s="9"/>
      <c r="C205" s="17">
        <v>612.5</v>
      </c>
      <c r="D205" s="18">
        <v>35.151000000000003</v>
      </c>
      <c r="E205" s="18">
        <v>43.357999999999997</v>
      </c>
      <c r="F205" s="18">
        <v>42.145000000000003</v>
      </c>
      <c r="G205" s="18">
        <v>14.23</v>
      </c>
      <c r="H205" s="18">
        <f t="shared" si="27"/>
        <v>37.051124999999999</v>
      </c>
      <c r="I205" s="5"/>
      <c r="J205" s="17">
        <v>296.3175</v>
      </c>
      <c r="K205" s="18">
        <v>34.416899999999998</v>
      </c>
      <c r="L205" s="18">
        <v>43.135800000000003</v>
      </c>
      <c r="M205" s="18">
        <v>41.600999999999999</v>
      </c>
      <c r="N205" s="18">
        <v>20.4146</v>
      </c>
      <c r="O205" s="18">
        <f t="shared" si="28"/>
        <v>36.404775000000001</v>
      </c>
      <c r="P205" s="7"/>
      <c r="Q205" s="10"/>
      <c r="R205" s="11"/>
      <c r="S205" s="11"/>
      <c r="T205" s="26"/>
      <c r="U205" s="28">
        <f t="shared" si="29"/>
        <v>0.43461700632466616</v>
      </c>
      <c r="V205" s="57">
        <f t="shared" si="30"/>
        <v>2.0833333333333332E-2</v>
      </c>
      <c r="W205" s="57">
        <f t="shared" si="31"/>
        <v>1.2275000000000015E-2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304.33999999999997</v>
      </c>
      <c r="D206" s="20">
        <v>30.565999999999999</v>
      </c>
      <c r="E206" s="20">
        <v>41.076000000000001</v>
      </c>
      <c r="F206" s="20">
        <v>39.865000000000002</v>
      </c>
      <c r="G206" s="20">
        <v>14.46</v>
      </c>
      <c r="H206" s="20">
        <f t="shared" si="27"/>
        <v>33.042124999999999</v>
      </c>
      <c r="I206" s="5"/>
      <c r="J206" s="19">
        <v>196.54429999999999</v>
      </c>
      <c r="K206" s="20">
        <v>32.513800000000003</v>
      </c>
      <c r="L206" s="20">
        <v>41.990099999999998</v>
      </c>
      <c r="M206" s="20">
        <v>40.395600000000002</v>
      </c>
      <c r="N206" s="20">
        <v>23.023099999999999</v>
      </c>
      <c r="O206" s="20">
        <f t="shared" si="28"/>
        <v>34.683562500000001</v>
      </c>
      <c r="P206" s="7"/>
      <c r="Q206" s="13"/>
      <c r="R206" s="14"/>
      <c r="S206" s="14"/>
      <c r="T206" s="27"/>
      <c r="U206" s="28">
        <f t="shared" si="29"/>
        <v>0.59219225449515889</v>
      </c>
      <c r="V206" s="57">
        <f t="shared" si="30"/>
        <v>1.4466666666666583E-2</v>
      </c>
      <c r="W206" s="57">
        <f t="shared" si="31"/>
        <v>1.7278500000000037E-2</v>
      </c>
      <c r="X206" s="56">
        <v>300</v>
      </c>
      <c r="Y206" s="56">
        <v>200</v>
      </c>
    </row>
    <row r="207" spans="1:25" x14ac:dyDescent="0.25">
      <c r="B207" s="6" t="s">
        <v>83</v>
      </c>
      <c r="C207" s="29">
        <v>1462.11</v>
      </c>
      <c r="D207" s="30">
        <v>41.018999999999998</v>
      </c>
      <c r="E207" s="30">
        <v>46.741999999999997</v>
      </c>
      <c r="F207" s="30">
        <v>46.395000000000003</v>
      </c>
      <c r="G207" s="16">
        <v>14.83</v>
      </c>
      <c r="H207" s="16">
        <f t="shared" si="27"/>
        <v>42.406374999999997</v>
      </c>
      <c r="I207" s="5"/>
      <c r="J207" s="29">
        <v>1005.1871</v>
      </c>
      <c r="K207" s="30">
        <v>40.757399999999997</v>
      </c>
      <c r="L207" s="30">
        <v>46.82</v>
      </c>
      <c r="M207" s="30">
        <v>46.513199999999998</v>
      </c>
      <c r="N207" s="16">
        <v>14.393800000000001</v>
      </c>
      <c r="O207" s="16">
        <f t="shared" si="28"/>
        <v>42.234699999999997</v>
      </c>
      <c r="P207" s="7"/>
      <c r="Q207" s="8">
        <f>bdrate(C207:C210,D207:D210,J207:J210,K207:K210)</f>
        <v>-0.39581899319072888</v>
      </c>
      <c r="R207" s="8">
        <f>bdrate(C207:C210,E207:E210,J207:J210,L207:L210)</f>
        <v>-0.42657528464145889</v>
      </c>
      <c r="S207" s="8">
        <f>bdrate(C207:C210,F207:F210,J207:J210,M207:M210)</f>
        <v>-0.44270058022284509</v>
      </c>
      <c r="T207" s="25">
        <f>bdrate(C207:C210,H207:H210,J207:J210,O207:O210)</f>
        <v>-0.40209005819047661</v>
      </c>
      <c r="U207" s="28">
        <f t="shared" si="29"/>
        <v>-2.9413351314902188E-2</v>
      </c>
      <c r="V207" s="57">
        <f t="shared" si="30"/>
        <v>2.5260000000000067E-2</v>
      </c>
      <c r="W207" s="57">
        <f t="shared" si="31"/>
        <v>5.187099999999987E-3</v>
      </c>
      <c r="X207" s="56">
        <v>1500</v>
      </c>
      <c r="Y207" s="56">
        <v>1000</v>
      </c>
    </row>
    <row r="208" spans="1:25" x14ac:dyDescent="0.25">
      <c r="B208" s="9"/>
      <c r="C208" s="31">
        <v>971.27</v>
      </c>
      <c r="D208" s="32">
        <v>39.192</v>
      </c>
      <c r="E208" s="32">
        <v>45.633000000000003</v>
      </c>
      <c r="F208" s="32">
        <v>45.258000000000003</v>
      </c>
      <c r="G208" s="18">
        <v>15.1</v>
      </c>
      <c r="H208" s="18">
        <f t="shared" si="27"/>
        <v>40.755374999999994</v>
      </c>
      <c r="I208" s="5"/>
      <c r="J208" s="31">
        <v>602.14269999999999</v>
      </c>
      <c r="K208" s="32">
        <v>38.914400000000001</v>
      </c>
      <c r="L208" s="32">
        <v>45.665999999999997</v>
      </c>
      <c r="M208" s="32">
        <v>45.372500000000002</v>
      </c>
      <c r="N208" s="18">
        <v>16.840900000000001</v>
      </c>
      <c r="O208" s="18">
        <f t="shared" si="28"/>
        <v>40.5656125</v>
      </c>
      <c r="P208" s="7"/>
      <c r="Q208" s="10"/>
      <c r="R208" s="11"/>
      <c r="S208" s="11"/>
      <c r="T208" s="26"/>
      <c r="U208" s="28">
        <f t="shared" si="29"/>
        <v>0.11529139072847694</v>
      </c>
      <c r="V208" s="57">
        <f t="shared" si="30"/>
        <v>2.8730000000000019E-2</v>
      </c>
      <c r="W208" s="57">
        <f t="shared" si="31"/>
        <v>3.5711666666666513E-3</v>
      </c>
      <c r="X208" s="56">
        <v>1000</v>
      </c>
      <c r="Y208" s="56">
        <v>600</v>
      </c>
    </row>
    <row r="209" spans="2:25" x14ac:dyDescent="0.25">
      <c r="B209" s="9"/>
      <c r="C209" s="31">
        <v>582.13</v>
      </c>
      <c r="D209" s="32">
        <v>36.701000000000001</v>
      </c>
      <c r="E209" s="32">
        <v>44.106000000000002</v>
      </c>
      <c r="F209" s="32">
        <v>43.744999999999997</v>
      </c>
      <c r="G209" s="18">
        <v>15.24</v>
      </c>
      <c r="H209" s="18">
        <f t="shared" si="27"/>
        <v>38.507125000000002</v>
      </c>
      <c r="I209" s="5"/>
      <c r="J209" s="31">
        <v>299.41890000000001</v>
      </c>
      <c r="K209" s="32">
        <v>36.359299999999998</v>
      </c>
      <c r="L209" s="32">
        <v>43.994599999999998</v>
      </c>
      <c r="M209" s="32">
        <v>43.709299999999999</v>
      </c>
      <c r="N209" s="18">
        <v>20.3994</v>
      </c>
      <c r="O209" s="18">
        <f t="shared" si="28"/>
        <v>38.232462499999997</v>
      </c>
      <c r="P209" s="7"/>
      <c r="Q209" s="10"/>
      <c r="R209" s="11"/>
      <c r="S209" s="11"/>
      <c r="T209" s="26"/>
      <c r="U209" s="28">
        <f t="shared" si="29"/>
        <v>0.33854330708661418</v>
      </c>
      <c r="V209" s="57">
        <f t="shared" si="30"/>
        <v>2.9783333333333342E-2</v>
      </c>
      <c r="W209" s="57">
        <f t="shared" si="31"/>
        <v>1.9369999999999739E-3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289.02999999999997</v>
      </c>
      <c r="D210" s="34">
        <v>32.651000000000003</v>
      </c>
      <c r="E210" s="34">
        <v>41.944000000000003</v>
      </c>
      <c r="F210" s="34">
        <v>41.542999999999999</v>
      </c>
      <c r="G210" s="20">
        <v>15.41</v>
      </c>
      <c r="H210" s="20">
        <f t="shared" si="27"/>
        <v>34.924125000000004</v>
      </c>
      <c r="I210" s="5"/>
      <c r="J210" s="33">
        <v>198.87790000000001</v>
      </c>
      <c r="K210" s="34">
        <v>34.745100000000001</v>
      </c>
      <c r="L210" s="34">
        <v>43.046100000000003</v>
      </c>
      <c r="M210" s="34">
        <v>42.690399999999997</v>
      </c>
      <c r="N210" s="20">
        <v>23.353999999999999</v>
      </c>
      <c r="O210" s="20">
        <f t="shared" si="28"/>
        <v>36.775887499999996</v>
      </c>
      <c r="P210" s="7"/>
      <c r="Q210" s="13"/>
      <c r="R210" s="14"/>
      <c r="S210" s="14"/>
      <c r="T210" s="27"/>
      <c r="U210" s="28">
        <f t="shared" si="29"/>
        <v>0.51550940947436719</v>
      </c>
      <c r="V210" s="57">
        <f t="shared" si="30"/>
        <v>3.6566666666666754E-2</v>
      </c>
      <c r="W210" s="57">
        <f t="shared" si="31"/>
        <v>5.6104999999999454E-3</v>
      </c>
      <c r="X210" s="56">
        <v>300</v>
      </c>
      <c r="Y210" s="56">
        <v>200</v>
      </c>
    </row>
    <row r="211" spans="2:25" x14ac:dyDescent="0.25">
      <c r="B211" s="6" t="s">
        <v>84</v>
      </c>
      <c r="C211" s="15">
        <v>1506.91</v>
      </c>
      <c r="D211" s="16">
        <v>37.787999999999997</v>
      </c>
      <c r="E211" s="16">
        <v>46.281999999999996</v>
      </c>
      <c r="F211" s="16">
        <v>44.594000000000001</v>
      </c>
      <c r="G211" s="16">
        <v>15.59</v>
      </c>
      <c r="H211" s="16">
        <f t="shared" si="27"/>
        <v>39.700499999999998</v>
      </c>
      <c r="I211" s="5"/>
      <c r="J211" s="15">
        <v>1001.4353</v>
      </c>
      <c r="K211" s="16">
        <v>37.456499999999998</v>
      </c>
      <c r="L211" s="16">
        <v>46.2134</v>
      </c>
      <c r="M211" s="16">
        <v>44.624499999999998</v>
      </c>
      <c r="N211" s="16">
        <v>13.5511</v>
      </c>
      <c r="O211" s="16">
        <f t="shared" si="28"/>
        <v>39.447112499999996</v>
      </c>
      <c r="P211" s="7"/>
      <c r="Q211" s="8">
        <f>bdrate(C211:C214,D211:D214,J211:J214,K211:K214)</f>
        <v>-0.39346829632214064</v>
      </c>
      <c r="R211" s="8">
        <f>bdrate(C211:C214,E211:E214,J211:J214,L211:L214)</f>
        <v>-0.39841692012974339</v>
      </c>
      <c r="S211" s="8">
        <f>bdrate(C211:C214,F211:F214,J211:J214,M211:M214)</f>
        <v>-0.41991280915644424</v>
      </c>
      <c r="T211" s="25">
        <f>bdrate(C211:C214,H211:H214,J211:J214,O211:O214)</f>
        <v>-0.39612080331802957</v>
      </c>
      <c r="U211" s="28">
        <f t="shared" si="29"/>
        <v>-0.13078255291853752</v>
      </c>
      <c r="V211" s="57">
        <f t="shared" si="30"/>
        <v>4.6066666666667215E-3</v>
      </c>
      <c r="W211" s="57">
        <f t="shared" si="31"/>
        <v>1.4352999999999838E-3</v>
      </c>
      <c r="X211" s="56">
        <v>1500</v>
      </c>
      <c r="Y211" s="56">
        <v>1000</v>
      </c>
    </row>
    <row r="212" spans="2:25" x14ac:dyDescent="0.25">
      <c r="B212" s="9"/>
      <c r="C212" s="17">
        <v>1006.19</v>
      </c>
      <c r="D212" s="18">
        <v>36.094000000000001</v>
      </c>
      <c r="E212" s="18">
        <v>45.241999999999997</v>
      </c>
      <c r="F212" s="18">
        <v>43.481000000000002</v>
      </c>
      <c r="G212" s="18">
        <v>15.95</v>
      </c>
      <c r="H212" s="18">
        <f t="shared" si="27"/>
        <v>38.160875000000004</v>
      </c>
      <c r="I212" s="5"/>
      <c r="J212" s="17">
        <v>600.15449999999998</v>
      </c>
      <c r="K212" s="18">
        <v>35.7072</v>
      </c>
      <c r="L212" s="18">
        <v>45.102400000000003</v>
      </c>
      <c r="M212" s="18">
        <v>43.4621</v>
      </c>
      <c r="N212" s="18">
        <v>15.8985</v>
      </c>
      <c r="O212" s="18">
        <f t="shared" si="28"/>
        <v>37.850962500000001</v>
      </c>
      <c r="P212" s="7"/>
      <c r="Q212" s="10"/>
      <c r="R212" s="11"/>
      <c r="S212" s="11"/>
      <c r="T212" s="26"/>
      <c r="U212" s="28">
        <f t="shared" si="29"/>
        <v>-3.2288401253917865E-3</v>
      </c>
      <c r="V212" s="57">
        <f t="shared" si="30"/>
        <v>6.1900000000000548E-3</v>
      </c>
      <c r="W212" s="57">
        <f t="shared" si="31"/>
        <v>2.5749999999997422E-4</v>
      </c>
      <c r="X212" s="56">
        <v>1000</v>
      </c>
      <c r="Y212" s="56">
        <v>600</v>
      </c>
    </row>
    <row r="213" spans="2:25" x14ac:dyDescent="0.25">
      <c r="B213" s="9"/>
      <c r="C213" s="17">
        <v>601.76</v>
      </c>
      <c r="D213" s="18">
        <v>33.78</v>
      </c>
      <c r="E213" s="18">
        <v>43.850999999999999</v>
      </c>
      <c r="F213" s="18">
        <v>42.048999999999999</v>
      </c>
      <c r="G213" s="18">
        <v>16.100000000000001</v>
      </c>
      <c r="H213" s="18">
        <f t="shared" si="27"/>
        <v>36.072499999999998</v>
      </c>
      <c r="I213" s="5"/>
      <c r="J213" s="17">
        <v>297.2878</v>
      </c>
      <c r="K213" s="18">
        <v>33.144599999999997</v>
      </c>
      <c r="L213" s="18">
        <v>43.454000000000001</v>
      </c>
      <c r="M213" s="18">
        <v>41.726799999999997</v>
      </c>
      <c r="N213" s="18">
        <v>19.761199999999999</v>
      </c>
      <c r="O213" s="18">
        <f t="shared" si="28"/>
        <v>35.506050000000002</v>
      </c>
      <c r="P213" s="7"/>
      <c r="Q213" s="10"/>
      <c r="R213" s="11"/>
      <c r="S213" s="11"/>
      <c r="T213" s="26"/>
      <c r="U213" s="28">
        <f t="shared" si="29"/>
        <v>0.22740372670807435</v>
      </c>
      <c r="V213" s="57">
        <f t="shared" si="30"/>
        <v>2.9333333333333182E-3</v>
      </c>
      <c r="W213" s="57">
        <f t="shared" si="31"/>
        <v>9.0406666666666517E-3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299.41000000000003</v>
      </c>
      <c r="D214" s="20">
        <v>29.928000000000001</v>
      </c>
      <c r="E214" s="20">
        <v>41.838000000000001</v>
      </c>
      <c r="F214" s="20">
        <v>40.076000000000001</v>
      </c>
      <c r="G214" s="20">
        <v>16.309999999999999</v>
      </c>
      <c r="H214" s="20">
        <f t="shared" si="27"/>
        <v>32.685250000000003</v>
      </c>
      <c r="I214" s="5"/>
      <c r="J214" s="19">
        <v>197.1557</v>
      </c>
      <c r="K214" s="20">
        <v>31.482099999999999</v>
      </c>
      <c r="L214" s="20">
        <v>42.588099999999997</v>
      </c>
      <c r="M214" s="20">
        <v>40.744500000000002</v>
      </c>
      <c r="N214" s="20">
        <v>22.563500000000001</v>
      </c>
      <c r="O214" s="20">
        <f t="shared" si="28"/>
        <v>34.028149999999997</v>
      </c>
      <c r="P214" s="7"/>
      <c r="Q214" s="13"/>
      <c r="R214" s="14"/>
      <c r="S214" s="14"/>
      <c r="T214" s="27"/>
      <c r="U214" s="28">
        <f t="shared" si="29"/>
        <v>0.38341508277130615</v>
      </c>
      <c r="V214" s="57">
        <f t="shared" si="30"/>
        <v>1.9666666666665832E-3</v>
      </c>
      <c r="W214" s="57">
        <f t="shared" si="31"/>
        <v>1.4221500000000021E-2</v>
      </c>
      <c r="X214" s="56">
        <v>300</v>
      </c>
      <c r="Y214" s="56">
        <v>200</v>
      </c>
    </row>
    <row r="215" spans="2:25" x14ac:dyDescent="0.25">
      <c r="B215" s="6" t="s">
        <v>85</v>
      </c>
      <c r="C215" s="15">
        <v>1481.37</v>
      </c>
      <c r="D215" s="16">
        <v>36.837000000000003</v>
      </c>
      <c r="E215" s="16">
        <v>46.293999999999997</v>
      </c>
      <c r="F215" s="16">
        <v>44.554000000000002</v>
      </c>
      <c r="G215" s="16">
        <v>15.43</v>
      </c>
      <c r="H215" s="16">
        <f t="shared" si="27"/>
        <v>38.983750000000001</v>
      </c>
      <c r="I215" s="5"/>
      <c r="J215" s="15">
        <v>1000.4897999999999</v>
      </c>
      <c r="K215" s="16">
        <v>36.393099999999997</v>
      </c>
      <c r="L215" s="16">
        <v>46.010800000000003</v>
      </c>
      <c r="M215" s="16">
        <v>44.532699999999998</v>
      </c>
      <c r="N215" s="16">
        <v>13.477600000000001</v>
      </c>
      <c r="O215" s="16">
        <f t="shared" si="28"/>
        <v>38.612762499999995</v>
      </c>
      <c r="P215" s="7"/>
      <c r="Q215" s="8">
        <f>bdrate(C215:C218,D215:D218,J215:J218,K215:K218)</f>
        <v>-0.36913488304876596</v>
      </c>
      <c r="R215" s="8">
        <f>bdrate(C215:C218,E215:E218,J215:J218,L215:L218)</f>
        <v>-0.334056539610324</v>
      </c>
      <c r="S215" s="8">
        <f>bdrate(C215:C218,F215:F218,J215:J218,M215:M218)</f>
        <v>-0.41944703573840525</v>
      </c>
      <c r="T215" s="25">
        <f>bdrate(C215:C218,H215:H218,J215:J218,O215:O218)</f>
        <v>-0.37084995857129144</v>
      </c>
      <c r="U215" s="28">
        <f t="shared" si="29"/>
        <v>-0.12653272845106928</v>
      </c>
      <c r="V215" s="57">
        <f t="shared" si="30"/>
        <v>1.2420000000000073E-2</v>
      </c>
      <c r="W215" s="57">
        <f t="shared" si="31"/>
        <v>4.8979999999994566E-4</v>
      </c>
      <c r="X215" s="56">
        <v>1500</v>
      </c>
      <c r="Y215" s="56">
        <v>1000</v>
      </c>
    </row>
    <row r="216" spans="2:25" x14ac:dyDescent="0.25">
      <c r="B216" s="9"/>
      <c r="C216" s="17">
        <v>986.33</v>
      </c>
      <c r="D216" s="18">
        <v>35.183</v>
      </c>
      <c r="E216" s="18">
        <v>45.290999999999997</v>
      </c>
      <c r="F216" s="18">
        <v>43.448</v>
      </c>
      <c r="G216" s="18">
        <v>15.82</v>
      </c>
      <c r="H216" s="18">
        <f t="shared" si="27"/>
        <v>37.479624999999999</v>
      </c>
      <c r="I216" s="5"/>
      <c r="J216" s="17">
        <v>599.3288</v>
      </c>
      <c r="K216" s="18">
        <v>34.685000000000002</v>
      </c>
      <c r="L216" s="18">
        <v>44.889099999999999</v>
      </c>
      <c r="M216" s="18">
        <v>43.404600000000002</v>
      </c>
      <c r="N216" s="18">
        <v>15.6402</v>
      </c>
      <c r="O216" s="18">
        <f t="shared" si="28"/>
        <v>37.050462500000002</v>
      </c>
      <c r="P216" s="7"/>
      <c r="Q216" s="10"/>
      <c r="R216" s="11"/>
      <c r="S216" s="11"/>
      <c r="T216" s="26"/>
      <c r="U216" s="28">
        <f t="shared" si="29"/>
        <v>-1.1365360303413412E-2</v>
      </c>
      <c r="V216" s="57">
        <f t="shared" si="30"/>
        <v>1.3669999999999958E-2</v>
      </c>
      <c r="W216" s="57">
        <f t="shared" si="31"/>
        <v>1.1186666666666649E-3</v>
      </c>
      <c r="X216" s="56">
        <v>1000</v>
      </c>
      <c r="Y216" s="56">
        <v>600</v>
      </c>
    </row>
    <row r="217" spans="2:25" x14ac:dyDescent="0.25">
      <c r="B217" s="9"/>
      <c r="C217" s="17">
        <v>591.26</v>
      </c>
      <c r="D217" s="18">
        <v>32.9</v>
      </c>
      <c r="E217" s="18">
        <v>43.896000000000001</v>
      </c>
      <c r="F217" s="18">
        <v>41.98</v>
      </c>
      <c r="G217" s="18">
        <v>16</v>
      </c>
      <c r="H217" s="18">
        <f t="shared" si="27"/>
        <v>35.409500000000001</v>
      </c>
      <c r="I217" s="5"/>
      <c r="J217" s="17">
        <v>295.87</v>
      </c>
      <c r="K217" s="18">
        <v>32.171500000000002</v>
      </c>
      <c r="L217" s="18">
        <v>43.307099999999998</v>
      </c>
      <c r="M217" s="18">
        <v>41.773099999999999</v>
      </c>
      <c r="N217" s="18">
        <v>19.5883</v>
      </c>
      <c r="O217" s="18">
        <f t="shared" si="28"/>
        <v>34.763649999999998</v>
      </c>
      <c r="P217" s="7"/>
      <c r="Q217" s="10"/>
      <c r="R217" s="11"/>
      <c r="S217" s="11"/>
      <c r="T217" s="26"/>
      <c r="U217" s="28">
        <f t="shared" si="29"/>
        <v>0.22426875000000002</v>
      </c>
      <c r="V217" s="57">
        <f t="shared" si="30"/>
        <v>1.4566666666666683E-2</v>
      </c>
      <c r="W217" s="57">
        <f t="shared" si="31"/>
        <v>1.3766666666666651E-2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295.97000000000003</v>
      </c>
      <c r="D218" s="20">
        <v>29.141999999999999</v>
      </c>
      <c r="E218" s="20">
        <v>41.941000000000003</v>
      </c>
      <c r="F218" s="20">
        <v>39.982999999999997</v>
      </c>
      <c r="G218" s="20">
        <v>16.239999999999998</v>
      </c>
      <c r="H218" s="20">
        <f t="shared" si="27"/>
        <v>32.097000000000001</v>
      </c>
      <c r="I218" s="5"/>
      <c r="J218" s="19">
        <v>196.36840000000001</v>
      </c>
      <c r="K218" s="20">
        <v>30.565000000000001</v>
      </c>
      <c r="L218" s="20">
        <v>42.489400000000003</v>
      </c>
      <c r="M218" s="20">
        <v>40.831800000000001</v>
      </c>
      <c r="N218" s="20">
        <v>22.502199999999998</v>
      </c>
      <c r="O218" s="20">
        <f t="shared" si="28"/>
        <v>33.338900000000002</v>
      </c>
      <c r="P218" s="7"/>
      <c r="Q218" s="13"/>
      <c r="R218" s="14"/>
      <c r="S218" s="14"/>
      <c r="T218" s="27"/>
      <c r="U218" s="28">
        <f t="shared" si="29"/>
        <v>0.38560344827586213</v>
      </c>
      <c r="V218" s="57">
        <f t="shared" si="30"/>
        <v>1.3433333333333242E-2</v>
      </c>
      <c r="W218" s="57">
        <f t="shared" si="31"/>
        <v>1.8157999999999959E-2</v>
      </c>
      <c r="X218" s="56">
        <v>300</v>
      </c>
      <c r="Y218" s="56">
        <v>200</v>
      </c>
    </row>
    <row r="219" spans="2:25" x14ac:dyDescent="0.25">
      <c r="B219" s="6" t="s">
        <v>86</v>
      </c>
      <c r="C219" s="15">
        <v>1494.75</v>
      </c>
      <c r="D219" s="16">
        <v>41.792999999999999</v>
      </c>
      <c r="E219" s="16">
        <v>48.593000000000004</v>
      </c>
      <c r="F219" s="16">
        <v>47.908000000000001</v>
      </c>
      <c r="G219" s="16">
        <v>16.600000000000001</v>
      </c>
      <c r="H219" s="16">
        <f t="shared" si="27"/>
        <v>43.407375000000002</v>
      </c>
      <c r="I219" s="5"/>
      <c r="J219" s="15">
        <v>1006.7331</v>
      </c>
      <c r="K219" s="16">
        <v>41.352800000000002</v>
      </c>
      <c r="L219" s="16">
        <v>48.485599999999998</v>
      </c>
      <c r="M219" s="16">
        <v>47.915900000000001</v>
      </c>
      <c r="N219" s="16">
        <v>15.4815</v>
      </c>
      <c r="O219" s="16">
        <f t="shared" si="28"/>
        <v>43.064787500000001</v>
      </c>
      <c r="P219" s="7"/>
      <c r="Q219" s="8">
        <f>bdrate(C219:C222,D219:D222,J219:J222,K219:K222)</f>
        <v>-0.39087157183369436</v>
      </c>
      <c r="R219" s="8">
        <f>bdrate(C219:C222,E219:E222,J219:J222,L219:L222)</f>
        <v>-0.41882810011792093</v>
      </c>
      <c r="S219" s="8">
        <f>bdrate(C219:C222,F219:F222,J219:J222,M219:M222)</f>
        <v>-0.46521862868225117</v>
      </c>
      <c r="T219" s="25">
        <f>bdrate(C219:C222,H219:H222,J219:J222,O219:O222)</f>
        <v>-0.40059536309436194</v>
      </c>
      <c r="U219" s="28">
        <f t="shared" si="29"/>
        <v>-6.7379518072289202E-2</v>
      </c>
      <c r="V219" s="57">
        <f t="shared" si="30"/>
        <v>3.5000000000000001E-3</v>
      </c>
      <c r="W219" s="57">
        <f t="shared" si="31"/>
        <v>6.7331000000000361E-3</v>
      </c>
      <c r="X219" s="56">
        <v>1500</v>
      </c>
      <c r="Y219" s="56">
        <v>1000</v>
      </c>
    </row>
    <row r="220" spans="2:25" x14ac:dyDescent="0.25">
      <c r="B220" s="9"/>
      <c r="C220" s="17">
        <v>995.88</v>
      </c>
      <c r="D220" s="18">
        <v>40.421999999999997</v>
      </c>
      <c r="E220" s="18">
        <v>47.774999999999999</v>
      </c>
      <c r="F220" s="18">
        <v>47.027000000000001</v>
      </c>
      <c r="G220" s="18">
        <v>16.829999999999998</v>
      </c>
      <c r="H220" s="18">
        <f t="shared" si="27"/>
        <v>42.166749999999993</v>
      </c>
      <c r="I220" s="5"/>
      <c r="J220" s="17">
        <v>601.72029999999995</v>
      </c>
      <c r="K220" s="18">
        <v>40.04</v>
      </c>
      <c r="L220" s="18">
        <v>47.672899999999998</v>
      </c>
      <c r="M220" s="18">
        <v>47.071899999999999</v>
      </c>
      <c r="N220" s="18">
        <v>17.9513</v>
      </c>
      <c r="O220" s="18">
        <f t="shared" si="28"/>
        <v>41.873100000000008</v>
      </c>
      <c r="P220" s="7"/>
      <c r="Q220" s="10"/>
      <c r="R220" s="11"/>
      <c r="S220" s="11"/>
      <c r="T220" s="26"/>
      <c r="U220" s="28">
        <f t="shared" si="29"/>
        <v>6.6625074272133197E-2</v>
      </c>
      <c r="V220" s="57">
        <f t="shared" si="30"/>
        <v>4.1200000000000047E-3</v>
      </c>
      <c r="W220" s="57">
        <f t="shared" si="31"/>
        <v>2.8671666666665865E-3</v>
      </c>
      <c r="X220" s="56">
        <v>1000</v>
      </c>
      <c r="Y220" s="56">
        <v>600</v>
      </c>
    </row>
    <row r="221" spans="2:25" x14ac:dyDescent="0.25">
      <c r="B221" s="9"/>
      <c r="C221" s="17">
        <v>597.37</v>
      </c>
      <c r="D221" s="18">
        <v>38.546999999999997</v>
      </c>
      <c r="E221" s="18">
        <v>46.591000000000001</v>
      </c>
      <c r="F221" s="18">
        <v>45.716000000000001</v>
      </c>
      <c r="G221" s="18">
        <v>16.940000000000001</v>
      </c>
      <c r="H221" s="18">
        <f t="shared" si="27"/>
        <v>40.448625</v>
      </c>
      <c r="I221" s="5"/>
      <c r="J221" s="17">
        <v>296.12470000000002</v>
      </c>
      <c r="K221" s="18">
        <v>38.1509</v>
      </c>
      <c r="L221" s="18">
        <v>46.388800000000003</v>
      </c>
      <c r="M221" s="18">
        <v>45.776800000000001</v>
      </c>
      <c r="N221" s="18">
        <v>21.771100000000001</v>
      </c>
      <c r="O221" s="18">
        <f t="shared" si="28"/>
        <v>40.133874999999996</v>
      </c>
      <c r="P221" s="7"/>
      <c r="Q221" s="10"/>
      <c r="R221" s="11"/>
      <c r="S221" s="11"/>
      <c r="T221" s="26"/>
      <c r="U221" s="28">
        <f t="shared" si="29"/>
        <v>0.28518890200708374</v>
      </c>
      <c r="V221" s="57">
        <f t="shared" si="30"/>
        <v>4.3833333333333259E-3</v>
      </c>
      <c r="W221" s="57">
        <f t="shared" si="31"/>
        <v>1.2917666666666605E-2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298.19</v>
      </c>
      <c r="D222" s="20">
        <v>35.508000000000003</v>
      </c>
      <c r="E222" s="20">
        <v>44.558</v>
      </c>
      <c r="F222" s="20">
        <v>43.783000000000001</v>
      </c>
      <c r="G222" s="20">
        <v>17.07</v>
      </c>
      <c r="H222" s="20">
        <f t="shared" si="27"/>
        <v>37.673625000000001</v>
      </c>
      <c r="I222" s="5"/>
      <c r="J222" s="19">
        <v>193.87610000000001</v>
      </c>
      <c r="K222" s="20">
        <v>36.889499999999998</v>
      </c>
      <c r="L222" s="20">
        <v>45.484299999999998</v>
      </c>
      <c r="M222" s="20">
        <v>44.787399999999998</v>
      </c>
      <c r="N222" s="20">
        <v>24.486899999999999</v>
      </c>
      <c r="O222" s="20">
        <f t="shared" si="28"/>
        <v>38.9510875</v>
      </c>
      <c r="P222" s="7"/>
      <c r="Q222" s="13"/>
      <c r="R222" s="14"/>
      <c r="S222" s="14"/>
      <c r="T222" s="27"/>
      <c r="U222" s="28">
        <f t="shared" si="29"/>
        <v>0.43449912126537776</v>
      </c>
      <c r="V222" s="57">
        <f t="shared" si="30"/>
        <v>6.0333333333333411E-3</v>
      </c>
      <c r="W222" s="57">
        <f t="shared" si="31"/>
        <v>3.0619499999999959E-2</v>
      </c>
      <c r="X222" s="56">
        <v>300</v>
      </c>
      <c r="Y222" s="56">
        <v>200</v>
      </c>
    </row>
    <row r="223" spans="2:25" x14ac:dyDescent="0.25">
      <c r="B223" s="6" t="s">
        <v>87</v>
      </c>
      <c r="C223" s="15">
        <v>1479.76</v>
      </c>
      <c r="D223" s="16">
        <v>41.9</v>
      </c>
      <c r="E223" s="16">
        <v>49.41</v>
      </c>
      <c r="F223" s="16">
        <v>49.283999999999999</v>
      </c>
      <c r="G223" s="16">
        <v>17.649999999999999</v>
      </c>
      <c r="H223" s="16">
        <f t="shared" si="27"/>
        <v>43.761749999999992</v>
      </c>
      <c r="I223" s="5"/>
      <c r="J223" s="15">
        <v>1002.2421000000001</v>
      </c>
      <c r="K223" s="16">
        <v>41.864199999999997</v>
      </c>
      <c r="L223" s="16">
        <v>49.493899999999996</v>
      </c>
      <c r="M223" s="16">
        <v>49.248199999999997</v>
      </c>
      <c r="N223" s="16">
        <v>16.926600000000001</v>
      </c>
      <c r="O223" s="16">
        <f t="shared" si="28"/>
        <v>43.740912499999993</v>
      </c>
      <c r="P223" s="7"/>
      <c r="Q223" s="8">
        <f>bdrate(C223:C226,D223:D226,J223:J226,K223:K226)</f>
        <v>-0.46374633689101641</v>
      </c>
      <c r="R223" s="8">
        <f>bdrate(C223:C226,E223:E226,J223:J226,L223:L226)</f>
        <v>-0.47131300874592075</v>
      </c>
      <c r="S223" s="8">
        <f>bdrate(C223:C226,F223:F226,J223:J226,M223:M226)</f>
        <v>-0.43850991378280002</v>
      </c>
      <c r="T223" s="25">
        <f>bdrate(C223:C226,H223:H226,J223:J226,O223:O226)</f>
        <v>-0.46232218056665075</v>
      </c>
      <c r="U223" s="28">
        <f t="shared" si="29"/>
        <v>-4.0985835694050884E-2</v>
      </c>
      <c r="V223" s="57">
        <f t="shared" si="30"/>
        <v>1.349333333333334E-2</v>
      </c>
      <c r="W223" s="57">
        <f t="shared" si="31"/>
        <v>2.2421000000000502E-3</v>
      </c>
      <c r="X223" s="56">
        <v>1500</v>
      </c>
      <c r="Y223" s="56">
        <v>1000</v>
      </c>
    </row>
    <row r="224" spans="2:25" x14ac:dyDescent="0.25">
      <c r="B224" s="9"/>
      <c r="C224" s="17">
        <v>981.67</v>
      </c>
      <c r="D224" s="18">
        <v>40.932000000000002</v>
      </c>
      <c r="E224" s="18">
        <v>48.831000000000003</v>
      </c>
      <c r="F224" s="18">
        <v>48.792999999999999</v>
      </c>
      <c r="G224" s="18">
        <v>18.010000000000002</v>
      </c>
      <c r="H224" s="18">
        <f t="shared" si="27"/>
        <v>42.902000000000001</v>
      </c>
      <c r="I224" s="5"/>
      <c r="J224" s="17">
        <v>587.63729999999998</v>
      </c>
      <c r="K224" s="18">
        <v>40.961199999999998</v>
      </c>
      <c r="L224" s="18">
        <v>48.927100000000003</v>
      </c>
      <c r="M224" s="18">
        <v>48.741999999999997</v>
      </c>
      <c r="N224" s="18">
        <v>20.273800000000001</v>
      </c>
      <c r="O224" s="18">
        <f t="shared" si="28"/>
        <v>42.929537500000002</v>
      </c>
      <c r="P224" s="7"/>
      <c r="Q224" s="10"/>
      <c r="R224" s="11"/>
      <c r="S224" s="11"/>
      <c r="T224" s="26"/>
      <c r="U224" s="28">
        <f t="shared" si="29"/>
        <v>0.12569683509161575</v>
      </c>
      <c r="V224" s="57">
        <f t="shared" si="30"/>
        <v>1.8330000000000041E-2</v>
      </c>
      <c r="W224" s="57">
        <f t="shared" si="31"/>
        <v>2.0604500000000029E-2</v>
      </c>
      <c r="X224" s="56">
        <v>1000</v>
      </c>
      <c r="Y224" s="56">
        <v>600</v>
      </c>
    </row>
    <row r="225" spans="2:25" x14ac:dyDescent="0.25">
      <c r="B225" s="9"/>
      <c r="C225" s="17">
        <v>583.41</v>
      </c>
      <c r="D225" s="18">
        <v>39.671999999999997</v>
      </c>
      <c r="E225" s="18">
        <v>48.052</v>
      </c>
      <c r="F225" s="18">
        <v>48.061</v>
      </c>
      <c r="G225" s="18">
        <v>18.260000000000002</v>
      </c>
      <c r="H225" s="18">
        <f t="shared" si="27"/>
        <v>41.768124999999998</v>
      </c>
      <c r="I225" s="5"/>
      <c r="J225" s="17">
        <v>280.39120000000003</v>
      </c>
      <c r="K225" s="18">
        <v>39.650799999999997</v>
      </c>
      <c r="L225" s="18">
        <v>47.963000000000001</v>
      </c>
      <c r="M225" s="18">
        <v>47.954799999999999</v>
      </c>
      <c r="N225" s="18">
        <v>25.018000000000001</v>
      </c>
      <c r="O225" s="18">
        <f t="shared" si="28"/>
        <v>41.727824999999996</v>
      </c>
      <c r="P225" s="7"/>
      <c r="Q225" s="10"/>
      <c r="R225" s="11"/>
      <c r="S225" s="11"/>
      <c r="T225" s="26"/>
      <c r="U225" s="28">
        <f t="shared" si="29"/>
        <v>0.37009857612267244</v>
      </c>
      <c r="V225" s="57">
        <f t="shared" si="30"/>
        <v>2.7650000000000053E-2</v>
      </c>
      <c r="W225" s="57">
        <f t="shared" si="31"/>
        <v>6.5362666666666583E-2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287.55</v>
      </c>
      <c r="D226" s="20">
        <v>37.624000000000002</v>
      </c>
      <c r="E226" s="20">
        <v>46.604999999999997</v>
      </c>
      <c r="F226" s="20">
        <v>46.765999999999998</v>
      </c>
      <c r="G226" s="20">
        <v>18.52</v>
      </c>
      <c r="H226" s="20">
        <f t="shared" ref="H226:H246" si="32">(6*D226+E226+F226)/8</f>
        <v>39.889375000000008</v>
      </c>
      <c r="I226" s="5"/>
      <c r="J226" s="19">
        <v>179.4212</v>
      </c>
      <c r="K226" s="20">
        <v>38.677900000000001</v>
      </c>
      <c r="L226" s="20">
        <v>47.181600000000003</v>
      </c>
      <c r="M226" s="20">
        <v>47.320700000000002</v>
      </c>
      <c r="N226" s="20">
        <v>28.104900000000001</v>
      </c>
      <c r="O226" s="20">
        <f t="shared" ref="O226:O246" si="33">(6*K226+L226+M226)/8</f>
        <v>40.821212500000001</v>
      </c>
      <c r="P226" s="7"/>
      <c r="Q226" s="13"/>
      <c r="R226" s="14"/>
      <c r="S226" s="14"/>
      <c r="T226" s="27"/>
      <c r="U226" s="28">
        <f t="shared" ref="U226:U246" si="34">(N226-G226)/G226</f>
        <v>0.5175431965442765</v>
      </c>
      <c r="V226" s="57">
        <f t="shared" si="30"/>
        <v>4.1499999999999961E-2</v>
      </c>
      <c r="W226" s="57">
        <f t="shared" si="31"/>
        <v>0.102894</v>
      </c>
      <c r="X226" s="56">
        <v>300</v>
      </c>
      <c r="Y226" s="56">
        <v>200</v>
      </c>
    </row>
    <row r="227" spans="2:25" x14ac:dyDescent="0.25">
      <c r="B227" s="6" t="s">
        <v>88</v>
      </c>
      <c r="C227" s="15">
        <v>1473.54</v>
      </c>
      <c r="D227" s="16">
        <v>43.231999999999999</v>
      </c>
      <c r="E227" s="16">
        <v>51.18</v>
      </c>
      <c r="F227" s="16">
        <v>50.948999999999998</v>
      </c>
      <c r="G227" s="16">
        <v>16.489999999999998</v>
      </c>
      <c r="H227" s="16">
        <f t="shared" si="32"/>
        <v>45.190125000000002</v>
      </c>
      <c r="I227" s="5"/>
      <c r="J227" s="15">
        <v>1002.0647</v>
      </c>
      <c r="K227" s="16">
        <v>42.847499999999997</v>
      </c>
      <c r="L227" s="16">
        <v>51.017099999999999</v>
      </c>
      <c r="M227" s="16">
        <v>50.8187</v>
      </c>
      <c r="N227" s="16">
        <v>15.6058</v>
      </c>
      <c r="O227" s="16">
        <f t="shared" si="33"/>
        <v>44.865099999999991</v>
      </c>
      <c r="P227" s="7"/>
      <c r="Q227" s="8">
        <f>bdrate(C227:C230,D227:D230,J227:J230,K227:K230)</f>
        <v>-0.4009760335222855</v>
      </c>
      <c r="R227" s="8">
        <f>bdrate(C227:C230,E227:E230,J227:J230,L227:L230)</f>
        <v>-0.44634282636105893</v>
      </c>
      <c r="S227" s="8">
        <f>bdrate(C227:C230,F227:F230,J227:J230,M227:M230)</f>
        <v>-0.4386702695377146</v>
      </c>
      <c r="T227" s="25">
        <f>bdrate(C227:C230,H227:H230,J227:J230,O227:O230)</f>
        <v>-0.40900909863944923</v>
      </c>
      <c r="U227" s="28">
        <f t="shared" si="34"/>
        <v>-5.3620375985445612E-2</v>
      </c>
      <c r="V227" s="57">
        <f t="shared" si="30"/>
        <v>1.7640000000000024E-2</v>
      </c>
      <c r="W227" s="57">
        <f t="shared" si="31"/>
        <v>2.0647000000000161E-3</v>
      </c>
      <c r="X227" s="56">
        <v>1500</v>
      </c>
      <c r="Y227" s="56">
        <v>1000</v>
      </c>
    </row>
    <row r="228" spans="2:25" x14ac:dyDescent="0.25">
      <c r="B228" s="9"/>
      <c r="C228" s="17">
        <v>974.65</v>
      </c>
      <c r="D228" s="18">
        <v>42.161999999999999</v>
      </c>
      <c r="E228" s="18">
        <v>50.445</v>
      </c>
      <c r="F228" s="18">
        <v>50.223999999999997</v>
      </c>
      <c r="G228" s="18">
        <v>16.760000000000002</v>
      </c>
      <c r="H228" s="18">
        <f t="shared" si="32"/>
        <v>44.205124999999995</v>
      </c>
      <c r="I228" s="5"/>
      <c r="J228" s="17">
        <v>600.16099999999994</v>
      </c>
      <c r="K228" s="18">
        <v>41.907299999999999</v>
      </c>
      <c r="L228" s="18">
        <v>50.428199999999997</v>
      </c>
      <c r="M228" s="18">
        <v>50.212200000000003</v>
      </c>
      <c r="N228" s="18">
        <v>18.588000000000001</v>
      </c>
      <c r="O228" s="18">
        <f t="shared" si="33"/>
        <v>44.010525000000001</v>
      </c>
      <c r="P228" s="7"/>
      <c r="Q228" s="10"/>
      <c r="R228" s="11"/>
      <c r="S228" s="11"/>
      <c r="T228" s="26"/>
      <c r="U228" s="28">
        <f t="shared" si="34"/>
        <v>0.10906921241050115</v>
      </c>
      <c r="V228" s="57">
        <f t="shared" si="30"/>
        <v>2.5350000000000022E-2</v>
      </c>
      <c r="W228" s="57">
        <f t="shared" si="31"/>
        <v>2.6833333333324089E-4</v>
      </c>
      <c r="X228" s="56">
        <v>1000</v>
      </c>
      <c r="Y228" s="56">
        <v>600</v>
      </c>
    </row>
    <row r="229" spans="2:25" x14ac:dyDescent="0.25">
      <c r="B229" s="9"/>
      <c r="C229" s="17">
        <v>576.52</v>
      </c>
      <c r="D229" s="18">
        <v>40.753999999999998</v>
      </c>
      <c r="E229" s="18">
        <v>49.468000000000004</v>
      </c>
      <c r="F229" s="18">
        <v>49.313000000000002</v>
      </c>
      <c r="G229" s="18">
        <v>16.91</v>
      </c>
      <c r="H229" s="18">
        <f t="shared" si="32"/>
        <v>42.913125000000001</v>
      </c>
      <c r="I229" s="5"/>
      <c r="J229" s="17">
        <v>291.20330000000001</v>
      </c>
      <c r="K229" s="18">
        <v>40.692700000000002</v>
      </c>
      <c r="L229" s="18">
        <v>49.532800000000002</v>
      </c>
      <c r="M229" s="18">
        <v>49.315399999999997</v>
      </c>
      <c r="N229" s="18">
        <v>22.7044</v>
      </c>
      <c r="O229" s="18">
        <f t="shared" si="33"/>
        <v>42.875550000000004</v>
      </c>
      <c r="P229" s="7"/>
      <c r="Q229" s="10"/>
      <c r="R229" s="11"/>
      <c r="S229" s="11"/>
      <c r="T229" s="26"/>
      <c r="U229" s="28">
        <f t="shared" si="34"/>
        <v>0.34266114725014779</v>
      </c>
      <c r="V229" s="57">
        <f t="shared" si="30"/>
        <v>3.913333333333336E-2</v>
      </c>
      <c r="W229" s="57">
        <f t="shared" si="31"/>
        <v>2.9322333333333291E-2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281.91000000000003</v>
      </c>
      <c r="D230" s="20">
        <v>38.478999999999999</v>
      </c>
      <c r="E230" s="20">
        <v>47.725999999999999</v>
      </c>
      <c r="F230" s="20">
        <v>47.491</v>
      </c>
      <c r="G230" s="20">
        <v>16.989999999999998</v>
      </c>
      <c r="H230" s="20">
        <f t="shared" si="32"/>
        <v>40.761375000000001</v>
      </c>
      <c r="I230" s="5"/>
      <c r="J230" s="19">
        <v>188.83699999999999</v>
      </c>
      <c r="K230" s="20">
        <v>39.918599999999998</v>
      </c>
      <c r="L230" s="20">
        <v>48.967100000000002</v>
      </c>
      <c r="M230" s="20">
        <v>48.744999999999997</v>
      </c>
      <c r="N230" s="20">
        <v>25.684100000000001</v>
      </c>
      <c r="O230" s="20">
        <f t="shared" si="33"/>
        <v>42.152962500000001</v>
      </c>
      <c r="P230" s="7"/>
      <c r="Q230" s="13"/>
      <c r="R230" s="14"/>
      <c r="S230" s="14"/>
      <c r="T230" s="27"/>
      <c r="U230" s="28">
        <f t="shared" si="34"/>
        <v>0.51171865803413796</v>
      </c>
      <c r="V230" s="57">
        <f t="shared" si="30"/>
        <v>6.0299999999999916E-2</v>
      </c>
      <c r="W230" s="57">
        <f t="shared" si="31"/>
        <v>5.5815000000000052E-2</v>
      </c>
      <c r="X230" s="56">
        <v>300</v>
      </c>
      <c r="Y230" s="56">
        <v>200</v>
      </c>
    </row>
    <row r="231" spans="2:25" x14ac:dyDescent="0.25">
      <c r="B231" s="6" t="s">
        <v>89</v>
      </c>
      <c r="C231" s="15">
        <v>1473</v>
      </c>
      <c r="D231" s="16">
        <v>43.570999999999998</v>
      </c>
      <c r="E231" s="16">
        <v>51.762999999999998</v>
      </c>
      <c r="F231" s="16">
        <v>51.784999999999997</v>
      </c>
      <c r="G231" s="16">
        <v>19.23</v>
      </c>
      <c r="H231" s="16">
        <f t="shared" si="32"/>
        <v>45.621749999999992</v>
      </c>
      <c r="I231" s="5"/>
      <c r="J231" s="15">
        <v>1002.2689</v>
      </c>
      <c r="K231" s="16">
        <v>43.166200000000003</v>
      </c>
      <c r="L231" s="16">
        <v>51.525799999999997</v>
      </c>
      <c r="M231" s="16">
        <v>51.63</v>
      </c>
      <c r="N231" s="16">
        <v>18.718399999999999</v>
      </c>
      <c r="O231" s="16">
        <f t="shared" si="33"/>
        <v>45.269125000000003</v>
      </c>
      <c r="P231" s="7"/>
      <c r="Q231" s="8">
        <f>bdrate(C231:C234,D231:D234,J231:J234,K231:K234)</f>
        <v>-0.34601247088331089</v>
      </c>
      <c r="R231" s="8">
        <f>bdrate(C231:C234,E231:E234,J231:J234,L231:L234)</f>
        <v>-0.3636723743096778</v>
      </c>
      <c r="S231" s="8">
        <f>bdrate(C231:C234,F231:F234,J231:J234,M231:M234)</f>
        <v>-0.39577325452379231</v>
      </c>
      <c r="T231" s="25">
        <f>bdrate(C231:C234,H231:H234,J231:J234,O231:O234)</f>
        <v>-0.3523232051710643</v>
      </c>
      <c r="U231" s="28">
        <f t="shared" si="34"/>
        <v>-2.6604264170566893E-2</v>
      </c>
      <c r="V231" s="57">
        <f t="shared" si="30"/>
        <v>1.7999999999999999E-2</v>
      </c>
      <c r="W231" s="57">
        <f t="shared" si="31"/>
        <v>2.2689000000000307E-3</v>
      </c>
      <c r="X231" s="56">
        <v>1500</v>
      </c>
      <c r="Y231" s="56">
        <v>1000</v>
      </c>
    </row>
    <row r="232" spans="2:25" x14ac:dyDescent="0.25">
      <c r="B232" s="9"/>
      <c r="C232" s="17">
        <v>978.71</v>
      </c>
      <c r="D232" s="18">
        <v>42.228999999999999</v>
      </c>
      <c r="E232" s="18">
        <v>51.02</v>
      </c>
      <c r="F232" s="18">
        <v>51.04</v>
      </c>
      <c r="G232" s="18">
        <v>19.600000000000001</v>
      </c>
      <c r="H232" s="18">
        <f t="shared" si="32"/>
        <v>44.429250000000003</v>
      </c>
      <c r="I232" s="5"/>
      <c r="J232" s="17">
        <v>602.78620000000001</v>
      </c>
      <c r="K232" s="18">
        <v>41.755200000000002</v>
      </c>
      <c r="L232" s="18">
        <v>50.681199999999997</v>
      </c>
      <c r="M232" s="18">
        <v>50.823399999999999</v>
      </c>
      <c r="N232" s="18">
        <v>21.452200000000001</v>
      </c>
      <c r="O232" s="18">
        <f t="shared" si="33"/>
        <v>44.004474999999999</v>
      </c>
      <c r="P232" s="7"/>
      <c r="Q232" s="10"/>
      <c r="R232" s="11"/>
      <c r="S232" s="11"/>
      <c r="T232" s="26"/>
      <c r="U232" s="28">
        <f t="shared" si="34"/>
        <v>9.4499999999999987E-2</v>
      </c>
      <c r="V232" s="57">
        <f t="shared" si="30"/>
        <v>2.1289999999999965E-2</v>
      </c>
      <c r="W232" s="57">
        <f t="shared" si="31"/>
        <v>4.6436666666666796E-3</v>
      </c>
      <c r="X232" s="56">
        <v>1000</v>
      </c>
      <c r="Y232" s="56">
        <v>600</v>
      </c>
    </row>
    <row r="233" spans="2:25" x14ac:dyDescent="0.25">
      <c r="B233" s="9"/>
      <c r="C233" s="17">
        <v>584.27</v>
      </c>
      <c r="D233" s="18">
        <v>40.390999999999998</v>
      </c>
      <c r="E233" s="18">
        <v>49.805</v>
      </c>
      <c r="F233" s="18">
        <v>49.805999999999997</v>
      </c>
      <c r="G233" s="18">
        <v>19.84</v>
      </c>
      <c r="H233" s="18">
        <f t="shared" si="32"/>
        <v>42.744624999999999</v>
      </c>
      <c r="I233" s="5"/>
      <c r="J233" s="17">
        <v>297.33429999999998</v>
      </c>
      <c r="K233" s="18">
        <v>39.749499999999998</v>
      </c>
      <c r="L233" s="18">
        <v>49.501199999999997</v>
      </c>
      <c r="M233" s="18">
        <v>49.625300000000003</v>
      </c>
      <c r="N233" s="18">
        <v>24.989599999999999</v>
      </c>
      <c r="O233" s="18">
        <f t="shared" si="33"/>
        <v>42.202937499999997</v>
      </c>
      <c r="P233" s="7"/>
      <c r="Q233" s="10"/>
      <c r="R233" s="11"/>
      <c r="S233" s="11"/>
      <c r="T233" s="26"/>
      <c r="U233" s="28">
        <f t="shared" si="34"/>
        <v>0.25955645161290319</v>
      </c>
      <c r="V233" s="57">
        <f t="shared" si="30"/>
        <v>2.6216666666666697E-2</v>
      </c>
      <c r="W233" s="57">
        <f t="shared" si="31"/>
        <v>8.885666666666717E-3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289.7</v>
      </c>
      <c r="D234" s="20">
        <v>37.552</v>
      </c>
      <c r="E234" s="20">
        <v>47.610999999999997</v>
      </c>
      <c r="F234" s="20">
        <v>47.692999999999998</v>
      </c>
      <c r="G234" s="20">
        <v>19.97</v>
      </c>
      <c r="H234" s="20">
        <f t="shared" si="32"/>
        <v>40.076999999999998</v>
      </c>
      <c r="I234" s="5"/>
      <c r="J234" s="19">
        <v>193.9503</v>
      </c>
      <c r="K234" s="20">
        <v>38.485799999999998</v>
      </c>
      <c r="L234" s="20">
        <v>48.622</v>
      </c>
      <c r="M234" s="20">
        <v>48.723599999999998</v>
      </c>
      <c r="N234" s="20">
        <v>27.3308</v>
      </c>
      <c r="O234" s="20">
        <f t="shared" si="33"/>
        <v>41.032549999999993</v>
      </c>
      <c r="P234" s="7"/>
      <c r="Q234" s="13"/>
      <c r="R234" s="14"/>
      <c r="S234" s="14"/>
      <c r="T234" s="27"/>
      <c r="U234" s="28">
        <f t="shared" si="34"/>
        <v>0.36859288933400108</v>
      </c>
      <c r="V234" s="57">
        <f t="shared" si="30"/>
        <v>3.4333333333333368E-2</v>
      </c>
      <c r="W234" s="57">
        <f t="shared" si="31"/>
        <v>3.0248500000000008E-2</v>
      </c>
      <c r="X234" s="56">
        <v>300</v>
      </c>
      <c r="Y234" s="56">
        <v>200</v>
      </c>
    </row>
    <row r="235" spans="2:25" x14ac:dyDescent="0.25">
      <c r="B235" s="6" t="s">
        <v>90</v>
      </c>
      <c r="C235" s="15">
        <v>1495.99</v>
      </c>
      <c r="D235" s="16">
        <v>41.89</v>
      </c>
      <c r="E235" s="16">
        <v>49.6</v>
      </c>
      <c r="F235" s="16">
        <v>50.319000000000003</v>
      </c>
      <c r="G235" s="16">
        <v>18.21</v>
      </c>
      <c r="H235" s="16">
        <f t="shared" si="32"/>
        <v>43.907375000000002</v>
      </c>
      <c r="I235" s="5"/>
      <c r="J235" s="15">
        <v>1003.18</v>
      </c>
      <c r="K235" s="16">
        <v>41.797699999999999</v>
      </c>
      <c r="L235" s="16">
        <v>49.6631</v>
      </c>
      <c r="M235" s="16">
        <v>50.430199999999999</v>
      </c>
      <c r="N235" s="16">
        <v>15.681800000000001</v>
      </c>
      <c r="O235" s="16">
        <f t="shared" si="33"/>
        <v>43.859937500000001</v>
      </c>
      <c r="P235" s="7"/>
      <c r="Q235" s="8">
        <f>bdrate(C235:C238,D235:D238,J235:J238,K235:K238)</f>
        <v>-0.45924938259059045</v>
      </c>
      <c r="R235" s="8">
        <f>bdrate(C235:C238,E235:E238,J235:J238,L235:L238)</f>
        <v>-0.42873410324207295</v>
      </c>
      <c r="S235" s="8">
        <f>bdrate(C235:C238,F235:F238,J235:J238,M235:M238)</f>
        <v>-0.45968742882714042</v>
      </c>
      <c r="T235" s="25">
        <f>bdrate(C235:C238,H235:H238,J235:J238,O235:O238)</f>
        <v>-0.45607171839148897</v>
      </c>
      <c r="U235" s="28">
        <f t="shared" si="34"/>
        <v>-0.1388358045030203</v>
      </c>
      <c r="V235" s="57">
        <f t="shared" si="30"/>
        <v>2.6733333333333275E-3</v>
      </c>
      <c r="W235" s="57">
        <f t="shared" si="31"/>
        <v>3.1799999999999498E-3</v>
      </c>
      <c r="X235" s="56">
        <v>1500</v>
      </c>
      <c r="Y235" s="56">
        <v>1000</v>
      </c>
    </row>
    <row r="236" spans="2:25" x14ac:dyDescent="0.25">
      <c r="B236" s="9"/>
      <c r="C236" s="17">
        <v>997.49</v>
      </c>
      <c r="D236" s="18">
        <v>40.823</v>
      </c>
      <c r="E236" s="18">
        <v>48.954000000000001</v>
      </c>
      <c r="F236" s="18">
        <v>49.710999999999999</v>
      </c>
      <c r="G236" s="18">
        <v>18.440000000000001</v>
      </c>
      <c r="H236" s="18">
        <f t="shared" si="32"/>
        <v>42.950375000000001</v>
      </c>
      <c r="I236" s="5"/>
      <c r="J236" s="17">
        <v>599.73689999999999</v>
      </c>
      <c r="K236" s="18">
        <v>40.838099999999997</v>
      </c>
      <c r="L236" s="18">
        <v>48.935200000000002</v>
      </c>
      <c r="M236" s="18">
        <v>49.756900000000002</v>
      </c>
      <c r="N236" s="18">
        <v>18.4741</v>
      </c>
      <c r="O236" s="18">
        <f t="shared" si="33"/>
        <v>42.965087499999996</v>
      </c>
      <c r="P236" s="7"/>
      <c r="Q236" s="10"/>
      <c r="R236" s="11"/>
      <c r="S236" s="11"/>
      <c r="T236" s="26"/>
      <c r="U236" s="28">
        <f t="shared" si="34"/>
        <v>1.8492407809109915E-3</v>
      </c>
      <c r="V236" s="57">
        <f t="shared" si="30"/>
        <v>2.509999999999991E-3</v>
      </c>
      <c r="W236" s="57">
        <f t="shared" si="31"/>
        <v>4.3850000000001424E-4</v>
      </c>
      <c r="X236" s="56">
        <v>1000</v>
      </c>
      <c r="Y236" s="56">
        <v>600</v>
      </c>
    </row>
    <row r="237" spans="2:25" x14ac:dyDescent="0.25">
      <c r="B237" s="9"/>
      <c r="C237" s="17">
        <v>596.99</v>
      </c>
      <c r="D237" s="18">
        <v>39.462000000000003</v>
      </c>
      <c r="E237" s="18">
        <v>47.927999999999997</v>
      </c>
      <c r="F237" s="18">
        <v>48.673999999999999</v>
      </c>
      <c r="G237" s="18">
        <v>18.579999999999998</v>
      </c>
      <c r="H237" s="18">
        <f t="shared" si="32"/>
        <v>41.671750000000003</v>
      </c>
      <c r="I237" s="5"/>
      <c r="J237" s="17">
        <v>287.41640000000001</v>
      </c>
      <c r="K237" s="18">
        <v>39.443800000000003</v>
      </c>
      <c r="L237" s="18">
        <v>47.654899999999998</v>
      </c>
      <c r="M237" s="18">
        <v>48.5351</v>
      </c>
      <c r="N237" s="18">
        <v>22.715800000000002</v>
      </c>
      <c r="O237" s="18">
        <f t="shared" si="33"/>
        <v>41.6066</v>
      </c>
      <c r="P237" s="7"/>
      <c r="Q237" s="10"/>
      <c r="R237" s="11"/>
      <c r="S237" s="11"/>
      <c r="T237" s="26"/>
      <c r="U237" s="28">
        <f t="shared" si="34"/>
        <v>0.22259418729817027</v>
      </c>
      <c r="V237" s="57">
        <f t="shared" si="30"/>
        <v>5.0166666666666519E-3</v>
      </c>
      <c r="W237" s="57">
        <f t="shared" si="31"/>
        <v>4.19453333333333E-2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297.87</v>
      </c>
      <c r="D238" s="20">
        <v>37.340000000000003</v>
      </c>
      <c r="E238" s="20">
        <v>46.253</v>
      </c>
      <c r="F238" s="20">
        <v>46.978000000000002</v>
      </c>
      <c r="G238" s="20">
        <v>18.809999999999999</v>
      </c>
      <c r="H238" s="20">
        <f t="shared" si="32"/>
        <v>39.658875000000002</v>
      </c>
      <c r="I238" s="5"/>
      <c r="J238" s="19">
        <v>187.19110000000001</v>
      </c>
      <c r="K238" s="20">
        <v>38.4801</v>
      </c>
      <c r="L238" s="20">
        <v>46.732399999999998</v>
      </c>
      <c r="M238" s="20">
        <v>47.640099999999997</v>
      </c>
      <c r="N238" s="20">
        <v>25.846800000000002</v>
      </c>
      <c r="O238" s="20">
        <f t="shared" si="33"/>
        <v>40.656637500000002</v>
      </c>
      <c r="P238" s="7"/>
      <c r="Q238" s="13"/>
      <c r="R238" s="14"/>
      <c r="S238" s="14"/>
      <c r="T238" s="27"/>
      <c r="U238" s="28">
        <f t="shared" si="34"/>
        <v>0.37409888357256799</v>
      </c>
      <c r="V238" s="57">
        <f t="shared" si="30"/>
        <v>7.0999999999999848E-3</v>
      </c>
      <c r="W238" s="57">
        <f t="shared" si="31"/>
        <v>6.4044499999999976E-2</v>
      </c>
      <c r="X238" s="56">
        <v>300</v>
      </c>
      <c r="Y238" s="56">
        <v>200</v>
      </c>
    </row>
    <row r="239" spans="2:25" x14ac:dyDescent="0.25">
      <c r="B239" s="6" t="s">
        <v>91</v>
      </c>
      <c r="C239" s="15">
        <v>1516.49</v>
      </c>
      <c r="D239" s="16">
        <v>40.930999999999997</v>
      </c>
      <c r="E239" s="16">
        <v>49.182000000000002</v>
      </c>
      <c r="F239" s="16">
        <v>48.256999999999998</v>
      </c>
      <c r="G239" s="16">
        <v>17.690000000000001</v>
      </c>
      <c r="H239" s="16">
        <f t="shared" si="32"/>
        <v>42.878124999999997</v>
      </c>
      <c r="I239" s="5"/>
      <c r="J239" s="15">
        <v>1002.5709000000001</v>
      </c>
      <c r="K239" s="16">
        <v>40.595700000000001</v>
      </c>
      <c r="L239" s="16">
        <v>49.241</v>
      </c>
      <c r="M239" s="16">
        <v>48.543799999999997</v>
      </c>
      <c r="N239" s="16">
        <v>14.959300000000001</v>
      </c>
      <c r="O239" s="16">
        <f t="shared" si="33"/>
        <v>42.669874999999998</v>
      </c>
      <c r="P239" s="7"/>
      <c r="Q239" s="8">
        <f>bdrate(C239:C242,D239:D242,J239:J242,K239:K242)</f>
        <v>-0.40645595257611256</v>
      </c>
      <c r="R239" s="8">
        <f>bdrate(C239:C242,E239:E242,J239:J242,L239:L242)</f>
        <v>-0.45142829601434209</v>
      </c>
      <c r="S239" s="8">
        <f>bdrate(C239:C242,F239:F242,J239:J242,M239:M242)</f>
        <v>-0.49263904511576295</v>
      </c>
      <c r="T239" s="25">
        <f>bdrate(C239:C242,H239:H242,J239:J242,O239:O242)</f>
        <v>-0.4185621134613623</v>
      </c>
      <c r="U239" s="28">
        <f t="shared" si="34"/>
        <v>-0.15436404748445451</v>
      </c>
      <c r="V239" s="57">
        <f t="shared" si="30"/>
        <v>1.0993333333333339E-2</v>
      </c>
      <c r="W239" s="57">
        <f t="shared" si="31"/>
        <v>2.5709000000000513E-3</v>
      </c>
      <c r="X239" s="56">
        <v>1500</v>
      </c>
      <c r="Y239" s="56">
        <v>1000</v>
      </c>
    </row>
    <row r="240" spans="2:25" x14ac:dyDescent="0.25">
      <c r="B240" s="9"/>
      <c r="C240" s="17">
        <v>1010.25</v>
      </c>
      <c r="D240" s="18">
        <v>39.476999999999997</v>
      </c>
      <c r="E240" s="18">
        <v>48.220999999999997</v>
      </c>
      <c r="F240" s="18">
        <v>47.24</v>
      </c>
      <c r="G240" s="18">
        <v>17.940000000000001</v>
      </c>
      <c r="H240" s="18">
        <f t="shared" si="32"/>
        <v>41.540374999999997</v>
      </c>
      <c r="I240" s="5"/>
      <c r="J240" s="17">
        <v>591.73040000000003</v>
      </c>
      <c r="K240" s="18">
        <v>39.093499999999999</v>
      </c>
      <c r="L240" s="18">
        <v>48.291699999999999</v>
      </c>
      <c r="M240" s="18">
        <v>47.498699999999999</v>
      </c>
      <c r="N240" s="18">
        <v>17.639600000000002</v>
      </c>
      <c r="O240" s="18">
        <f t="shared" si="33"/>
        <v>41.293924999999994</v>
      </c>
      <c r="P240" s="7"/>
      <c r="Q240" s="10"/>
      <c r="R240" s="11"/>
      <c r="S240" s="11"/>
      <c r="T240" s="26"/>
      <c r="U240" s="28">
        <f t="shared" si="34"/>
        <v>-1.6744704570791514E-2</v>
      </c>
      <c r="V240" s="57">
        <f t="shared" si="30"/>
        <v>1.025E-2</v>
      </c>
      <c r="W240" s="57">
        <f t="shared" si="31"/>
        <v>1.3782666666666615E-2</v>
      </c>
      <c r="X240" s="56">
        <v>1000</v>
      </c>
      <c r="Y240" s="56">
        <v>600</v>
      </c>
    </row>
    <row r="241" spans="2:25" x14ac:dyDescent="0.25">
      <c r="B241" s="9"/>
      <c r="C241" s="17">
        <v>607.64</v>
      </c>
      <c r="D241" s="18">
        <v>37.451000000000001</v>
      </c>
      <c r="E241" s="18">
        <v>46.98</v>
      </c>
      <c r="F241" s="18">
        <v>45.828000000000003</v>
      </c>
      <c r="G241" s="18">
        <v>18.18</v>
      </c>
      <c r="H241" s="18">
        <f t="shared" si="32"/>
        <v>39.689250000000001</v>
      </c>
      <c r="I241" s="5"/>
      <c r="J241" s="17">
        <v>285.37920000000003</v>
      </c>
      <c r="K241" s="18">
        <v>36.835000000000001</v>
      </c>
      <c r="L241" s="18">
        <v>46.636699999999998</v>
      </c>
      <c r="M241" s="18">
        <v>45.691800000000001</v>
      </c>
      <c r="N241" s="18">
        <v>21.7423</v>
      </c>
      <c r="O241" s="18">
        <f t="shared" si="33"/>
        <v>39.167312500000001</v>
      </c>
      <c r="P241" s="7"/>
      <c r="Q241" s="10"/>
      <c r="R241" s="11"/>
      <c r="S241" s="11"/>
      <c r="T241" s="26"/>
      <c r="U241" s="28">
        <f t="shared" si="34"/>
        <v>0.19594609460946097</v>
      </c>
      <c r="V241" s="57">
        <f t="shared" si="30"/>
        <v>1.273333333333331E-2</v>
      </c>
      <c r="W241" s="57">
        <f t="shared" si="31"/>
        <v>4.8735999999999911E-2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304.08</v>
      </c>
      <c r="D242" s="20">
        <v>34.218000000000004</v>
      </c>
      <c r="E242" s="20">
        <v>44.683</v>
      </c>
      <c r="F242" s="20">
        <v>43.697000000000003</v>
      </c>
      <c r="G242" s="20">
        <v>18.27</v>
      </c>
      <c r="H242" s="20">
        <f t="shared" si="32"/>
        <v>36.710999999999999</v>
      </c>
      <c r="I242" s="5"/>
      <c r="J242" s="19">
        <v>186.43219999999999</v>
      </c>
      <c r="K242" s="20">
        <v>35.349299999999999</v>
      </c>
      <c r="L242" s="20">
        <v>45.642400000000002</v>
      </c>
      <c r="M242" s="20">
        <v>44.580100000000002</v>
      </c>
      <c r="N242" s="20">
        <v>24.6266</v>
      </c>
      <c r="O242" s="20">
        <f t="shared" si="33"/>
        <v>37.789787500000003</v>
      </c>
      <c r="P242" s="7"/>
      <c r="Q242" s="13"/>
      <c r="R242" s="14"/>
      <c r="S242" s="14"/>
      <c r="T242" s="27"/>
      <c r="U242" s="28">
        <f t="shared" si="34"/>
        <v>0.34792556102900934</v>
      </c>
      <c r="V242" s="57">
        <f t="shared" si="30"/>
        <v>1.3599999999999947E-2</v>
      </c>
      <c r="W242" s="57">
        <f t="shared" si="31"/>
        <v>6.7839000000000024E-2</v>
      </c>
      <c r="X242" s="56">
        <v>300</v>
      </c>
      <c r="Y242" s="56">
        <v>200</v>
      </c>
    </row>
    <row r="243" spans="2:25" x14ac:dyDescent="0.25">
      <c r="B243" s="6" t="s">
        <v>92</v>
      </c>
      <c r="C243" s="29">
        <v>1466.89</v>
      </c>
      <c r="D243" s="30">
        <v>36.738999999999997</v>
      </c>
      <c r="E243" s="30">
        <v>45.773000000000003</v>
      </c>
      <c r="F243" s="30">
        <v>44.66</v>
      </c>
      <c r="G243" s="16">
        <v>16.43</v>
      </c>
      <c r="H243" s="16">
        <f t="shared" si="32"/>
        <v>38.858374999999995</v>
      </c>
      <c r="I243" s="5"/>
      <c r="J243" s="29">
        <v>1005.7852</v>
      </c>
      <c r="K243" s="30">
        <v>36.245399999999997</v>
      </c>
      <c r="L243" s="30">
        <v>46.289700000000003</v>
      </c>
      <c r="M243" s="30">
        <v>45.107100000000003</v>
      </c>
      <c r="N243" s="16">
        <v>14.4308</v>
      </c>
      <c r="O243" s="16">
        <f t="shared" si="33"/>
        <v>38.608649999999997</v>
      </c>
      <c r="P243" s="7"/>
      <c r="Q243" s="8">
        <f>bdrate(C243:C246,D243:D246,J243:J246,K243:K246)</f>
        <v>-0.35941517741133799</v>
      </c>
      <c r="R243" s="8">
        <f>bdrate(C243:C246,E243:E246,J243:J246,L243:L246)</f>
        <v>-0.46944916338364107</v>
      </c>
      <c r="S243" s="8">
        <f>bdrate(C243:C246,F243:F246,J243:J246,M243:M246)</f>
        <v>-0.43935074230875815</v>
      </c>
      <c r="T243" s="25">
        <f>bdrate(C243:C246,H243:H246,J243:J246,O243:O246)</f>
        <v>-0.37602275863360513</v>
      </c>
      <c r="U243" s="28">
        <f t="shared" si="34"/>
        <v>-0.1216798539257456</v>
      </c>
      <c r="V243" s="57">
        <f t="shared" si="30"/>
        <v>2.2073333333333268E-2</v>
      </c>
      <c r="W243" s="57">
        <f t="shared" si="31"/>
        <v>5.785200000000032E-3</v>
      </c>
      <c r="X243" s="56">
        <v>1500</v>
      </c>
      <c r="Y243" s="56">
        <v>1000</v>
      </c>
    </row>
    <row r="244" spans="2:25" x14ac:dyDescent="0.25">
      <c r="B244" s="9"/>
      <c r="C244" s="31">
        <v>971.48</v>
      </c>
      <c r="D244" s="32">
        <v>35.478999999999999</v>
      </c>
      <c r="E244" s="32">
        <v>44.930999999999997</v>
      </c>
      <c r="F244" s="32">
        <v>43.871000000000002</v>
      </c>
      <c r="G244" s="18">
        <v>16.690000000000001</v>
      </c>
      <c r="H244" s="18">
        <f t="shared" si="32"/>
        <v>37.709499999999998</v>
      </c>
      <c r="I244" s="5"/>
      <c r="J244" s="31">
        <v>597.74699999999996</v>
      </c>
      <c r="K244" s="32">
        <v>35.006399999999999</v>
      </c>
      <c r="L244" s="32">
        <v>45.2988</v>
      </c>
      <c r="M244" s="32">
        <v>44.1342</v>
      </c>
      <c r="N244" s="18">
        <v>16.883500000000002</v>
      </c>
      <c r="O244" s="18">
        <f t="shared" si="33"/>
        <v>37.433925000000002</v>
      </c>
      <c r="P244" s="7"/>
      <c r="Q244" s="10"/>
      <c r="R244" s="11"/>
      <c r="S244" s="11"/>
      <c r="T244" s="26"/>
      <c r="U244" s="28">
        <f t="shared" si="34"/>
        <v>1.1593768723786712E-2</v>
      </c>
      <c r="V244" s="57">
        <f t="shared" si="30"/>
        <v>2.8519999999999983E-2</v>
      </c>
      <c r="W244" s="57">
        <f t="shared" si="31"/>
        <v>3.7550000000000712E-3</v>
      </c>
      <c r="X244" s="56">
        <v>1000</v>
      </c>
      <c r="Y244" s="56">
        <v>600</v>
      </c>
    </row>
    <row r="245" spans="2:25" x14ac:dyDescent="0.25">
      <c r="B245" s="9"/>
      <c r="C245" s="31">
        <v>575.07000000000005</v>
      </c>
      <c r="D245" s="32">
        <v>33.631999999999998</v>
      </c>
      <c r="E245" s="32">
        <v>43.832999999999998</v>
      </c>
      <c r="F245" s="32">
        <v>42.83</v>
      </c>
      <c r="G245" s="18">
        <v>16.96</v>
      </c>
      <c r="H245" s="18">
        <f t="shared" si="32"/>
        <v>36.056874999999998</v>
      </c>
      <c r="I245" s="5"/>
      <c r="J245" s="31">
        <v>287.0376</v>
      </c>
      <c r="K245" s="32">
        <v>32.999600000000001</v>
      </c>
      <c r="L245" s="32">
        <v>43.641599999999997</v>
      </c>
      <c r="M245" s="32">
        <v>42.510199999999998</v>
      </c>
      <c r="N245" s="18">
        <v>20.847799999999999</v>
      </c>
      <c r="O245" s="18">
        <f t="shared" si="33"/>
        <v>35.518675000000002</v>
      </c>
      <c r="P245" s="7"/>
      <c r="Q245" s="10"/>
      <c r="R245" s="11"/>
      <c r="S245" s="11"/>
      <c r="T245" s="26"/>
      <c r="U245" s="28">
        <f t="shared" si="34"/>
        <v>0.22923349056603765</v>
      </c>
      <c r="V245" s="57">
        <f t="shared" si="30"/>
        <v>4.1549999999999913E-2</v>
      </c>
      <c r="W245" s="57">
        <f t="shared" si="31"/>
        <v>4.320800000000001E-2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282.37</v>
      </c>
      <c r="D246" s="34">
        <v>30.341999999999999</v>
      </c>
      <c r="E246" s="34">
        <v>42.095999999999997</v>
      </c>
      <c r="F246" s="34">
        <v>41.182000000000002</v>
      </c>
      <c r="G246" s="20">
        <v>17.11</v>
      </c>
      <c r="H246" s="20">
        <f t="shared" si="32"/>
        <v>33.166249999999998</v>
      </c>
      <c r="I246" s="5"/>
      <c r="J246" s="33">
        <v>186.75380000000001</v>
      </c>
      <c r="K246" s="34">
        <v>31.586200000000002</v>
      </c>
      <c r="L246" s="34">
        <v>42.645899999999997</v>
      </c>
      <c r="M246" s="34">
        <v>41.545299999999997</v>
      </c>
      <c r="N246" s="20">
        <v>24.091200000000001</v>
      </c>
      <c r="O246" s="20">
        <f t="shared" si="33"/>
        <v>34.213549999999998</v>
      </c>
      <c r="P246" s="7"/>
      <c r="Q246" s="13"/>
      <c r="R246" s="14"/>
      <c r="S246" s="14"/>
      <c r="T246" s="27"/>
      <c r="U246" s="28">
        <f t="shared" si="34"/>
        <v>0.40801870251315031</v>
      </c>
      <c r="V246" s="57">
        <f t="shared" si="30"/>
        <v>5.8766666666666655E-2</v>
      </c>
      <c r="W246" s="57">
        <f t="shared" si="31"/>
        <v>6.6230999999999943E-2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5">AVERAGE(Q131:Q246)</f>
        <v>-0.40916669988802262</v>
      </c>
      <c r="R247" s="21">
        <f t="shared" si="35"/>
        <v>-0.48125797220344546</v>
      </c>
      <c r="S247" s="21">
        <f t="shared" si="35"/>
        <v>-0.49141136397099627</v>
      </c>
      <c r="T247" s="21">
        <f t="shared" si="35"/>
        <v>-0.42432280502696196</v>
      </c>
      <c r="U247" s="21">
        <f t="shared" si="35"/>
        <v>0.20675190680653094</v>
      </c>
      <c r="V247" s="57">
        <f t="shared" si="35"/>
        <v>4.4444320300365665E-2</v>
      </c>
      <c r="W247" s="57">
        <f t="shared" si="35"/>
        <v>1.9871753160919551E-2</v>
      </c>
      <c r="X247" s="57"/>
      <c r="Y247" s="56"/>
    </row>
  </sheetData>
  <mergeCells count="14">
    <mergeCell ref="V7:Y7"/>
    <mergeCell ref="V129:Y129"/>
    <mergeCell ref="C5:Y6"/>
    <mergeCell ref="C127:Y128"/>
    <mergeCell ref="B127:B128"/>
    <mergeCell ref="C129:H129"/>
    <mergeCell ref="J129:O129"/>
    <mergeCell ref="Q129:S129"/>
    <mergeCell ref="U7:U8"/>
    <mergeCell ref="U129:U130"/>
    <mergeCell ref="B5:B6"/>
    <mergeCell ref="C7:H7"/>
    <mergeCell ref="J7:O7"/>
    <mergeCell ref="Q7:S7"/>
  </mergeCells>
  <phoneticPr fontId="5" type="noConversion"/>
  <conditionalFormatting sqref="Q29:T32 Q37:T44 Q9:T20">
    <cfRule type="cellIs" dxfId="293" priority="497" operator="greaterThan">
      <formula>0.03</formula>
    </cfRule>
    <cfRule type="cellIs" dxfId="292" priority="498" stopIfTrue="1" operator="lessThan">
      <formula>-0.03</formula>
    </cfRule>
  </conditionalFormatting>
  <conditionalFormatting sqref="Q33:T36">
    <cfRule type="cellIs" dxfId="291" priority="495" operator="greaterThan">
      <formula>0.03</formula>
    </cfRule>
    <cfRule type="cellIs" dxfId="290" priority="496" stopIfTrue="1" operator="lessThan">
      <formula>-0.03</formula>
    </cfRule>
  </conditionalFormatting>
  <conditionalFormatting sqref="Q46:T48 Q62:T64">
    <cfRule type="cellIs" dxfId="289" priority="493" operator="greaterThan">
      <formula>0.03</formula>
    </cfRule>
    <cfRule type="cellIs" dxfId="288" priority="494" stopIfTrue="1" operator="lessThan">
      <formula>-0.03</formula>
    </cfRule>
  </conditionalFormatting>
  <conditionalFormatting sqref="Q50:T52 Q54:T56 Q58:T60">
    <cfRule type="cellIs" dxfId="287" priority="491" operator="greaterThan">
      <formula>0.03</formula>
    </cfRule>
    <cfRule type="cellIs" dxfId="286" priority="492" stopIfTrue="1" operator="lessThan">
      <formula>-0.03</formula>
    </cfRule>
  </conditionalFormatting>
  <conditionalFormatting sqref="Q70:T72 Q74:T76">
    <cfRule type="cellIs" dxfId="285" priority="489" operator="greaterThan">
      <formula>0.03</formula>
    </cfRule>
    <cfRule type="cellIs" dxfId="284" priority="490" stopIfTrue="1" operator="lessThan">
      <formula>-0.03</formula>
    </cfRule>
  </conditionalFormatting>
  <conditionalFormatting sqref="Q66:T68">
    <cfRule type="cellIs" dxfId="283" priority="487" operator="greaterThan">
      <formula>0.03</formula>
    </cfRule>
    <cfRule type="cellIs" dxfId="282" priority="488" stopIfTrue="1" operator="lessThan">
      <formula>-0.03</formula>
    </cfRule>
  </conditionalFormatting>
  <conditionalFormatting sqref="Q78:T80">
    <cfRule type="cellIs" dxfId="281" priority="485" operator="greaterThan">
      <formula>0.03</formula>
    </cfRule>
    <cfRule type="cellIs" dxfId="280" priority="486" stopIfTrue="1" operator="lessThan">
      <formula>-0.03</formula>
    </cfRule>
  </conditionalFormatting>
  <conditionalFormatting sqref="Q21:T28">
    <cfRule type="cellIs" dxfId="279" priority="461" operator="greaterThan">
      <formula>0.03</formula>
    </cfRule>
    <cfRule type="cellIs" dxfId="278" priority="462" stopIfTrue="1" operator="lessThan">
      <formula>-0.03</formula>
    </cfRule>
  </conditionalFormatting>
  <conditionalFormatting sqref="Q151:T154 Q159:T166 Q131:T142">
    <cfRule type="cellIs" dxfId="277" priority="457" operator="greaterThan">
      <formula>0.03</formula>
    </cfRule>
    <cfRule type="cellIs" dxfId="276" priority="458" stopIfTrue="1" operator="lessThan">
      <formula>-0.03</formula>
    </cfRule>
  </conditionalFormatting>
  <conditionalFormatting sqref="Q155:T158">
    <cfRule type="cellIs" dxfId="275" priority="455" operator="greaterThan">
      <formula>0.03</formula>
    </cfRule>
    <cfRule type="cellIs" dxfId="274" priority="456" stopIfTrue="1" operator="lessThan">
      <formula>-0.03</formula>
    </cfRule>
  </conditionalFormatting>
  <conditionalFormatting sqref="Q167:T170 Q183:T186">
    <cfRule type="cellIs" dxfId="273" priority="453" operator="greaterThan">
      <formula>0.03</formula>
    </cfRule>
    <cfRule type="cellIs" dxfId="272" priority="454" stopIfTrue="1" operator="lessThan">
      <formula>-0.03</formula>
    </cfRule>
  </conditionalFormatting>
  <conditionalFormatting sqref="Q171:T182">
    <cfRule type="cellIs" dxfId="271" priority="451" operator="greaterThan">
      <formula>0.03</formula>
    </cfRule>
    <cfRule type="cellIs" dxfId="270" priority="452" stopIfTrue="1" operator="lessThan">
      <formula>-0.03</formula>
    </cfRule>
  </conditionalFormatting>
  <conditionalFormatting sqref="Q191:T198">
    <cfRule type="cellIs" dxfId="269" priority="449" operator="greaterThan">
      <formula>0.03</formula>
    </cfRule>
    <cfRule type="cellIs" dxfId="268" priority="450" stopIfTrue="1" operator="lessThan">
      <formula>-0.03</formula>
    </cfRule>
  </conditionalFormatting>
  <conditionalFormatting sqref="Q187:T190">
    <cfRule type="cellIs" dxfId="267" priority="447" operator="greaterThan">
      <formula>0.03</formula>
    </cfRule>
    <cfRule type="cellIs" dxfId="266" priority="448" stopIfTrue="1" operator="lessThan">
      <formula>-0.03</formula>
    </cfRule>
  </conditionalFormatting>
  <conditionalFormatting sqref="Q199:T202">
    <cfRule type="cellIs" dxfId="265" priority="445" operator="greaterThan">
      <formula>0.03</formula>
    </cfRule>
    <cfRule type="cellIs" dxfId="264" priority="446" stopIfTrue="1" operator="lessThan">
      <formula>-0.03</formula>
    </cfRule>
  </conditionalFormatting>
  <conditionalFormatting sqref="Q143:T150">
    <cfRule type="cellIs" dxfId="263" priority="441" operator="greaterThan">
      <formula>0.03</formula>
    </cfRule>
    <cfRule type="cellIs" dxfId="262" priority="442" stopIfTrue="1" operator="lessThan">
      <formula>-0.03</formula>
    </cfRule>
  </conditionalFormatting>
  <conditionalFormatting sqref="Q45:T45">
    <cfRule type="cellIs" dxfId="261" priority="439" operator="greaterThan">
      <formula>0.03</formula>
    </cfRule>
    <cfRule type="cellIs" dxfId="260" priority="440" stopIfTrue="1" operator="lessThan">
      <formula>-0.03</formula>
    </cfRule>
  </conditionalFormatting>
  <conditionalFormatting sqref="Q49:T49">
    <cfRule type="cellIs" dxfId="259" priority="437" operator="greaterThan">
      <formula>0.03</formula>
    </cfRule>
    <cfRule type="cellIs" dxfId="258" priority="438" stopIfTrue="1" operator="lessThan">
      <formula>-0.03</formula>
    </cfRule>
  </conditionalFormatting>
  <conditionalFormatting sqref="Q53:T53">
    <cfRule type="cellIs" dxfId="257" priority="435" operator="greaterThan">
      <formula>0.03</formula>
    </cfRule>
    <cfRule type="cellIs" dxfId="256" priority="436" stopIfTrue="1" operator="lessThan">
      <formula>-0.03</formula>
    </cfRule>
  </conditionalFormatting>
  <conditionalFormatting sqref="Q57:T57">
    <cfRule type="cellIs" dxfId="255" priority="433" operator="greaterThan">
      <formula>0.03</formula>
    </cfRule>
    <cfRule type="cellIs" dxfId="254" priority="434" stopIfTrue="1" operator="lessThan">
      <formula>-0.03</formula>
    </cfRule>
  </conditionalFormatting>
  <conditionalFormatting sqref="Q61:T61">
    <cfRule type="cellIs" dxfId="253" priority="431" operator="greaterThan">
      <formula>0.03</formula>
    </cfRule>
    <cfRule type="cellIs" dxfId="252" priority="432" stopIfTrue="1" operator="lessThan">
      <formula>-0.03</formula>
    </cfRule>
  </conditionalFormatting>
  <conditionalFormatting sqref="Q65:T65">
    <cfRule type="cellIs" dxfId="251" priority="429" operator="greaterThan">
      <formula>0.03</formula>
    </cfRule>
    <cfRule type="cellIs" dxfId="250" priority="430" stopIfTrue="1" operator="lessThan">
      <formula>-0.03</formula>
    </cfRule>
  </conditionalFormatting>
  <conditionalFormatting sqref="Q69:T69">
    <cfRule type="cellIs" dxfId="249" priority="427" operator="greaterThan">
      <formula>0.03</formula>
    </cfRule>
    <cfRule type="cellIs" dxfId="248" priority="428" stopIfTrue="1" operator="lessThan">
      <formula>-0.03</formula>
    </cfRule>
  </conditionalFormatting>
  <conditionalFormatting sqref="Q73:T73">
    <cfRule type="cellIs" dxfId="247" priority="425" operator="greaterThan">
      <formula>0.03</formula>
    </cfRule>
    <cfRule type="cellIs" dxfId="246" priority="426" stopIfTrue="1" operator="lessThan">
      <formula>-0.03</formula>
    </cfRule>
  </conditionalFormatting>
  <conditionalFormatting sqref="Q77:T77">
    <cfRule type="cellIs" dxfId="245" priority="423" operator="greaterThan">
      <formula>0.03</formula>
    </cfRule>
    <cfRule type="cellIs" dxfId="244" priority="424" stopIfTrue="1" operator="lessThan">
      <formula>-0.03</formula>
    </cfRule>
  </conditionalFormatting>
  <conditionalFormatting sqref="Q105:T105">
    <cfRule type="cellIs" dxfId="243" priority="105" operator="greaterThan">
      <formula>0.03</formula>
    </cfRule>
    <cfRule type="cellIs" dxfId="242" priority="106" stopIfTrue="1" operator="lessThan">
      <formula>-0.03</formula>
    </cfRule>
  </conditionalFormatting>
  <conditionalFormatting sqref="Q117:T117">
    <cfRule type="cellIs" dxfId="241" priority="93" operator="greaterThan">
      <formula>0.03</formula>
    </cfRule>
    <cfRule type="cellIs" dxfId="240" priority="94" stopIfTrue="1" operator="lessThan">
      <formula>-0.03</formula>
    </cfRule>
  </conditionalFormatting>
  <conditionalFormatting sqref="Q93:T100 Q81:T88">
    <cfRule type="cellIs" dxfId="239" priority="119" operator="greaterThan">
      <formula>0.03</formula>
    </cfRule>
    <cfRule type="cellIs" dxfId="238" priority="120" stopIfTrue="1" operator="lessThan">
      <formula>-0.03</formula>
    </cfRule>
  </conditionalFormatting>
  <conditionalFormatting sqref="Q89:T92">
    <cfRule type="cellIs" dxfId="237" priority="117" operator="greaterThan">
      <formula>0.03</formula>
    </cfRule>
    <cfRule type="cellIs" dxfId="236" priority="118" stopIfTrue="1" operator="lessThan">
      <formula>-0.03</formula>
    </cfRule>
  </conditionalFormatting>
  <conditionalFormatting sqref="Q102:T104 Q122:T124">
    <cfRule type="cellIs" dxfId="235" priority="115" operator="greaterThan">
      <formula>0.03</formula>
    </cfRule>
    <cfRule type="cellIs" dxfId="234" priority="116" stopIfTrue="1" operator="lessThan">
      <formula>-0.03</formula>
    </cfRule>
  </conditionalFormatting>
  <conditionalFormatting sqref="Q106:T108">
    <cfRule type="cellIs" dxfId="233" priority="113" operator="greaterThan">
      <formula>0.03</formula>
    </cfRule>
    <cfRule type="cellIs" dxfId="232" priority="114" stopIfTrue="1" operator="lessThan">
      <formula>-0.03</formula>
    </cfRule>
  </conditionalFormatting>
  <conditionalFormatting sqref="Q101:T101">
    <cfRule type="cellIs" dxfId="231" priority="109" operator="greaterThan">
      <formula>0.03</formula>
    </cfRule>
    <cfRule type="cellIs" dxfId="230" priority="110" stopIfTrue="1" operator="lessThan">
      <formula>-0.03</formula>
    </cfRule>
  </conditionalFormatting>
  <conditionalFormatting sqref="Q121:T121">
    <cfRule type="cellIs" dxfId="229" priority="103" operator="greaterThan">
      <formula>0.03</formula>
    </cfRule>
    <cfRule type="cellIs" dxfId="228" priority="104" stopIfTrue="1" operator="lessThan">
      <formula>-0.03</formula>
    </cfRule>
  </conditionalFormatting>
  <conditionalFormatting sqref="Q109:T112">
    <cfRule type="cellIs" dxfId="227" priority="101" operator="greaterThan">
      <formula>0.03</formula>
    </cfRule>
    <cfRule type="cellIs" dxfId="226" priority="102" stopIfTrue="1" operator="lessThan">
      <formula>-0.03</formula>
    </cfRule>
  </conditionalFormatting>
  <conditionalFormatting sqref="Q114:T116">
    <cfRule type="cellIs" dxfId="225" priority="99" operator="greaterThan">
      <formula>0.03</formula>
    </cfRule>
    <cfRule type="cellIs" dxfId="224" priority="100" stopIfTrue="1" operator="lessThan">
      <formula>-0.03</formula>
    </cfRule>
  </conditionalFormatting>
  <conditionalFormatting sqref="Q118:T120">
    <cfRule type="cellIs" dxfId="223" priority="97" operator="greaterThan">
      <formula>0.03</formula>
    </cfRule>
    <cfRule type="cellIs" dxfId="222" priority="98" stopIfTrue="1" operator="lessThan">
      <formula>-0.03</formula>
    </cfRule>
  </conditionalFormatting>
  <conditionalFormatting sqref="Q113:T113">
    <cfRule type="cellIs" dxfId="221" priority="95" operator="greaterThan">
      <formula>0.03</formula>
    </cfRule>
    <cfRule type="cellIs" dxfId="220" priority="96" stopIfTrue="1" operator="lessThan">
      <formula>-0.03</formula>
    </cfRule>
  </conditionalFormatting>
  <conditionalFormatting sqref="Q227:T227">
    <cfRule type="cellIs" dxfId="219" priority="39" operator="greaterThan">
      <formula>0.03</formula>
    </cfRule>
    <cfRule type="cellIs" dxfId="218" priority="40" stopIfTrue="1" operator="lessThan">
      <formula>-0.03</formula>
    </cfRule>
  </conditionalFormatting>
  <conditionalFormatting sqref="Q239:T239">
    <cfRule type="cellIs" dxfId="217" priority="27" operator="greaterThan">
      <formula>0.03</formula>
    </cfRule>
    <cfRule type="cellIs" dxfId="216" priority="28" stopIfTrue="1" operator="lessThan">
      <formula>-0.03</formula>
    </cfRule>
  </conditionalFormatting>
  <conditionalFormatting sqref="Q215:T222 Q203:T210">
    <cfRule type="cellIs" dxfId="215" priority="53" operator="greaterThan">
      <formula>0.03</formula>
    </cfRule>
    <cfRule type="cellIs" dxfId="214" priority="54" stopIfTrue="1" operator="lessThan">
      <formula>-0.03</formula>
    </cfRule>
  </conditionalFormatting>
  <conditionalFormatting sqref="Q211:T214">
    <cfRule type="cellIs" dxfId="213" priority="51" operator="greaterThan">
      <formula>0.03</formula>
    </cfRule>
    <cfRule type="cellIs" dxfId="212" priority="52" stopIfTrue="1" operator="lessThan">
      <formula>-0.03</formula>
    </cfRule>
  </conditionalFormatting>
  <conditionalFormatting sqref="Q224:T226 Q244:T246">
    <cfRule type="cellIs" dxfId="211" priority="49" operator="greaterThan">
      <formula>0.03</formula>
    </cfRule>
    <cfRule type="cellIs" dxfId="210" priority="50" stopIfTrue="1" operator="lessThan">
      <formula>-0.03</formula>
    </cfRule>
  </conditionalFormatting>
  <conditionalFormatting sqref="Q228:T230">
    <cfRule type="cellIs" dxfId="209" priority="47" operator="greaterThan">
      <formula>0.03</formula>
    </cfRule>
    <cfRule type="cellIs" dxfId="208" priority="48" stopIfTrue="1" operator="lessThan">
      <formula>-0.03</formula>
    </cfRule>
  </conditionalFormatting>
  <conditionalFormatting sqref="Q223:T223">
    <cfRule type="cellIs" dxfId="207" priority="43" operator="greaterThan">
      <formula>0.03</formula>
    </cfRule>
    <cfRule type="cellIs" dxfId="206" priority="44" stopIfTrue="1" operator="lessThan">
      <formula>-0.03</formula>
    </cfRule>
  </conditionalFormatting>
  <conditionalFormatting sqref="Q243:T243">
    <cfRule type="cellIs" dxfId="205" priority="37" operator="greaterThan">
      <formula>0.03</formula>
    </cfRule>
    <cfRule type="cellIs" dxfId="204" priority="38" stopIfTrue="1" operator="lessThan">
      <formula>-0.03</formula>
    </cfRule>
  </conditionalFormatting>
  <conditionalFormatting sqref="Q231:T234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236:T238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240:T242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235:T235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124</v>
      </c>
    </row>
    <row r="2" spans="1:25" x14ac:dyDescent="0.25">
      <c r="A2" t="s">
        <v>78</v>
      </c>
    </row>
    <row r="3" spans="1:25" x14ac:dyDescent="0.25">
      <c r="A3" t="s">
        <v>112</v>
      </c>
    </row>
    <row r="4" spans="1:25" x14ac:dyDescent="0.25">
      <c r="A4" t="s">
        <v>80</v>
      </c>
    </row>
    <row r="5" spans="1:25" s="35" customFormat="1" ht="15.75" customHeight="1" x14ac:dyDescent="0.25">
      <c r="B5" s="74" t="s">
        <v>29</v>
      </c>
      <c r="C5" s="68" t="s">
        <v>118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75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6" t="s">
        <v>77</v>
      </c>
      <c r="D7" s="77"/>
      <c r="E7" s="77"/>
      <c r="F7" s="77"/>
      <c r="G7" s="77"/>
      <c r="H7" s="77"/>
      <c r="I7" s="5"/>
      <c r="J7" s="76" t="s">
        <v>105</v>
      </c>
      <c r="K7" s="77"/>
      <c r="L7" s="77"/>
      <c r="M7" s="77"/>
      <c r="N7" s="77"/>
      <c r="O7" s="77"/>
      <c r="Q7" s="76" t="s">
        <v>7</v>
      </c>
      <c r="R7" s="77"/>
      <c r="S7" s="78"/>
      <c r="T7" s="36"/>
      <c r="U7" s="79" t="s">
        <v>45</v>
      </c>
      <c r="V7" s="67" t="s">
        <v>93</v>
      </c>
      <c r="W7" s="67"/>
      <c r="X7" s="67"/>
      <c r="Y7" s="67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  <c r="V8" s="55" t="s">
        <v>101</v>
      </c>
      <c r="W8" s="55" t="s">
        <v>94</v>
      </c>
      <c r="X8" s="56" t="s">
        <v>102</v>
      </c>
      <c r="Y8" s="56" t="s">
        <v>95</v>
      </c>
    </row>
    <row r="9" spans="1:25" x14ac:dyDescent="0.25">
      <c r="A9" s="6" t="s">
        <v>35</v>
      </c>
      <c r="B9" s="6" t="s">
        <v>46</v>
      </c>
      <c r="C9" s="15">
        <v>5776.7</v>
      </c>
      <c r="D9" s="16">
        <v>38.051000000000002</v>
      </c>
      <c r="E9" s="16">
        <v>39.058</v>
      </c>
      <c r="F9" s="16">
        <v>41.466000000000001</v>
      </c>
      <c r="G9" s="16">
        <v>0.7</v>
      </c>
      <c r="H9" s="16">
        <f t="shared" ref="H9:H80" si="0">(6*D9+E9+F9)/8</f>
        <v>38.603750000000005</v>
      </c>
      <c r="I9" s="5"/>
      <c r="J9" s="15">
        <v>4025.7215999999999</v>
      </c>
      <c r="K9" s="16">
        <v>38.19</v>
      </c>
      <c r="L9" s="16">
        <v>40.016599999999997</v>
      </c>
      <c r="M9" s="16">
        <v>42.659199999999998</v>
      </c>
      <c r="N9" s="16">
        <v>0.76500000000000001</v>
      </c>
      <c r="O9" s="16">
        <f t="shared" ref="O9:O80" si="1">(6*K9+L9+M9)/8</f>
        <v>38.976974999999996</v>
      </c>
      <c r="P9" s="7"/>
      <c r="Q9" s="8">
        <f>bdrate(C9:C12,D9:D12,J9:J12,K9:K12)</f>
        <v>-0.38608502040095116</v>
      </c>
      <c r="R9" s="8">
        <f>bdrate(C9:C12,E9:E12,J9:J12,L9:L12)</f>
        <v>-0.59537829650419738</v>
      </c>
      <c r="S9" s="8">
        <f>bdrate(C9:C12,F9:F12,J9:J12,M9:M12)</f>
        <v>-0.59210953587210002</v>
      </c>
      <c r="T9" s="25">
        <f>bdrate(C9:C12,H9:H12,J9:J12,O9:O12)</f>
        <v>-0.41921555146584077</v>
      </c>
      <c r="U9" s="28">
        <f t="shared" ref="U9:U72" si="2">(N9-G9)/G9</f>
        <v>9.2857142857142944E-2</v>
      </c>
      <c r="V9" s="57">
        <f>ABS(C9-X9)/X9</f>
        <v>3.7216666666666696E-2</v>
      </c>
      <c r="W9" s="57">
        <f t="shared" ref="W9:W72" si="3">ABS(J9-Y9)/Y9</f>
        <v>6.4303999999999629E-3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4278.1400000000003</v>
      </c>
      <c r="D10" s="18">
        <v>36.993000000000002</v>
      </c>
      <c r="E10" s="18">
        <v>38.537999999999997</v>
      </c>
      <c r="F10" s="18">
        <v>40.941000000000003</v>
      </c>
      <c r="G10" s="18">
        <v>0.78</v>
      </c>
      <c r="H10" s="18">
        <f t="shared" si="0"/>
        <v>37.679625000000001</v>
      </c>
      <c r="I10" s="5"/>
      <c r="J10" s="17">
        <v>2991.5376000000001</v>
      </c>
      <c r="K10" s="18">
        <v>37.220199999999998</v>
      </c>
      <c r="L10" s="18">
        <v>39.473199999999999</v>
      </c>
      <c r="M10" s="18">
        <v>41.9651</v>
      </c>
      <c r="N10" s="18">
        <v>0.83750000000000002</v>
      </c>
      <c r="O10" s="18">
        <f t="shared" si="1"/>
        <v>38.0949375</v>
      </c>
      <c r="P10" s="7"/>
      <c r="Q10" s="10"/>
      <c r="R10" s="11"/>
      <c r="S10" s="11"/>
      <c r="T10" s="26"/>
      <c r="U10" s="28">
        <f t="shared" si="2"/>
        <v>7.3717948717948706E-2</v>
      </c>
      <c r="V10" s="57">
        <f t="shared" ref="V10:V73" si="4">ABS(C10-X10)/X10</f>
        <v>4.930222222222215E-2</v>
      </c>
      <c r="W10" s="57">
        <f t="shared" si="3"/>
        <v>2.8207999999999627E-3</v>
      </c>
      <c r="X10" s="56">
        <v>4500</v>
      </c>
      <c r="Y10" s="56">
        <v>3000</v>
      </c>
    </row>
    <row r="11" spans="1:25" x14ac:dyDescent="0.25">
      <c r="B11" s="9"/>
      <c r="C11" s="17">
        <v>2810.63</v>
      </c>
      <c r="D11" s="18">
        <v>35.292000000000002</v>
      </c>
      <c r="E11" s="18">
        <v>37.817</v>
      </c>
      <c r="F11" s="18">
        <v>40.179000000000002</v>
      </c>
      <c r="G11" s="18">
        <v>0.86</v>
      </c>
      <c r="H11" s="18">
        <f t="shared" si="0"/>
        <v>36.218500000000006</v>
      </c>
      <c r="I11" s="5"/>
      <c r="J11" s="17">
        <v>1917.6864</v>
      </c>
      <c r="K11" s="18">
        <v>35.694200000000002</v>
      </c>
      <c r="L11" s="18">
        <v>38.749400000000001</v>
      </c>
      <c r="M11" s="18">
        <v>41.161499999999997</v>
      </c>
      <c r="N11" s="18">
        <v>0.98240000000000005</v>
      </c>
      <c r="O11" s="18">
        <f t="shared" si="1"/>
        <v>36.759512500000007</v>
      </c>
      <c r="P11" s="7"/>
      <c r="Q11" s="10"/>
      <c r="R11" s="11"/>
      <c r="S11" s="11"/>
      <c r="T11" s="26"/>
      <c r="U11" s="28">
        <f t="shared" si="2"/>
        <v>0.14232558139534893</v>
      </c>
      <c r="V11" s="57">
        <f t="shared" si="4"/>
        <v>6.3123333333333295E-2</v>
      </c>
      <c r="W11" s="57">
        <f t="shared" si="3"/>
        <v>4.1156799999999973E-2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1382.24</v>
      </c>
      <c r="D12" s="20">
        <v>31.773</v>
      </c>
      <c r="E12" s="20">
        <v>36.701000000000001</v>
      </c>
      <c r="F12" s="20">
        <v>39.011000000000003</v>
      </c>
      <c r="G12" s="20">
        <v>0.98</v>
      </c>
      <c r="H12" s="20">
        <f t="shared" si="0"/>
        <v>33.293750000000003</v>
      </c>
      <c r="I12" s="5"/>
      <c r="J12" s="19">
        <v>951.06719999999996</v>
      </c>
      <c r="K12" s="20">
        <v>32.976500000000001</v>
      </c>
      <c r="L12" s="20">
        <v>37.427900000000001</v>
      </c>
      <c r="M12" s="20">
        <v>39.739600000000003</v>
      </c>
      <c r="N12" s="20">
        <v>1.2166999999999999</v>
      </c>
      <c r="O12" s="20">
        <f t="shared" si="1"/>
        <v>34.3783125</v>
      </c>
      <c r="P12" s="7"/>
      <c r="Q12" s="13"/>
      <c r="R12" s="14"/>
      <c r="S12" s="14"/>
      <c r="T12" s="27"/>
      <c r="U12" s="28">
        <f t="shared" si="2"/>
        <v>0.24153061224489789</v>
      </c>
      <c r="V12" s="57">
        <f t="shared" si="4"/>
        <v>7.8506666666666655E-2</v>
      </c>
      <c r="W12" s="57">
        <f t="shared" si="3"/>
        <v>4.893280000000004E-2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6288.97</v>
      </c>
      <c r="D13" s="16">
        <v>30.507000000000001</v>
      </c>
      <c r="E13" s="16">
        <v>39.840000000000003</v>
      </c>
      <c r="F13" s="16">
        <v>40.585999999999999</v>
      </c>
      <c r="G13" s="16">
        <v>0.56999999999999995</v>
      </c>
      <c r="H13" s="16">
        <f t="shared" si="0"/>
        <v>32.933500000000002</v>
      </c>
      <c r="I13" s="5"/>
      <c r="J13" s="15">
        <v>4084.4735999999998</v>
      </c>
      <c r="K13" s="16">
        <v>29.904299999999999</v>
      </c>
      <c r="L13" s="16">
        <v>40.230600000000003</v>
      </c>
      <c r="M13" s="16">
        <v>41.077800000000003</v>
      </c>
      <c r="N13" s="16">
        <v>0.51349999999999996</v>
      </c>
      <c r="O13" s="16">
        <f t="shared" si="1"/>
        <v>32.591774999999998</v>
      </c>
      <c r="P13" s="7"/>
      <c r="Q13" s="8">
        <f>bdrate(C13:C16,D13:D16,J13:J16,K13:K16)</f>
        <v>-0.38901289902696512</v>
      </c>
      <c r="R13" s="8">
        <f>bdrate(C13:C16,E13:E16,J13:J16,L13:L16)</f>
        <v>-0.47919106389047361</v>
      </c>
      <c r="S13" s="8">
        <f>bdrate(C13:C16,F13:F16,J13:J16,M13:M16)</f>
        <v>-0.54296663620304408</v>
      </c>
      <c r="T13" s="25">
        <f>bdrate(C13:C16,H13:H16,J13:J16,O13:O16)</f>
        <v>-0.40348284488928277</v>
      </c>
      <c r="U13" s="28">
        <f t="shared" si="2"/>
        <v>-9.9122807017543862E-2</v>
      </c>
      <c r="V13" s="57">
        <f t="shared" si="4"/>
        <v>4.8161666666666707E-2</v>
      </c>
      <c r="W13" s="57">
        <f t="shared" si="3"/>
        <v>2.111839999999995E-2</v>
      </c>
      <c r="X13" s="56">
        <v>6000</v>
      </c>
      <c r="Y13" s="56">
        <v>4000</v>
      </c>
    </row>
    <row r="14" spans="1:25" x14ac:dyDescent="0.25">
      <c r="B14" s="9"/>
      <c r="C14" s="17">
        <v>4728.2</v>
      </c>
      <c r="D14" s="18">
        <v>28.869</v>
      </c>
      <c r="E14" s="18">
        <v>39.29</v>
      </c>
      <c r="F14" s="18">
        <v>40.051000000000002</v>
      </c>
      <c r="G14" s="18">
        <v>0.64</v>
      </c>
      <c r="H14" s="18">
        <f t="shared" si="0"/>
        <v>31.569375000000001</v>
      </c>
      <c r="I14" s="5"/>
      <c r="J14" s="17">
        <v>3069.1248000000001</v>
      </c>
      <c r="K14" s="18">
        <v>28.628599999999999</v>
      </c>
      <c r="L14" s="18">
        <v>39.676200000000001</v>
      </c>
      <c r="M14" s="18">
        <v>40.598500000000001</v>
      </c>
      <c r="N14" s="18">
        <v>0.55549999999999999</v>
      </c>
      <c r="O14" s="18">
        <f t="shared" si="1"/>
        <v>31.505787499999997</v>
      </c>
      <c r="P14" s="7"/>
      <c r="Q14" s="10"/>
      <c r="R14" s="11"/>
      <c r="S14" s="11"/>
      <c r="T14" s="26"/>
      <c r="U14" s="28">
        <f t="shared" si="2"/>
        <v>-0.13203125000000002</v>
      </c>
      <c r="V14" s="57">
        <f t="shared" si="4"/>
        <v>5.0711111111111068E-2</v>
      </c>
      <c r="W14" s="57">
        <f t="shared" si="3"/>
        <v>2.3041600000000016E-2</v>
      </c>
      <c r="X14" s="56">
        <v>4500</v>
      </c>
      <c r="Y14" s="56">
        <v>3000</v>
      </c>
    </row>
    <row r="15" spans="1:25" x14ac:dyDescent="0.25">
      <c r="B15" s="9"/>
      <c r="C15" s="17">
        <v>3150.68</v>
      </c>
      <c r="D15" s="18">
        <v>26.39</v>
      </c>
      <c r="E15" s="18">
        <v>38.542999999999999</v>
      </c>
      <c r="F15" s="18">
        <v>39.340000000000003</v>
      </c>
      <c r="G15" s="18">
        <v>0.72</v>
      </c>
      <c r="H15" s="18">
        <f t="shared" si="0"/>
        <v>29.527875000000002</v>
      </c>
      <c r="I15" s="5"/>
      <c r="J15" s="17">
        <v>2032.248</v>
      </c>
      <c r="K15" s="18">
        <v>26.866700000000002</v>
      </c>
      <c r="L15" s="18">
        <v>38.960999999999999</v>
      </c>
      <c r="M15" s="18">
        <v>40.002200000000002</v>
      </c>
      <c r="N15" s="18">
        <v>0.6381</v>
      </c>
      <c r="O15" s="18">
        <f t="shared" si="1"/>
        <v>30.020425000000003</v>
      </c>
      <c r="P15" s="7"/>
      <c r="Q15" s="10"/>
      <c r="R15" s="11"/>
      <c r="S15" s="11"/>
      <c r="T15" s="26"/>
      <c r="U15" s="28">
        <f t="shared" si="2"/>
        <v>-0.11374999999999996</v>
      </c>
      <c r="V15" s="57">
        <f t="shared" si="4"/>
        <v>5.0226666666666614E-2</v>
      </c>
      <c r="W15" s="57">
        <f t="shared" si="3"/>
        <v>1.6124000000000024E-2</v>
      </c>
      <c r="X15" s="56">
        <v>3000</v>
      </c>
      <c r="Y15" s="56">
        <v>2000</v>
      </c>
    </row>
    <row r="16" spans="1:25" ht="16.5" thickBot="1" x14ac:dyDescent="0.3">
      <c r="B16" s="12"/>
      <c r="C16" s="19">
        <v>1664.64</v>
      </c>
      <c r="D16" s="20">
        <v>22.643000000000001</v>
      </c>
      <c r="E16" s="20">
        <v>35.621000000000002</v>
      </c>
      <c r="F16" s="20">
        <v>36.667000000000002</v>
      </c>
      <c r="G16" s="20">
        <v>0.76</v>
      </c>
      <c r="H16" s="20">
        <f t="shared" si="0"/>
        <v>26.018250000000002</v>
      </c>
      <c r="I16" s="5"/>
      <c r="J16" s="19">
        <v>1176.5727999999999</v>
      </c>
      <c r="K16" s="20">
        <v>24.892299999999999</v>
      </c>
      <c r="L16" s="20">
        <v>37.587200000000003</v>
      </c>
      <c r="M16" s="20">
        <v>38.750900000000001</v>
      </c>
      <c r="N16" s="20">
        <v>0.71789999999999998</v>
      </c>
      <c r="O16" s="20">
        <f t="shared" si="1"/>
        <v>28.211487499999997</v>
      </c>
      <c r="P16" s="7"/>
      <c r="Q16" s="13"/>
      <c r="R16" s="14"/>
      <c r="S16" s="14"/>
      <c r="T16" s="27"/>
      <c r="U16" s="28">
        <f t="shared" si="2"/>
        <v>-5.5394736842105295E-2</v>
      </c>
      <c r="V16" s="57">
        <f t="shared" si="4"/>
        <v>0.10976000000000007</v>
      </c>
      <c r="W16" s="57">
        <f t="shared" si="3"/>
        <v>0.17657279999999992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3015.58</v>
      </c>
      <c r="D17" s="16">
        <v>38.984999999999999</v>
      </c>
      <c r="E17" s="16">
        <v>41.741</v>
      </c>
      <c r="F17" s="16">
        <v>42.787999999999997</v>
      </c>
      <c r="G17" s="16">
        <v>1.04</v>
      </c>
      <c r="H17" s="16">
        <f t="shared" si="0"/>
        <v>39.804875000000003</v>
      </c>
      <c r="I17" s="5"/>
      <c r="J17" s="15">
        <v>2378.1439999999998</v>
      </c>
      <c r="K17" s="16">
        <v>39.391800000000003</v>
      </c>
      <c r="L17" s="16">
        <v>42.3718</v>
      </c>
      <c r="M17" s="16">
        <v>43.942500000000003</v>
      </c>
      <c r="N17" s="16">
        <v>1.2061999999999999</v>
      </c>
      <c r="O17" s="16">
        <f t="shared" si="1"/>
        <v>40.333137499999999</v>
      </c>
      <c r="P17" s="7"/>
      <c r="Q17" s="8">
        <f>bdrate(C17:C20,D17:D20,J17:J20,K17:K20)</f>
        <v>-0.38710310586219476</v>
      </c>
      <c r="R17" s="8">
        <f>bdrate(C17:C20,E17:E20,J17:J20,L17:L20)</f>
        <v>-0.50480521566556247</v>
      </c>
      <c r="S17" s="8">
        <f>bdrate(C17:C20,F17:F20,J17:J20,M17:M20)</f>
        <v>-0.5833769253220249</v>
      </c>
      <c r="T17" s="25">
        <f>bdrate(C17:C20,H17:H20,J17:J20,O17:O20)</f>
        <v>-0.41337622382976735</v>
      </c>
      <c r="U17" s="28">
        <f t="shared" si="2"/>
        <v>0.15980769230769221</v>
      </c>
      <c r="V17" s="57">
        <f t="shared" si="4"/>
        <v>0.16233888888888892</v>
      </c>
      <c r="W17" s="57">
        <f t="shared" si="3"/>
        <v>9.1066666666667594E-3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1977.75</v>
      </c>
      <c r="D18" s="18">
        <v>37.466000000000001</v>
      </c>
      <c r="E18" s="18">
        <v>40.978999999999999</v>
      </c>
      <c r="F18" s="18">
        <v>41.878999999999998</v>
      </c>
      <c r="G18" s="18">
        <v>1.22</v>
      </c>
      <c r="H18" s="18">
        <f t="shared" si="0"/>
        <v>38.45675</v>
      </c>
      <c r="I18" s="5"/>
      <c r="J18" s="17">
        <v>1568.5391999999999</v>
      </c>
      <c r="K18" s="18">
        <v>38.139099999999999</v>
      </c>
      <c r="L18" s="18">
        <v>41.7254</v>
      </c>
      <c r="M18" s="18">
        <v>43.125399999999999</v>
      </c>
      <c r="N18" s="18">
        <v>1.39</v>
      </c>
      <c r="O18" s="18">
        <f t="shared" si="1"/>
        <v>39.210675000000002</v>
      </c>
      <c r="P18" s="7"/>
      <c r="Q18" s="10"/>
      <c r="R18" s="11"/>
      <c r="S18" s="11"/>
      <c r="T18" s="26"/>
      <c r="U18" s="28">
        <f t="shared" si="2"/>
        <v>0.1393442622950819</v>
      </c>
      <c r="V18" s="57">
        <f t="shared" si="4"/>
        <v>0.1759375</v>
      </c>
      <c r="W18" s="57">
        <f t="shared" si="3"/>
        <v>1.9663000000000038E-2</v>
      </c>
      <c r="X18" s="56">
        <v>2400</v>
      </c>
      <c r="Y18" s="56">
        <v>1600</v>
      </c>
    </row>
    <row r="19" spans="1:25" x14ac:dyDescent="0.25">
      <c r="B19" s="9"/>
      <c r="C19" s="17">
        <v>1221.4000000000001</v>
      </c>
      <c r="D19" s="18">
        <v>35.408000000000001</v>
      </c>
      <c r="E19" s="18">
        <v>40.057000000000002</v>
      </c>
      <c r="F19" s="18">
        <v>40.917000000000002</v>
      </c>
      <c r="G19" s="18">
        <v>1.37</v>
      </c>
      <c r="H19" s="18">
        <f t="shared" si="0"/>
        <v>36.677750000000003</v>
      </c>
      <c r="I19" s="5"/>
      <c r="J19" s="17">
        <v>969.03200000000004</v>
      </c>
      <c r="K19" s="18">
        <v>36.587800000000001</v>
      </c>
      <c r="L19" s="18">
        <v>40.913699999999999</v>
      </c>
      <c r="M19" s="18">
        <v>42.1477</v>
      </c>
      <c r="N19" s="18">
        <v>1.6353</v>
      </c>
      <c r="O19" s="18">
        <f t="shared" si="1"/>
        <v>37.823524999999997</v>
      </c>
      <c r="P19" s="7"/>
      <c r="Q19" s="10"/>
      <c r="R19" s="11"/>
      <c r="S19" s="11"/>
      <c r="T19" s="26"/>
      <c r="U19" s="28">
        <f t="shared" si="2"/>
        <v>0.19364963503649624</v>
      </c>
      <c r="V19" s="57">
        <f t="shared" si="4"/>
        <v>0.18573333333333328</v>
      </c>
      <c r="W19" s="57">
        <f t="shared" si="3"/>
        <v>3.0967999999999961E-2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719.21</v>
      </c>
      <c r="D20" s="20">
        <v>32.835999999999999</v>
      </c>
      <c r="E20" s="20">
        <v>39.207000000000001</v>
      </c>
      <c r="F20" s="20">
        <v>40.095999999999997</v>
      </c>
      <c r="G20" s="20">
        <v>1.58</v>
      </c>
      <c r="H20" s="20">
        <f t="shared" si="0"/>
        <v>34.539874999999995</v>
      </c>
      <c r="I20" s="5"/>
      <c r="J20" s="19">
        <v>560.19680000000005</v>
      </c>
      <c r="K20" s="20">
        <v>34.738900000000001</v>
      </c>
      <c r="L20" s="20">
        <v>40.1873</v>
      </c>
      <c r="M20" s="20">
        <v>41.3994</v>
      </c>
      <c r="N20" s="20">
        <v>2.0121000000000002</v>
      </c>
      <c r="O20" s="20">
        <f t="shared" si="1"/>
        <v>36.252512500000002</v>
      </c>
      <c r="P20" s="7"/>
      <c r="Q20" s="13"/>
      <c r="R20" s="14"/>
      <c r="S20" s="14"/>
      <c r="T20" s="27"/>
      <c r="U20" s="28">
        <f t="shared" si="2"/>
        <v>0.27348101265822794</v>
      </c>
      <c r="V20" s="57">
        <f t="shared" si="4"/>
        <v>0.20087777777777774</v>
      </c>
      <c r="W20" s="57">
        <f t="shared" si="3"/>
        <v>6.6338666666666574E-2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3431.38</v>
      </c>
      <c r="D21" s="16">
        <v>36.557000000000002</v>
      </c>
      <c r="E21" s="16">
        <v>39.386000000000003</v>
      </c>
      <c r="F21" s="16">
        <v>40.548000000000002</v>
      </c>
      <c r="G21" s="16">
        <v>1.1399999999999999</v>
      </c>
      <c r="H21" s="16">
        <f t="shared" si="0"/>
        <v>37.409500000000001</v>
      </c>
      <c r="I21" s="5"/>
      <c r="J21" s="15">
        <v>2482.7800000000002</v>
      </c>
      <c r="K21" s="16">
        <v>36.330300000000001</v>
      </c>
      <c r="L21" s="16">
        <v>40.651400000000002</v>
      </c>
      <c r="M21" s="16">
        <v>41.897199999999998</v>
      </c>
      <c r="N21" s="16">
        <v>1.2653000000000001</v>
      </c>
      <c r="O21" s="16">
        <f t="shared" si="1"/>
        <v>37.566300000000005</v>
      </c>
      <c r="P21" s="7"/>
      <c r="Q21" s="8">
        <f>bdrate(C21:C24,D21:D24,J21:J24,K21:K24)</f>
        <v>-0.30999251627103663</v>
      </c>
      <c r="R21" s="8">
        <f>bdrate(C21:C24,E21:E24,J21:J24,L21:L24)</f>
        <v>-0.62132351081589332</v>
      </c>
      <c r="S21" s="8">
        <f>bdrate(C21:C24,F21:F24,J21:J24,M21:M24)</f>
        <v>-0.61508288645136622</v>
      </c>
      <c r="T21" s="25">
        <f>bdrate(C21:C24,H21:H24,J21:J24,O21:O24)</f>
        <v>-0.36533994584156015</v>
      </c>
      <c r="U21" s="28">
        <f t="shared" si="2"/>
        <v>0.10991228070175456</v>
      </c>
      <c r="V21" s="57">
        <f t="shared" si="4"/>
        <v>4.683888888888886E-2</v>
      </c>
      <c r="W21" s="57">
        <f t="shared" si="3"/>
        <v>3.4491666666666747E-2</v>
      </c>
      <c r="X21" s="56">
        <v>3600</v>
      </c>
      <c r="Y21" s="56">
        <v>2400</v>
      </c>
    </row>
    <row r="22" spans="1:25" x14ac:dyDescent="0.25">
      <c r="B22" s="9"/>
      <c r="C22" s="17">
        <v>2276.0100000000002</v>
      </c>
      <c r="D22" s="18">
        <v>35.082000000000001</v>
      </c>
      <c r="E22" s="18">
        <v>38.624000000000002</v>
      </c>
      <c r="F22" s="18">
        <v>39.917000000000002</v>
      </c>
      <c r="G22" s="18">
        <v>1.29</v>
      </c>
      <c r="H22" s="18">
        <f t="shared" si="0"/>
        <v>36.129125000000002</v>
      </c>
      <c r="I22" s="5"/>
      <c r="J22" s="17">
        <v>1676.5391999999999</v>
      </c>
      <c r="K22" s="18">
        <v>35.085599999999999</v>
      </c>
      <c r="L22" s="18">
        <v>39.905099999999997</v>
      </c>
      <c r="M22" s="18">
        <v>41.102499999999999</v>
      </c>
      <c r="N22" s="18">
        <v>1.4613</v>
      </c>
      <c r="O22" s="18">
        <f t="shared" si="1"/>
        <v>36.440150000000003</v>
      </c>
      <c r="P22" s="7"/>
      <c r="Q22" s="10"/>
      <c r="R22" s="11"/>
      <c r="S22" s="11"/>
      <c r="T22" s="26"/>
      <c r="U22" s="28">
        <f t="shared" si="2"/>
        <v>0.13279069767441862</v>
      </c>
      <c r="V22" s="57">
        <f t="shared" si="4"/>
        <v>5.166249999999991E-2</v>
      </c>
      <c r="W22" s="57">
        <f t="shared" si="3"/>
        <v>4.7836999999999963E-2</v>
      </c>
      <c r="X22" s="56">
        <v>2400</v>
      </c>
      <c r="Y22" s="56">
        <v>1600</v>
      </c>
    </row>
    <row r="23" spans="1:25" x14ac:dyDescent="0.25">
      <c r="B23" s="9"/>
      <c r="C23" s="17">
        <v>1407.66</v>
      </c>
      <c r="D23" s="18">
        <v>33.293999999999997</v>
      </c>
      <c r="E23" s="18">
        <v>37.82</v>
      </c>
      <c r="F23" s="18">
        <v>39.253999999999998</v>
      </c>
      <c r="G23" s="18">
        <v>1.42</v>
      </c>
      <c r="H23" s="18">
        <f t="shared" si="0"/>
        <v>34.604749999999996</v>
      </c>
      <c r="I23" s="5"/>
      <c r="J23" s="17">
        <v>1027.6304</v>
      </c>
      <c r="K23" s="18">
        <v>33.619399999999999</v>
      </c>
      <c r="L23" s="18">
        <v>38.947000000000003</v>
      </c>
      <c r="M23" s="18">
        <v>40.171300000000002</v>
      </c>
      <c r="N23" s="18">
        <v>1.6959</v>
      </c>
      <c r="O23" s="18">
        <f t="shared" si="1"/>
        <v>35.1043375</v>
      </c>
      <c r="P23" s="7"/>
      <c r="Q23" s="10"/>
      <c r="R23" s="11"/>
      <c r="S23" s="11"/>
      <c r="T23" s="26"/>
      <c r="U23" s="28">
        <f t="shared" si="2"/>
        <v>0.19429577464788736</v>
      </c>
      <c r="V23" s="57">
        <f t="shared" si="4"/>
        <v>6.1559999999999948E-2</v>
      </c>
      <c r="W23" s="57">
        <f t="shared" si="3"/>
        <v>2.763040000000001E-2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843.26</v>
      </c>
      <c r="D24" s="20">
        <v>31.305</v>
      </c>
      <c r="E24" s="20">
        <v>37.069000000000003</v>
      </c>
      <c r="F24" s="20">
        <v>38.654000000000003</v>
      </c>
      <c r="G24" s="20">
        <v>1.58</v>
      </c>
      <c r="H24" s="20">
        <f t="shared" si="0"/>
        <v>32.944125</v>
      </c>
      <c r="I24" s="5"/>
      <c r="J24" s="19">
        <v>601.24959999999999</v>
      </c>
      <c r="K24" s="20">
        <v>32.0383</v>
      </c>
      <c r="L24" s="20">
        <v>37.993200000000002</v>
      </c>
      <c r="M24" s="20">
        <v>39.347000000000001</v>
      </c>
      <c r="N24" s="20">
        <v>1.9369000000000001</v>
      </c>
      <c r="O24" s="20">
        <f t="shared" si="1"/>
        <v>33.696249999999999</v>
      </c>
      <c r="P24" s="7"/>
      <c r="Q24" s="13"/>
      <c r="R24" s="14"/>
      <c r="S24" s="14"/>
      <c r="T24" s="27"/>
      <c r="U24" s="28">
        <f t="shared" si="2"/>
        <v>0.22588607594936708</v>
      </c>
      <c r="V24" s="57">
        <f t="shared" si="4"/>
        <v>6.3044444444444458E-2</v>
      </c>
      <c r="W24" s="57">
        <f t="shared" si="3"/>
        <v>2.0826666666666446E-3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3541.98</v>
      </c>
      <c r="D25" s="16">
        <v>34.323999999999998</v>
      </c>
      <c r="E25" s="16">
        <v>37.99</v>
      </c>
      <c r="F25" s="16">
        <v>39.645000000000003</v>
      </c>
      <c r="G25" s="16">
        <v>1.35</v>
      </c>
      <c r="H25" s="16">
        <f t="shared" si="0"/>
        <v>35.447375000000001</v>
      </c>
      <c r="I25" s="5"/>
      <c r="J25" s="15">
        <v>2410.5448000000001</v>
      </c>
      <c r="K25" s="16">
        <v>34.705100000000002</v>
      </c>
      <c r="L25" s="16">
        <v>38.598399999999998</v>
      </c>
      <c r="M25" s="16">
        <v>41.003599999999999</v>
      </c>
      <c r="N25" s="16">
        <v>1.5849</v>
      </c>
      <c r="O25" s="16">
        <f t="shared" si="1"/>
        <v>35.979075000000002</v>
      </c>
      <c r="P25" s="7"/>
      <c r="Q25" s="8">
        <f>bdrate(C25:C28,D25:D28,J25:J28,K25:K28)</f>
        <v>-0.45091662486063788</v>
      </c>
      <c r="R25" s="8">
        <f>bdrate(C25:C28,E25:E28,J25:J28,L25:L28)</f>
        <v>-0.61552180315373972</v>
      </c>
      <c r="S25" s="8">
        <f>bdrate(C25:C28,F25:F28,J25:J28,M25:M28)</f>
        <v>-0.64360711644143875</v>
      </c>
      <c r="T25" s="25">
        <f>bdrate(C25:C28,H25:H28,J25:J28,O25:O28)</f>
        <v>-0.48007497330196969</v>
      </c>
      <c r="U25" s="28">
        <f t="shared" si="2"/>
        <v>0.1739999999999999</v>
      </c>
      <c r="V25" s="57">
        <f t="shared" si="4"/>
        <v>1.6116666666666661E-2</v>
      </c>
      <c r="W25" s="57">
        <f t="shared" si="3"/>
        <v>4.3936666666667176E-3</v>
      </c>
      <c r="X25" s="56">
        <v>3600</v>
      </c>
      <c r="Y25" s="56">
        <v>2400</v>
      </c>
    </row>
    <row r="26" spans="1:25" x14ac:dyDescent="0.25">
      <c r="B26" s="9"/>
      <c r="C26" s="17">
        <v>2354.9</v>
      </c>
      <c r="D26" s="18">
        <v>32.880000000000003</v>
      </c>
      <c r="E26" s="18">
        <v>37.466999999999999</v>
      </c>
      <c r="F26" s="18">
        <v>38.753</v>
      </c>
      <c r="G26" s="18">
        <v>1.58</v>
      </c>
      <c r="H26" s="18">
        <f t="shared" si="0"/>
        <v>34.1875</v>
      </c>
      <c r="I26" s="5"/>
      <c r="J26" s="17">
        <v>1603.9503999999999</v>
      </c>
      <c r="K26" s="18">
        <v>33.497500000000002</v>
      </c>
      <c r="L26" s="18">
        <v>38.161900000000003</v>
      </c>
      <c r="M26" s="18">
        <v>40.118899999999996</v>
      </c>
      <c r="N26" s="18">
        <v>1.8152999999999999</v>
      </c>
      <c r="O26" s="18">
        <f t="shared" si="1"/>
        <v>34.908225000000002</v>
      </c>
      <c r="P26" s="7"/>
      <c r="Q26" s="10"/>
      <c r="R26" s="11"/>
      <c r="S26" s="11"/>
      <c r="T26" s="26"/>
      <c r="U26" s="28">
        <f t="shared" si="2"/>
        <v>0.14892405063291128</v>
      </c>
      <c r="V26" s="57">
        <f t="shared" si="4"/>
        <v>1.879166666666663E-2</v>
      </c>
      <c r="W26" s="57">
        <f t="shared" si="3"/>
        <v>2.4689999999999656E-3</v>
      </c>
      <c r="X26" s="56">
        <v>2400</v>
      </c>
      <c r="Y26" s="56">
        <v>1600</v>
      </c>
    </row>
    <row r="27" spans="1:25" x14ac:dyDescent="0.25">
      <c r="B27" s="9"/>
      <c r="C27" s="17">
        <v>1469.27</v>
      </c>
      <c r="D27" s="18">
        <v>30.940999999999999</v>
      </c>
      <c r="E27" s="18">
        <v>36.817</v>
      </c>
      <c r="F27" s="18">
        <v>37.692</v>
      </c>
      <c r="G27" s="18">
        <v>1.74</v>
      </c>
      <c r="H27" s="18">
        <f t="shared" si="0"/>
        <v>32.519374999999997</v>
      </c>
      <c r="I27" s="5"/>
      <c r="J27" s="17">
        <v>1000.6912</v>
      </c>
      <c r="K27" s="18">
        <v>31.843800000000002</v>
      </c>
      <c r="L27" s="18">
        <v>37.577800000000003</v>
      </c>
      <c r="M27" s="18">
        <v>39.095999999999997</v>
      </c>
      <c r="N27" s="18">
        <v>2.1053999999999999</v>
      </c>
      <c r="O27" s="18">
        <f t="shared" si="1"/>
        <v>33.467075000000001</v>
      </c>
      <c r="P27" s="7"/>
      <c r="Q27" s="10"/>
      <c r="R27" s="11"/>
      <c r="S27" s="11"/>
      <c r="T27" s="26"/>
      <c r="U27" s="28">
        <f t="shared" si="2"/>
        <v>0.20999999999999996</v>
      </c>
      <c r="V27" s="57">
        <f t="shared" si="4"/>
        <v>2.0486666666666677E-2</v>
      </c>
      <c r="W27" s="57">
        <f t="shared" si="3"/>
        <v>6.911999999999807E-4</v>
      </c>
      <c r="X27" s="56">
        <v>1500</v>
      </c>
      <c r="Y27" s="56">
        <v>1000</v>
      </c>
    </row>
    <row r="28" spans="1:25" ht="16.5" thickBot="1" x14ac:dyDescent="0.3">
      <c r="B28" s="12"/>
      <c r="C28" s="19">
        <v>879.79</v>
      </c>
      <c r="D28" s="20">
        <v>28.488</v>
      </c>
      <c r="E28" s="20">
        <v>36.045000000000002</v>
      </c>
      <c r="F28" s="20">
        <v>36.604999999999997</v>
      </c>
      <c r="G28" s="20">
        <v>1.94</v>
      </c>
      <c r="H28" s="20">
        <f t="shared" si="0"/>
        <v>30.44725</v>
      </c>
      <c r="I28" s="5"/>
      <c r="J28" s="19">
        <v>584.07680000000005</v>
      </c>
      <c r="K28" s="20">
        <v>30.0671</v>
      </c>
      <c r="L28" s="20">
        <v>36.937800000000003</v>
      </c>
      <c r="M28" s="20">
        <v>38.072400000000002</v>
      </c>
      <c r="N28" s="20">
        <v>2.5428999999999999</v>
      </c>
      <c r="O28" s="20">
        <f t="shared" si="1"/>
        <v>31.926600000000001</v>
      </c>
      <c r="P28" s="7"/>
      <c r="Q28" s="13"/>
      <c r="R28" s="14"/>
      <c r="S28" s="14"/>
      <c r="T28" s="27"/>
      <c r="U28" s="28">
        <f t="shared" si="2"/>
        <v>0.31077319587628865</v>
      </c>
      <c r="V28" s="57">
        <f t="shared" si="4"/>
        <v>2.2455555555555597E-2</v>
      </c>
      <c r="W28" s="57">
        <f t="shared" si="3"/>
        <v>2.6538666666666585E-2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3553.41</v>
      </c>
      <c r="D29" s="30">
        <v>33.838999999999999</v>
      </c>
      <c r="E29" s="30">
        <v>39.619999999999997</v>
      </c>
      <c r="F29" s="30">
        <v>39.326000000000001</v>
      </c>
      <c r="G29" s="16">
        <v>1.21</v>
      </c>
      <c r="H29" s="16">
        <f t="shared" si="0"/>
        <v>35.247500000000002</v>
      </c>
      <c r="I29" s="5"/>
      <c r="J29" s="29">
        <v>2417.8040000000001</v>
      </c>
      <c r="K29" s="30">
        <v>34.351399999999998</v>
      </c>
      <c r="L29" s="30">
        <v>40.912100000000002</v>
      </c>
      <c r="M29" s="30">
        <v>40.671399999999998</v>
      </c>
      <c r="N29" s="16">
        <v>1.4193</v>
      </c>
      <c r="O29" s="16">
        <f t="shared" si="1"/>
        <v>35.961487499999997</v>
      </c>
      <c r="P29" s="7"/>
      <c r="Q29" s="8">
        <f>bdrate(C29:C32,D29:D32,J29:J32,K29:K32)</f>
        <v>-0.51654982629930846</v>
      </c>
      <c r="R29" s="8">
        <f>bdrate(C29:C32,E29:E32,J29:J32,L29:L32)</f>
        <v>-0.6965212217808131</v>
      </c>
      <c r="S29" s="8">
        <f>bdrate(C29:C32,F29:F32,J29:J32,M29:M32)</f>
        <v>-0.62607874460521096</v>
      </c>
      <c r="T29" s="25">
        <f>bdrate(C29:C32,H29:H32,J29:J32,O29:O32)</f>
        <v>-0.54283241673105997</v>
      </c>
      <c r="U29" s="28">
        <f t="shared" si="2"/>
        <v>0.17297520661157029</v>
      </c>
      <c r="V29" s="57">
        <f t="shared" si="4"/>
        <v>1.2941666666666707E-2</v>
      </c>
      <c r="W29" s="57">
        <f t="shared" si="3"/>
        <v>7.4183333333333696E-3</v>
      </c>
      <c r="X29" s="56">
        <v>3600</v>
      </c>
      <c r="Y29" s="56">
        <v>2400</v>
      </c>
    </row>
    <row r="30" spans="1:25" x14ac:dyDescent="0.25">
      <c r="B30" s="9"/>
      <c r="C30" s="31">
        <v>2353.5300000000002</v>
      </c>
      <c r="D30" s="32">
        <v>31.890999999999998</v>
      </c>
      <c r="E30" s="32">
        <v>38.725000000000001</v>
      </c>
      <c r="F30" s="32">
        <v>38.258000000000003</v>
      </c>
      <c r="G30" s="18">
        <v>1.42</v>
      </c>
      <c r="H30" s="18">
        <f t="shared" si="0"/>
        <v>33.541125000000001</v>
      </c>
      <c r="I30" s="5"/>
      <c r="J30" s="31">
        <v>1610.3552</v>
      </c>
      <c r="K30" s="32">
        <v>32.982900000000001</v>
      </c>
      <c r="L30" s="32">
        <v>40.231999999999999</v>
      </c>
      <c r="M30" s="32">
        <v>39.752699999999997</v>
      </c>
      <c r="N30" s="18">
        <v>1.6273</v>
      </c>
      <c r="O30" s="18">
        <f t="shared" si="1"/>
        <v>34.735262499999997</v>
      </c>
      <c r="P30" s="7"/>
      <c r="Q30" s="10"/>
      <c r="R30" s="11"/>
      <c r="S30" s="11"/>
      <c r="T30" s="26"/>
      <c r="U30" s="28">
        <f t="shared" si="2"/>
        <v>0.14598591549295778</v>
      </c>
      <c r="V30" s="57">
        <f t="shared" si="4"/>
        <v>1.9362499999999918E-2</v>
      </c>
      <c r="W30" s="57">
        <f t="shared" si="3"/>
        <v>6.4719999999999804E-3</v>
      </c>
      <c r="X30" s="56">
        <v>2400</v>
      </c>
      <c r="Y30" s="56">
        <v>1600</v>
      </c>
    </row>
    <row r="31" spans="1:25" x14ac:dyDescent="0.25">
      <c r="B31" s="9"/>
      <c r="C31" s="31">
        <v>1458.73</v>
      </c>
      <c r="D31" s="32">
        <v>29.039000000000001</v>
      </c>
      <c r="E31" s="32">
        <v>37.515999999999998</v>
      </c>
      <c r="F31" s="32">
        <v>36.951000000000001</v>
      </c>
      <c r="G31" s="18">
        <v>1.62</v>
      </c>
      <c r="H31" s="18">
        <f t="shared" si="0"/>
        <v>31.087624999999999</v>
      </c>
      <c r="I31" s="5"/>
      <c r="J31" s="31">
        <v>1004.0392000000001</v>
      </c>
      <c r="K31" s="32">
        <v>31.315200000000001</v>
      </c>
      <c r="L31" s="32">
        <v>39.423200000000001</v>
      </c>
      <c r="M31" s="32">
        <v>38.6342</v>
      </c>
      <c r="N31" s="18">
        <v>1.9077</v>
      </c>
      <c r="O31" s="18">
        <f t="shared" si="1"/>
        <v>33.243575</v>
      </c>
      <c r="P31" s="7"/>
      <c r="Q31" s="10"/>
      <c r="R31" s="11"/>
      <c r="S31" s="11"/>
      <c r="T31" s="26"/>
      <c r="U31" s="28">
        <f t="shared" si="2"/>
        <v>0.1775925925925925</v>
      </c>
      <c r="V31" s="57">
        <f t="shared" si="4"/>
        <v>2.751333333333332E-2</v>
      </c>
      <c r="W31" s="57">
        <f t="shared" si="3"/>
        <v>4.0392000000000509E-3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856.28</v>
      </c>
      <c r="D32" s="34">
        <v>25.893000000000001</v>
      </c>
      <c r="E32" s="34">
        <v>35.057000000000002</v>
      </c>
      <c r="F32" s="34">
        <v>34.347000000000001</v>
      </c>
      <c r="G32" s="20">
        <v>1.74</v>
      </c>
      <c r="H32" s="20">
        <f t="shared" si="0"/>
        <v>28.095250000000004</v>
      </c>
      <c r="I32" s="5"/>
      <c r="J32" s="33">
        <v>600.25919999999996</v>
      </c>
      <c r="K32" s="34">
        <v>29.5215</v>
      </c>
      <c r="L32" s="34">
        <v>38.388599999999997</v>
      </c>
      <c r="M32" s="34">
        <v>37.185000000000002</v>
      </c>
      <c r="N32" s="20">
        <v>2.2441</v>
      </c>
      <c r="O32" s="20">
        <f t="shared" si="1"/>
        <v>31.587824999999999</v>
      </c>
      <c r="P32" s="7"/>
      <c r="Q32" s="13"/>
      <c r="R32" s="14"/>
      <c r="S32" s="14"/>
      <c r="T32" s="27"/>
      <c r="U32" s="28">
        <f t="shared" si="2"/>
        <v>0.28971264367816091</v>
      </c>
      <c r="V32" s="57">
        <f t="shared" si="4"/>
        <v>4.857777777777781E-2</v>
      </c>
      <c r="W32" s="57">
        <f t="shared" si="3"/>
        <v>4.3199999999994057E-4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3597.6</v>
      </c>
      <c r="D33" s="16">
        <v>33.122999999999998</v>
      </c>
      <c r="E33" s="16">
        <v>38.979999999999997</v>
      </c>
      <c r="F33" s="16">
        <v>41.704999999999998</v>
      </c>
      <c r="G33" s="16">
        <v>1.47</v>
      </c>
      <c r="H33" s="16">
        <f t="shared" si="0"/>
        <v>34.927875</v>
      </c>
      <c r="I33" s="5"/>
      <c r="J33" s="15">
        <v>2402.0488</v>
      </c>
      <c r="K33" s="16">
        <v>33.910200000000003</v>
      </c>
      <c r="L33" s="16">
        <v>40.319699999999997</v>
      </c>
      <c r="M33" s="16">
        <v>42.736499999999999</v>
      </c>
      <c r="N33" s="16">
        <v>1.6156999999999999</v>
      </c>
      <c r="O33" s="16">
        <f t="shared" si="1"/>
        <v>35.814675000000001</v>
      </c>
      <c r="P33" s="7"/>
      <c r="Q33" s="8">
        <f>bdrate(C33:C36,D33:D36,J33:J36,K33:K36)</f>
        <v>-0.59190085188600283</v>
      </c>
      <c r="R33" s="8">
        <f>bdrate(C33:C36,E33:E36,J33:J36,L33:L36)</f>
        <v>-0.75674990281525423</v>
      </c>
      <c r="S33" s="8">
        <f>bdrate(C33:C36,F33:F36,J33:J36,M33:M36)</f>
        <v>-0.72082566191433206</v>
      </c>
      <c r="T33" s="25">
        <f>bdrate(C33:C36,H33:H36,J33:J36,O33:O36)</f>
        <v>-0.61571590443468949</v>
      </c>
      <c r="U33" s="28">
        <f t="shared" si="2"/>
        <v>9.9115646258503359E-2</v>
      </c>
      <c r="V33" s="57">
        <f t="shared" si="4"/>
        <v>6.6666666666669191E-4</v>
      </c>
      <c r="W33" s="57">
        <f t="shared" si="3"/>
        <v>8.5366666666667845E-4</v>
      </c>
      <c r="X33" s="56">
        <v>3600</v>
      </c>
      <c r="Y33" s="56">
        <v>2400</v>
      </c>
    </row>
    <row r="34" spans="1:25" x14ac:dyDescent="0.25">
      <c r="B34" s="9"/>
      <c r="C34" s="17">
        <v>2367.9499999999998</v>
      </c>
      <c r="D34" s="18">
        <v>32.119999999999997</v>
      </c>
      <c r="E34" s="18">
        <v>38.523000000000003</v>
      </c>
      <c r="F34" s="18">
        <v>41.204000000000001</v>
      </c>
      <c r="G34" s="18">
        <v>1.67</v>
      </c>
      <c r="H34" s="18">
        <f t="shared" si="0"/>
        <v>34.055874999999993</v>
      </c>
      <c r="I34" s="5"/>
      <c r="J34" s="17">
        <v>1659.9168</v>
      </c>
      <c r="K34" s="18">
        <v>33.245100000000001</v>
      </c>
      <c r="L34" s="18">
        <v>39.892699999999998</v>
      </c>
      <c r="M34" s="18">
        <v>42.362299999999998</v>
      </c>
      <c r="N34" s="18">
        <v>1.8776999999999999</v>
      </c>
      <c r="O34" s="18">
        <f t="shared" si="1"/>
        <v>35.215699999999998</v>
      </c>
      <c r="P34" s="7"/>
      <c r="Q34" s="10"/>
      <c r="R34" s="11"/>
      <c r="S34" s="11"/>
      <c r="T34" s="26"/>
      <c r="U34" s="28">
        <f t="shared" si="2"/>
        <v>0.12437125748502995</v>
      </c>
      <c r="V34" s="57">
        <f t="shared" si="4"/>
        <v>1.3354166666666743E-2</v>
      </c>
      <c r="W34" s="57">
        <f t="shared" si="3"/>
        <v>3.7447999999999981E-2</v>
      </c>
      <c r="X34" s="56">
        <v>2400</v>
      </c>
      <c r="Y34" s="56">
        <v>1600</v>
      </c>
    </row>
    <row r="35" spans="1:25" x14ac:dyDescent="0.25">
      <c r="B35" s="9"/>
      <c r="C35" s="17">
        <v>1463.24</v>
      </c>
      <c r="D35" s="18">
        <v>30.684999999999999</v>
      </c>
      <c r="E35" s="18">
        <v>37.984000000000002</v>
      </c>
      <c r="F35" s="18">
        <v>40.603999999999999</v>
      </c>
      <c r="G35" s="18">
        <v>1.82</v>
      </c>
      <c r="H35" s="18">
        <f t="shared" si="0"/>
        <v>32.837249999999997</v>
      </c>
      <c r="I35" s="5"/>
      <c r="J35" s="17">
        <v>1020.0064</v>
      </c>
      <c r="K35" s="18">
        <v>32.241999999999997</v>
      </c>
      <c r="L35" s="18">
        <v>39.161999999999999</v>
      </c>
      <c r="M35" s="18">
        <v>41.7012</v>
      </c>
      <c r="N35" s="18">
        <v>2.1751999999999998</v>
      </c>
      <c r="O35" s="18">
        <f t="shared" si="1"/>
        <v>34.289400000000001</v>
      </c>
      <c r="P35" s="7"/>
      <c r="Q35" s="10"/>
      <c r="R35" s="11"/>
      <c r="S35" s="11"/>
      <c r="T35" s="26"/>
      <c r="U35" s="28">
        <f t="shared" si="2"/>
        <v>0.19516483516483502</v>
      </c>
      <c r="V35" s="57">
        <f t="shared" si="4"/>
        <v>2.4506666666666659E-2</v>
      </c>
      <c r="W35" s="57">
        <f t="shared" si="3"/>
        <v>2.0006399999999987E-2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860.97</v>
      </c>
      <c r="D36" s="20">
        <v>28.687000000000001</v>
      </c>
      <c r="E36" s="20">
        <v>37.356999999999999</v>
      </c>
      <c r="F36" s="20">
        <v>39.954999999999998</v>
      </c>
      <c r="G36" s="20">
        <v>1.94</v>
      </c>
      <c r="H36" s="20">
        <f t="shared" si="0"/>
        <v>31.179250000000003</v>
      </c>
      <c r="I36" s="5"/>
      <c r="J36" s="19">
        <v>601.96079999999995</v>
      </c>
      <c r="K36" s="20">
        <v>30.8384</v>
      </c>
      <c r="L36" s="20">
        <v>38.586799999999997</v>
      </c>
      <c r="M36" s="20">
        <v>41.139899999999997</v>
      </c>
      <c r="N36" s="20">
        <v>2.4293</v>
      </c>
      <c r="O36" s="20">
        <f t="shared" si="1"/>
        <v>33.094637499999997</v>
      </c>
      <c r="P36" s="7"/>
      <c r="Q36" s="13"/>
      <c r="R36" s="14"/>
      <c r="S36" s="14"/>
      <c r="T36" s="27"/>
      <c r="U36" s="28">
        <f t="shared" si="2"/>
        <v>0.25221649484536085</v>
      </c>
      <c r="V36" s="57">
        <f t="shared" si="4"/>
        <v>4.3366666666666637E-2</v>
      </c>
      <c r="W36" s="57">
        <f t="shared" si="3"/>
        <v>3.2679999999999155E-3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1553.73</v>
      </c>
      <c r="D37" s="16">
        <v>34.923000000000002</v>
      </c>
      <c r="E37" s="16">
        <v>38.332999999999998</v>
      </c>
      <c r="F37" s="16">
        <v>38.28</v>
      </c>
      <c r="G37" s="16">
        <v>6.14</v>
      </c>
      <c r="H37" s="16">
        <f t="shared" si="0"/>
        <v>35.768875000000001</v>
      </c>
      <c r="I37" s="5"/>
      <c r="J37" s="15">
        <v>1221.7311999999999</v>
      </c>
      <c r="K37" s="16">
        <v>35.772100000000002</v>
      </c>
      <c r="L37" s="16">
        <v>40.410899999999998</v>
      </c>
      <c r="M37" s="16">
        <v>40.429400000000001</v>
      </c>
      <c r="N37" s="16">
        <v>4.7164000000000001</v>
      </c>
      <c r="O37" s="16">
        <f t="shared" si="1"/>
        <v>36.934112500000005</v>
      </c>
      <c r="P37" s="7"/>
      <c r="Q37" s="8">
        <f>bdrate(C37:C40,D37:D40,J37:J40,K37:K40)</f>
        <v>-0.36277346197745042</v>
      </c>
      <c r="R37" s="8">
        <f>bdrate(C37:C40,E37:E40,J37:J40,L37:L40)</f>
        <v>-0.59442557938365592</v>
      </c>
      <c r="S37" s="8">
        <f>bdrate(C37:C40,F37:F40,J37:J40,M37:M40)</f>
        <v>-0.57189987899755612</v>
      </c>
      <c r="T37" s="25">
        <f>bdrate(C37:C40,H37:H40,J37:J40,O37:O40)</f>
        <v>-0.41139506415452598</v>
      </c>
      <c r="U37" s="28">
        <f t="shared" si="2"/>
        <v>-0.2318566775244299</v>
      </c>
      <c r="V37" s="57">
        <f t="shared" si="4"/>
        <v>2.4064516129032377E-3</v>
      </c>
      <c r="W37" s="57">
        <f t="shared" si="3"/>
        <v>1.8109333333333286E-2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1047.5999999999999</v>
      </c>
      <c r="D38" s="18">
        <v>33.332999999999998</v>
      </c>
      <c r="E38" s="18">
        <v>37.223999999999997</v>
      </c>
      <c r="F38" s="18">
        <v>37.04</v>
      </c>
      <c r="G38" s="18">
        <v>7.28</v>
      </c>
      <c r="H38" s="18">
        <f t="shared" si="0"/>
        <v>34.28275</v>
      </c>
      <c r="I38" s="5"/>
      <c r="J38" s="17">
        <v>814.09839999999997</v>
      </c>
      <c r="K38" s="18">
        <v>34.001800000000003</v>
      </c>
      <c r="L38" s="18">
        <v>39.036499999999997</v>
      </c>
      <c r="M38" s="18">
        <v>38.881100000000004</v>
      </c>
      <c r="N38" s="18">
        <v>5.3289999999999997</v>
      </c>
      <c r="O38" s="18">
        <f t="shared" si="1"/>
        <v>35.241050000000001</v>
      </c>
      <c r="P38" s="7"/>
      <c r="Q38" s="10"/>
      <c r="R38" s="11"/>
      <c r="S38" s="11"/>
      <c r="T38" s="26"/>
      <c r="U38" s="28">
        <f t="shared" si="2"/>
        <v>-0.26799450549450554</v>
      </c>
      <c r="V38" s="57">
        <f t="shared" si="4"/>
        <v>2.2857142857143722E-3</v>
      </c>
      <c r="W38" s="57">
        <f t="shared" si="3"/>
        <v>1.7622999999999962E-2</v>
      </c>
      <c r="X38" s="56">
        <v>1050</v>
      </c>
      <c r="Y38" s="56">
        <v>800</v>
      </c>
    </row>
    <row r="39" spans="1:25" x14ac:dyDescent="0.25">
      <c r="B39" s="9"/>
      <c r="C39" s="17">
        <v>646.28</v>
      </c>
      <c r="D39" s="18">
        <v>31.219000000000001</v>
      </c>
      <c r="E39" s="18">
        <v>35.889000000000003</v>
      </c>
      <c r="F39" s="18">
        <v>35.548999999999999</v>
      </c>
      <c r="G39" s="18">
        <v>8.24</v>
      </c>
      <c r="H39" s="18">
        <f t="shared" si="0"/>
        <v>32.344000000000001</v>
      </c>
      <c r="I39" s="5"/>
      <c r="J39" s="17">
        <v>508.67039999999997</v>
      </c>
      <c r="K39" s="18">
        <v>32.156700000000001</v>
      </c>
      <c r="L39" s="18">
        <v>37.709499999999998</v>
      </c>
      <c r="M39" s="18">
        <v>37.410800000000002</v>
      </c>
      <c r="N39" s="18">
        <v>6.1532</v>
      </c>
      <c r="O39" s="18">
        <f t="shared" si="1"/>
        <v>33.507562499999999</v>
      </c>
      <c r="P39" s="7"/>
      <c r="Q39" s="10"/>
      <c r="R39" s="11"/>
      <c r="S39" s="11"/>
      <c r="T39" s="26"/>
      <c r="U39" s="28">
        <f t="shared" si="2"/>
        <v>-0.25325242718446606</v>
      </c>
      <c r="V39" s="57">
        <f t="shared" si="4"/>
        <v>5.7230769230769652E-3</v>
      </c>
      <c r="W39" s="57">
        <f t="shared" si="3"/>
        <v>1.7340799999999944E-2</v>
      </c>
      <c r="X39" s="56">
        <v>650</v>
      </c>
      <c r="Y39" s="56">
        <v>500</v>
      </c>
    </row>
    <row r="40" spans="1:25" ht="16.5" thickBot="1" x14ac:dyDescent="0.3">
      <c r="B40" s="12"/>
      <c r="C40" s="19">
        <v>392.65</v>
      </c>
      <c r="D40" s="20">
        <v>28.603000000000002</v>
      </c>
      <c r="E40" s="20">
        <v>34.594000000000001</v>
      </c>
      <c r="F40" s="20">
        <v>34.085999999999999</v>
      </c>
      <c r="G40" s="20">
        <v>9.32</v>
      </c>
      <c r="H40" s="20">
        <f t="shared" si="0"/>
        <v>30.03725</v>
      </c>
      <c r="I40" s="5"/>
      <c r="J40" s="19">
        <v>305.2944</v>
      </c>
      <c r="K40" s="20">
        <v>30.214700000000001</v>
      </c>
      <c r="L40" s="20">
        <v>36.360599999999998</v>
      </c>
      <c r="M40" s="20">
        <v>35.933500000000002</v>
      </c>
      <c r="N40" s="20">
        <v>7.3446999999999996</v>
      </c>
      <c r="O40" s="20">
        <f t="shared" si="1"/>
        <v>31.697787500000004</v>
      </c>
      <c r="P40" s="7"/>
      <c r="Q40" s="13"/>
      <c r="R40" s="14"/>
      <c r="S40" s="14"/>
      <c r="T40" s="27"/>
      <c r="U40" s="28">
        <f t="shared" si="2"/>
        <v>-0.21194206008583699</v>
      </c>
      <c r="V40" s="57">
        <f t="shared" si="4"/>
        <v>1.8375000000000058E-2</v>
      </c>
      <c r="W40" s="57">
        <f t="shared" si="3"/>
        <v>1.7647999999999987E-2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1551.66</v>
      </c>
      <c r="D41" s="16">
        <v>35.390999999999998</v>
      </c>
      <c r="E41" s="16">
        <v>39.938000000000002</v>
      </c>
      <c r="F41" s="16">
        <v>40.777000000000001</v>
      </c>
      <c r="G41" s="16">
        <v>6.3</v>
      </c>
      <c r="H41" s="16">
        <f t="shared" si="0"/>
        <v>36.632624999999997</v>
      </c>
      <c r="I41" s="5"/>
      <c r="J41" s="15">
        <v>1247.9159999999999</v>
      </c>
      <c r="K41" s="16">
        <v>35.844499999999996</v>
      </c>
      <c r="L41" s="16">
        <v>41.392000000000003</v>
      </c>
      <c r="M41" s="16">
        <v>42.406500000000001</v>
      </c>
      <c r="N41" s="16">
        <v>5.1169000000000002</v>
      </c>
      <c r="O41" s="16">
        <f t="shared" si="1"/>
        <v>37.3581875</v>
      </c>
      <c r="P41" s="7"/>
      <c r="Q41" s="8">
        <f>bdrate(C41:C44,D41:D44,J41:J44,K41:K44)</f>
        <v>-0.3586262315339227</v>
      </c>
      <c r="R41" s="8">
        <f>bdrate(C41:C44,E41:E44,J41:J44,L41:L44)</f>
        <v>-0.5557746164583538</v>
      </c>
      <c r="S41" s="8">
        <f>bdrate(C41:C44,F41:F44,J41:J44,M41:M44)</f>
        <v>-0.55075311495217538</v>
      </c>
      <c r="T41" s="25">
        <f>bdrate(C41:C44,H41:H44,J41:J44,O41:O44)</f>
        <v>-0.39369625990833901</v>
      </c>
      <c r="U41" s="28">
        <f t="shared" si="2"/>
        <v>-0.18779365079365073</v>
      </c>
      <c r="V41" s="57">
        <f t="shared" si="4"/>
        <v>1.0709677419355366E-3</v>
      </c>
      <c r="W41" s="57">
        <f t="shared" si="3"/>
        <v>3.9929999999999952E-2</v>
      </c>
      <c r="X41" s="56">
        <v>1550</v>
      </c>
      <c r="Y41" s="56">
        <v>1200</v>
      </c>
    </row>
    <row r="42" spans="1:25" x14ac:dyDescent="0.25">
      <c r="B42" s="9"/>
      <c r="C42" s="17">
        <v>1047.67</v>
      </c>
      <c r="D42" s="18">
        <v>33.613999999999997</v>
      </c>
      <c r="E42" s="18">
        <v>39.07</v>
      </c>
      <c r="F42" s="18">
        <v>39.832000000000001</v>
      </c>
      <c r="G42" s="18">
        <v>7.24</v>
      </c>
      <c r="H42" s="18">
        <f t="shared" si="0"/>
        <v>35.073249999999994</v>
      </c>
      <c r="I42" s="5"/>
      <c r="J42" s="17">
        <v>831.55439999999999</v>
      </c>
      <c r="K42" s="18">
        <v>34.318100000000001</v>
      </c>
      <c r="L42" s="18">
        <v>40.415399999999998</v>
      </c>
      <c r="M42" s="18">
        <v>41.269500000000001</v>
      </c>
      <c r="N42" s="18">
        <v>5.8895</v>
      </c>
      <c r="O42" s="18">
        <f t="shared" si="1"/>
        <v>35.949187500000001</v>
      </c>
      <c r="P42" s="7"/>
      <c r="Q42" s="10"/>
      <c r="R42" s="11"/>
      <c r="S42" s="11"/>
      <c r="T42" s="26"/>
      <c r="U42" s="28">
        <f t="shared" si="2"/>
        <v>-0.18653314917127076</v>
      </c>
      <c r="V42" s="57">
        <f t="shared" si="4"/>
        <v>2.2190476190475498E-3</v>
      </c>
      <c r="W42" s="57">
        <f t="shared" si="3"/>
        <v>3.9442999999999985E-2</v>
      </c>
      <c r="X42" s="56">
        <v>1050</v>
      </c>
      <c r="Y42" s="56">
        <v>800</v>
      </c>
    </row>
    <row r="43" spans="1:25" x14ac:dyDescent="0.25">
      <c r="B43" s="9"/>
      <c r="C43" s="17">
        <v>645.16999999999996</v>
      </c>
      <c r="D43" s="18">
        <v>31.254000000000001</v>
      </c>
      <c r="E43" s="18">
        <v>38.014000000000003</v>
      </c>
      <c r="F43" s="18">
        <v>38.683</v>
      </c>
      <c r="G43" s="18">
        <v>7.83</v>
      </c>
      <c r="H43" s="18">
        <f t="shared" si="0"/>
        <v>33.027625</v>
      </c>
      <c r="I43" s="5"/>
      <c r="J43" s="17">
        <v>519.18640000000005</v>
      </c>
      <c r="K43" s="18">
        <v>32.454500000000003</v>
      </c>
      <c r="L43" s="18">
        <v>39.2973</v>
      </c>
      <c r="M43" s="18">
        <v>40.048400000000001</v>
      </c>
      <c r="N43" s="18">
        <v>6.7055999999999996</v>
      </c>
      <c r="O43" s="18">
        <f t="shared" si="1"/>
        <v>34.259087500000007</v>
      </c>
      <c r="P43" s="7"/>
      <c r="Q43" s="10"/>
      <c r="R43" s="11"/>
      <c r="S43" s="11"/>
      <c r="T43" s="26"/>
      <c r="U43" s="28">
        <f t="shared" si="2"/>
        <v>-0.14360153256704988</v>
      </c>
      <c r="V43" s="57">
        <f t="shared" si="4"/>
        <v>7.4307692307692937E-3</v>
      </c>
      <c r="W43" s="57">
        <f t="shared" si="3"/>
        <v>3.8372800000000096E-2</v>
      </c>
      <c r="X43" s="56">
        <v>650</v>
      </c>
      <c r="Y43" s="56">
        <v>500</v>
      </c>
    </row>
    <row r="44" spans="1:25" ht="16.5" thickBot="1" x14ac:dyDescent="0.3">
      <c r="B44" s="12"/>
      <c r="C44" s="19">
        <v>395.85</v>
      </c>
      <c r="D44" s="20">
        <v>28.625</v>
      </c>
      <c r="E44" s="20">
        <v>36.938000000000002</v>
      </c>
      <c r="F44" s="20">
        <v>37.6</v>
      </c>
      <c r="G44" s="20">
        <v>8.5500000000000007</v>
      </c>
      <c r="H44" s="20">
        <f t="shared" si="0"/>
        <v>30.785999999999998</v>
      </c>
      <c r="I44" s="5"/>
      <c r="J44" s="19">
        <v>309.67919999999998</v>
      </c>
      <c r="K44" s="20">
        <v>30.328900000000001</v>
      </c>
      <c r="L44" s="20">
        <v>38.2151</v>
      </c>
      <c r="M44" s="20">
        <v>38.881399999999999</v>
      </c>
      <c r="N44" s="20">
        <v>7.8280000000000003</v>
      </c>
      <c r="O44" s="20">
        <f t="shared" si="1"/>
        <v>32.383737500000002</v>
      </c>
      <c r="P44" s="7"/>
      <c r="Q44" s="13"/>
      <c r="R44" s="14"/>
      <c r="S44" s="14"/>
      <c r="T44" s="27"/>
      <c r="U44" s="28">
        <f t="shared" si="2"/>
        <v>-8.4444444444444489E-2</v>
      </c>
      <c r="V44" s="57">
        <f t="shared" si="4"/>
        <v>1.0374999999999943E-2</v>
      </c>
      <c r="W44" s="57">
        <f t="shared" si="3"/>
        <v>3.2263999999999932E-2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1417.31</v>
      </c>
      <c r="D45" s="16">
        <v>29.786999999999999</v>
      </c>
      <c r="E45" s="16">
        <v>35.652999999999999</v>
      </c>
      <c r="F45" s="16">
        <v>36.396999999999998</v>
      </c>
      <c r="G45" s="16">
        <v>6.04</v>
      </c>
      <c r="H45" s="16">
        <f t="shared" si="0"/>
        <v>31.346499999999995</v>
      </c>
      <c r="I45" s="5"/>
      <c r="J45" s="15">
        <v>1236.3407999999999</v>
      </c>
      <c r="K45" s="16">
        <v>30.783000000000001</v>
      </c>
      <c r="L45" s="16">
        <v>37.491799999999998</v>
      </c>
      <c r="M45" s="16">
        <v>38.296599999999998</v>
      </c>
      <c r="N45" s="16">
        <v>3.9003000000000001</v>
      </c>
      <c r="O45" s="16">
        <f t="shared" si="1"/>
        <v>32.5608</v>
      </c>
      <c r="P45" s="7"/>
      <c r="Q45" s="8">
        <f>bdrate(C45:C48,D45:D48,J45:J48,K45:K48)</f>
        <v>-0.38494559112010507</v>
      </c>
      <c r="R45" s="8">
        <f>bdrate(C45:C48,E45:E48,J45:J48,L45:L48)</f>
        <v>-0.6656318263873684</v>
      </c>
      <c r="S45" s="8">
        <f>bdrate(C45:C48,F45:F48,J45:J48,M45:M48)</f>
        <v>-0.65391251916368698</v>
      </c>
      <c r="T45" s="25">
        <f>bdrate(C45:C48,H45:H48,J45:J48,O45:O48)</f>
        <v>-0.43252512268485022</v>
      </c>
      <c r="U45" s="28">
        <f t="shared" si="2"/>
        <v>-0.3542549668874172</v>
      </c>
      <c r="V45" s="57">
        <f t="shared" si="4"/>
        <v>8.5606451612903256E-2</v>
      </c>
      <c r="W45" s="57">
        <f t="shared" si="3"/>
        <v>3.0283999999999953E-2</v>
      </c>
      <c r="X45" s="56">
        <v>1550</v>
      </c>
      <c r="Y45" s="56">
        <v>1200</v>
      </c>
    </row>
    <row r="46" spans="1:25" x14ac:dyDescent="0.25">
      <c r="B46" s="9"/>
      <c r="C46" s="17">
        <v>964.95</v>
      </c>
      <c r="D46" s="18">
        <v>28.39</v>
      </c>
      <c r="E46" s="18">
        <v>35.066000000000003</v>
      </c>
      <c r="F46" s="18">
        <v>35.820999999999998</v>
      </c>
      <c r="G46" s="18">
        <v>6.86</v>
      </c>
      <c r="H46" s="18">
        <f t="shared" si="0"/>
        <v>30.153375</v>
      </c>
      <c r="I46" s="5"/>
      <c r="J46" s="17">
        <v>817.95039999999995</v>
      </c>
      <c r="K46" s="18">
        <v>29.392199999999999</v>
      </c>
      <c r="L46" s="18">
        <v>36.632899999999999</v>
      </c>
      <c r="M46" s="18">
        <v>37.4238</v>
      </c>
      <c r="N46" s="18">
        <v>4.3765000000000001</v>
      </c>
      <c r="O46" s="18">
        <f t="shared" si="1"/>
        <v>31.301237499999999</v>
      </c>
      <c r="P46" s="7"/>
      <c r="Q46" s="10"/>
      <c r="R46" s="11"/>
      <c r="S46" s="11"/>
      <c r="T46" s="26"/>
      <c r="U46" s="28">
        <f t="shared" si="2"/>
        <v>-0.36202623906705539</v>
      </c>
      <c r="V46" s="57">
        <f t="shared" si="4"/>
        <v>8.0999999999999961E-2</v>
      </c>
      <c r="W46" s="57">
        <f t="shared" si="3"/>
        <v>2.243799999999993E-2</v>
      </c>
      <c r="X46" s="56">
        <v>1050</v>
      </c>
      <c r="Y46" s="56">
        <v>800</v>
      </c>
    </row>
    <row r="47" spans="1:25" x14ac:dyDescent="0.25">
      <c r="B47" s="9"/>
      <c r="C47" s="17">
        <v>599.55999999999995</v>
      </c>
      <c r="D47" s="18">
        <v>26.751000000000001</v>
      </c>
      <c r="E47" s="18">
        <v>34.468000000000004</v>
      </c>
      <c r="F47" s="18">
        <v>35.216999999999999</v>
      </c>
      <c r="G47" s="18">
        <v>7.48</v>
      </c>
      <c r="H47" s="18">
        <f t="shared" si="0"/>
        <v>28.773874999999997</v>
      </c>
      <c r="I47" s="5"/>
      <c r="J47" s="17">
        <v>513.26959999999997</v>
      </c>
      <c r="K47" s="18">
        <v>27.909400000000002</v>
      </c>
      <c r="L47" s="18">
        <v>35.787999999999997</v>
      </c>
      <c r="M47" s="18">
        <v>36.512799999999999</v>
      </c>
      <c r="N47" s="18">
        <v>5.0658000000000003</v>
      </c>
      <c r="O47" s="18">
        <f t="shared" si="1"/>
        <v>29.969649999999998</v>
      </c>
      <c r="P47" s="7"/>
      <c r="Q47" s="10"/>
      <c r="R47" s="11"/>
      <c r="S47" s="11"/>
      <c r="T47" s="26"/>
      <c r="U47" s="28">
        <f t="shared" si="2"/>
        <v>-0.32275401069518717</v>
      </c>
      <c r="V47" s="57">
        <f t="shared" si="4"/>
        <v>7.7600000000000086E-2</v>
      </c>
      <c r="W47" s="57">
        <f t="shared" si="3"/>
        <v>2.6539199999999936E-2</v>
      </c>
      <c r="X47" s="56">
        <v>650</v>
      </c>
      <c r="Y47" s="56">
        <v>500</v>
      </c>
    </row>
    <row r="48" spans="1:25" ht="16.5" thickBot="1" x14ac:dyDescent="0.3">
      <c r="B48" s="12"/>
      <c r="C48" s="19">
        <v>370.51</v>
      </c>
      <c r="D48" s="20">
        <v>25.155000000000001</v>
      </c>
      <c r="E48" s="20">
        <v>33.892000000000003</v>
      </c>
      <c r="F48" s="20">
        <v>34.688000000000002</v>
      </c>
      <c r="G48" s="20">
        <v>8.33</v>
      </c>
      <c r="H48" s="20">
        <f t="shared" si="0"/>
        <v>27.438749999999999</v>
      </c>
      <c r="I48" s="5"/>
      <c r="J48" s="19">
        <v>308.87759999999997</v>
      </c>
      <c r="K48" s="20">
        <v>26.306999999999999</v>
      </c>
      <c r="L48" s="20">
        <v>34.992699999999999</v>
      </c>
      <c r="M48" s="20">
        <v>35.678600000000003</v>
      </c>
      <c r="N48" s="20">
        <v>5.8780999999999999</v>
      </c>
      <c r="O48" s="20">
        <f t="shared" si="1"/>
        <v>28.564162500000002</v>
      </c>
      <c r="P48" s="7"/>
      <c r="Q48" s="13"/>
      <c r="R48" s="14"/>
      <c r="S48" s="14"/>
      <c r="T48" s="27"/>
      <c r="U48" s="28">
        <f t="shared" si="2"/>
        <v>-0.29434573829531813</v>
      </c>
      <c r="V48" s="57">
        <f t="shared" si="4"/>
        <v>7.3725000000000027E-2</v>
      </c>
      <c r="W48" s="57">
        <f t="shared" si="3"/>
        <v>2.959199999999991E-2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1437.4</v>
      </c>
      <c r="D49" s="16">
        <v>33.24</v>
      </c>
      <c r="E49" s="16">
        <v>36.841000000000001</v>
      </c>
      <c r="F49" s="16">
        <v>38.533999999999999</v>
      </c>
      <c r="G49" s="16">
        <v>4.43</v>
      </c>
      <c r="H49" s="16">
        <f t="shared" si="0"/>
        <v>34.351875</v>
      </c>
      <c r="I49" s="5"/>
      <c r="J49" s="15">
        <v>1217.1368</v>
      </c>
      <c r="K49" s="16">
        <v>32.8842</v>
      </c>
      <c r="L49" s="16">
        <v>37.673200000000001</v>
      </c>
      <c r="M49" s="16">
        <v>39.281500000000001</v>
      </c>
      <c r="N49" s="16">
        <v>3.1583999999999999</v>
      </c>
      <c r="O49" s="16">
        <f t="shared" si="1"/>
        <v>34.282487500000002</v>
      </c>
      <c r="P49" s="7"/>
      <c r="Q49" s="8">
        <f>bdrate(C49:C52,D49:D52,J49:J52,K49:K52)</f>
        <v>-0.16705906476010812</v>
      </c>
      <c r="R49" s="8">
        <f>bdrate(C49:C52,E49:E52,J49:J52,L49:L52)</f>
        <v>-0.44347089890264968</v>
      </c>
      <c r="S49" s="8">
        <f>bdrate(C49:C52,F49:F52,J49:J52,M49:M52)</f>
        <v>-0.44303218313820159</v>
      </c>
      <c r="T49" s="25">
        <f>bdrate(C49:C52,H49:H52,J49:J52,O49:O52)</f>
        <v>-0.2102320348129797</v>
      </c>
      <c r="U49" s="28">
        <f t="shared" si="2"/>
        <v>-0.2870428893905192</v>
      </c>
      <c r="V49" s="57">
        <f t="shared" si="4"/>
        <v>7.2645161290322516E-2</v>
      </c>
      <c r="W49" s="57">
        <f t="shared" si="3"/>
        <v>1.4280666666666662E-2</v>
      </c>
      <c r="X49" s="56">
        <v>1550</v>
      </c>
      <c r="Y49" s="56">
        <v>1200</v>
      </c>
    </row>
    <row r="50" spans="1:25" x14ac:dyDescent="0.25">
      <c r="B50" s="9"/>
      <c r="C50" s="17">
        <v>982.3</v>
      </c>
      <c r="D50" s="18">
        <v>31.631</v>
      </c>
      <c r="E50" s="18">
        <v>36.043999999999997</v>
      </c>
      <c r="F50" s="18">
        <v>37.706000000000003</v>
      </c>
      <c r="G50" s="18">
        <v>5.07</v>
      </c>
      <c r="H50" s="18">
        <f t="shared" si="0"/>
        <v>32.942</v>
      </c>
      <c r="I50" s="5"/>
      <c r="J50" s="17">
        <v>812.31280000000004</v>
      </c>
      <c r="K50" s="18">
        <v>31.333200000000001</v>
      </c>
      <c r="L50" s="18">
        <v>36.788499999999999</v>
      </c>
      <c r="M50" s="18">
        <v>38.4238</v>
      </c>
      <c r="N50" s="18">
        <v>3.5785</v>
      </c>
      <c r="O50" s="18">
        <f t="shared" si="1"/>
        <v>32.9014375</v>
      </c>
      <c r="P50" s="7"/>
      <c r="Q50" s="10"/>
      <c r="R50" s="11"/>
      <c r="S50" s="11"/>
      <c r="T50" s="26"/>
      <c r="U50" s="28">
        <f t="shared" si="2"/>
        <v>-0.294181459566075</v>
      </c>
      <c r="V50" s="57">
        <f t="shared" si="4"/>
        <v>6.447619047619052E-2</v>
      </c>
      <c r="W50" s="57">
        <f t="shared" si="3"/>
        <v>1.5391000000000049E-2</v>
      </c>
      <c r="X50" s="56">
        <v>1050</v>
      </c>
      <c r="Y50" s="56">
        <v>800</v>
      </c>
    </row>
    <row r="51" spans="1:25" x14ac:dyDescent="0.25">
      <c r="B51" s="9"/>
      <c r="C51" s="17">
        <v>618.04</v>
      </c>
      <c r="D51" s="18">
        <v>29.608000000000001</v>
      </c>
      <c r="E51" s="18">
        <v>35.142000000000003</v>
      </c>
      <c r="F51" s="18">
        <v>36.741</v>
      </c>
      <c r="G51" s="18">
        <v>5.7</v>
      </c>
      <c r="H51" s="18">
        <f t="shared" si="0"/>
        <v>31.191375000000001</v>
      </c>
      <c r="I51" s="5"/>
      <c r="J51" s="17">
        <v>507.39280000000002</v>
      </c>
      <c r="K51" s="18">
        <v>29.691099999999999</v>
      </c>
      <c r="L51" s="18">
        <v>35.895400000000002</v>
      </c>
      <c r="M51" s="18">
        <v>37.557400000000001</v>
      </c>
      <c r="N51" s="18">
        <v>4.0903</v>
      </c>
      <c r="O51" s="18">
        <f t="shared" si="1"/>
        <v>31.449924999999997</v>
      </c>
      <c r="P51" s="7"/>
      <c r="Q51" s="10"/>
      <c r="R51" s="11"/>
      <c r="S51" s="11"/>
      <c r="T51" s="26"/>
      <c r="U51" s="28">
        <f t="shared" si="2"/>
        <v>-0.28240350877192982</v>
      </c>
      <c r="V51" s="57">
        <f t="shared" si="4"/>
        <v>4.9169230769230826E-2</v>
      </c>
      <c r="W51" s="57">
        <f t="shared" si="3"/>
        <v>1.4785600000000045E-2</v>
      </c>
      <c r="X51" s="56">
        <v>650</v>
      </c>
      <c r="Y51" s="56">
        <v>500</v>
      </c>
    </row>
    <row r="52" spans="1:25" ht="16.5" thickBot="1" x14ac:dyDescent="0.3">
      <c r="B52" s="12"/>
      <c r="C52" s="19">
        <v>382.11</v>
      </c>
      <c r="D52" s="20">
        <v>27.42</v>
      </c>
      <c r="E52" s="20">
        <v>34.143000000000001</v>
      </c>
      <c r="F52" s="20">
        <v>35.610999999999997</v>
      </c>
      <c r="G52" s="20">
        <v>6.77</v>
      </c>
      <c r="H52" s="20">
        <f t="shared" si="0"/>
        <v>29.28425</v>
      </c>
      <c r="I52" s="5"/>
      <c r="J52" s="19">
        <v>306.9128</v>
      </c>
      <c r="K52" s="20">
        <v>28.103400000000001</v>
      </c>
      <c r="L52" s="20">
        <v>35.036299999999997</v>
      </c>
      <c r="M52" s="20">
        <v>36.671599999999998</v>
      </c>
      <c r="N52" s="20">
        <v>4.7723000000000004</v>
      </c>
      <c r="O52" s="20">
        <f t="shared" si="1"/>
        <v>30.041037500000002</v>
      </c>
      <c r="P52" s="7"/>
      <c r="Q52" s="13"/>
      <c r="R52" s="14"/>
      <c r="S52" s="14"/>
      <c r="T52" s="27"/>
      <c r="U52" s="28">
        <f t="shared" si="2"/>
        <v>-0.29508124076809444</v>
      </c>
      <c r="V52" s="57">
        <f t="shared" si="4"/>
        <v>4.4724999999999966E-2</v>
      </c>
      <c r="W52" s="57">
        <f t="shared" si="3"/>
        <v>2.304266666666668E-2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853.59</v>
      </c>
      <c r="D53" s="16">
        <v>35.878</v>
      </c>
      <c r="E53" s="16">
        <v>39.832000000000001</v>
      </c>
      <c r="F53" s="16">
        <v>38.6</v>
      </c>
      <c r="G53" s="16">
        <v>19.57</v>
      </c>
      <c r="H53" s="16">
        <f t="shared" si="0"/>
        <v>36.712499999999999</v>
      </c>
      <c r="I53" s="5"/>
      <c r="J53" s="15">
        <v>610.15359999999998</v>
      </c>
      <c r="K53" s="16">
        <v>34.853900000000003</v>
      </c>
      <c r="L53" s="16">
        <v>40.726599999999998</v>
      </c>
      <c r="M53" s="16">
        <v>39.238799999999998</v>
      </c>
      <c r="N53" s="16">
        <v>15.0038</v>
      </c>
      <c r="O53" s="16">
        <f t="shared" si="1"/>
        <v>36.136099999999999</v>
      </c>
      <c r="P53" s="7"/>
      <c r="Q53" s="8">
        <f>bdrate(C53:C56,D53:D56,J53:J56,K53:K56)</f>
        <v>-0.18922039337937402</v>
      </c>
      <c r="R53" s="8">
        <f>bdrate(C53:C56,E53:E56,J53:J56,L53:L56)</f>
        <v>-0.49100667675526211</v>
      </c>
      <c r="S53" s="8">
        <f>bdrate(C53:C56,F53:F56,J53:J56,M53:M56)</f>
        <v>-0.4265720606582093</v>
      </c>
      <c r="T53" s="25">
        <f>bdrate(C53:C56,H53:H56,J53:J56,O53:O56)</f>
        <v>-0.23866096711647611</v>
      </c>
      <c r="U53" s="28">
        <f t="shared" si="2"/>
        <v>-0.23332652018395506</v>
      </c>
      <c r="V53" s="57">
        <f t="shared" si="4"/>
        <v>6.6987500000000033E-2</v>
      </c>
      <c r="W53" s="57">
        <f t="shared" si="3"/>
        <v>1.6922666666666638E-2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536.44000000000005</v>
      </c>
      <c r="D54" s="18">
        <v>33.555</v>
      </c>
      <c r="E54" s="18">
        <v>38.457000000000001</v>
      </c>
      <c r="F54" s="18">
        <v>37.045000000000002</v>
      </c>
      <c r="G54" s="18">
        <v>23.15</v>
      </c>
      <c r="H54" s="18">
        <f t="shared" si="0"/>
        <v>34.603999999999999</v>
      </c>
      <c r="I54" s="5"/>
      <c r="J54" s="17">
        <v>405.71519999999998</v>
      </c>
      <c r="K54" s="18">
        <v>33.000799999999998</v>
      </c>
      <c r="L54" s="18">
        <v>39.523699999999998</v>
      </c>
      <c r="M54" s="18">
        <v>37.866100000000003</v>
      </c>
      <c r="N54" s="18">
        <v>16.972200000000001</v>
      </c>
      <c r="O54" s="18">
        <f t="shared" si="1"/>
        <v>34.424324999999996</v>
      </c>
      <c r="P54" s="7"/>
      <c r="Q54" s="10"/>
      <c r="R54" s="11"/>
      <c r="S54" s="11"/>
      <c r="T54" s="26"/>
      <c r="U54" s="28">
        <f t="shared" si="2"/>
        <v>-0.26685961123110141</v>
      </c>
      <c r="V54" s="57">
        <f t="shared" si="4"/>
        <v>7.2880000000000111E-2</v>
      </c>
      <c r="W54" s="57">
        <f t="shared" si="3"/>
        <v>1.4287999999999954E-2</v>
      </c>
      <c r="X54" s="56">
        <v>500</v>
      </c>
      <c r="Y54" s="56">
        <v>400</v>
      </c>
    </row>
    <row r="55" spans="1:25" x14ac:dyDescent="0.25">
      <c r="B55" s="9"/>
      <c r="C55" s="17">
        <v>326.24</v>
      </c>
      <c r="D55" s="18">
        <v>31.18</v>
      </c>
      <c r="E55" s="18">
        <v>37.284999999999997</v>
      </c>
      <c r="F55" s="18">
        <v>35.637999999999998</v>
      </c>
      <c r="G55" s="18">
        <v>26.15</v>
      </c>
      <c r="H55" s="18">
        <f t="shared" si="0"/>
        <v>32.500374999999998</v>
      </c>
      <c r="I55" s="5"/>
      <c r="J55" s="17">
        <v>254.21039999999999</v>
      </c>
      <c r="K55" s="18">
        <v>30.965</v>
      </c>
      <c r="L55" s="18">
        <v>38.293100000000003</v>
      </c>
      <c r="M55" s="18">
        <v>36.519100000000002</v>
      </c>
      <c r="N55" s="18">
        <v>19.9864</v>
      </c>
      <c r="O55" s="18">
        <f t="shared" si="1"/>
        <v>32.575274999999998</v>
      </c>
      <c r="P55" s="7"/>
      <c r="Q55" s="10"/>
      <c r="R55" s="11"/>
      <c r="S55" s="11"/>
      <c r="T55" s="26"/>
      <c r="U55" s="28">
        <f t="shared" si="2"/>
        <v>-0.23570172084130017</v>
      </c>
      <c r="V55" s="57">
        <f t="shared" si="4"/>
        <v>8.7466666666666693E-2</v>
      </c>
      <c r="W55" s="57">
        <f t="shared" si="3"/>
        <v>1.684159999999997E-2</v>
      </c>
      <c r="X55" s="56">
        <v>300</v>
      </c>
      <c r="Y55" s="56">
        <v>250</v>
      </c>
    </row>
    <row r="56" spans="1:25" ht="16.5" thickBot="1" x14ac:dyDescent="0.3">
      <c r="B56" s="12"/>
      <c r="C56" s="19">
        <v>168.29</v>
      </c>
      <c r="D56" s="20">
        <v>27.981999999999999</v>
      </c>
      <c r="E56" s="20">
        <v>35.826999999999998</v>
      </c>
      <c r="F56" s="20">
        <v>34.023000000000003</v>
      </c>
      <c r="G56" s="20">
        <v>31.16</v>
      </c>
      <c r="H56" s="20">
        <f t="shared" si="0"/>
        <v>29.717749999999999</v>
      </c>
      <c r="I56" s="5"/>
      <c r="J56" s="19">
        <v>122.7064</v>
      </c>
      <c r="K56" s="20">
        <v>28.165600000000001</v>
      </c>
      <c r="L56" s="20">
        <v>36.656500000000001</v>
      </c>
      <c r="M56" s="20">
        <v>34.581000000000003</v>
      </c>
      <c r="N56" s="20">
        <v>25.912099999999999</v>
      </c>
      <c r="O56" s="20">
        <f t="shared" si="1"/>
        <v>30.028887500000003</v>
      </c>
      <c r="P56" s="7"/>
      <c r="Q56" s="13"/>
      <c r="R56" s="14"/>
      <c r="S56" s="14"/>
      <c r="T56" s="27"/>
      <c r="U56" s="28">
        <f t="shared" si="2"/>
        <v>-0.16841784338896024</v>
      </c>
      <c r="V56" s="57">
        <f t="shared" si="4"/>
        <v>0.12193333333333328</v>
      </c>
      <c r="W56" s="57">
        <f t="shared" si="3"/>
        <v>2.2553333333333352E-2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741.98</v>
      </c>
      <c r="D57" s="16">
        <v>32.576999999999998</v>
      </c>
      <c r="E57" s="16">
        <v>39.625</v>
      </c>
      <c r="F57" s="16">
        <v>40.325000000000003</v>
      </c>
      <c r="G57" s="16">
        <v>24.1</v>
      </c>
      <c r="H57" s="16">
        <f t="shared" si="0"/>
        <v>34.426499999999997</v>
      </c>
      <c r="I57" s="5"/>
      <c r="J57" s="15">
        <v>609.21839999999997</v>
      </c>
      <c r="K57" s="16">
        <v>33.864800000000002</v>
      </c>
      <c r="L57" s="16">
        <v>41.916400000000003</v>
      </c>
      <c r="M57" s="16">
        <v>42.868400000000001</v>
      </c>
      <c r="N57" s="16">
        <v>16.187799999999999</v>
      </c>
      <c r="O57" s="16">
        <f t="shared" si="1"/>
        <v>35.996700000000004</v>
      </c>
      <c r="P57" s="7"/>
      <c r="Q57" s="8">
        <f>bdrate(C57:C60,D57:D60,J57:J60,K57:K60)</f>
        <v>-0.49129813416206747</v>
      </c>
      <c r="R57" s="8">
        <f>bdrate(C57:C60,E57:E60,J57:J60,L57:L60)</f>
        <v>-0.72760113553550543</v>
      </c>
      <c r="S57" s="8">
        <f>bdrate(C57:C60,F57:F60,J57:J60,M57:M60)</f>
        <v>-0.74206190590554022</v>
      </c>
      <c r="T57" s="25">
        <f>bdrate(C57:C60,H57:H60,J57:J60,O57:O60)</f>
        <v>-0.53496454771934265</v>
      </c>
      <c r="U57" s="28">
        <f t="shared" si="2"/>
        <v>-0.32830705394190879</v>
      </c>
      <c r="V57" s="57">
        <f t="shared" si="4"/>
        <v>7.2524999999999978E-2</v>
      </c>
      <c r="W57" s="57">
        <f t="shared" si="3"/>
        <v>1.5363999999999958E-2</v>
      </c>
      <c r="X57" s="56">
        <v>800</v>
      </c>
      <c r="Y57" s="56">
        <v>600</v>
      </c>
    </row>
    <row r="58" spans="1:25" x14ac:dyDescent="0.25">
      <c r="B58" s="9"/>
      <c r="C58" s="17">
        <v>457.96</v>
      </c>
      <c r="D58" s="18">
        <v>30.882999999999999</v>
      </c>
      <c r="E58" s="18">
        <v>39.094000000000001</v>
      </c>
      <c r="F58" s="18">
        <v>39.564</v>
      </c>
      <c r="G58" s="18">
        <v>29.2</v>
      </c>
      <c r="H58" s="18">
        <f t="shared" si="0"/>
        <v>32.994500000000002</v>
      </c>
      <c r="I58" s="5"/>
      <c r="J58" s="17">
        <v>405.06799999999998</v>
      </c>
      <c r="K58" s="18">
        <v>32.6158</v>
      </c>
      <c r="L58" s="18">
        <v>41.075800000000001</v>
      </c>
      <c r="M58" s="18">
        <v>41.966200000000001</v>
      </c>
      <c r="N58" s="18">
        <v>18.073399999999999</v>
      </c>
      <c r="O58" s="18">
        <f t="shared" si="1"/>
        <v>34.842100000000002</v>
      </c>
      <c r="P58" s="7"/>
      <c r="Q58" s="10"/>
      <c r="R58" s="11"/>
      <c r="S58" s="11"/>
      <c r="T58" s="26"/>
      <c r="U58" s="28">
        <f t="shared" si="2"/>
        <v>-0.38104794520547947</v>
      </c>
      <c r="V58" s="57">
        <f t="shared" si="4"/>
        <v>8.4080000000000044E-2</v>
      </c>
      <c r="W58" s="57">
        <f t="shared" si="3"/>
        <v>1.2669999999999959E-2</v>
      </c>
      <c r="X58" s="56">
        <v>500</v>
      </c>
      <c r="Y58" s="56">
        <v>400</v>
      </c>
    </row>
    <row r="59" spans="1:25" x14ac:dyDescent="0.25">
      <c r="B59" s="9"/>
      <c r="C59" s="17">
        <v>272.54000000000002</v>
      </c>
      <c r="D59" s="18">
        <v>29.085999999999999</v>
      </c>
      <c r="E59" s="18">
        <v>38.563000000000002</v>
      </c>
      <c r="F59" s="18">
        <v>38.845999999999997</v>
      </c>
      <c r="G59" s="18">
        <v>31.61</v>
      </c>
      <c r="H59" s="18">
        <f t="shared" si="0"/>
        <v>31.490625000000001</v>
      </c>
      <c r="I59" s="5"/>
      <c r="J59" s="17">
        <v>252.33760000000001</v>
      </c>
      <c r="K59" s="18">
        <v>31.1465</v>
      </c>
      <c r="L59" s="18">
        <v>40.1357</v>
      </c>
      <c r="M59" s="18">
        <v>40.949199999999998</v>
      </c>
      <c r="N59" s="18">
        <v>20.813099999999999</v>
      </c>
      <c r="O59" s="18">
        <f t="shared" si="1"/>
        <v>33.495487500000003</v>
      </c>
      <c r="P59" s="7"/>
      <c r="Q59" s="10"/>
      <c r="R59" s="11"/>
      <c r="S59" s="11"/>
      <c r="T59" s="26"/>
      <c r="U59" s="28">
        <f t="shared" si="2"/>
        <v>-0.34156596013919649</v>
      </c>
      <c r="V59" s="57">
        <f t="shared" si="4"/>
        <v>9.1533333333333258E-2</v>
      </c>
      <c r="W59" s="57">
        <f t="shared" si="3"/>
        <v>9.3504000000000365E-3</v>
      </c>
      <c r="X59" s="56">
        <v>300</v>
      </c>
      <c r="Y59" s="56">
        <v>250</v>
      </c>
    </row>
    <row r="60" spans="1:25" ht="16.5" thickBot="1" x14ac:dyDescent="0.3">
      <c r="B60" s="12"/>
      <c r="C60" s="19">
        <v>134.86000000000001</v>
      </c>
      <c r="D60" s="20">
        <v>26.558</v>
      </c>
      <c r="E60" s="20">
        <v>37.817999999999998</v>
      </c>
      <c r="F60" s="20">
        <v>38.084000000000003</v>
      </c>
      <c r="G60" s="20">
        <v>34.42</v>
      </c>
      <c r="H60" s="20">
        <f t="shared" si="0"/>
        <v>29.40625</v>
      </c>
      <c r="I60" s="5"/>
      <c r="J60" s="19">
        <v>121.2336</v>
      </c>
      <c r="K60" s="20">
        <v>28.7254</v>
      </c>
      <c r="L60" s="20">
        <v>38.9788</v>
      </c>
      <c r="M60" s="20">
        <v>39.537100000000002</v>
      </c>
      <c r="N60" s="20">
        <v>27.3</v>
      </c>
      <c r="O60" s="20">
        <f t="shared" si="1"/>
        <v>31.358537500000001</v>
      </c>
      <c r="P60" s="7"/>
      <c r="Q60" s="13"/>
      <c r="R60" s="14"/>
      <c r="S60" s="14"/>
      <c r="T60" s="27"/>
      <c r="U60" s="28">
        <f t="shared" si="2"/>
        <v>-0.20685647879140037</v>
      </c>
      <c r="V60" s="57">
        <f t="shared" si="4"/>
        <v>0.10093333333333324</v>
      </c>
      <c r="W60" s="57">
        <f t="shared" si="3"/>
        <v>1.0279999999999963E-2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828.71</v>
      </c>
      <c r="D61" s="30">
        <v>33.805999999999997</v>
      </c>
      <c r="E61" s="30">
        <v>37.320999999999998</v>
      </c>
      <c r="F61" s="30">
        <v>37.781999999999996</v>
      </c>
      <c r="G61" s="16">
        <v>21.65</v>
      </c>
      <c r="H61" s="16">
        <f t="shared" si="0"/>
        <v>34.742374999999996</v>
      </c>
      <c r="I61" s="5"/>
      <c r="J61" s="29">
        <v>630.00879999999995</v>
      </c>
      <c r="K61" s="30">
        <v>33.297899999999998</v>
      </c>
      <c r="L61" s="30">
        <v>38.997500000000002</v>
      </c>
      <c r="M61" s="30">
        <v>39.834899999999998</v>
      </c>
      <c r="N61" s="16">
        <v>16.323899999999998</v>
      </c>
      <c r="O61" s="16">
        <f t="shared" si="1"/>
        <v>34.827475</v>
      </c>
      <c r="P61" s="7"/>
      <c r="Q61" s="8">
        <f>bdrate(C61:C64,D61:D64,J61:J64,K61:K64)</f>
        <v>-0.21406930483864872</v>
      </c>
      <c r="R61" s="8">
        <f>bdrate(C61:C64,E61:E64,J61:J64,L61:L64)</f>
        <v>-0.63684390882546871</v>
      </c>
      <c r="S61" s="8">
        <f>bdrate(C61:C64,F61:F64,J61:J64,M61:M64)</f>
        <v>-0.67246802302334863</v>
      </c>
      <c r="T61" s="25">
        <f>bdrate(C61:C64,H61:H64,J61:J64,O61:O64)</f>
        <v>-0.30856159565531749</v>
      </c>
      <c r="U61" s="28">
        <f t="shared" si="2"/>
        <v>-0.24600923787528872</v>
      </c>
      <c r="V61" s="57">
        <f t="shared" si="4"/>
        <v>3.5887500000000044E-2</v>
      </c>
      <c r="W61" s="57">
        <f t="shared" si="3"/>
        <v>5.0014666666666582E-2</v>
      </c>
      <c r="X61" s="56">
        <v>800</v>
      </c>
      <c r="Y61" s="56">
        <v>600</v>
      </c>
    </row>
    <row r="62" spans="1:25" x14ac:dyDescent="0.25">
      <c r="B62" s="9"/>
      <c r="C62" s="31">
        <v>515.83000000000004</v>
      </c>
      <c r="D62" s="32">
        <v>31.832999999999998</v>
      </c>
      <c r="E62" s="32">
        <v>36.128999999999998</v>
      </c>
      <c r="F62" s="32">
        <v>36.585000000000001</v>
      </c>
      <c r="G62" s="18">
        <v>25.47</v>
      </c>
      <c r="H62" s="18">
        <f t="shared" si="0"/>
        <v>32.963999999999999</v>
      </c>
      <c r="I62" s="5"/>
      <c r="J62" s="31">
        <v>420.23039999999997</v>
      </c>
      <c r="K62" s="32">
        <v>31.7654</v>
      </c>
      <c r="L62" s="32">
        <v>37.968000000000004</v>
      </c>
      <c r="M62" s="32">
        <v>38.706200000000003</v>
      </c>
      <c r="N62" s="18">
        <v>17.954000000000001</v>
      </c>
      <c r="O62" s="18">
        <f t="shared" si="1"/>
        <v>33.408325000000005</v>
      </c>
      <c r="P62" s="7"/>
      <c r="Q62" s="10"/>
      <c r="R62" s="11"/>
      <c r="S62" s="11"/>
      <c r="T62" s="26"/>
      <c r="U62" s="28">
        <f t="shared" si="2"/>
        <v>-0.29509226541028655</v>
      </c>
      <c r="V62" s="57">
        <f t="shared" si="4"/>
        <v>3.1660000000000084E-2</v>
      </c>
      <c r="W62" s="57">
        <f t="shared" si="3"/>
        <v>5.0575999999999934E-2</v>
      </c>
      <c r="X62" s="56">
        <v>500</v>
      </c>
      <c r="Y62" s="56">
        <v>400</v>
      </c>
    </row>
    <row r="63" spans="1:25" x14ac:dyDescent="0.25">
      <c r="B63" s="9"/>
      <c r="C63" s="31">
        <v>307.11</v>
      </c>
      <c r="D63" s="32">
        <v>29.800999999999998</v>
      </c>
      <c r="E63" s="32">
        <v>35.133000000000003</v>
      </c>
      <c r="F63" s="32">
        <v>35.607999999999997</v>
      </c>
      <c r="G63" s="18">
        <v>27.74</v>
      </c>
      <c r="H63" s="18">
        <f t="shared" si="0"/>
        <v>31.193375</v>
      </c>
      <c r="I63" s="5"/>
      <c r="J63" s="31">
        <v>262.50400000000002</v>
      </c>
      <c r="K63" s="32">
        <v>30.183599999999998</v>
      </c>
      <c r="L63" s="32">
        <v>36.872100000000003</v>
      </c>
      <c r="M63" s="32">
        <v>37.567500000000003</v>
      </c>
      <c r="N63" s="18">
        <v>20.108599999999999</v>
      </c>
      <c r="O63" s="18">
        <f t="shared" si="1"/>
        <v>31.94265</v>
      </c>
      <c r="P63" s="7"/>
      <c r="Q63" s="10"/>
      <c r="R63" s="11"/>
      <c r="S63" s="11"/>
      <c r="T63" s="26"/>
      <c r="U63" s="28">
        <f t="shared" si="2"/>
        <v>-0.27510454217736119</v>
      </c>
      <c r="V63" s="57">
        <f t="shared" si="4"/>
        <v>2.3700000000000044E-2</v>
      </c>
      <c r="W63" s="57">
        <f t="shared" si="3"/>
        <v>5.0016000000000074E-2</v>
      </c>
      <c r="X63" s="56">
        <v>300</v>
      </c>
      <c r="Y63" s="56">
        <v>250</v>
      </c>
    </row>
    <row r="64" spans="1:25" ht="16.5" thickBot="1" x14ac:dyDescent="0.3">
      <c r="B64" s="12"/>
      <c r="C64" s="33">
        <v>150.93</v>
      </c>
      <c r="D64" s="34">
        <v>27.312000000000001</v>
      </c>
      <c r="E64" s="34">
        <v>34.042999999999999</v>
      </c>
      <c r="F64" s="34">
        <v>34.578000000000003</v>
      </c>
      <c r="G64" s="20">
        <v>33.130000000000003</v>
      </c>
      <c r="H64" s="20">
        <f t="shared" si="0"/>
        <v>29.061625000000003</v>
      </c>
      <c r="I64" s="5"/>
      <c r="J64" s="33">
        <v>125.4144</v>
      </c>
      <c r="K64" s="34">
        <v>27.814699999999998</v>
      </c>
      <c r="L64" s="34">
        <v>35.390799999999999</v>
      </c>
      <c r="M64" s="34">
        <v>36.045000000000002</v>
      </c>
      <c r="N64" s="20">
        <v>25.058900000000001</v>
      </c>
      <c r="O64" s="20">
        <f t="shared" si="1"/>
        <v>29.790500000000002</v>
      </c>
      <c r="P64" s="7"/>
      <c r="Q64" s="13"/>
      <c r="R64" s="14"/>
      <c r="S64" s="14"/>
      <c r="T64" s="27"/>
      <c r="U64" s="28">
        <f t="shared" si="2"/>
        <v>-0.2436190763658316</v>
      </c>
      <c r="V64" s="57">
        <f t="shared" si="4"/>
        <v>6.2000000000000458E-3</v>
      </c>
      <c r="W64" s="57">
        <f t="shared" si="3"/>
        <v>4.5120000000000007E-2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764.25</v>
      </c>
      <c r="D65" s="16">
        <v>35.576999999999998</v>
      </c>
      <c r="E65" s="16">
        <v>37.777999999999999</v>
      </c>
      <c r="F65" s="16">
        <v>38.918999999999997</v>
      </c>
      <c r="G65" s="16">
        <v>15.33</v>
      </c>
      <c r="H65" s="16">
        <f t="shared" si="0"/>
        <v>36.269874999999999</v>
      </c>
      <c r="I65" s="5"/>
      <c r="J65" s="15">
        <v>610.38639999999998</v>
      </c>
      <c r="K65" s="16">
        <v>34.3048</v>
      </c>
      <c r="L65" s="16">
        <v>38.669400000000003</v>
      </c>
      <c r="M65" s="16">
        <v>39.813600000000001</v>
      </c>
      <c r="N65" s="16">
        <v>11.1736</v>
      </c>
      <c r="O65" s="16">
        <f t="shared" si="1"/>
        <v>35.538975000000001</v>
      </c>
      <c r="P65" s="7"/>
      <c r="Q65" s="8">
        <f>bdrate(C65:C68,D65:D68,J65:J68,K65:K68)</f>
        <v>-4.3061612991883824E-2</v>
      </c>
      <c r="R65" s="8">
        <f>bdrate(C65:C68,E65:E68,J65:J68,L65:L68)</f>
        <v>-0.43173174513222834</v>
      </c>
      <c r="S65" s="8">
        <f>bdrate(C65:C68,F65:F68,J65:J68,M65:M68)</f>
        <v>-0.43386995116493943</v>
      </c>
      <c r="T65" s="25">
        <f>bdrate(C65:C68,H65:H68,J65:J68,O65:O68)</f>
        <v>-0.11710147839408591</v>
      </c>
      <c r="U65" s="28">
        <f t="shared" si="2"/>
        <v>-0.2711285061969993</v>
      </c>
      <c r="V65" s="57">
        <f t="shared" si="4"/>
        <v>4.4687499999999998E-2</v>
      </c>
      <c r="W65" s="57">
        <f t="shared" si="3"/>
        <v>1.7310666666666634E-2</v>
      </c>
      <c r="X65" s="56">
        <v>800</v>
      </c>
      <c r="Y65" s="56">
        <v>600</v>
      </c>
    </row>
    <row r="66" spans="1:25" x14ac:dyDescent="0.25">
      <c r="B66" s="9"/>
      <c r="C66" s="17">
        <v>480.51</v>
      </c>
      <c r="D66" s="18">
        <v>33.253</v>
      </c>
      <c r="E66" s="18">
        <v>36.438000000000002</v>
      </c>
      <c r="F66" s="18">
        <v>37.573</v>
      </c>
      <c r="G66" s="18">
        <v>17.95</v>
      </c>
      <c r="H66" s="18">
        <f t="shared" si="0"/>
        <v>34.191125</v>
      </c>
      <c r="I66" s="5"/>
      <c r="J66" s="17">
        <v>407.34480000000002</v>
      </c>
      <c r="K66" s="18">
        <v>32.438200000000002</v>
      </c>
      <c r="L66" s="18">
        <v>37.485599999999998</v>
      </c>
      <c r="M66" s="18">
        <v>38.600700000000003</v>
      </c>
      <c r="N66" s="18">
        <v>12.8194</v>
      </c>
      <c r="O66" s="18">
        <f t="shared" si="1"/>
        <v>33.839437500000003</v>
      </c>
      <c r="P66" s="7"/>
      <c r="Q66" s="10"/>
      <c r="R66" s="11"/>
      <c r="S66" s="11"/>
      <c r="T66" s="26"/>
      <c r="U66" s="28">
        <f t="shared" si="2"/>
        <v>-0.28582729805013923</v>
      </c>
      <c r="V66" s="57">
        <f t="shared" si="4"/>
        <v>3.8980000000000022E-2</v>
      </c>
      <c r="W66" s="57">
        <f t="shared" si="3"/>
        <v>1.8362000000000052E-2</v>
      </c>
      <c r="X66" s="56">
        <v>500</v>
      </c>
      <c r="Y66" s="56">
        <v>400</v>
      </c>
    </row>
    <row r="67" spans="1:25" x14ac:dyDescent="0.25">
      <c r="B67" s="9"/>
      <c r="C67" s="17">
        <v>290.04000000000002</v>
      </c>
      <c r="D67" s="18">
        <v>30.931999999999999</v>
      </c>
      <c r="E67" s="18">
        <v>35.220999999999997</v>
      </c>
      <c r="F67" s="18">
        <v>36.329000000000001</v>
      </c>
      <c r="G67" s="18">
        <v>20.11</v>
      </c>
      <c r="H67" s="18">
        <f t="shared" si="0"/>
        <v>32.142749999999999</v>
      </c>
      <c r="I67" s="5"/>
      <c r="J67" s="17">
        <v>254.97040000000001</v>
      </c>
      <c r="K67" s="18">
        <v>30.561699999999998</v>
      </c>
      <c r="L67" s="18">
        <v>36.224699999999999</v>
      </c>
      <c r="M67" s="18">
        <v>37.382100000000001</v>
      </c>
      <c r="N67" s="18">
        <v>14.868399999999999</v>
      </c>
      <c r="O67" s="18">
        <f t="shared" si="1"/>
        <v>32.122124999999997</v>
      </c>
      <c r="P67" s="7"/>
      <c r="Q67" s="10"/>
      <c r="R67" s="11"/>
      <c r="S67" s="11"/>
      <c r="T67" s="26"/>
      <c r="U67" s="28">
        <f t="shared" si="2"/>
        <v>-0.26064644455494779</v>
      </c>
      <c r="V67" s="57">
        <f t="shared" si="4"/>
        <v>3.3199999999999931E-2</v>
      </c>
      <c r="W67" s="57">
        <f t="shared" si="3"/>
        <v>1.9881600000000048E-2</v>
      </c>
      <c r="X67" s="56">
        <v>300</v>
      </c>
      <c r="Y67" s="56">
        <v>250</v>
      </c>
    </row>
    <row r="68" spans="1:25" ht="16.5" thickBot="1" x14ac:dyDescent="0.3">
      <c r="B68" s="12"/>
      <c r="C68" s="19">
        <v>144.68</v>
      </c>
      <c r="D68" s="20">
        <v>27.911000000000001</v>
      </c>
      <c r="E68" s="20">
        <v>33.787999999999997</v>
      </c>
      <c r="F68" s="20">
        <v>34.798000000000002</v>
      </c>
      <c r="G68" s="20">
        <v>25.32</v>
      </c>
      <c r="H68" s="20">
        <f t="shared" si="0"/>
        <v>29.506500000000003</v>
      </c>
      <c r="I68" s="5"/>
      <c r="J68" s="19">
        <v>123.85680000000001</v>
      </c>
      <c r="K68" s="20">
        <v>28.076000000000001</v>
      </c>
      <c r="L68" s="20">
        <v>34.776000000000003</v>
      </c>
      <c r="M68" s="20">
        <v>35.871299999999998</v>
      </c>
      <c r="N68" s="20">
        <v>18.949000000000002</v>
      </c>
      <c r="O68" s="20">
        <f t="shared" si="1"/>
        <v>29.887912500000002</v>
      </c>
      <c r="P68" s="7"/>
      <c r="Q68" s="13"/>
      <c r="R68" s="14"/>
      <c r="S68" s="14"/>
      <c r="T68" s="27"/>
      <c r="U68" s="28">
        <f t="shared" si="2"/>
        <v>-0.25161927330173772</v>
      </c>
      <c r="V68" s="57">
        <f t="shared" si="4"/>
        <v>3.5466666666666619E-2</v>
      </c>
      <c r="W68" s="57">
        <f t="shared" si="3"/>
        <v>3.2140000000000057E-2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1913.56</v>
      </c>
      <c r="D69" s="16">
        <v>41.386000000000003</v>
      </c>
      <c r="E69" s="16">
        <v>44.938000000000002</v>
      </c>
      <c r="F69" s="16">
        <v>46.039000000000001</v>
      </c>
      <c r="G69" s="16">
        <v>3.89</v>
      </c>
      <c r="H69" s="16">
        <f t="shared" si="0"/>
        <v>42.411625000000001</v>
      </c>
      <c r="I69" s="5"/>
      <c r="J69" s="15">
        <v>1558.0039999999999</v>
      </c>
      <c r="K69" s="16">
        <v>41.698999999999998</v>
      </c>
      <c r="L69" s="16">
        <v>46.429900000000004</v>
      </c>
      <c r="M69" s="16">
        <v>47.712600000000002</v>
      </c>
      <c r="N69" s="16">
        <v>4.7268999999999997</v>
      </c>
      <c r="O69" s="16">
        <f t="shared" si="1"/>
        <v>43.0420625</v>
      </c>
      <c r="P69" s="7"/>
      <c r="Q69" s="8">
        <f>bdrate(C69:C72,D69:D72,J69:J72,K69:K72)</f>
        <v>-0.37242143882324508</v>
      </c>
      <c r="R69" s="8">
        <f>bdrate(C69:C72,E69:E72,J69:J72,L69:L72)</f>
        <v>-0.59755814216178471</v>
      </c>
      <c r="S69" s="8">
        <f>bdrate(C69:C72,F69:F72,J69:J72,M69:M72)</f>
        <v>-0.60383073276616905</v>
      </c>
      <c r="T69" s="25">
        <f>bdrate(C69:C72,H69:H72,J69:J72,O69:O72)</f>
        <v>-0.42593893221617241</v>
      </c>
      <c r="U69" s="28">
        <f t="shared" si="2"/>
        <v>0.21514138817480707</v>
      </c>
      <c r="V69" s="57">
        <f t="shared" si="4"/>
        <v>8.8780952380952405E-2</v>
      </c>
      <c r="W69" s="57">
        <f t="shared" si="3"/>
        <v>3.8669333333333271E-2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1249.92</v>
      </c>
      <c r="D70" s="18">
        <v>40.134999999999998</v>
      </c>
      <c r="E70" s="18">
        <v>43.911000000000001</v>
      </c>
      <c r="F70" s="18">
        <v>45.01</v>
      </c>
      <c r="G70" s="18">
        <v>4.62</v>
      </c>
      <c r="H70" s="18">
        <f t="shared" si="0"/>
        <v>41.216374999999999</v>
      </c>
      <c r="I70" s="5"/>
      <c r="J70" s="17">
        <v>979.48239999999998</v>
      </c>
      <c r="K70" s="18">
        <v>40.633400000000002</v>
      </c>
      <c r="L70" s="18">
        <v>45.599600000000002</v>
      </c>
      <c r="M70" s="18">
        <v>46.858699999999999</v>
      </c>
      <c r="N70" s="18">
        <v>5.5247000000000002</v>
      </c>
      <c r="O70" s="18">
        <f t="shared" si="1"/>
        <v>42.032337500000004</v>
      </c>
      <c r="P70" s="7"/>
      <c r="Q70" s="10"/>
      <c r="R70" s="11"/>
      <c r="S70" s="11"/>
      <c r="T70" s="26"/>
      <c r="U70" s="28">
        <f t="shared" si="2"/>
        <v>0.19582251082251084</v>
      </c>
      <c r="V70" s="57">
        <f t="shared" si="4"/>
        <v>0.10719999999999995</v>
      </c>
      <c r="W70" s="57">
        <f t="shared" si="3"/>
        <v>2.0517600000000014E-2</v>
      </c>
      <c r="X70" s="56">
        <v>1400</v>
      </c>
      <c r="Y70" s="56">
        <v>1000</v>
      </c>
    </row>
    <row r="71" spans="1:25" x14ac:dyDescent="0.25">
      <c r="B71" s="9"/>
      <c r="C71" s="17">
        <v>742.73</v>
      </c>
      <c r="D71" s="18">
        <v>37.895000000000003</v>
      </c>
      <c r="E71" s="18">
        <v>42.267000000000003</v>
      </c>
      <c r="F71" s="18">
        <v>43.396000000000001</v>
      </c>
      <c r="G71" s="18">
        <v>4.96</v>
      </c>
      <c r="H71" s="18">
        <f t="shared" si="0"/>
        <v>39.129125000000002</v>
      </c>
      <c r="I71" s="5"/>
      <c r="J71" s="17">
        <v>564.07360000000006</v>
      </c>
      <c r="K71" s="18">
        <v>38.727200000000003</v>
      </c>
      <c r="L71" s="18">
        <v>44.116399999999999</v>
      </c>
      <c r="M71" s="18">
        <v>45.2849</v>
      </c>
      <c r="N71" s="18">
        <v>6.6710000000000003</v>
      </c>
      <c r="O71" s="18">
        <f t="shared" si="1"/>
        <v>40.2205625</v>
      </c>
      <c r="P71" s="7"/>
      <c r="Q71" s="10"/>
      <c r="R71" s="11"/>
      <c r="S71" s="11"/>
      <c r="T71" s="26"/>
      <c r="U71" s="28">
        <f t="shared" si="2"/>
        <v>0.3449596774193549</v>
      </c>
      <c r="V71" s="57">
        <f t="shared" si="4"/>
        <v>0.12619999999999998</v>
      </c>
      <c r="W71" s="57">
        <f t="shared" si="3"/>
        <v>5.9877333333333241E-2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342.27</v>
      </c>
      <c r="D72" s="20">
        <v>33.320999999999998</v>
      </c>
      <c r="E72" s="20">
        <v>39.999000000000002</v>
      </c>
      <c r="F72" s="20">
        <v>41.008000000000003</v>
      </c>
      <c r="G72" s="20">
        <v>5.44</v>
      </c>
      <c r="H72" s="20">
        <f t="shared" si="0"/>
        <v>35.116624999999999</v>
      </c>
      <c r="I72" s="5"/>
      <c r="J72" s="19">
        <v>279.65679999999998</v>
      </c>
      <c r="K72" s="20">
        <v>35.769399999999997</v>
      </c>
      <c r="L72" s="20">
        <v>42.287799999999997</v>
      </c>
      <c r="M72" s="20">
        <v>43.404200000000003</v>
      </c>
      <c r="N72" s="20">
        <v>8.3733000000000004</v>
      </c>
      <c r="O72" s="20">
        <f t="shared" si="1"/>
        <v>37.538550000000001</v>
      </c>
      <c r="P72" s="7"/>
      <c r="Q72" s="13"/>
      <c r="R72" s="14"/>
      <c r="S72" s="14"/>
      <c r="T72" s="27"/>
      <c r="U72" s="28">
        <f t="shared" si="2"/>
        <v>0.53920955882352939</v>
      </c>
      <c r="V72" s="57">
        <f t="shared" si="4"/>
        <v>0.14432500000000004</v>
      </c>
      <c r="W72" s="57">
        <f t="shared" si="3"/>
        <v>6.7810666666666741E-2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1980.88</v>
      </c>
      <c r="D73" s="16">
        <v>42.356000000000002</v>
      </c>
      <c r="E73" s="16">
        <v>46.906999999999996</v>
      </c>
      <c r="F73" s="16">
        <v>47.366</v>
      </c>
      <c r="G73" s="16">
        <v>3.67</v>
      </c>
      <c r="H73" s="16">
        <f t="shared" si="0"/>
        <v>43.551124999999999</v>
      </c>
      <c r="I73" s="5"/>
      <c r="J73" s="15">
        <v>1538.048</v>
      </c>
      <c r="K73" s="16">
        <v>42.782299999999999</v>
      </c>
      <c r="L73" s="16">
        <v>48.238700000000001</v>
      </c>
      <c r="M73" s="16">
        <v>48.948500000000003</v>
      </c>
      <c r="N73" s="16">
        <v>4.8593000000000002</v>
      </c>
      <c r="O73" s="16">
        <f t="shared" si="1"/>
        <v>44.235125000000004</v>
      </c>
      <c r="P73" s="7"/>
      <c r="Q73" s="8">
        <f>bdrate(C73:C76,D73:D76,J73:J76,K73:K76)</f>
        <v>-0.51131269826960191</v>
      </c>
      <c r="R73" s="8">
        <f>bdrate(C73:C76,E73:E76,J73:J76,L73:L76)</f>
        <v>-0.74275078459823485</v>
      </c>
      <c r="S73" s="8">
        <f>bdrate(C73:C76,F73:F76,J73:J76,M73:M76)</f>
        <v>-0.76804370198936467</v>
      </c>
      <c r="T73" s="25">
        <f>bdrate(C73:C76,H73:H76,J73:J76,O73:O76)</f>
        <v>-0.59159245259708604</v>
      </c>
      <c r="U73" s="28">
        <f t="shared" ref="U73:U80" si="5">(N73-G73)/G73</f>
        <v>0.32405994550408729</v>
      </c>
      <c r="V73" s="57">
        <f t="shared" si="4"/>
        <v>5.6723809523809475E-2</v>
      </c>
      <c r="W73" s="57">
        <f t="shared" ref="W73:W80" si="6">ABS(J73-Y73)/Y73</f>
        <v>2.5365333333333333E-2</v>
      </c>
      <c r="X73" s="56">
        <v>2100</v>
      </c>
      <c r="Y73" s="56">
        <v>1500</v>
      </c>
    </row>
    <row r="74" spans="1:25" x14ac:dyDescent="0.25">
      <c r="B74" s="9"/>
      <c r="C74" s="17">
        <v>1302.6500000000001</v>
      </c>
      <c r="D74" s="18">
        <v>41.68</v>
      </c>
      <c r="E74" s="18">
        <v>45.884</v>
      </c>
      <c r="F74" s="18">
        <v>46.34</v>
      </c>
      <c r="G74" s="18">
        <v>4.32</v>
      </c>
      <c r="H74" s="18">
        <f t="shared" si="0"/>
        <v>42.787999999999997</v>
      </c>
      <c r="I74" s="5"/>
      <c r="J74" s="17">
        <v>1008.8712</v>
      </c>
      <c r="K74" s="18">
        <v>42.3127</v>
      </c>
      <c r="L74" s="18">
        <v>47.7804</v>
      </c>
      <c r="M74" s="18">
        <v>48.4285</v>
      </c>
      <c r="N74" s="18">
        <v>5.8419999999999996</v>
      </c>
      <c r="O74" s="18">
        <f t="shared" si="1"/>
        <v>43.760637499999994</v>
      </c>
      <c r="P74" s="7"/>
      <c r="Q74" s="10"/>
      <c r="R74" s="11"/>
      <c r="S74" s="11"/>
      <c r="T74" s="26"/>
      <c r="U74" s="28">
        <f t="shared" si="5"/>
        <v>0.35231481481481464</v>
      </c>
      <c r="V74" s="57">
        <f t="shared" ref="V74:V80" si="7">ABS(C74-X74)/X74</f>
        <v>6.9535714285714215E-2</v>
      </c>
      <c r="W74" s="57">
        <f t="shared" si="6"/>
        <v>8.8712000000000443E-3</v>
      </c>
      <c r="X74" s="56">
        <v>1400</v>
      </c>
      <c r="Y74" s="56">
        <v>1000</v>
      </c>
    </row>
    <row r="75" spans="1:25" x14ac:dyDescent="0.25">
      <c r="B75" s="9"/>
      <c r="C75" s="17">
        <v>765.3</v>
      </c>
      <c r="D75" s="18">
        <v>40.475999999999999</v>
      </c>
      <c r="E75" s="18">
        <v>44.567999999999998</v>
      </c>
      <c r="F75" s="18">
        <v>45.100999999999999</v>
      </c>
      <c r="G75" s="18">
        <v>4.68</v>
      </c>
      <c r="H75" s="18">
        <f t="shared" si="0"/>
        <v>41.565624999999997</v>
      </c>
      <c r="I75" s="5"/>
      <c r="J75" s="17">
        <v>580.27359999999999</v>
      </c>
      <c r="K75" s="18">
        <v>41.506500000000003</v>
      </c>
      <c r="L75" s="18">
        <v>47.1113</v>
      </c>
      <c r="M75" s="18">
        <v>47.830300000000001</v>
      </c>
      <c r="N75" s="18">
        <v>7.1044</v>
      </c>
      <c r="O75" s="18">
        <f t="shared" si="1"/>
        <v>42.997575000000005</v>
      </c>
      <c r="P75" s="7"/>
      <c r="Q75" s="10"/>
      <c r="R75" s="11"/>
      <c r="S75" s="11"/>
      <c r="T75" s="26"/>
      <c r="U75" s="28">
        <f t="shared" si="5"/>
        <v>0.5180341880341881</v>
      </c>
      <c r="V75" s="57">
        <f t="shared" si="7"/>
        <v>9.9647058823529464E-2</v>
      </c>
      <c r="W75" s="57">
        <f t="shared" si="6"/>
        <v>3.2877333333333356E-2</v>
      </c>
      <c r="X75" s="56">
        <v>850</v>
      </c>
      <c r="Y75" s="56">
        <v>600</v>
      </c>
    </row>
    <row r="76" spans="1:25" ht="16.5" thickBot="1" x14ac:dyDescent="0.3">
      <c r="B76" s="12"/>
      <c r="C76" s="19">
        <v>339.17</v>
      </c>
      <c r="D76" s="20">
        <v>37.33</v>
      </c>
      <c r="E76" s="20">
        <v>42.091000000000001</v>
      </c>
      <c r="F76" s="20">
        <v>43.048999999999999</v>
      </c>
      <c r="G76" s="20">
        <v>5.22</v>
      </c>
      <c r="H76" s="20">
        <f t="shared" si="0"/>
        <v>38.639999999999993</v>
      </c>
      <c r="I76" s="5"/>
      <c r="J76" s="19">
        <v>293.40640000000002</v>
      </c>
      <c r="K76" s="20">
        <v>39.686100000000003</v>
      </c>
      <c r="L76" s="20">
        <v>45.281300000000002</v>
      </c>
      <c r="M76" s="20">
        <v>45.926299999999998</v>
      </c>
      <c r="N76" s="20">
        <v>9.0381999999999998</v>
      </c>
      <c r="O76" s="20">
        <f t="shared" si="1"/>
        <v>41.165525000000002</v>
      </c>
      <c r="P76" s="7"/>
      <c r="Q76" s="13"/>
      <c r="R76" s="14"/>
      <c r="S76" s="14"/>
      <c r="T76" s="27"/>
      <c r="U76" s="28">
        <f t="shared" si="5"/>
        <v>0.73145593869731806</v>
      </c>
      <c r="V76" s="57">
        <f t="shared" si="7"/>
        <v>0.15207499999999996</v>
      </c>
      <c r="W76" s="57">
        <f t="shared" si="6"/>
        <v>2.1978666666666601E-2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2060.9699999999998</v>
      </c>
      <c r="D77" s="16">
        <v>42.46</v>
      </c>
      <c r="E77" s="16">
        <v>46.161000000000001</v>
      </c>
      <c r="F77" s="16">
        <v>46.795999999999999</v>
      </c>
      <c r="G77" s="16">
        <v>3.47</v>
      </c>
      <c r="H77" s="16">
        <f t="shared" si="0"/>
        <v>43.464624999999998</v>
      </c>
      <c r="I77" s="5"/>
      <c r="J77" s="15">
        <v>1543.1328000000001</v>
      </c>
      <c r="K77" s="16">
        <v>42.727200000000003</v>
      </c>
      <c r="L77" s="16">
        <v>47.3932</v>
      </c>
      <c r="M77" s="16">
        <v>48.307000000000002</v>
      </c>
      <c r="N77" s="16">
        <v>4.4523999999999999</v>
      </c>
      <c r="O77" s="16">
        <f t="shared" si="1"/>
        <v>44.007925</v>
      </c>
      <c r="P77" s="7"/>
      <c r="Q77" s="8">
        <f>bdrate(C77:C80,D77:D80,J77:J80,K77:K80)</f>
        <v>-0.42823889730159581</v>
      </c>
      <c r="R77" s="8">
        <f>bdrate(C77:C80,E77:E80,J77:J80,L77:L80)</f>
        <v>-0.66225816518387526</v>
      </c>
      <c r="S77" s="8">
        <f>bdrate(C77:C80,F77:F80,J77:J80,M77:M80)</f>
        <v>-0.68483789009809448</v>
      </c>
      <c r="T77" s="25">
        <f>bdrate(C77:C80,H77:H80,J77:J80,O77:O80)</f>
        <v>-0.49777352024039201</v>
      </c>
      <c r="U77" s="28">
        <f t="shared" si="5"/>
        <v>0.28311239193083565</v>
      </c>
      <c r="V77" s="57">
        <f t="shared" si="7"/>
        <v>1.8585714285714382E-2</v>
      </c>
      <c r="W77" s="57">
        <f t="shared" si="6"/>
        <v>2.8755200000000061E-2</v>
      </c>
      <c r="X77" s="56">
        <v>2100</v>
      </c>
      <c r="Y77" s="56">
        <v>1500</v>
      </c>
    </row>
    <row r="78" spans="1:25" x14ac:dyDescent="0.25">
      <c r="B78" s="9"/>
      <c r="C78" s="17">
        <v>1354.88</v>
      </c>
      <c r="D78" s="18">
        <v>41.518999999999998</v>
      </c>
      <c r="E78" s="18">
        <v>45.027000000000001</v>
      </c>
      <c r="F78" s="18">
        <v>45.722999999999999</v>
      </c>
      <c r="G78" s="18">
        <v>4.0999999999999996</v>
      </c>
      <c r="H78" s="18">
        <f t="shared" si="0"/>
        <v>42.482999999999997</v>
      </c>
      <c r="I78" s="5"/>
      <c r="J78" s="17">
        <v>1006.2704</v>
      </c>
      <c r="K78" s="18">
        <v>41.944099999999999</v>
      </c>
      <c r="L78" s="18">
        <v>46.7333</v>
      </c>
      <c r="M78" s="18">
        <v>47.650799999999997</v>
      </c>
      <c r="N78" s="18">
        <v>5.2972000000000001</v>
      </c>
      <c r="O78" s="18">
        <f t="shared" si="1"/>
        <v>43.2560875</v>
      </c>
      <c r="P78" s="7"/>
      <c r="Q78" s="10"/>
      <c r="R78" s="11"/>
      <c r="S78" s="11"/>
      <c r="T78" s="26"/>
      <c r="U78" s="28">
        <f t="shared" si="5"/>
        <v>0.29200000000000015</v>
      </c>
      <c r="V78" s="57">
        <f t="shared" si="7"/>
        <v>3.222857142857135E-2</v>
      </c>
      <c r="W78" s="57">
        <f t="shared" si="6"/>
        <v>6.2703999999999954E-3</v>
      </c>
      <c r="X78" s="56">
        <v>1400</v>
      </c>
      <c r="Y78" s="56">
        <v>1000</v>
      </c>
    </row>
    <row r="79" spans="1:25" x14ac:dyDescent="0.25">
      <c r="B79" s="9"/>
      <c r="C79" s="17">
        <v>810.22</v>
      </c>
      <c r="D79" s="18">
        <v>39.759</v>
      </c>
      <c r="E79" s="18">
        <v>43.277999999999999</v>
      </c>
      <c r="F79" s="18">
        <v>44.03</v>
      </c>
      <c r="G79" s="18">
        <v>4.43</v>
      </c>
      <c r="H79" s="18">
        <f t="shared" si="0"/>
        <v>40.732749999999996</v>
      </c>
      <c r="I79" s="5"/>
      <c r="J79" s="17">
        <v>602.13120000000004</v>
      </c>
      <c r="K79" s="18">
        <v>40.675199999999997</v>
      </c>
      <c r="L79" s="18">
        <v>45.686799999999998</v>
      </c>
      <c r="M79" s="18">
        <v>46.5871</v>
      </c>
      <c r="N79" s="18">
        <v>6.4621000000000004</v>
      </c>
      <c r="O79" s="18">
        <f t="shared" si="1"/>
        <v>42.040637500000003</v>
      </c>
      <c r="P79" s="7"/>
      <c r="Q79" s="10"/>
      <c r="R79" s="11"/>
      <c r="S79" s="11"/>
      <c r="T79" s="26"/>
      <c r="U79" s="28">
        <f t="shared" si="5"/>
        <v>0.45871331828442458</v>
      </c>
      <c r="V79" s="57">
        <f t="shared" si="7"/>
        <v>4.6799999999999967E-2</v>
      </c>
      <c r="W79" s="57">
        <f t="shared" si="6"/>
        <v>3.552000000000059E-3</v>
      </c>
      <c r="X79" s="56">
        <v>850</v>
      </c>
      <c r="Y79" s="56">
        <v>600</v>
      </c>
    </row>
    <row r="80" spans="1:25" ht="16.5" thickBot="1" x14ac:dyDescent="0.3">
      <c r="B80" s="12"/>
      <c r="C80" s="19">
        <v>374.34</v>
      </c>
      <c r="D80" s="20">
        <v>36.020000000000003</v>
      </c>
      <c r="E80" s="20">
        <v>41.024000000000001</v>
      </c>
      <c r="F80" s="20">
        <v>41.610999999999997</v>
      </c>
      <c r="G80" s="20">
        <v>5.01</v>
      </c>
      <c r="H80" s="20">
        <f t="shared" si="0"/>
        <v>37.344374999999999</v>
      </c>
      <c r="I80" s="5"/>
      <c r="J80" s="19">
        <v>298.89999999999998</v>
      </c>
      <c r="K80" s="20">
        <v>38.330300000000001</v>
      </c>
      <c r="L80" s="20">
        <v>43.761699999999998</v>
      </c>
      <c r="M80" s="20">
        <v>44.607999999999997</v>
      </c>
      <c r="N80" s="20">
        <v>8.2332999999999998</v>
      </c>
      <c r="O80" s="20">
        <f t="shared" si="1"/>
        <v>39.793937500000006</v>
      </c>
      <c r="P80" s="7"/>
      <c r="Q80" s="13"/>
      <c r="R80" s="14"/>
      <c r="S80" s="14"/>
      <c r="T80" s="27"/>
      <c r="U80" s="28">
        <f t="shared" si="5"/>
        <v>0.643373253493014</v>
      </c>
      <c r="V80" s="57">
        <f t="shared" si="7"/>
        <v>6.4150000000000068E-2</v>
      </c>
      <c r="W80" s="57">
        <f t="shared" si="6"/>
        <v>3.6666666666667425E-3</v>
      </c>
      <c r="X80" s="56">
        <v>400</v>
      </c>
      <c r="Y80" s="56">
        <v>300</v>
      </c>
    </row>
    <row r="81" spans="1:25" x14ac:dyDescent="0.25">
      <c r="A81" s="6" t="s">
        <v>81</v>
      </c>
      <c r="B81" s="6" t="s">
        <v>82</v>
      </c>
      <c r="C81" s="15">
        <v>1527.19</v>
      </c>
      <c r="D81" s="16">
        <v>40.770000000000003</v>
      </c>
      <c r="E81" s="16">
        <v>47.051000000000002</v>
      </c>
      <c r="F81" s="16">
        <v>45.686</v>
      </c>
      <c r="G81" s="16">
        <v>1.81</v>
      </c>
      <c r="H81" s="16">
        <f t="shared" ref="H81:H103" si="8">(6*D81+E81+F81)/8</f>
        <v>42.169624999999996</v>
      </c>
      <c r="I81" s="5"/>
      <c r="J81" s="15">
        <v>1001.582</v>
      </c>
      <c r="K81" s="16">
        <v>39.901299999999999</v>
      </c>
      <c r="L81" s="16">
        <v>47.000300000000003</v>
      </c>
      <c r="M81" s="16">
        <v>45.641500000000001</v>
      </c>
      <c r="N81" s="16">
        <v>1.9394</v>
      </c>
      <c r="O81" s="16">
        <f t="shared" ref="O81:O103" si="9">(6*K81+L81+M81)/8</f>
        <v>41.5062</v>
      </c>
      <c r="P81" s="7"/>
      <c r="Q81" s="8">
        <f>bdrate(C81:C84,D81:D84,J81:J84,K81:K84)</f>
        <v>-0.33848633286666385</v>
      </c>
      <c r="R81" s="8">
        <f>bdrate(C81:C84,E81:E84,J81:J84,L81:L84)</f>
        <v>-0.48399012833728272</v>
      </c>
      <c r="S81" s="8">
        <f>bdrate(C81:C84,F81:F84,J81:J84,M81:M84)</f>
        <v>-0.45944323137259224</v>
      </c>
      <c r="T81" s="25">
        <f>bdrate(C81:C84,H81:H84,J81:J84,O81:O84)</f>
        <v>-0.36466233969727391</v>
      </c>
      <c r="U81" s="28">
        <f t="shared" ref="U81:U103" si="10">(N81-G81)/G81</f>
        <v>7.1491712707182298E-2</v>
      </c>
      <c r="V81" s="57">
        <f t="shared" ref="V81:V124" si="11">ABS(C81-X81)/X81</f>
        <v>1.8126666666666704E-2</v>
      </c>
      <c r="W81" s="57">
        <f t="shared" ref="W81:W124" si="12">ABS(J81-Y81)/Y81</f>
        <v>1.5819999999999936E-3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1020.39</v>
      </c>
      <c r="D82" s="18">
        <v>39.008000000000003</v>
      </c>
      <c r="E82" s="18">
        <v>45.695999999999998</v>
      </c>
      <c r="F82" s="18">
        <v>44.343000000000004</v>
      </c>
      <c r="G82" s="18">
        <v>2.08</v>
      </c>
      <c r="H82" s="18">
        <f t="shared" si="8"/>
        <v>40.510875000000006</v>
      </c>
      <c r="I82" s="5"/>
      <c r="J82" s="17">
        <v>600.32740000000001</v>
      </c>
      <c r="K82" s="18">
        <v>38.000100000000003</v>
      </c>
      <c r="L82" s="18">
        <v>45.802999999999997</v>
      </c>
      <c r="M82" s="18">
        <v>44.367400000000004</v>
      </c>
      <c r="N82" s="18">
        <v>2.3222999999999998</v>
      </c>
      <c r="O82" s="18">
        <f t="shared" si="9"/>
        <v>39.771375000000006</v>
      </c>
      <c r="P82" s="7"/>
      <c r="Q82" s="10"/>
      <c r="R82" s="11"/>
      <c r="S82" s="11"/>
      <c r="T82" s="26"/>
      <c r="U82" s="28">
        <f t="shared" si="10"/>
        <v>0.11649038461538448</v>
      </c>
      <c r="V82" s="57">
        <f t="shared" si="11"/>
        <v>2.0389999999999988E-2</v>
      </c>
      <c r="W82" s="57">
        <f t="shared" si="12"/>
        <v>5.4566666666668571E-4</v>
      </c>
      <c r="X82" s="56">
        <v>1000</v>
      </c>
      <c r="Y82" s="56">
        <v>600</v>
      </c>
    </row>
    <row r="83" spans="1:25" x14ac:dyDescent="0.25">
      <c r="B83" s="9"/>
      <c r="C83" s="17">
        <v>613.45000000000005</v>
      </c>
      <c r="D83" s="18">
        <v>36.441000000000003</v>
      </c>
      <c r="E83" s="18">
        <v>43.854999999999997</v>
      </c>
      <c r="F83" s="18">
        <v>42.59</v>
      </c>
      <c r="G83" s="18">
        <v>2.36</v>
      </c>
      <c r="H83" s="18">
        <f t="shared" si="8"/>
        <v>38.136375000000001</v>
      </c>
      <c r="I83" s="5"/>
      <c r="J83" s="17">
        <v>296.57769999999999</v>
      </c>
      <c r="K83" s="18">
        <v>35.149299999999997</v>
      </c>
      <c r="L83" s="18">
        <v>44.064900000000002</v>
      </c>
      <c r="M83" s="18">
        <v>42.529899999999998</v>
      </c>
      <c r="N83" s="18">
        <v>3.0356000000000001</v>
      </c>
      <c r="O83" s="18">
        <f t="shared" si="9"/>
        <v>37.186324999999997</v>
      </c>
      <c r="P83" s="7"/>
      <c r="Q83" s="10"/>
      <c r="R83" s="11"/>
      <c r="S83" s="11"/>
      <c r="T83" s="26"/>
      <c r="U83" s="28">
        <f t="shared" si="10"/>
        <v>0.28627118644067806</v>
      </c>
      <c r="V83" s="57">
        <f t="shared" si="11"/>
        <v>2.2416666666666741E-2</v>
      </c>
      <c r="W83" s="57">
        <f t="shared" si="12"/>
        <v>1.1407666666666689E-2</v>
      </c>
      <c r="X83" s="56">
        <v>600</v>
      </c>
      <c r="Y83" s="56">
        <v>300</v>
      </c>
    </row>
    <row r="84" spans="1:25" ht="16.5" thickBot="1" x14ac:dyDescent="0.3">
      <c r="B84" s="12"/>
      <c r="C84" s="19">
        <v>303.23</v>
      </c>
      <c r="D84" s="20">
        <v>31.855</v>
      </c>
      <c r="E84" s="20">
        <v>41.262999999999998</v>
      </c>
      <c r="F84" s="20">
        <v>40.012999999999998</v>
      </c>
      <c r="G84" s="20">
        <v>2.86</v>
      </c>
      <c r="H84" s="20">
        <f t="shared" si="8"/>
        <v>34.050750000000001</v>
      </c>
      <c r="I84" s="5"/>
      <c r="J84" s="19">
        <v>195.72389999999999</v>
      </c>
      <c r="K84" s="20">
        <v>33.299900000000001</v>
      </c>
      <c r="L84" s="20">
        <v>43.042700000000004</v>
      </c>
      <c r="M84" s="20">
        <v>41.421599999999998</v>
      </c>
      <c r="N84" s="20">
        <v>3.6511999999999998</v>
      </c>
      <c r="O84" s="20">
        <f t="shared" si="9"/>
        <v>35.532962499999996</v>
      </c>
      <c r="P84" s="7"/>
      <c r="Q84" s="13"/>
      <c r="R84" s="14"/>
      <c r="S84" s="14"/>
      <c r="T84" s="27"/>
      <c r="U84" s="28">
        <f t="shared" si="10"/>
        <v>0.2766433566433566</v>
      </c>
      <c r="V84" s="57">
        <f t="shared" si="11"/>
        <v>1.0766666666666728E-2</v>
      </c>
      <c r="W84" s="57">
        <f t="shared" si="12"/>
        <v>2.138050000000007E-2</v>
      </c>
      <c r="X84" s="56">
        <v>300</v>
      </c>
      <c r="Y84" s="56">
        <v>200</v>
      </c>
    </row>
    <row r="85" spans="1:25" x14ac:dyDescent="0.25">
      <c r="B85" s="6" t="s">
        <v>83</v>
      </c>
      <c r="C85" s="29">
        <v>1465.43</v>
      </c>
      <c r="D85" s="30">
        <v>41.962000000000003</v>
      </c>
      <c r="E85" s="30">
        <v>47.228000000000002</v>
      </c>
      <c r="F85" s="30">
        <v>46.947000000000003</v>
      </c>
      <c r="G85" s="16">
        <v>1.95</v>
      </c>
      <c r="H85" s="16">
        <f t="shared" si="8"/>
        <v>43.243375</v>
      </c>
      <c r="I85" s="5"/>
      <c r="J85" s="29">
        <v>1004.7681</v>
      </c>
      <c r="K85" s="30">
        <v>41.089100000000002</v>
      </c>
      <c r="L85" s="30">
        <v>47.354999999999997</v>
      </c>
      <c r="M85" s="30">
        <v>47.0578</v>
      </c>
      <c r="N85" s="16">
        <v>2.0392999999999999</v>
      </c>
      <c r="O85" s="16">
        <f t="shared" si="9"/>
        <v>42.618425000000002</v>
      </c>
      <c r="P85" s="7"/>
      <c r="Q85" s="8">
        <f>bdrate(C85:C88,D85:D88,J85:J88,K85:K88)</f>
        <v>-0.29649676006648551</v>
      </c>
      <c r="R85" s="8">
        <f>bdrate(C85:C88,E85:E88,J85:J88,L85:L88)</f>
        <v>-0.48882111146062457</v>
      </c>
      <c r="S85" s="8">
        <f>bdrate(C85:C88,F85:F88,J85:J88,M85:M88)</f>
        <v>-0.49477164208163593</v>
      </c>
      <c r="T85" s="25">
        <f>bdrate(C85:C88,H85:H88,J85:J88,O85:O88)</f>
        <v>-0.33546100585365357</v>
      </c>
      <c r="U85" s="28">
        <f t="shared" si="10"/>
        <v>4.579487179487176E-2</v>
      </c>
      <c r="V85" s="57">
        <f t="shared" si="11"/>
        <v>2.3046666666666625E-2</v>
      </c>
      <c r="W85" s="57">
        <f t="shared" si="12"/>
        <v>4.7681000000000043E-3</v>
      </c>
      <c r="X85" s="56">
        <v>1500</v>
      </c>
      <c r="Y85" s="56">
        <v>1000</v>
      </c>
    </row>
    <row r="86" spans="1:25" x14ac:dyDescent="0.25">
      <c r="B86" s="9"/>
      <c r="C86" s="31">
        <v>973.09</v>
      </c>
      <c r="D86" s="32">
        <v>40.249000000000002</v>
      </c>
      <c r="E86" s="32">
        <v>45.996000000000002</v>
      </c>
      <c r="F86" s="32">
        <v>45.710999999999999</v>
      </c>
      <c r="G86" s="18">
        <v>2.2599999999999998</v>
      </c>
      <c r="H86" s="18">
        <f t="shared" si="8"/>
        <v>41.650125000000003</v>
      </c>
      <c r="I86" s="5"/>
      <c r="J86" s="31">
        <v>603.22540000000004</v>
      </c>
      <c r="K86" s="32">
        <v>39.320599999999999</v>
      </c>
      <c r="L86" s="32">
        <v>46.287199999999999</v>
      </c>
      <c r="M86" s="32">
        <v>46.036999999999999</v>
      </c>
      <c r="N86" s="18">
        <v>2.4578000000000002</v>
      </c>
      <c r="O86" s="18">
        <f t="shared" si="9"/>
        <v>41.030974999999998</v>
      </c>
      <c r="P86" s="7"/>
      <c r="Q86" s="10"/>
      <c r="R86" s="11"/>
      <c r="S86" s="11"/>
      <c r="T86" s="26"/>
      <c r="U86" s="28">
        <f t="shared" si="10"/>
        <v>8.7522123893805509E-2</v>
      </c>
      <c r="V86" s="57">
        <f t="shared" si="11"/>
        <v>2.6909999999999969E-2</v>
      </c>
      <c r="W86" s="57">
        <f t="shared" si="12"/>
        <v>5.3756666666667265E-3</v>
      </c>
      <c r="X86" s="56">
        <v>1000</v>
      </c>
      <c r="Y86" s="56">
        <v>600</v>
      </c>
    </row>
    <row r="87" spans="1:25" x14ac:dyDescent="0.25">
      <c r="B87" s="9"/>
      <c r="C87" s="31">
        <v>580.76</v>
      </c>
      <c r="D87" s="32">
        <v>37.923000000000002</v>
      </c>
      <c r="E87" s="32">
        <v>44.37</v>
      </c>
      <c r="F87" s="32">
        <v>44.070999999999998</v>
      </c>
      <c r="G87" s="18">
        <v>2.54</v>
      </c>
      <c r="H87" s="18">
        <f t="shared" si="8"/>
        <v>39.497375000000005</v>
      </c>
      <c r="I87" s="5"/>
      <c r="J87" s="31">
        <v>301.17619999999999</v>
      </c>
      <c r="K87" s="32">
        <v>36.869500000000002</v>
      </c>
      <c r="L87" s="32">
        <v>44.746400000000001</v>
      </c>
      <c r="M87" s="32">
        <v>44.484900000000003</v>
      </c>
      <c r="N87" s="18">
        <v>3.1606999999999998</v>
      </c>
      <c r="O87" s="18">
        <f t="shared" si="9"/>
        <v>38.806037500000002</v>
      </c>
      <c r="P87" s="7"/>
      <c r="Q87" s="10"/>
      <c r="R87" s="11"/>
      <c r="S87" s="11"/>
      <c r="T87" s="26"/>
      <c r="U87" s="28">
        <f t="shared" si="10"/>
        <v>0.2443700787401574</v>
      </c>
      <c r="V87" s="57">
        <f t="shared" si="11"/>
        <v>3.2066666666666681E-2</v>
      </c>
      <c r="W87" s="57">
        <f t="shared" si="12"/>
        <v>3.9206666666666478E-3</v>
      </c>
      <c r="X87" s="56">
        <v>600</v>
      </c>
      <c r="Y87" s="56">
        <v>300</v>
      </c>
    </row>
    <row r="88" spans="1:25" ht="16.5" thickBot="1" x14ac:dyDescent="0.3">
      <c r="B88" s="12"/>
      <c r="C88" s="33">
        <v>287.72000000000003</v>
      </c>
      <c r="D88" s="34">
        <v>34.058999999999997</v>
      </c>
      <c r="E88" s="34">
        <v>42.09</v>
      </c>
      <c r="F88" s="34">
        <v>41.777000000000001</v>
      </c>
      <c r="G88" s="20">
        <v>3.01</v>
      </c>
      <c r="H88" s="20">
        <f t="shared" si="8"/>
        <v>36.027625</v>
      </c>
      <c r="I88" s="5"/>
      <c r="J88" s="33">
        <v>199.86689999999999</v>
      </c>
      <c r="K88" s="34">
        <v>35.356000000000002</v>
      </c>
      <c r="L88" s="34">
        <v>43.8508</v>
      </c>
      <c r="M88" s="34">
        <v>43.579700000000003</v>
      </c>
      <c r="N88" s="20">
        <v>3.7565</v>
      </c>
      <c r="O88" s="20">
        <f t="shared" si="9"/>
        <v>37.445812500000002</v>
      </c>
      <c r="P88" s="7"/>
      <c r="Q88" s="13"/>
      <c r="R88" s="14"/>
      <c r="S88" s="14"/>
      <c r="T88" s="27"/>
      <c r="U88" s="28">
        <f t="shared" si="10"/>
        <v>0.24800664451827251</v>
      </c>
      <c r="V88" s="57">
        <f t="shared" si="11"/>
        <v>4.0933333333333245E-2</v>
      </c>
      <c r="W88" s="57">
        <f t="shared" si="12"/>
        <v>6.6550000000006545E-4</v>
      </c>
      <c r="X88" s="56">
        <v>300</v>
      </c>
      <c r="Y88" s="56">
        <v>200</v>
      </c>
    </row>
    <row r="89" spans="1:25" x14ac:dyDescent="0.25">
      <c r="B89" s="6" t="s">
        <v>84</v>
      </c>
      <c r="C89" s="15">
        <v>1502.47</v>
      </c>
      <c r="D89" s="16">
        <v>38.755000000000003</v>
      </c>
      <c r="E89" s="16">
        <v>46.957999999999998</v>
      </c>
      <c r="F89" s="16">
        <v>45.265999999999998</v>
      </c>
      <c r="G89" s="16">
        <v>1.94</v>
      </c>
      <c r="H89" s="16">
        <f t="shared" si="8"/>
        <v>40.594250000000009</v>
      </c>
      <c r="I89" s="5"/>
      <c r="J89" s="15">
        <v>1004.9584</v>
      </c>
      <c r="K89" s="16">
        <v>37.837600000000002</v>
      </c>
      <c r="L89" s="16">
        <v>46.894599999999997</v>
      </c>
      <c r="M89" s="16">
        <v>45.348500000000001</v>
      </c>
      <c r="N89" s="16">
        <v>1.9355</v>
      </c>
      <c r="O89" s="16">
        <f t="shared" si="9"/>
        <v>39.908587500000003</v>
      </c>
      <c r="P89" s="7"/>
      <c r="Q89" s="8">
        <f>bdrate(C89:C92,D89:D92,J89:J92,K89:K92)</f>
        <v>-0.29929653928213429</v>
      </c>
      <c r="R89" s="8">
        <f>bdrate(C89:C92,E89:E92,J89:J92,L89:L92)</f>
        <v>-0.44125796441963017</v>
      </c>
      <c r="S89" s="8">
        <f>bdrate(C89:C92,F89:F92,J89:J92,M89:M92)</f>
        <v>-0.4818841404061931</v>
      </c>
      <c r="T89" s="25">
        <f>bdrate(C89:C92,H89:H92,J89:J92,O89:O92)</f>
        <v>-0.33127389174005939</v>
      </c>
      <c r="U89" s="28">
        <f t="shared" si="10"/>
        <v>-2.3195876288659529E-3</v>
      </c>
      <c r="V89" s="57">
        <f t="shared" si="11"/>
        <v>1.6466666666666849E-3</v>
      </c>
      <c r="W89" s="57">
        <f t="shared" si="12"/>
        <v>4.9583999999999835E-3</v>
      </c>
      <c r="X89" s="56">
        <v>1500</v>
      </c>
      <c r="Y89" s="56">
        <v>1000</v>
      </c>
    </row>
    <row r="90" spans="1:25" x14ac:dyDescent="0.25">
      <c r="B90" s="9"/>
      <c r="C90" s="17">
        <v>1001.75</v>
      </c>
      <c r="D90" s="18">
        <v>37.145000000000003</v>
      </c>
      <c r="E90" s="18">
        <v>45.878999999999998</v>
      </c>
      <c r="F90" s="18">
        <v>44.094999999999999</v>
      </c>
      <c r="G90" s="18">
        <v>2.23</v>
      </c>
      <c r="H90" s="18">
        <f t="shared" si="8"/>
        <v>39.105500000000006</v>
      </c>
      <c r="I90" s="5"/>
      <c r="J90" s="17">
        <v>603.92449999999997</v>
      </c>
      <c r="K90" s="18">
        <v>36.145299999999999</v>
      </c>
      <c r="L90" s="18">
        <v>45.8765</v>
      </c>
      <c r="M90" s="18">
        <v>44.292499999999997</v>
      </c>
      <c r="N90" s="18">
        <v>2.3224999999999998</v>
      </c>
      <c r="O90" s="18">
        <f t="shared" si="9"/>
        <v>38.380100000000006</v>
      </c>
      <c r="P90" s="7"/>
      <c r="Q90" s="10"/>
      <c r="R90" s="11"/>
      <c r="S90" s="11"/>
      <c r="T90" s="26"/>
      <c r="U90" s="28">
        <f t="shared" si="10"/>
        <v>4.1479820627802602E-2</v>
      </c>
      <c r="V90" s="57">
        <f t="shared" si="11"/>
        <v>1.75E-3</v>
      </c>
      <c r="W90" s="57">
        <f t="shared" si="12"/>
        <v>6.540833333333277E-3</v>
      </c>
      <c r="X90" s="56">
        <v>1000</v>
      </c>
      <c r="Y90" s="56">
        <v>600</v>
      </c>
    </row>
    <row r="91" spans="1:25" x14ac:dyDescent="0.25">
      <c r="B91" s="9"/>
      <c r="C91" s="17">
        <v>600.41999999999996</v>
      </c>
      <c r="D91" s="18">
        <v>34.944000000000003</v>
      </c>
      <c r="E91" s="18">
        <v>44.387</v>
      </c>
      <c r="F91" s="18">
        <v>42.508000000000003</v>
      </c>
      <c r="G91" s="18">
        <v>2.4900000000000002</v>
      </c>
      <c r="H91" s="18">
        <f t="shared" si="8"/>
        <v>37.069875000000003</v>
      </c>
      <c r="I91" s="5"/>
      <c r="J91" s="17">
        <v>300.95929999999998</v>
      </c>
      <c r="K91" s="18">
        <v>33.773699999999998</v>
      </c>
      <c r="L91" s="18">
        <v>44.348199999999999</v>
      </c>
      <c r="M91" s="18">
        <v>42.701999999999998</v>
      </c>
      <c r="N91" s="18">
        <v>2.9996</v>
      </c>
      <c r="O91" s="18">
        <f t="shared" si="9"/>
        <v>36.211550000000003</v>
      </c>
      <c r="P91" s="7"/>
      <c r="Q91" s="10"/>
      <c r="R91" s="11"/>
      <c r="S91" s="11"/>
      <c r="T91" s="26"/>
      <c r="U91" s="28">
        <f t="shared" si="10"/>
        <v>0.20465863453815253</v>
      </c>
      <c r="V91" s="57">
        <f t="shared" si="11"/>
        <v>6.999999999999318E-4</v>
      </c>
      <c r="W91" s="57">
        <f t="shared" si="12"/>
        <v>3.1976666666666156E-3</v>
      </c>
      <c r="X91" s="56">
        <v>600</v>
      </c>
      <c r="Y91" s="56">
        <v>300</v>
      </c>
    </row>
    <row r="92" spans="1:25" ht="16.5" thickBot="1" x14ac:dyDescent="0.3">
      <c r="B92" s="12"/>
      <c r="C92" s="19">
        <v>297.83</v>
      </c>
      <c r="D92" s="20">
        <v>31.196000000000002</v>
      </c>
      <c r="E92" s="20">
        <v>42.146000000000001</v>
      </c>
      <c r="F92" s="20">
        <v>40.347999999999999</v>
      </c>
      <c r="G92" s="20">
        <v>2.95</v>
      </c>
      <c r="H92" s="20">
        <f t="shared" si="8"/>
        <v>33.708750000000002</v>
      </c>
      <c r="I92" s="5"/>
      <c r="J92" s="19">
        <v>199.2311</v>
      </c>
      <c r="K92" s="20">
        <v>32.259700000000002</v>
      </c>
      <c r="L92" s="20">
        <v>43.5441</v>
      </c>
      <c r="M92" s="20">
        <v>41.825200000000002</v>
      </c>
      <c r="N92" s="20">
        <v>3.5510000000000002</v>
      </c>
      <c r="O92" s="20">
        <f t="shared" si="9"/>
        <v>34.865937500000001</v>
      </c>
      <c r="P92" s="7"/>
      <c r="Q92" s="13"/>
      <c r="R92" s="14"/>
      <c r="S92" s="14"/>
      <c r="T92" s="27"/>
      <c r="U92" s="28">
        <f t="shared" si="10"/>
        <v>0.20372881355932201</v>
      </c>
      <c r="V92" s="57">
        <f t="shared" si="11"/>
        <v>7.2333333333333867E-3</v>
      </c>
      <c r="W92" s="57">
        <f t="shared" si="12"/>
        <v>3.8445000000000107E-3</v>
      </c>
      <c r="X92" s="56">
        <v>300</v>
      </c>
      <c r="Y92" s="56">
        <v>200</v>
      </c>
    </row>
    <row r="93" spans="1:25" x14ac:dyDescent="0.25">
      <c r="B93" s="6" t="s">
        <v>85</v>
      </c>
      <c r="C93" s="15">
        <v>1485.97</v>
      </c>
      <c r="D93" s="16">
        <v>37.716000000000001</v>
      </c>
      <c r="E93" s="16">
        <v>46.92</v>
      </c>
      <c r="F93" s="16">
        <v>45.25</v>
      </c>
      <c r="G93" s="16">
        <v>1.9</v>
      </c>
      <c r="H93" s="16">
        <f t="shared" si="8"/>
        <v>39.808250000000001</v>
      </c>
      <c r="I93" s="5"/>
      <c r="J93" s="15">
        <v>1003.3901</v>
      </c>
      <c r="K93" s="16">
        <v>36.814500000000002</v>
      </c>
      <c r="L93" s="16">
        <v>46.764699999999998</v>
      </c>
      <c r="M93" s="16">
        <v>45.264699999999998</v>
      </c>
      <c r="N93" s="16">
        <v>1.8613999999999999</v>
      </c>
      <c r="O93" s="16">
        <f t="shared" si="9"/>
        <v>39.114550000000001</v>
      </c>
      <c r="P93" s="7"/>
      <c r="Q93" s="8">
        <f>bdrate(C93:C96,D93:D96,J93:J96,K93:K96)</f>
        <v>-0.29665751844768984</v>
      </c>
      <c r="R93" s="8">
        <f>bdrate(C93:C96,E93:E96,J93:J96,L93:L96)</f>
        <v>-0.4098419420049767</v>
      </c>
      <c r="S93" s="8">
        <f>bdrate(C93:C96,F93:F96,J93:J96,M93:M96)</f>
        <v>-0.4775093260932981</v>
      </c>
      <c r="T93" s="25">
        <f>bdrate(C93:C96,H93:H96,J93:J96,O93:O96)</f>
        <v>-0.32625255352266747</v>
      </c>
      <c r="U93" s="28">
        <f t="shared" si="10"/>
        <v>-2.0315789473684193E-2</v>
      </c>
      <c r="V93" s="57">
        <f t="shared" si="11"/>
        <v>9.3533333333333159E-3</v>
      </c>
      <c r="W93" s="57">
        <f t="shared" si="12"/>
        <v>3.3900999999999615E-3</v>
      </c>
      <c r="X93" s="56">
        <v>1500</v>
      </c>
      <c r="Y93" s="56">
        <v>1000</v>
      </c>
    </row>
    <row r="94" spans="1:25" x14ac:dyDescent="0.25">
      <c r="B94" s="9"/>
      <c r="C94" s="17">
        <v>989.02</v>
      </c>
      <c r="D94" s="18">
        <v>36.116</v>
      </c>
      <c r="E94" s="18">
        <v>45.901000000000003</v>
      </c>
      <c r="F94" s="18">
        <v>44.063000000000002</v>
      </c>
      <c r="G94" s="18">
        <v>2.19</v>
      </c>
      <c r="H94" s="18">
        <f t="shared" si="8"/>
        <v>38.332499999999996</v>
      </c>
      <c r="I94" s="5"/>
      <c r="J94" s="17">
        <v>601.69640000000004</v>
      </c>
      <c r="K94" s="18">
        <v>35.157899999999998</v>
      </c>
      <c r="L94" s="18">
        <v>45.764200000000002</v>
      </c>
      <c r="M94" s="18">
        <v>44.2652</v>
      </c>
      <c r="N94" s="18">
        <v>2.2410000000000001</v>
      </c>
      <c r="O94" s="18">
        <f t="shared" si="9"/>
        <v>37.622099999999996</v>
      </c>
      <c r="P94" s="7"/>
      <c r="Q94" s="10"/>
      <c r="R94" s="11"/>
      <c r="S94" s="11"/>
      <c r="T94" s="26"/>
      <c r="U94" s="28">
        <f t="shared" si="10"/>
        <v>2.3287671232876783E-2</v>
      </c>
      <c r="V94" s="57">
        <f t="shared" si="11"/>
        <v>1.0980000000000018E-2</v>
      </c>
      <c r="W94" s="57">
        <f t="shared" si="12"/>
        <v>2.8273333333333995E-3</v>
      </c>
      <c r="X94" s="56">
        <v>1000</v>
      </c>
      <c r="Y94" s="56">
        <v>600</v>
      </c>
    </row>
    <row r="95" spans="1:25" x14ac:dyDescent="0.25">
      <c r="B95" s="9"/>
      <c r="C95" s="17">
        <v>592.22</v>
      </c>
      <c r="D95" s="18">
        <v>33.939</v>
      </c>
      <c r="E95" s="18">
        <v>44.368000000000002</v>
      </c>
      <c r="F95" s="18">
        <v>42.470999999999997</v>
      </c>
      <c r="G95" s="18">
        <v>2.4700000000000002</v>
      </c>
      <c r="H95" s="18">
        <f t="shared" si="8"/>
        <v>36.309125000000002</v>
      </c>
      <c r="I95" s="5"/>
      <c r="J95" s="17">
        <v>299.32740000000001</v>
      </c>
      <c r="K95" s="18">
        <v>32.8215</v>
      </c>
      <c r="L95" s="18">
        <v>44.206400000000002</v>
      </c>
      <c r="M95" s="18">
        <v>42.698799999999999</v>
      </c>
      <c r="N95" s="18">
        <v>2.9035000000000002</v>
      </c>
      <c r="O95" s="18">
        <f t="shared" si="9"/>
        <v>35.479275000000001</v>
      </c>
      <c r="P95" s="7"/>
      <c r="Q95" s="10"/>
      <c r="R95" s="11"/>
      <c r="S95" s="11"/>
      <c r="T95" s="26"/>
      <c r="U95" s="28">
        <f t="shared" si="10"/>
        <v>0.17550607287449391</v>
      </c>
      <c r="V95" s="57">
        <f t="shared" si="11"/>
        <v>1.2966666666666621E-2</v>
      </c>
      <c r="W95" s="57">
        <f t="shared" si="12"/>
        <v>2.2419999999999619E-3</v>
      </c>
      <c r="X95" s="56">
        <v>600</v>
      </c>
      <c r="Y95" s="56">
        <v>300</v>
      </c>
    </row>
    <row r="96" spans="1:25" ht="16.5" thickBot="1" x14ac:dyDescent="0.3">
      <c r="B96" s="12"/>
      <c r="C96" s="19">
        <v>295.58999999999997</v>
      </c>
      <c r="D96" s="20">
        <v>30.356999999999999</v>
      </c>
      <c r="E96" s="20">
        <v>42.286999999999999</v>
      </c>
      <c r="F96" s="20">
        <v>40.296999999999997</v>
      </c>
      <c r="G96" s="20">
        <v>2.94</v>
      </c>
      <c r="H96" s="20">
        <f t="shared" si="8"/>
        <v>33.09075</v>
      </c>
      <c r="I96" s="5"/>
      <c r="J96" s="19">
        <v>198.50649999999999</v>
      </c>
      <c r="K96" s="20">
        <v>31.343299999999999</v>
      </c>
      <c r="L96" s="20">
        <v>43.460700000000003</v>
      </c>
      <c r="M96" s="20">
        <v>41.867699999999999</v>
      </c>
      <c r="N96" s="20">
        <v>3.4512999999999998</v>
      </c>
      <c r="O96" s="20">
        <f t="shared" si="9"/>
        <v>34.173524999999998</v>
      </c>
      <c r="P96" s="7"/>
      <c r="Q96" s="13"/>
      <c r="R96" s="14"/>
      <c r="S96" s="14"/>
      <c r="T96" s="27"/>
      <c r="U96" s="28">
        <f t="shared" si="10"/>
        <v>0.17391156462585031</v>
      </c>
      <c r="V96" s="57">
        <f t="shared" si="11"/>
        <v>1.4700000000000083E-2</v>
      </c>
      <c r="W96" s="57">
        <f t="shared" si="12"/>
        <v>7.4675000000000583E-3</v>
      </c>
      <c r="X96" s="56">
        <v>300</v>
      </c>
      <c r="Y96" s="56">
        <v>200</v>
      </c>
    </row>
    <row r="97" spans="2:25" x14ac:dyDescent="0.25">
      <c r="B97" s="6" t="s">
        <v>86</v>
      </c>
      <c r="C97" s="15">
        <v>1502.42</v>
      </c>
      <c r="D97" s="16">
        <v>42.511000000000003</v>
      </c>
      <c r="E97" s="16">
        <v>48.996000000000002</v>
      </c>
      <c r="F97" s="16">
        <v>48.39</v>
      </c>
      <c r="G97" s="16">
        <v>2.21</v>
      </c>
      <c r="H97" s="16">
        <f t="shared" si="8"/>
        <v>44.0565</v>
      </c>
      <c r="I97" s="5"/>
      <c r="J97" s="15">
        <v>1013.096</v>
      </c>
      <c r="K97" s="16">
        <v>41.605400000000003</v>
      </c>
      <c r="L97" s="16">
        <v>48.814900000000002</v>
      </c>
      <c r="M97" s="16">
        <v>48.295400000000001</v>
      </c>
      <c r="N97" s="16">
        <v>2.3166000000000002</v>
      </c>
      <c r="O97" s="16">
        <f t="shared" si="9"/>
        <v>43.342837500000002</v>
      </c>
      <c r="P97" s="7"/>
      <c r="Q97" s="8">
        <f>bdrate(C97:C100,D97:D100,J97:J100,K97:K100)</f>
        <v>-0.26103232532817011</v>
      </c>
      <c r="R97" s="8">
        <f>bdrate(C97:C100,E97:E100,J97:J100,L97:L100)</f>
        <v>-0.43055437071307712</v>
      </c>
      <c r="S97" s="8">
        <f>bdrate(C97:C100,F97:F100,J97:J100,M97:M100)</f>
        <v>-0.46471028187040542</v>
      </c>
      <c r="T97" s="25">
        <f>bdrate(C97:C100,H97:H100,J97:J100,O97:O100)</f>
        <v>-0.30149231454488645</v>
      </c>
      <c r="U97" s="28">
        <f t="shared" si="10"/>
        <v>4.8235294117647175E-2</v>
      </c>
      <c r="V97" s="57">
        <f t="shared" si="11"/>
        <v>1.6133333333333819E-3</v>
      </c>
      <c r="W97" s="57">
        <f t="shared" si="12"/>
        <v>1.3096000000000003E-2</v>
      </c>
      <c r="X97" s="56">
        <v>1500</v>
      </c>
      <c r="Y97" s="56">
        <v>1000</v>
      </c>
    </row>
    <row r="98" spans="2:25" x14ac:dyDescent="0.25">
      <c r="B98" s="9"/>
      <c r="C98" s="17">
        <v>999.05</v>
      </c>
      <c r="D98" s="18">
        <v>41.25</v>
      </c>
      <c r="E98" s="18">
        <v>48.232999999999997</v>
      </c>
      <c r="F98" s="18">
        <v>47.55</v>
      </c>
      <c r="G98" s="18">
        <v>2.59</v>
      </c>
      <c r="H98" s="18">
        <f t="shared" si="8"/>
        <v>42.910375000000002</v>
      </c>
      <c r="I98" s="5"/>
      <c r="J98" s="17">
        <v>607.71759999999995</v>
      </c>
      <c r="K98" s="18">
        <v>40.322200000000002</v>
      </c>
      <c r="L98" s="18">
        <v>48.084699999999998</v>
      </c>
      <c r="M98" s="18">
        <v>47.548099999999998</v>
      </c>
      <c r="N98" s="18">
        <v>2.7564000000000002</v>
      </c>
      <c r="O98" s="18">
        <f t="shared" si="9"/>
        <v>42.195749999999997</v>
      </c>
      <c r="P98" s="7"/>
      <c r="Q98" s="10"/>
      <c r="R98" s="11"/>
      <c r="S98" s="11"/>
      <c r="T98" s="26"/>
      <c r="U98" s="28">
        <f t="shared" si="10"/>
        <v>6.4247104247104378E-2</v>
      </c>
      <c r="V98" s="57">
        <f t="shared" si="11"/>
        <v>9.5000000000004543E-4</v>
      </c>
      <c r="W98" s="57">
        <f t="shared" si="12"/>
        <v>1.286266666666658E-2</v>
      </c>
      <c r="X98" s="56">
        <v>1000</v>
      </c>
      <c r="Y98" s="56">
        <v>600</v>
      </c>
    </row>
    <row r="99" spans="2:25" x14ac:dyDescent="0.25">
      <c r="B99" s="9"/>
      <c r="C99" s="17">
        <v>600.6</v>
      </c>
      <c r="D99" s="18">
        <v>39.593000000000004</v>
      </c>
      <c r="E99" s="18">
        <v>47.000999999999998</v>
      </c>
      <c r="F99" s="18">
        <v>46.247999999999998</v>
      </c>
      <c r="G99" s="18">
        <v>2.88</v>
      </c>
      <c r="H99" s="18">
        <f t="shared" si="8"/>
        <v>41.350875000000002</v>
      </c>
      <c r="I99" s="5"/>
      <c r="J99" s="17">
        <v>299.95330000000001</v>
      </c>
      <c r="K99" s="18">
        <v>38.549399999999999</v>
      </c>
      <c r="L99" s="18">
        <v>46.974600000000002</v>
      </c>
      <c r="M99" s="18">
        <v>46.387500000000003</v>
      </c>
      <c r="N99" s="18">
        <v>3.5626000000000002</v>
      </c>
      <c r="O99" s="18">
        <f t="shared" si="9"/>
        <v>40.5823125</v>
      </c>
      <c r="P99" s="7"/>
      <c r="Q99" s="10"/>
      <c r="R99" s="11"/>
      <c r="S99" s="11"/>
      <c r="T99" s="26"/>
      <c r="U99" s="28">
        <f t="shared" si="10"/>
        <v>0.237013888888889</v>
      </c>
      <c r="V99" s="57">
        <f t="shared" si="11"/>
        <v>1.000000000000038E-3</v>
      </c>
      <c r="W99" s="57">
        <f t="shared" si="12"/>
        <v>1.5566666666662362E-4</v>
      </c>
      <c r="X99" s="56">
        <v>600</v>
      </c>
      <c r="Y99" s="56">
        <v>300</v>
      </c>
    </row>
    <row r="100" spans="2:25" ht="16.5" thickBot="1" x14ac:dyDescent="0.3">
      <c r="B100" s="12"/>
      <c r="C100" s="19">
        <v>300.93</v>
      </c>
      <c r="D100" s="20">
        <v>36.954999999999998</v>
      </c>
      <c r="E100" s="20">
        <v>44.942999999999998</v>
      </c>
      <c r="F100" s="20">
        <v>44.243000000000002</v>
      </c>
      <c r="G100" s="20">
        <v>3.28</v>
      </c>
      <c r="H100" s="20">
        <f t="shared" si="8"/>
        <v>38.8645</v>
      </c>
      <c r="I100" s="5"/>
      <c r="J100" s="19">
        <v>196.2081</v>
      </c>
      <c r="K100" s="20">
        <v>37.373800000000003</v>
      </c>
      <c r="L100" s="20">
        <v>46.153100000000002</v>
      </c>
      <c r="M100" s="20">
        <v>45.560099999999998</v>
      </c>
      <c r="N100" s="20">
        <v>4.1929999999999996</v>
      </c>
      <c r="O100" s="20">
        <f t="shared" si="9"/>
        <v>39.494500000000002</v>
      </c>
      <c r="P100" s="7"/>
      <c r="Q100" s="13"/>
      <c r="R100" s="14"/>
      <c r="S100" s="14"/>
      <c r="T100" s="27"/>
      <c r="U100" s="28">
        <f t="shared" si="10"/>
        <v>0.27835365853658534</v>
      </c>
      <c r="V100" s="57">
        <f t="shared" si="11"/>
        <v>3.1000000000000229E-3</v>
      </c>
      <c r="W100" s="57">
        <f t="shared" si="12"/>
        <v>1.895949999999999E-2</v>
      </c>
      <c r="X100" s="56">
        <v>300</v>
      </c>
      <c r="Y100" s="56">
        <v>200</v>
      </c>
    </row>
    <row r="101" spans="2:25" x14ac:dyDescent="0.25">
      <c r="B101" s="6" t="s">
        <v>87</v>
      </c>
      <c r="C101" s="15">
        <v>1477.68</v>
      </c>
      <c r="D101" s="16">
        <v>42.43</v>
      </c>
      <c r="E101" s="16">
        <v>49.601999999999997</v>
      </c>
      <c r="F101" s="16">
        <v>49.515999999999998</v>
      </c>
      <c r="G101" s="16">
        <v>2.2799999999999998</v>
      </c>
      <c r="H101" s="16">
        <f t="shared" si="8"/>
        <v>44.212249999999997</v>
      </c>
      <c r="I101" s="5"/>
      <c r="J101" s="15">
        <v>1009.0525</v>
      </c>
      <c r="K101" s="16">
        <v>42.022300000000001</v>
      </c>
      <c r="L101" s="16">
        <v>49.677999999999997</v>
      </c>
      <c r="M101" s="16">
        <v>49.374899999999997</v>
      </c>
      <c r="N101" s="16">
        <v>2.5672999999999999</v>
      </c>
      <c r="O101" s="16">
        <f t="shared" si="9"/>
        <v>43.898337499999997</v>
      </c>
      <c r="P101" s="7"/>
      <c r="Q101" s="8">
        <f>bdrate(C101:C104,D101:D104,J101:J104,K101:K104)</f>
        <v>-0.35460189942940779</v>
      </c>
      <c r="R101" s="8">
        <f>bdrate(C101:C104,E101:E104,J101:J104,L101:L104)</f>
        <v>-0.51678273470532221</v>
      </c>
      <c r="S101" s="8">
        <f>bdrate(C101:C104,F101:F104,J101:J104,M101:M104)</f>
        <v>-0.44129926075942127</v>
      </c>
      <c r="T101" s="25">
        <f>bdrate(C101:C104,H101:H104,J101:J104,O101:O104)</f>
        <v>-0.38000043585343346</v>
      </c>
      <c r="U101" s="28">
        <f t="shared" si="10"/>
        <v>0.12600877192982463</v>
      </c>
      <c r="V101" s="57">
        <f t="shared" si="11"/>
        <v>1.4879999999999957E-2</v>
      </c>
      <c r="W101" s="57">
        <f t="shared" si="12"/>
        <v>9.0525000000000085E-3</v>
      </c>
      <c r="X101" s="56">
        <v>1500</v>
      </c>
      <c r="Y101" s="56">
        <v>1000</v>
      </c>
    </row>
    <row r="102" spans="2:25" x14ac:dyDescent="0.25">
      <c r="B102" s="9"/>
      <c r="C102" s="17">
        <v>979.77</v>
      </c>
      <c r="D102" s="18">
        <v>41.526000000000003</v>
      </c>
      <c r="E102" s="18">
        <v>49.012</v>
      </c>
      <c r="F102" s="18">
        <v>49.002000000000002</v>
      </c>
      <c r="G102" s="18">
        <v>2.7</v>
      </c>
      <c r="H102" s="18">
        <f t="shared" si="8"/>
        <v>43.396250000000002</v>
      </c>
      <c r="I102" s="5"/>
      <c r="J102" s="17">
        <v>603.7894</v>
      </c>
      <c r="K102" s="18">
        <v>41.189300000000003</v>
      </c>
      <c r="L102" s="18">
        <v>49.148400000000002</v>
      </c>
      <c r="M102" s="18">
        <v>48.912199999999999</v>
      </c>
      <c r="N102" s="18">
        <v>3.1156999999999999</v>
      </c>
      <c r="O102" s="18">
        <f t="shared" si="9"/>
        <v>43.149549999999998</v>
      </c>
      <c r="P102" s="7"/>
      <c r="Q102" s="10"/>
      <c r="R102" s="11"/>
      <c r="S102" s="11"/>
      <c r="T102" s="26"/>
      <c r="U102" s="28">
        <f t="shared" si="10"/>
        <v>0.15396296296296286</v>
      </c>
      <c r="V102" s="57">
        <f t="shared" si="11"/>
        <v>2.0230000000000019E-2</v>
      </c>
      <c r="W102" s="57">
        <f t="shared" si="12"/>
        <v>6.3156666666666673E-3</v>
      </c>
      <c r="X102" s="56">
        <v>1000</v>
      </c>
      <c r="Y102" s="56">
        <v>600</v>
      </c>
    </row>
    <row r="103" spans="2:25" x14ac:dyDescent="0.25">
      <c r="B103" s="9"/>
      <c r="C103" s="17">
        <v>583.73</v>
      </c>
      <c r="D103" s="18">
        <v>40.365000000000002</v>
      </c>
      <c r="E103" s="18">
        <v>48.125</v>
      </c>
      <c r="F103" s="18">
        <v>48.249000000000002</v>
      </c>
      <c r="G103" s="18">
        <v>3.04</v>
      </c>
      <c r="H103" s="18">
        <f t="shared" si="8"/>
        <v>42.320500000000003</v>
      </c>
      <c r="I103" s="5"/>
      <c r="J103" s="17">
        <v>290.12079999999997</v>
      </c>
      <c r="K103" s="18">
        <v>39.9405</v>
      </c>
      <c r="L103" s="18">
        <v>48.35</v>
      </c>
      <c r="M103" s="18">
        <v>48.27</v>
      </c>
      <c r="N103" s="18">
        <v>4.2904</v>
      </c>
      <c r="O103" s="18">
        <f t="shared" si="9"/>
        <v>42.032874999999997</v>
      </c>
      <c r="P103" s="7"/>
      <c r="Q103" s="10"/>
      <c r="R103" s="11"/>
      <c r="S103" s="11"/>
      <c r="T103" s="26"/>
      <c r="U103" s="28">
        <f t="shared" si="10"/>
        <v>0.41131578947368419</v>
      </c>
      <c r="V103" s="57">
        <f t="shared" si="11"/>
        <v>2.7116666666666636E-2</v>
      </c>
      <c r="W103" s="57">
        <f t="shared" si="12"/>
        <v>3.2930666666666754E-2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285.99</v>
      </c>
      <c r="D104" s="20">
        <v>38.433999999999997</v>
      </c>
      <c r="E104" s="20">
        <v>46.58</v>
      </c>
      <c r="F104" s="20">
        <v>46.829000000000001</v>
      </c>
      <c r="G104" s="20">
        <v>3.5</v>
      </c>
      <c r="H104" s="20">
        <f t="shared" ref="H104:H124" si="13">(6*D104+E104+F104)/8</f>
        <v>40.501624999999997</v>
      </c>
      <c r="I104" s="5"/>
      <c r="J104" s="19">
        <v>175.50649999999999</v>
      </c>
      <c r="K104" s="20">
        <v>38.973599999999998</v>
      </c>
      <c r="L104" s="20">
        <v>47.65</v>
      </c>
      <c r="M104" s="20">
        <v>47.728000000000002</v>
      </c>
      <c r="N104" s="20">
        <v>5.2549999999999999</v>
      </c>
      <c r="O104" s="20">
        <f t="shared" ref="O104:O124" si="14">(6*K104+L104+M104)/8</f>
        <v>41.152449999999995</v>
      </c>
      <c r="P104" s="7"/>
      <c r="Q104" s="13"/>
      <c r="R104" s="14"/>
      <c r="S104" s="14"/>
      <c r="T104" s="27"/>
      <c r="U104" s="28">
        <f t="shared" ref="U104:U124" si="15">(N104-G104)/G104</f>
        <v>0.50142857142857145</v>
      </c>
      <c r="V104" s="57">
        <f t="shared" si="11"/>
        <v>4.6699999999999971E-2</v>
      </c>
      <c r="W104" s="57">
        <f t="shared" si="12"/>
        <v>0.12246750000000006</v>
      </c>
      <c r="X104" s="56">
        <v>300</v>
      </c>
      <c r="Y104" s="56">
        <v>200</v>
      </c>
    </row>
    <row r="105" spans="2:25" x14ac:dyDescent="0.25">
      <c r="B105" s="6" t="s">
        <v>88</v>
      </c>
      <c r="C105" s="15">
        <v>1474.65</v>
      </c>
      <c r="D105" s="16">
        <v>43.838999999999999</v>
      </c>
      <c r="E105" s="16">
        <v>51.534999999999997</v>
      </c>
      <c r="F105" s="16">
        <v>51.298999999999999</v>
      </c>
      <c r="G105" s="16">
        <v>2.08</v>
      </c>
      <c r="H105" s="16">
        <f t="shared" si="13"/>
        <v>45.733499999999992</v>
      </c>
      <c r="I105" s="5"/>
      <c r="J105" s="15">
        <v>1003.7646</v>
      </c>
      <c r="K105" s="16">
        <v>43.054499999999997</v>
      </c>
      <c r="L105" s="16">
        <v>51.250100000000003</v>
      </c>
      <c r="M105" s="16">
        <v>51.036299999999997</v>
      </c>
      <c r="N105" s="16">
        <v>2.383</v>
      </c>
      <c r="O105" s="16">
        <f t="shared" si="14"/>
        <v>45.076674999999994</v>
      </c>
      <c r="P105" s="7"/>
      <c r="Q105" s="8">
        <f>bdrate(C105:C108,D105:D108,J105:J108,K105:K108)</f>
        <v>-0.24853592143570413</v>
      </c>
      <c r="R105" s="8">
        <f>bdrate(C105:C108,E105:E108,J105:J108,L105:L108)</f>
        <v>-0.46466807954257094</v>
      </c>
      <c r="S105" s="8">
        <f>bdrate(C105:C108,F105:F108,J105:J108,M105:M108)</f>
        <v>-0.46780407419881309</v>
      </c>
      <c r="T105" s="25">
        <f>bdrate(C105:C108,H105:H108,J105:J108,O105:O108)</f>
        <v>-0.30454293983962855</v>
      </c>
      <c r="U105" s="28">
        <f t="shared" si="15"/>
        <v>0.14567307692307688</v>
      </c>
      <c r="V105" s="57">
        <f t="shared" si="11"/>
        <v>1.6899999999999939E-2</v>
      </c>
      <c r="W105" s="57">
        <f t="shared" si="12"/>
        <v>3.764599999999973E-3</v>
      </c>
      <c r="X105" s="56">
        <v>1500</v>
      </c>
      <c r="Y105" s="56">
        <v>1000</v>
      </c>
    </row>
    <row r="106" spans="2:25" x14ac:dyDescent="0.25">
      <c r="B106" s="9"/>
      <c r="C106" s="17">
        <v>974.32</v>
      </c>
      <c r="D106" s="18">
        <v>42.814999999999998</v>
      </c>
      <c r="E106" s="18">
        <v>50.646999999999998</v>
      </c>
      <c r="F106" s="18">
        <v>50.39</v>
      </c>
      <c r="G106" s="18">
        <v>2.48</v>
      </c>
      <c r="H106" s="18">
        <f t="shared" si="13"/>
        <v>44.740874999999996</v>
      </c>
      <c r="I106" s="5"/>
      <c r="J106" s="17">
        <v>601.04079999999999</v>
      </c>
      <c r="K106" s="18">
        <v>42.090499999999999</v>
      </c>
      <c r="L106" s="18">
        <v>50.623800000000003</v>
      </c>
      <c r="M106" s="18">
        <v>50.397799999999997</v>
      </c>
      <c r="N106" s="18">
        <v>2.8956</v>
      </c>
      <c r="O106" s="18">
        <f t="shared" si="14"/>
        <v>44.195575000000005</v>
      </c>
      <c r="P106" s="7"/>
      <c r="Q106" s="10"/>
      <c r="R106" s="11"/>
      <c r="S106" s="11"/>
      <c r="T106" s="26"/>
      <c r="U106" s="28">
        <f t="shared" si="15"/>
        <v>0.16758064516129031</v>
      </c>
      <c r="V106" s="57">
        <f t="shared" si="11"/>
        <v>2.5679999999999949E-2</v>
      </c>
      <c r="W106" s="57">
        <f t="shared" si="12"/>
        <v>1.7346666666666502E-3</v>
      </c>
      <c r="X106" s="56">
        <v>1000</v>
      </c>
      <c r="Y106" s="56">
        <v>600</v>
      </c>
    </row>
    <row r="107" spans="2:25" x14ac:dyDescent="0.25">
      <c r="B107" s="9"/>
      <c r="C107" s="17">
        <v>575.63</v>
      </c>
      <c r="D107" s="18">
        <v>41.552999999999997</v>
      </c>
      <c r="E107" s="18">
        <v>49.536999999999999</v>
      </c>
      <c r="F107" s="18">
        <v>49.311999999999998</v>
      </c>
      <c r="G107" s="18">
        <v>2.84</v>
      </c>
      <c r="H107" s="18">
        <f t="shared" si="13"/>
        <v>43.520874999999997</v>
      </c>
      <c r="I107" s="5"/>
      <c r="J107" s="17">
        <v>295.14229999999998</v>
      </c>
      <c r="K107" s="18">
        <v>40.914200000000001</v>
      </c>
      <c r="L107" s="18">
        <v>49.8551</v>
      </c>
      <c r="M107" s="18">
        <v>49.602400000000003</v>
      </c>
      <c r="N107" s="18">
        <v>3.7951999999999999</v>
      </c>
      <c r="O107" s="18">
        <f t="shared" si="14"/>
        <v>43.1178375</v>
      </c>
      <c r="P107" s="7"/>
      <c r="Q107" s="10"/>
      <c r="R107" s="11"/>
      <c r="S107" s="11"/>
      <c r="T107" s="26"/>
      <c r="U107" s="28">
        <f t="shared" si="15"/>
        <v>0.33633802816901409</v>
      </c>
      <c r="V107" s="57">
        <f t="shared" si="11"/>
        <v>4.0616666666666676E-2</v>
      </c>
      <c r="W107" s="57">
        <f t="shared" si="12"/>
        <v>1.6192333333333409E-2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280.64999999999998</v>
      </c>
      <c r="D108" s="20">
        <v>39.679000000000002</v>
      </c>
      <c r="E108" s="20">
        <v>47.470999999999997</v>
      </c>
      <c r="F108" s="20">
        <v>47.491</v>
      </c>
      <c r="G108" s="20">
        <v>3.28</v>
      </c>
      <c r="H108" s="20">
        <f t="shared" si="13"/>
        <v>41.6295</v>
      </c>
      <c r="I108" s="5"/>
      <c r="J108" s="19">
        <v>190.71619999999999</v>
      </c>
      <c r="K108" s="20">
        <v>40.164400000000001</v>
      </c>
      <c r="L108" s="20">
        <v>49.314799999999998</v>
      </c>
      <c r="M108" s="20">
        <v>49.034399999999998</v>
      </c>
      <c r="N108" s="20">
        <v>4.5429000000000004</v>
      </c>
      <c r="O108" s="20">
        <f t="shared" si="14"/>
        <v>42.41695</v>
      </c>
      <c r="P108" s="7"/>
      <c r="Q108" s="13"/>
      <c r="R108" s="14"/>
      <c r="S108" s="14"/>
      <c r="T108" s="27"/>
      <c r="U108" s="28">
        <f t="shared" si="15"/>
        <v>0.38503048780487825</v>
      </c>
      <c r="V108" s="57">
        <f t="shared" si="11"/>
        <v>6.4500000000000071E-2</v>
      </c>
      <c r="W108" s="57">
        <f t="shared" si="12"/>
        <v>4.6419000000000071E-2</v>
      </c>
      <c r="X108" s="56">
        <v>300</v>
      </c>
      <c r="Y108" s="56">
        <v>200</v>
      </c>
    </row>
    <row r="109" spans="2:25" x14ac:dyDescent="0.25">
      <c r="B109" s="6" t="s">
        <v>89</v>
      </c>
      <c r="C109" s="15">
        <v>1474.89</v>
      </c>
      <c r="D109" s="16">
        <v>44.192</v>
      </c>
      <c r="E109" s="16">
        <v>52.143000000000001</v>
      </c>
      <c r="F109" s="16">
        <v>52.137</v>
      </c>
      <c r="G109" s="16">
        <v>2.33</v>
      </c>
      <c r="H109" s="16">
        <f t="shared" si="13"/>
        <v>46.178999999999995</v>
      </c>
      <c r="I109" s="5"/>
      <c r="J109" s="15">
        <v>1010.0753</v>
      </c>
      <c r="K109" s="16">
        <v>43.538699999999999</v>
      </c>
      <c r="L109" s="16">
        <v>51.880800000000001</v>
      </c>
      <c r="M109" s="16">
        <v>51.949599999999997</v>
      </c>
      <c r="N109" s="16">
        <v>2.8755000000000002</v>
      </c>
      <c r="O109" s="16">
        <f t="shared" si="14"/>
        <v>45.632824999999997</v>
      </c>
      <c r="P109" s="7"/>
      <c r="Q109" s="8">
        <f>bdrate(C109:C112,D109:D112,J109:J112,K109:K112)</f>
        <v>-0.25459365611035101</v>
      </c>
      <c r="R109" s="8">
        <f>bdrate(C109:C112,E109:E112,J109:J112,L109:L112)</f>
        <v>-0.37469626876991036</v>
      </c>
      <c r="S109" s="8">
        <f>bdrate(C109:C112,F109:F112,J109:J112,M109:M112)</f>
        <v>-0.4036248662698092</v>
      </c>
      <c r="T109" s="25">
        <f>bdrate(C109:C112,H109:H112,J109:J112,O109:O112)</f>
        <v>-0.28265165764936462</v>
      </c>
      <c r="U109" s="28">
        <f t="shared" si="15"/>
        <v>0.23412017167381977</v>
      </c>
      <c r="V109" s="57">
        <f t="shared" si="11"/>
        <v>1.6739999999999932E-2</v>
      </c>
      <c r="W109" s="57">
        <f t="shared" si="12"/>
        <v>1.0075299999999969E-2</v>
      </c>
      <c r="X109" s="56">
        <v>1500</v>
      </c>
      <c r="Y109" s="56">
        <v>1000</v>
      </c>
    </row>
    <row r="110" spans="2:25" x14ac:dyDescent="0.25">
      <c r="B110" s="9"/>
      <c r="C110" s="17">
        <v>979.4</v>
      </c>
      <c r="D110" s="18">
        <v>42.935000000000002</v>
      </c>
      <c r="E110" s="18">
        <v>51.357999999999997</v>
      </c>
      <c r="F110" s="18">
        <v>51.357999999999997</v>
      </c>
      <c r="G110" s="18">
        <v>2.77</v>
      </c>
      <c r="H110" s="18">
        <f t="shared" si="13"/>
        <v>45.040750000000003</v>
      </c>
      <c r="I110" s="5"/>
      <c r="J110" s="17">
        <v>605.2165</v>
      </c>
      <c r="K110" s="18">
        <v>42.154800000000002</v>
      </c>
      <c r="L110" s="18">
        <v>51.064700000000002</v>
      </c>
      <c r="M110" s="18">
        <v>51.156700000000001</v>
      </c>
      <c r="N110" s="18">
        <v>3.3849</v>
      </c>
      <c r="O110" s="18">
        <f t="shared" si="14"/>
        <v>44.393775000000005</v>
      </c>
      <c r="P110" s="7"/>
      <c r="Q110" s="10"/>
      <c r="R110" s="11"/>
      <c r="S110" s="11"/>
      <c r="T110" s="26"/>
      <c r="U110" s="28">
        <f t="shared" si="15"/>
        <v>0.22198555956678701</v>
      </c>
      <c r="V110" s="57">
        <f t="shared" si="11"/>
        <v>2.0600000000000021E-2</v>
      </c>
      <c r="W110" s="57">
        <f t="shared" si="12"/>
        <v>8.6941666666666608E-3</v>
      </c>
      <c r="X110" s="56">
        <v>1000</v>
      </c>
      <c r="Y110" s="56">
        <v>600</v>
      </c>
    </row>
    <row r="111" spans="2:25" x14ac:dyDescent="0.25">
      <c r="B111" s="9"/>
      <c r="C111" s="17">
        <v>584.77</v>
      </c>
      <c r="D111" s="18">
        <v>41.280999999999999</v>
      </c>
      <c r="E111" s="18">
        <v>50.195999999999998</v>
      </c>
      <c r="F111" s="18">
        <v>50.137</v>
      </c>
      <c r="G111" s="18">
        <v>3.1</v>
      </c>
      <c r="H111" s="18">
        <f t="shared" si="13"/>
        <v>43.502374999999994</v>
      </c>
      <c r="I111" s="5"/>
      <c r="J111" s="17">
        <v>302.13569999999999</v>
      </c>
      <c r="K111" s="18">
        <v>40.238999999999997</v>
      </c>
      <c r="L111" s="18">
        <v>50.015900000000002</v>
      </c>
      <c r="M111" s="18">
        <v>50.0749</v>
      </c>
      <c r="N111" s="18">
        <v>4.1807999999999996</v>
      </c>
      <c r="O111" s="18">
        <f t="shared" si="14"/>
        <v>42.690599999999996</v>
      </c>
      <c r="P111" s="7"/>
      <c r="Q111" s="10"/>
      <c r="R111" s="11"/>
      <c r="S111" s="11"/>
      <c r="T111" s="26"/>
      <c r="U111" s="28">
        <f t="shared" si="15"/>
        <v>0.34864516129032241</v>
      </c>
      <c r="V111" s="57">
        <f t="shared" si="11"/>
        <v>2.5383333333333365E-2</v>
      </c>
      <c r="W111" s="57">
        <f t="shared" si="12"/>
        <v>7.1189999999999526E-3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289.79000000000002</v>
      </c>
      <c r="D112" s="20">
        <v>38.765000000000001</v>
      </c>
      <c r="E112" s="20">
        <v>48.137999999999998</v>
      </c>
      <c r="F112" s="20">
        <v>48.152000000000001</v>
      </c>
      <c r="G112" s="20">
        <v>3.56</v>
      </c>
      <c r="H112" s="20">
        <f t="shared" si="13"/>
        <v>41.11</v>
      </c>
      <c r="I112" s="5"/>
      <c r="J112" s="19">
        <v>197.25409999999999</v>
      </c>
      <c r="K112" s="20">
        <v>39.010300000000001</v>
      </c>
      <c r="L112" s="20">
        <v>49.163899999999998</v>
      </c>
      <c r="M112" s="20">
        <v>49.201000000000001</v>
      </c>
      <c r="N112" s="20">
        <v>4.7088000000000001</v>
      </c>
      <c r="O112" s="20">
        <f t="shared" si="14"/>
        <v>41.553337500000005</v>
      </c>
      <c r="P112" s="7"/>
      <c r="Q112" s="13"/>
      <c r="R112" s="14"/>
      <c r="S112" s="14"/>
      <c r="T112" s="27"/>
      <c r="U112" s="28">
        <f t="shared" si="15"/>
        <v>0.32269662921348313</v>
      </c>
      <c r="V112" s="57">
        <f t="shared" si="11"/>
        <v>3.4033333333333263E-2</v>
      </c>
      <c r="W112" s="57">
        <f t="shared" si="12"/>
        <v>1.372950000000003E-2</v>
      </c>
      <c r="X112" s="56">
        <v>300</v>
      </c>
      <c r="Y112" s="56">
        <v>200</v>
      </c>
    </row>
    <row r="113" spans="2:25" x14ac:dyDescent="0.25">
      <c r="B113" s="6" t="s">
        <v>90</v>
      </c>
      <c r="C113" s="15">
        <v>1497.75</v>
      </c>
      <c r="D113" s="16">
        <v>42.487000000000002</v>
      </c>
      <c r="E113" s="16">
        <v>49.890999999999998</v>
      </c>
      <c r="F113" s="16">
        <v>50.610999999999997</v>
      </c>
      <c r="G113" s="16">
        <v>2.3199999999999998</v>
      </c>
      <c r="H113" s="16">
        <f t="shared" si="13"/>
        <v>44.428000000000004</v>
      </c>
      <c r="I113" s="5"/>
      <c r="J113" s="15">
        <v>1008.9945</v>
      </c>
      <c r="K113" s="16">
        <v>41.948700000000002</v>
      </c>
      <c r="L113" s="16">
        <v>49.932699999999997</v>
      </c>
      <c r="M113" s="16">
        <v>50.660600000000002</v>
      </c>
      <c r="N113" s="16">
        <v>2.4472999999999998</v>
      </c>
      <c r="O113" s="16">
        <f t="shared" si="14"/>
        <v>44.035687500000002</v>
      </c>
      <c r="P113" s="7"/>
      <c r="Q113" s="8">
        <f>bdrate(C113:C116,D113:D116,J113:J116,K113:K116)</f>
        <v>-0.32836705414249012</v>
      </c>
      <c r="R113" s="8">
        <f>bdrate(C113:C116,E113:E116,J113:J116,L113:L116)</f>
        <v>-0.48241324417648279</v>
      </c>
      <c r="S113" s="8">
        <f>bdrate(C113:C116,F113:F116,J113:J116,M113:M116)</f>
        <v>-0.49093300342217894</v>
      </c>
      <c r="T113" s="25">
        <f>bdrate(C113:C116,H113:H116,J113:J116,O113:O116)</f>
        <v>-0.3643985560667059</v>
      </c>
      <c r="U113" s="28">
        <f t="shared" si="15"/>
        <v>5.4870689655172403E-2</v>
      </c>
      <c r="V113" s="57">
        <f t="shared" si="11"/>
        <v>1.5E-3</v>
      </c>
      <c r="W113" s="57">
        <f t="shared" si="12"/>
        <v>8.9945000000000164E-3</v>
      </c>
      <c r="X113" s="56">
        <v>1500</v>
      </c>
      <c r="Y113" s="56">
        <v>1000</v>
      </c>
    </row>
    <row r="114" spans="2:25" x14ac:dyDescent="0.25">
      <c r="B114" s="9"/>
      <c r="C114" s="17">
        <v>996.91</v>
      </c>
      <c r="D114" s="18">
        <v>41.497999999999998</v>
      </c>
      <c r="E114" s="18">
        <v>49.198</v>
      </c>
      <c r="F114" s="18">
        <v>49.965000000000003</v>
      </c>
      <c r="G114" s="18">
        <v>2.76</v>
      </c>
      <c r="H114" s="18">
        <f t="shared" si="13"/>
        <v>43.518874999999994</v>
      </c>
      <c r="I114" s="5"/>
      <c r="J114" s="17">
        <v>604.15930000000003</v>
      </c>
      <c r="K114" s="18">
        <v>41.033799999999999</v>
      </c>
      <c r="L114" s="18">
        <v>49.300800000000002</v>
      </c>
      <c r="M114" s="18">
        <v>50.078299999999999</v>
      </c>
      <c r="N114" s="18">
        <v>2.9577</v>
      </c>
      <c r="O114" s="18">
        <f t="shared" si="14"/>
        <v>43.197737500000002</v>
      </c>
      <c r="P114" s="7"/>
      <c r="Q114" s="10"/>
      <c r="R114" s="11"/>
      <c r="S114" s="11"/>
      <c r="T114" s="26"/>
      <c r="U114" s="28">
        <f t="shared" si="15"/>
        <v>7.1630434782608776E-2</v>
      </c>
      <c r="V114" s="57">
        <f t="shared" si="11"/>
        <v>3.090000000000032E-3</v>
      </c>
      <c r="W114" s="57">
        <f t="shared" si="12"/>
        <v>6.9321666666667166E-3</v>
      </c>
      <c r="X114" s="56">
        <v>1000</v>
      </c>
      <c r="Y114" s="56">
        <v>600</v>
      </c>
    </row>
    <row r="115" spans="2:25" x14ac:dyDescent="0.25">
      <c r="B115" s="9"/>
      <c r="C115" s="17">
        <v>596.85</v>
      </c>
      <c r="D115" s="18">
        <v>40.29</v>
      </c>
      <c r="E115" s="18">
        <v>48.19</v>
      </c>
      <c r="F115" s="18">
        <v>48.991999999999997</v>
      </c>
      <c r="G115" s="18">
        <v>3.11</v>
      </c>
      <c r="H115" s="18">
        <f t="shared" si="13"/>
        <v>42.365250000000003</v>
      </c>
      <c r="I115" s="5"/>
      <c r="J115" s="17">
        <v>287.0693</v>
      </c>
      <c r="K115" s="18">
        <v>39.700000000000003</v>
      </c>
      <c r="L115" s="18">
        <v>48.206200000000003</v>
      </c>
      <c r="M115" s="18">
        <v>49.040700000000001</v>
      </c>
      <c r="N115" s="18">
        <v>3.9243999999999999</v>
      </c>
      <c r="O115" s="18">
        <f t="shared" si="14"/>
        <v>41.930862500000003</v>
      </c>
      <c r="P115" s="7"/>
      <c r="Q115" s="10"/>
      <c r="R115" s="11"/>
      <c r="S115" s="11"/>
      <c r="T115" s="26"/>
      <c r="U115" s="28">
        <f t="shared" si="15"/>
        <v>0.26186495176848879</v>
      </c>
      <c r="V115" s="57">
        <f t="shared" si="11"/>
        <v>5.2499999999999622E-3</v>
      </c>
      <c r="W115" s="57">
        <f t="shared" si="12"/>
        <v>4.310233333333334E-2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297.26</v>
      </c>
      <c r="D116" s="20">
        <v>38.429000000000002</v>
      </c>
      <c r="E116" s="20">
        <v>46.557000000000002</v>
      </c>
      <c r="F116" s="20">
        <v>47.381</v>
      </c>
      <c r="G116" s="20">
        <v>3.56</v>
      </c>
      <c r="H116" s="20">
        <f t="shared" si="13"/>
        <v>40.564000000000007</v>
      </c>
      <c r="I116" s="5"/>
      <c r="J116" s="19">
        <v>185.00550000000001</v>
      </c>
      <c r="K116" s="20">
        <v>38.780099999999997</v>
      </c>
      <c r="L116" s="20">
        <v>47.368200000000002</v>
      </c>
      <c r="M116" s="20">
        <v>48.245100000000001</v>
      </c>
      <c r="N116" s="20">
        <v>4.7141999999999999</v>
      </c>
      <c r="O116" s="20">
        <f t="shared" si="14"/>
        <v>41.036737499999994</v>
      </c>
      <c r="P116" s="7"/>
      <c r="Q116" s="13"/>
      <c r="R116" s="14"/>
      <c r="S116" s="14"/>
      <c r="T116" s="27"/>
      <c r="U116" s="28">
        <f t="shared" si="15"/>
        <v>0.3242134831460674</v>
      </c>
      <c r="V116" s="57">
        <f t="shared" si="11"/>
        <v>9.1333333333333631E-3</v>
      </c>
      <c r="W116" s="57">
        <f t="shared" si="12"/>
        <v>7.4972499999999942E-2</v>
      </c>
      <c r="X116" s="56">
        <v>300</v>
      </c>
      <c r="Y116" s="56">
        <v>200</v>
      </c>
    </row>
    <row r="117" spans="2:25" x14ac:dyDescent="0.25">
      <c r="B117" s="6" t="s">
        <v>91</v>
      </c>
      <c r="C117" s="15">
        <v>1506.62</v>
      </c>
      <c r="D117" s="16">
        <v>41.716999999999999</v>
      </c>
      <c r="E117" s="16">
        <v>49.668999999999997</v>
      </c>
      <c r="F117" s="16">
        <v>48.817999999999998</v>
      </c>
      <c r="G117" s="16">
        <v>2.2000000000000002</v>
      </c>
      <c r="H117" s="16">
        <f t="shared" si="13"/>
        <v>43.598624999999998</v>
      </c>
      <c r="I117" s="5"/>
      <c r="J117" s="15">
        <v>1003.6948</v>
      </c>
      <c r="K117" s="16">
        <v>40.810600000000001</v>
      </c>
      <c r="L117" s="16">
        <v>49.643900000000002</v>
      </c>
      <c r="M117" s="16">
        <v>48.963200000000001</v>
      </c>
      <c r="N117" s="16">
        <v>2.3201999999999998</v>
      </c>
      <c r="O117" s="16">
        <f t="shared" si="14"/>
        <v>42.93383750000001</v>
      </c>
      <c r="P117" s="7"/>
      <c r="Q117" s="8">
        <f>bdrate(C117:C120,D117:D120,J117:J120,K117:K120)</f>
        <v>-0.27115413348352679</v>
      </c>
      <c r="R117" s="8">
        <f>bdrate(C117:C120,E117:E120,J117:J120,L117:L120)</f>
        <v>-0.46592426387900432</v>
      </c>
      <c r="S117" s="8">
        <f>bdrate(C117:C120,F117:F120,J117:J120,M117:M120)</f>
        <v>-0.5091177731103127</v>
      </c>
      <c r="T117" s="25">
        <f>bdrate(C117:C120,H117:H120,J117:J120,O117:O120)</f>
        <v>-0.31922044988785236</v>
      </c>
      <c r="U117" s="28">
        <f t="shared" si="15"/>
        <v>5.4636363636363469E-2</v>
      </c>
      <c r="V117" s="57">
        <f t="shared" si="11"/>
        <v>4.4133333333332605E-3</v>
      </c>
      <c r="W117" s="57">
        <f t="shared" si="12"/>
        <v>3.6947999999999864E-3</v>
      </c>
      <c r="X117" s="56">
        <v>1500</v>
      </c>
      <c r="Y117" s="56">
        <v>1000</v>
      </c>
    </row>
    <row r="118" spans="2:25" x14ac:dyDescent="0.25">
      <c r="B118" s="9"/>
      <c r="C118" s="17">
        <v>1009.31</v>
      </c>
      <c r="D118" s="18">
        <v>40.402000000000001</v>
      </c>
      <c r="E118" s="18">
        <v>48.709000000000003</v>
      </c>
      <c r="F118" s="18">
        <v>47.784999999999997</v>
      </c>
      <c r="G118" s="18">
        <v>2.58</v>
      </c>
      <c r="H118" s="18">
        <f t="shared" si="13"/>
        <v>42.363249999999994</v>
      </c>
      <c r="I118" s="5"/>
      <c r="J118" s="17">
        <v>604.36379999999997</v>
      </c>
      <c r="K118" s="18">
        <v>39.412500000000001</v>
      </c>
      <c r="L118" s="18">
        <v>48.772399999999998</v>
      </c>
      <c r="M118" s="18">
        <v>48.045200000000001</v>
      </c>
      <c r="N118" s="18">
        <v>2.7839999999999998</v>
      </c>
      <c r="O118" s="18">
        <f t="shared" si="14"/>
        <v>41.661575000000006</v>
      </c>
      <c r="P118" s="7"/>
      <c r="Q118" s="10"/>
      <c r="R118" s="11"/>
      <c r="S118" s="11"/>
      <c r="T118" s="26"/>
      <c r="U118" s="28">
        <f t="shared" si="15"/>
        <v>7.9069767441860367E-2</v>
      </c>
      <c r="V118" s="57">
        <f t="shared" si="11"/>
        <v>9.3099999999999451E-3</v>
      </c>
      <c r="W118" s="57">
        <f t="shared" si="12"/>
        <v>7.2729999999999488E-3</v>
      </c>
      <c r="X118" s="56">
        <v>1000</v>
      </c>
      <c r="Y118" s="56">
        <v>600</v>
      </c>
    </row>
    <row r="119" spans="2:25" x14ac:dyDescent="0.25">
      <c r="B119" s="9"/>
      <c r="C119" s="17">
        <v>605.38</v>
      </c>
      <c r="D119" s="18">
        <v>38.584000000000003</v>
      </c>
      <c r="E119" s="18">
        <v>47.390999999999998</v>
      </c>
      <c r="F119" s="18">
        <v>46.316000000000003</v>
      </c>
      <c r="G119" s="18">
        <v>2.86</v>
      </c>
      <c r="H119" s="18">
        <f t="shared" si="13"/>
        <v>40.651375000000002</v>
      </c>
      <c r="I119" s="5"/>
      <c r="J119" s="17">
        <v>290.48910000000001</v>
      </c>
      <c r="K119" s="18">
        <v>37.229999999999997</v>
      </c>
      <c r="L119" s="18">
        <v>47.323999999999998</v>
      </c>
      <c r="M119" s="18">
        <v>46.481999999999999</v>
      </c>
      <c r="N119" s="18">
        <v>3.6177000000000001</v>
      </c>
      <c r="O119" s="18">
        <f t="shared" si="14"/>
        <v>39.648250000000004</v>
      </c>
      <c r="P119" s="7"/>
      <c r="Q119" s="10"/>
      <c r="R119" s="11"/>
      <c r="S119" s="11"/>
      <c r="T119" s="26"/>
      <c r="U119" s="28">
        <f t="shared" si="15"/>
        <v>0.26493006993007001</v>
      </c>
      <c r="V119" s="57">
        <f t="shared" si="11"/>
        <v>8.9666666666666592E-3</v>
      </c>
      <c r="W119" s="57">
        <f t="shared" si="12"/>
        <v>3.1702999999999974E-2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303.13</v>
      </c>
      <c r="D120" s="20">
        <v>35.582999999999998</v>
      </c>
      <c r="E120" s="20">
        <v>45.12</v>
      </c>
      <c r="F120" s="20">
        <v>43.997</v>
      </c>
      <c r="G120" s="20">
        <v>3.26</v>
      </c>
      <c r="H120" s="20">
        <f t="shared" si="13"/>
        <v>37.826875000000001</v>
      </c>
      <c r="I120" s="5"/>
      <c r="J120" s="19">
        <v>189.0839</v>
      </c>
      <c r="K120" s="20">
        <v>35.776400000000002</v>
      </c>
      <c r="L120" s="20">
        <v>46.325800000000001</v>
      </c>
      <c r="M120" s="20">
        <v>45.3919</v>
      </c>
      <c r="N120" s="20">
        <v>4.2168999999999999</v>
      </c>
      <c r="O120" s="20">
        <f t="shared" si="14"/>
        <v>38.297012500000008</v>
      </c>
      <c r="P120" s="7"/>
      <c r="Q120" s="13"/>
      <c r="R120" s="14"/>
      <c r="S120" s="14"/>
      <c r="T120" s="27"/>
      <c r="U120" s="28">
        <f t="shared" si="15"/>
        <v>0.29352760736196326</v>
      </c>
      <c r="V120" s="57">
        <f t="shared" si="11"/>
        <v>1.0433333333333319E-2</v>
      </c>
      <c r="W120" s="57">
        <f t="shared" si="12"/>
        <v>5.4580500000000004E-2</v>
      </c>
      <c r="X120" s="56">
        <v>300</v>
      </c>
      <c r="Y120" s="56">
        <v>200</v>
      </c>
    </row>
    <row r="121" spans="2:25" x14ac:dyDescent="0.25">
      <c r="B121" s="6" t="s">
        <v>92</v>
      </c>
      <c r="C121" s="29">
        <v>1471.65</v>
      </c>
      <c r="D121" s="30">
        <v>37.396999999999998</v>
      </c>
      <c r="E121" s="30">
        <v>46.435000000000002</v>
      </c>
      <c r="F121" s="30">
        <v>45.234999999999999</v>
      </c>
      <c r="G121" s="16">
        <v>2.09</v>
      </c>
      <c r="H121" s="16">
        <f t="shared" si="13"/>
        <v>39.506500000000003</v>
      </c>
      <c r="I121" s="5"/>
      <c r="J121" s="29">
        <v>1006.3783</v>
      </c>
      <c r="K121" s="30">
        <v>36.539900000000003</v>
      </c>
      <c r="L121" s="30">
        <v>46.984900000000003</v>
      </c>
      <c r="M121" s="30">
        <v>45.770800000000001</v>
      </c>
      <c r="N121" s="16">
        <v>2.0630000000000002</v>
      </c>
      <c r="O121" s="16">
        <f t="shared" si="14"/>
        <v>38.999387500000005</v>
      </c>
      <c r="P121" s="7"/>
      <c r="Q121" s="8">
        <f>bdrate(C121:C124,D121:D124,J121:J124,K121:K124)</f>
        <v>-0.25523726187568629</v>
      </c>
      <c r="R121" s="8">
        <f>bdrate(C121:C124,E121:E124,J121:J124,L121:L124)</f>
        <v>-0.54379448215421466</v>
      </c>
      <c r="S121" s="8">
        <f>bdrate(C121:C124,F121:F124,J121:J124,M121:M124)</f>
        <v>-0.52891937026982339</v>
      </c>
      <c r="T121" s="25">
        <f>bdrate(C121:C124,H121:H124,J121:J124,O121:O124)</f>
        <v>-0.31386184207315482</v>
      </c>
      <c r="U121" s="28">
        <f t="shared" si="15"/>
        <v>-1.2918660287081192E-2</v>
      </c>
      <c r="V121" s="57">
        <f t="shared" si="11"/>
        <v>1.8899999999999938E-2</v>
      </c>
      <c r="W121" s="57">
        <f t="shared" si="12"/>
        <v>6.3782999999999678E-3</v>
      </c>
      <c r="X121" s="56">
        <v>1500</v>
      </c>
      <c r="Y121" s="56">
        <v>1000</v>
      </c>
    </row>
    <row r="122" spans="2:25" x14ac:dyDescent="0.25">
      <c r="B122" s="9"/>
      <c r="C122" s="31">
        <v>972.78</v>
      </c>
      <c r="D122" s="32">
        <v>36.270000000000003</v>
      </c>
      <c r="E122" s="32">
        <v>45.555999999999997</v>
      </c>
      <c r="F122" s="32">
        <v>44.401000000000003</v>
      </c>
      <c r="G122" s="18">
        <v>2.41</v>
      </c>
      <c r="H122" s="18">
        <f t="shared" si="13"/>
        <v>38.447125</v>
      </c>
      <c r="I122" s="5"/>
      <c r="J122" s="31">
        <v>606.24760000000003</v>
      </c>
      <c r="K122" s="32">
        <v>35.398099999999999</v>
      </c>
      <c r="L122" s="32">
        <v>46.134</v>
      </c>
      <c r="M122" s="32">
        <v>44.913699999999999</v>
      </c>
      <c r="N122" s="18">
        <v>2.4628999999999999</v>
      </c>
      <c r="O122" s="18">
        <f t="shared" si="14"/>
        <v>37.929537500000002</v>
      </c>
      <c r="P122" s="7"/>
      <c r="Q122" s="10"/>
      <c r="R122" s="11"/>
      <c r="S122" s="11"/>
      <c r="T122" s="26"/>
      <c r="U122" s="28">
        <f t="shared" si="15"/>
        <v>2.1950207468879553E-2</v>
      </c>
      <c r="V122" s="57">
        <f t="shared" si="11"/>
        <v>2.7220000000000029E-2</v>
      </c>
      <c r="W122" s="57">
        <f t="shared" si="12"/>
        <v>1.0412666666666723E-2</v>
      </c>
      <c r="X122" s="56">
        <v>1000</v>
      </c>
      <c r="Y122" s="56">
        <v>600</v>
      </c>
    </row>
    <row r="123" spans="2:25" x14ac:dyDescent="0.25">
      <c r="B123" s="9"/>
      <c r="C123" s="31">
        <v>575.55999999999995</v>
      </c>
      <c r="D123" s="32">
        <v>34.621000000000002</v>
      </c>
      <c r="E123" s="32">
        <v>44.371000000000002</v>
      </c>
      <c r="F123" s="32">
        <v>43.262</v>
      </c>
      <c r="G123" s="18">
        <v>2.66</v>
      </c>
      <c r="H123" s="18">
        <f t="shared" si="13"/>
        <v>36.919875000000005</v>
      </c>
      <c r="I123" s="5"/>
      <c r="J123" s="31">
        <v>298.00549999999998</v>
      </c>
      <c r="K123" s="32">
        <v>33.599800000000002</v>
      </c>
      <c r="L123" s="32">
        <v>44.703499999999998</v>
      </c>
      <c r="M123" s="32">
        <v>43.505099999999999</v>
      </c>
      <c r="N123" s="18">
        <v>3.1974</v>
      </c>
      <c r="O123" s="18">
        <f t="shared" si="14"/>
        <v>36.225925000000004</v>
      </c>
      <c r="P123" s="7"/>
      <c r="Q123" s="10"/>
      <c r="R123" s="11"/>
      <c r="S123" s="11"/>
      <c r="T123" s="26"/>
      <c r="U123" s="28">
        <f t="shared" si="15"/>
        <v>0.20203007518796987</v>
      </c>
      <c r="V123" s="57">
        <f t="shared" si="11"/>
        <v>4.0733333333333427E-2</v>
      </c>
      <c r="W123" s="57">
        <f t="shared" si="12"/>
        <v>6.648333333333388E-3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281.95</v>
      </c>
      <c r="D124" s="34">
        <v>31.538</v>
      </c>
      <c r="E124" s="34">
        <v>42.457999999999998</v>
      </c>
      <c r="F124" s="34">
        <v>41.487000000000002</v>
      </c>
      <c r="G124" s="20">
        <v>3.07</v>
      </c>
      <c r="H124" s="20">
        <f t="shared" si="13"/>
        <v>34.146625</v>
      </c>
      <c r="I124" s="5"/>
      <c r="J124" s="33">
        <v>192.11</v>
      </c>
      <c r="K124" s="34">
        <v>32.284199999999998</v>
      </c>
      <c r="L124" s="34">
        <v>43.681399999999996</v>
      </c>
      <c r="M124" s="34">
        <v>42.480499999999999</v>
      </c>
      <c r="N124" s="20">
        <v>3.823</v>
      </c>
      <c r="O124" s="20">
        <f t="shared" si="14"/>
        <v>34.983387499999999</v>
      </c>
      <c r="P124" s="7"/>
      <c r="Q124" s="13"/>
      <c r="R124" s="14"/>
      <c r="S124" s="14"/>
      <c r="T124" s="27"/>
      <c r="U124" s="28">
        <f t="shared" si="15"/>
        <v>0.24527687296416942</v>
      </c>
      <c r="V124" s="57">
        <f t="shared" si="11"/>
        <v>6.0166666666666702E-2</v>
      </c>
      <c r="W124" s="57">
        <f t="shared" si="12"/>
        <v>3.944999999999993E-2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6">AVERAGE(Q9:Q124)</f>
        <v>-0.33651886469770392</v>
      </c>
      <c r="R125" s="21">
        <f t="shared" si="16"/>
        <v>-0.54900996841770411</v>
      </c>
      <c r="S125" s="21">
        <f t="shared" si="16"/>
        <v>-0.55501194615590654</v>
      </c>
      <c r="T125" s="21">
        <f t="shared" si="16"/>
        <v>-0.38021716630077296</v>
      </c>
      <c r="U125" s="21">
        <f t="shared" si="16"/>
        <v>7.2827031836678421E-2</v>
      </c>
      <c r="V125" s="57">
        <f t="shared" si="16"/>
        <v>4.3702534904802179E-2</v>
      </c>
      <c r="W125" s="57">
        <f t="shared" si="16"/>
        <v>2.1613426436781605E-2</v>
      </c>
      <c r="X125" s="57"/>
      <c r="Y125" s="56"/>
    </row>
    <row r="127" spans="2:25" s="35" customFormat="1" ht="15.75" customHeight="1" x14ac:dyDescent="0.25">
      <c r="B127" s="74" t="s">
        <v>29</v>
      </c>
      <c r="C127" s="68" t="s">
        <v>119</v>
      </c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70"/>
    </row>
    <row r="128" spans="2:25" s="35" customFormat="1" x14ac:dyDescent="0.25">
      <c r="B128" s="75"/>
      <c r="C128" s="71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3"/>
    </row>
    <row r="129" spans="1:25" ht="16.5" customHeight="1" thickBot="1" x14ac:dyDescent="0.3">
      <c r="C129" s="76" t="s">
        <v>128</v>
      </c>
      <c r="D129" s="77"/>
      <c r="E129" s="77"/>
      <c r="F129" s="77"/>
      <c r="G129" s="77"/>
      <c r="H129" s="77"/>
      <c r="I129" s="5"/>
      <c r="J129" s="76" t="s">
        <v>106</v>
      </c>
      <c r="K129" s="77"/>
      <c r="L129" s="77"/>
      <c r="M129" s="77"/>
      <c r="N129" s="77"/>
      <c r="O129" s="77"/>
      <c r="Q129" s="76" t="s">
        <v>7</v>
      </c>
      <c r="R129" s="77"/>
      <c r="S129" s="78"/>
      <c r="T129" s="36"/>
      <c r="U129" s="79" t="s">
        <v>45</v>
      </c>
      <c r="V129" s="67" t="s">
        <v>96</v>
      </c>
      <c r="W129" s="67"/>
      <c r="X129" s="67"/>
      <c r="Y129" s="67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9"/>
      <c r="V130" s="55" t="s">
        <v>101</v>
      </c>
      <c r="W130" s="55" t="s">
        <v>97</v>
      </c>
      <c r="X130" s="56" t="s">
        <v>102</v>
      </c>
      <c r="Y130" s="56" t="s">
        <v>98</v>
      </c>
    </row>
    <row r="131" spans="1:25" x14ac:dyDescent="0.25">
      <c r="A131" s="6" t="s">
        <v>35</v>
      </c>
      <c r="B131" s="6" t="s">
        <v>46</v>
      </c>
      <c r="C131" s="15">
        <v>5662.23</v>
      </c>
      <c r="D131" s="16">
        <v>37.917999999999999</v>
      </c>
      <c r="E131" s="16">
        <v>39.018999999999998</v>
      </c>
      <c r="F131" s="16">
        <v>41.433999999999997</v>
      </c>
      <c r="G131" s="16">
        <v>2.2999999999999998</v>
      </c>
      <c r="H131" s="16">
        <f t="shared" ref="H131:H202" si="17">(6*D131+E131+F131)/8</f>
        <v>38.495125000000002</v>
      </c>
      <c r="I131" s="5"/>
      <c r="J131" s="15">
        <v>4026.4688000000001</v>
      </c>
      <c r="K131" s="16">
        <v>38.175600000000003</v>
      </c>
      <c r="L131" s="16">
        <v>40.009700000000002</v>
      </c>
      <c r="M131" s="16">
        <v>42.647100000000002</v>
      </c>
      <c r="N131" s="16">
        <v>2.5863</v>
      </c>
      <c r="O131" s="16">
        <f t="shared" ref="O131:O202" si="18">(6*K131+L131+M131)/8</f>
        <v>38.963800000000006</v>
      </c>
      <c r="P131" s="7"/>
      <c r="Q131" s="8">
        <f>bdrate(C131:C134,D131:D134,J131:J134,K131:K134)</f>
        <v>-0.38978424333413053</v>
      </c>
      <c r="R131" s="8">
        <f>bdrate(C131:C134,E131:E134,J131:J134,L131:L134)</f>
        <v>-0.59443025162852958</v>
      </c>
      <c r="S131" s="8">
        <f>bdrate(C131:C134,F131:F134,J131:J134,M131:M134)</f>
        <v>-0.58550088247261145</v>
      </c>
      <c r="T131" s="25">
        <f>bdrate(C131:C134,H131:H134,J131:J134,O131:O134)</f>
        <v>-0.42092585485617029</v>
      </c>
      <c r="U131" s="28">
        <f t="shared" ref="U131:U194" si="19">(N131-G131)/G131</f>
        <v>0.12447826086956533</v>
      </c>
      <c r="V131" s="57">
        <f>ABS(C131-X131)/X131</f>
        <v>5.6295000000000074E-2</v>
      </c>
      <c r="W131" s="57">
        <f t="shared" ref="W131:W194" si="20">ABS(J131-Y131)/Y131</f>
        <v>6.6172000000000253E-3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4193.82</v>
      </c>
      <c r="D132" s="18">
        <v>36.85</v>
      </c>
      <c r="E132" s="18">
        <v>38.494999999999997</v>
      </c>
      <c r="F132" s="18">
        <v>40.902999999999999</v>
      </c>
      <c r="G132" s="18">
        <v>2.5099999999999998</v>
      </c>
      <c r="H132" s="18">
        <f t="shared" si="17"/>
        <v>37.562250000000006</v>
      </c>
      <c r="I132" s="5"/>
      <c r="J132" s="17">
        <v>2998.9263999999998</v>
      </c>
      <c r="K132" s="18">
        <v>37.200099999999999</v>
      </c>
      <c r="L132" s="18">
        <v>39.459499999999998</v>
      </c>
      <c r="M132" s="18">
        <v>41.959200000000003</v>
      </c>
      <c r="N132" s="18">
        <v>2.8593999999999999</v>
      </c>
      <c r="O132" s="18">
        <f t="shared" si="18"/>
        <v>38.077412500000001</v>
      </c>
      <c r="P132" s="7"/>
      <c r="Q132" s="10"/>
      <c r="R132" s="11"/>
      <c r="S132" s="11"/>
      <c r="T132" s="26"/>
      <c r="U132" s="28">
        <f t="shared" si="19"/>
        <v>0.13920318725099609</v>
      </c>
      <c r="V132" s="57">
        <f t="shared" ref="V132:V195" si="21">ABS(C132-X132)/X132</f>
        <v>6.8040000000000059E-2</v>
      </c>
      <c r="W132" s="57">
        <f t="shared" si="20"/>
        <v>3.5786666666672316E-4</v>
      </c>
      <c r="X132" s="56">
        <v>4500</v>
      </c>
      <c r="Y132" s="56">
        <v>3000</v>
      </c>
    </row>
    <row r="133" spans="1:25" x14ac:dyDescent="0.25">
      <c r="B133" s="9"/>
      <c r="C133" s="17">
        <v>2751.96</v>
      </c>
      <c r="D133" s="18">
        <v>35.151000000000003</v>
      </c>
      <c r="E133" s="18">
        <v>37.786000000000001</v>
      </c>
      <c r="F133" s="18">
        <v>40.158000000000001</v>
      </c>
      <c r="G133" s="18">
        <v>2.79</v>
      </c>
      <c r="H133" s="18">
        <f t="shared" si="17"/>
        <v>36.106250000000003</v>
      </c>
      <c r="I133" s="5"/>
      <c r="J133" s="17">
        <v>1913.704</v>
      </c>
      <c r="K133" s="18">
        <v>35.624099999999999</v>
      </c>
      <c r="L133" s="18">
        <v>38.729199999999999</v>
      </c>
      <c r="M133" s="18">
        <v>41.124499999999998</v>
      </c>
      <c r="N133" s="18">
        <v>3.3395000000000001</v>
      </c>
      <c r="O133" s="18">
        <f t="shared" si="18"/>
        <v>36.699787499999999</v>
      </c>
      <c r="P133" s="7"/>
      <c r="Q133" s="10"/>
      <c r="R133" s="11"/>
      <c r="S133" s="11"/>
      <c r="T133" s="26"/>
      <c r="U133" s="28">
        <f t="shared" si="19"/>
        <v>0.19695340501792119</v>
      </c>
      <c r="V133" s="57">
        <f t="shared" si="21"/>
        <v>8.267999999999999E-2</v>
      </c>
      <c r="W133" s="57">
        <f t="shared" si="20"/>
        <v>4.3148000000000027E-2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1357.92</v>
      </c>
      <c r="D134" s="20">
        <v>31.605</v>
      </c>
      <c r="E134" s="20">
        <v>36.645000000000003</v>
      </c>
      <c r="F134" s="20">
        <v>38.963999999999999</v>
      </c>
      <c r="G134" s="20">
        <v>3.23</v>
      </c>
      <c r="H134" s="20">
        <f t="shared" si="17"/>
        <v>33.154875000000004</v>
      </c>
      <c r="I134" s="5"/>
      <c r="J134" s="19">
        <v>913.96640000000002</v>
      </c>
      <c r="K134" s="20">
        <v>32.765099999999997</v>
      </c>
      <c r="L134" s="20">
        <v>37.375900000000001</v>
      </c>
      <c r="M134" s="20">
        <v>39.679499999999997</v>
      </c>
      <c r="N134" s="20">
        <v>4.1191000000000004</v>
      </c>
      <c r="O134" s="20">
        <f t="shared" si="18"/>
        <v>34.205750000000002</v>
      </c>
      <c r="P134" s="7"/>
      <c r="Q134" s="13"/>
      <c r="R134" s="14"/>
      <c r="S134" s="14"/>
      <c r="T134" s="27"/>
      <c r="U134" s="28">
        <f t="shared" si="19"/>
        <v>0.27526315789473699</v>
      </c>
      <c r="V134" s="57">
        <f t="shared" si="21"/>
        <v>9.4719999999999957E-2</v>
      </c>
      <c r="W134" s="57">
        <f t="shared" si="20"/>
        <v>8.6033599999999974E-2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6312.55</v>
      </c>
      <c r="D135" s="16">
        <v>30.327999999999999</v>
      </c>
      <c r="E135" s="16">
        <v>39.801000000000002</v>
      </c>
      <c r="F135" s="16">
        <v>40.530999999999999</v>
      </c>
      <c r="G135" s="16">
        <v>1.92</v>
      </c>
      <c r="H135" s="16">
        <f t="shared" si="17"/>
        <v>32.787500000000001</v>
      </c>
      <c r="I135" s="5"/>
      <c r="J135" s="15">
        <v>4062.1968000000002</v>
      </c>
      <c r="K135" s="16">
        <v>29.815899999999999</v>
      </c>
      <c r="L135" s="16">
        <v>40.192399999999999</v>
      </c>
      <c r="M135" s="16">
        <v>41.063099999999999</v>
      </c>
      <c r="N135" s="16">
        <v>1.8238000000000001</v>
      </c>
      <c r="O135" s="16">
        <f t="shared" si="18"/>
        <v>32.518862499999997</v>
      </c>
      <c r="P135" s="7"/>
      <c r="Q135" s="8">
        <f>bdrate(C135:C138,D135:D138,J135:J138,K135:K138)</f>
        <v>-0.39512472463346915</v>
      </c>
      <c r="R135" s="8">
        <f>bdrate(C135:C138,E135:E138,J135:J138,L135:L138)</f>
        <v>-0.48463474125018857</v>
      </c>
      <c r="S135" s="8">
        <f>bdrate(C135:C138,F135:F138,J135:J138,M135:M138)</f>
        <v>-0.5448638769444073</v>
      </c>
      <c r="T135" s="25">
        <f>bdrate(C135:C138,H135:H138,J135:J138,O135:O138)</f>
        <v>-0.40954105097618476</v>
      </c>
      <c r="U135" s="28">
        <f t="shared" si="19"/>
        <v>-5.0104166666666589E-2</v>
      </c>
      <c r="V135" s="57">
        <f t="shared" si="21"/>
        <v>5.2091666666666696E-2</v>
      </c>
      <c r="W135" s="57">
        <f t="shared" si="20"/>
        <v>1.5549200000000043E-2</v>
      </c>
      <c r="X135" s="56">
        <v>6000</v>
      </c>
      <c r="Y135" s="56">
        <v>4000</v>
      </c>
    </row>
    <row r="136" spans="1:25" x14ac:dyDescent="0.25">
      <c r="B136" s="9"/>
      <c r="C136" s="17">
        <v>4760.3</v>
      </c>
      <c r="D136" s="18">
        <v>28.76</v>
      </c>
      <c r="E136" s="18">
        <v>39.259</v>
      </c>
      <c r="F136" s="18">
        <v>40.029000000000003</v>
      </c>
      <c r="G136" s="18">
        <v>2.09</v>
      </c>
      <c r="H136" s="18">
        <f t="shared" si="17"/>
        <v>31.481000000000002</v>
      </c>
      <c r="I136" s="5"/>
      <c r="J136" s="17">
        <v>3033.2896000000001</v>
      </c>
      <c r="K136" s="18">
        <v>28.496300000000002</v>
      </c>
      <c r="L136" s="18">
        <v>39.631500000000003</v>
      </c>
      <c r="M136" s="18">
        <v>40.570599999999999</v>
      </c>
      <c r="N136" s="18">
        <v>1.9851000000000001</v>
      </c>
      <c r="O136" s="18">
        <f t="shared" si="18"/>
        <v>31.397487500000004</v>
      </c>
      <c r="P136" s="7"/>
      <c r="Q136" s="10"/>
      <c r="R136" s="11"/>
      <c r="S136" s="11"/>
      <c r="T136" s="26"/>
      <c r="U136" s="28">
        <f t="shared" si="19"/>
        <v>-5.0191387559808509E-2</v>
      </c>
      <c r="V136" s="57">
        <f t="shared" si="21"/>
        <v>5.7844444444444483E-2</v>
      </c>
      <c r="W136" s="57">
        <f t="shared" si="20"/>
        <v>1.1096533333333354E-2</v>
      </c>
      <c r="X136" s="56">
        <v>4500</v>
      </c>
      <c r="Y136" s="56">
        <v>3000</v>
      </c>
    </row>
    <row r="137" spans="1:25" x14ac:dyDescent="0.25">
      <c r="B137" s="9"/>
      <c r="C137" s="17">
        <v>3180.69</v>
      </c>
      <c r="D137" s="18">
        <v>26.268999999999998</v>
      </c>
      <c r="E137" s="18">
        <v>38.497</v>
      </c>
      <c r="F137" s="18">
        <v>39.308999999999997</v>
      </c>
      <c r="G137" s="18">
        <v>2.36</v>
      </c>
      <c r="H137" s="18">
        <f t="shared" si="17"/>
        <v>29.427499999999998</v>
      </c>
      <c r="I137" s="5"/>
      <c r="J137" s="17">
        <v>2031.1952000000001</v>
      </c>
      <c r="K137" s="18">
        <v>26.770499999999998</v>
      </c>
      <c r="L137" s="18">
        <v>38.932699999999997</v>
      </c>
      <c r="M137" s="18">
        <v>39.9649</v>
      </c>
      <c r="N137" s="18">
        <v>2.2559999999999998</v>
      </c>
      <c r="O137" s="18">
        <f t="shared" si="18"/>
        <v>29.940075</v>
      </c>
      <c r="P137" s="7"/>
      <c r="Q137" s="10"/>
      <c r="R137" s="11"/>
      <c r="S137" s="11"/>
      <c r="T137" s="26"/>
      <c r="U137" s="28">
        <f t="shared" si="19"/>
        <v>-4.4067796610169532E-2</v>
      </c>
      <c r="V137" s="57">
        <f t="shared" si="21"/>
        <v>6.023000000000002E-2</v>
      </c>
      <c r="W137" s="57">
        <f t="shared" si="20"/>
        <v>1.5597600000000057E-2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1685.03</v>
      </c>
      <c r="D138" s="20">
        <v>22.558</v>
      </c>
      <c r="E138" s="20">
        <v>35.31</v>
      </c>
      <c r="F138" s="20">
        <v>36.393000000000001</v>
      </c>
      <c r="G138" s="20">
        <v>2.5</v>
      </c>
      <c r="H138" s="20">
        <f t="shared" si="17"/>
        <v>25.881375000000002</v>
      </c>
      <c r="I138" s="5"/>
      <c r="J138" s="19">
        <v>1202.0752</v>
      </c>
      <c r="K138" s="20">
        <v>24.857600000000001</v>
      </c>
      <c r="L138" s="20">
        <v>37.528199999999998</v>
      </c>
      <c r="M138" s="20">
        <v>38.750500000000002</v>
      </c>
      <c r="N138" s="20">
        <v>2.4805999999999999</v>
      </c>
      <c r="O138" s="20">
        <f t="shared" si="18"/>
        <v>28.178037500000002</v>
      </c>
      <c r="P138" s="7"/>
      <c r="Q138" s="13"/>
      <c r="R138" s="14"/>
      <c r="S138" s="14"/>
      <c r="T138" s="27"/>
      <c r="U138" s="28">
        <f t="shared" si="19"/>
        <v>-7.7600000000000334E-3</v>
      </c>
      <c r="V138" s="57">
        <f t="shared" si="21"/>
        <v>0.12335333333333331</v>
      </c>
      <c r="W138" s="57">
        <f t="shared" si="20"/>
        <v>0.20207519999999998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2999.31</v>
      </c>
      <c r="D139" s="16">
        <v>38.923999999999999</v>
      </c>
      <c r="E139" s="16">
        <v>41.715000000000003</v>
      </c>
      <c r="F139" s="16">
        <v>42.774000000000001</v>
      </c>
      <c r="G139" s="16">
        <v>3.53</v>
      </c>
      <c r="H139" s="16">
        <f t="shared" si="17"/>
        <v>39.754125000000002</v>
      </c>
      <c r="I139" s="5"/>
      <c r="J139" s="15">
        <v>2379.3824</v>
      </c>
      <c r="K139" s="16">
        <v>39.333500000000001</v>
      </c>
      <c r="L139" s="16">
        <v>42.363599999999998</v>
      </c>
      <c r="M139" s="16">
        <v>43.9495</v>
      </c>
      <c r="N139" s="16">
        <v>4.3064</v>
      </c>
      <c r="O139" s="16">
        <f t="shared" si="18"/>
        <v>40.2892625</v>
      </c>
      <c r="P139" s="7"/>
      <c r="Q139" s="8">
        <f>bdrate(C139:C142,D139:D142,J139:J142,K139:K142)</f>
        <v>-0.38470438498646509</v>
      </c>
      <c r="R139" s="8">
        <f>bdrate(C139:C142,E139:E142,J139:J142,L139:L142)</f>
        <v>-0.50177689862158825</v>
      </c>
      <c r="S139" s="8">
        <f>bdrate(C139:C142,F139:F142,J139:J142,M139:M142)</f>
        <v>-0.58261847858105886</v>
      </c>
      <c r="T139" s="25">
        <f>bdrate(C139:C142,H139:H142,J139:J142,O139:O142)</f>
        <v>-0.41056485610698634</v>
      </c>
      <c r="U139" s="28">
        <f t="shared" si="19"/>
        <v>0.21994334277620403</v>
      </c>
      <c r="V139" s="57">
        <f t="shared" si="21"/>
        <v>0.16685833333333336</v>
      </c>
      <c r="W139" s="57">
        <f t="shared" si="20"/>
        <v>8.5906666666666822E-3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1963.58</v>
      </c>
      <c r="D140" s="18">
        <v>37.378999999999998</v>
      </c>
      <c r="E140" s="18">
        <v>40.945</v>
      </c>
      <c r="F140" s="18">
        <v>41.853999999999999</v>
      </c>
      <c r="G140" s="18">
        <v>4.07</v>
      </c>
      <c r="H140" s="18">
        <f t="shared" si="17"/>
        <v>38.384124999999997</v>
      </c>
      <c r="I140" s="5"/>
      <c r="J140" s="17">
        <v>1576.8552</v>
      </c>
      <c r="K140" s="18">
        <v>38.092599999999997</v>
      </c>
      <c r="L140" s="18">
        <v>41.692500000000003</v>
      </c>
      <c r="M140" s="18">
        <v>43.0854</v>
      </c>
      <c r="N140" s="18">
        <v>4.9619999999999997</v>
      </c>
      <c r="O140" s="18">
        <f t="shared" si="18"/>
        <v>39.166687499999995</v>
      </c>
      <c r="P140" s="7"/>
      <c r="Q140" s="10"/>
      <c r="R140" s="11"/>
      <c r="S140" s="11"/>
      <c r="T140" s="26"/>
      <c r="U140" s="28">
        <f t="shared" si="19"/>
        <v>0.21916461916461902</v>
      </c>
      <c r="V140" s="57">
        <f t="shared" si="21"/>
        <v>0.18184166666666671</v>
      </c>
      <c r="W140" s="57">
        <f t="shared" si="20"/>
        <v>1.446550000000002E-2</v>
      </c>
      <c r="X140" s="56">
        <v>2400</v>
      </c>
      <c r="Y140" s="56">
        <v>1600</v>
      </c>
    </row>
    <row r="141" spans="1:25" x14ac:dyDescent="0.25">
      <c r="B141" s="9"/>
      <c r="C141" s="17">
        <v>1214.56</v>
      </c>
      <c r="D141" s="18">
        <v>35.319000000000003</v>
      </c>
      <c r="E141" s="18">
        <v>40.034999999999997</v>
      </c>
      <c r="F141" s="18">
        <v>40.915999999999997</v>
      </c>
      <c r="G141" s="18">
        <v>4.6900000000000004</v>
      </c>
      <c r="H141" s="18">
        <f t="shared" si="17"/>
        <v>36.608125000000001</v>
      </c>
      <c r="I141" s="5"/>
      <c r="J141" s="17">
        <v>970.48320000000001</v>
      </c>
      <c r="K141" s="18">
        <v>36.516300000000001</v>
      </c>
      <c r="L141" s="18">
        <v>40.894300000000001</v>
      </c>
      <c r="M141" s="18">
        <v>42.147399999999998</v>
      </c>
      <c r="N141" s="18">
        <v>5.8023999999999996</v>
      </c>
      <c r="O141" s="18">
        <f t="shared" si="18"/>
        <v>37.7674375</v>
      </c>
      <c r="P141" s="7"/>
      <c r="Q141" s="10"/>
      <c r="R141" s="11"/>
      <c r="S141" s="11"/>
      <c r="T141" s="26"/>
      <c r="U141" s="28">
        <f t="shared" si="19"/>
        <v>0.23718550106609787</v>
      </c>
      <c r="V141" s="57">
        <f t="shared" si="21"/>
        <v>0.19029333333333337</v>
      </c>
      <c r="W141" s="57">
        <f t="shared" si="20"/>
        <v>2.9516799999999989E-2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715.15</v>
      </c>
      <c r="D142" s="20">
        <v>32.747</v>
      </c>
      <c r="E142" s="20">
        <v>39.173999999999999</v>
      </c>
      <c r="F142" s="20">
        <v>40.066000000000003</v>
      </c>
      <c r="G142" s="20">
        <v>5.44</v>
      </c>
      <c r="H142" s="20">
        <f t="shared" si="17"/>
        <v>34.465249999999997</v>
      </c>
      <c r="I142" s="5"/>
      <c r="J142" s="19">
        <v>561.19600000000003</v>
      </c>
      <c r="K142" s="20">
        <v>34.649700000000003</v>
      </c>
      <c r="L142" s="20">
        <v>40.154800000000002</v>
      </c>
      <c r="M142" s="20">
        <v>41.378900000000002</v>
      </c>
      <c r="N142" s="20">
        <v>6.8977000000000004</v>
      </c>
      <c r="O142" s="20">
        <f t="shared" si="18"/>
        <v>36.178987500000005</v>
      </c>
      <c r="P142" s="7"/>
      <c r="Q142" s="13"/>
      <c r="R142" s="14"/>
      <c r="S142" s="14"/>
      <c r="T142" s="27"/>
      <c r="U142" s="28">
        <f t="shared" si="19"/>
        <v>0.2679595588235294</v>
      </c>
      <c r="V142" s="57">
        <f t="shared" si="21"/>
        <v>0.20538888888888893</v>
      </c>
      <c r="W142" s="57">
        <f t="shared" si="20"/>
        <v>6.4673333333333291E-2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3397.96</v>
      </c>
      <c r="D143" s="16">
        <v>36.482999999999997</v>
      </c>
      <c r="E143" s="16">
        <v>39.353000000000002</v>
      </c>
      <c r="F143" s="16">
        <v>40.524999999999999</v>
      </c>
      <c r="G143" s="16">
        <v>3.7</v>
      </c>
      <c r="H143" s="16">
        <f t="shared" si="17"/>
        <v>37.346999999999994</v>
      </c>
      <c r="I143" s="5"/>
      <c r="J143" s="15">
        <v>2525.2575999999999</v>
      </c>
      <c r="K143" s="16">
        <v>36.320900000000002</v>
      </c>
      <c r="L143" s="16">
        <v>40.664499999999997</v>
      </c>
      <c r="M143" s="16">
        <v>41.945500000000003</v>
      </c>
      <c r="N143" s="16">
        <v>4.4147999999999996</v>
      </c>
      <c r="O143" s="16">
        <f t="shared" si="18"/>
        <v>37.566924999999998</v>
      </c>
      <c r="P143" s="7"/>
      <c r="Q143" s="8">
        <f>bdrate(C143:C146,D143:D146,J143:J146,K143:K146)</f>
        <v>-0.30319782247168314</v>
      </c>
      <c r="R143" s="8">
        <f>bdrate(C143:C146,E143:E146,J143:J146,L143:L146)</f>
        <v>-0.62346035379798637</v>
      </c>
      <c r="S143" s="8">
        <f>bdrate(C143:C146,F143:F146,J143:J146,M143:M146)</f>
        <v>-0.61853137895193044</v>
      </c>
      <c r="T143" s="25">
        <f>bdrate(C143:C146,H143:H146,J143:J146,O143:O146)</f>
        <v>-0.36052942219151507</v>
      </c>
      <c r="U143" s="28">
        <f t="shared" si="19"/>
        <v>0.19318918918918904</v>
      </c>
      <c r="V143" s="57">
        <f t="shared" si="21"/>
        <v>5.6122222222222212E-2</v>
      </c>
      <c r="W143" s="57">
        <f t="shared" si="20"/>
        <v>5.2190666666666628E-2</v>
      </c>
      <c r="X143" s="56">
        <v>3600</v>
      </c>
      <c r="Y143" s="56">
        <v>2400</v>
      </c>
    </row>
    <row r="144" spans="1:25" x14ac:dyDescent="0.25">
      <c r="B144" s="9"/>
      <c r="C144" s="17">
        <v>2253.5100000000002</v>
      </c>
      <c r="D144" s="18">
        <v>35.018000000000001</v>
      </c>
      <c r="E144" s="18">
        <v>38.594000000000001</v>
      </c>
      <c r="F144" s="18">
        <v>39.886000000000003</v>
      </c>
      <c r="G144" s="18">
        <v>4.13</v>
      </c>
      <c r="H144" s="18">
        <f t="shared" si="17"/>
        <v>36.073500000000003</v>
      </c>
      <c r="I144" s="5"/>
      <c r="J144" s="17">
        <v>1709.6959999999999</v>
      </c>
      <c r="K144" s="18">
        <v>35.051299999999998</v>
      </c>
      <c r="L144" s="18">
        <v>39.883200000000002</v>
      </c>
      <c r="M144" s="18">
        <v>41.097099999999998</v>
      </c>
      <c r="N144" s="18">
        <v>5.0831</v>
      </c>
      <c r="O144" s="18">
        <f t="shared" si="18"/>
        <v>36.411012499999998</v>
      </c>
      <c r="P144" s="7"/>
      <c r="Q144" s="10"/>
      <c r="R144" s="11"/>
      <c r="S144" s="11"/>
      <c r="T144" s="26"/>
      <c r="U144" s="28">
        <f t="shared" si="19"/>
        <v>0.23077481840193706</v>
      </c>
      <c r="V144" s="57">
        <f t="shared" si="21"/>
        <v>6.1037499999999911E-2</v>
      </c>
      <c r="W144" s="57">
        <f t="shared" si="20"/>
        <v>6.855999999999994E-2</v>
      </c>
      <c r="X144" s="56">
        <v>2400</v>
      </c>
      <c r="Y144" s="56">
        <v>1600</v>
      </c>
    </row>
    <row r="145" spans="1:25" x14ac:dyDescent="0.25">
      <c r="B145" s="9"/>
      <c r="C145" s="17">
        <v>1393.88</v>
      </c>
      <c r="D145" s="18">
        <v>33.222999999999999</v>
      </c>
      <c r="E145" s="18">
        <v>37.792999999999999</v>
      </c>
      <c r="F145" s="18">
        <v>39.24</v>
      </c>
      <c r="G145" s="18">
        <v>4.76</v>
      </c>
      <c r="H145" s="18">
        <f t="shared" si="17"/>
        <v>34.546374999999998</v>
      </c>
      <c r="I145" s="5"/>
      <c r="J145" s="17">
        <v>1031.2288000000001</v>
      </c>
      <c r="K145" s="18">
        <v>33.590400000000002</v>
      </c>
      <c r="L145" s="18">
        <v>38.963299999999997</v>
      </c>
      <c r="M145" s="18">
        <v>40.193600000000004</v>
      </c>
      <c r="N145" s="18">
        <v>5.9061000000000003</v>
      </c>
      <c r="O145" s="18">
        <f t="shared" si="18"/>
        <v>35.087412499999999</v>
      </c>
      <c r="P145" s="7"/>
      <c r="Q145" s="10"/>
      <c r="R145" s="11"/>
      <c r="S145" s="11"/>
      <c r="T145" s="26"/>
      <c r="U145" s="28">
        <f t="shared" si="19"/>
        <v>0.24077731092436988</v>
      </c>
      <c r="V145" s="57">
        <f t="shared" si="21"/>
        <v>7.0746666666666597E-2</v>
      </c>
      <c r="W145" s="57">
        <f t="shared" si="20"/>
        <v>3.1228800000000091E-2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833.73</v>
      </c>
      <c r="D146" s="20">
        <v>31.231999999999999</v>
      </c>
      <c r="E146" s="20">
        <v>37.036999999999999</v>
      </c>
      <c r="F146" s="20">
        <v>38.630000000000003</v>
      </c>
      <c r="G146" s="20">
        <v>5.43</v>
      </c>
      <c r="H146" s="20">
        <f t="shared" si="17"/>
        <v>32.882375000000003</v>
      </c>
      <c r="I146" s="5"/>
      <c r="J146" s="19">
        <v>598.80240000000003</v>
      </c>
      <c r="K146" s="20">
        <v>31.952400000000001</v>
      </c>
      <c r="L146" s="20">
        <v>37.955800000000004</v>
      </c>
      <c r="M146" s="20">
        <v>39.317700000000002</v>
      </c>
      <c r="N146" s="20">
        <v>6.6593</v>
      </c>
      <c r="O146" s="20">
        <f t="shared" si="18"/>
        <v>33.623487500000003</v>
      </c>
      <c r="P146" s="7"/>
      <c r="Q146" s="13"/>
      <c r="R146" s="14"/>
      <c r="S146" s="14"/>
      <c r="T146" s="27"/>
      <c r="U146" s="28">
        <f t="shared" si="19"/>
        <v>0.22639042357274408</v>
      </c>
      <c r="V146" s="57">
        <f t="shared" si="21"/>
        <v>7.3633333333333315E-2</v>
      </c>
      <c r="W146" s="57">
        <f t="shared" si="20"/>
        <v>1.9959999999999431E-3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3528.93</v>
      </c>
      <c r="D147" s="16">
        <v>34.319000000000003</v>
      </c>
      <c r="E147" s="16">
        <v>37.988</v>
      </c>
      <c r="F147" s="16">
        <v>39.640999999999998</v>
      </c>
      <c r="G147" s="16">
        <v>4.8499999999999996</v>
      </c>
      <c r="H147" s="16">
        <f t="shared" si="17"/>
        <v>35.442875000000001</v>
      </c>
      <c r="I147" s="5"/>
      <c r="J147" s="15">
        <v>2408.1576</v>
      </c>
      <c r="K147" s="16">
        <v>34.645899999999997</v>
      </c>
      <c r="L147" s="16">
        <v>38.575400000000002</v>
      </c>
      <c r="M147" s="16">
        <v>40.974400000000003</v>
      </c>
      <c r="N147" s="16">
        <v>5.6792999999999996</v>
      </c>
      <c r="O147" s="16">
        <f t="shared" si="18"/>
        <v>35.928150000000002</v>
      </c>
      <c r="P147" s="7"/>
      <c r="Q147" s="8">
        <f>bdrate(C147:C150,D147:D150,J147:J150,K147:K150)</f>
        <v>-0.43694678275269194</v>
      </c>
      <c r="R147" s="8">
        <f>bdrate(C147:C150,E147:E150,J147:J150,L147:L150)</f>
        <v>-0.60291221276409135</v>
      </c>
      <c r="S147" s="8">
        <f>bdrate(C147:C150,F147:F150,J147:J150,M147:M150)</f>
        <v>-0.62930808746682287</v>
      </c>
      <c r="T147" s="25">
        <f>bdrate(C147:C150,H147:H150,J147:J150,O147:O150)</f>
        <v>-0.46635869591777512</v>
      </c>
      <c r="U147" s="28">
        <f t="shared" si="19"/>
        <v>0.17098969072164949</v>
      </c>
      <c r="V147" s="57">
        <f t="shared" si="21"/>
        <v>1.9741666666666713E-2</v>
      </c>
      <c r="W147" s="57">
        <f t="shared" si="20"/>
        <v>3.399000000000001E-3</v>
      </c>
      <c r="X147" s="56">
        <v>3600</v>
      </c>
      <c r="Y147" s="56">
        <v>2400</v>
      </c>
    </row>
    <row r="148" spans="1:25" x14ac:dyDescent="0.25">
      <c r="B148" s="9"/>
      <c r="C148" s="17">
        <v>2347</v>
      </c>
      <c r="D148" s="18">
        <v>32.844000000000001</v>
      </c>
      <c r="E148" s="18">
        <v>37.462000000000003</v>
      </c>
      <c r="F148" s="18">
        <v>38.734999999999999</v>
      </c>
      <c r="G148" s="18">
        <v>5.48</v>
      </c>
      <c r="H148" s="18">
        <f t="shared" si="17"/>
        <v>34.157625000000003</v>
      </c>
      <c r="I148" s="5"/>
      <c r="J148" s="17">
        <v>1606.3751999999999</v>
      </c>
      <c r="K148" s="18">
        <v>33.417299999999997</v>
      </c>
      <c r="L148" s="18">
        <v>38.130800000000001</v>
      </c>
      <c r="M148" s="18">
        <v>40.076999999999998</v>
      </c>
      <c r="N148" s="18">
        <v>6.4691000000000001</v>
      </c>
      <c r="O148" s="18">
        <f t="shared" si="18"/>
        <v>34.838949999999997</v>
      </c>
      <c r="P148" s="7"/>
      <c r="Q148" s="10"/>
      <c r="R148" s="11"/>
      <c r="S148" s="11"/>
      <c r="T148" s="26"/>
      <c r="U148" s="28">
        <f t="shared" si="19"/>
        <v>0.18049270072992693</v>
      </c>
      <c r="V148" s="57">
        <f t="shared" si="21"/>
        <v>2.2083333333333333E-2</v>
      </c>
      <c r="W148" s="57">
        <f t="shared" si="20"/>
        <v>3.984499999999969E-3</v>
      </c>
      <c r="X148" s="56">
        <v>2400</v>
      </c>
      <c r="Y148" s="56">
        <v>1600</v>
      </c>
    </row>
    <row r="149" spans="1:25" x14ac:dyDescent="0.25">
      <c r="B149" s="9"/>
      <c r="C149" s="17">
        <v>1463.64</v>
      </c>
      <c r="D149" s="18">
        <v>30.91</v>
      </c>
      <c r="E149" s="18">
        <v>36.793999999999997</v>
      </c>
      <c r="F149" s="18">
        <v>37.664000000000001</v>
      </c>
      <c r="G149" s="18">
        <v>6.21</v>
      </c>
      <c r="H149" s="18">
        <f t="shared" si="17"/>
        <v>32.489750000000001</v>
      </c>
      <c r="I149" s="5"/>
      <c r="J149" s="17">
        <v>1003.4424</v>
      </c>
      <c r="K149" s="18">
        <v>31.7438</v>
      </c>
      <c r="L149" s="18">
        <v>37.543500000000002</v>
      </c>
      <c r="M149" s="18">
        <v>39.023899999999998</v>
      </c>
      <c r="N149" s="18">
        <v>7.3760000000000003</v>
      </c>
      <c r="O149" s="18">
        <f t="shared" si="18"/>
        <v>33.378775000000005</v>
      </c>
      <c r="P149" s="7"/>
      <c r="Q149" s="10"/>
      <c r="R149" s="11"/>
      <c r="S149" s="11"/>
      <c r="T149" s="26"/>
      <c r="U149" s="28">
        <f t="shared" si="19"/>
        <v>0.18776167471819652</v>
      </c>
      <c r="V149" s="57">
        <f t="shared" si="21"/>
        <v>2.4239999999999932E-2</v>
      </c>
      <c r="W149" s="57">
        <f t="shared" si="20"/>
        <v>3.4424000000000204E-3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876.39</v>
      </c>
      <c r="D150" s="20">
        <v>28.454000000000001</v>
      </c>
      <c r="E150" s="20">
        <v>36.054000000000002</v>
      </c>
      <c r="F150" s="20">
        <v>36.588999999999999</v>
      </c>
      <c r="G150" s="20">
        <v>6.98</v>
      </c>
      <c r="H150" s="20">
        <f t="shared" si="17"/>
        <v>30.420874999999999</v>
      </c>
      <c r="I150" s="5"/>
      <c r="J150" s="19">
        <v>592.76880000000006</v>
      </c>
      <c r="K150" s="20">
        <v>29.939900000000002</v>
      </c>
      <c r="L150" s="20">
        <v>36.881700000000002</v>
      </c>
      <c r="M150" s="20">
        <v>37.952199999999998</v>
      </c>
      <c r="N150" s="20">
        <v>8.7364999999999995</v>
      </c>
      <c r="O150" s="20">
        <f t="shared" si="18"/>
        <v>31.809162500000003</v>
      </c>
      <c r="P150" s="7"/>
      <c r="Q150" s="13"/>
      <c r="R150" s="14"/>
      <c r="S150" s="14"/>
      <c r="T150" s="27"/>
      <c r="U150" s="28">
        <f t="shared" si="19"/>
        <v>0.25164756446991388</v>
      </c>
      <c r="V150" s="57">
        <f t="shared" si="21"/>
        <v>2.6233333333333348E-2</v>
      </c>
      <c r="W150" s="57">
        <f t="shared" si="20"/>
        <v>1.2051999999999907E-2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3552.33</v>
      </c>
      <c r="D151" s="30">
        <v>33.838000000000001</v>
      </c>
      <c r="E151" s="30">
        <v>39.639000000000003</v>
      </c>
      <c r="F151" s="30">
        <v>39.338000000000001</v>
      </c>
      <c r="G151" s="16">
        <v>4.45</v>
      </c>
      <c r="H151" s="16">
        <f t="shared" si="17"/>
        <v>35.250625000000007</v>
      </c>
      <c r="I151" s="5"/>
      <c r="J151" s="29">
        <v>2413.4839999999999</v>
      </c>
      <c r="K151" s="30">
        <v>34.278199999999998</v>
      </c>
      <c r="L151" s="30">
        <v>40.866500000000002</v>
      </c>
      <c r="M151" s="30">
        <v>40.607300000000002</v>
      </c>
      <c r="N151" s="16">
        <v>4.9249999999999998</v>
      </c>
      <c r="O151" s="16">
        <f t="shared" si="18"/>
        <v>35.892874999999997</v>
      </c>
      <c r="P151" s="7"/>
      <c r="Q151" s="8">
        <f>bdrate(C151:C154,D151:D154,J151:J154,K151:K154)</f>
        <v>-0.50288065017820394</v>
      </c>
      <c r="R151" s="8">
        <f>bdrate(C151:C154,E151:E154,J151:J154,L151:L154)</f>
        <v>-0.67764921691365188</v>
      </c>
      <c r="S151" s="8">
        <f>bdrate(C151:C154,F151:F154,J151:J154,M151:M154)</f>
        <v>-0.60155852077423955</v>
      </c>
      <c r="T151" s="25">
        <f>bdrate(C151:C154,H151:H154,J151:J154,O151:O154)</f>
        <v>-0.52816852615258814</v>
      </c>
      <c r="U151" s="28">
        <f t="shared" si="19"/>
        <v>0.10674157303370778</v>
      </c>
      <c r="V151" s="57">
        <f t="shared" si="21"/>
        <v>1.3241666666666686E-2</v>
      </c>
      <c r="W151" s="57">
        <f t="shared" si="20"/>
        <v>5.6183333333333016E-3</v>
      </c>
      <c r="X151" s="56">
        <v>3600</v>
      </c>
      <c r="Y151" s="56">
        <v>2400</v>
      </c>
    </row>
    <row r="152" spans="1:25" x14ac:dyDescent="0.25">
      <c r="B152" s="9"/>
      <c r="C152" s="31">
        <v>2360.34</v>
      </c>
      <c r="D152" s="32">
        <v>31.916</v>
      </c>
      <c r="E152" s="32">
        <v>38.732999999999997</v>
      </c>
      <c r="F152" s="32">
        <v>38.281999999999996</v>
      </c>
      <c r="G152" s="18">
        <v>5.0999999999999996</v>
      </c>
      <c r="H152" s="18">
        <f t="shared" si="17"/>
        <v>33.563875000000003</v>
      </c>
      <c r="I152" s="5"/>
      <c r="J152" s="31">
        <v>1606.5871999999999</v>
      </c>
      <c r="K152" s="32">
        <v>32.878500000000003</v>
      </c>
      <c r="L152" s="32">
        <v>40.177500000000002</v>
      </c>
      <c r="M152" s="32">
        <v>39.661499999999997</v>
      </c>
      <c r="N152" s="18">
        <v>5.6942000000000004</v>
      </c>
      <c r="O152" s="18">
        <f t="shared" si="18"/>
        <v>34.638750000000002</v>
      </c>
      <c r="P152" s="7"/>
      <c r="Q152" s="10"/>
      <c r="R152" s="11"/>
      <c r="S152" s="11"/>
      <c r="T152" s="26"/>
      <c r="U152" s="28">
        <f t="shared" si="19"/>
        <v>0.11650980392156877</v>
      </c>
      <c r="V152" s="57">
        <f t="shared" si="21"/>
        <v>1.6524999999999939E-2</v>
      </c>
      <c r="W152" s="57">
        <f t="shared" si="20"/>
        <v>4.1169999999999618E-3</v>
      </c>
      <c r="X152" s="56">
        <v>2400</v>
      </c>
      <c r="Y152" s="56">
        <v>1600</v>
      </c>
    </row>
    <row r="153" spans="1:25" x14ac:dyDescent="0.25">
      <c r="B153" s="9"/>
      <c r="C153" s="31">
        <v>1463.98</v>
      </c>
      <c r="D153" s="32">
        <v>29.053000000000001</v>
      </c>
      <c r="E153" s="32">
        <v>37.542999999999999</v>
      </c>
      <c r="F153" s="32">
        <v>36.985999999999997</v>
      </c>
      <c r="G153" s="18">
        <v>5.8</v>
      </c>
      <c r="H153" s="18">
        <f t="shared" si="17"/>
        <v>31.105875000000001</v>
      </c>
      <c r="I153" s="5"/>
      <c r="J153" s="31">
        <v>1001.9352</v>
      </c>
      <c r="K153" s="32">
        <v>31.164000000000001</v>
      </c>
      <c r="L153" s="32">
        <v>39.346200000000003</v>
      </c>
      <c r="M153" s="32">
        <v>38.504100000000001</v>
      </c>
      <c r="N153" s="18">
        <v>6.6795</v>
      </c>
      <c r="O153" s="18">
        <f t="shared" si="18"/>
        <v>33.104287500000005</v>
      </c>
      <c r="P153" s="7"/>
      <c r="Q153" s="10"/>
      <c r="R153" s="11"/>
      <c r="S153" s="11"/>
      <c r="T153" s="26"/>
      <c r="U153" s="28">
        <f t="shared" si="19"/>
        <v>0.15163793103448278</v>
      </c>
      <c r="V153" s="57">
        <f t="shared" si="21"/>
        <v>2.4013333333333321E-2</v>
      </c>
      <c r="W153" s="57">
        <f t="shared" si="20"/>
        <v>1.9352000000000089E-3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864.23</v>
      </c>
      <c r="D154" s="34">
        <v>25.902000000000001</v>
      </c>
      <c r="E154" s="34">
        <v>34.918999999999997</v>
      </c>
      <c r="F154" s="34">
        <v>34.338000000000001</v>
      </c>
      <c r="G154" s="20">
        <v>6.23</v>
      </c>
      <c r="H154" s="20">
        <f t="shared" si="17"/>
        <v>28.083625000000001</v>
      </c>
      <c r="I154" s="5"/>
      <c r="J154" s="33">
        <v>600.25840000000005</v>
      </c>
      <c r="K154" s="34">
        <v>29.319700000000001</v>
      </c>
      <c r="L154" s="34">
        <v>38.153799999999997</v>
      </c>
      <c r="M154" s="34">
        <v>36.956699999999998</v>
      </c>
      <c r="N154" s="20">
        <v>7.8282999999999996</v>
      </c>
      <c r="O154" s="20">
        <f t="shared" si="18"/>
        <v>31.378587500000002</v>
      </c>
      <c r="P154" s="7"/>
      <c r="Q154" s="13"/>
      <c r="R154" s="14"/>
      <c r="S154" s="14"/>
      <c r="T154" s="27"/>
      <c r="U154" s="28">
        <f t="shared" si="19"/>
        <v>0.25654895666131605</v>
      </c>
      <c r="V154" s="57">
        <f t="shared" si="21"/>
        <v>3.9744444444444423E-2</v>
      </c>
      <c r="W154" s="57">
        <f t="shared" si="20"/>
        <v>4.3066666666675247E-4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3575.28</v>
      </c>
      <c r="D155" s="16">
        <v>33.100999999999999</v>
      </c>
      <c r="E155" s="16">
        <v>38.963999999999999</v>
      </c>
      <c r="F155" s="16">
        <v>41.695</v>
      </c>
      <c r="G155" s="16">
        <v>5.37</v>
      </c>
      <c r="H155" s="16">
        <f t="shared" si="17"/>
        <v>34.908124999999998</v>
      </c>
      <c r="I155" s="5"/>
      <c r="J155" s="15">
        <v>2383.1792</v>
      </c>
      <c r="K155" s="16">
        <v>33.875700000000002</v>
      </c>
      <c r="L155" s="16">
        <v>40.317399999999999</v>
      </c>
      <c r="M155" s="16">
        <v>42.732999999999997</v>
      </c>
      <c r="N155" s="16">
        <v>5.6191000000000004</v>
      </c>
      <c r="O155" s="16">
        <f t="shared" si="18"/>
        <v>35.788074999999999</v>
      </c>
      <c r="P155" s="7"/>
      <c r="Q155" s="8">
        <f>bdrate(C155:C158,D155:D158,J155:J158,K155:K158)</f>
        <v>-0.58346440291233814</v>
      </c>
      <c r="R155" s="8">
        <f>bdrate(C155:C158,E155:E158,J155:J158,L155:L158)</f>
        <v>-0.74854619925979216</v>
      </c>
      <c r="S155" s="8">
        <f>bdrate(C155:C158,F155:F158,J155:J158,M155:M158)</f>
        <v>-0.70633714222655442</v>
      </c>
      <c r="T155" s="25">
        <f>bdrate(C155:C158,H155:H158,J155:J158,O155:O158)</f>
        <v>-0.60639359924795022</v>
      </c>
      <c r="U155" s="28">
        <f t="shared" si="19"/>
        <v>4.6387337057728177E-2</v>
      </c>
      <c r="V155" s="57">
        <f t="shared" si="21"/>
        <v>6.8666666666666112E-3</v>
      </c>
      <c r="W155" s="57">
        <f t="shared" si="20"/>
        <v>7.0086666666666509E-3</v>
      </c>
      <c r="X155" s="56">
        <v>3600</v>
      </c>
      <c r="Y155" s="56">
        <v>2400</v>
      </c>
    </row>
    <row r="156" spans="1:25" x14ac:dyDescent="0.25">
      <c r="B156" s="9"/>
      <c r="C156" s="17">
        <v>2350.88</v>
      </c>
      <c r="D156" s="18">
        <v>32.103000000000002</v>
      </c>
      <c r="E156" s="18">
        <v>38.514000000000003</v>
      </c>
      <c r="F156" s="18">
        <v>41.22</v>
      </c>
      <c r="G156" s="18">
        <v>6.06</v>
      </c>
      <c r="H156" s="18">
        <f t="shared" si="17"/>
        <v>34.043999999999997</v>
      </c>
      <c r="I156" s="5"/>
      <c r="J156" s="17">
        <v>1598.0984000000001</v>
      </c>
      <c r="K156" s="18">
        <v>33.210500000000003</v>
      </c>
      <c r="L156" s="18">
        <v>39.855800000000002</v>
      </c>
      <c r="M156" s="18">
        <v>42.329099999999997</v>
      </c>
      <c r="N156" s="18">
        <v>6.3697999999999997</v>
      </c>
      <c r="O156" s="18">
        <f t="shared" si="18"/>
        <v>35.180987500000001</v>
      </c>
      <c r="P156" s="7"/>
      <c r="Q156" s="10"/>
      <c r="R156" s="11"/>
      <c r="S156" s="11"/>
      <c r="T156" s="26"/>
      <c r="U156" s="28">
        <f t="shared" si="19"/>
        <v>5.1122112211221135E-2</v>
      </c>
      <c r="V156" s="57">
        <f t="shared" si="21"/>
        <v>2.0466666666666623E-2</v>
      </c>
      <c r="W156" s="57">
        <f t="shared" si="20"/>
        <v>1.1884999999999478E-3</v>
      </c>
      <c r="X156" s="56">
        <v>2400</v>
      </c>
      <c r="Y156" s="56">
        <v>1600</v>
      </c>
    </row>
    <row r="157" spans="1:25" x14ac:dyDescent="0.25">
      <c r="B157" s="9"/>
      <c r="C157" s="17">
        <v>1450.16</v>
      </c>
      <c r="D157" s="18">
        <v>30.646999999999998</v>
      </c>
      <c r="E157" s="18">
        <v>37.965000000000003</v>
      </c>
      <c r="F157" s="18">
        <v>40.564</v>
      </c>
      <c r="G157" s="18">
        <v>6.59</v>
      </c>
      <c r="H157" s="18">
        <f t="shared" si="17"/>
        <v>32.801375</v>
      </c>
      <c r="I157" s="5"/>
      <c r="J157" s="17">
        <v>1016.028</v>
      </c>
      <c r="K157" s="18">
        <v>32.173000000000002</v>
      </c>
      <c r="L157" s="18">
        <v>39.152999999999999</v>
      </c>
      <c r="M157" s="18">
        <v>41.672499999999999</v>
      </c>
      <c r="N157" s="18">
        <v>7.4226999999999999</v>
      </c>
      <c r="O157" s="18">
        <f t="shared" si="18"/>
        <v>34.232937499999998</v>
      </c>
      <c r="P157" s="7"/>
      <c r="Q157" s="10"/>
      <c r="R157" s="11"/>
      <c r="S157" s="11"/>
      <c r="T157" s="26"/>
      <c r="U157" s="28">
        <f t="shared" si="19"/>
        <v>0.12635811836115327</v>
      </c>
      <c r="V157" s="57">
        <f t="shared" si="21"/>
        <v>3.3226666666666613E-2</v>
      </c>
      <c r="W157" s="57">
        <f t="shared" si="20"/>
        <v>1.6028000000000021E-2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852.84</v>
      </c>
      <c r="D158" s="20">
        <v>28.658999999999999</v>
      </c>
      <c r="E158" s="20">
        <v>37.347999999999999</v>
      </c>
      <c r="F158" s="20">
        <v>39.832999999999998</v>
      </c>
      <c r="G158" s="20">
        <v>7</v>
      </c>
      <c r="H158" s="20">
        <f t="shared" si="17"/>
        <v>31.141875000000002</v>
      </c>
      <c r="I158" s="5"/>
      <c r="J158" s="19">
        <v>597.93520000000001</v>
      </c>
      <c r="K158" s="20">
        <v>30.6936</v>
      </c>
      <c r="L158" s="20">
        <v>38.517000000000003</v>
      </c>
      <c r="M158" s="20">
        <v>41.069099999999999</v>
      </c>
      <c r="N158" s="20">
        <v>8.3050999999999995</v>
      </c>
      <c r="O158" s="20">
        <f t="shared" si="18"/>
        <v>32.968462500000001</v>
      </c>
      <c r="P158" s="7"/>
      <c r="Q158" s="13"/>
      <c r="R158" s="14"/>
      <c r="S158" s="14"/>
      <c r="T158" s="27"/>
      <c r="U158" s="28">
        <f t="shared" si="19"/>
        <v>0.18644285714285708</v>
      </c>
      <c r="V158" s="57">
        <f t="shared" si="21"/>
        <v>5.2399999999999967E-2</v>
      </c>
      <c r="W158" s="57">
        <f t="shared" si="20"/>
        <v>3.4413333333333184E-3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1550.79</v>
      </c>
      <c r="D159" s="16">
        <v>34.914999999999999</v>
      </c>
      <c r="E159" s="16">
        <v>38.326999999999998</v>
      </c>
      <c r="F159" s="16">
        <v>38.268000000000001</v>
      </c>
      <c r="G159" s="16">
        <v>19.52</v>
      </c>
      <c r="H159" s="16">
        <f t="shared" si="17"/>
        <v>35.760625000000005</v>
      </c>
      <c r="I159" s="5"/>
      <c r="J159" s="15">
        <v>1209.4960000000001</v>
      </c>
      <c r="K159" s="16">
        <v>35.676499999999997</v>
      </c>
      <c r="L159" s="16">
        <v>40.312600000000003</v>
      </c>
      <c r="M159" s="16">
        <v>40.328800000000001</v>
      </c>
      <c r="N159" s="16">
        <v>16.536000000000001</v>
      </c>
      <c r="O159" s="16">
        <f t="shared" si="18"/>
        <v>36.837549999999993</v>
      </c>
      <c r="P159" s="7"/>
      <c r="Q159" s="8">
        <f>bdrate(C159:C162,D159:D162,J159:J162,K159:K162)</f>
        <v>-0.35008839104508604</v>
      </c>
      <c r="R159" s="8">
        <f>bdrate(C159:C162,E159:E162,J159:J162,L159:L162)</f>
        <v>-0.57990409383194885</v>
      </c>
      <c r="S159" s="8">
        <f>bdrate(C159:C162,F159:F162,J159:J162,M159:M162)</f>
        <v>-0.55019461720097806</v>
      </c>
      <c r="T159" s="25">
        <f>bdrate(C159:C162,H159:H162,J159:J162,O159:O162)</f>
        <v>-0.39780556044141768</v>
      </c>
      <c r="U159" s="28">
        <f t="shared" si="19"/>
        <v>-0.1528688524590163</v>
      </c>
      <c r="V159" s="57">
        <f t="shared" si="21"/>
        <v>5.0967741935481524E-4</v>
      </c>
      <c r="W159" s="57">
        <f t="shared" si="20"/>
        <v>7.9133333333334128E-3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1046.24</v>
      </c>
      <c r="D160" s="18">
        <v>33.326999999999998</v>
      </c>
      <c r="E160" s="18">
        <v>37.225000000000001</v>
      </c>
      <c r="F160" s="18">
        <v>37.048000000000002</v>
      </c>
      <c r="G160" s="18">
        <v>22.73</v>
      </c>
      <c r="H160" s="18">
        <f t="shared" si="17"/>
        <v>34.279375000000002</v>
      </c>
      <c r="I160" s="5"/>
      <c r="J160" s="17">
        <v>805.62480000000005</v>
      </c>
      <c r="K160" s="18">
        <v>33.901699999999998</v>
      </c>
      <c r="L160" s="18">
        <v>38.9876</v>
      </c>
      <c r="M160" s="18">
        <v>38.835700000000003</v>
      </c>
      <c r="N160" s="18">
        <v>18.991199999999999</v>
      </c>
      <c r="O160" s="18">
        <f t="shared" si="18"/>
        <v>35.154187499999992</v>
      </c>
      <c r="P160" s="7"/>
      <c r="Q160" s="10"/>
      <c r="R160" s="11"/>
      <c r="S160" s="11"/>
      <c r="T160" s="26"/>
      <c r="U160" s="28">
        <f t="shared" si="19"/>
        <v>-0.16448746150461949</v>
      </c>
      <c r="V160" s="57">
        <f t="shared" si="21"/>
        <v>3.5809523809523722E-3</v>
      </c>
      <c r="W160" s="57">
        <f t="shared" si="20"/>
        <v>7.0310000000000624E-3</v>
      </c>
      <c r="X160" s="56">
        <v>1050</v>
      </c>
      <c r="Y160" s="56">
        <v>800</v>
      </c>
    </row>
    <row r="161" spans="1:25" x14ac:dyDescent="0.25">
      <c r="B161" s="9"/>
      <c r="C161" s="17">
        <v>644.76</v>
      </c>
      <c r="D161" s="18">
        <v>31.210999999999999</v>
      </c>
      <c r="E161" s="18">
        <v>35.889000000000003</v>
      </c>
      <c r="F161" s="18">
        <v>35.545000000000002</v>
      </c>
      <c r="G161" s="18">
        <v>27.48</v>
      </c>
      <c r="H161" s="18">
        <f t="shared" si="17"/>
        <v>32.337499999999999</v>
      </c>
      <c r="I161" s="5"/>
      <c r="J161" s="17">
        <v>504.47039999999998</v>
      </c>
      <c r="K161" s="18">
        <v>32.0319</v>
      </c>
      <c r="L161" s="18">
        <v>37.606000000000002</v>
      </c>
      <c r="M161" s="18">
        <v>37.2376</v>
      </c>
      <c r="N161" s="18">
        <v>21.621600000000001</v>
      </c>
      <c r="O161" s="18">
        <f t="shared" si="18"/>
        <v>33.379374999999996</v>
      </c>
      <c r="P161" s="7"/>
      <c r="Q161" s="10"/>
      <c r="R161" s="11"/>
      <c r="S161" s="11"/>
      <c r="T161" s="26"/>
      <c r="U161" s="28">
        <f t="shared" si="19"/>
        <v>-0.21318777292576419</v>
      </c>
      <c r="V161" s="57">
        <f t="shared" si="21"/>
        <v>8.0615384615384759E-3</v>
      </c>
      <c r="W161" s="57">
        <f t="shared" si="20"/>
        <v>8.9407999999999675E-3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393.1</v>
      </c>
      <c r="D162" s="20">
        <v>28.657</v>
      </c>
      <c r="E162" s="20">
        <v>34.616999999999997</v>
      </c>
      <c r="F162" s="20">
        <v>34.094999999999999</v>
      </c>
      <c r="G162" s="20">
        <v>32.22</v>
      </c>
      <c r="H162" s="20">
        <f t="shared" si="17"/>
        <v>30.08175</v>
      </c>
      <c r="I162" s="5"/>
      <c r="J162" s="19">
        <v>302.7208</v>
      </c>
      <c r="K162" s="20">
        <v>30.010899999999999</v>
      </c>
      <c r="L162" s="20">
        <v>36.198599999999999</v>
      </c>
      <c r="M162" s="20">
        <v>35.7254</v>
      </c>
      <c r="N162" s="20">
        <v>24.98</v>
      </c>
      <c r="O162" s="20">
        <f t="shared" si="18"/>
        <v>31.498675000000002</v>
      </c>
      <c r="P162" s="7"/>
      <c r="Q162" s="13"/>
      <c r="R162" s="14"/>
      <c r="S162" s="14"/>
      <c r="T162" s="27"/>
      <c r="U162" s="28">
        <f t="shared" si="19"/>
        <v>-0.22470515207945371</v>
      </c>
      <c r="V162" s="57">
        <f t="shared" si="21"/>
        <v>1.7249999999999942E-2</v>
      </c>
      <c r="W162" s="57">
        <f t="shared" si="20"/>
        <v>9.0693333333333234E-3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1545.16</v>
      </c>
      <c r="D163" s="16">
        <v>35.375999999999998</v>
      </c>
      <c r="E163" s="16">
        <v>39.927</v>
      </c>
      <c r="F163" s="16">
        <v>40.764000000000003</v>
      </c>
      <c r="G163" s="16">
        <v>21.06</v>
      </c>
      <c r="H163" s="16">
        <f t="shared" si="17"/>
        <v>36.618374999999993</v>
      </c>
      <c r="I163" s="5"/>
      <c r="J163" s="15">
        <v>1224.1407999999999</v>
      </c>
      <c r="K163" s="16">
        <v>35.6967</v>
      </c>
      <c r="L163" s="16">
        <v>41.351599999999998</v>
      </c>
      <c r="M163" s="16">
        <v>42.374499999999998</v>
      </c>
      <c r="N163" s="16">
        <v>18.062000000000001</v>
      </c>
      <c r="O163" s="16">
        <f t="shared" si="18"/>
        <v>37.238287499999998</v>
      </c>
      <c r="P163" s="7"/>
      <c r="Q163" s="8">
        <f>bdrate(C163:C166,D163:D166,J163:J166,K163:K166)</f>
        <v>-0.34644824535189456</v>
      </c>
      <c r="R163" s="8">
        <f>bdrate(C163:C166,E163:E166,J163:J166,L163:L166)</f>
        <v>-0.56102647454361276</v>
      </c>
      <c r="S163" s="8">
        <f>bdrate(C163:C166,F163:F166,J163:J166,M163:M166)</f>
        <v>-0.55105317065634241</v>
      </c>
      <c r="T163" s="25">
        <f>bdrate(C163:C166,H163:H166,J163:J166,O163:O166)</f>
        <v>-0.38524612474217812</v>
      </c>
      <c r="U163" s="28">
        <f t="shared" si="19"/>
        <v>-0.14235517568850892</v>
      </c>
      <c r="V163" s="57">
        <f t="shared" si="21"/>
        <v>3.1225806451612376E-3</v>
      </c>
      <c r="W163" s="57">
        <f t="shared" si="20"/>
        <v>2.0117333333333251E-2</v>
      </c>
      <c r="X163" s="56">
        <v>1550</v>
      </c>
      <c r="Y163" s="56">
        <v>1200</v>
      </c>
    </row>
    <row r="164" spans="1:25" x14ac:dyDescent="0.25">
      <c r="B164" s="9"/>
      <c r="C164" s="17">
        <v>1044.99</v>
      </c>
      <c r="D164" s="18">
        <v>33.600999999999999</v>
      </c>
      <c r="E164" s="18">
        <v>39.061</v>
      </c>
      <c r="F164" s="18">
        <v>39.820999999999998</v>
      </c>
      <c r="G164" s="18">
        <v>23.92</v>
      </c>
      <c r="H164" s="18">
        <f t="shared" si="17"/>
        <v>35.061</v>
      </c>
      <c r="I164" s="5"/>
      <c r="J164" s="17">
        <v>814.904</v>
      </c>
      <c r="K164" s="18">
        <v>34.154899999999998</v>
      </c>
      <c r="L164" s="18">
        <v>40.392400000000002</v>
      </c>
      <c r="M164" s="18">
        <v>41.283900000000003</v>
      </c>
      <c r="N164" s="18">
        <v>20.304600000000001</v>
      </c>
      <c r="O164" s="18">
        <f t="shared" si="18"/>
        <v>35.825712500000002</v>
      </c>
      <c r="P164" s="7"/>
      <c r="Q164" s="10"/>
      <c r="R164" s="11"/>
      <c r="S164" s="11"/>
      <c r="T164" s="26"/>
      <c r="U164" s="28">
        <f t="shared" si="19"/>
        <v>-0.15114548494983282</v>
      </c>
      <c r="V164" s="57">
        <f t="shared" si="21"/>
        <v>4.7714285714285628E-3</v>
      </c>
      <c r="W164" s="57">
        <f t="shared" si="20"/>
        <v>1.8629999999999994E-2</v>
      </c>
      <c r="X164" s="56">
        <v>1050</v>
      </c>
      <c r="Y164" s="56">
        <v>800</v>
      </c>
    </row>
    <row r="165" spans="1:25" x14ac:dyDescent="0.25">
      <c r="B165" s="9"/>
      <c r="C165" s="17">
        <v>642.80999999999995</v>
      </c>
      <c r="D165" s="18">
        <v>31.231999999999999</v>
      </c>
      <c r="E165" s="18">
        <v>37.96</v>
      </c>
      <c r="F165" s="18">
        <v>38.654000000000003</v>
      </c>
      <c r="G165" s="18">
        <v>27.12</v>
      </c>
      <c r="H165" s="18">
        <f t="shared" si="17"/>
        <v>33.000750000000004</v>
      </c>
      <c r="I165" s="5"/>
      <c r="J165" s="17">
        <v>510.91840000000002</v>
      </c>
      <c r="K165" s="18">
        <v>32.295099999999998</v>
      </c>
      <c r="L165" s="18">
        <v>39.283700000000003</v>
      </c>
      <c r="M165" s="18">
        <v>40.028500000000001</v>
      </c>
      <c r="N165" s="18">
        <v>23.456700000000001</v>
      </c>
      <c r="O165" s="18">
        <f t="shared" si="18"/>
        <v>34.135350000000003</v>
      </c>
      <c r="P165" s="7"/>
      <c r="Q165" s="10"/>
      <c r="R165" s="11"/>
      <c r="S165" s="11"/>
      <c r="T165" s="26"/>
      <c r="U165" s="28">
        <f t="shared" si="19"/>
        <v>-0.13507743362831856</v>
      </c>
      <c r="V165" s="57">
        <f t="shared" si="21"/>
        <v>1.1061538461538546E-2</v>
      </c>
      <c r="W165" s="57">
        <f t="shared" si="20"/>
        <v>2.1836800000000038E-2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395.99</v>
      </c>
      <c r="D166" s="20">
        <v>28.62</v>
      </c>
      <c r="E166" s="20">
        <v>36.972999999999999</v>
      </c>
      <c r="F166" s="20">
        <v>37.582999999999998</v>
      </c>
      <c r="G166" s="20">
        <v>30.2</v>
      </c>
      <c r="H166" s="20">
        <f t="shared" si="17"/>
        <v>30.784499999999998</v>
      </c>
      <c r="I166" s="5"/>
      <c r="J166" s="19">
        <v>304.8168</v>
      </c>
      <c r="K166" s="20">
        <v>30.145900000000001</v>
      </c>
      <c r="L166" s="20">
        <v>38.169499999999999</v>
      </c>
      <c r="M166" s="20">
        <v>38.752499999999998</v>
      </c>
      <c r="N166" s="20">
        <v>27.586200000000002</v>
      </c>
      <c r="O166" s="20">
        <f t="shared" si="18"/>
        <v>32.224675000000005</v>
      </c>
      <c r="P166" s="7"/>
      <c r="Q166" s="13"/>
      <c r="R166" s="14"/>
      <c r="S166" s="14"/>
      <c r="T166" s="27"/>
      <c r="U166" s="28">
        <f t="shared" si="19"/>
        <v>-8.6549668874172106E-2</v>
      </c>
      <c r="V166" s="57">
        <f t="shared" si="21"/>
        <v>1.0024999999999977E-2</v>
      </c>
      <c r="W166" s="57">
        <f t="shared" si="20"/>
        <v>1.6056000000000001E-2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1412.68</v>
      </c>
      <c r="D167" s="16">
        <v>29.747</v>
      </c>
      <c r="E167" s="16">
        <v>35.631999999999998</v>
      </c>
      <c r="F167" s="16">
        <v>36.380000000000003</v>
      </c>
      <c r="G167" s="16">
        <v>19.32</v>
      </c>
      <c r="H167" s="16">
        <f t="shared" si="17"/>
        <v>31.31175</v>
      </c>
      <c r="I167" s="5"/>
      <c r="J167" s="15">
        <v>1219.2528</v>
      </c>
      <c r="K167" s="16">
        <v>30.696899999999999</v>
      </c>
      <c r="L167" s="16">
        <v>37.465600000000002</v>
      </c>
      <c r="M167" s="16">
        <v>38.264600000000002</v>
      </c>
      <c r="N167" s="16">
        <v>13.9587</v>
      </c>
      <c r="O167" s="16">
        <f t="shared" si="18"/>
        <v>32.488950000000003</v>
      </c>
      <c r="P167" s="7"/>
      <c r="Q167" s="8">
        <f>bdrate(C167:C170,D167:D170,J167:J170,K167:K170)</f>
        <v>-0.37296312013176613</v>
      </c>
      <c r="R167" s="8">
        <f>bdrate(C167:C170,E167:E170,J167:J170,L167:L170)</f>
        <v>-0.64705938150153774</v>
      </c>
      <c r="S167" s="8">
        <f>bdrate(C167:C170,F167:F170,J167:J170,M167:M170)</f>
        <v>-0.632369878487957</v>
      </c>
      <c r="T167" s="25">
        <f>bdrate(C167:C170,H167:H170,J167:J170,O167:O170)</f>
        <v>-0.41870414644975806</v>
      </c>
      <c r="U167" s="28">
        <f t="shared" si="19"/>
        <v>-0.27749999999999997</v>
      </c>
      <c r="V167" s="57">
        <f t="shared" si="21"/>
        <v>8.8593548387096738E-2</v>
      </c>
      <c r="W167" s="57">
        <f t="shared" si="20"/>
        <v>1.6043999999999982E-2</v>
      </c>
      <c r="X167" s="56">
        <v>1550</v>
      </c>
      <c r="Y167" s="56">
        <v>1200</v>
      </c>
    </row>
    <row r="168" spans="1:25" x14ac:dyDescent="0.25">
      <c r="B168" s="9"/>
      <c r="C168" s="17">
        <v>962.46</v>
      </c>
      <c r="D168" s="18">
        <v>28.364999999999998</v>
      </c>
      <c r="E168" s="18">
        <v>35.072000000000003</v>
      </c>
      <c r="F168" s="18">
        <v>35.813000000000002</v>
      </c>
      <c r="G168" s="18">
        <v>21.6</v>
      </c>
      <c r="H168" s="18">
        <f t="shared" si="17"/>
        <v>30.134374999999999</v>
      </c>
      <c r="I168" s="5"/>
      <c r="J168" s="17">
        <v>811.37599999999998</v>
      </c>
      <c r="K168" s="18">
        <v>29.3337</v>
      </c>
      <c r="L168" s="18">
        <v>36.6083</v>
      </c>
      <c r="M168" s="18">
        <v>37.386299999999999</v>
      </c>
      <c r="N168" s="18">
        <v>15.579700000000001</v>
      </c>
      <c r="O168" s="18">
        <f t="shared" si="18"/>
        <v>31.249600000000001</v>
      </c>
      <c r="P168" s="7"/>
      <c r="Q168" s="10"/>
      <c r="R168" s="11"/>
      <c r="S168" s="11"/>
      <c r="T168" s="26"/>
      <c r="U168" s="28">
        <f t="shared" si="19"/>
        <v>-0.2787175925925926</v>
      </c>
      <c r="V168" s="57">
        <f t="shared" si="21"/>
        <v>8.3371428571428541E-2</v>
      </c>
      <c r="W168" s="57">
        <f t="shared" si="20"/>
        <v>1.4219999999999971E-2</v>
      </c>
      <c r="X168" s="56">
        <v>1050</v>
      </c>
      <c r="Y168" s="56">
        <v>800</v>
      </c>
    </row>
    <row r="169" spans="1:25" x14ac:dyDescent="0.25">
      <c r="B169" s="9"/>
      <c r="C169" s="17">
        <v>597.86</v>
      </c>
      <c r="D169" s="18">
        <v>26.733000000000001</v>
      </c>
      <c r="E169" s="18">
        <v>34.459000000000003</v>
      </c>
      <c r="F169" s="18">
        <v>35.209000000000003</v>
      </c>
      <c r="G169" s="18">
        <v>24.45</v>
      </c>
      <c r="H169" s="18">
        <f t="shared" si="17"/>
        <v>28.75825</v>
      </c>
      <c r="I169" s="5"/>
      <c r="J169" s="17">
        <v>506.6832</v>
      </c>
      <c r="K169" s="18">
        <v>27.750699999999998</v>
      </c>
      <c r="L169" s="18">
        <v>35.696800000000003</v>
      </c>
      <c r="M169" s="18">
        <v>36.374299999999998</v>
      </c>
      <c r="N169" s="18">
        <v>17.417999999999999</v>
      </c>
      <c r="O169" s="18">
        <f t="shared" si="18"/>
        <v>29.8219125</v>
      </c>
      <c r="P169" s="7"/>
      <c r="Q169" s="10"/>
      <c r="R169" s="11"/>
      <c r="S169" s="11"/>
      <c r="T169" s="26"/>
      <c r="U169" s="28">
        <f t="shared" si="19"/>
        <v>-0.2876073619631902</v>
      </c>
      <c r="V169" s="57">
        <f t="shared" si="21"/>
        <v>8.0215384615384591E-2</v>
      </c>
      <c r="W169" s="57">
        <f t="shared" si="20"/>
        <v>1.3366399999999999E-2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369.26</v>
      </c>
      <c r="D170" s="20">
        <v>25.132000000000001</v>
      </c>
      <c r="E170" s="20">
        <v>33.889000000000003</v>
      </c>
      <c r="F170" s="20">
        <v>34.674999999999997</v>
      </c>
      <c r="G170" s="20">
        <v>28.27</v>
      </c>
      <c r="H170" s="20">
        <f t="shared" si="17"/>
        <v>27.419499999999999</v>
      </c>
      <c r="I170" s="5"/>
      <c r="J170" s="19">
        <v>305.56959999999998</v>
      </c>
      <c r="K170" s="20">
        <v>26.224399999999999</v>
      </c>
      <c r="L170" s="20">
        <v>34.899799999999999</v>
      </c>
      <c r="M170" s="20">
        <v>35.595599999999997</v>
      </c>
      <c r="N170" s="20">
        <v>20.758900000000001</v>
      </c>
      <c r="O170" s="20">
        <f t="shared" si="18"/>
        <v>28.480224999999997</v>
      </c>
      <c r="P170" s="7"/>
      <c r="Q170" s="13"/>
      <c r="R170" s="14"/>
      <c r="S170" s="14"/>
      <c r="T170" s="27"/>
      <c r="U170" s="28">
        <f t="shared" si="19"/>
        <v>-0.26569154580827731</v>
      </c>
      <c r="V170" s="57">
        <f t="shared" si="21"/>
        <v>7.6850000000000029E-2</v>
      </c>
      <c r="W170" s="57">
        <f t="shared" si="20"/>
        <v>1.8565333333333267E-2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1432.21</v>
      </c>
      <c r="D171" s="16">
        <v>33.161000000000001</v>
      </c>
      <c r="E171" s="16">
        <v>36.81</v>
      </c>
      <c r="F171" s="16">
        <v>38.503999999999998</v>
      </c>
      <c r="G171" s="16">
        <v>14.76</v>
      </c>
      <c r="H171" s="16">
        <f t="shared" si="17"/>
        <v>34.285000000000004</v>
      </c>
      <c r="I171" s="5"/>
      <c r="J171" s="15">
        <v>1195.4264000000001</v>
      </c>
      <c r="K171" s="16">
        <v>32.741900000000001</v>
      </c>
      <c r="L171" s="16">
        <v>37.625300000000003</v>
      </c>
      <c r="M171" s="16">
        <v>39.228400000000001</v>
      </c>
      <c r="N171" s="16">
        <v>11.3576</v>
      </c>
      <c r="O171" s="16">
        <f t="shared" si="18"/>
        <v>34.163137500000005</v>
      </c>
      <c r="P171" s="7"/>
      <c r="Q171" s="8">
        <f>bdrate(C171:C174,D171:D174,J171:J174,K171:K174)</f>
        <v>-0.16703498791044324</v>
      </c>
      <c r="R171" s="8">
        <f>bdrate(C171:C174,E171:E174,J171:J174,L171:L174)</f>
        <v>-0.44270879049467837</v>
      </c>
      <c r="S171" s="8">
        <f>bdrate(C171:C174,F171:F174,J171:J174,M171:M174)</f>
        <v>-0.44093034192670555</v>
      </c>
      <c r="T171" s="25">
        <f>bdrate(C171:C174,H171:H174,J171:J174,O171:O174)</f>
        <v>-0.21049793926962412</v>
      </c>
      <c r="U171" s="28">
        <f t="shared" si="19"/>
        <v>-0.23051490514905151</v>
      </c>
      <c r="V171" s="57">
        <f t="shared" si="21"/>
        <v>7.5993548387096752E-2</v>
      </c>
      <c r="W171" s="57">
        <f t="shared" si="20"/>
        <v>3.8113333333332851E-3</v>
      </c>
      <c r="X171" s="56">
        <v>1550</v>
      </c>
      <c r="Y171" s="56">
        <v>1200</v>
      </c>
    </row>
    <row r="172" spans="1:25" x14ac:dyDescent="0.25">
      <c r="B172" s="9"/>
      <c r="C172" s="17">
        <v>979.69</v>
      </c>
      <c r="D172" s="18">
        <v>31.56</v>
      </c>
      <c r="E172" s="18">
        <v>36.021000000000001</v>
      </c>
      <c r="F172" s="18">
        <v>37.677</v>
      </c>
      <c r="G172" s="18">
        <v>16.59</v>
      </c>
      <c r="H172" s="18">
        <f t="shared" si="17"/>
        <v>32.882249999999999</v>
      </c>
      <c r="I172" s="5"/>
      <c r="J172" s="17">
        <v>800.67759999999998</v>
      </c>
      <c r="K172" s="18">
        <v>31.232700000000001</v>
      </c>
      <c r="L172" s="18">
        <v>36.757100000000001</v>
      </c>
      <c r="M172" s="18">
        <v>38.369</v>
      </c>
      <c r="N172" s="18">
        <v>12.914899999999999</v>
      </c>
      <c r="O172" s="18">
        <f t="shared" si="18"/>
        <v>32.815287500000004</v>
      </c>
      <c r="P172" s="7"/>
      <c r="Q172" s="10"/>
      <c r="R172" s="11"/>
      <c r="S172" s="11"/>
      <c r="T172" s="26"/>
      <c r="U172" s="28">
        <f t="shared" si="19"/>
        <v>-0.2215250150693189</v>
      </c>
      <c r="V172" s="57">
        <f t="shared" si="21"/>
        <v>6.6961904761904709E-2</v>
      </c>
      <c r="W172" s="57">
        <f t="shared" si="20"/>
        <v>8.4699999999998004E-4</v>
      </c>
      <c r="X172" s="56">
        <v>1050</v>
      </c>
      <c r="Y172" s="56">
        <v>800</v>
      </c>
    </row>
    <row r="173" spans="1:25" x14ac:dyDescent="0.25">
      <c r="B173" s="9"/>
      <c r="C173" s="17">
        <v>615.32000000000005</v>
      </c>
      <c r="D173" s="18">
        <v>29.536000000000001</v>
      </c>
      <c r="E173" s="18">
        <v>35.115000000000002</v>
      </c>
      <c r="F173" s="18">
        <v>36.71</v>
      </c>
      <c r="G173" s="18">
        <v>19.3</v>
      </c>
      <c r="H173" s="18">
        <f t="shared" si="17"/>
        <v>31.130125000000003</v>
      </c>
      <c r="I173" s="5"/>
      <c r="J173" s="17">
        <v>502.03519999999997</v>
      </c>
      <c r="K173" s="18">
        <v>29.567399999999999</v>
      </c>
      <c r="L173" s="18">
        <v>35.8628</v>
      </c>
      <c r="M173" s="18">
        <v>37.518700000000003</v>
      </c>
      <c r="N173" s="18">
        <v>14.7066</v>
      </c>
      <c r="O173" s="18">
        <f t="shared" si="18"/>
        <v>31.3482375</v>
      </c>
      <c r="P173" s="7"/>
      <c r="Q173" s="10"/>
      <c r="R173" s="11"/>
      <c r="S173" s="11"/>
      <c r="T173" s="26"/>
      <c r="U173" s="28">
        <f t="shared" si="19"/>
        <v>-0.23800000000000004</v>
      </c>
      <c r="V173" s="57">
        <f t="shared" si="21"/>
        <v>5.3353846153846078E-2</v>
      </c>
      <c r="W173" s="57">
        <f t="shared" si="20"/>
        <v>4.0703999999999498E-3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380.3</v>
      </c>
      <c r="D174" s="20">
        <v>27.356999999999999</v>
      </c>
      <c r="E174" s="20">
        <v>34.139000000000003</v>
      </c>
      <c r="F174" s="20">
        <v>35.58</v>
      </c>
      <c r="G174" s="20">
        <v>23.18</v>
      </c>
      <c r="H174" s="20">
        <f t="shared" si="17"/>
        <v>29.232624999999999</v>
      </c>
      <c r="I174" s="5"/>
      <c r="J174" s="19">
        <v>302.24239999999998</v>
      </c>
      <c r="K174" s="20">
        <v>27.959599999999998</v>
      </c>
      <c r="L174" s="20">
        <v>34.915999999999997</v>
      </c>
      <c r="M174" s="20">
        <v>36.536499999999997</v>
      </c>
      <c r="N174" s="20">
        <v>17.388300000000001</v>
      </c>
      <c r="O174" s="20">
        <f t="shared" si="18"/>
        <v>29.901262499999998</v>
      </c>
      <c r="P174" s="7"/>
      <c r="Q174" s="13"/>
      <c r="R174" s="14"/>
      <c r="S174" s="14"/>
      <c r="T174" s="27"/>
      <c r="U174" s="28">
        <f t="shared" si="19"/>
        <v>-0.24985763589301116</v>
      </c>
      <c r="V174" s="57">
        <f t="shared" si="21"/>
        <v>4.9249999999999974E-2</v>
      </c>
      <c r="W174" s="57">
        <f t="shared" si="20"/>
        <v>7.4746666666665835E-3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853.04</v>
      </c>
      <c r="D175" s="16">
        <v>35.872</v>
      </c>
      <c r="E175" s="16">
        <v>39.811999999999998</v>
      </c>
      <c r="F175" s="16">
        <v>38.588999999999999</v>
      </c>
      <c r="G175" s="16">
        <v>63.88</v>
      </c>
      <c r="H175" s="16">
        <f t="shared" si="17"/>
        <v>36.704124999999998</v>
      </c>
      <c r="I175" s="5"/>
      <c r="J175" s="15">
        <v>607.94560000000001</v>
      </c>
      <c r="K175" s="16">
        <v>34.808</v>
      </c>
      <c r="L175" s="16">
        <v>40.722799999999999</v>
      </c>
      <c r="M175" s="16">
        <v>39.211399999999998</v>
      </c>
      <c r="N175" s="16">
        <v>44.694699999999997</v>
      </c>
      <c r="O175" s="16">
        <f t="shared" si="18"/>
        <v>36.097774999999999</v>
      </c>
      <c r="P175" s="7"/>
      <c r="Q175" s="8">
        <f>bdrate(C175:C178,D175:D178,J175:J178,K175:K178)</f>
        <v>-0.17728104045117454</v>
      </c>
      <c r="R175" s="8">
        <f>bdrate(C175:C178,E175:E178,J175:J178,L175:L178)</f>
        <v>-0.48607152111255492</v>
      </c>
      <c r="S175" s="8">
        <f>bdrate(C175:C178,F175:F178,J175:J178,M175:M178)</f>
        <v>-0.40972515527473508</v>
      </c>
      <c r="T175" s="25">
        <f>bdrate(C175:C178,H175:H178,J175:J178,O175:O178)</f>
        <v>-0.22691467306280955</v>
      </c>
      <c r="U175" s="28">
        <f t="shared" si="19"/>
        <v>-0.30033343769567944</v>
      </c>
      <c r="V175" s="57">
        <f t="shared" si="21"/>
        <v>6.6299999999999956E-2</v>
      </c>
      <c r="W175" s="57">
        <f t="shared" si="20"/>
        <v>1.3242666666666689E-2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536.74</v>
      </c>
      <c r="D176" s="18">
        <v>33.555999999999997</v>
      </c>
      <c r="E176" s="18">
        <v>38.463000000000001</v>
      </c>
      <c r="F176" s="18">
        <v>37.048000000000002</v>
      </c>
      <c r="G176" s="18">
        <v>71.819999999999993</v>
      </c>
      <c r="H176" s="18">
        <f t="shared" si="17"/>
        <v>34.605874999999997</v>
      </c>
      <c r="I176" s="5"/>
      <c r="J176" s="17">
        <v>404.01519999999999</v>
      </c>
      <c r="K176" s="18">
        <v>32.916499999999999</v>
      </c>
      <c r="L176" s="18">
        <v>39.456200000000003</v>
      </c>
      <c r="M176" s="18">
        <v>37.794400000000003</v>
      </c>
      <c r="N176" s="18">
        <v>50.694499999999998</v>
      </c>
      <c r="O176" s="18">
        <f t="shared" si="18"/>
        <v>34.343699999999998</v>
      </c>
      <c r="P176" s="7"/>
      <c r="Q176" s="10"/>
      <c r="R176" s="11"/>
      <c r="S176" s="11"/>
      <c r="T176" s="26"/>
      <c r="U176" s="28">
        <f t="shared" si="19"/>
        <v>-0.2941450849345586</v>
      </c>
      <c r="V176" s="57">
        <f t="shared" si="21"/>
        <v>7.3480000000000018E-2</v>
      </c>
      <c r="W176" s="57">
        <f t="shared" si="20"/>
        <v>1.0037999999999983E-2</v>
      </c>
      <c r="X176" s="56">
        <v>500</v>
      </c>
      <c r="Y176" s="56">
        <v>400</v>
      </c>
    </row>
    <row r="177" spans="1:25" x14ac:dyDescent="0.25">
      <c r="B177" s="9"/>
      <c r="C177" s="17">
        <v>326.89</v>
      </c>
      <c r="D177" s="18">
        <v>31.183</v>
      </c>
      <c r="E177" s="18">
        <v>37.247999999999998</v>
      </c>
      <c r="F177" s="18">
        <v>35.662999999999997</v>
      </c>
      <c r="G177" s="18">
        <v>81.7</v>
      </c>
      <c r="H177" s="18">
        <f t="shared" si="17"/>
        <v>32.501125000000002</v>
      </c>
      <c r="I177" s="5"/>
      <c r="J177" s="17">
        <v>252.9384</v>
      </c>
      <c r="K177" s="18">
        <v>30.864699999999999</v>
      </c>
      <c r="L177" s="18">
        <v>38.272599999999997</v>
      </c>
      <c r="M177" s="18">
        <v>36.455300000000001</v>
      </c>
      <c r="N177" s="18">
        <v>58.962299999999999</v>
      </c>
      <c r="O177" s="18">
        <f t="shared" si="18"/>
        <v>32.489512500000004</v>
      </c>
      <c r="P177" s="7"/>
      <c r="Q177" s="10"/>
      <c r="R177" s="11"/>
      <c r="S177" s="11"/>
      <c r="T177" s="26"/>
      <c r="U177" s="28">
        <f t="shared" si="19"/>
        <v>-0.2783072215422277</v>
      </c>
      <c r="V177" s="57">
        <f t="shared" si="21"/>
        <v>8.9633333333333287E-2</v>
      </c>
      <c r="W177" s="57">
        <f t="shared" si="20"/>
        <v>1.1753600000000006E-2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168.59</v>
      </c>
      <c r="D178" s="20">
        <v>27.983000000000001</v>
      </c>
      <c r="E178" s="20">
        <v>35.878</v>
      </c>
      <c r="F178" s="20">
        <v>34.01</v>
      </c>
      <c r="G178" s="20">
        <v>101.52</v>
      </c>
      <c r="H178" s="20">
        <f t="shared" si="17"/>
        <v>29.72325</v>
      </c>
      <c r="I178" s="5"/>
      <c r="J178" s="19">
        <v>121.8456</v>
      </c>
      <c r="K178" s="20">
        <v>27.999199999999998</v>
      </c>
      <c r="L178" s="20">
        <v>36.536900000000003</v>
      </c>
      <c r="M178" s="20">
        <v>34.400300000000001</v>
      </c>
      <c r="N178" s="20">
        <v>73.7898</v>
      </c>
      <c r="O178" s="20">
        <f t="shared" si="18"/>
        <v>29.866549999999997</v>
      </c>
      <c r="P178" s="7"/>
      <c r="Q178" s="13"/>
      <c r="R178" s="14"/>
      <c r="S178" s="14"/>
      <c r="T178" s="27"/>
      <c r="U178" s="28">
        <f t="shared" si="19"/>
        <v>-0.27315011820330964</v>
      </c>
      <c r="V178" s="57">
        <f t="shared" si="21"/>
        <v>0.12393333333333335</v>
      </c>
      <c r="W178" s="57">
        <f t="shared" si="20"/>
        <v>1.5380000000000038E-2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739.36</v>
      </c>
      <c r="D179" s="16">
        <v>32.555999999999997</v>
      </c>
      <c r="E179" s="16">
        <v>39.613</v>
      </c>
      <c r="F179" s="16">
        <v>40.323999999999998</v>
      </c>
      <c r="G179" s="16">
        <v>69.89</v>
      </c>
      <c r="H179" s="16">
        <f t="shared" si="17"/>
        <v>34.409124999999996</v>
      </c>
      <c r="I179" s="5"/>
      <c r="J179" s="15">
        <v>601.56880000000001</v>
      </c>
      <c r="K179" s="16">
        <v>33.805100000000003</v>
      </c>
      <c r="L179" s="16">
        <v>41.902799999999999</v>
      </c>
      <c r="M179" s="16">
        <v>42.840299999999999</v>
      </c>
      <c r="N179" s="16">
        <v>53.243400000000001</v>
      </c>
      <c r="O179" s="16">
        <f t="shared" si="18"/>
        <v>35.946712500000004</v>
      </c>
      <c r="P179" s="7"/>
      <c r="Q179" s="8">
        <f>bdrate(C179:C182,D179:D182,J179:J182,K179:K182)</f>
        <v>-0.48191971231941422</v>
      </c>
      <c r="R179" s="8">
        <f>bdrate(C179:C182,E179:E182,J179:J182,L179:L182)</f>
        <v>-0.72516862409802507</v>
      </c>
      <c r="S179" s="8">
        <f>bdrate(C179:C182,F179:F182,J179:J182,M179:M182)</f>
        <v>-0.74635273775037869</v>
      </c>
      <c r="T179" s="25">
        <f>bdrate(C179:C182,H179:H182,J179:J182,O179:O182)</f>
        <v>-0.52757459726204581</v>
      </c>
      <c r="U179" s="28">
        <f t="shared" si="19"/>
        <v>-0.23818285877807982</v>
      </c>
      <c r="V179" s="57">
        <f t="shared" si="21"/>
        <v>7.5799999999999979E-2</v>
      </c>
      <c r="W179" s="57">
        <f t="shared" si="20"/>
        <v>2.6146666666666835E-3</v>
      </c>
      <c r="X179" s="56">
        <v>800</v>
      </c>
      <c r="Y179" s="56">
        <v>600</v>
      </c>
    </row>
    <row r="180" spans="1:25" x14ac:dyDescent="0.25">
      <c r="B180" s="9"/>
      <c r="C180" s="17">
        <v>456.58</v>
      </c>
      <c r="D180" s="18">
        <v>30.867000000000001</v>
      </c>
      <c r="E180" s="18">
        <v>39.08</v>
      </c>
      <c r="F180" s="18">
        <v>39.594999999999999</v>
      </c>
      <c r="G180" s="18">
        <v>82.76</v>
      </c>
      <c r="H180" s="18">
        <f t="shared" si="17"/>
        <v>32.984624999999994</v>
      </c>
      <c r="I180" s="5"/>
      <c r="J180" s="17">
        <v>400.58319999999998</v>
      </c>
      <c r="K180" s="18">
        <v>32.545099999999998</v>
      </c>
      <c r="L180" s="18">
        <v>41.051600000000001</v>
      </c>
      <c r="M180" s="18">
        <v>41.947400000000002</v>
      </c>
      <c r="N180" s="18">
        <v>59.8504</v>
      </c>
      <c r="O180" s="18">
        <f t="shared" si="18"/>
        <v>34.783700000000003</v>
      </c>
      <c r="P180" s="7"/>
      <c r="Q180" s="10"/>
      <c r="R180" s="11"/>
      <c r="S180" s="11"/>
      <c r="T180" s="26"/>
      <c r="U180" s="28">
        <f t="shared" si="19"/>
        <v>-0.27681971967133884</v>
      </c>
      <c r="V180" s="57">
        <f t="shared" si="21"/>
        <v>8.6840000000000028E-2</v>
      </c>
      <c r="W180" s="57">
        <f t="shared" si="20"/>
        <v>1.4579999999999415E-3</v>
      </c>
      <c r="X180" s="56">
        <v>500</v>
      </c>
      <c r="Y180" s="56">
        <v>400</v>
      </c>
    </row>
    <row r="181" spans="1:25" x14ac:dyDescent="0.25">
      <c r="B181" s="9"/>
      <c r="C181" s="17">
        <v>271.33</v>
      </c>
      <c r="D181" s="18">
        <v>29.065999999999999</v>
      </c>
      <c r="E181" s="18">
        <v>38.555999999999997</v>
      </c>
      <c r="F181" s="18">
        <v>38.817999999999998</v>
      </c>
      <c r="G181" s="18">
        <v>95.79</v>
      </c>
      <c r="H181" s="18">
        <f t="shared" si="17"/>
        <v>31.471249999999998</v>
      </c>
      <c r="I181" s="5"/>
      <c r="J181" s="17">
        <v>250.68960000000001</v>
      </c>
      <c r="K181" s="18">
        <v>31.0808</v>
      </c>
      <c r="L181" s="18">
        <v>40.132599999999996</v>
      </c>
      <c r="M181" s="18">
        <v>40.995399999999997</v>
      </c>
      <c r="N181" s="18">
        <v>68.368300000000005</v>
      </c>
      <c r="O181" s="18">
        <f t="shared" si="18"/>
        <v>33.451599999999999</v>
      </c>
      <c r="P181" s="7"/>
      <c r="Q181" s="10"/>
      <c r="R181" s="11"/>
      <c r="S181" s="11"/>
      <c r="T181" s="26"/>
      <c r="U181" s="28">
        <f t="shared" si="19"/>
        <v>-0.28626892159933187</v>
      </c>
      <c r="V181" s="57">
        <f t="shared" si="21"/>
        <v>9.5566666666666716E-2</v>
      </c>
      <c r="W181" s="57">
        <f t="shared" si="20"/>
        <v>2.7584000000000514E-3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134.55000000000001</v>
      </c>
      <c r="D182" s="20">
        <v>26.552</v>
      </c>
      <c r="E182" s="20">
        <v>37.875</v>
      </c>
      <c r="F182" s="20">
        <v>38.063000000000002</v>
      </c>
      <c r="G182" s="20">
        <v>113.59</v>
      </c>
      <c r="H182" s="20">
        <f t="shared" si="17"/>
        <v>29.40625</v>
      </c>
      <c r="I182" s="5"/>
      <c r="J182" s="19">
        <v>119.58159999999999</v>
      </c>
      <c r="K182" s="20">
        <v>28.5214</v>
      </c>
      <c r="L182" s="20">
        <v>38.929000000000002</v>
      </c>
      <c r="M182" s="20">
        <v>39.566099999999999</v>
      </c>
      <c r="N182" s="20">
        <v>84.877600000000001</v>
      </c>
      <c r="O182" s="20">
        <f t="shared" si="18"/>
        <v>31.202937500000001</v>
      </c>
      <c r="P182" s="7"/>
      <c r="Q182" s="13"/>
      <c r="R182" s="14"/>
      <c r="S182" s="14"/>
      <c r="T182" s="27"/>
      <c r="U182" s="28">
        <f t="shared" si="19"/>
        <v>-0.25277225107844004</v>
      </c>
      <c r="V182" s="57">
        <f t="shared" si="21"/>
        <v>0.10299999999999992</v>
      </c>
      <c r="W182" s="57">
        <f t="shared" si="20"/>
        <v>3.4866666666667121E-3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826.79</v>
      </c>
      <c r="D183" s="30">
        <v>33.790999999999997</v>
      </c>
      <c r="E183" s="30">
        <v>37.33</v>
      </c>
      <c r="F183" s="30">
        <v>37.783999999999999</v>
      </c>
      <c r="G183" s="16">
        <v>57.69</v>
      </c>
      <c r="H183" s="16">
        <f t="shared" si="17"/>
        <v>34.732499999999995</v>
      </c>
      <c r="I183" s="5"/>
      <c r="J183" s="29">
        <v>615.47040000000004</v>
      </c>
      <c r="K183" s="30">
        <v>33.143999999999998</v>
      </c>
      <c r="L183" s="30">
        <v>38.895699999999998</v>
      </c>
      <c r="M183" s="30">
        <v>39.705599999999997</v>
      </c>
      <c r="N183" s="16">
        <v>50.561199999999999</v>
      </c>
      <c r="O183" s="16">
        <f t="shared" si="18"/>
        <v>34.683162499999995</v>
      </c>
      <c r="P183" s="7"/>
      <c r="Q183" s="8">
        <f>bdrate(C183:C186,D183:D186,J183:J186,K183:K186)</f>
        <v>-0.20291084563397566</v>
      </c>
      <c r="R183" s="8">
        <f>bdrate(C183:C186,E183:E186,J183:J186,L183:L186)</f>
        <v>-0.63347713430238839</v>
      </c>
      <c r="S183" s="8">
        <f>bdrate(C183:C186,F183:F186,J183:J186,M183:M186)</f>
        <v>-0.66346193407120979</v>
      </c>
      <c r="T183" s="25">
        <f>bdrate(C183:C186,H183:H186,J183:J186,O183:O186)</f>
        <v>-0.29803221925626311</v>
      </c>
      <c r="U183" s="28">
        <f t="shared" si="19"/>
        <v>-0.1235708094990466</v>
      </c>
      <c r="V183" s="57">
        <f t="shared" si="21"/>
        <v>3.3487499999999955E-2</v>
      </c>
      <c r="W183" s="57">
        <f t="shared" si="20"/>
        <v>2.5784000000000067E-2</v>
      </c>
      <c r="X183" s="56">
        <v>800</v>
      </c>
      <c r="Y183" s="56">
        <v>600</v>
      </c>
    </row>
    <row r="184" spans="1:25" x14ac:dyDescent="0.25">
      <c r="B184" s="9"/>
      <c r="C184" s="31">
        <v>514.72</v>
      </c>
      <c r="D184" s="32">
        <v>31.818999999999999</v>
      </c>
      <c r="E184" s="32">
        <v>36.124000000000002</v>
      </c>
      <c r="F184" s="32">
        <v>36.58</v>
      </c>
      <c r="G184" s="18">
        <v>64.41</v>
      </c>
      <c r="H184" s="18">
        <f t="shared" si="17"/>
        <v>32.952249999999999</v>
      </c>
      <c r="I184" s="5"/>
      <c r="J184" s="31">
        <v>411.40640000000002</v>
      </c>
      <c r="K184" s="32">
        <v>31.661000000000001</v>
      </c>
      <c r="L184" s="32">
        <v>37.914400000000001</v>
      </c>
      <c r="M184" s="32">
        <v>38.645699999999998</v>
      </c>
      <c r="N184" s="18">
        <v>57.142899999999997</v>
      </c>
      <c r="O184" s="18">
        <f t="shared" si="18"/>
        <v>33.315762499999998</v>
      </c>
      <c r="P184" s="7"/>
      <c r="Q184" s="10"/>
      <c r="R184" s="11"/>
      <c r="S184" s="11"/>
      <c r="T184" s="26"/>
      <c r="U184" s="28">
        <f t="shared" si="19"/>
        <v>-0.11282564819127464</v>
      </c>
      <c r="V184" s="57">
        <f t="shared" si="21"/>
        <v>2.9440000000000053E-2</v>
      </c>
      <c r="W184" s="57">
        <f t="shared" si="20"/>
        <v>2.8516000000000048E-2</v>
      </c>
      <c r="X184" s="56">
        <v>500</v>
      </c>
      <c r="Y184" s="56">
        <v>400</v>
      </c>
    </row>
    <row r="185" spans="1:25" x14ac:dyDescent="0.25">
      <c r="B185" s="9"/>
      <c r="C185" s="31">
        <v>306.45999999999998</v>
      </c>
      <c r="D185" s="32">
        <v>29.792999999999999</v>
      </c>
      <c r="E185" s="32">
        <v>35.125</v>
      </c>
      <c r="F185" s="32">
        <v>35.582999999999998</v>
      </c>
      <c r="G185" s="18">
        <v>74.150000000000006</v>
      </c>
      <c r="H185" s="18">
        <f t="shared" si="17"/>
        <v>31.183249999999997</v>
      </c>
      <c r="I185" s="5"/>
      <c r="J185" s="31">
        <v>258.28879999999998</v>
      </c>
      <c r="K185" s="32">
        <v>30.053899999999999</v>
      </c>
      <c r="L185" s="32">
        <v>36.837299999999999</v>
      </c>
      <c r="M185" s="32">
        <v>37.4756</v>
      </c>
      <c r="N185" s="18">
        <v>63.339199999999998</v>
      </c>
      <c r="O185" s="18">
        <f t="shared" si="18"/>
        <v>31.829537500000001</v>
      </c>
      <c r="P185" s="7"/>
      <c r="Q185" s="10"/>
      <c r="R185" s="11"/>
      <c r="S185" s="11"/>
      <c r="T185" s="26"/>
      <c r="U185" s="28">
        <f t="shared" si="19"/>
        <v>-0.14579635873229949</v>
      </c>
      <c r="V185" s="57">
        <f t="shared" si="21"/>
        <v>2.1533333333333265E-2</v>
      </c>
      <c r="W185" s="57">
        <f t="shared" si="20"/>
        <v>3.3155199999999919E-2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150.21</v>
      </c>
      <c r="D186" s="34">
        <v>27.277000000000001</v>
      </c>
      <c r="E186" s="34">
        <v>34.057000000000002</v>
      </c>
      <c r="F186" s="34">
        <v>34.564999999999998</v>
      </c>
      <c r="G186" s="20">
        <v>91.08</v>
      </c>
      <c r="H186" s="20">
        <f t="shared" si="17"/>
        <v>29.035499999999999</v>
      </c>
      <c r="I186" s="5"/>
      <c r="J186" s="33">
        <v>122.7872</v>
      </c>
      <c r="K186" s="34">
        <v>27.629100000000001</v>
      </c>
      <c r="L186" s="34">
        <v>35.289499999999997</v>
      </c>
      <c r="M186" s="34">
        <v>35.9495</v>
      </c>
      <c r="N186" s="20">
        <v>76.816699999999997</v>
      </c>
      <c r="O186" s="20">
        <f t="shared" si="18"/>
        <v>29.626700000000003</v>
      </c>
      <c r="P186" s="7"/>
      <c r="Q186" s="13"/>
      <c r="R186" s="14"/>
      <c r="S186" s="14"/>
      <c r="T186" s="27"/>
      <c r="U186" s="28">
        <f t="shared" si="19"/>
        <v>-0.15660188844971454</v>
      </c>
      <c r="V186" s="57">
        <f t="shared" si="21"/>
        <v>1.4000000000000531E-3</v>
      </c>
      <c r="W186" s="57">
        <f t="shared" si="20"/>
        <v>2.3226666666666656E-2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762.55</v>
      </c>
      <c r="D187" s="16">
        <v>35.542999999999999</v>
      </c>
      <c r="E187" s="16">
        <v>37.750999999999998</v>
      </c>
      <c r="F187" s="16">
        <v>38.892000000000003</v>
      </c>
      <c r="G187" s="16">
        <v>48.42</v>
      </c>
      <c r="H187" s="16">
        <f t="shared" si="17"/>
        <v>36.237625000000001</v>
      </c>
      <c r="I187" s="5"/>
      <c r="J187" s="15">
        <v>607.01599999999996</v>
      </c>
      <c r="K187" s="16">
        <v>34.208799999999997</v>
      </c>
      <c r="L187" s="16">
        <v>38.607999999999997</v>
      </c>
      <c r="M187" s="16">
        <v>39.749299999999998</v>
      </c>
      <c r="N187" s="16">
        <v>31.380800000000001</v>
      </c>
      <c r="O187" s="16">
        <f t="shared" si="18"/>
        <v>35.451262499999999</v>
      </c>
      <c r="P187" s="7"/>
      <c r="Q187" s="8">
        <f>bdrate(C187:C190,D187:D190,J187:J190,K187:K190)</f>
        <v>-3.6534271624558579E-2</v>
      </c>
      <c r="R187" s="8">
        <f>bdrate(C187:C190,E187:E190,J187:J190,L187:L190)</f>
        <v>-0.42451299470107895</v>
      </c>
      <c r="S187" s="8">
        <f>bdrate(C187:C190,F187:F190,J187:J190,M187:M190)</f>
        <v>-0.42402049213360671</v>
      </c>
      <c r="T187" s="25">
        <f>bdrate(C187:C190,H187:H190,J187:J190,O187:O190)</f>
        <v>-0.10986701526493403</v>
      </c>
      <c r="U187" s="28">
        <f t="shared" si="19"/>
        <v>-0.35190417182982242</v>
      </c>
      <c r="V187" s="57">
        <f t="shared" si="21"/>
        <v>4.6812500000000055E-2</v>
      </c>
      <c r="W187" s="57">
        <f t="shared" si="20"/>
        <v>1.1693333333333271E-2</v>
      </c>
      <c r="X187" s="56">
        <v>800</v>
      </c>
      <c r="Y187" s="56">
        <v>600</v>
      </c>
    </row>
    <row r="188" spans="1:25" x14ac:dyDescent="0.25">
      <c r="B188" s="9"/>
      <c r="C188" s="17">
        <v>479.58</v>
      </c>
      <c r="D188" s="18">
        <v>33.219000000000001</v>
      </c>
      <c r="E188" s="18">
        <v>36.436</v>
      </c>
      <c r="F188" s="18">
        <v>37.552999999999997</v>
      </c>
      <c r="G188" s="18">
        <v>54.31</v>
      </c>
      <c r="H188" s="18">
        <f t="shared" si="17"/>
        <v>34.162875</v>
      </c>
      <c r="I188" s="5"/>
      <c r="J188" s="17">
        <v>401.60079999999999</v>
      </c>
      <c r="K188" s="18">
        <v>32.332799999999999</v>
      </c>
      <c r="L188" s="18">
        <v>37.401699999999998</v>
      </c>
      <c r="M188" s="18">
        <v>38.515099999999997</v>
      </c>
      <c r="N188" s="18">
        <v>36.253799999999998</v>
      </c>
      <c r="O188" s="18">
        <f t="shared" si="18"/>
        <v>33.739200000000004</v>
      </c>
      <c r="P188" s="7"/>
      <c r="Q188" s="10"/>
      <c r="R188" s="11"/>
      <c r="S188" s="11"/>
      <c r="T188" s="26"/>
      <c r="U188" s="28">
        <f t="shared" si="19"/>
        <v>-0.33246547597127607</v>
      </c>
      <c r="V188" s="57">
        <f t="shared" si="21"/>
        <v>4.0840000000000029E-2</v>
      </c>
      <c r="W188" s="57">
        <f t="shared" si="20"/>
        <v>4.0019999999999813E-3</v>
      </c>
      <c r="X188" s="56">
        <v>500</v>
      </c>
      <c r="Y188" s="56">
        <v>400</v>
      </c>
    </row>
    <row r="189" spans="1:25" x14ac:dyDescent="0.25">
      <c r="B189" s="9"/>
      <c r="C189" s="17">
        <v>289.24</v>
      </c>
      <c r="D189" s="18">
        <v>30.905000000000001</v>
      </c>
      <c r="E189" s="18">
        <v>35.203000000000003</v>
      </c>
      <c r="F189" s="18">
        <v>36.307000000000002</v>
      </c>
      <c r="G189" s="18">
        <v>62.72</v>
      </c>
      <c r="H189" s="18">
        <f t="shared" si="17"/>
        <v>32.1175</v>
      </c>
      <c r="I189" s="5"/>
      <c r="J189" s="17">
        <v>253.6096</v>
      </c>
      <c r="K189" s="18">
        <v>30.484999999999999</v>
      </c>
      <c r="L189" s="18">
        <v>36.192799999999998</v>
      </c>
      <c r="M189" s="18">
        <v>37.322499999999998</v>
      </c>
      <c r="N189" s="18">
        <v>42.313099999999999</v>
      </c>
      <c r="O189" s="18">
        <f t="shared" si="18"/>
        <v>32.053162499999999</v>
      </c>
      <c r="P189" s="7"/>
      <c r="Q189" s="10"/>
      <c r="R189" s="11"/>
      <c r="S189" s="11"/>
      <c r="T189" s="26"/>
      <c r="U189" s="28">
        <f t="shared" si="19"/>
        <v>-0.3253651147959184</v>
      </c>
      <c r="V189" s="57">
        <f t="shared" si="21"/>
        <v>3.5866666666666637E-2</v>
      </c>
      <c r="W189" s="57">
        <f t="shared" si="20"/>
        <v>1.4438400000000002E-2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143.91999999999999</v>
      </c>
      <c r="D190" s="20">
        <v>27.85</v>
      </c>
      <c r="E190" s="20">
        <v>33.762999999999998</v>
      </c>
      <c r="F190" s="20">
        <v>34.784999999999997</v>
      </c>
      <c r="G190" s="20">
        <v>79.739999999999995</v>
      </c>
      <c r="H190" s="20">
        <f t="shared" si="17"/>
        <v>29.456000000000003</v>
      </c>
      <c r="I190" s="5"/>
      <c r="J190" s="19">
        <v>121.83839999999999</v>
      </c>
      <c r="K190" s="20">
        <v>27.909099999999999</v>
      </c>
      <c r="L190" s="20">
        <v>34.653100000000002</v>
      </c>
      <c r="M190" s="20">
        <v>35.717199999999998</v>
      </c>
      <c r="N190" s="20">
        <v>53.485500000000002</v>
      </c>
      <c r="O190" s="20">
        <f t="shared" si="18"/>
        <v>29.728112499999998</v>
      </c>
      <c r="P190" s="7"/>
      <c r="Q190" s="13"/>
      <c r="R190" s="14"/>
      <c r="S190" s="14"/>
      <c r="T190" s="27"/>
      <c r="U190" s="28">
        <f t="shared" si="19"/>
        <v>-0.3292513167795334</v>
      </c>
      <c r="V190" s="57">
        <f t="shared" si="21"/>
        <v>4.0533333333333414E-2</v>
      </c>
      <c r="W190" s="57">
        <f t="shared" si="20"/>
        <v>1.5319999999999941E-2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1900.73</v>
      </c>
      <c r="D191" s="16">
        <v>41.363</v>
      </c>
      <c r="E191" s="16">
        <v>44.933</v>
      </c>
      <c r="F191" s="16">
        <v>46.033999999999999</v>
      </c>
      <c r="G191" s="16">
        <v>13.05</v>
      </c>
      <c r="H191" s="16">
        <f t="shared" si="17"/>
        <v>42.393124999999998</v>
      </c>
      <c r="I191" s="5"/>
      <c r="J191" s="15">
        <v>1505.0952</v>
      </c>
      <c r="K191" s="16">
        <v>41.654600000000002</v>
      </c>
      <c r="L191" s="16">
        <v>46.400700000000001</v>
      </c>
      <c r="M191" s="16">
        <v>47.682899999999997</v>
      </c>
      <c r="N191" s="16">
        <v>14.2667</v>
      </c>
      <c r="O191" s="16">
        <f t="shared" si="18"/>
        <v>43.001400000000004</v>
      </c>
      <c r="P191" s="7"/>
      <c r="Q191" s="8">
        <f>bdrate(C191:C194,D191:D194,J191:J194,K191:K194)</f>
        <v>-0.34685109517246382</v>
      </c>
      <c r="R191" s="8">
        <f>bdrate(C191:C194,E191:E194,J191:J194,L191:L194)</f>
        <v>-0.57518905422192401</v>
      </c>
      <c r="S191" s="8">
        <f>bdrate(C191:C194,F191:F194,J191:J194,M191:M194)</f>
        <v>-0.58402618946200024</v>
      </c>
      <c r="T191" s="25">
        <f>bdrate(C191:C194,H191:H194,J191:J194,O191:O194)</f>
        <v>-0.39997540995111602</v>
      </c>
      <c r="U191" s="28">
        <f t="shared" si="19"/>
        <v>9.3233716475095735E-2</v>
      </c>
      <c r="V191" s="57">
        <f t="shared" si="21"/>
        <v>9.4890476190476178E-2</v>
      </c>
      <c r="W191" s="57">
        <f t="shared" si="20"/>
        <v>3.3967999999999846E-3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1240.92</v>
      </c>
      <c r="D192" s="18">
        <v>40.104999999999997</v>
      </c>
      <c r="E192" s="18">
        <v>43.918999999999997</v>
      </c>
      <c r="F192" s="18">
        <v>45.000999999999998</v>
      </c>
      <c r="G192" s="18">
        <v>15.13</v>
      </c>
      <c r="H192" s="18">
        <f t="shared" si="17"/>
        <v>41.193749999999994</v>
      </c>
      <c r="I192" s="5"/>
      <c r="J192" s="17">
        <v>986.86400000000003</v>
      </c>
      <c r="K192" s="18">
        <v>40.539700000000003</v>
      </c>
      <c r="L192" s="18">
        <v>45.499000000000002</v>
      </c>
      <c r="M192" s="18">
        <v>46.709000000000003</v>
      </c>
      <c r="N192" s="18">
        <v>16.9176</v>
      </c>
      <c r="O192" s="18">
        <f t="shared" si="18"/>
        <v>41.930775000000004</v>
      </c>
      <c r="P192" s="7"/>
      <c r="Q192" s="10"/>
      <c r="R192" s="11"/>
      <c r="S192" s="11"/>
      <c r="T192" s="26"/>
      <c r="U192" s="28">
        <f t="shared" si="19"/>
        <v>0.11814937210839388</v>
      </c>
      <c r="V192" s="57">
        <f t="shared" si="21"/>
        <v>0.11362857142857137</v>
      </c>
      <c r="W192" s="57">
        <f t="shared" si="20"/>
        <v>1.3135999999999967E-2</v>
      </c>
      <c r="X192" s="56">
        <v>1400</v>
      </c>
      <c r="Y192" s="56">
        <v>1000</v>
      </c>
    </row>
    <row r="193" spans="1:25" x14ac:dyDescent="0.25">
      <c r="B193" s="9"/>
      <c r="C193" s="17">
        <v>737.28</v>
      </c>
      <c r="D193" s="18">
        <v>37.874000000000002</v>
      </c>
      <c r="E193" s="18">
        <v>42.231999999999999</v>
      </c>
      <c r="F193" s="18">
        <v>43.375</v>
      </c>
      <c r="G193" s="18">
        <v>17.190000000000001</v>
      </c>
      <c r="H193" s="18">
        <f t="shared" si="17"/>
        <v>39.106375</v>
      </c>
      <c r="I193" s="5"/>
      <c r="J193" s="17">
        <v>565.35839999999996</v>
      </c>
      <c r="K193" s="18">
        <v>38.601100000000002</v>
      </c>
      <c r="L193" s="18">
        <v>44.024700000000003</v>
      </c>
      <c r="M193" s="18">
        <v>45.221600000000002</v>
      </c>
      <c r="N193" s="18">
        <v>20.232700000000001</v>
      </c>
      <c r="O193" s="18">
        <f t="shared" si="18"/>
        <v>40.106612500000004</v>
      </c>
      <c r="P193" s="7"/>
      <c r="Q193" s="10"/>
      <c r="R193" s="11"/>
      <c r="S193" s="11"/>
      <c r="T193" s="26"/>
      <c r="U193" s="28">
        <f t="shared" si="19"/>
        <v>0.17700407213496216</v>
      </c>
      <c r="V193" s="57">
        <f t="shared" si="21"/>
        <v>0.13261176470588237</v>
      </c>
      <c r="W193" s="57">
        <f t="shared" si="20"/>
        <v>5.7736000000000065E-2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339.86</v>
      </c>
      <c r="D194" s="20">
        <v>33.460999999999999</v>
      </c>
      <c r="E194" s="20">
        <v>40.026000000000003</v>
      </c>
      <c r="F194" s="20">
        <v>41.067</v>
      </c>
      <c r="G194" s="20">
        <v>19.03</v>
      </c>
      <c r="H194" s="20">
        <f t="shared" si="17"/>
        <v>35.232374999999998</v>
      </c>
      <c r="I194" s="5"/>
      <c r="J194" s="19">
        <v>277.08800000000002</v>
      </c>
      <c r="K194" s="20">
        <v>35.331099999999999</v>
      </c>
      <c r="L194" s="20">
        <v>41.968699999999998</v>
      </c>
      <c r="M194" s="20">
        <v>43.053400000000003</v>
      </c>
      <c r="N194" s="20">
        <v>25.427</v>
      </c>
      <c r="O194" s="20">
        <f t="shared" si="18"/>
        <v>37.126087500000004</v>
      </c>
      <c r="P194" s="7"/>
      <c r="Q194" s="13"/>
      <c r="R194" s="14"/>
      <c r="S194" s="14"/>
      <c r="T194" s="27"/>
      <c r="U194" s="28">
        <f t="shared" si="19"/>
        <v>0.33615344193378865</v>
      </c>
      <c r="V194" s="57">
        <f t="shared" si="21"/>
        <v>0.15034999999999996</v>
      </c>
      <c r="W194" s="57">
        <f t="shared" si="20"/>
        <v>7.6373333333333265E-2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1968.08</v>
      </c>
      <c r="D195" s="16">
        <v>42.33</v>
      </c>
      <c r="E195" s="16">
        <v>46.872999999999998</v>
      </c>
      <c r="F195" s="16">
        <v>47.378999999999998</v>
      </c>
      <c r="G195" s="16">
        <v>12.92</v>
      </c>
      <c r="H195" s="16">
        <f t="shared" si="17"/>
        <v>43.529000000000003</v>
      </c>
      <c r="I195" s="5"/>
      <c r="J195" s="15">
        <v>1537.3696</v>
      </c>
      <c r="K195" s="16">
        <v>42.756399999999999</v>
      </c>
      <c r="L195" s="16">
        <v>48.155900000000003</v>
      </c>
      <c r="M195" s="16">
        <v>48.916800000000002</v>
      </c>
      <c r="N195" s="16">
        <v>16.007300000000001</v>
      </c>
      <c r="O195" s="16">
        <f t="shared" si="18"/>
        <v>44.201387500000003</v>
      </c>
      <c r="P195" s="7"/>
      <c r="Q195" s="8">
        <f>bdrate(C195:C198,D195:D198,J195:J198,K195:K198)</f>
        <v>-0.50163890649210763</v>
      </c>
      <c r="R195" s="8">
        <f>bdrate(C195:C198,E195:E198,J195:J198,L195:L198)</f>
        <v>-0.72905746946282091</v>
      </c>
      <c r="S195" s="8">
        <f>bdrate(C195:C198,F195:F198,J195:J198,M195:M198)</f>
        <v>-0.75212314068598796</v>
      </c>
      <c r="T195" s="25">
        <f>bdrate(C195:C198,H195:H198,J195:J198,O195:O198)</f>
        <v>-0.57787453301662117</v>
      </c>
      <c r="U195" s="28">
        <f t="shared" ref="U195:U202" si="22">(N195-G195)/G195</f>
        <v>0.23895510835913319</v>
      </c>
      <c r="V195" s="57">
        <f t="shared" si="21"/>
        <v>6.2819047619047649E-2</v>
      </c>
      <c r="W195" s="57">
        <f t="shared" ref="W195:W202" si="23">ABS(J195-Y195)/Y195</f>
        <v>2.491306666666666E-2</v>
      </c>
      <c r="X195" s="56">
        <v>2100</v>
      </c>
      <c r="Y195" s="56">
        <v>1500</v>
      </c>
    </row>
    <row r="196" spans="1:25" x14ac:dyDescent="0.25">
      <c r="B196" s="9"/>
      <c r="C196" s="17">
        <v>1292.32</v>
      </c>
      <c r="D196" s="18">
        <v>41.643000000000001</v>
      </c>
      <c r="E196" s="18">
        <v>45.895000000000003</v>
      </c>
      <c r="F196" s="18">
        <v>46.247999999999998</v>
      </c>
      <c r="G196" s="18">
        <v>14.75</v>
      </c>
      <c r="H196" s="18">
        <f t="shared" si="17"/>
        <v>42.750124999999997</v>
      </c>
      <c r="I196" s="5"/>
      <c r="J196" s="17">
        <v>980.36800000000005</v>
      </c>
      <c r="K196" s="18">
        <v>42.2883</v>
      </c>
      <c r="L196" s="18">
        <v>47.745699999999999</v>
      </c>
      <c r="M196" s="18">
        <v>48.422499999999999</v>
      </c>
      <c r="N196" s="18">
        <v>19.057300000000001</v>
      </c>
      <c r="O196" s="18">
        <f t="shared" si="18"/>
        <v>43.737250000000003</v>
      </c>
      <c r="P196" s="7"/>
      <c r="Q196" s="10"/>
      <c r="R196" s="11"/>
      <c r="S196" s="11"/>
      <c r="T196" s="26"/>
      <c r="U196" s="28">
        <f t="shared" si="22"/>
        <v>0.29202033898305096</v>
      </c>
      <c r="V196" s="57">
        <f t="shared" ref="V196:V202" si="24">ABS(C196-X196)/X196</f>
        <v>7.6914285714285754E-2</v>
      </c>
      <c r="W196" s="57">
        <f t="shared" si="23"/>
        <v>1.9631999999999948E-2</v>
      </c>
      <c r="X196" s="56">
        <v>1400</v>
      </c>
      <c r="Y196" s="56">
        <v>1000</v>
      </c>
    </row>
    <row r="197" spans="1:25" x14ac:dyDescent="0.25">
      <c r="B197" s="9"/>
      <c r="C197" s="17">
        <v>758.64</v>
      </c>
      <c r="D197" s="18">
        <v>40.444000000000003</v>
      </c>
      <c r="E197" s="18">
        <v>44.533000000000001</v>
      </c>
      <c r="F197" s="18">
        <v>45.094000000000001</v>
      </c>
      <c r="G197" s="18">
        <v>16.579999999999998</v>
      </c>
      <c r="H197" s="18">
        <f t="shared" si="17"/>
        <v>41.536375</v>
      </c>
      <c r="I197" s="5"/>
      <c r="J197" s="17">
        <v>572.66</v>
      </c>
      <c r="K197" s="18">
        <v>41.429600000000001</v>
      </c>
      <c r="L197" s="18">
        <v>47.020099999999999</v>
      </c>
      <c r="M197" s="18">
        <v>47.692799999999998</v>
      </c>
      <c r="N197" s="18">
        <v>22.877199999999998</v>
      </c>
      <c r="O197" s="18">
        <f t="shared" si="18"/>
        <v>42.911312500000001</v>
      </c>
      <c r="P197" s="7"/>
      <c r="Q197" s="10"/>
      <c r="R197" s="11"/>
      <c r="S197" s="11"/>
      <c r="T197" s="26"/>
      <c r="U197" s="28">
        <f t="shared" si="22"/>
        <v>0.3798069963811822</v>
      </c>
      <c r="V197" s="57">
        <f t="shared" si="24"/>
        <v>0.10748235294117649</v>
      </c>
      <c r="W197" s="57">
        <f t="shared" si="23"/>
        <v>4.5566666666666721E-2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336.32</v>
      </c>
      <c r="D198" s="20">
        <v>37.146000000000001</v>
      </c>
      <c r="E198" s="20">
        <v>41.988999999999997</v>
      </c>
      <c r="F198" s="20">
        <v>43.07</v>
      </c>
      <c r="G198" s="20">
        <v>18.03</v>
      </c>
      <c r="H198" s="20">
        <f t="shared" si="17"/>
        <v>38.491875</v>
      </c>
      <c r="I198" s="5"/>
      <c r="J198" s="19">
        <v>289.71600000000001</v>
      </c>
      <c r="K198" s="20">
        <v>39.509900000000002</v>
      </c>
      <c r="L198" s="20">
        <v>45.163400000000003</v>
      </c>
      <c r="M198" s="20">
        <v>45.678400000000003</v>
      </c>
      <c r="N198" s="20">
        <v>28.045200000000001</v>
      </c>
      <c r="O198" s="20">
        <f t="shared" si="18"/>
        <v>40.987650000000002</v>
      </c>
      <c r="P198" s="7"/>
      <c r="Q198" s="13"/>
      <c r="R198" s="14"/>
      <c r="S198" s="14"/>
      <c r="T198" s="27"/>
      <c r="U198" s="28">
        <f t="shared" si="22"/>
        <v>0.55547420965058236</v>
      </c>
      <c r="V198" s="57">
        <f t="shared" si="24"/>
        <v>0.15920000000000001</v>
      </c>
      <c r="W198" s="57">
        <f t="shared" si="23"/>
        <v>3.427999999999997E-2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2051.9699999999998</v>
      </c>
      <c r="D199" s="16">
        <v>42.441000000000003</v>
      </c>
      <c r="E199" s="16">
        <v>46.131999999999998</v>
      </c>
      <c r="F199" s="16">
        <v>46.773000000000003</v>
      </c>
      <c r="G199" s="16">
        <v>12.21</v>
      </c>
      <c r="H199" s="16">
        <f t="shared" si="17"/>
        <v>43.443875000000006</v>
      </c>
      <c r="I199" s="5"/>
      <c r="J199" s="15">
        <v>1544.9192</v>
      </c>
      <c r="K199" s="16">
        <v>42.703000000000003</v>
      </c>
      <c r="L199" s="16">
        <v>47.389899999999997</v>
      </c>
      <c r="M199" s="16">
        <v>48.302900000000001</v>
      </c>
      <c r="N199" s="16">
        <v>14.529299999999999</v>
      </c>
      <c r="O199" s="16">
        <f t="shared" si="18"/>
        <v>43.988850000000006</v>
      </c>
      <c r="P199" s="7"/>
      <c r="Q199" s="8">
        <f>bdrate(C199:C202,D199:D202,J199:J202,K199:K202)</f>
        <v>-0.40842940368338843</v>
      </c>
      <c r="R199" s="8">
        <f>bdrate(C199:C202,E199:E202,J199:J202,L199:L202)</f>
        <v>-0.63781214053810609</v>
      </c>
      <c r="S199" s="8">
        <f>bdrate(C199:C202,F199:F202,J199:J202,M199:M202)</f>
        <v>-0.66854643776130529</v>
      </c>
      <c r="T199" s="25">
        <f>bdrate(C199:C202,H199:H202,J199:J202,O199:O202)</f>
        <v>-0.47618292822350061</v>
      </c>
      <c r="U199" s="28">
        <f t="shared" si="22"/>
        <v>0.18995085995085981</v>
      </c>
      <c r="V199" s="57">
        <f t="shared" si="24"/>
        <v>2.2871428571428667E-2</v>
      </c>
      <c r="W199" s="57">
        <f t="shared" si="23"/>
        <v>2.9946133333333364E-2</v>
      </c>
      <c r="X199" s="56">
        <v>2100</v>
      </c>
      <c r="Y199" s="56">
        <v>1500</v>
      </c>
    </row>
    <row r="200" spans="1:25" x14ac:dyDescent="0.25">
      <c r="B200" s="9"/>
      <c r="C200" s="17">
        <v>1347.96</v>
      </c>
      <c r="D200" s="18">
        <v>41.494999999999997</v>
      </c>
      <c r="E200" s="18">
        <v>45.045000000000002</v>
      </c>
      <c r="F200" s="18">
        <v>45.680999999999997</v>
      </c>
      <c r="G200" s="18">
        <v>13.97</v>
      </c>
      <c r="H200" s="18">
        <f t="shared" si="17"/>
        <v>42.461999999999996</v>
      </c>
      <c r="I200" s="5"/>
      <c r="J200" s="17">
        <v>1008.1048</v>
      </c>
      <c r="K200" s="18">
        <v>41.870199999999997</v>
      </c>
      <c r="L200" s="18">
        <v>46.647799999999997</v>
      </c>
      <c r="M200" s="18">
        <v>47.533200000000001</v>
      </c>
      <c r="N200" s="18">
        <v>17.377199999999998</v>
      </c>
      <c r="O200" s="18">
        <f t="shared" si="18"/>
        <v>43.175274999999999</v>
      </c>
      <c r="P200" s="7"/>
      <c r="Q200" s="10"/>
      <c r="R200" s="11"/>
      <c r="S200" s="11"/>
      <c r="T200" s="26"/>
      <c r="U200" s="28">
        <f t="shared" si="22"/>
        <v>0.24389405869720812</v>
      </c>
      <c r="V200" s="57">
        <f t="shared" si="24"/>
        <v>3.7171428571428543E-2</v>
      </c>
      <c r="W200" s="57">
        <f t="shared" si="23"/>
        <v>8.1047999999999554E-3</v>
      </c>
      <c r="X200" s="56">
        <v>1400</v>
      </c>
      <c r="Y200" s="56">
        <v>1000</v>
      </c>
    </row>
    <row r="201" spans="1:25" x14ac:dyDescent="0.25">
      <c r="B201" s="9"/>
      <c r="C201" s="17">
        <v>804.2</v>
      </c>
      <c r="D201" s="18">
        <v>39.704999999999998</v>
      </c>
      <c r="E201" s="18">
        <v>43.256999999999998</v>
      </c>
      <c r="F201" s="18">
        <v>43.981000000000002</v>
      </c>
      <c r="G201" s="18">
        <v>15.81</v>
      </c>
      <c r="H201" s="18">
        <f t="shared" si="17"/>
        <v>40.683499999999995</v>
      </c>
      <c r="I201" s="5"/>
      <c r="J201" s="17">
        <v>596.44719999999995</v>
      </c>
      <c r="K201" s="18">
        <v>40.521299999999997</v>
      </c>
      <c r="L201" s="18">
        <v>45.486600000000003</v>
      </c>
      <c r="M201" s="18">
        <v>46.394799999999996</v>
      </c>
      <c r="N201" s="18">
        <v>20.7605</v>
      </c>
      <c r="O201" s="18">
        <f t="shared" si="18"/>
        <v>41.876149999999996</v>
      </c>
      <c r="P201" s="7"/>
      <c r="Q201" s="10"/>
      <c r="R201" s="11"/>
      <c r="S201" s="11"/>
      <c r="T201" s="26"/>
      <c r="U201" s="28">
        <f t="shared" si="22"/>
        <v>0.3131246046805819</v>
      </c>
      <c r="V201" s="57">
        <f t="shared" si="24"/>
        <v>5.3882352941176416E-2</v>
      </c>
      <c r="W201" s="57">
        <f t="shared" si="23"/>
        <v>5.9213333333334121E-3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371.58</v>
      </c>
      <c r="D202" s="20">
        <v>35.997999999999998</v>
      </c>
      <c r="E202" s="20">
        <v>41.087000000000003</v>
      </c>
      <c r="F202" s="20">
        <v>41.536000000000001</v>
      </c>
      <c r="G202" s="20">
        <v>17.57</v>
      </c>
      <c r="H202" s="20">
        <f t="shared" si="17"/>
        <v>37.326374999999999</v>
      </c>
      <c r="I202" s="5"/>
      <c r="J202" s="19">
        <v>294.0104</v>
      </c>
      <c r="K202" s="20">
        <v>37.991799999999998</v>
      </c>
      <c r="L202" s="20">
        <v>43.538200000000003</v>
      </c>
      <c r="M202" s="20">
        <v>44.426900000000003</v>
      </c>
      <c r="N202" s="20">
        <v>26.045100000000001</v>
      </c>
      <c r="O202" s="20">
        <f t="shared" si="18"/>
        <v>39.489487499999996</v>
      </c>
      <c r="P202" s="7"/>
      <c r="Q202" s="13"/>
      <c r="R202" s="14"/>
      <c r="S202" s="14"/>
      <c r="T202" s="27"/>
      <c r="U202" s="28">
        <f t="shared" si="22"/>
        <v>0.48236198064883329</v>
      </c>
      <c r="V202" s="57">
        <f t="shared" si="24"/>
        <v>7.1050000000000044E-2</v>
      </c>
      <c r="W202" s="57">
        <f t="shared" si="23"/>
        <v>1.9965333333333321E-2</v>
      </c>
      <c r="X202" s="56">
        <v>400</v>
      </c>
      <c r="Y202" s="56">
        <v>300</v>
      </c>
    </row>
    <row r="203" spans="1:25" x14ac:dyDescent="0.25">
      <c r="A203" s="6" t="s">
        <v>81</v>
      </c>
      <c r="B203" s="6" t="s">
        <v>82</v>
      </c>
      <c r="C203" s="15">
        <v>1524.82</v>
      </c>
      <c r="D203" s="16">
        <v>40.731999999999999</v>
      </c>
      <c r="E203" s="16">
        <v>47.023000000000003</v>
      </c>
      <c r="F203" s="16">
        <v>45.664000000000001</v>
      </c>
      <c r="G203" s="16">
        <v>6.31</v>
      </c>
      <c r="H203" s="16">
        <f t="shared" ref="H203:H225" si="25">(6*D203+E203+F203)/8</f>
        <v>42.134875000000001</v>
      </c>
      <c r="I203" s="5"/>
      <c r="J203" s="15">
        <v>1001.4603</v>
      </c>
      <c r="K203" s="16">
        <v>39.8489</v>
      </c>
      <c r="L203" s="16">
        <v>46.959800000000001</v>
      </c>
      <c r="M203" s="16">
        <v>45.601700000000001</v>
      </c>
      <c r="N203" s="16">
        <v>6.8438999999999997</v>
      </c>
      <c r="O203" s="16">
        <f t="shared" ref="O203:O225" si="26">(6*K203+L203+M203)/8</f>
        <v>41.4568625</v>
      </c>
      <c r="P203" s="7"/>
      <c r="Q203" s="8">
        <f>bdrate(C203:C206,D203:D206,J203:J206,K203:K206)</f>
        <v>-0.33239047424227885</v>
      </c>
      <c r="R203" s="8">
        <f>bdrate(C203:C206,E203:E206,J203:J206,L203:L206)</f>
        <v>-0.47917309601996949</v>
      </c>
      <c r="S203" s="8">
        <f>bdrate(C203:C206,F203:F206,J203:J206,M203:M206)</f>
        <v>-0.4539408139348845</v>
      </c>
      <c r="T203" s="25">
        <f>bdrate(C203:C206,H203:H206,J203:J206,O203:O206)</f>
        <v>-0.35858448063381498</v>
      </c>
      <c r="U203" s="28">
        <f t="shared" ref="U203:U225" si="27">(N203-G203)/G203</f>
        <v>8.4611727416798746E-2</v>
      </c>
      <c r="V203" s="57">
        <f t="shared" ref="V203:V246" si="28">ABS(C203-X203)/X203</f>
        <v>1.6546666666666623E-2</v>
      </c>
      <c r="W203" s="57">
        <f t="shared" ref="W203:W246" si="29">ABS(J203-Y203)/Y203</f>
        <v>1.4602999999999611E-3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1018.39</v>
      </c>
      <c r="D204" s="18">
        <v>38.956000000000003</v>
      </c>
      <c r="E204" s="18">
        <v>45.652000000000001</v>
      </c>
      <c r="F204" s="18">
        <v>44.304000000000002</v>
      </c>
      <c r="G204" s="18">
        <v>7.03</v>
      </c>
      <c r="H204" s="18">
        <f t="shared" si="25"/>
        <v>40.461500000000001</v>
      </c>
      <c r="I204" s="5"/>
      <c r="J204" s="17">
        <v>599.38480000000004</v>
      </c>
      <c r="K204" s="18">
        <v>37.916899999999998</v>
      </c>
      <c r="L204" s="18">
        <v>45.741900000000001</v>
      </c>
      <c r="M204" s="18">
        <v>44.302500000000002</v>
      </c>
      <c r="N204" s="18">
        <v>8.2319999999999993</v>
      </c>
      <c r="O204" s="18">
        <f t="shared" si="26"/>
        <v>39.693224999999998</v>
      </c>
      <c r="P204" s="7"/>
      <c r="Q204" s="10"/>
      <c r="R204" s="11"/>
      <c r="S204" s="11"/>
      <c r="T204" s="26"/>
      <c r="U204" s="28">
        <f t="shared" si="27"/>
        <v>0.17098150782361296</v>
      </c>
      <c r="V204" s="57">
        <f t="shared" si="28"/>
        <v>1.8389999999999986E-2</v>
      </c>
      <c r="W204" s="57">
        <f t="shared" si="29"/>
        <v>1.0253333333332649E-3</v>
      </c>
      <c r="X204" s="56">
        <v>1000</v>
      </c>
      <c r="Y204" s="56">
        <v>600</v>
      </c>
    </row>
    <row r="205" spans="1:25" x14ac:dyDescent="0.25">
      <c r="B205" s="9"/>
      <c r="C205" s="17">
        <v>611.38</v>
      </c>
      <c r="D205" s="18">
        <v>36.362000000000002</v>
      </c>
      <c r="E205" s="18">
        <v>43.805999999999997</v>
      </c>
      <c r="F205" s="18">
        <v>42.540999999999997</v>
      </c>
      <c r="G205" s="18">
        <v>8.02</v>
      </c>
      <c r="H205" s="18">
        <f t="shared" si="25"/>
        <v>38.064875000000001</v>
      </c>
      <c r="I205" s="5"/>
      <c r="J205" s="17">
        <v>296.0951</v>
      </c>
      <c r="K205" s="18">
        <v>34.988799999999998</v>
      </c>
      <c r="L205" s="18">
        <v>43.970300000000002</v>
      </c>
      <c r="M205" s="18">
        <v>42.445799999999998</v>
      </c>
      <c r="N205" s="18">
        <v>10.686999999999999</v>
      </c>
      <c r="O205" s="18">
        <f t="shared" si="26"/>
        <v>37.043612500000002</v>
      </c>
      <c r="P205" s="7"/>
      <c r="Q205" s="10"/>
      <c r="R205" s="11"/>
      <c r="S205" s="11"/>
      <c r="T205" s="26"/>
      <c r="U205" s="28">
        <f t="shared" si="27"/>
        <v>0.33254364089775562</v>
      </c>
      <c r="V205" s="57">
        <f t="shared" si="28"/>
        <v>1.8966666666666659E-2</v>
      </c>
      <c r="W205" s="57">
        <f t="shared" si="29"/>
        <v>1.3016333333333326E-2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301.81</v>
      </c>
      <c r="D206" s="20">
        <v>31.713999999999999</v>
      </c>
      <c r="E206" s="20">
        <v>41.2</v>
      </c>
      <c r="F206" s="20">
        <v>39.951999999999998</v>
      </c>
      <c r="G206" s="20">
        <v>9.65</v>
      </c>
      <c r="H206" s="20">
        <f t="shared" si="25"/>
        <v>33.929499999999997</v>
      </c>
      <c r="I206" s="5"/>
      <c r="J206" s="19">
        <v>195.90719999999999</v>
      </c>
      <c r="K206" s="20">
        <v>33.108800000000002</v>
      </c>
      <c r="L206" s="20">
        <v>42.904400000000003</v>
      </c>
      <c r="M206" s="20">
        <v>41.308700000000002</v>
      </c>
      <c r="N206" s="20">
        <v>12.4993</v>
      </c>
      <c r="O206" s="20">
        <f t="shared" si="26"/>
        <v>35.358237500000001</v>
      </c>
      <c r="P206" s="7"/>
      <c r="Q206" s="13"/>
      <c r="R206" s="14"/>
      <c r="S206" s="14"/>
      <c r="T206" s="27"/>
      <c r="U206" s="28">
        <f t="shared" si="27"/>
        <v>0.29526424870466317</v>
      </c>
      <c r="V206" s="57">
        <f t="shared" si="28"/>
        <v>6.0333333333333411E-3</v>
      </c>
      <c r="W206" s="57">
        <f t="shared" si="29"/>
        <v>2.0464000000000055E-2</v>
      </c>
      <c r="X206" s="56">
        <v>300</v>
      </c>
      <c r="Y206" s="56">
        <v>200</v>
      </c>
    </row>
    <row r="207" spans="1:25" x14ac:dyDescent="0.25">
      <c r="B207" s="6" t="s">
        <v>83</v>
      </c>
      <c r="C207" s="29">
        <v>1465.25</v>
      </c>
      <c r="D207" s="30">
        <v>41.96</v>
      </c>
      <c r="E207" s="30">
        <v>47.226999999999997</v>
      </c>
      <c r="F207" s="30">
        <v>46.948999999999998</v>
      </c>
      <c r="G207" s="16">
        <v>6.87</v>
      </c>
      <c r="H207" s="16">
        <f t="shared" si="25"/>
        <v>43.241999999999997</v>
      </c>
      <c r="I207" s="5"/>
      <c r="J207" s="29">
        <v>1005.1054</v>
      </c>
      <c r="K207" s="30">
        <v>41.066800000000001</v>
      </c>
      <c r="L207" s="30">
        <v>47.334699999999998</v>
      </c>
      <c r="M207" s="30">
        <v>47.0443</v>
      </c>
      <c r="N207" s="16">
        <v>7.1337999999999999</v>
      </c>
      <c r="O207" s="16">
        <f t="shared" si="26"/>
        <v>42.597475000000003</v>
      </c>
      <c r="P207" s="7"/>
      <c r="Q207" s="8">
        <f>bdrate(C207:C210,D207:D210,J207:J210,K207:K210)</f>
        <v>-0.2895329082496706</v>
      </c>
      <c r="R207" s="8">
        <f>bdrate(C207:C210,E207:E210,J207:J210,L207:L210)</f>
        <v>-0.47991400793560013</v>
      </c>
      <c r="S207" s="8">
        <f>bdrate(C207:C210,F207:F210,J207:J210,M207:M210)</f>
        <v>-0.48595820637527987</v>
      </c>
      <c r="T207" s="25">
        <f>bdrate(C207:C210,H207:H210,J207:J210,O207:O210)</f>
        <v>-0.32806206023229811</v>
      </c>
      <c r="U207" s="28">
        <f t="shared" si="27"/>
        <v>3.8398835516739421E-2</v>
      </c>
      <c r="V207" s="57">
        <f t="shared" si="28"/>
        <v>2.3166666666666665E-2</v>
      </c>
      <c r="W207" s="57">
        <f t="shared" si="29"/>
        <v>5.1054000000000316E-3</v>
      </c>
      <c r="X207" s="56">
        <v>1500</v>
      </c>
      <c r="Y207" s="56">
        <v>1000</v>
      </c>
    </row>
    <row r="208" spans="1:25" x14ac:dyDescent="0.25">
      <c r="B208" s="9"/>
      <c r="C208" s="31">
        <v>972.8</v>
      </c>
      <c r="D208" s="32">
        <v>40.247</v>
      </c>
      <c r="E208" s="32">
        <v>45.997</v>
      </c>
      <c r="F208" s="32">
        <v>45.695999999999998</v>
      </c>
      <c r="G208" s="18">
        <v>7.62</v>
      </c>
      <c r="H208" s="18">
        <f t="shared" si="25"/>
        <v>41.646874999999994</v>
      </c>
      <c r="I208" s="5"/>
      <c r="J208" s="31">
        <v>602.5181</v>
      </c>
      <c r="K208" s="32">
        <v>39.270699999999998</v>
      </c>
      <c r="L208" s="32">
        <v>46.2468</v>
      </c>
      <c r="M208" s="32">
        <v>45.9876</v>
      </c>
      <c r="N208" s="18">
        <v>8.5174000000000003</v>
      </c>
      <c r="O208" s="18">
        <f t="shared" si="26"/>
        <v>40.982324999999996</v>
      </c>
      <c r="P208" s="7"/>
      <c r="Q208" s="10"/>
      <c r="R208" s="11"/>
      <c r="S208" s="11"/>
      <c r="T208" s="26"/>
      <c r="U208" s="28">
        <f t="shared" si="27"/>
        <v>0.1177690288713911</v>
      </c>
      <c r="V208" s="57">
        <f t="shared" si="28"/>
        <v>2.7200000000000047E-2</v>
      </c>
      <c r="W208" s="57">
        <f t="shared" si="29"/>
        <v>4.1968333333333397E-3</v>
      </c>
      <c r="X208" s="56">
        <v>1000</v>
      </c>
      <c r="Y208" s="56">
        <v>600</v>
      </c>
    </row>
    <row r="209" spans="2:25" x14ac:dyDescent="0.25">
      <c r="B209" s="9"/>
      <c r="C209" s="31">
        <v>580.42999999999995</v>
      </c>
      <c r="D209" s="32">
        <v>37.914000000000001</v>
      </c>
      <c r="E209" s="32">
        <v>44.366</v>
      </c>
      <c r="F209" s="32">
        <v>44.076999999999998</v>
      </c>
      <c r="G209" s="18">
        <v>8.58</v>
      </c>
      <c r="H209" s="18">
        <f t="shared" si="25"/>
        <v>39.490875000000003</v>
      </c>
      <c r="I209" s="5"/>
      <c r="J209" s="31">
        <v>301.97989999999999</v>
      </c>
      <c r="K209" s="32">
        <v>36.806699999999999</v>
      </c>
      <c r="L209" s="32">
        <v>44.6875</v>
      </c>
      <c r="M209" s="32">
        <v>44.428100000000001</v>
      </c>
      <c r="N209" s="18">
        <v>10.8142</v>
      </c>
      <c r="O209" s="18">
        <f t="shared" si="26"/>
        <v>38.744474999999994</v>
      </c>
      <c r="P209" s="7"/>
      <c r="Q209" s="10"/>
      <c r="R209" s="11"/>
      <c r="S209" s="11"/>
      <c r="T209" s="26"/>
      <c r="U209" s="28">
        <f t="shared" si="27"/>
        <v>0.26039627039627034</v>
      </c>
      <c r="V209" s="57">
        <f t="shared" si="28"/>
        <v>3.2616666666666752E-2</v>
      </c>
      <c r="W209" s="57">
        <f t="shared" si="29"/>
        <v>6.5996666666666218E-3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287.36</v>
      </c>
      <c r="D210" s="34">
        <v>34.033999999999999</v>
      </c>
      <c r="E210" s="34">
        <v>42.084000000000003</v>
      </c>
      <c r="F210" s="34">
        <v>41.738</v>
      </c>
      <c r="G210" s="20">
        <v>10.17</v>
      </c>
      <c r="H210" s="20">
        <f t="shared" si="25"/>
        <v>36.003250000000001</v>
      </c>
      <c r="I210" s="5"/>
      <c r="J210" s="33">
        <v>199.67400000000001</v>
      </c>
      <c r="K210" s="34">
        <v>35.225200000000001</v>
      </c>
      <c r="L210" s="34">
        <v>43.760300000000001</v>
      </c>
      <c r="M210" s="34">
        <v>43.474600000000002</v>
      </c>
      <c r="N210" s="20">
        <v>12.663600000000001</v>
      </c>
      <c r="O210" s="20">
        <f t="shared" si="26"/>
        <v>37.323262499999998</v>
      </c>
      <c r="P210" s="7"/>
      <c r="Q210" s="13"/>
      <c r="R210" s="14"/>
      <c r="S210" s="14"/>
      <c r="T210" s="27"/>
      <c r="U210" s="28">
        <f t="shared" si="27"/>
        <v>0.24519174041297942</v>
      </c>
      <c r="V210" s="57">
        <f t="shared" si="28"/>
        <v>4.2133333333333287E-2</v>
      </c>
      <c r="W210" s="57">
        <f t="shared" si="29"/>
        <v>1.629999999999967E-3</v>
      </c>
      <c r="X210" s="56">
        <v>300</v>
      </c>
      <c r="Y210" s="56">
        <v>200</v>
      </c>
    </row>
    <row r="211" spans="2:25" x14ac:dyDescent="0.25">
      <c r="B211" s="6" t="s">
        <v>84</v>
      </c>
      <c r="C211" s="15">
        <v>1502.81</v>
      </c>
      <c r="D211" s="16">
        <v>38.747999999999998</v>
      </c>
      <c r="E211" s="16">
        <v>46.954999999999998</v>
      </c>
      <c r="F211" s="16">
        <v>45.265000000000001</v>
      </c>
      <c r="G211" s="16">
        <v>6.62</v>
      </c>
      <c r="H211" s="16">
        <f t="shared" si="25"/>
        <v>40.588499999999996</v>
      </c>
      <c r="I211" s="5"/>
      <c r="J211" s="15">
        <v>1003.8992</v>
      </c>
      <c r="K211" s="16">
        <v>37.796300000000002</v>
      </c>
      <c r="L211" s="16">
        <v>46.860300000000002</v>
      </c>
      <c r="M211" s="16">
        <v>45.313899999999997</v>
      </c>
      <c r="N211" s="16">
        <v>6.8794000000000004</v>
      </c>
      <c r="O211" s="16">
        <f t="shared" si="26"/>
        <v>39.869</v>
      </c>
      <c r="P211" s="7"/>
      <c r="Q211" s="8">
        <f>bdrate(C211:C214,D211:D214,J211:J214,K211:K214)</f>
        <v>-0.29184397491130643</v>
      </c>
      <c r="R211" s="8">
        <f>bdrate(C211:C214,E211:E214,J211:J214,L211:L214)</f>
        <v>-0.44021517080965678</v>
      </c>
      <c r="S211" s="8">
        <f>bdrate(C211:C214,F211:F214,J211:J214,M211:M214)</f>
        <v>-0.47615206830893608</v>
      </c>
      <c r="T211" s="25">
        <f>bdrate(C211:C214,H211:H214,J211:J214,O211:O214)</f>
        <v>-0.32463635167031635</v>
      </c>
      <c r="U211" s="28">
        <f t="shared" si="27"/>
        <v>3.9184290030211524E-2</v>
      </c>
      <c r="V211" s="57">
        <f t="shared" si="28"/>
        <v>1.873333333333297E-3</v>
      </c>
      <c r="W211" s="57">
        <f t="shared" si="29"/>
        <v>3.8991999999999508E-3</v>
      </c>
      <c r="X211" s="56">
        <v>1500</v>
      </c>
      <c r="Y211" s="56">
        <v>1000</v>
      </c>
    </row>
    <row r="212" spans="2:25" x14ac:dyDescent="0.25">
      <c r="B212" s="9"/>
      <c r="C212" s="17">
        <v>1000.96</v>
      </c>
      <c r="D212" s="18">
        <v>37.131</v>
      </c>
      <c r="E212" s="18">
        <v>45.874000000000002</v>
      </c>
      <c r="F212" s="18">
        <v>44.091999999999999</v>
      </c>
      <c r="G212" s="18">
        <v>7.32</v>
      </c>
      <c r="H212" s="18">
        <f t="shared" si="25"/>
        <v>39.094000000000001</v>
      </c>
      <c r="I212" s="5"/>
      <c r="J212" s="17">
        <v>602.40509999999995</v>
      </c>
      <c r="K212" s="18">
        <v>36.109299999999998</v>
      </c>
      <c r="L212" s="18">
        <v>45.856400000000001</v>
      </c>
      <c r="M212" s="18">
        <v>44.265099999999997</v>
      </c>
      <c r="N212" s="18">
        <v>8.1791999999999998</v>
      </c>
      <c r="O212" s="18">
        <f t="shared" si="26"/>
        <v>38.347162500000003</v>
      </c>
      <c r="P212" s="7"/>
      <c r="Q212" s="10"/>
      <c r="R212" s="11"/>
      <c r="S212" s="11"/>
      <c r="T212" s="26"/>
      <c r="U212" s="28">
        <f t="shared" si="27"/>
        <v>0.11737704918032781</v>
      </c>
      <c r="V212" s="57">
        <f t="shared" si="28"/>
        <v>9.6000000000003635E-4</v>
      </c>
      <c r="W212" s="57">
        <f t="shared" si="29"/>
        <v>4.0084999999999123E-3</v>
      </c>
      <c r="X212" s="56">
        <v>1000</v>
      </c>
      <c r="Y212" s="56">
        <v>600</v>
      </c>
    </row>
    <row r="213" spans="2:25" x14ac:dyDescent="0.25">
      <c r="B213" s="9"/>
      <c r="C213" s="17">
        <v>599.86</v>
      </c>
      <c r="D213" s="18">
        <v>34.936</v>
      </c>
      <c r="E213" s="18">
        <v>44.363999999999997</v>
      </c>
      <c r="F213" s="18">
        <v>42.509</v>
      </c>
      <c r="G213" s="18">
        <v>8.36</v>
      </c>
      <c r="H213" s="18">
        <f t="shared" si="25"/>
        <v>37.061124999999997</v>
      </c>
      <c r="I213" s="5"/>
      <c r="J213" s="17">
        <v>300.23149999999998</v>
      </c>
      <c r="K213" s="18">
        <v>33.654899999999998</v>
      </c>
      <c r="L213" s="18">
        <v>44.306199999999997</v>
      </c>
      <c r="M213" s="18">
        <v>42.648499999999999</v>
      </c>
      <c r="N213" s="18">
        <v>10.523400000000001</v>
      </c>
      <c r="O213" s="18">
        <f t="shared" si="26"/>
        <v>36.110512499999999</v>
      </c>
      <c r="P213" s="7"/>
      <c r="Q213" s="10"/>
      <c r="R213" s="11"/>
      <c r="S213" s="11"/>
      <c r="T213" s="26"/>
      <c r="U213" s="28">
        <f t="shared" si="27"/>
        <v>0.25877990430622022</v>
      </c>
      <c r="V213" s="57">
        <f t="shared" si="28"/>
        <v>2.3333333333331059E-4</v>
      </c>
      <c r="W213" s="57">
        <f t="shared" si="29"/>
        <v>7.7166666666660902E-4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296.94</v>
      </c>
      <c r="D214" s="20">
        <v>31.149000000000001</v>
      </c>
      <c r="E214" s="20">
        <v>42.143999999999998</v>
      </c>
      <c r="F214" s="20">
        <v>40.340000000000003</v>
      </c>
      <c r="G214" s="20">
        <v>10.050000000000001</v>
      </c>
      <c r="H214" s="20">
        <f t="shared" si="25"/>
        <v>33.672250000000005</v>
      </c>
      <c r="I214" s="5"/>
      <c r="J214" s="19">
        <v>198.5137</v>
      </c>
      <c r="K214" s="20">
        <v>32.088999999999999</v>
      </c>
      <c r="L214" s="20">
        <v>43.435299999999998</v>
      </c>
      <c r="M214" s="20">
        <v>41.689900000000002</v>
      </c>
      <c r="N214" s="20">
        <v>12.312099999999999</v>
      </c>
      <c r="O214" s="20">
        <f t="shared" si="26"/>
        <v>34.7074</v>
      </c>
      <c r="P214" s="7"/>
      <c r="Q214" s="13"/>
      <c r="R214" s="14"/>
      <c r="S214" s="14"/>
      <c r="T214" s="27"/>
      <c r="U214" s="28">
        <f t="shared" si="27"/>
        <v>0.2250845771144277</v>
      </c>
      <c r="V214" s="57">
        <f t="shared" si="28"/>
        <v>1.0200000000000008E-2</v>
      </c>
      <c r="W214" s="57">
        <f t="shared" si="29"/>
        <v>7.4314999999999997E-3</v>
      </c>
      <c r="X214" s="56">
        <v>300</v>
      </c>
      <c r="Y214" s="56">
        <v>200</v>
      </c>
    </row>
    <row r="215" spans="2:25" x14ac:dyDescent="0.25">
      <c r="B215" s="6" t="s">
        <v>85</v>
      </c>
      <c r="C215" s="15">
        <v>1484.57</v>
      </c>
      <c r="D215" s="16">
        <v>37.706000000000003</v>
      </c>
      <c r="E215" s="16">
        <v>46.906999999999996</v>
      </c>
      <c r="F215" s="16">
        <v>45.237000000000002</v>
      </c>
      <c r="G215" s="16">
        <v>6.48</v>
      </c>
      <c r="H215" s="16">
        <f t="shared" si="25"/>
        <v>39.797500000000007</v>
      </c>
      <c r="I215" s="5"/>
      <c r="J215" s="15">
        <v>1002.9193</v>
      </c>
      <c r="K215" s="16">
        <v>36.782699999999998</v>
      </c>
      <c r="L215" s="16">
        <v>46.736600000000003</v>
      </c>
      <c r="M215" s="16">
        <v>45.240600000000001</v>
      </c>
      <c r="N215" s="16">
        <v>6.6416000000000004</v>
      </c>
      <c r="O215" s="16">
        <f t="shared" si="26"/>
        <v>39.084175000000002</v>
      </c>
      <c r="P215" s="7"/>
      <c r="Q215" s="8">
        <f>bdrate(C215:C218,D215:D218,J215:J218,K215:K218)</f>
        <v>-0.28960487935028578</v>
      </c>
      <c r="R215" s="8">
        <f>bdrate(C215:C218,E215:E218,J215:J218,L215:L218)</f>
        <v>-0.39998701151118221</v>
      </c>
      <c r="S215" s="8">
        <f>bdrate(C215:C218,F215:F218,J215:J218,M215:M218)</f>
        <v>-0.46898483452261164</v>
      </c>
      <c r="T215" s="25">
        <f>bdrate(C215:C218,H215:H218,J215:J218,O215:O218)</f>
        <v>-0.31882066542140475</v>
      </c>
      <c r="U215" s="28">
        <f t="shared" si="27"/>
        <v>2.4938271604938264E-2</v>
      </c>
      <c r="V215" s="57">
        <f t="shared" si="28"/>
        <v>1.028666666666671E-2</v>
      </c>
      <c r="W215" s="57">
        <f t="shared" si="29"/>
        <v>2.9193000000000209E-3</v>
      </c>
      <c r="X215" s="56">
        <v>1500</v>
      </c>
      <c r="Y215" s="56">
        <v>1000</v>
      </c>
    </row>
    <row r="216" spans="2:25" x14ac:dyDescent="0.25">
      <c r="B216" s="9"/>
      <c r="C216" s="17">
        <v>988.13</v>
      </c>
      <c r="D216" s="18">
        <v>36.103999999999999</v>
      </c>
      <c r="E216" s="18">
        <v>45.887999999999998</v>
      </c>
      <c r="F216" s="18">
        <v>44.069000000000003</v>
      </c>
      <c r="G216" s="18">
        <v>7.28</v>
      </c>
      <c r="H216" s="18">
        <f t="shared" si="25"/>
        <v>38.322625000000002</v>
      </c>
      <c r="I216" s="5"/>
      <c r="J216" s="17">
        <v>600.38350000000003</v>
      </c>
      <c r="K216" s="18">
        <v>35.114199999999997</v>
      </c>
      <c r="L216" s="18">
        <v>45.7029</v>
      </c>
      <c r="M216" s="18">
        <v>44.217100000000002</v>
      </c>
      <c r="N216" s="18">
        <v>7.9313000000000002</v>
      </c>
      <c r="O216" s="18">
        <f t="shared" si="26"/>
        <v>37.575650000000003</v>
      </c>
      <c r="P216" s="7"/>
      <c r="Q216" s="10"/>
      <c r="R216" s="11"/>
      <c r="S216" s="11"/>
      <c r="T216" s="26"/>
      <c r="U216" s="28">
        <f t="shared" si="27"/>
        <v>8.9464285714285705E-2</v>
      </c>
      <c r="V216" s="57">
        <f t="shared" si="28"/>
        <v>1.1870000000000004E-2</v>
      </c>
      <c r="W216" s="57">
        <f t="shared" si="29"/>
        <v>6.3916666666671059E-4</v>
      </c>
      <c r="X216" s="56">
        <v>1000</v>
      </c>
      <c r="Y216" s="56">
        <v>600</v>
      </c>
    </row>
    <row r="217" spans="2:25" x14ac:dyDescent="0.25">
      <c r="B217" s="9"/>
      <c r="C217" s="17">
        <v>591.79999999999995</v>
      </c>
      <c r="D217" s="18">
        <v>33.920999999999999</v>
      </c>
      <c r="E217" s="18">
        <v>44.353999999999999</v>
      </c>
      <c r="F217" s="18">
        <v>42.457999999999998</v>
      </c>
      <c r="G217" s="18">
        <v>8.41</v>
      </c>
      <c r="H217" s="18">
        <f t="shared" si="25"/>
        <v>36.292249999999996</v>
      </c>
      <c r="I217" s="5"/>
      <c r="J217" s="17">
        <v>297.22199999999998</v>
      </c>
      <c r="K217" s="18">
        <v>32.698799999999999</v>
      </c>
      <c r="L217" s="18">
        <v>44.131300000000003</v>
      </c>
      <c r="M217" s="18">
        <v>42.629899999999999</v>
      </c>
      <c r="N217" s="18">
        <v>10.255599999999999</v>
      </c>
      <c r="O217" s="18">
        <f t="shared" si="26"/>
        <v>35.369250000000001</v>
      </c>
      <c r="P217" s="7"/>
      <c r="Q217" s="10"/>
      <c r="R217" s="11"/>
      <c r="S217" s="11"/>
      <c r="T217" s="26"/>
      <c r="U217" s="28">
        <f t="shared" si="27"/>
        <v>0.21945303210463724</v>
      </c>
      <c r="V217" s="57">
        <f t="shared" si="28"/>
        <v>1.3666666666666742E-2</v>
      </c>
      <c r="W217" s="57">
        <f t="shared" si="29"/>
        <v>9.2600000000000668E-3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295.55</v>
      </c>
      <c r="D218" s="20">
        <v>30.347000000000001</v>
      </c>
      <c r="E218" s="20">
        <v>42.271000000000001</v>
      </c>
      <c r="F218" s="20">
        <v>40.281999999999996</v>
      </c>
      <c r="G218" s="20">
        <v>9.9700000000000006</v>
      </c>
      <c r="H218" s="20">
        <f t="shared" si="25"/>
        <v>33.079374999999999</v>
      </c>
      <c r="I218" s="5"/>
      <c r="J218" s="19">
        <v>197.02</v>
      </c>
      <c r="K218" s="20">
        <v>31.210599999999999</v>
      </c>
      <c r="L218" s="20">
        <v>43.409100000000002</v>
      </c>
      <c r="M218" s="20">
        <v>41.820500000000003</v>
      </c>
      <c r="N218" s="20">
        <v>12.0708</v>
      </c>
      <c r="O218" s="20">
        <f t="shared" si="26"/>
        <v>34.06165</v>
      </c>
      <c r="P218" s="7"/>
      <c r="Q218" s="13"/>
      <c r="R218" s="14"/>
      <c r="S218" s="14"/>
      <c r="T218" s="27"/>
      <c r="U218" s="28">
        <f t="shared" si="27"/>
        <v>0.21071213640922762</v>
      </c>
      <c r="V218" s="57">
        <f t="shared" si="28"/>
        <v>1.4833333333333296E-2</v>
      </c>
      <c r="W218" s="57">
        <f t="shared" si="29"/>
        <v>1.4899999999999948E-2</v>
      </c>
      <c r="X218" s="56">
        <v>300</v>
      </c>
      <c r="Y218" s="56">
        <v>200</v>
      </c>
    </row>
    <row r="219" spans="2:25" x14ac:dyDescent="0.25">
      <c r="B219" s="6" t="s">
        <v>86</v>
      </c>
      <c r="C219" s="15">
        <v>1501.8</v>
      </c>
      <c r="D219" s="16">
        <v>42.508000000000003</v>
      </c>
      <c r="E219" s="16">
        <v>49.009</v>
      </c>
      <c r="F219" s="16">
        <v>48.386000000000003</v>
      </c>
      <c r="G219" s="16">
        <v>7.63</v>
      </c>
      <c r="H219" s="16">
        <f t="shared" si="25"/>
        <v>44.055375000000005</v>
      </c>
      <c r="I219" s="5"/>
      <c r="J219" s="15">
        <v>1012.8126</v>
      </c>
      <c r="K219" s="16">
        <v>41.597999999999999</v>
      </c>
      <c r="L219" s="16">
        <v>48.818800000000003</v>
      </c>
      <c r="M219" s="16">
        <v>48.300800000000002</v>
      </c>
      <c r="N219" s="16">
        <v>8.1722999999999999</v>
      </c>
      <c r="O219" s="16">
        <f t="shared" si="26"/>
        <v>43.338449999999995</v>
      </c>
      <c r="P219" s="7"/>
      <c r="Q219" s="8">
        <f>bdrate(C219:C222,D219:D222,J219:J222,K219:K222)</f>
        <v>-0.25387237162950815</v>
      </c>
      <c r="R219" s="8">
        <f>bdrate(C219:C222,E219:E222,J219:J222,L219:L222)</f>
        <v>-0.43165720648555284</v>
      </c>
      <c r="S219" s="8">
        <f>bdrate(C219:C222,F219:F222,J219:J222,M219:M222)</f>
        <v>-0.46616134951127286</v>
      </c>
      <c r="T219" s="25">
        <f>bdrate(C219:C222,H219:H222,J219:J222,O219:O222)</f>
        <v>-0.29657693985173594</v>
      </c>
      <c r="U219" s="28">
        <f t="shared" si="27"/>
        <v>7.1074705111402361E-2</v>
      </c>
      <c r="V219" s="57">
        <f t="shared" si="28"/>
        <v>1.1999999999999698E-3</v>
      </c>
      <c r="W219" s="57">
        <f t="shared" si="29"/>
        <v>1.2812599999999974E-2</v>
      </c>
      <c r="X219" s="56">
        <v>1500</v>
      </c>
      <c r="Y219" s="56">
        <v>1000</v>
      </c>
    </row>
    <row r="220" spans="2:25" x14ac:dyDescent="0.25">
      <c r="B220" s="9"/>
      <c r="C220" s="17">
        <v>998.74</v>
      </c>
      <c r="D220" s="18">
        <v>41.231999999999999</v>
      </c>
      <c r="E220" s="18">
        <v>48.23</v>
      </c>
      <c r="F220" s="18">
        <v>47.542999999999999</v>
      </c>
      <c r="G220" s="18">
        <v>8.59</v>
      </c>
      <c r="H220" s="18">
        <f t="shared" si="25"/>
        <v>42.895625000000003</v>
      </c>
      <c r="I220" s="5"/>
      <c r="J220" s="17">
        <v>608.96669999999995</v>
      </c>
      <c r="K220" s="18">
        <v>40.287399999999998</v>
      </c>
      <c r="L220" s="18">
        <v>48.069800000000001</v>
      </c>
      <c r="M220" s="18">
        <v>47.533099999999997</v>
      </c>
      <c r="N220" s="18">
        <v>9.8030000000000008</v>
      </c>
      <c r="O220" s="18">
        <f t="shared" si="26"/>
        <v>42.165912499999997</v>
      </c>
      <c r="P220" s="7"/>
      <c r="Q220" s="10"/>
      <c r="R220" s="11"/>
      <c r="S220" s="11"/>
      <c r="T220" s="26"/>
      <c r="U220" s="28">
        <f t="shared" si="27"/>
        <v>0.141210710128056</v>
      </c>
      <c r="V220" s="57">
        <f t="shared" si="28"/>
        <v>1.2599999999999909E-3</v>
      </c>
      <c r="W220" s="57">
        <f t="shared" si="29"/>
        <v>1.4944499999999911E-2</v>
      </c>
      <c r="X220" s="56">
        <v>1000</v>
      </c>
      <c r="Y220" s="56">
        <v>600</v>
      </c>
    </row>
    <row r="221" spans="2:25" x14ac:dyDescent="0.25">
      <c r="B221" s="9"/>
      <c r="C221" s="17">
        <v>600.21</v>
      </c>
      <c r="D221" s="18">
        <v>39.587000000000003</v>
      </c>
      <c r="E221" s="18">
        <v>46.981000000000002</v>
      </c>
      <c r="F221" s="18">
        <v>46.225999999999999</v>
      </c>
      <c r="G221" s="18">
        <v>9.7100000000000009</v>
      </c>
      <c r="H221" s="18">
        <f t="shared" si="25"/>
        <v>41.341125000000005</v>
      </c>
      <c r="I221" s="5"/>
      <c r="J221" s="17">
        <v>298.91230000000002</v>
      </c>
      <c r="K221" s="18">
        <v>38.482100000000003</v>
      </c>
      <c r="L221" s="18">
        <v>46.960900000000002</v>
      </c>
      <c r="M221" s="18">
        <v>46.381300000000003</v>
      </c>
      <c r="N221" s="18">
        <v>12.460599999999999</v>
      </c>
      <c r="O221" s="18">
        <f t="shared" si="26"/>
        <v>40.529350000000001</v>
      </c>
      <c r="P221" s="7"/>
      <c r="Q221" s="10"/>
      <c r="R221" s="11"/>
      <c r="S221" s="11"/>
      <c r="T221" s="26"/>
      <c r="U221" s="28">
        <f t="shared" si="27"/>
        <v>0.28327497425334691</v>
      </c>
      <c r="V221" s="57">
        <f t="shared" si="28"/>
        <v>3.5000000000006066E-4</v>
      </c>
      <c r="W221" s="57">
        <f t="shared" si="29"/>
        <v>3.625666666666613E-3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300.83</v>
      </c>
      <c r="D222" s="20">
        <v>36.948</v>
      </c>
      <c r="E222" s="20">
        <v>44.923000000000002</v>
      </c>
      <c r="F222" s="20">
        <v>44.23</v>
      </c>
      <c r="G222" s="20">
        <v>11.18</v>
      </c>
      <c r="H222" s="20">
        <f t="shared" si="25"/>
        <v>38.855125000000001</v>
      </c>
      <c r="I222" s="5"/>
      <c r="J222" s="19">
        <v>194.24610000000001</v>
      </c>
      <c r="K222" s="20">
        <v>37.251899999999999</v>
      </c>
      <c r="L222" s="20">
        <v>46.076300000000003</v>
      </c>
      <c r="M222" s="20">
        <v>45.525300000000001</v>
      </c>
      <c r="N222" s="20">
        <v>14.593299999999999</v>
      </c>
      <c r="O222" s="20">
        <f t="shared" si="26"/>
        <v>39.389125</v>
      </c>
      <c r="P222" s="7"/>
      <c r="Q222" s="13"/>
      <c r="R222" s="14"/>
      <c r="S222" s="14"/>
      <c r="T222" s="27"/>
      <c r="U222" s="28">
        <f t="shared" si="27"/>
        <v>0.30530411449016098</v>
      </c>
      <c r="V222" s="57">
        <f t="shared" si="28"/>
        <v>2.7666666666666135E-3</v>
      </c>
      <c r="W222" s="57">
        <f t="shared" si="29"/>
        <v>2.8769499999999937E-2</v>
      </c>
      <c r="X222" s="56">
        <v>300</v>
      </c>
      <c r="Y222" s="56">
        <v>200</v>
      </c>
    </row>
    <row r="223" spans="2:25" x14ac:dyDescent="0.25">
      <c r="B223" s="6" t="s">
        <v>87</v>
      </c>
      <c r="C223" s="15">
        <v>1475.99</v>
      </c>
      <c r="D223" s="16">
        <v>42.42</v>
      </c>
      <c r="E223" s="16">
        <v>49.59</v>
      </c>
      <c r="F223" s="16">
        <v>49.508000000000003</v>
      </c>
      <c r="G223" s="16">
        <v>7.69</v>
      </c>
      <c r="H223" s="16">
        <f t="shared" si="25"/>
        <v>44.202249999999999</v>
      </c>
      <c r="I223" s="5"/>
      <c r="J223" s="15">
        <v>1008.708</v>
      </c>
      <c r="K223" s="16">
        <v>41.997300000000003</v>
      </c>
      <c r="L223" s="16">
        <v>49.680399999999999</v>
      </c>
      <c r="M223" s="16">
        <v>49.370699999999999</v>
      </c>
      <c r="N223" s="16">
        <v>9.0806000000000004</v>
      </c>
      <c r="O223" s="16">
        <f t="shared" si="26"/>
        <v>43.879362500000006</v>
      </c>
      <c r="P223" s="7"/>
      <c r="Q223" s="8">
        <f>bdrate(C223:C226,D223:D226,J223:J226,K223:K226)</f>
        <v>-0.34723011501995238</v>
      </c>
      <c r="R223" s="8">
        <f>bdrate(C223:C226,E223:E226,J223:J226,L223:L226)</f>
        <v>-0.51224497936793023</v>
      </c>
      <c r="S223" s="8">
        <f>bdrate(C223:C226,F223:F226,J223:J226,M223:M226)</f>
        <v>-0.44055244422687923</v>
      </c>
      <c r="T223" s="25">
        <f>bdrate(C223:C226,H223:H226,J223:J226,O223:O226)</f>
        <v>-0.37370341384713013</v>
      </c>
      <c r="U223" s="28">
        <f t="shared" si="27"/>
        <v>0.18083224967490247</v>
      </c>
      <c r="V223" s="57">
        <f t="shared" si="28"/>
        <v>1.6006666666666662E-2</v>
      </c>
      <c r="W223" s="57">
        <f t="shared" si="29"/>
        <v>8.7079999999999692E-3</v>
      </c>
      <c r="X223" s="56">
        <v>1500</v>
      </c>
      <c r="Y223" s="56">
        <v>1000</v>
      </c>
    </row>
    <row r="224" spans="2:25" x14ac:dyDescent="0.25">
      <c r="B224" s="9"/>
      <c r="C224" s="17">
        <v>978.49</v>
      </c>
      <c r="D224" s="18">
        <v>41.509</v>
      </c>
      <c r="E224" s="18">
        <v>48.997999999999998</v>
      </c>
      <c r="F224" s="18">
        <v>48.982999999999997</v>
      </c>
      <c r="G224" s="18">
        <v>8.7100000000000009</v>
      </c>
      <c r="H224" s="18">
        <f t="shared" si="25"/>
        <v>43.379375000000003</v>
      </c>
      <c r="I224" s="5"/>
      <c r="J224" s="17">
        <v>606.58669999999995</v>
      </c>
      <c r="K224" s="18">
        <v>41.163600000000002</v>
      </c>
      <c r="L224" s="18">
        <v>49.133000000000003</v>
      </c>
      <c r="M224" s="18">
        <v>48.904800000000002</v>
      </c>
      <c r="N224" s="18">
        <v>11.069000000000001</v>
      </c>
      <c r="O224" s="18">
        <f t="shared" si="26"/>
        <v>43.127425000000002</v>
      </c>
      <c r="P224" s="7"/>
      <c r="Q224" s="10"/>
      <c r="R224" s="11"/>
      <c r="S224" s="11"/>
      <c r="T224" s="26"/>
      <c r="U224" s="28">
        <f t="shared" si="27"/>
        <v>0.2708381171067738</v>
      </c>
      <c r="V224" s="57">
        <f t="shared" si="28"/>
        <v>2.1509999999999991E-2</v>
      </c>
      <c r="W224" s="57">
        <f t="shared" si="29"/>
        <v>1.0977833333333251E-2</v>
      </c>
      <c r="X224" s="56">
        <v>1000</v>
      </c>
      <c r="Y224" s="56">
        <v>600</v>
      </c>
    </row>
    <row r="225" spans="2:25" x14ac:dyDescent="0.25">
      <c r="B225" s="9"/>
      <c r="C225" s="17">
        <v>582.19000000000005</v>
      </c>
      <c r="D225" s="18">
        <v>40.341999999999999</v>
      </c>
      <c r="E225" s="18">
        <v>48.115000000000002</v>
      </c>
      <c r="F225" s="18">
        <v>48.218000000000004</v>
      </c>
      <c r="G225" s="18">
        <v>10.08</v>
      </c>
      <c r="H225" s="18">
        <f t="shared" si="25"/>
        <v>42.298124999999999</v>
      </c>
      <c r="I225" s="5"/>
      <c r="J225" s="17">
        <v>287.50959999999998</v>
      </c>
      <c r="K225" s="18">
        <v>39.8643</v>
      </c>
      <c r="L225" s="18">
        <v>48.305300000000003</v>
      </c>
      <c r="M225" s="18">
        <v>48.226999999999997</v>
      </c>
      <c r="N225" s="18">
        <v>14.943199999999999</v>
      </c>
      <c r="O225" s="18">
        <f t="shared" si="26"/>
        <v>41.964762499999999</v>
      </c>
      <c r="P225" s="7"/>
      <c r="Q225" s="10"/>
      <c r="R225" s="11"/>
      <c r="S225" s="11"/>
      <c r="T225" s="26"/>
      <c r="U225" s="28">
        <f t="shared" si="27"/>
        <v>0.48246031746031737</v>
      </c>
      <c r="V225" s="57">
        <f t="shared" si="28"/>
        <v>2.9683333333333242E-2</v>
      </c>
      <c r="W225" s="57">
        <f t="shared" si="29"/>
        <v>4.1634666666666743E-2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284.83</v>
      </c>
      <c r="D226" s="20">
        <v>38.402999999999999</v>
      </c>
      <c r="E226" s="20">
        <v>46.527000000000001</v>
      </c>
      <c r="F226" s="20">
        <v>46.804000000000002</v>
      </c>
      <c r="G226" s="20">
        <v>11.93</v>
      </c>
      <c r="H226" s="20">
        <f t="shared" ref="H226:H246" si="30">(6*D226+E226+F226)/8</f>
        <v>40.468625000000003</v>
      </c>
      <c r="I226" s="5"/>
      <c r="J226" s="19">
        <v>174.47450000000001</v>
      </c>
      <c r="K226" s="20">
        <v>38.870600000000003</v>
      </c>
      <c r="L226" s="20">
        <v>47.592300000000002</v>
      </c>
      <c r="M226" s="20">
        <v>47.698799999999999</v>
      </c>
      <c r="N226" s="20">
        <v>17.841999999999999</v>
      </c>
      <c r="O226" s="20">
        <f t="shared" ref="O226:O246" si="31">(6*K226+L226+M226)/8</f>
        <v>41.064337500000008</v>
      </c>
      <c r="P226" s="7"/>
      <c r="Q226" s="13"/>
      <c r="R226" s="14"/>
      <c r="S226" s="14"/>
      <c r="T226" s="27"/>
      <c r="U226" s="28">
        <f t="shared" ref="U226:U246" si="32">(N226-G226)/G226</f>
        <v>0.49555741827326061</v>
      </c>
      <c r="V226" s="57">
        <f t="shared" si="28"/>
        <v>5.0566666666666718E-2</v>
      </c>
      <c r="W226" s="57">
        <f t="shared" si="29"/>
        <v>0.12762749999999998</v>
      </c>
      <c r="X226" s="56">
        <v>300</v>
      </c>
      <c r="Y226" s="56">
        <v>200</v>
      </c>
    </row>
    <row r="227" spans="2:25" x14ac:dyDescent="0.25">
      <c r="B227" s="6" t="s">
        <v>88</v>
      </c>
      <c r="C227" s="15">
        <v>1473.93</v>
      </c>
      <c r="D227" s="16">
        <v>43.835999999999999</v>
      </c>
      <c r="E227" s="16">
        <v>51.539000000000001</v>
      </c>
      <c r="F227" s="16">
        <v>51.3</v>
      </c>
      <c r="G227" s="16">
        <v>7.44</v>
      </c>
      <c r="H227" s="16">
        <f t="shared" si="30"/>
        <v>45.731874999999995</v>
      </c>
      <c r="I227" s="5"/>
      <c r="J227" s="15">
        <v>1002.931</v>
      </c>
      <c r="K227" s="16">
        <v>43.032600000000002</v>
      </c>
      <c r="L227" s="16">
        <v>51.232700000000001</v>
      </c>
      <c r="M227" s="16">
        <v>51.029800000000002</v>
      </c>
      <c r="N227" s="16">
        <v>8.3265999999999991</v>
      </c>
      <c r="O227" s="16">
        <f t="shared" si="31"/>
        <v>45.057262500000007</v>
      </c>
      <c r="P227" s="7"/>
      <c r="Q227" s="8">
        <f>bdrate(C227:C230,D227:D230,J227:J230,K227:K230)</f>
        <v>-0.23931312448392872</v>
      </c>
      <c r="R227" s="8">
        <f>bdrate(C227:C230,E227:E230,J227:J230,L227:L230)</f>
        <v>-0.45552070481226981</v>
      </c>
      <c r="S227" s="8">
        <f>bdrate(C227:C230,F227:F230,J227:J230,M227:M230)</f>
        <v>-0.45313057526435851</v>
      </c>
      <c r="T227" s="25">
        <f>bdrate(C227:C230,H227:H230,J227:J230,O227:O230)</f>
        <v>-0.29403200290403575</v>
      </c>
      <c r="U227" s="28">
        <f t="shared" si="32"/>
        <v>0.11916666666666649</v>
      </c>
      <c r="V227" s="57">
        <f t="shared" si="28"/>
        <v>1.7379999999999958E-2</v>
      </c>
      <c r="W227" s="57">
        <f t="shared" si="29"/>
        <v>2.9310000000000399E-3</v>
      </c>
      <c r="X227" s="56">
        <v>1500</v>
      </c>
      <c r="Y227" s="56">
        <v>1000</v>
      </c>
    </row>
    <row r="228" spans="2:25" x14ac:dyDescent="0.25">
      <c r="B228" s="9"/>
      <c r="C228" s="17">
        <v>973.76</v>
      </c>
      <c r="D228" s="18">
        <v>42.808999999999997</v>
      </c>
      <c r="E228" s="18">
        <v>50.64</v>
      </c>
      <c r="F228" s="18">
        <v>50.405000000000001</v>
      </c>
      <c r="G228" s="18">
        <v>8.5500000000000007</v>
      </c>
      <c r="H228" s="18">
        <f t="shared" si="30"/>
        <v>44.737375</v>
      </c>
      <c r="I228" s="5"/>
      <c r="J228" s="17">
        <v>601.58969999999999</v>
      </c>
      <c r="K228" s="18">
        <v>42.061399999999999</v>
      </c>
      <c r="L228" s="18">
        <v>50.611800000000002</v>
      </c>
      <c r="M228" s="18">
        <v>50.395099999999999</v>
      </c>
      <c r="N228" s="18">
        <v>10.103400000000001</v>
      </c>
      <c r="O228" s="18">
        <f t="shared" si="31"/>
        <v>44.171912500000005</v>
      </c>
      <c r="P228" s="7"/>
      <c r="Q228" s="10"/>
      <c r="R228" s="11"/>
      <c r="S228" s="11"/>
      <c r="T228" s="26"/>
      <c r="U228" s="28">
        <f t="shared" si="32"/>
        <v>0.18168421052631575</v>
      </c>
      <c r="V228" s="57">
        <f t="shared" si="28"/>
        <v>2.624000000000001E-2</v>
      </c>
      <c r="W228" s="57">
        <f t="shared" si="29"/>
        <v>2.6494999999999891E-3</v>
      </c>
      <c r="X228" s="56">
        <v>1000</v>
      </c>
      <c r="Y228" s="56">
        <v>600</v>
      </c>
    </row>
    <row r="229" spans="2:25" x14ac:dyDescent="0.25">
      <c r="B229" s="9"/>
      <c r="C229" s="17">
        <v>575.16</v>
      </c>
      <c r="D229" s="18">
        <v>41.552</v>
      </c>
      <c r="E229" s="18">
        <v>49.582999999999998</v>
      </c>
      <c r="F229" s="18">
        <v>49.338999999999999</v>
      </c>
      <c r="G229" s="18">
        <v>9.81</v>
      </c>
      <c r="H229" s="18">
        <f t="shared" si="30"/>
        <v>43.529249999999998</v>
      </c>
      <c r="I229" s="5"/>
      <c r="J229" s="17">
        <v>294.70710000000003</v>
      </c>
      <c r="K229" s="18">
        <v>40.867600000000003</v>
      </c>
      <c r="L229" s="18">
        <v>49.811999999999998</v>
      </c>
      <c r="M229" s="18">
        <v>49.559899999999999</v>
      </c>
      <c r="N229" s="18">
        <v>13.132400000000001</v>
      </c>
      <c r="O229" s="18">
        <f t="shared" si="31"/>
        <v>43.072187499999998</v>
      </c>
      <c r="P229" s="7"/>
      <c r="Q229" s="10"/>
      <c r="R229" s="11"/>
      <c r="S229" s="11"/>
      <c r="T229" s="26"/>
      <c r="U229" s="28">
        <f t="shared" si="32"/>
        <v>0.33867482161060142</v>
      </c>
      <c r="V229" s="57">
        <f t="shared" si="28"/>
        <v>4.1400000000000055E-2</v>
      </c>
      <c r="W229" s="57">
        <f t="shared" si="29"/>
        <v>1.7642999999999916E-2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279.95999999999998</v>
      </c>
      <c r="D230" s="20">
        <v>39.651000000000003</v>
      </c>
      <c r="E230" s="20">
        <v>47.578000000000003</v>
      </c>
      <c r="F230" s="20">
        <v>47.404000000000003</v>
      </c>
      <c r="G230" s="20">
        <v>11.15</v>
      </c>
      <c r="H230" s="20">
        <f t="shared" si="30"/>
        <v>41.611000000000004</v>
      </c>
      <c r="I230" s="5"/>
      <c r="J230" s="19">
        <v>189.1807</v>
      </c>
      <c r="K230" s="20">
        <v>40.105800000000002</v>
      </c>
      <c r="L230" s="20">
        <v>49.267499999999998</v>
      </c>
      <c r="M230" s="20">
        <v>49.067100000000003</v>
      </c>
      <c r="N230" s="20">
        <v>15.5786</v>
      </c>
      <c r="O230" s="20">
        <f t="shared" si="31"/>
        <v>42.371175000000001</v>
      </c>
      <c r="P230" s="7"/>
      <c r="Q230" s="13"/>
      <c r="R230" s="14"/>
      <c r="S230" s="14"/>
      <c r="T230" s="27"/>
      <c r="U230" s="28">
        <f t="shared" si="32"/>
        <v>0.39718385650224208</v>
      </c>
      <c r="V230" s="57">
        <f t="shared" si="28"/>
        <v>6.6800000000000068E-2</v>
      </c>
      <c r="W230" s="57">
        <f t="shared" si="29"/>
        <v>5.4096499999999992E-2</v>
      </c>
      <c r="X230" s="56">
        <v>300</v>
      </c>
      <c r="Y230" s="56">
        <v>200</v>
      </c>
    </row>
    <row r="231" spans="2:25" x14ac:dyDescent="0.25">
      <c r="B231" s="6" t="s">
        <v>89</v>
      </c>
      <c r="C231" s="15">
        <v>1474.02</v>
      </c>
      <c r="D231" s="16">
        <v>44.183999999999997</v>
      </c>
      <c r="E231" s="16">
        <v>52.152999999999999</v>
      </c>
      <c r="F231" s="16">
        <v>52.140999999999998</v>
      </c>
      <c r="G231" s="16">
        <v>8.1300000000000008</v>
      </c>
      <c r="H231" s="16">
        <f t="shared" si="30"/>
        <v>46.174750000000003</v>
      </c>
      <c r="I231" s="5"/>
      <c r="J231" s="15">
        <v>1004.5941</v>
      </c>
      <c r="K231" s="16">
        <v>43.522399999999998</v>
      </c>
      <c r="L231" s="16">
        <v>51.855800000000002</v>
      </c>
      <c r="M231" s="16">
        <v>51.905900000000003</v>
      </c>
      <c r="N231" s="16">
        <v>9.9629999999999992</v>
      </c>
      <c r="O231" s="16">
        <f t="shared" si="31"/>
        <v>45.612012499999992</v>
      </c>
      <c r="P231" s="7"/>
      <c r="Q231" s="8">
        <f>bdrate(C231:C234,D231:D234,J231:J234,K231:K234)</f>
        <v>-0.24732832752066147</v>
      </c>
      <c r="R231" s="8">
        <f>bdrate(C231:C234,E231:E234,J231:J234,L231:L234)</f>
        <v>-0.36268987128395702</v>
      </c>
      <c r="S231" s="8">
        <f>bdrate(C231:C234,F231:F234,J231:J234,M231:M234)</f>
        <v>-0.41066869960769659</v>
      </c>
      <c r="T231" s="25">
        <f>bdrate(C231:C234,H231:H234,J231:J234,O231:O234)</f>
        <v>-0.2762174175186155</v>
      </c>
      <c r="U231" s="28">
        <f t="shared" si="32"/>
        <v>0.2254612546125459</v>
      </c>
      <c r="V231" s="57">
        <f t="shared" si="28"/>
        <v>1.7320000000000012E-2</v>
      </c>
      <c r="W231" s="57">
        <f t="shared" si="29"/>
        <v>4.5941000000000254E-3</v>
      </c>
      <c r="X231" s="56">
        <v>1500</v>
      </c>
      <c r="Y231" s="56">
        <v>1000</v>
      </c>
    </row>
    <row r="232" spans="2:25" x14ac:dyDescent="0.25">
      <c r="B232" s="9"/>
      <c r="C232" s="17">
        <v>978.34</v>
      </c>
      <c r="D232" s="18">
        <v>42.926000000000002</v>
      </c>
      <c r="E232" s="18">
        <v>51.357999999999997</v>
      </c>
      <c r="F232" s="18">
        <v>51.347999999999999</v>
      </c>
      <c r="G232" s="18">
        <v>9.36</v>
      </c>
      <c r="H232" s="18">
        <f t="shared" si="30"/>
        <v>45.032750000000007</v>
      </c>
      <c r="I232" s="5"/>
      <c r="J232" s="17">
        <v>603.82510000000002</v>
      </c>
      <c r="K232" s="18">
        <v>42.121200000000002</v>
      </c>
      <c r="L232" s="18">
        <v>51.061100000000003</v>
      </c>
      <c r="M232" s="18">
        <v>51.156300000000002</v>
      </c>
      <c r="N232" s="18">
        <v>11.7295</v>
      </c>
      <c r="O232" s="18">
        <f t="shared" si="31"/>
        <v>44.368074999999997</v>
      </c>
      <c r="P232" s="7"/>
      <c r="Q232" s="10"/>
      <c r="R232" s="11"/>
      <c r="S232" s="11"/>
      <c r="T232" s="26"/>
      <c r="U232" s="28">
        <f t="shared" si="32"/>
        <v>0.25315170940170945</v>
      </c>
      <c r="V232" s="57">
        <f t="shared" si="28"/>
        <v>2.1659999999999967E-2</v>
      </c>
      <c r="W232" s="57">
        <f t="shared" si="29"/>
        <v>6.3751666666667008E-3</v>
      </c>
      <c r="X232" s="56">
        <v>1000</v>
      </c>
      <c r="Y232" s="56">
        <v>600</v>
      </c>
    </row>
    <row r="233" spans="2:25" x14ac:dyDescent="0.25">
      <c r="B233" s="9"/>
      <c r="C233" s="17">
        <v>584.04999999999995</v>
      </c>
      <c r="D233" s="18">
        <v>41.271999999999998</v>
      </c>
      <c r="E233" s="18">
        <v>50.234999999999999</v>
      </c>
      <c r="F233" s="18">
        <v>50.14</v>
      </c>
      <c r="G233" s="18">
        <v>10.69</v>
      </c>
      <c r="H233" s="18">
        <f t="shared" si="30"/>
        <v>43.500875000000001</v>
      </c>
      <c r="I233" s="5"/>
      <c r="J233" s="17">
        <v>300.70979999999997</v>
      </c>
      <c r="K233" s="18">
        <v>40.162599999999998</v>
      </c>
      <c r="L233" s="18">
        <v>49.947200000000002</v>
      </c>
      <c r="M233" s="18">
        <v>50.092700000000001</v>
      </c>
      <c r="N233" s="18">
        <v>14.376799999999999</v>
      </c>
      <c r="O233" s="18">
        <f t="shared" si="31"/>
        <v>42.626937499999997</v>
      </c>
      <c r="P233" s="7"/>
      <c r="Q233" s="10"/>
      <c r="R233" s="11"/>
      <c r="S233" s="11"/>
      <c r="T233" s="26"/>
      <c r="U233" s="28">
        <f t="shared" si="32"/>
        <v>0.34488306828811977</v>
      </c>
      <c r="V233" s="57">
        <f t="shared" si="28"/>
        <v>2.658333333333341E-2</v>
      </c>
      <c r="W233" s="57">
        <f t="shared" si="29"/>
        <v>2.3659999999999098E-3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289.31</v>
      </c>
      <c r="D234" s="20">
        <v>38.746000000000002</v>
      </c>
      <c r="E234" s="20">
        <v>48.137</v>
      </c>
      <c r="F234" s="20">
        <v>48.118000000000002</v>
      </c>
      <c r="G234" s="20">
        <v>12.18</v>
      </c>
      <c r="H234" s="20">
        <f t="shared" si="30"/>
        <v>41.091374999999999</v>
      </c>
      <c r="I234" s="5"/>
      <c r="J234" s="19">
        <v>196.208</v>
      </c>
      <c r="K234" s="20">
        <v>38.890700000000002</v>
      </c>
      <c r="L234" s="20">
        <v>49.039200000000001</v>
      </c>
      <c r="M234" s="20">
        <v>49.119900000000001</v>
      </c>
      <c r="N234" s="20">
        <v>16.120699999999999</v>
      </c>
      <c r="O234" s="20">
        <f t="shared" si="31"/>
        <v>41.437912499999996</v>
      </c>
      <c r="P234" s="7"/>
      <c r="Q234" s="13"/>
      <c r="R234" s="14"/>
      <c r="S234" s="14"/>
      <c r="T234" s="27"/>
      <c r="U234" s="28">
        <f t="shared" si="32"/>
        <v>0.32353858784893264</v>
      </c>
      <c r="V234" s="57">
        <f t="shared" si="28"/>
        <v>3.5633333333333322E-2</v>
      </c>
      <c r="W234" s="57">
        <f t="shared" si="29"/>
        <v>1.8960000000000008E-2</v>
      </c>
      <c r="X234" s="56">
        <v>300</v>
      </c>
      <c r="Y234" s="56">
        <v>200</v>
      </c>
    </row>
    <row r="235" spans="2:25" x14ac:dyDescent="0.25">
      <c r="B235" s="6" t="s">
        <v>90</v>
      </c>
      <c r="C235" s="15">
        <v>1497.26</v>
      </c>
      <c r="D235" s="16">
        <v>42.484000000000002</v>
      </c>
      <c r="E235" s="16">
        <v>49.901000000000003</v>
      </c>
      <c r="F235" s="16">
        <v>50.612000000000002</v>
      </c>
      <c r="G235" s="16">
        <v>8.08</v>
      </c>
      <c r="H235" s="16">
        <f t="shared" si="30"/>
        <v>44.427125000000004</v>
      </c>
      <c r="I235" s="5"/>
      <c r="J235" s="15">
        <v>1005.5661</v>
      </c>
      <c r="K235" s="16">
        <v>41.867400000000004</v>
      </c>
      <c r="L235" s="16">
        <v>49.910200000000003</v>
      </c>
      <c r="M235" s="16">
        <v>50.666600000000003</v>
      </c>
      <c r="N235" s="16">
        <v>8.7904</v>
      </c>
      <c r="O235" s="16">
        <f t="shared" si="31"/>
        <v>43.972650000000002</v>
      </c>
      <c r="P235" s="7"/>
      <c r="Q235" s="8">
        <f>bdrate(C235:C238,D235:D238,J235:J238,K235:K238)</f>
        <v>-0.32223940759316183</v>
      </c>
      <c r="R235" s="8">
        <f>bdrate(C235:C238,E235:E238,J235:J238,L235:L238)</f>
        <v>-0.47936782005396816</v>
      </c>
      <c r="S235" s="8">
        <f>bdrate(C235:C238,F235:F238,J235:J238,M235:M238)</f>
        <v>-0.48952033833284292</v>
      </c>
      <c r="T235" s="25">
        <f>bdrate(C235:C238,H235:H238,J235:J238,O235:O238)</f>
        <v>-0.35978488300688161</v>
      </c>
      <c r="U235" s="28">
        <f t="shared" si="32"/>
        <v>8.7920792079207916E-2</v>
      </c>
      <c r="V235" s="57">
        <f t="shared" si="28"/>
        <v>1.8266666666666728E-3</v>
      </c>
      <c r="W235" s="57">
        <f t="shared" si="29"/>
        <v>5.5661000000000061E-3</v>
      </c>
      <c r="X235" s="56">
        <v>1500</v>
      </c>
      <c r="Y235" s="56">
        <v>1000</v>
      </c>
    </row>
    <row r="236" spans="2:25" x14ac:dyDescent="0.25">
      <c r="B236" s="9"/>
      <c r="C236" s="17">
        <v>995.67</v>
      </c>
      <c r="D236" s="18">
        <v>41.491</v>
      </c>
      <c r="E236" s="18">
        <v>49.191000000000003</v>
      </c>
      <c r="F236" s="18">
        <v>49.954000000000001</v>
      </c>
      <c r="G236" s="18">
        <v>9.16</v>
      </c>
      <c r="H236" s="18">
        <f t="shared" si="30"/>
        <v>43.511375000000001</v>
      </c>
      <c r="I236" s="5"/>
      <c r="J236" s="17">
        <v>603.77549999999997</v>
      </c>
      <c r="K236" s="18">
        <v>41.003300000000003</v>
      </c>
      <c r="L236" s="18">
        <v>49.282600000000002</v>
      </c>
      <c r="M236" s="18">
        <v>50.059600000000003</v>
      </c>
      <c r="N236" s="18">
        <v>10.4246</v>
      </c>
      <c r="O236" s="18">
        <f t="shared" si="31"/>
        <v>43.170250000000003</v>
      </c>
      <c r="P236" s="7"/>
      <c r="Q236" s="10"/>
      <c r="R236" s="11"/>
      <c r="S236" s="11"/>
      <c r="T236" s="26"/>
      <c r="U236" s="28">
        <f t="shared" si="32"/>
        <v>0.13805676855895194</v>
      </c>
      <c r="V236" s="57">
        <f t="shared" si="28"/>
        <v>4.3300000000000413E-3</v>
      </c>
      <c r="W236" s="57">
        <f t="shared" si="29"/>
        <v>6.2924999999999422E-3</v>
      </c>
      <c r="X236" s="56">
        <v>1000</v>
      </c>
      <c r="Y236" s="56">
        <v>600</v>
      </c>
    </row>
    <row r="237" spans="2:25" x14ac:dyDescent="0.25">
      <c r="B237" s="9"/>
      <c r="C237" s="17">
        <v>596.02</v>
      </c>
      <c r="D237" s="18">
        <v>40.281999999999996</v>
      </c>
      <c r="E237" s="18">
        <v>48.185000000000002</v>
      </c>
      <c r="F237" s="18">
        <v>48.984000000000002</v>
      </c>
      <c r="G237" s="18">
        <v>10.59</v>
      </c>
      <c r="H237" s="18">
        <f t="shared" si="30"/>
        <v>42.357624999999992</v>
      </c>
      <c r="I237" s="5"/>
      <c r="J237" s="17">
        <v>286.18819999999999</v>
      </c>
      <c r="K237" s="18">
        <v>39.654499999999999</v>
      </c>
      <c r="L237" s="18">
        <v>48.197200000000002</v>
      </c>
      <c r="M237" s="18">
        <v>49.0259</v>
      </c>
      <c r="N237" s="18">
        <v>13.692</v>
      </c>
      <c r="O237" s="18">
        <f t="shared" si="31"/>
        <v>41.893762499999994</v>
      </c>
      <c r="P237" s="7"/>
      <c r="Q237" s="10"/>
      <c r="R237" s="11"/>
      <c r="S237" s="11"/>
      <c r="T237" s="26"/>
      <c r="U237" s="28">
        <f t="shared" si="32"/>
        <v>0.29291784702549578</v>
      </c>
      <c r="V237" s="57">
        <f t="shared" si="28"/>
        <v>6.6333333333333635E-3</v>
      </c>
      <c r="W237" s="57">
        <f t="shared" si="29"/>
        <v>4.6039333333333349E-2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296.77999999999997</v>
      </c>
      <c r="D238" s="20">
        <v>38.412999999999997</v>
      </c>
      <c r="E238" s="20">
        <v>46.521999999999998</v>
      </c>
      <c r="F238" s="20">
        <v>47.286999999999999</v>
      </c>
      <c r="G238" s="20">
        <v>12.15</v>
      </c>
      <c r="H238" s="20">
        <f t="shared" si="30"/>
        <v>40.535874999999997</v>
      </c>
      <c r="I238" s="5"/>
      <c r="J238" s="19">
        <v>184.07429999999999</v>
      </c>
      <c r="K238" s="20">
        <v>38.703499999999998</v>
      </c>
      <c r="L238" s="20">
        <v>47.336500000000001</v>
      </c>
      <c r="M238" s="20">
        <v>48.226199999999999</v>
      </c>
      <c r="N238" s="20">
        <v>16.118099999999998</v>
      </c>
      <c r="O238" s="20">
        <f t="shared" si="31"/>
        <v>40.972962500000001</v>
      </c>
      <c r="P238" s="7"/>
      <c r="Q238" s="13"/>
      <c r="R238" s="14"/>
      <c r="S238" s="14"/>
      <c r="T238" s="27"/>
      <c r="U238" s="28">
        <f t="shared" si="32"/>
        <v>0.32659259259259243</v>
      </c>
      <c r="V238" s="57">
        <f t="shared" si="28"/>
        <v>1.0733333333333425E-2</v>
      </c>
      <c r="W238" s="57">
        <f t="shared" si="29"/>
        <v>7.9628500000000033E-2</v>
      </c>
      <c r="X238" s="56">
        <v>300</v>
      </c>
      <c r="Y238" s="56">
        <v>200</v>
      </c>
    </row>
    <row r="239" spans="2:25" x14ac:dyDescent="0.25">
      <c r="B239" s="6" t="s">
        <v>91</v>
      </c>
      <c r="C239" s="15">
        <v>1506.09</v>
      </c>
      <c r="D239" s="16">
        <v>41.709000000000003</v>
      </c>
      <c r="E239" s="16">
        <v>49.655000000000001</v>
      </c>
      <c r="F239" s="16">
        <v>48.814</v>
      </c>
      <c r="G239" s="16">
        <v>7.55</v>
      </c>
      <c r="H239" s="16">
        <f t="shared" si="30"/>
        <v>43.590375000000002</v>
      </c>
      <c r="I239" s="5"/>
      <c r="J239" s="15">
        <v>1005.1145</v>
      </c>
      <c r="K239" s="16">
        <v>40.773000000000003</v>
      </c>
      <c r="L239" s="16">
        <v>49.631999999999998</v>
      </c>
      <c r="M239" s="16">
        <v>48.957000000000001</v>
      </c>
      <c r="N239" s="16">
        <v>8.3468</v>
      </c>
      <c r="O239" s="16">
        <f t="shared" si="31"/>
        <v>42.903375000000004</v>
      </c>
      <c r="P239" s="7"/>
      <c r="Q239" s="8">
        <f>bdrate(C239:C242,D239:D242,J239:J242,K239:K242)</f>
        <v>-0.26620538799185645</v>
      </c>
      <c r="R239" s="8">
        <f>bdrate(C239:C242,E239:E242,J239:J242,L239:L242)</f>
        <v>-0.46587801566936604</v>
      </c>
      <c r="S239" s="8">
        <f>bdrate(C239:C242,F239:F242,J239:J242,M239:M242)</f>
        <v>-0.50668274878181752</v>
      </c>
      <c r="T239" s="25">
        <f>bdrate(C239:C242,H239:H242,J239:J242,O239:O242)</f>
        <v>-0.31491880747035361</v>
      </c>
      <c r="U239" s="28">
        <f t="shared" si="32"/>
        <v>0.10553642384105963</v>
      </c>
      <c r="V239" s="57">
        <f t="shared" si="28"/>
        <v>4.0599999999999456E-3</v>
      </c>
      <c r="W239" s="57">
        <f t="shared" si="29"/>
        <v>5.1145000000000209E-3</v>
      </c>
      <c r="X239" s="56">
        <v>1500</v>
      </c>
      <c r="Y239" s="56">
        <v>1000</v>
      </c>
    </row>
    <row r="240" spans="2:25" x14ac:dyDescent="0.25">
      <c r="B240" s="9"/>
      <c r="C240" s="17">
        <v>1008.74</v>
      </c>
      <c r="D240" s="18">
        <v>40.390999999999998</v>
      </c>
      <c r="E240" s="18">
        <v>48.703000000000003</v>
      </c>
      <c r="F240" s="18">
        <v>47.774000000000001</v>
      </c>
      <c r="G240" s="18">
        <v>8.59</v>
      </c>
      <c r="H240" s="18">
        <f t="shared" si="30"/>
        <v>42.352874999999997</v>
      </c>
      <c r="I240" s="5"/>
      <c r="J240" s="17">
        <v>599.89059999999995</v>
      </c>
      <c r="K240" s="18">
        <v>39.364199999999997</v>
      </c>
      <c r="L240" s="18">
        <v>48.774299999999997</v>
      </c>
      <c r="M240" s="18">
        <v>48.0443</v>
      </c>
      <c r="N240" s="18">
        <v>9.9945000000000004</v>
      </c>
      <c r="O240" s="18">
        <f t="shared" si="31"/>
        <v>41.625475000000002</v>
      </c>
      <c r="P240" s="7"/>
      <c r="Q240" s="10"/>
      <c r="R240" s="11"/>
      <c r="S240" s="11"/>
      <c r="T240" s="26"/>
      <c r="U240" s="28">
        <f t="shared" si="32"/>
        <v>0.16350407450523871</v>
      </c>
      <c r="V240" s="57">
        <f t="shared" si="28"/>
        <v>8.7400000000000099E-3</v>
      </c>
      <c r="W240" s="57">
        <f t="shared" si="29"/>
        <v>1.8233333333341761E-4</v>
      </c>
      <c r="X240" s="56">
        <v>1000</v>
      </c>
      <c r="Y240" s="56">
        <v>600</v>
      </c>
    </row>
    <row r="241" spans="2:25" x14ac:dyDescent="0.25">
      <c r="B241" s="9"/>
      <c r="C241" s="17">
        <v>604.87</v>
      </c>
      <c r="D241" s="18">
        <v>38.567999999999998</v>
      </c>
      <c r="E241" s="18">
        <v>47.384</v>
      </c>
      <c r="F241" s="18">
        <v>46.328000000000003</v>
      </c>
      <c r="G241" s="18">
        <v>9.84</v>
      </c>
      <c r="H241" s="18">
        <f t="shared" si="30"/>
        <v>40.64</v>
      </c>
      <c r="I241" s="5"/>
      <c r="J241" s="17">
        <v>289.7774</v>
      </c>
      <c r="K241" s="18">
        <v>37.155999999999999</v>
      </c>
      <c r="L241" s="18">
        <v>47.286700000000003</v>
      </c>
      <c r="M241" s="18">
        <v>46.436</v>
      </c>
      <c r="N241" s="18">
        <v>12.857200000000001</v>
      </c>
      <c r="O241" s="18">
        <f t="shared" si="31"/>
        <v>39.582337499999994</v>
      </c>
      <c r="P241" s="7"/>
      <c r="Q241" s="10"/>
      <c r="R241" s="11"/>
      <c r="S241" s="11"/>
      <c r="T241" s="26"/>
      <c r="U241" s="28">
        <f t="shared" si="32"/>
        <v>0.30662601626016267</v>
      </c>
      <c r="V241" s="57">
        <f t="shared" si="28"/>
        <v>8.1166666666666748E-3</v>
      </c>
      <c r="W241" s="57">
        <f t="shared" si="29"/>
        <v>3.4075333333333332E-2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302.62</v>
      </c>
      <c r="D242" s="20">
        <v>35.546999999999997</v>
      </c>
      <c r="E242" s="20">
        <v>45.079000000000001</v>
      </c>
      <c r="F242" s="20">
        <v>44.015999999999998</v>
      </c>
      <c r="G242" s="20">
        <v>11.18</v>
      </c>
      <c r="H242" s="20">
        <f t="shared" si="30"/>
        <v>37.797125000000001</v>
      </c>
      <c r="I242" s="5"/>
      <c r="J242" s="19">
        <v>188.36789999999999</v>
      </c>
      <c r="K242" s="20">
        <v>35.646099999999997</v>
      </c>
      <c r="L242" s="20">
        <v>46.321800000000003</v>
      </c>
      <c r="M242" s="20">
        <v>45.296199999999999</v>
      </c>
      <c r="N242" s="20">
        <v>14.912000000000001</v>
      </c>
      <c r="O242" s="20">
        <f t="shared" si="31"/>
        <v>38.186824999999999</v>
      </c>
      <c r="P242" s="7"/>
      <c r="Q242" s="13"/>
      <c r="R242" s="14"/>
      <c r="S242" s="14"/>
      <c r="T242" s="27"/>
      <c r="U242" s="28">
        <f t="shared" si="32"/>
        <v>0.33381037567084088</v>
      </c>
      <c r="V242" s="57">
        <f t="shared" si="28"/>
        <v>8.7333333333333481E-3</v>
      </c>
      <c r="W242" s="57">
        <f t="shared" si="29"/>
        <v>5.8160500000000039E-2</v>
      </c>
      <c r="X242" s="56">
        <v>300</v>
      </c>
      <c r="Y242" s="56">
        <v>200</v>
      </c>
    </row>
    <row r="243" spans="2:25" x14ac:dyDescent="0.25">
      <c r="B243" s="6" t="s">
        <v>92</v>
      </c>
      <c r="C243" s="29">
        <v>1470.74</v>
      </c>
      <c r="D243" s="30">
        <v>37.39</v>
      </c>
      <c r="E243" s="30">
        <v>46.43</v>
      </c>
      <c r="F243" s="30">
        <v>45.222000000000001</v>
      </c>
      <c r="G243" s="16">
        <v>7.18</v>
      </c>
      <c r="H243" s="16">
        <f t="shared" si="30"/>
        <v>39.498999999999995</v>
      </c>
      <c r="I243" s="5"/>
      <c r="J243" s="29">
        <v>1007.3779</v>
      </c>
      <c r="K243" s="30">
        <v>36.513599999999997</v>
      </c>
      <c r="L243" s="30">
        <v>46.971800000000002</v>
      </c>
      <c r="M243" s="30">
        <v>45.761099999999999</v>
      </c>
      <c r="N243" s="16">
        <v>7.3033000000000001</v>
      </c>
      <c r="O243" s="16">
        <f t="shared" si="31"/>
        <v>38.976812500000001</v>
      </c>
      <c r="P243" s="7"/>
      <c r="Q243" s="8">
        <f>bdrate(C243:C246,D243:D246,J243:J246,K243:K246)</f>
        <v>-0.2469100281815283</v>
      </c>
      <c r="R243" s="8">
        <f>bdrate(C243:C246,E243:E246,J243:J246,L243:L246)</f>
        <v>-0.53532808671664567</v>
      </c>
      <c r="S243" s="8">
        <f>bdrate(C243:C246,F243:F246,J243:J246,M243:M246)</f>
        <v>-0.51555297495616603</v>
      </c>
      <c r="T243" s="25">
        <f>bdrate(C243:C246,H243:H246,J243:J246,O243:O246)</f>
        <v>-0.30491911676900141</v>
      </c>
      <c r="U243" s="28">
        <f t="shared" si="32"/>
        <v>1.7172701949860782E-2</v>
      </c>
      <c r="V243" s="57">
        <f t="shared" si="28"/>
        <v>1.9506666666666662E-2</v>
      </c>
      <c r="W243" s="57">
        <f t="shared" si="29"/>
        <v>7.3778999999999538E-3</v>
      </c>
      <c r="X243" s="56">
        <v>1500</v>
      </c>
      <c r="Y243" s="56">
        <v>1000</v>
      </c>
    </row>
    <row r="244" spans="2:25" x14ac:dyDescent="0.25">
      <c r="B244" s="9"/>
      <c r="C244" s="31">
        <v>971.31</v>
      </c>
      <c r="D244" s="32">
        <v>36.255000000000003</v>
      </c>
      <c r="E244" s="32">
        <v>45.531999999999996</v>
      </c>
      <c r="F244" s="32">
        <v>44.395000000000003</v>
      </c>
      <c r="G244" s="18">
        <v>8.0299999999999994</v>
      </c>
      <c r="H244" s="18">
        <f t="shared" si="30"/>
        <v>38.432124999999999</v>
      </c>
      <c r="I244" s="5"/>
      <c r="J244" s="31">
        <v>604.97329999999999</v>
      </c>
      <c r="K244" s="32">
        <v>35.345500000000001</v>
      </c>
      <c r="L244" s="32">
        <v>46.082500000000003</v>
      </c>
      <c r="M244" s="32">
        <v>44.862499999999997</v>
      </c>
      <c r="N244" s="18">
        <v>8.6707999999999998</v>
      </c>
      <c r="O244" s="18">
        <f t="shared" si="31"/>
        <v>37.877250000000004</v>
      </c>
      <c r="P244" s="7"/>
      <c r="Q244" s="10"/>
      <c r="R244" s="11"/>
      <c r="S244" s="11"/>
      <c r="T244" s="26"/>
      <c r="U244" s="28">
        <f t="shared" si="32"/>
        <v>7.9800747198007532E-2</v>
      </c>
      <c r="V244" s="57">
        <f t="shared" si="28"/>
        <v>2.8690000000000056E-2</v>
      </c>
      <c r="W244" s="57">
        <f t="shared" si="29"/>
        <v>8.2888333333333251E-3</v>
      </c>
      <c r="X244" s="56">
        <v>1000</v>
      </c>
      <c r="Y244" s="56">
        <v>600</v>
      </c>
    </row>
    <row r="245" spans="2:25" x14ac:dyDescent="0.25">
      <c r="B245" s="9"/>
      <c r="C245" s="31">
        <v>574.85</v>
      </c>
      <c r="D245" s="32">
        <v>34.604999999999997</v>
      </c>
      <c r="E245" s="32">
        <v>44.360999999999997</v>
      </c>
      <c r="F245" s="32">
        <v>43.262999999999998</v>
      </c>
      <c r="G245" s="18">
        <v>9.18</v>
      </c>
      <c r="H245" s="18">
        <f t="shared" si="30"/>
        <v>36.906749999999995</v>
      </c>
      <c r="I245" s="5"/>
      <c r="J245" s="31">
        <v>295.577</v>
      </c>
      <c r="K245" s="32">
        <v>33.499899999999997</v>
      </c>
      <c r="L245" s="32">
        <v>44.646500000000003</v>
      </c>
      <c r="M245" s="32">
        <v>43.430599999999998</v>
      </c>
      <c r="N245" s="18">
        <v>11.2103</v>
      </c>
      <c r="O245" s="18">
        <f t="shared" si="31"/>
        <v>36.134562500000001</v>
      </c>
      <c r="P245" s="7"/>
      <c r="Q245" s="10"/>
      <c r="R245" s="11"/>
      <c r="S245" s="11"/>
      <c r="T245" s="26"/>
      <c r="U245" s="28">
        <f t="shared" si="32"/>
        <v>0.22116557734204798</v>
      </c>
      <c r="V245" s="57">
        <f t="shared" si="28"/>
        <v>4.191666666666663E-2</v>
      </c>
      <c r="W245" s="57">
        <f t="shared" si="29"/>
        <v>1.4743333333333339E-2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281.39999999999998</v>
      </c>
      <c r="D246" s="34">
        <v>31.512</v>
      </c>
      <c r="E246" s="34">
        <v>42.429000000000002</v>
      </c>
      <c r="F246" s="34">
        <v>41.487000000000002</v>
      </c>
      <c r="G246" s="20">
        <v>10.51</v>
      </c>
      <c r="H246" s="20">
        <f t="shared" si="30"/>
        <v>34.1235</v>
      </c>
      <c r="I246" s="5"/>
      <c r="J246" s="33">
        <v>190.0804</v>
      </c>
      <c r="K246" s="34">
        <v>32.119399999999999</v>
      </c>
      <c r="L246" s="34">
        <v>43.506500000000003</v>
      </c>
      <c r="M246" s="34">
        <v>42.330599999999997</v>
      </c>
      <c r="N246" s="20">
        <v>13.3339</v>
      </c>
      <c r="O246" s="20">
        <f t="shared" si="31"/>
        <v>34.819187499999998</v>
      </c>
      <c r="P246" s="7"/>
      <c r="Q246" s="13"/>
      <c r="R246" s="14"/>
      <c r="S246" s="14"/>
      <c r="T246" s="27"/>
      <c r="U246" s="28">
        <f t="shared" si="32"/>
        <v>0.26868696479543291</v>
      </c>
      <c r="V246" s="57">
        <f t="shared" si="28"/>
        <v>6.2000000000000076E-2</v>
      </c>
      <c r="W246" s="57">
        <f t="shared" si="29"/>
        <v>4.959800000000001E-2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3">AVERAGE(Q131:Q246)</f>
        <v>-0.32809220793997912</v>
      </c>
      <c r="R247" s="21">
        <f t="shared" si="33"/>
        <v>-0.54197839736933118</v>
      </c>
      <c r="S247" s="21">
        <f t="shared" si="33"/>
        <v>-0.54685612126384764</v>
      </c>
      <c r="T247" s="21">
        <f t="shared" si="33"/>
        <v>-0.37177287212810439</v>
      </c>
      <c r="U247" s="21">
        <f t="shared" si="33"/>
        <v>8.414323498383118E-2</v>
      </c>
      <c r="V247" s="57">
        <f t="shared" si="33"/>
        <v>4.6645631484197182E-2</v>
      </c>
      <c r="W247" s="57">
        <f t="shared" si="33"/>
        <v>1.9217976436781602E-2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95" priority="477" operator="greaterThan">
      <formula>0.03</formula>
    </cfRule>
    <cfRule type="cellIs" dxfId="194" priority="478" stopIfTrue="1" operator="lessThan">
      <formula>-0.03</formula>
    </cfRule>
  </conditionalFormatting>
  <conditionalFormatting sqref="Q33:T36">
    <cfRule type="cellIs" dxfId="193" priority="475" operator="greaterThan">
      <formula>0.03</formula>
    </cfRule>
    <cfRule type="cellIs" dxfId="192" priority="476" stopIfTrue="1" operator="lessThan">
      <formula>-0.03</formula>
    </cfRule>
  </conditionalFormatting>
  <conditionalFormatting sqref="Q46:T48 Q62:T64">
    <cfRule type="cellIs" dxfId="191" priority="473" operator="greaterThan">
      <formula>0.03</formula>
    </cfRule>
    <cfRule type="cellIs" dxfId="190" priority="474" stopIfTrue="1" operator="lessThan">
      <formula>-0.03</formula>
    </cfRule>
  </conditionalFormatting>
  <conditionalFormatting sqref="Q50:T52 Q54:T56 Q58:T60">
    <cfRule type="cellIs" dxfId="189" priority="471" operator="greaterThan">
      <formula>0.03</formula>
    </cfRule>
    <cfRule type="cellIs" dxfId="188" priority="472" stopIfTrue="1" operator="lessThan">
      <formula>-0.03</formula>
    </cfRule>
  </conditionalFormatting>
  <conditionalFormatting sqref="Q70:T72 Q74:T76">
    <cfRule type="cellIs" dxfId="187" priority="469" operator="greaterThan">
      <formula>0.03</formula>
    </cfRule>
    <cfRule type="cellIs" dxfId="186" priority="470" stopIfTrue="1" operator="lessThan">
      <formula>-0.03</formula>
    </cfRule>
  </conditionalFormatting>
  <conditionalFormatting sqref="Q66:T68">
    <cfRule type="cellIs" dxfId="185" priority="467" operator="greaterThan">
      <formula>0.03</formula>
    </cfRule>
    <cfRule type="cellIs" dxfId="184" priority="468" stopIfTrue="1" operator="lessThan">
      <formula>-0.03</formula>
    </cfRule>
  </conditionalFormatting>
  <conditionalFormatting sqref="Q78:T80">
    <cfRule type="cellIs" dxfId="183" priority="465" operator="greaterThan">
      <formula>0.03</formula>
    </cfRule>
    <cfRule type="cellIs" dxfId="182" priority="466" stopIfTrue="1" operator="lessThan">
      <formula>-0.03</formula>
    </cfRule>
  </conditionalFormatting>
  <conditionalFormatting sqref="Q21:T28">
    <cfRule type="cellIs" dxfId="181" priority="447" operator="greaterThan">
      <formula>0.03</formula>
    </cfRule>
    <cfRule type="cellIs" dxfId="180" priority="448" stopIfTrue="1" operator="lessThan">
      <formula>-0.03</formula>
    </cfRule>
  </conditionalFormatting>
  <conditionalFormatting sqref="Q151:T154 Q159:T166 Q131:T142">
    <cfRule type="cellIs" dxfId="179" priority="443" operator="greaterThan">
      <formula>0.03</formula>
    </cfRule>
    <cfRule type="cellIs" dxfId="178" priority="444" stopIfTrue="1" operator="lessThan">
      <formula>-0.03</formula>
    </cfRule>
  </conditionalFormatting>
  <conditionalFormatting sqref="Q155:T158">
    <cfRule type="cellIs" dxfId="177" priority="441" operator="greaterThan">
      <formula>0.03</formula>
    </cfRule>
    <cfRule type="cellIs" dxfId="176" priority="442" stopIfTrue="1" operator="lessThan">
      <formula>-0.03</formula>
    </cfRule>
  </conditionalFormatting>
  <conditionalFormatting sqref="Q167:T170 Q183:T186">
    <cfRule type="cellIs" dxfId="175" priority="439" operator="greaterThan">
      <formula>0.03</formula>
    </cfRule>
    <cfRule type="cellIs" dxfId="174" priority="440" stopIfTrue="1" operator="lessThan">
      <formula>-0.03</formula>
    </cfRule>
  </conditionalFormatting>
  <conditionalFormatting sqref="Q171:T182">
    <cfRule type="cellIs" dxfId="173" priority="437" operator="greaterThan">
      <formula>0.03</formula>
    </cfRule>
    <cfRule type="cellIs" dxfId="172" priority="438" stopIfTrue="1" operator="lessThan">
      <formula>-0.03</formula>
    </cfRule>
  </conditionalFormatting>
  <conditionalFormatting sqref="Q191:T198">
    <cfRule type="cellIs" dxfId="171" priority="435" operator="greaterThan">
      <formula>0.03</formula>
    </cfRule>
    <cfRule type="cellIs" dxfId="170" priority="436" stopIfTrue="1" operator="lessThan">
      <formula>-0.03</formula>
    </cfRule>
  </conditionalFormatting>
  <conditionalFormatting sqref="Q187:T190">
    <cfRule type="cellIs" dxfId="169" priority="433" operator="greaterThan">
      <formula>0.03</formula>
    </cfRule>
    <cfRule type="cellIs" dxfId="168" priority="434" stopIfTrue="1" operator="lessThan">
      <formula>-0.03</formula>
    </cfRule>
  </conditionalFormatting>
  <conditionalFormatting sqref="Q199:T202">
    <cfRule type="cellIs" dxfId="167" priority="431" operator="greaterThan">
      <formula>0.03</formula>
    </cfRule>
    <cfRule type="cellIs" dxfId="166" priority="432" stopIfTrue="1" operator="lessThan">
      <formula>-0.03</formula>
    </cfRule>
  </conditionalFormatting>
  <conditionalFormatting sqref="Q143:T150">
    <cfRule type="cellIs" dxfId="165" priority="429" operator="greaterThan">
      <formula>0.03</formula>
    </cfRule>
    <cfRule type="cellIs" dxfId="164" priority="430" stopIfTrue="1" operator="lessThan">
      <formula>-0.03</formula>
    </cfRule>
  </conditionalFormatting>
  <conditionalFormatting sqref="Q45:T45">
    <cfRule type="cellIs" dxfId="163" priority="427" operator="greaterThan">
      <formula>0.03</formula>
    </cfRule>
    <cfRule type="cellIs" dxfId="162" priority="428" stopIfTrue="1" operator="lessThan">
      <formula>-0.03</formula>
    </cfRule>
  </conditionalFormatting>
  <conditionalFormatting sqref="Q49:T49">
    <cfRule type="cellIs" dxfId="161" priority="425" operator="greaterThan">
      <formula>0.03</formula>
    </cfRule>
    <cfRule type="cellIs" dxfId="160" priority="426" stopIfTrue="1" operator="lessThan">
      <formula>-0.03</formula>
    </cfRule>
  </conditionalFormatting>
  <conditionalFormatting sqref="Q53:T53">
    <cfRule type="cellIs" dxfId="159" priority="423" operator="greaterThan">
      <formula>0.03</formula>
    </cfRule>
    <cfRule type="cellIs" dxfId="158" priority="424" stopIfTrue="1" operator="lessThan">
      <formula>-0.03</formula>
    </cfRule>
  </conditionalFormatting>
  <conditionalFormatting sqref="Q57:T57">
    <cfRule type="cellIs" dxfId="157" priority="421" operator="greaterThan">
      <formula>0.03</formula>
    </cfRule>
    <cfRule type="cellIs" dxfId="156" priority="422" stopIfTrue="1" operator="lessThan">
      <formula>-0.03</formula>
    </cfRule>
  </conditionalFormatting>
  <conditionalFormatting sqref="Q61:T61">
    <cfRule type="cellIs" dxfId="155" priority="419" operator="greaterThan">
      <formula>0.03</formula>
    </cfRule>
    <cfRule type="cellIs" dxfId="154" priority="420" stopIfTrue="1" operator="lessThan">
      <formula>-0.03</formula>
    </cfRule>
  </conditionalFormatting>
  <conditionalFormatting sqref="Q65:T65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Q69:T6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Q73:T73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Q77:T77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Q105:T105">
    <cfRule type="cellIs" dxfId="145" priority="105" operator="greaterThan">
      <formula>0.03</formula>
    </cfRule>
    <cfRule type="cellIs" dxfId="144" priority="106" stopIfTrue="1" operator="lessThan">
      <formula>-0.03</formula>
    </cfRule>
  </conditionalFormatting>
  <conditionalFormatting sqref="Q117:T117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93:T100 Q81:T88">
    <cfRule type="cellIs" dxfId="141" priority="119" operator="greaterThan">
      <formula>0.03</formula>
    </cfRule>
    <cfRule type="cellIs" dxfId="140" priority="120" stopIfTrue="1" operator="lessThan">
      <formula>-0.03</formula>
    </cfRule>
  </conditionalFormatting>
  <conditionalFormatting sqref="Q89:T92">
    <cfRule type="cellIs" dxfId="139" priority="117" operator="greaterThan">
      <formula>0.03</formula>
    </cfRule>
    <cfRule type="cellIs" dxfId="138" priority="118" stopIfTrue="1" operator="lessThan">
      <formula>-0.03</formula>
    </cfRule>
  </conditionalFormatting>
  <conditionalFormatting sqref="Q102:T104 Q122:T124">
    <cfRule type="cellIs" dxfId="137" priority="115" operator="greaterThan">
      <formula>0.03</formula>
    </cfRule>
    <cfRule type="cellIs" dxfId="136" priority="116" stopIfTrue="1" operator="lessThan">
      <formula>-0.03</formula>
    </cfRule>
  </conditionalFormatting>
  <conditionalFormatting sqref="Q106:T108">
    <cfRule type="cellIs" dxfId="135" priority="113" operator="greaterThan">
      <formula>0.03</formula>
    </cfRule>
    <cfRule type="cellIs" dxfId="134" priority="114" stopIfTrue="1" operator="lessThan">
      <formula>-0.03</formula>
    </cfRule>
  </conditionalFormatting>
  <conditionalFormatting sqref="Q101:T101">
    <cfRule type="cellIs" dxfId="133" priority="109" operator="greaterThan">
      <formula>0.03</formula>
    </cfRule>
    <cfRule type="cellIs" dxfId="132" priority="110" stopIfTrue="1" operator="lessThan">
      <formula>-0.03</formula>
    </cfRule>
  </conditionalFormatting>
  <conditionalFormatting sqref="Q121:T121">
    <cfRule type="cellIs" dxfId="131" priority="103" operator="greaterThan">
      <formula>0.03</formula>
    </cfRule>
    <cfRule type="cellIs" dxfId="130" priority="104" stopIfTrue="1" operator="lessThan">
      <formula>-0.03</formula>
    </cfRule>
  </conditionalFormatting>
  <conditionalFormatting sqref="Q109:T112">
    <cfRule type="cellIs" dxfId="129" priority="101" operator="greaterThan">
      <formula>0.03</formula>
    </cfRule>
    <cfRule type="cellIs" dxfId="128" priority="102" stopIfTrue="1" operator="lessThan">
      <formula>-0.03</formula>
    </cfRule>
  </conditionalFormatting>
  <conditionalFormatting sqref="Q114:T116">
    <cfRule type="cellIs" dxfId="127" priority="99" operator="greaterThan">
      <formula>0.03</formula>
    </cfRule>
    <cfRule type="cellIs" dxfId="126" priority="100" stopIfTrue="1" operator="lessThan">
      <formula>-0.03</formula>
    </cfRule>
  </conditionalFormatting>
  <conditionalFormatting sqref="Q118:T120">
    <cfRule type="cellIs" dxfId="125" priority="97" operator="greaterThan">
      <formula>0.03</formula>
    </cfRule>
    <cfRule type="cellIs" dxfId="124" priority="98" stopIfTrue="1" operator="lessThan">
      <formula>-0.03</formula>
    </cfRule>
  </conditionalFormatting>
  <conditionalFormatting sqref="Q113:T113">
    <cfRule type="cellIs" dxfId="123" priority="95" operator="greaterThan">
      <formula>0.03</formula>
    </cfRule>
    <cfRule type="cellIs" dxfId="122" priority="96" stopIfTrue="1" operator="lessThan">
      <formula>-0.03</formula>
    </cfRule>
  </conditionalFormatting>
  <conditionalFormatting sqref="Q227:T227">
    <cfRule type="cellIs" dxfId="121" priority="39" operator="greaterThan">
      <formula>0.03</formula>
    </cfRule>
    <cfRule type="cellIs" dxfId="120" priority="40" stopIfTrue="1" operator="lessThan">
      <formula>-0.03</formula>
    </cfRule>
  </conditionalFormatting>
  <conditionalFormatting sqref="Q239:T239">
    <cfRule type="cellIs" dxfId="119" priority="27" operator="greaterThan">
      <formula>0.03</formula>
    </cfRule>
    <cfRule type="cellIs" dxfId="118" priority="28" stopIfTrue="1" operator="lessThan">
      <formula>-0.03</formula>
    </cfRule>
  </conditionalFormatting>
  <conditionalFormatting sqref="Q215:T222 Q203:T210">
    <cfRule type="cellIs" dxfId="117" priority="53" operator="greaterThan">
      <formula>0.03</formula>
    </cfRule>
    <cfRule type="cellIs" dxfId="116" priority="54" stopIfTrue="1" operator="lessThan">
      <formula>-0.03</formula>
    </cfRule>
  </conditionalFormatting>
  <conditionalFormatting sqref="Q211:T214">
    <cfRule type="cellIs" dxfId="115" priority="51" operator="greaterThan">
      <formula>0.03</formula>
    </cfRule>
    <cfRule type="cellIs" dxfId="114" priority="52" stopIfTrue="1" operator="lessThan">
      <formula>-0.03</formula>
    </cfRule>
  </conditionalFormatting>
  <conditionalFormatting sqref="Q224:T226 Q244:T246">
    <cfRule type="cellIs" dxfId="113" priority="49" operator="greaterThan">
      <formula>0.03</formula>
    </cfRule>
    <cfRule type="cellIs" dxfId="112" priority="50" stopIfTrue="1" operator="lessThan">
      <formula>-0.03</formula>
    </cfRule>
  </conditionalFormatting>
  <conditionalFormatting sqref="Q228:T230">
    <cfRule type="cellIs" dxfId="111" priority="47" operator="greaterThan">
      <formula>0.03</formula>
    </cfRule>
    <cfRule type="cellIs" dxfId="110" priority="48" stopIfTrue="1" operator="lessThan">
      <formula>-0.03</formula>
    </cfRule>
  </conditionalFormatting>
  <conditionalFormatting sqref="Q223:T223">
    <cfRule type="cellIs" dxfId="109" priority="43" operator="greaterThan">
      <formula>0.03</formula>
    </cfRule>
    <cfRule type="cellIs" dxfId="108" priority="44" stopIfTrue="1" operator="lessThan">
      <formula>-0.03</formula>
    </cfRule>
  </conditionalFormatting>
  <conditionalFormatting sqref="Q243:T243">
    <cfRule type="cellIs" dxfId="107" priority="37" operator="greaterThan">
      <formula>0.03</formula>
    </cfRule>
    <cfRule type="cellIs" dxfId="106" priority="38" stopIfTrue="1" operator="lessThan">
      <formula>-0.03</formula>
    </cfRule>
  </conditionalFormatting>
  <conditionalFormatting sqref="Q231:T234">
    <cfRule type="cellIs" dxfId="105" priority="35" operator="greaterThan">
      <formula>0.03</formula>
    </cfRule>
    <cfRule type="cellIs" dxfId="104" priority="36" stopIfTrue="1" operator="lessThan">
      <formula>-0.03</formula>
    </cfRule>
  </conditionalFormatting>
  <conditionalFormatting sqref="Q236:T238">
    <cfRule type="cellIs" dxfId="103" priority="33" operator="greaterThan">
      <formula>0.03</formula>
    </cfRule>
    <cfRule type="cellIs" dxfId="102" priority="34" stopIfTrue="1" operator="lessThan">
      <formula>-0.03</formula>
    </cfRule>
  </conditionalFormatting>
  <conditionalFormatting sqref="Q240:T242">
    <cfRule type="cellIs" dxfId="101" priority="31" operator="greaterThan">
      <formula>0.03</formula>
    </cfRule>
    <cfRule type="cellIs" dxfId="100" priority="32" stopIfTrue="1" operator="lessThan">
      <formula>-0.03</formula>
    </cfRule>
  </conditionalFormatting>
  <conditionalFormatting sqref="Q235:T235">
    <cfRule type="cellIs" dxfId="99" priority="29" operator="greaterThan">
      <formula>0.03</formula>
    </cfRule>
    <cfRule type="cellIs" dxfId="98" priority="30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>
      <selection activeCell="L12" sqref="L12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125</v>
      </c>
    </row>
    <row r="2" spans="1:25" x14ac:dyDescent="0.25">
      <c r="A2" t="s">
        <v>78</v>
      </c>
    </row>
    <row r="3" spans="1:25" x14ac:dyDescent="0.25">
      <c r="A3" t="s">
        <v>111</v>
      </c>
    </row>
    <row r="4" spans="1:25" x14ac:dyDescent="0.25">
      <c r="A4" t="s">
        <v>79</v>
      </c>
    </row>
    <row r="5" spans="1:25" s="35" customFormat="1" ht="15.75" customHeight="1" x14ac:dyDescent="0.25">
      <c r="B5" s="74" t="s">
        <v>29</v>
      </c>
      <c r="C5" s="68" t="s">
        <v>120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75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6" t="s">
        <v>66</v>
      </c>
      <c r="D7" s="77"/>
      <c r="E7" s="77"/>
      <c r="F7" s="77"/>
      <c r="G7" s="77"/>
      <c r="H7" s="77"/>
      <c r="I7" s="5"/>
      <c r="J7" s="76" t="s">
        <v>103</v>
      </c>
      <c r="K7" s="77"/>
      <c r="L7" s="77"/>
      <c r="M7" s="77"/>
      <c r="N7" s="77"/>
      <c r="O7" s="77"/>
      <c r="Q7" s="76" t="s">
        <v>7</v>
      </c>
      <c r="R7" s="77"/>
      <c r="S7" s="78"/>
      <c r="T7" s="36"/>
      <c r="U7" s="79" t="s">
        <v>45</v>
      </c>
      <c r="V7" s="67" t="s">
        <v>93</v>
      </c>
      <c r="W7" s="67"/>
      <c r="X7" s="67"/>
      <c r="Y7" s="67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  <c r="V8" s="55" t="s">
        <v>101</v>
      </c>
      <c r="W8" s="55" t="s">
        <v>94</v>
      </c>
      <c r="X8" s="56" t="s">
        <v>102</v>
      </c>
      <c r="Y8" s="56" t="s">
        <v>95</v>
      </c>
    </row>
    <row r="9" spans="1:25" x14ac:dyDescent="0.25">
      <c r="A9" s="6" t="s">
        <v>35</v>
      </c>
      <c r="B9" s="6" t="s">
        <v>46</v>
      </c>
      <c r="C9" s="15">
        <v>5755.8</v>
      </c>
      <c r="D9" s="16">
        <v>38.250999999999998</v>
      </c>
      <c r="E9" s="16">
        <v>39.198</v>
      </c>
      <c r="F9" s="16">
        <v>41.622999999999998</v>
      </c>
      <c r="G9" s="16">
        <v>0.61</v>
      </c>
      <c r="H9" s="16">
        <f t="shared" ref="H9:H80" si="0">(6*D9+E9+F9)/8</f>
        <v>38.790874999999993</v>
      </c>
      <c r="I9" s="5"/>
      <c r="J9" s="15">
        <v>4020.1311999999998</v>
      </c>
      <c r="K9" s="16">
        <v>38.360900000000001</v>
      </c>
      <c r="L9" s="16">
        <v>40.061799999999998</v>
      </c>
      <c r="M9" s="16">
        <v>42.71</v>
      </c>
      <c r="N9" s="16">
        <v>0.65200000000000002</v>
      </c>
      <c r="O9" s="16">
        <f t="shared" ref="O9:O80" si="1">(6*K9+L9+M9)/8</f>
        <v>39.117149999999995</v>
      </c>
      <c r="P9" s="7"/>
      <c r="Q9" s="8">
        <f>bdrate(C9:C12,D9:D12,J9:J12,K9:K12)</f>
        <v>-0.37802664293857902</v>
      </c>
      <c r="R9" s="8">
        <f>bdrate(C9:C12,E9:E12,J9:J12,L9:L12)</f>
        <v>-0.58049806235724777</v>
      </c>
      <c r="S9" s="8">
        <f>bdrate(C9:C12,F9:F12,J9:J12,M9:M12)</f>
        <v>-0.56915307401493287</v>
      </c>
      <c r="T9" s="25">
        <f>bdrate(C9:C12,H9:H12,J9:J12,O9:O12)</f>
        <v>-0.40936625475670363</v>
      </c>
      <c r="U9" s="28">
        <f t="shared" ref="U9:U72" si="2">(N9-G9)/G9</f>
        <v>6.8852459016393502E-2</v>
      </c>
      <c r="V9" s="57">
        <f>ABS(C9-X9)/X9</f>
        <v>4.0699999999999972E-2</v>
      </c>
      <c r="W9" s="57">
        <f t="shared" ref="W9:W72" si="3">ABS(J9-Y9)/Y9</f>
        <v>5.0327999999999519E-3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4272.45</v>
      </c>
      <c r="D10" s="18">
        <v>37.218000000000004</v>
      </c>
      <c r="E10" s="18">
        <v>38.668999999999997</v>
      </c>
      <c r="F10" s="18">
        <v>41.076000000000001</v>
      </c>
      <c r="G10" s="18">
        <v>0.68</v>
      </c>
      <c r="H10" s="18">
        <f t="shared" si="0"/>
        <v>37.881625000000007</v>
      </c>
      <c r="I10" s="5"/>
      <c r="J10" s="17">
        <v>2976.5888</v>
      </c>
      <c r="K10" s="18">
        <v>37.396599999999999</v>
      </c>
      <c r="L10" s="18">
        <v>39.517299999999999</v>
      </c>
      <c r="M10" s="18">
        <v>42.024299999999997</v>
      </c>
      <c r="N10" s="18">
        <v>0.73089999999999999</v>
      </c>
      <c r="O10" s="18">
        <f t="shared" si="1"/>
        <v>38.240149999999993</v>
      </c>
      <c r="P10" s="7"/>
      <c r="Q10" s="10"/>
      <c r="R10" s="11"/>
      <c r="S10" s="11"/>
      <c r="T10" s="26"/>
      <c r="U10" s="28">
        <f t="shared" si="2"/>
        <v>7.4852941176470497E-2</v>
      </c>
      <c r="V10" s="57">
        <f t="shared" ref="V10:V73" si="4">ABS(C10-X10)/X10</f>
        <v>5.0566666666666704E-2</v>
      </c>
      <c r="W10" s="57">
        <f t="shared" si="3"/>
        <v>7.803733333333336E-3</v>
      </c>
      <c r="X10" s="56">
        <v>4500</v>
      </c>
      <c r="Y10" s="56">
        <v>3000</v>
      </c>
    </row>
    <row r="11" spans="1:25" x14ac:dyDescent="0.25">
      <c r="B11" s="9"/>
      <c r="C11" s="17">
        <v>2810.4</v>
      </c>
      <c r="D11" s="18">
        <v>35.546999999999997</v>
      </c>
      <c r="E11" s="18">
        <v>37.947000000000003</v>
      </c>
      <c r="F11" s="18">
        <v>40.325000000000003</v>
      </c>
      <c r="G11" s="18">
        <v>0.8</v>
      </c>
      <c r="H11" s="18">
        <f t="shared" si="0"/>
        <v>36.444249999999997</v>
      </c>
      <c r="I11" s="5"/>
      <c r="J11" s="17">
        <v>1943.5024000000001</v>
      </c>
      <c r="K11" s="18">
        <v>35.941299999999998</v>
      </c>
      <c r="L11" s="18">
        <v>38.835799999999999</v>
      </c>
      <c r="M11" s="18">
        <v>41.2316</v>
      </c>
      <c r="N11" s="18">
        <v>0.84550000000000003</v>
      </c>
      <c r="O11" s="18">
        <f t="shared" si="1"/>
        <v>36.964399999999998</v>
      </c>
      <c r="P11" s="7"/>
      <c r="Q11" s="10"/>
      <c r="R11" s="11"/>
      <c r="S11" s="11"/>
      <c r="T11" s="26"/>
      <c r="U11" s="28">
        <f t="shared" si="2"/>
        <v>5.6874999999999981E-2</v>
      </c>
      <c r="V11" s="57">
        <f t="shared" si="4"/>
        <v>6.3199999999999965E-2</v>
      </c>
      <c r="W11" s="57">
        <f t="shared" si="3"/>
        <v>2.8248799999999959E-2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1388.04</v>
      </c>
      <c r="D12" s="20">
        <v>32.204999999999998</v>
      </c>
      <c r="E12" s="20">
        <v>36.823999999999998</v>
      </c>
      <c r="F12" s="20">
        <v>39.121000000000002</v>
      </c>
      <c r="G12" s="20">
        <v>1.05</v>
      </c>
      <c r="H12" s="20">
        <f t="shared" si="0"/>
        <v>33.646874999999994</v>
      </c>
      <c r="I12" s="5"/>
      <c r="J12" s="19">
        <v>939.13279999999997</v>
      </c>
      <c r="K12" s="20">
        <v>33.146799999999999</v>
      </c>
      <c r="L12" s="20">
        <v>37.4895</v>
      </c>
      <c r="M12" s="20">
        <v>39.763199999999998</v>
      </c>
      <c r="N12" s="20">
        <v>1.0929</v>
      </c>
      <c r="O12" s="20">
        <f t="shared" si="1"/>
        <v>34.516687499999996</v>
      </c>
      <c r="P12" s="7"/>
      <c r="Q12" s="13"/>
      <c r="R12" s="14"/>
      <c r="S12" s="14"/>
      <c r="T12" s="27"/>
      <c r="U12" s="28">
        <f t="shared" si="2"/>
        <v>4.0857142857142793E-2</v>
      </c>
      <c r="V12" s="57">
        <f t="shared" si="4"/>
        <v>7.4640000000000026E-2</v>
      </c>
      <c r="W12" s="57">
        <f t="shared" si="3"/>
        <v>6.0867200000000024E-2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6255.17</v>
      </c>
      <c r="D13" s="16">
        <v>30.713999999999999</v>
      </c>
      <c r="E13" s="16">
        <v>39.966000000000001</v>
      </c>
      <c r="F13" s="16">
        <v>40.706000000000003</v>
      </c>
      <c r="G13" s="16">
        <v>0.53</v>
      </c>
      <c r="H13" s="16">
        <f t="shared" si="0"/>
        <v>33.119500000000002</v>
      </c>
      <c r="I13" s="5"/>
      <c r="J13" s="15">
        <v>4086.9119999999998</v>
      </c>
      <c r="K13" s="16">
        <v>30.146599999999999</v>
      </c>
      <c r="L13" s="16">
        <v>40.282400000000003</v>
      </c>
      <c r="M13" s="16">
        <v>41.100200000000001</v>
      </c>
      <c r="N13" s="16">
        <v>0.4672</v>
      </c>
      <c r="O13" s="16">
        <f t="shared" si="1"/>
        <v>32.782775000000001</v>
      </c>
      <c r="P13" s="7"/>
      <c r="Q13" s="8">
        <f>bdrate(C13:C16,D13:D16,J13:J16,K13:K16)</f>
        <v>-0.3503224131106859</v>
      </c>
      <c r="R13" s="8">
        <f>bdrate(C13:C16,E13:E16,J13:J16,L13:L16)</f>
        <v>-0.39248070787480949</v>
      </c>
      <c r="S13" s="8">
        <f>bdrate(C13:C16,F13:F16,J13:J16,M13:M16)</f>
        <v>-0.4653473227013305</v>
      </c>
      <c r="T13" s="25">
        <f>bdrate(C13:C16,H13:H16,J13:J16,O13:O16)</f>
        <v>-0.36125162008812561</v>
      </c>
      <c r="U13" s="28">
        <f t="shared" si="2"/>
        <v>-0.11849056603773589</v>
      </c>
      <c r="V13" s="57">
        <f t="shared" si="4"/>
        <v>4.2528333333333349E-2</v>
      </c>
      <c r="W13" s="57">
        <f t="shared" si="3"/>
        <v>2.1727999999999952E-2</v>
      </c>
      <c r="X13" s="56">
        <v>6000</v>
      </c>
      <c r="Y13" s="56">
        <v>4000</v>
      </c>
    </row>
    <row r="14" spans="1:25" x14ac:dyDescent="0.25">
      <c r="B14" s="9"/>
      <c r="C14" s="17">
        <v>4711.8900000000003</v>
      </c>
      <c r="D14" s="18">
        <v>29.155999999999999</v>
      </c>
      <c r="E14" s="18">
        <v>39.436999999999998</v>
      </c>
      <c r="F14" s="18">
        <v>40.200000000000003</v>
      </c>
      <c r="G14" s="18">
        <v>0.6</v>
      </c>
      <c r="H14" s="18">
        <f t="shared" si="0"/>
        <v>31.821624999999997</v>
      </c>
      <c r="I14" s="5"/>
      <c r="J14" s="17">
        <v>3055.8</v>
      </c>
      <c r="K14" s="18">
        <v>28.8249</v>
      </c>
      <c r="L14" s="18">
        <v>39.7042</v>
      </c>
      <c r="M14" s="18">
        <v>40.584400000000002</v>
      </c>
      <c r="N14" s="18">
        <v>0.51139999999999997</v>
      </c>
      <c r="O14" s="18">
        <f t="shared" si="1"/>
        <v>31.65475</v>
      </c>
      <c r="P14" s="7"/>
      <c r="Q14" s="10"/>
      <c r="R14" s="11"/>
      <c r="S14" s="11"/>
      <c r="T14" s="26"/>
      <c r="U14" s="28">
        <f t="shared" si="2"/>
        <v>-0.1476666666666667</v>
      </c>
      <c r="V14" s="57">
        <f t="shared" si="4"/>
        <v>4.7086666666666742E-2</v>
      </c>
      <c r="W14" s="57">
        <f t="shared" si="3"/>
        <v>1.8600000000000061E-2</v>
      </c>
      <c r="X14" s="56">
        <v>4500</v>
      </c>
      <c r="Y14" s="56">
        <v>3000</v>
      </c>
    </row>
    <row r="15" spans="1:25" x14ac:dyDescent="0.25">
      <c r="B15" s="9"/>
      <c r="C15" s="17">
        <v>3135.57</v>
      </c>
      <c r="D15" s="18">
        <v>26.95</v>
      </c>
      <c r="E15" s="18">
        <v>38.747999999999998</v>
      </c>
      <c r="F15" s="18">
        <v>39.536000000000001</v>
      </c>
      <c r="G15" s="18">
        <v>0.71</v>
      </c>
      <c r="H15" s="18">
        <f t="shared" si="0"/>
        <v>29.997999999999998</v>
      </c>
      <c r="I15" s="5"/>
      <c r="J15" s="17">
        <v>2036.864</v>
      </c>
      <c r="K15" s="18">
        <v>27.0518</v>
      </c>
      <c r="L15" s="18">
        <v>38.984000000000002</v>
      </c>
      <c r="M15" s="18">
        <v>39.9741</v>
      </c>
      <c r="N15" s="18">
        <v>0.58679999999999999</v>
      </c>
      <c r="O15" s="18">
        <f t="shared" si="1"/>
        <v>30.1586125</v>
      </c>
      <c r="P15" s="7"/>
      <c r="Q15" s="10"/>
      <c r="R15" s="11"/>
      <c r="S15" s="11"/>
      <c r="T15" s="26"/>
      <c r="U15" s="28">
        <f t="shared" si="2"/>
        <v>-0.17352112676056336</v>
      </c>
      <c r="V15" s="57">
        <f t="shared" si="4"/>
        <v>4.5190000000000057E-2</v>
      </c>
      <c r="W15" s="57">
        <f t="shared" si="3"/>
        <v>1.8432000000000018E-2</v>
      </c>
      <c r="X15" s="56">
        <v>3000</v>
      </c>
      <c r="Y15" s="56">
        <v>2000</v>
      </c>
    </row>
    <row r="16" spans="1:25" ht="16.5" thickBot="1" x14ac:dyDescent="0.3">
      <c r="B16" s="12"/>
      <c r="C16" s="19">
        <v>1556.19</v>
      </c>
      <c r="D16" s="20">
        <v>23.678000000000001</v>
      </c>
      <c r="E16" s="20">
        <v>37.651000000000003</v>
      </c>
      <c r="F16" s="20">
        <v>38.512999999999998</v>
      </c>
      <c r="G16" s="20">
        <v>0.88</v>
      </c>
      <c r="H16" s="20">
        <f t="shared" si="0"/>
        <v>27.279000000000003</v>
      </c>
      <c r="I16" s="5"/>
      <c r="J16" s="19">
        <v>1219.8463999999999</v>
      </c>
      <c r="K16" s="20">
        <v>25.171500000000002</v>
      </c>
      <c r="L16" s="20">
        <v>37.6267</v>
      </c>
      <c r="M16" s="20">
        <v>38.742199999999997</v>
      </c>
      <c r="N16" s="20">
        <v>0.66749999999999998</v>
      </c>
      <c r="O16" s="20">
        <f t="shared" si="1"/>
        <v>28.424737499999999</v>
      </c>
      <c r="P16" s="7"/>
      <c r="Q16" s="13"/>
      <c r="R16" s="14"/>
      <c r="S16" s="14"/>
      <c r="T16" s="27"/>
      <c r="U16" s="28">
        <f t="shared" si="2"/>
        <v>-0.24147727272727276</v>
      </c>
      <c r="V16" s="57">
        <f t="shared" si="4"/>
        <v>3.7460000000000035E-2</v>
      </c>
      <c r="W16" s="57">
        <f t="shared" si="3"/>
        <v>0.21984639999999991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3046.49</v>
      </c>
      <c r="D17" s="16">
        <v>39.186999999999998</v>
      </c>
      <c r="E17" s="16">
        <v>41.918999999999997</v>
      </c>
      <c r="F17" s="16">
        <v>43.042999999999999</v>
      </c>
      <c r="G17" s="16">
        <v>0.93</v>
      </c>
      <c r="H17" s="16">
        <f t="shared" si="0"/>
        <v>40.0105</v>
      </c>
      <c r="I17" s="5"/>
      <c r="J17" s="15">
        <v>2382.2199999999998</v>
      </c>
      <c r="K17" s="16">
        <v>39.544600000000003</v>
      </c>
      <c r="L17" s="16">
        <v>42.369399999999999</v>
      </c>
      <c r="M17" s="16">
        <v>43.970100000000002</v>
      </c>
      <c r="N17" s="16">
        <v>1.0073000000000001</v>
      </c>
      <c r="O17" s="16">
        <f t="shared" si="1"/>
        <v>40.4508875</v>
      </c>
      <c r="P17" s="7"/>
      <c r="Q17" s="8">
        <f>bdrate(C17:C20,D17:D20,J17:J20,K17:K20)</f>
        <v>-0.37019206080068945</v>
      </c>
      <c r="R17" s="8">
        <f>bdrate(C17:C20,E17:E20,J17:J20,L17:L20)</f>
        <v>-0.44883196170352579</v>
      </c>
      <c r="S17" s="8">
        <f>bdrate(C17:C20,F17:F20,J17:J20,M17:M20)</f>
        <v>-0.53330975213929044</v>
      </c>
      <c r="T17" s="25">
        <f>bdrate(C17:C20,H17:H20,J17:J20,O17:O20)</f>
        <v>-0.38999785142800003</v>
      </c>
      <c r="U17" s="28">
        <f t="shared" si="2"/>
        <v>8.3118279569892511E-2</v>
      </c>
      <c r="V17" s="57">
        <f t="shared" si="4"/>
        <v>0.15375277777777785</v>
      </c>
      <c r="W17" s="57">
        <f t="shared" si="3"/>
        <v>7.4083333333334169E-3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2009.02</v>
      </c>
      <c r="D18" s="18">
        <v>37.756999999999998</v>
      </c>
      <c r="E18" s="18">
        <v>41.188000000000002</v>
      </c>
      <c r="F18" s="18">
        <v>42.146999999999998</v>
      </c>
      <c r="G18" s="18">
        <v>1.07</v>
      </c>
      <c r="H18" s="18">
        <f t="shared" si="0"/>
        <v>38.734624999999994</v>
      </c>
      <c r="I18" s="5"/>
      <c r="J18" s="17">
        <v>1575.912</v>
      </c>
      <c r="K18" s="18">
        <v>38.318199999999997</v>
      </c>
      <c r="L18" s="18">
        <v>41.723399999999998</v>
      </c>
      <c r="M18" s="18">
        <v>43.1297</v>
      </c>
      <c r="N18" s="18">
        <v>1.1604000000000001</v>
      </c>
      <c r="O18" s="18">
        <f t="shared" si="1"/>
        <v>39.345287500000005</v>
      </c>
      <c r="P18" s="7"/>
      <c r="Q18" s="10"/>
      <c r="R18" s="11"/>
      <c r="S18" s="11"/>
      <c r="T18" s="26"/>
      <c r="U18" s="28">
        <f t="shared" si="2"/>
        <v>8.4485981308411243E-2</v>
      </c>
      <c r="V18" s="57">
        <f t="shared" si="4"/>
        <v>0.16290833333333335</v>
      </c>
      <c r="W18" s="57">
        <f t="shared" si="3"/>
        <v>1.5054999999999978E-2</v>
      </c>
      <c r="X18" s="56">
        <v>2400</v>
      </c>
      <c r="Y18" s="56">
        <v>1600</v>
      </c>
    </row>
    <row r="19" spans="1:25" x14ac:dyDescent="0.25">
      <c r="B19" s="9"/>
      <c r="C19" s="17">
        <v>1248.8599999999999</v>
      </c>
      <c r="D19" s="18">
        <v>35.866</v>
      </c>
      <c r="E19" s="18">
        <v>40.311</v>
      </c>
      <c r="F19" s="18">
        <v>41.231999999999999</v>
      </c>
      <c r="G19" s="18">
        <v>1.27</v>
      </c>
      <c r="H19" s="18">
        <f t="shared" si="0"/>
        <v>37.092375000000004</v>
      </c>
      <c r="I19" s="5"/>
      <c r="J19" s="17">
        <v>973.30719999999997</v>
      </c>
      <c r="K19" s="18">
        <v>36.771500000000003</v>
      </c>
      <c r="L19" s="18">
        <v>40.921399999999998</v>
      </c>
      <c r="M19" s="18">
        <v>42.176000000000002</v>
      </c>
      <c r="N19" s="18">
        <v>1.377</v>
      </c>
      <c r="O19" s="18">
        <f t="shared" si="1"/>
        <v>37.965800000000002</v>
      </c>
      <c r="P19" s="7"/>
      <c r="Q19" s="10"/>
      <c r="R19" s="11"/>
      <c r="S19" s="11"/>
      <c r="T19" s="26"/>
      <c r="U19" s="28">
        <f t="shared" si="2"/>
        <v>8.4251968503937E-2</v>
      </c>
      <c r="V19" s="57">
        <f t="shared" si="4"/>
        <v>0.16742666666666672</v>
      </c>
      <c r="W19" s="57">
        <f t="shared" si="3"/>
        <v>2.6692800000000034E-2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741.05</v>
      </c>
      <c r="D20" s="20">
        <v>33.503</v>
      </c>
      <c r="E20" s="20">
        <v>39.393000000000001</v>
      </c>
      <c r="F20" s="20">
        <v>40.343000000000004</v>
      </c>
      <c r="G20" s="20">
        <v>1.56</v>
      </c>
      <c r="H20" s="20">
        <f t="shared" si="0"/>
        <v>35.094250000000002</v>
      </c>
      <c r="I20" s="5"/>
      <c r="J20" s="19">
        <v>559.8664</v>
      </c>
      <c r="K20" s="20">
        <v>34.9114</v>
      </c>
      <c r="L20" s="20">
        <v>40.230400000000003</v>
      </c>
      <c r="M20" s="20">
        <v>41.468499999999999</v>
      </c>
      <c r="N20" s="20">
        <v>1.681</v>
      </c>
      <c r="O20" s="20">
        <f t="shared" si="1"/>
        <v>36.395912500000001</v>
      </c>
      <c r="P20" s="7"/>
      <c r="Q20" s="13"/>
      <c r="R20" s="14"/>
      <c r="S20" s="14"/>
      <c r="T20" s="27"/>
      <c r="U20" s="28">
        <f t="shared" si="2"/>
        <v>7.7564102564102566E-2</v>
      </c>
      <c r="V20" s="57">
        <f t="shared" si="4"/>
        <v>0.17661111111111116</v>
      </c>
      <c r="W20" s="57">
        <f t="shared" si="3"/>
        <v>6.6889333333333342E-2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3440.23</v>
      </c>
      <c r="D21" s="16">
        <v>36.725000000000001</v>
      </c>
      <c r="E21" s="16">
        <v>39.512</v>
      </c>
      <c r="F21" s="16">
        <v>40.665999999999997</v>
      </c>
      <c r="G21" s="16">
        <v>0.96</v>
      </c>
      <c r="H21" s="16">
        <f t="shared" si="0"/>
        <v>37.566000000000003</v>
      </c>
      <c r="I21" s="5"/>
      <c r="J21" s="15">
        <v>2551.0688</v>
      </c>
      <c r="K21" s="16">
        <v>36.490900000000003</v>
      </c>
      <c r="L21" s="16">
        <v>40.642200000000003</v>
      </c>
      <c r="M21" s="16">
        <v>41.896799999999999</v>
      </c>
      <c r="N21" s="16">
        <v>1.0618000000000001</v>
      </c>
      <c r="O21" s="16">
        <f t="shared" si="1"/>
        <v>37.685549999999999</v>
      </c>
      <c r="P21" s="7"/>
      <c r="Q21" s="8">
        <f>bdrate(C21:C24,D21:D24,J21:J24,K21:K24)</f>
        <v>-0.28763018638876026</v>
      </c>
      <c r="R21" s="8">
        <f>bdrate(C21:C24,E21:E24,J21:J24,L21:L24)</f>
        <v>-0.59052210178935494</v>
      </c>
      <c r="S21" s="8">
        <f>bdrate(C21:C24,F21:F24,J21:J24,M21:M24)</f>
        <v>-0.58867671546794575</v>
      </c>
      <c r="T21" s="25">
        <f>bdrate(C21:C24,H21:H24,J21:J24,O21:O24)</f>
        <v>-0.34049546703580313</v>
      </c>
      <c r="U21" s="28">
        <f t="shared" si="2"/>
        <v>0.10604166666666678</v>
      </c>
      <c r="V21" s="57">
        <f t="shared" si="4"/>
        <v>4.4380555555555548E-2</v>
      </c>
      <c r="W21" s="57">
        <f t="shared" si="3"/>
        <v>6.2945333333333339E-2</v>
      </c>
      <c r="X21" s="56">
        <v>3600</v>
      </c>
      <c r="Y21" s="56">
        <v>2400</v>
      </c>
    </row>
    <row r="22" spans="1:25" x14ac:dyDescent="0.25">
      <c r="B22" s="9"/>
      <c r="C22" s="17">
        <v>2275.75</v>
      </c>
      <c r="D22" s="18">
        <v>35.276000000000003</v>
      </c>
      <c r="E22" s="18">
        <v>38.743000000000002</v>
      </c>
      <c r="F22" s="18">
        <v>40.03</v>
      </c>
      <c r="G22" s="18">
        <v>1.1100000000000001</v>
      </c>
      <c r="H22" s="18">
        <f t="shared" si="0"/>
        <v>36.303624999999997</v>
      </c>
      <c r="I22" s="5"/>
      <c r="J22" s="17">
        <v>1674.7431999999999</v>
      </c>
      <c r="K22" s="18">
        <v>35.214700000000001</v>
      </c>
      <c r="L22" s="18">
        <v>39.861600000000003</v>
      </c>
      <c r="M22" s="18">
        <v>41.067999999999998</v>
      </c>
      <c r="N22" s="18">
        <v>1.2534000000000001</v>
      </c>
      <c r="O22" s="18">
        <f t="shared" si="1"/>
        <v>36.527225000000001</v>
      </c>
      <c r="P22" s="7"/>
      <c r="Q22" s="10"/>
      <c r="R22" s="11"/>
      <c r="S22" s="11"/>
      <c r="T22" s="26"/>
      <c r="U22" s="28">
        <f t="shared" si="2"/>
        <v>0.12918918918918915</v>
      </c>
      <c r="V22" s="57">
        <f t="shared" si="4"/>
        <v>5.1770833333333335E-2</v>
      </c>
      <c r="W22" s="57">
        <f t="shared" si="3"/>
        <v>4.671449999999993E-2</v>
      </c>
      <c r="X22" s="56">
        <v>2400</v>
      </c>
      <c r="Y22" s="56">
        <v>1600</v>
      </c>
    </row>
    <row r="23" spans="1:25" x14ac:dyDescent="0.25">
      <c r="B23" s="9"/>
      <c r="C23" s="17">
        <v>1417.71</v>
      </c>
      <c r="D23" s="18">
        <v>33.523000000000003</v>
      </c>
      <c r="E23" s="18">
        <v>37.948</v>
      </c>
      <c r="F23" s="18">
        <v>39.357999999999997</v>
      </c>
      <c r="G23" s="18">
        <v>1.27</v>
      </c>
      <c r="H23" s="18">
        <f t="shared" si="0"/>
        <v>34.805500000000002</v>
      </c>
      <c r="I23" s="5"/>
      <c r="J23" s="17">
        <v>1037.6384</v>
      </c>
      <c r="K23" s="18">
        <v>33.731499999999997</v>
      </c>
      <c r="L23" s="18">
        <v>38.957299999999996</v>
      </c>
      <c r="M23" s="18">
        <v>40.198599999999999</v>
      </c>
      <c r="N23" s="18">
        <v>1.4898</v>
      </c>
      <c r="O23" s="18">
        <f t="shared" si="1"/>
        <v>35.193112499999998</v>
      </c>
      <c r="P23" s="7"/>
      <c r="Q23" s="10"/>
      <c r="R23" s="11"/>
      <c r="S23" s="11"/>
      <c r="T23" s="26"/>
      <c r="U23" s="28">
        <f t="shared" si="2"/>
        <v>0.17307086614173228</v>
      </c>
      <c r="V23" s="57">
        <f t="shared" si="4"/>
        <v>5.4859999999999978E-2</v>
      </c>
      <c r="W23" s="57">
        <f t="shared" si="3"/>
        <v>3.7638400000000044E-2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845.36</v>
      </c>
      <c r="D24" s="20">
        <v>31.587</v>
      </c>
      <c r="E24" s="20">
        <v>37.185000000000002</v>
      </c>
      <c r="F24" s="20">
        <v>38.744999999999997</v>
      </c>
      <c r="G24" s="20">
        <v>1.49</v>
      </c>
      <c r="H24" s="20">
        <f t="shared" si="0"/>
        <v>33.1815</v>
      </c>
      <c r="I24" s="5"/>
      <c r="J24" s="19">
        <v>615.32560000000001</v>
      </c>
      <c r="K24" s="20">
        <v>32.1036</v>
      </c>
      <c r="L24" s="20">
        <v>37.976799999999997</v>
      </c>
      <c r="M24" s="20">
        <v>39.373199999999997</v>
      </c>
      <c r="N24" s="20">
        <v>1.8036000000000001</v>
      </c>
      <c r="O24" s="20">
        <f t="shared" si="1"/>
        <v>33.746449999999996</v>
      </c>
      <c r="P24" s="7"/>
      <c r="Q24" s="13"/>
      <c r="R24" s="14"/>
      <c r="S24" s="14"/>
      <c r="T24" s="27"/>
      <c r="U24" s="28">
        <f t="shared" si="2"/>
        <v>0.2104697986577182</v>
      </c>
      <c r="V24" s="57">
        <f t="shared" si="4"/>
        <v>6.0711111111111098E-2</v>
      </c>
      <c r="W24" s="57">
        <f t="shared" si="3"/>
        <v>2.5542666666666682E-2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3544.17</v>
      </c>
      <c r="D25" s="16">
        <v>34.548999999999999</v>
      </c>
      <c r="E25" s="16">
        <v>38.103999999999999</v>
      </c>
      <c r="F25" s="16">
        <v>39.826000000000001</v>
      </c>
      <c r="G25" s="16">
        <v>1.1499999999999999</v>
      </c>
      <c r="H25" s="16">
        <f t="shared" si="0"/>
        <v>35.652999999999999</v>
      </c>
      <c r="I25" s="5"/>
      <c r="J25" s="15">
        <v>2410.0944</v>
      </c>
      <c r="K25" s="16">
        <v>34.842100000000002</v>
      </c>
      <c r="L25" s="16">
        <v>38.635800000000003</v>
      </c>
      <c r="M25" s="16">
        <v>41.014899999999997</v>
      </c>
      <c r="N25" s="16">
        <v>1.4138999999999999</v>
      </c>
      <c r="O25" s="16">
        <f t="shared" si="1"/>
        <v>36.087912500000002</v>
      </c>
      <c r="P25" s="7"/>
      <c r="Q25" s="8">
        <f>bdrate(C25:C28,D25:D28,J25:J28,K25:K28)</f>
        <v>-0.43751483252735834</v>
      </c>
      <c r="R25" s="8">
        <f>bdrate(C25:C28,E25:E28,J25:J28,L25:L28)</f>
        <v>-0.60693109902975628</v>
      </c>
      <c r="S25" s="8">
        <f>bdrate(C25:C28,F25:F28,J25:J28,M25:M28)</f>
        <v>-0.63373377236508488</v>
      </c>
      <c r="T25" s="25">
        <f>bdrate(C25:C28,H25:H28,J25:J28,O25:O28)</f>
        <v>-0.46810778248962237</v>
      </c>
      <c r="U25" s="28">
        <f t="shared" si="2"/>
        <v>0.22947826086956524</v>
      </c>
      <c r="V25" s="57">
        <f t="shared" si="4"/>
        <v>1.5508333333333313E-2</v>
      </c>
      <c r="W25" s="57">
        <f t="shared" si="3"/>
        <v>4.2059999999999797E-3</v>
      </c>
      <c r="X25" s="56">
        <v>3600</v>
      </c>
      <c r="Y25" s="56">
        <v>2400</v>
      </c>
    </row>
    <row r="26" spans="1:25" x14ac:dyDescent="0.25">
      <c r="B26" s="9"/>
      <c r="C26" s="17">
        <v>2361.8000000000002</v>
      </c>
      <c r="D26" s="18">
        <v>33.137</v>
      </c>
      <c r="E26" s="18">
        <v>37.531999999999996</v>
      </c>
      <c r="F26" s="18">
        <v>38.865000000000002</v>
      </c>
      <c r="G26" s="18">
        <v>1.37</v>
      </c>
      <c r="H26" s="18">
        <f t="shared" si="0"/>
        <v>34.402374999999999</v>
      </c>
      <c r="I26" s="5"/>
      <c r="J26" s="17">
        <v>1603.9256</v>
      </c>
      <c r="K26" s="18">
        <v>33.673200000000001</v>
      </c>
      <c r="L26" s="18">
        <v>38.180100000000003</v>
      </c>
      <c r="M26" s="18">
        <v>40.158099999999997</v>
      </c>
      <c r="N26" s="18">
        <v>1.6429</v>
      </c>
      <c r="O26" s="18">
        <f t="shared" si="1"/>
        <v>35.047175000000003</v>
      </c>
      <c r="P26" s="7"/>
      <c r="Q26" s="10"/>
      <c r="R26" s="11"/>
      <c r="S26" s="11"/>
      <c r="T26" s="26"/>
      <c r="U26" s="28">
        <f t="shared" si="2"/>
        <v>0.19919708029197072</v>
      </c>
      <c r="V26" s="57">
        <f t="shared" si="4"/>
        <v>1.5916666666666589E-2</v>
      </c>
      <c r="W26" s="57">
        <f t="shared" si="3"/>
        <v>2.4535000000000195E-3</v>
      </c>
      <c r="X26" s="56">
        <v>2400</v>
      </c>
      <c r="Y26" s="56">
        <v>1600</v>
      </c>
    </row>
    <row r="27" spans="1:25" x14ac:dyDescent="0.25">
      <c r="B27" s="9"/>
      <c r="C27" s="17">
        <v>1468.01</v>
      </c>
      <c r="D27" s="18">
        <v>31.295999999999999</v>
      </c>
      <c r="E27" s="18">
        <v>36.871000000000002</v>
      </c>
      <c r="F27" s="18">
        <v>37.804000000000002</v>
      </c>
      <c r="G27" s="18">
        <v>1.65</v>
      </c>
      <c r="H27" s="18">
        <f t="shared" si="0"/>
        <v>32.806375000000003</v>
      </c>
      <c r="I27" s="5"/>
      <c r="J27" s="17">
        <v>1001.3816</v>
      </c>
      <c r="K27" s="18">
        <v>32.061799999999998</v>
      </c>
      <c r="L27" s="18">
        <v>37.621499999999997</v>
      </c>
      <c r="M27" s="18">
        <v>39.1663</v>
      </c>
      <c r="N27" s="18">
        <v>1.9428000000000001</v>
      </c>
      <c r="O27" s="18">
        <f t="shared" si="1"/>
        <v>33.644824999999997</v>
      </c>
      <c r="P27" s="7"/>
      <c r="Q27" s="10"/>
      <c r="R27" s="11"/>
      <c r="S27" s="11"/>
      <c r="T27" s="26"/>
      <c r="U27" s="28">
        <f t="shared" si="2"/>
        <v>0.17745454545454556</v>
      </c>
      <c r="V27" s="57">
        <f t="shared" si="4"/>
        <v>2.1326666666666674E-2</v>
      </c>
      <c r="W27" s="57">
        <f t="shared" si="3"/>
        <v>1.3816000000000485E-3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885.74</v>
      </c>
      <c r="D28" s="20">
        <v>29.122</v>
      </c>
      <c r="E28" s="20">
        <v>36.191000000000003</v>
      </c>
      <c r="F28" s="20">
        <v>36.680999999999997</v>
      </c>
      <c r="G28" s="20">
        <v>2</v>
      </c>
      <c r="H28" s="20">
        <f t="shared" si="0"/>
        <v>30.950499999999998</v>
      </c>
      <c r="I28" s="5"/>
      <c r="J28" s="19">
        <v>583.07360000000006</v>
      </c>
      <c r="K28" s="20">
        <v>30.2973</v>
      </c>
      <c r="L28" s="20">
        <v>36.994399999999999</v>
      </c>
      <c r="M28" s="20">
        <v>38.131599999999999</v>
      </c>
      <c r="N28" s="20">
        <v>2.3567999999999998</v>
      </c>
      <c r="O28" s="20">
        <f t="shared" si="1"/>
        <v>32.113724999999995</v>
      </c>
      <c r="P28" s="7"/>
      <c r="Q28" s="13"/>
      <c r="R28" s="14"/>
      <c r="S28" s="14"/>
      <c r="T28" s="27"/>
      <c r="U28" s="28">
        <f t="shared" si="2"/>
        <v>0.17839999999999989</v>
      </c>
      <c r="V28" s="57">
        <f t="shared" si="4"/>
        <v>1.5844444444444435E-2</v>
      </c>
      <c r="W28" s="57">
        <f t="shared" si="3"/>
        <v>2.8210666666666575E-2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3577.31</v>
      </c>
      <c r="D29" s="30">
        <v>34.185000000000002</v>
      </c>
      <c r="E29" s="30">
        <v>39.872999999999998</v>
      </c>
      <c r="F29" s="30">
        <v>39.57</v>
      </c>
      <c r="G29" s="16">
        <v>1.02</v>
      </c>
      <c r="H29" s="16">
        <f t="shared" si="0"/>
        <v>35.569125</v>
      </c>
      <c r="I29" s="5"/>
      <c r="J29" s="29">
        <v>2413.4023999999999</v>
      </c>
      <c r="K29" s="30">
        <v>34.496299999999998</v>
      </c>
      <c r="L29" s="30">
        <v>40.978900000000003</v>
      </c>
      <c r="M29" s="30">
        <v>40.730499999999999</v>
      </c>
      <c r="N29" s="16">
        <v>1.2239</v>
      </c>
      <c r="O29" s="16">
        <f t="shared" si="1"/>
        <v>36.085900000000002</v>
      </c>
      <c r="P29" s="7"/>
      <c r="Q29" s="8">
        <f>bdrate(C29:C32,D29:D32,J29:J32,K29:K32)</f>
        <v>-0.46908309031902162</v>
      </c>
      <c r="R29" s="8">
        <f>bdrate(C29:C32,E29:E32,J29:J32,L29:L32)</f>
        <v>-0.67773398947663166</v>
      </c>
      <c r="S29" s="8">
        <f>bdrate(C29:C32,F29:F32,J29:J32,M29:M32)</f>
        <v>-0.61329412183726295</v>
      </c>
      <c r="T29" s="25">
        <f>bdrate(C29:C32,H29:H32,J29:J32,O29:O32)</f>
        <v>-0.50198955312587901</v>
      </c>
      <c r="U29" s="28">
        <f t="shared" si="2"/>
        <v>0.19990196078431369</v>
      </c>
      <c r="V29" s="57">
        <f t="shared" si="4"/>
        <v>6.3027777777777926E-3</v>
      </c>
      <c r="W29" s="57">
        <f t="shared" si="3"/>
        <v>5.5843333333333101E-3</v>
      </c>
      <c r="X29" s="56">
        <v>3600</v>
      </c>
      <c r="Y29" s="56">
        <v>2400</v>
      </c>
    </row>
    <row r="30" spans="1:25" x14ac:dyDescent="0.25">
      <c r="B30" s="9"/>
      <c r="C30" s="31">
        <v>2380.5</v>
      </c>
      <c r="D30" s="32">
        <v>32.478999999999999</v>
      </c>
      <c r="E30" s="32">
        <v>38.973999999999997</v>
      </c>
      <c r="F30" s="32">
        <v>38.427999999999997</v>
      </c>
      <c r="G30" s="18">
        <v>1.27</v>
      </c>
      <c r="H30" s="18">
        <f t="shared" si="0"/>
        <v>34.034499999999994</v>
      </c>
      <c r="I30" s="5"/>
      <c r="J30" s="31">
        <v>1606.6736000000001</v>
      </c>
      <c r="K30" s="32">
        <v>33.146099999999997</v>
      </c>
      <c r="L30" s="32">
        <v>40.314399999999999</v>
      </c>
      <c r="M30" s="32">
        <v>39.796599999999998</v>
      </c>
      <c r="N30" s="18">
        <v>1.4216</v>
      </c>
      <c r="O30" s="18">
        <f t="shared" si="1"/>
        <v>34.873449999999998</v>
      </c>
      <c r="P30" s="7"/>
      <c r="Q30" s="10"/>
      <c r="R30" s="11"/>
      <c r="S30" s="11"/>
      <c r="T30" s="26"/>
      <c r="U30" s="28">
        <f t="shared" si="2"/>
        <v>0.11937007874015744</v>
      </c>
      <c r="V30" s="57">
        <f t="shared" si="4"/>
        <v>8.1250000000000003E-3</v>
      </c>
      <c r="W30" s="57">
        <f t="shared" si="3"/>
        <v>4.1710000000000488E-3</v>
      </c>
      <c r="X30" s="56">
        <v>2400</v>
      </c>
      <c r="Y30" s="56">
        <v>1600</v>
      </c>
    </row>
    <row r="31" spans="1:25" x14ac:dyDescent="0.25">
      <c r="B31" s="9"/>
      <c r="C31" s="31">
        <v>1472.89</v>
      </c>
      <c r="D31" s="32">
        <v>30.103999999999999</v>
      </c>
      <c r="E31" s="32">
        <v>37.951000000000001</v>
      </c>
      <c r="F31" s="32">
        <v>37.002000000000002</v>
      </c>
      <c r="G31" s="18">
        <v>1.61</v>
      </c>
      <c r="H31" s="18">
        <f t="shared" si="0"/>
        <v>31.947125</v>
      </c>
      <c r="I31" s="5"/>
      <c r="J31" s="31">
        <v>1002.0632000000001</v>
      </c>
      <c r="K31" s="32">
        <v>31.482399999999998</v>
      </c>
      <c r="L31" s="32">
        <v>39.5411</v>
      </c>
      <c r="M31" s="32">
        <v>38.677500000000002</v>
      </c>
      <c r="N31" s="18">
        <v>1.6826000000000001</v>
      </c>
      <c r="O31" s="18">
        <f t="shared" si="1"/>
        <v>33.389125</v>
      </c>
      <c r="P31" s="7"/>
      <c r="Q31" s="10"/>
      <c r="R31" s="11"/>
      <c r="S31" s="11"/>
      <c r="T31" s="26"/>
      <c r="U31" s="28">
        <f t="shared" si="2"/>
        <v>4.5093167701863349E-2</v>
      </c>
      <c r="V31" s="57">
        <f t="shared" si="4"/>
        <v>1.8073333333333268E-2</v>
      </c>
      <c r="W31" s="57">
        <f t="shared" si="3"/>
        <v>2.0632000000000515E-3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881.14</v>
      </c>
      <c r="D32" s="34">
        <v>27.173999999999999</v>
      </c>
      <c r="E32" s="34">
        <v>36.771999999999998</v>
      </c>
      <c r="F32" s="34">
        <v>35.186999999999998</v>
      </c>
      <c r="G32" s="20">
        <v>1.96</v>
      </c>
      <c r="H32" s="20">
        <f t="shared" si="0"/>
        <v>29.375374999999998</v>
      </c>
      <c r="I32" s="5"/>
      <c r="J32" s="33">
        <v>599.73440000000005</v>
      </c>
      <c r="K32" s="34">
        <v>29.677299999999999</v>
      </c>
      <c r="L32" s="34">
        <v>38.434800000000003</v>
      </c>
      <c r="M32" s="34">
        <v>37.2029</v>
      </c>
      <c r="N32" s="20">
        <v>2.0188000000000001</v>
      </c>
      <c r="O32" s="20">
        <f t="shared" si="1"/>
        <v>31.712687499999998</v>
      </c>
      <c r="P32" s="7"/>
      <c r="Q32" s="13"/>
      <c r="R32" s="14"/>
      <c r="S32" s="14"/>
      <c r="T32" s="27"/>
      <c r="U32" s="28">
        <f t="shared" si="2"/>
        <v>3.0000000000000096E-2</v>
      </c>
      <c r="V32" s="57">
        <f t="shared" si="4"/>
        <v>2.0955555555555571E-2</v>
      </c>
      <c r="W32" s="57">
        <f t="shared" si="3"/>
        <v>4.4266666666658238E-4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3617.81</v>
      </c>
      <c r="D33" s="16">
        <v>33.298999999999999</v>
      </c>
      <c r="E33" s="16">
        <v>39.031999999999996</v>
      </c>
      <c r="F33" s="16">
        <v>41.8</v>
      </c>
      <c r="G33" s="16">
        <v>1.2</v>
      </c>
      <c r="H33" s="16">
        <f t="shared" si="0"/>
        <v>35.078249999999997</v>
      </c>
      <c r="I33" s="5"/>
      <c r="J33" s="15">
        <v>2387.7008000000001</v>
      </c>
      <c r="K33" s="16">
        <v>33.938499999999998</v>
      </c>
      <c r="L33" s="16">
        <v>40.304499999999997</v>
      </c>
      <c r="M33" s="16">
        <v>42.711100000000002</v>
      </c>
      <c r="N33" s="16">
        <v>1.4742</v>
      </c>
      <c r="O33" s="16">
        <f t="shared" si="1"/>
        <v>35.830824999999997</v>
      </c>
      <c r="P33" s="7"/>
      <c r="Q33" s="8">
        <f>bdrate(C33:C36,D33:D36,J33:J36,K33:K36)</f>
        <v>-0.57272512829439304</v>
      </c>
      <c r="R33" s="8">
        <f>bdrate(C33:C36,E33:E36,J33:J36,L33:L36)</f>
        <v>-0.72889016880605983</v>
      </c>
      <c r="S33" s="8">
        <f>bdrate(C33:C36,F33:F36,J33:J36,M33:M36)</f>
        <v>-0.68328781263625049</v>
      </c>
      <c r="T33" s="25">
        <f>bdrate(C33:C36,H33:H36,J33:J36,O33:O36)</f>
        <v>-0.59403242281554114</v>
      </c>
      <c r="U33" s="28">
        <f t="shared" si="2"/>
        <v>0.22850000000000001</v>
      </c>
      <c r="V33" s="57">
        <f t="shared" si="4"/>
        <v>4.947222222222207E-3</v>
      </c>
      <c r="W33" s="57">
        <f t="shared" si="3"/>
        <v>5.1246666666666368E-3</v>
      </c>
      <c r="X33" s="56">
        <v>3600</v>
      </c>
      <c r="Y33" s="56">
        <v>2400</v>
      </c>
    </row>
    <row r="34" spans="1:25" x14ac:dyDescent="0.25">
      <c r="B34" s="9"/>
      <c r="C34" s="17">
        <v>2386.7399999999998</v>
      </c>
      <c r="D34" s="18">
        <v>32.322000000000003</v>
      </c>
      <c r="E34" s="18">
        <v>38.591999999999999</v>
      </c>
      <c r="F34" s="18">
        <v>41.314</v>
      </c>
      <c r="G34" s="18">
        <v>1.35</v>
      </c>
      <c r="H34" s="18">
        <f t="shared" si="0"/>
        <v>34.229750000000003</v>
      </c>
      <c r="I34" s="5"/>
      <c r="J34" s="17">
        <v>1601.8568</v>
      </c>
      <c r="K34" s="18">
        <v>33.286000000000001</v>
      </c>
      <c r="L34" s="18">
        <v>39.834099999999999</v>
      </c>
      <c r="M34" s="18">
        <v>42.334899999999998</v>
      </c>
      <c r="N34" s="18">
        <v>1.7618</v>
      </c>
      <c r="O34" s="18">
        <f t="shared" si="1"/>
        <v>35.235624999999999</v>
      </c>
      <c r="P34" s="7"/>
      <c r="Q34" s="10"/>
      <c r="R34" s="11"/>
      <c r="S34" s="11"/>
      <c r="T34" s="26"/>
      <c r="U34" s="28">
        <f t="shared" si="2"/>
        <v>0.305037037037037</v>
      </c>
      <c r="V34" s="57">
        <f t="shared" si="4"/>
        <v>5.5250000000000906E-3</v>
      </c>
      <c r="W34" s="57">
        <f t="shared" si="3"/>
        <v>1.1605000000000131E-3</v>
      </c>
      <c r="X34" s="56">
        <v>2400</v>
      </c>
      <c r="Y34" s="56">
        <v>1600</v>
      </c>
    </row>
    <row r="35" spans="1:25" x14ac:dyDescent="0.25">
      <c r="B35" s="9"/>
      <c r="C35" s="17">
        <v>1475.19</v>
      </c>
      <c r="D35" s="18">
        <v>30.893000000000001</v>
      </c>
      <c r="E35" s="18">
        <v>38.061999999999998</v>
      </c>
      <c r="F35" s="18">
        <v>40.753</v>
      </c>
      <c r="G35" s="18">
        <v>1.56</v>
      </c>
      <c r="H35" s="18">
        <f t="shared" si="0"/>
        <v>33.021625</v>
      </c>
      <c r="I35" s="5"/>
      <c r="J35" s="17">
        <v>1026.8968</v>
      </c>
      <c r="K35" s="18">
        <v>32.305100000000003</v>
      </c>
      <c r="L35" s="18">
        <v>39.119999999999997</v>
      </c>
      <c r="M35" s="18">
        <v>41.648400000000002</v>
      </c>
      <c r="N35" s="18">
        <v>2.0964</v>
      </c>
      <c r="O35" s="18">
        <f t="shared" si="1"/>
        <v>34.324874999999999</v>
      </c>
      <c r="P35" s="7"/>
      <c r="Q35" s="10"/>
      <c r="R35" s="11"/>
      <c r="S35" s="11"/>
      <c r="T35" s="26"/>
      <c r="U35" s="28">
        <f t="shared" si="2"/>
        <v>0.3438461538461538</v>
      </c>
      <c r="V35" s="57">
        <f t="shared" si="4"/>
        <v>1.6539999999999964E-2</v>
      </c>
      <c r="W35" s="57">
        <f t="shared" si="3"/>
        <v>2.6896799999999985E-2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868.83</v>
      </c>
      <c r="D36" s="20">
        <v>28.872</v>
      </c>
      <c r="E36" s="20">
        <v>37.417999999999999</v>
      </c>
      <c r="F36" s="20">
        <v>40.143999999999998</v>
      </c>
      <c r="G36" s="20">
        <v>1.86</v>
      </c>
      <c r="H36" s="20">
        <f t="shared" si="0"/>
        <v>31.349250000000001</v>
      </c>
      <c r="I36" s="5"/>
      <c r="J36" s="19">
        <v>601.67439999999999</v>
      </c>
      <c r="K36" s="20">
        <v>30.907599999999999</v>
      </c>
      <c r="L36" s="20">
        <v>38.515000000000001</v>
      </c>
      <c r="M36" s="20">
        <v>41.115900000000003</v>
      </c>
      <c r="N36" s="20">
        <v>2.4508000000000001</v>
      </c>
      <c r="O36" s="20">
        <f t="shared" si="1"/>
        <v>33.134562500000001</v>
      </c>
      <c r="P36" s="7"/>
      <c r="Q36" s="13"/>
      <c r="R36" s="14"/>
      <c r="S36" s="14"/>
      <c r="T36" s="27"/>
      <c r="U36" s="28">
        <f t="shared" si="2"/>
        <v>0.31763440860215053</v>
      </c>
      <c r="V36" s="57">
        <f t="shared" si="4"/>
        <v>3.4633333333333287E-2</v>
      </c>
      <c r="W36" s="57">
        <f t="shared" si="3"/>
        <v>2.7906666666666522E-3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1552.73</v>
      </c>
      <c r="D37" s="16">
        <v>35.22</v>
      </c>
      <c r="E37" s="16">
        <v>38.591999999999999</v>
      </c>
      <c r="F37" s="16">
        <v>38.536000000000001</v>
      </c>
      <c r="G37" s="16">
        <v>4.79</v>
      </c>
      <c r="H37" s="16">
        <f t="shared" si="0"/>
        <v>36.055999999999997</v>
      </c>
      <c r="I37" s="5"/>
      <c r="J37" s="15">
        <v>1219.9079999999999</v>
      </c>
      <c r="K37" s="16">
        <v>36.082700000000003</v>
      </c>
      <c r="L37" s="16">
        <v>40.485700000000001</v>
      </c>
      <c r="M37" s="16">
        <v>40.5152</v>
      </c>
      <c r="N37" s="16">
        <v>4.1111000000000004</v>
      </c>
      <c r="O37" s="16">
        <f t="shared" si="1"/>
        <v>37.187137499999999</v>
      </c>
      <c r="P37" s="7"/>
      <c r="Q37" s="8">
        <f>bdrate(C37:C40,D37:D40,J37:J40,K37:K40)</f>
        <v>-0.3424499169164803</v>
      </c>
      <c r="R37" s="8">
        <f>bdrate(C37:C40,E37:E40,J37:J40,L37:L40)</f>
        <v>-0.57744483485328835</v>
      </c>
      <c r="S37" s="8">
        <f>bdrate(C37:C40,F37:F40,J37:J40,M37:M40)</f>
        <v>-0.55035516469033996</v>
      </c>
      <c r="T37" s="25">
        <f>bdrate(C37:C40,H37:H40,J37:J40,O37:O40)</f>
        <v>-0.39221785692151645</v>
      </c>
      <c r="U37" s="28">
        <f t="shared" si="2"/>
        <v>-0.141732776617954</v>
      </c>
      <c r="V37" s="57">
        <f t="shared" si="4"/>
        <v>1.7612903225806568E-3</v>
      </c>
      <c r="W37" s="57">
        <f t="shared" si="3"/>
        <v>1.6589999999999917E-2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1050.21</v>
      </c>
      <c r="D38" s="18">
        <v>33.682000000000002</v>
      </c>
      <c r="E38" s="18">
        <v>37.393999999999998</v>
      </c>
      <c r="F38" s="18">
        <v>37.268999999999998</v>
      </c>
      <c r="G38" s="18">
        <v>5.69</v>
      </c>
      <c r="H38" s="18">
        <f t="shared" si="0"/>
        <v>34.594374999999999</v>
      </c>
      <c r="I38" s="5"/>
      <c r="J38" s="17">
        <v>814.33519999999999</v>
      </c>
      <c r="K38" s="18">
        <v>34.277500000000003</v>
      </c>
      <c r="L38" s="18">
        <v>39.139600000000002</v>
      </c>
      <c r="M38" s="18">
        <v>39.015999999999998</v>
      </c>
      <c r="N38" s="18">
        <v>4.7647000000000004</v>
      </c>
      <c r="O38" s="18">
        <f t="shared" si="1"/>
        <v>35.477575000000002</v>
      </c>
      <c r="P38" s="7"/>
      <c r="Q38" s="10"/>
      <c r="R38" s="11"/>
      <c r="S38" s="11"/>
      <c r="T38" s="26"/>
      <c r="U38" s="28">
        <f t="shared" si="2"/>
        <v>-0.16261862917398945</v>
      </c>
      <c r="V38" s="57">
        <f t="shared" si="4"/>
        <v>2.0000000000003465E-4</v>
      </c>
      <c r="W38" s="57">
        <f t="shared" si="3"/>
        <v>1.7918999999999984E-2</v>
      </c>
      <c r="X38" s="56">
        <v>1050</v>
      </c>
      <c r="Y38" s="56">
        <v>800</v>
      </c>
    </row>
    <row r="39" spans="1:25" x14ac:dyDescent="0.25">
      <c r="B39" s="9"/>
      <c r="C39" s="17">
        <v>647.37</v>
      </c>
      <c r="D39" s="18">
        <v>31.687000000000001</v>
      </c>
      <c r="E39" s="18">
        <v>36.097999999999999</v>
      </c>
      <c r="F39" s="18">
        <v>35.79</v>
      </c>
      <c r="G39" s="18">
        <v>6.69</v>
      </c>
      <c r="H39" s="18">
        <f t="shared" si="0"/>
        <v>32.751250000000006</v>
      </c>
      <c r="I39" s="5"/>
      <c r="J39" s="17">
        <v>508.41759999999999</v>
      </c>
      <c r="K39" s="18">
        <v>32.404899999999998</v>
      </c>
      <c r="L39" s="18">
        <v>37.775300000000001</v>
      </c>
      <c r="M39" s="18">
        <v>37.469299999999997</v>
      </c>
      <c r="N39" s="18">
        <v>5.6797000000000004</v>
      </c>
      <c r="O39" s="18">
        <f t="shared" si="1"/>
        <v>33.709249999999997</v>
      </c>
      <c r="P39" s="7"/>
      <c r="Q39" s="10"/>
      <c r="R39" s="11"/>
      <c r="S39" s="11"/>
      <c r="T39" s="26"/>
      <c r="U39" s="28">
        <f t="shared" si="2"/>
        <v>-0.15101644245142001</v>
      </c>
      <c r="V39" s="57">
        <f t="shared" si="4"/>
        <v>4.0461538461538391E-3</v>
      </c>
      <c r="W39" s="57">
        <f t="shared" si="3"/>
        <v>1.6835199999999988E-2</v>
      </c>
      <c r="X39" s="56">
        <v>650</v>
      </c>
      <c r="Y39" s="56">
        <v>500</v>
      </c>
    </row>
    <row r="40" spans="1:25" ht="16.5" thickBot="1" x14ac:dyDescent="0.3">
      <c r="B40" s="12"/>
      <c r="C40" s="19">
        <v>397.34</v>
      </c>
      <c r="D40" s="20">
        <v>29.507000000000001</v>
      </c>
      <c r="E40" s="20">
        <v>34.884999999999998</v>
      </c>
      <c r="F40" s="20">
        <v>34.344999999999999</v>
      </c>
      <c r="G40" s="20">
        <v>8.26</v>
      </c>
      <c r="H40" s="20">
        <f t="shared" si="0"/>
        <v>30.783999999999999</v>
      </c>
      <c r="I40" s="5"/>
      <c r="J40" s="19">
        <v>304.98160000000001</v>
      </c>
      <c r="K40" s="20">
        <v>30.453499999999998</v>
      </c>
      <c r="L40" s="20">
        <v>36.450800000000001</v>
      </c>
      <c r="M40" s="20">
        <v>36.056899999999999</v>
      </c>
      <c r="N40" s="20">
        <v>6.9268999999999998</v>
      </c>
      <c r="O40" s="20">
        <f t="shared" si="1"/>
        <v>31.9035875</v>
      </c>
      <c r="P40" s="7"/>
      <c r="Q40" s="13"/>
      <c r="R40" s="14"/>
      <c r="S40" s="14"/>
      <c r="T40" s="27"/>
      <c r="U40" s="28">
        <f t="shared" si="2"/>
        <v>-0.16139225181598063</v>
      </c>
      <c r="V40" s="57">
        <f t="shared" si="4"/>
        <v>6.6500000000000621E-3</v>
      </c>
      <c r="W40" s="57">
        <f t="shared" si="3"/>
        <v>1.6605333333333382E-2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1556.3</v>
      </c>
      <c r="D41" s="16">
        <v>35.575000000000003</v>
      </c>
      <c r="E41" s="16">
        <v>40.063000000000002</v>
      </c>
      <c r="F41" s="16">
        <v>40.914000000000001</v>
      </c>
      <c r="G41" s="16">
        <v>5.33</v>
      </c>
      <c r="H41" s="16">
        <f t="shared" si="0"/>
        <v>36.803375000000003</v>
      </c>
      <c r="I41" s="5"/>
      <c r="J41" s="15">
        <v>1248.4872</v>
      </c>
      <c r="K41" s="16">
        <v>35.984099999999998</v>
      </c>
      <c r="L41" s="16">
        <v>41.385399999999997</v>
      </c>
      <c r="M41" s="16">
        <v>42.409700000000001</v>
      </c>
      <c r="N41" s="16">
        <v>4.6116999999999999</v>
      </c>
      <c r="O41" s="16">
        <f t="shared" si="1"/>
        <v>37.462462499999994</v>
      </c>
      <c r="P41" s="7"/>
      <c r="Q41" s="8">
        <f>bdrate(C41:C44,D41:D44,J41:J44,K41:K44)</f>
        <v>-0.34410988228537975</v>
      </c>
      <c r="R41" s="8">
        <f>bdrate(C41:C44,E41:E44,J41:J44,L41:L44)</f>
        <v>-0.53974076408903038</v>
      </c>
      <c r="S41" s="8">
        <f>bdrate(C41:C44,F41:F44,J41:J44,M41:M44)</f>
        <v>-0.5411264048624671</v>
      </c>
      <c r="T41" s="25">
        <f>bdrate(C41:C44,H41:H44,J41:J44,O41:O44)</f>
        <v>-0.37934194818093625</v>
      </c>
      <c r="U41" s="28">
        <f t="shared" si="2"/>
        <v>-0.13476547842401504</v>
      </c>
      <c r="V41" s="57">
        <f t="shared" si="4"/>
        <v>4.0645161290322291E-3</v>
      </c>
      <c r="W41" s="57">
        <f t="shared" si="3"/>
        <v>4.0406000000000025E-2</v>
      </c>
      <c r="X41" s="56">
        <v>1550</v>
      </c>
      <c r="Y41" s="56">
        <v>1200</v>
      </c>
    </row>
    <row r="42" spans="1:25" x14ac:dyDescent="0.25">
      <c r="B42" s="9"/>
      <c r="C42" s="17">
        <v>1055.1600000000001</v>
      </c>
      <c r="D42" s="18">
        <v>33.850999999999999</v>
      </c>
      <c r="E42" s="18">
        <v>39.186999999999998</v>
      </c>
      <c r="F42" s="18">
        <v>39.927</v>
      </c>
      <c r="G42" s="18">
        <v>6.21</v>
      </c>
      <c r="H42" s="18">
        <f t="shared" si="0"/>
        <v>35.277500000000003</v>
      </c>
      <c r="I42" s="5"/>
      <c r="J42" s="17">
        <v>831.14</v>
      </c>
      <c r="K42" s="18">
        <v>34.458500000000001</v>
      </c>
      <c r="L42" s="18">
        <v>40.410899999999998</v>
      </c>
      <c r="M42" s="18">
        <v>41.280799999999999</v>
      </c>
      <c r="N42" s="18">
        <v>5.3421000000000003</v>
      </c>
      <c r="O42" s="18">
        <f t="shared" si="1"/>
        <v>36.0553375</v>
      </c>
      <c r="P42" s="7"/>
      <c r="Q42" s="10"/>
      <c r="R42" s="11"/>
      <c r="S42" s="11"/>
      <c r="T42" s="26"/>
      <c r="U42" s="28">
        <f t="shared" si="2"/>
        <v>-0.13975845410628013</v>
      </c>
      <c r="V42" s="57">
        <f t="shared" si="4"/>
        <v>4.914285714285792E-3</v>
      </c>
      <c r="W42" s="57">
        <f t="shared" si="3"/>
        <v>3.892499999999998E-2</v>
      </c>
      <c r="X42" s="56">
        <v>1050</v>
      </c>
      <c r="Y42" s="56">
        <v>800</v>
      </c>
    </row>
    <row r="43" spans="1:25" x14ac:dyDescent="0.25">
      <c r="B43" s="9"/>
      <c r="C43" s="17">
        <v>653.53</v>
      </c>
      <c r="D43" s="18">
        <v>31.620999999999999</v>
      </c>
      <c r="E43" s="18">
        <v>38.176000000000002</v>
      </c>
      <c r="F43" s="18">
        <v>38.799999999999997</v>
      </c>
      <c r="G43" s="18">
        <v>7.16</v>
      </c>
      <c r="H43" s="18">
        <f t="shared" si="0"/>
        <v>33.33775</v>
      </c>
      <c r="I43" s="5"/>
      <c r="J43" s="17">
        <v>520.33040000000005</v>
      </c>
      <c r="K43" s="18">
        <v>32.6051</v>
      </c>
      <c r="L43" s="18">
        <v>39.3431</v>
      </c>
      <c r="M43" s="18">
        <v>40.103499999999997</v>
      </c>
      <c r="N43" s="18">
        <v>6.3358999999999996</v>
      </c>
      <c r="O43" s="18">
        <f t="shared" si="1"/>
        <v>34.384650000000001</v>
      </c>
      <c r="P43" s="7"/>
      <c r="Q43" s="10"/>
      <c r="R43" s="11"/>
      <c r="S43" s="11"/>
      <c r="T43" s="26"/>
      <c r="U43" s="28">
        <f t="shared" si="2"/>
        <v>-0.11509776536312856</v>
      </c>
      <c r="V43" s="57">
        <f t="shared" si="4"/>
        <v>5.4307692307691887E-3</v>
      </c>
      <c r="W43" s="57">
        <f t="shared" si="3"/>
        <v>4.0660800000000108E-2</v>
      </c>
      <c r="X43" s="56">
        <v>650</v>
      </c>
      <c r="Y43" s="56">
        <v>500</v>
      </c>
    </row>
    <row r="44" spans="1:25" ht="16.5" thickBot="1" x14ac:dyDescent="0.3">
      <c r="B44" s="12"/>
      <c r="C44" s="19">
        <v>404.06</v>
      </c>
      <c r="D44" s="20">
        <v>29.242999999999999</v>
      </c>
      <c r="E44" s="20">
        <v>37.232999999999997</v>
      </c>
      <c r="F44" s="20">
        <v>37.716999999999999</v>
      </c>
      <c r="G44" s="20">
        <v>8.3800000000000008</v>
      </c>
      <c r="H44" s="20">
        <f t="shared" si="0"/>
        <v>31.301000000000002</v>
      </c>
      <c r="I44" s="5"/>
      <c r="J44" s="19">
        <v>310.8168</v>
      </c>
      <c r="K44" s="20">
        <v>30.4833</v>
      </c>
      <c r="L44" s="20">
        <v>38.228400000000001</v>
      </c>
      <c r="M44" s="20">
        <v>38.898099999999999</v>
      </c>
      <c r="N44" s="20">
        <v>7.5372000000000003</v>
      </c>
      <c r="O44" s="20">
        <f t="shared" si="1"/>
        <v>32.503287499999999</v>
      </c>
      <c r="P44" s="7"/>
      <c r="Q44" s="13"/>
      <c r="R44" s="14"/>
      <c r="S44" s="14"/>
      <c r="T44" s="27"/>
      <c r="U44" s="28">
        <f t="shared" si="2"/>
        <v>-0.10057279236276855</v>
      </c>
      <c r="V44" s="57">
        <f t="shared" si="4"/>
        <v>1.0150000000000006E-2</v>
      </c>
      <c r="W44" s="57">
        <f t="shared" si="3"/>
        <v>3.6056000000000005E-2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1421.99</v>
      </c>
      <c r="D45" s="16">
        <v>30.106000000000002</v>
      </c>
      <c r="E45" s="16">
        <v>35.783000000000001</v>
      </c>
      <c r="F45" s="16">
        <v>36.524000000000001</v>
      </c>
      <c r="G45" s="16">
        <v>5.01</v>
      </c>
      <c r="H45" s="16">
        <f t="shared" si="0"/>
        <v>31.617875000000005</v>
      </c>
      <c r="I45" s="5"/>
      <c r="J45" s="15">
        <v>1226.2736</v>
      </c>
      <c r="K45" s="16">
        <v>30.895199999999999</v>
      </c>
      <c r="L45" s="16">
        <v>37.403599999999997</v>
      </c>
      <c r="M45" s="16">
        <v>38.235199999999999</v>
      </c>
      <c r="N45" s="16">
        <v>3.9357000000000002</v>
      </c>
      <c r="O45" s="16">
        <f t="shared" si="1"/>
        <v>32.626249999999999</v>
      </c>
      <c r="P45" s="7"/>
      <c r="Q45" s="8">
        <f>bdrate(C45:C48,D45:D48,J45:J48,K45:K48)</f>
        <v>-0.34239787744934291</v>
      </c>
      <c r="R45" s="8">
        <f>bdrate(C45:C48,E45:E48,J45:J48,L45:L48)</f>
        <v>-0.61816659476427205</v>
      </c>
      <c r="S45" s="8">
        <f>bdrate(C45:C48,F45:F48,J45:J48,M45:M48)</f>
        <v>-0.60579432176976145</v>
      </c>
      <c r="T45" s="25">
        <f>bdrate(C45:C48,H45:H48,J45:J48,O45:O48)</f>
        <v>-0.38832852302015874</v>
      </c>
      <c r="U45" s="28">
        <f t="shared" si="2"/>
        <v>-0.21443113772455083</v>
      </c>
      <c r="V45" s="57">
        <f t="shared" si="4"/>
        <v>8.2587096774193541E-2</v>
      </c>
      <c r="W45" s="57">
        <f t="shared" si="3"/>
        <v>2.1894666666666656E-2</v>
      </c>
      <c r="X45" s="56">
        <v>1550</v>
      </c>
      <c r="Y45" s="56">
        <v>1200</v>
      </c>
    </row>
    <row r="46" spans="1:25" x14ac:dyDescent="0.25">
      <c r="B46" s="9"/>
      <c r="C46" s="17">
        <v>966.07</v>
      </c>
      <c r="D46" s="18">
        <v>28.689</v>
      </c>
      <c r="E46" s="18">
        <v>35.186999999999998</v>
      </c>
      <c r="F46" s="18">
        <v>35.93</v>
      </c>
      <c r="G46" s="18">
        <v>5.72</v>
      </c>
      <c r="H46" s="18">
        <f t="shared" si="0"/>
        <v>30.406375000000004</v>
      </c>
      <c r="I46" s="5"/>
      <c r="J46" s="17">
        <v>817.024</v>
      </c>
      <c r="K46" s="18">
        <v>29.510400000000001</v>
      </c>
      <c r="L46" s="18">
        <v>36.581800000000001</v>
      </c>
      <c r="M46" s="18">
        <v>37.351100000000002</v>
      </c>
      <c r="N46" s="18">
        <v>4.6303000000000001</v>
      </c>
      <c r="O46" s="18">
        <f t="shared" si="1"/>
        <v>31.374412500000002</v>
      </c>
      <c r="P46" s="7"/>
      <c r="Q46" s="10"/>
      <c r="R46" s="11"/>
      <c r="S46" s="11"/>
      <c r="T46" s="26"/>
      <c r="U46" s="28">
        <f t="shared" si="2"/>
        <v>-0.19050699300699295</v>
      </c>
      <c r="V46" s="57">
        <f t="shared" si="4"/>
        <v>7.9933333333333287E-2</v>
      </c>
      <c r="W46" s="57">
        <f t="shared" si="3"/>
        <v>2.128E-2</v>
      </c>
      <c r="X46" s="56">
        <v>1050</v>
      </c>
      <c r="Y46" s="56">
        <v>800</v>
      </c>
    </row>
    <row r="47" spans="1:25" x14ac:dyDescent="0.25">
      <c r="B47" s="9"/>
      <c r="C47" s="17">
        <v>601.35</v>
      </c>
      <c r="D47" s="18">
        <v>27.082000000000001</v>
      </c>
      <c r="E47" s="18">
        <v>34.569000000000003</v>
      </c>
      <c r="F47" s="18">
        <v>35.326000000000001</v>
      </c>
      <c r="G47" s="18">
        <v>6.35</v>
      </c>
      <c r="H47" s="18">
        <f t="shared" si="0"/>
        <v>29.048375000000004</v>
      </c>
      <c r="I47" s="5"/>
      <c r="J47" s="17">
        <v>513.33360000000005</v>
      </c>
      <c r="K47" s="18">
        <v>27.9697</v>
      </c>
      <c r="L47" s="18">
        <v>35.703499999999998</v>
      </c>
      <c r="M47" s="18">
        <v>36.405999999999999</v>
      </c>
      <c r="N47" s="18">
        <v>5.5152000000000001</v>
      </c>
      <c r="O47" s="18">
        <f t="shared" si="1"/>
        <v>29.990962499999998</v>
      </c>
      <c r="P47" s="7"/>
      <c r="Q47" s="10"/>
      <c r="R47" s="11"/>
      <c r="S47" s="11"/>
      <c r="T47" s="26"/>
      <c r="U47" s="28">
        <f t="shared" si="2"/>
        <v>-0.1314645669291338</v>
      </c>
      <c r="V47" s="57">
        <f t="shared" si="4"/>
        <v>7.4846153846153812E-2</v>
      </c>
      <c r="W47" s="57">
        <f t="shared" si="3"/>
        <v>2.6667200000000092E-2</v>
      </c>
      <c r="X47" s="56">
        <v>650</v>
      </c>
      <c r="Y47" s="56">
        <v>500</v>
      </c>
    </row>
    <row r="48" spans="1:25" ht="16.5" thickBot="1" x14ac:dyDescent="0.3">
      <c r="B48" s="12"/>
      <c r="C48" s="19">
        <v>372.44</v>
      </c>
      <c r="D48" s="20">
        <v>25.567</v>
      </c>
      <c r="E48" s="20">
        <v>33.997</v>
      </c>
      <c r="F48" s="20">
        <v>34.741</v>
      </c>
      <c r="G48" s="20">
        <v>7.35</v>
      </c>
      <c r="H48" s="20">
        <f t="shared" si="0"/>
        <v>27.767499999999998</v>
      </c>
      <c r="I48" s="5"/>
      <c r="J48" s="19">
        <v>308.85199999999998</v>
      </c>
      <c r="K48" s="20">
        <v>26.400600000000001</v>
      </c>
      <c r="L48" s="20">
        <v>34.926400000000001</v>
      </c>
      <c r="M48" s="20">
        <v>35.618099999999998</v>
      </c>
      <c r="N48" s="20">
        <v>6.6824000000000003</v>
      </c>
      <c r="O48" s="20">
        <f t="shared" si="1"/>
        <v>28.618512500000001</v>
      </c>
      <c r="P48" s="7"/>
      <c r="Q48" s="13"/>
      <c r="R48" s="14"/>
      <c r="S48" s="14"/>
      <c r="T48" s="27"/>
      <c r="U48" s="28">
        <f t="shared" si="2"/>
        <v>-9.0829931972789019E-2</v>
      </c>
      <c r="V48" s="57">
        <f t="shared" si="4"/>
        <v>6.8900000000000003E-2</v>
      </c>
      <c r="W48" s="57">
        <f t="shared" si="3"/>
        <v>2.9506666666666584E-2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1425.54</v>
      </c>
      <c r="D49" s="16">
        <v>33.378</v>
      </c>
      <c r="E49" s="16">
        <v>36.947000000000003</v>
      </c>
      <c r="F49" s="16">
        <v>38.649000000000001</v>
      </c>
      <c r="G49" s="16">
        <v>3.76</v>
      </c>
      <c r="H49" s="16">
        <f t="shared" si="0"/>
        <v>34.483000000000004</v>
      </c>
      <c r="I49" s="5"/>
      <c r="J49" s="15">
        <v>1217.0088000000001</v>
      </c>
      <c r="K49" s="16">
        <v>32.985399999999998</v>
      </c>
      <c r="L49" s="16">
        <v>37.643999999999998</v>
      </c>
      <c r="M49" s="16">
        <v>39.2864</v>
      </c>
      <c r="N49" s="16">
        <v>2.8435000000000001</v>
      </c>
      <c r="O49" s="16">
        <f t="shared" si="1"/>
        <v>34.355350000000001</v>
      </c>
      <c r="P49" s="7"/>
      <c r="Q49" s="8">
        <f>bdrate(C49:C52,D49:D52,J49:J52,K49:K52)</f>
        <v>-0.13231725416513651</v>
      </c>
      <c r="R49" s="8">
        <f>bdrate(C49:C52,E49:E52,J49:J52,L49:L52)</f>
        <v>-0.40303124644681843</v>
      </c>
      <c r="S49" s="8">
        <f>bdrate(C49:C52,F49:F52,J49:J52,M49:M52)</f>
        <v>-0.40796905342542111</v>
      </c>
      <c r="T49" s="25">
        <f>bdrate(C49:C52,H49:H52,J49:J52,O49:O52)</f>
        <v>-0.17766222543121801</v>
      </c>
      <c r="U49" s="28">
        <f t="shared" si="2"/>
        <v>-0.24374999999999991</v>
      </c>
      <c r="V49" s="57">
        <f t="shared" si="4"/>
        <v>8.0296774193548415E-2</v>
      </c>
      <c r="W49" s="57">
        <f t="shared" si="3"/>
        <v>1.4174000000000055E-2</v>
      </c>
      <c r="X49" s="56">
        <v>1550</v>
      </c>
      <c r="Y49" s="56">
        <v>1200</v>
      </c>
    </row>
    <row r="50" spans="1:25" x14ac:dyDescent="0.25">
      <c r="B50" s="9"/>
      <c r="C50" s="17">
        <v>976.91</v>
      </c>
      <c r="D50" s="18">
        <v>31.818000000000001</v>
      </c>
      <c r="E50" s="18">
        <v>36.158000000000001</v>
      </c>
      <c r="F50" s="18">
        <v>37.820999999999998</v>
      </c>
      <c r="G50" s="18">
        <v>4.34</v>
      </c>
      <c r="H50" s="18">
        <f t="shared" si="0"/>
        <v>33.110875000000007</v>
      </c>
      <c r="I50" s="5"/>
      <c r="J50" s="17">
        <v>811.31679999999994</v>
      </c>
      <c r="K50" s="18">
        <v>31.461400000000001</v>
      </c>
      <c r="L50" s="18">
        <v>36.796500000000002</v>
      </c>
      <c r="M50" s="18">
        <v>38.424599999999998</v>
      </c>
      <c r="N50" s="18">
        <v>3.3027000000000002</v>
      </c>
      <c r="O50" s="18">
        <f t="shared" si="1"/>
        <v>32.998687500000003</v>
      </c>
      <c r="P50" s="7"/>
      <c r="Q50" s="10"/>
      <c r="R50" s="11"/>
      <c r="S50" s="11"/>
      <c r="T50" s="26"/>
      <c r="U50" s="28">
        <f t="shared" si="2"/>
        <v>-0.23900921658986168</v>
      </c>
      <c r="V50" s="57">
        <f t="shared" si="4"/>
        <v>6.9609523809523843E-2</v>
      </c>
      <c r="W50" s="57">
        <f t="shared" si="3"/>
        <v>1.4145999999999929E-2</v>
      </c>
      <c r="X50" s="56">
        <v>1050</v>
      </c>
      <c r="Y50" s="56">
        <v>800</v>
      </c>
    </row>
    <row r="51" spans="1:25" x14ac:dyDescent="0.25">
      <c r="B51" s="9"/>
      <c r="C51" s="17">
        <v>615.37</v>
      </c>
      <c r="D51" s="18">
        <v>29.893000000000001</v>
      </c>
      <c r="E51" s="18">
        <v>35.249000000000002</v>
      </c>
      <c r="F51" s="18">
        <v>36.804000000000002</v>
      </c>
      <c r="G51" s="18">
        <v>4.97</v>
      </c>
      <c r="H51" s="18">
        <f t="shared" si="0"/>
        <v>31.426375</v>
      </c>
      <c r="I51" s="5"/>
      <c r="J51" s="17">
        <v>508.29759999999999</v>
      </c>
      <c r="K51" s="18">
        <v>29.782299999999999</v>
      </c>
      <c r="L51" s="18">
        <v>35.878599999999999</v>
      </c>
      <c r="M51" s="18">
        <v>37.552999999999997</v>
      </c>
      <c r="N51" s="18">
        <v>3.8851</v>
      </c>
      <c r="O51" s="18">
        <f t="shared" si="1"/>
        <v>31.515675000000002</v>
      </c>
      <c r="P51" s="7"/>
      <c r="Q51" s="10"/>
      <c r="R51" s="11"/>
      <c r="S51" s="11"/>
      <c r="T51" s="26"/>
      <c r="U51" s="28">
        <f t="shared" si="2"/>
        <v>-0.21828973843058347</v>
      </c>
      <c r="V51" s="57">
        <f t="shared" si="4"/>
        <v>5.3276923076923069E-2</v>
      </c>
      <c r="W51" s="57">
        <f t="shared" si="3"/>
        <v>1.6595199999999977E-2</v>
      </c>
      <c r="X51" s="56">
        <v>650</v>
      </c>
      <c r="Y51" s="56">
        <v>500</v>
      </c>
    </row>
    <row r="52" spans="1:25" ht="16.5" thickBot="1" x14ac:dyDescent="0.3">
      <c r="B52" s="12"/>
      <c r="C52" s="19">
        <v>382.87</v>
      </c>
      <c r="D52" s="20">
        <v>27.966000000000001</v>
      </c>
      <c r="E52" s="20">
        <v>34.277000000000001</v>
      </c>
      <c r="F52" s="20">
        <v>35.667999999999999</v>
      </c>
      <c r="G52" s="20">
        <v>5.92</v>
      </c>
      <c r="H52" s="20">
        <f t="shared" si="0"/>
        <v>29.717624999999998</v>
      </c>
      <c r="I52" s="5"/>
      <c r="J52" s="19">
        <v>305.30160000000001</v>
      </c>
      <c r="K52" s="20">
        <v>28.120200000000001</v>
      </c>
      <c r="L52" s="20">
        <v>34.977699999999999</v>
      </c>
      <c r="M52" s="20">
        <v>36.594700000000003</v>
      </c>
      <c r="N52" s="20">
        <v>4.7621000000000002</v>
      </c>
      <c r="O52" s="20">
        <f t="shared" si="1"/>
        <v>30.036700000000003</v>
      </c>
      <c r="P52" s="7"/>
      <c r="Q52" s="13"/>
      <c r="R52" s="14"/>
      <c r="S52" s="14"/>
      <c r="T52" s="27"/>
      <c r="U52" s="28">
        <f t="shared" si="2"/>
        <v>-0.19559121621621617</v>
      </c>
      <c r="V52" s="57">
        <f t="shared" si="4"/>
        <v>4.2824999999999988E-2</v>
      </c>
      <c r="W52" s="57">
        <f t="shared" si="3"/>
        <v>1.7672000000000024E-2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848.48</v>
      </c>
      <c r="D53" s="16">
        <v>36.008000000000003</v>
      </c>
      <c r="E53" s="16">
        <v>39.896999999999998</v>
      </c>
      <c r="F53" s="16">
        <v>38.677999999999997</v>
      </c>
      <c r="G53" s="16">
        <v>15.74</v>
      </c>
      <c r="H53" s="16">
        <f t="shared" si="0"/>
        <v>36.827874999999999</v>
      </c>
      <c r="I53" s="5"/>
      <c r="J53" s="15">
        <v>610.46799999999996</v>
      </c>
      <c r="K53" s="16">
        <v>35.085000000000001</v>
      </c>
      <c r="L53" s="16">
        <v>40.780999999999999</v>
      </c>
      <c r="M53" s="16">
        <v>39.257599999999996</v>
      </c>
      <c r="N53" s="16">
        <v>13.0518</v>
      </c>
      <c r="O53" s="16">
        <f t="shared" si="1"/>
        <v>36.318574999999996</v>
      </c>
      <c r="P53" s="7"/>
      <c r="Q53" s="8">
        <f>bdrate(C53:C56,D53:D56,J53:J56,K53:K56)</f>
        <v>-0.17867458082375953</v>
      </c>
      <c r="R53" s="8">
        <f>bdrate(C53:C56,E53:E56,J53:J56,L53:L56)</f>
        <v>-0.48406997287636888</v>
      </c>
      <c r="S53" s="8">
        <f>bdrate(C53:C56,F53:F56,J53:J56,M53:M56)</f>
        <v>-0.42040216414946741</v>
      </c>
      <c r="T53" s="25">
        <f>bdrate(C53:C56,H53:H56,J53:J56,O53:O56)</f>
        <v>-0.23023658944920333</v>
      </c>
      <c r="U53" s="28">
        <f t="shared" si="2"/>
        <v>-0.17078780177890726</v>
      </c>
      <c r="V53" s="57">
        <f t="shared" si="4"/>
        <v>6.0600000000000022E-2</v>
      </c>
      <c r="W53" s="57">
        <f t="shared" si="3"/>
        <v>1.74466666666666E-2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533.5</v>
      </c>
      <c r="D54" s="18">
        <v>33.707999999999998</v>
      </c>
      <c r="E54" s="18">
        <v>38.558</v>
      </c>
      <c r="F54" s="18">
        <v>37.116</v>
      </c>
      <c r="G54" s="18">
        <v>18.989999999999998</v>
      </c>
      <c r="H54" s="18">
        <f t="shared" si="0"/>
        <v>34.740249999999996</v>
      </c>
      <c r="I54" s="5"/>
      <c r="J54" s="17">
        <v>408.01679999999999</v>
      </c>
      <c r="K54" s="18">
        <v>33.223300000000002</v>
      </c>
      <c r="L54" s="18">
        <v>39.561100000000003</v>
      </c>
      <c r="M54" s="18">
        <v>37.909300000000002</v>
      </c>
      <c r="N54" s="18">
        <v>15.0725</v>
      </c>
      <c r="O54" s="18">
        <f t="shared" si="1"/>
        <v>34.601275000000001</v>
      </c>
      <c r="P54" s="7"/>
      <c r="Q54" s="10"/>
      <c r="R54" s="11"/>
      <c r="S54" s="11"/>
      <c r="T54" s="26"/>
      <c r="U54" s="28">
        <f t="shared" si="2"/>
        <v>-0.20629278567667189</v>
      </c>
      <c r="V54" s="57">
        <f t="shared" si="4"/>
        <v>6.7000000000000004E-2</v>
      </c>
      <c r="W54" s="57">
        <f t="shared" si="3"/>
        <v>2.0041999999999973E-2</v>
      </c>
      <c r="X54" s="56">
        <v>500</v>
      </c>
      <c r="Y54" s="56">
        <v>400</v>
      </c>
    </row>
    <row r="55" spans="1:25" x14ac:dyDescent="0.25">
      <c r="B55" s="9"/>
      <c r="C55" s="17">
        <v>321.83</v>
      </c>
      <c r="D55" s="18">
        <v>31.358000000000001</v>
      </c>
      <c r="E55" s="18">
        <v>37.353000000000002</v>
      </c>
      <c r="F55" s="18">
        <v>35.671999999999997</v>
      </c>
      <c r="G55" s="18">
        <v>22.06</v>
      </c>
      <c r="H55" s="18">
        <f t="shared" si="0"/>
        <v>32.646625</v>
      </c>
      <c r="I55" s="5"/>
      <c r="J55" s="17">
        <v>253.8408</v>
      </c>
      <c r="K55" s="18">
        <v>31.174900000000001</v>
      </c>
      <c r="L55" s="18">
        <v>38.378700000000002</v>
      </c>
      <c r="M55" s="18">
        <v>36.573700000000002</v>
      </c>
      <c r="N55" s="18">
        <v>17.751300000000001</v>
      </c>
      <c r="O55" s="18">
        <f t="shared" si="1"/>
        <v>32.750225</v>
      </c>
      <c r="P55" s="7"/>
      <c r="Q55" s="10"/>
      <c r="R55" s="11"/>
      <c r="S55" s="11"/>
      <c r="T55" s="26"/>
      <c r="U55" s="28">
        <f t="shared" si="2"/>
        <v>-0.19531731640979141</v>
      </c>
      <c r="V55" s="57">
        <f t="shared" si="4"/>
        <v>7.2766666666666618E-2</v>
      </c>
      <c r="W55" s="57">
        <f t="shared" si="3"/>
        <v>1.5363200000000006E-2</v>
      </c>
      <c r="X55" s="56">
        <v>300</v>
      </c>
      <c r="Y55" s="56">
        <v>250</v>
      </c>
    </row>
    <row r="56" spans="1:25" ht="16.5" thickBot="1" x14ac:dyDescent="0.3">
      <c r="B56" s="12"/>
      <c r="C56" s="19">
        <v>162.28</v>
      </c>
      <c r="D56" s="20">
        <v>28.308</v>
      </c>
      <c r="E56" s="20">
        <v>35.962000000000003</v>
      </c>
      <c r="F56" s="20">
        <v>33.844000000000001</v>
      </c>
      <c r="G56" s="20">
        <v>28.59</v>
      </c>
      <c r="H56" s="20">
        <f t="shared" si="0"/>
        <v>29.95675</v>
      </c>
      <c r="I56" s="5"/>
      <c r="J56" s="19">
        <v>122.648</v>
      </c>
      <c r="K56" s="20">
        <v>28.314599999999999</v>
      </c>
      <c r="L56" s="20">
        <v>36.731200000000001</v>
      </c>
      <c r="M56" s="20">
        <v>34.6006</v>
      </c>
      <c r="N56" s="20">
        <v>23.9682</v>
      </c>
      <c r="O56" s="20">
        <f t="shared" si="1"/>
        <v>30.152425000000001</v>
      </c>
      <c r="P56" s="7"/>
      <c r="Q56" s="13"/>
      <c r="R56" s="14"/>
      <c r="S56" s="14"/>
      <c r="T56" s="27"/>
      <c r="U56" s="28">
        <f t="shared" si="2"/>
        <v>-0.16165792235047222</v>
      </c>
      <c r="V56" s="57">
        <f t="shared" si="4"/>
        <v>8.1866666666666671E-2</v>
      </c>
      <c r="W56" s="57">
        <f t="shared" si="3"/>
        <v>2.2066666666666634E-2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744.73</v>
      </c>
      <c r="D57" s="16">
        <v>32.965000000000003</v>
      </c>
      <c r="E57" s="16">
        <v>39.753</v>
      </c>
      <c r="F57" s="16">
        <v>40.5</v>
      </c>
      <c r="G57" s="16">
        <v>19.8</v>
      </c>
      <c r="H57" s="16">
        <f t="shared" si="0"/>
        <v>34.755375000000001</v>
      </c>
      <c r="I57" s="5"/>
      <c r="J57" s="15">
        <v>608.79920000000004</v>
      </c>
      <c r="K57" s="16">
        <v>34.004399999999997</v>
      </c>
      <c r="L57" s="16">
        <v>41.730200000000004</v>
      </c>
      <c r="M57" s="16">
        <v>42.674199999999999</v>
      </c>
      <c r="N57" s="16">
        <v>15.301399999999999</v>
      </c>
      <c r="O57" s="16">
        <f t="shared" si="1"/>
        <v>36.053849999999997</v>
      </c>
      <c r="P57" s="7"/>
      <c r="Q57" s="8">
        <f>bdrate(C57:C60,D57:D60,J57:J60,K57:K60)</f>
        <v>-0.44722040274846042</v>
      </c>
      <c r="R57" s="8">
        <f>bdrate(C57:C60,E57:E60,J57:J60,L57:L60)</f>
        <v>-0.6922885856001334</v>
      </c>
      <c r="S57" s="8">
        <f>bdrate(C57:C60,F57:F60,J57:J60,M57:M60)</f>
        <v>-0.71581698000878691</v>
      </c>
      <c r="T57" s="25">
        <f>bdrate(C57:C60,H57:H60,J57:J60,O57:O60)</f>
        <v>-0.49164863846087081</v>
      </c>
      <c r="U57" s="28">
        <f t="shared" si="2"/>
        <v>-0.22720202020202027</v>
      </c>
      <c r="V57" s="57">
        <f t="shared" si="4"/>
        <v>6.9087499999999982E-2</v>
      </c>
      <c r="W57" s="57">
        <f t="shared" si="3"/>
        <v>1.4665333333333403E-2</v>
      </c>
      <c r="X57" s="56">
        <v>800</v>
      </c>
      <c r="Y57" s="56">
        <v>600</v>
      </c>
    </row>
    <row r="58" spans="1:25" x14ac:dyDescent="0.25">
      <c r="B58" s="9"/>
      <c r="C58" s="17">
        <v>458.14</v>
      </c>
      <c r="D58" s="18">
        <v>31.238</v>
      </c>
      <c r="E58" s="18">
        <v>39.170999999999999</v>
      </c>
      <c r="F58" s="18">
        <v>39.709000000000003</v>
      </c>
      <c r="G58" s="18">
        <v>23.72</v>
      </c>
      <c r="H58" s="18">
        <f t="shared" si="0"/>
        <v>33.288499999999999</v>
      </c>
      <c r="I58" s="5"/>
      <c r="J58" s="17">
        <v>405.20319999999998</v>
      </c>
      <c r="K58" s="18">
        <v>32.728499999999997</v>
      </c>
      <c r="L58" s="18">
        <v>40.968200000000003</v>
      </c>
      <c r="M58" s="18">
        <v>41.8568</v>
      </c>
      <c r="N58" s="18">
        <v>17.714300000000001</v>
      </c>
      <c r="O58" s="18">
        <f t="shared" si="1"/>
        <v>34.899499999999996</v>
      </c>
      <c r="P58" s="7"/>
      <c r="Q58" s="10"/>
      <c r="R58" s="11"/>
      <c r="S58" s="11"/>
      <c r="T58" s="26"/>
      <c r="U58" s="28">
        <f t="shared" si="2"/>
        <v>-0.2531913996627318</v>
      </c>
      <c r="V58" s="57">
        <f t="shared" si="4"/>
        <v>8.3720000000000031E-2</v>
      </c>
      <c r="W58" s="57">
        <f t="shared" si="3"/>
        <v>1.3007999999999954E-2</v>
      </c>
      <c r="X58" s="56">
        <v>500</v>
      </c>
      <c r="Y58" s="56">
        <v>400</v>
      </c>
    </row>
    <row r="59" spans="1:25" x14ac:dyDescent="0.25">
      <c r="B59" s="9"/>
      <c r="C59" s="17">
        <v>272.06</v>
      </c>
      <c r="D59" s="18">
        <v>29.366</v>
      </c>
      <c r="E59" s="18">
        <v>38.65</v>
      </c>
      <c r="F59" s="18">
        <v>38.920999999999999</v>
      </c>
      <c r="G59" s="18">
        <v>26.57</v>
      </c>
      <c r="H59" s="18">
        <f t="shared" si="0"/>
        <v>31.720874999999999</v>
      </c>
      <c r="I59" s="5"/>
      <c r="J59" s="17">
        <v>253.4752</v>
      </c>
      <c r="K59" s="18">
        <v>31.2315</v>
      </c>
      <c r="L59" s="18">
        <v>40.069899999999997</v>
      </c>
      <c r="M59" s="18">
        <v>40.856400000000001</v>
      </c>
      <c r="N59" s="18">
        <v>22.8842</v>
      </c>
      <c r="O59" s="18">
        <f t="shared" si="1"/>
        <v>33.539412499999997</v>
      </c>
      <c r="P59" s="7"/>
      <c r="Q59" s="10"/>
      <c r="R59" s="11"/>
      <c r="S59" s="11"/>
      <c r="T59" s="26"/>
      <c r="U59" s="28">
        <f t="shared" si="2"/>
        <v>-0.13872036130974785</v>
      </c>
      <c r="V59" s="57">
        <f t="shared" si="4"/>
        <v>9.3133333333333332E-2</v>
      </c>
      <c r="W59" s="57">
        <f t="shared" si="3"/>
        <v>1.3900800000000003E-2</v>
      </c>
      <c r="X59" s="56">
        <v>300</v>
      </c>
      <c r="Y59" s="56">
        <v>250</v>
      </c>
    </row>
    <row r="60" spans="1:25" ht="16.5" thickBot="1" x14ac:dyDescent="0.3">
      <c r="B60" s="12"/>
      <c r="C60" s="19">
        <v>134.54</v>
      </c>
      <c r="D60" s="20">
        <v>26.766999999999999</v>
      </c>
      <c r="E60" s="20">
        <v>37.898000000000003</v>
      </c>
      <c r="F60" s="20">
        <v>38.073999999999998</v>
      </c>
      <c r="G60" s="20">
        <v>31.34</v>
      </c>
      <c r="H60" s="20">
        <f t="shared" si="0"/>
        <v>29.571750000000002</v>
      </c>
      <c r="I60" s="5"/>
      <c r="J60" s="19">
        <v>121.2672</v>
      </c>
      <c r="K60" s="20">
        <v>28.715499999999999</v>
      </c>
      <c r="L60" s="20">
        <v>38.904200000000003</v>
      </c>
      <c r="M60" s="20">
        <v>39.590400000000002</v>
      </c>
      <c r="N60" s="20">
        <v>33.719200000000001</v>
      </c>
      <c r="O60" s="20">
        <f t="shared" si="1"/>
        <v>31.34845</v>
      </c>
      <c r="P60" s="7"/>
      <c r="Q60" s="13"/>
      <c r="R60" s="14"/>
      <c r="S60" s="14"/>
      <c r="T60" s="27"/>
      <c r="U60" s="28">
        <f t="shared" si="2"/>
        <v>7.5915762603701364E-2</v>
      </c>
      <c r="V60" s="57">
        <f t="shared" si="4"/>
        <v>0.10306666666666672</v>
      </c>
      <c r="W60" s="57">
        <f t="shared" si="3"/>
        <v>1.0560000000000021E-2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829.47</v>
      </c>
      <c r="D61" s="30">
        <v>34.012999999999998</v>
      </c>
      <c r="E61" s="30">
        <v>37.442999999999998</v>
      </c>
      <c r="F61" s="30">
        <v>37.939</v>
      </c>
      <c r="G61" s="16">
        <v>17.53</v>
      </c>
      <c r="H61" s="16">
        <f t="shared" si="0"/>
        <v>34.932499999999997</v>
      </c>
      <c r="I61" s="5"/>
      <c r="J61" s="29">
        <v>629.8424</v>
      </c>
      <c r="K61" s="30">
        <v>33.468299999999999</v>
      </c>
      <c r="L61" s="30">
        <v>38.927199999999999</v>
      </c>
      <c r="M61" s="30">
        <v>39.7288</v>
      </c>
      <c r="N61" s="16">
        <v>15.2597</v>
      </c>
      <c r="O61" s="16">
        <f t="shared" si="1"/>
        <v>34.933225</v>
      </c>
      <c r="P61" s="7"/>
      <c r="Q61" s="8">
        <f>bdrate(C61:C64,D61:D64,J61:J64,K61:K64)</f>
        <v>-0.18700389044505261</v>
      </c>
      <c r="R61" s="8">
        <f>bdrate(C61:C64,E61:E64,J61:J64,L61:L64)</f>
        <v>-0.60779229105341381</v>
      </c>
      <c r="S61" s="8">
        <f>bdrate(C61:C64,F61:F64,J61:J64,M61:M64)</f>
        <v>-0.63769861807717221</v>
      </c>
      <c r="T61" s="25">
        <f>bdrate(C61:C64,H61:H64,J61:J64,O61:O64)</f>
        <v>-0.27909839774761125</v>
      </c>
      <c r="U61" s="28">
        <f t="shared" si="2"/>
        <v>-0.12950941243582434</v>
      </c>
      <c r="V61" s="57">
        <f t="shared" si="4"/>
        <v>3.6837500000000037E-2</v>
      </c>
      <c r="W61" s="57">
        <f t="shared" si="3"/>
        <v>4.9737333333333328E-2</v>
      </c>
      <c r="X61" s="56">
        <v>800</v>
      </c>
      <c r="Y61" s="56">
        <v>600</v>
      </c>
    </row>
    <row r="62" spans="1:25" x14ac:dyDescent="0.25">
      <c r="B62" s="9"/>
      <c r="C62" s="31">
        <v>517.33000000000004</v>
      </c>
      <c r="D62" s="32">
        <v>32.048000000000002</v>
      </c>
      <c r="E62" s="32">
        <v>36.226999999999997</v>
      </c>
      <c r="F62" s="32">
        <v>36.72</v>
      </c>
      <c r="G62" s="18">
        <v>20.47</v>
      </c>
      <c r="H62" s="18">
        <f t="shared" si="0"/>
        <v>33.154375000000002</v>
      </c>
      <c r="I62" s="5"/>
      <c r="J62" s="31">
        <v>420.84320000000002</v>
      </c>
      <c r="K62" s="32">
        <v>31.891100000000002</v>
      </c>
      <c r="L62" s="32">
        <v>37.939799999999998</v>
      </c>
      <c r="M62" s="32">
        <v>38.686300000000003</v>
      </c>
      <c r="N62" s="18">
        <v>17.789200000000001</v>
      </c>
      <c r="O62" s="18">
        <f t="shared" si="1"/>
        <v>33.496587500000004</v>
      </c>
      <c r="P62" s="7"/>
      <c r="Q62" s="10"/>
      <c r="R62" s="11"/>
      <c r="S62" s="11"/>
      <c r="T62" s="26"/>
      <c r="U62" s="28">
        <f t="shared" si="2"/>
        <v>-0.13096238397655094</v>
      </c>
      <c r="V62" s="57">
        <f t="shared" si="4"/>
        <v>3.466000000000008E-2</v>
      </c>
      <c r="W62" s="57">
        <f t="shared" si="3"/>
        <v>5.2108000000000064E-2</v>
      </c>
      <c r="X62" s="56">
        <v>500</v>
      </c>
      <c r="Y62" s="56">
        <v>400</v>
      </c>
    </row>
    <row r="63" spans="1:25" x14ac:dyDescent="0.25">
      <c r="B63" s="9"/>
      <c r="C63" s="31">
        <v>308.35000000000002</v>
      </c>
      <c r="D63" s="32">
        <v>30.04</v>
      </c>
      <c r="E63" s="32">
        <v>35.249000000000002</v>
      </c>
      <c r="F63" s="32">
        <v>35.741</v>
      </c>
      <c r="G63" s="18">
        <v>22.67</v>
      </c>
      <c r="H63" s="18">
        <f t="shared" si="0"/>
        <v>31.403750000000002</v>
      </c>
      <c r="I63" s="5"/>
      <c r="J63" s="31">
        <v>263.08879999999999</v>
      </c>
      <c r="K63" s="32">
        <v>30.261500000000002</v>
      </c>
      <c r="L63" s="32">
        <v>36.802799999999998</v>
      </c>
      <c r="M63" s="32">
        <v>37.494999999999997</v>
      </c>
      <c r="N63" s="18">
        <v>21.027799999999999</v>
      </c>
      <c r="O63" s="18">
        <f t="shared" si="1"/>
        <v>31.983350000000002</v>
      </c>
      <c r="P63" s="7"/>
      <c r="Q63" s="10"/>
      <c r="R63" s="11"/>
      <c r="S63" s="11"/>
      <c r="T63" s="26"/>
      <c r="U63" s="28">
        <f t="shared" si="2"/>
        <v>-7.2439347154830275E-2</v>
      </c>
      <c r="V63" s="57">
        <f t="shared" si="4"/>
        <v>2.7833333333333408E-2</v>
      </c>
      <c r="W63" s="57">
        <f t="shared" si="3"/>
        <v>5.235519999999997E-2</v>
      </c>
      <c r="X63" s="56">
        <v>300</v>
      </c>
      <c r="Y63" s="56">
        <v>250</v>
      </c>
    </row>
    <row r="64" spans="1:25" ht="16.5" thickBot="1" x14ac:dyDescent="0.3">
      <c r="B64" s="12"/>
      <c r="C64" s="33">
        <v>151.44</v>
      </c>
      <c r="D64" s="34">
        <v>27.553999999999998</v>
      </c>
      <c r="E64" s="34">
        <v>34.107999999999997</v>
      </c>
      <c r="F64" s="34">
        <v>34.668999999999997</v>
      </c>
      <c r="G64" s="20">
        <v>27.15</v>
      </c>
      <c r="H64" s="20">
        <f t="shared" si="0"/>
        <v>29.262625</v>
      </c>
      <c r="I64" s="5"/>
      <c r="J64" s="33">
        <v>125.49120000000001</v>
      </c>
      <c r="K64" s="34">
        <v>27.8718</v>
      </c>
      <c r="L64" s="34">
        <v>35.360799999999998</v>
      </c>
      <c r="M64" s="34">
        <v>35.964199999999998</v>
      </c>
      <c r="N64" s="20">
        <v>28.020600000000002</v>
      </c>
      <c r="O64" s="20">
        <f t="shared" si="1"/>
        <v>29.819474999999997</v>
      </c>
      <c r="P64" s="7"/>
      <c r="Q64" s="13"/>
      <c r="R64" s="14"/>
      <c r="S64" s="14"/>
      <c r="T64" s="27"/>
      <c r="U64" s="28">
        <f t="shared" si="2"/>
        <v>3.2066298342541551E-2</v>
      </c>
      <c r="V64" s="57">
        <f t="shared" si="4"/>
        <v>9.5999999999999853E-3</v>
      </c>
      <c r="W64" s="57">
        <f t="shared" si="3"/>
        <v>4.5760000000000051E-2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762.63</v>
      </c>
      <c r="D65" s="16">
        <v>35.716000000000001</v>
      </c>
      <c r="E65" s="16">
        <v>37.880000000000003</v>
      </c>
      <c r="F65" s="16">
        <v>39.01</v>
      </c>
      <c r="G65" s="16">
        <v>12.8</v>
      </c>
      <c r="H65" s="16">
        <f t="shared" si="0"/>
        <v>36.398249999999997</v>
      </c>
      <c r="I65" s="5"/>
      <c r="J65" s="15">
        <v>610.61599999999999</v>
      </c>
      <c r="K65" s="16">
        <v>34.513399999999997</v>
      </c>
      <c r="L65" s="16">
        <v>38.649099999999997</v>
      </c>
      <c r="M65" s="16">
        <v>39.813299999999998</v>
      </c>
      <c r="N65" s="16">
        <v>9.8447999999999993</v>
      </c>
      <c r="O65" s="16">
        <f t="shared" si="1"/>
        <v>35.69285</v>
      </c>
      <c r="P65" s="7"/>
      <c r="Q65" s="8">
        <f>bdrate(C65:C68,D65:D68,J65:J68,K65:K68)</f>
        <v>-3.1479288671234285E-2</v>
      </c>
      <c r="R65" s="8">
        <f>bdrate(C65:C68,E65:E68,J65:J68,L65:L68)</f>
        <v>-0.40228000157299737</v>
      </c>
      <c r="S65" s="8">
        <f>bdrate(C65:C68,F65:F68,J65:J68,M65:M68)</f>
        <v>-0.40950290093752129</v>
      </c>
      <c r="T65" s="25">
        <f>bdrate(C65:C68,H65:H68,J65:J68,O65:O68)</f>
        <v>-0.10500050842404229</v>
      </c>
      <c r="U65" s="28">
        <f t="shared" si="2"/>
        <v>-0.23087500000000011</v>
      </c>
      <c r="V65" s="57">
        <f t="shared" si="4"/>
        <v>4.6712500000000004E-2</v>
      </c>
      <c r="W65" s="57">
        <f t="shared" si="3"/>
        <v>1.7693333333333307E-2</v>
      </c>
      <c r="X65" s="56">
        <v>800</v>
      </c>
      <c r="Y65" s="56">
        <v>600</v>
      </c>
    </row>
    <row r="66" spans="1:25" x14ac:dyDescent="0.25">
      <c r="B66" s="9"/>
      <c r="C66" s="17">
        <v>480.12</v>
      </c>
      <c r="D66" s="18">
        <v>33.402999999999999</v>
      </c>
      <c r="E66" s="18">
        <v>36.576000000000001</v>
      </c>
      <c r="F66" s="18">
        <v>37.710999999999999</v>
      </c>
      <c r="G66" s="18">
        <v>14.97</v>
      </c>
      <c r="H66" s="18">
        <f t="shared" si="0"/>
        <v>34.338124999999998</v>
      </c>
      <c r="I66" s="5"/>
      <c r="J66" s="17">
        <v>406.63440000000003</v>
      </c>
      <c r="K66" s="18">
        <v>32.610300000000002</v>
      </c>
      <c r="L66" s="18">
        <v>37.470199999999998</v>
      </c>
      <c r="M66" s="18">
        <v>38.624000000000002</v>
      </c>
      <c r="N66" s="18">
        <v>11.3667</v>
      </c>
      <c r="O66" s="18">
        <f t="shared" si="1"/>
        <v>33.969500000000004</v>
      </c>
      <c r="P66" s="7"/>
      <c r="Q66" s="10"/>
      <c r="R66" s="11"/>
      <c r="S66" s="11"/>
      <c r="T66" s="26"/>
      <c r="U66" s="28">
        <f t="shared" si="2"/>
        <v>-0.24070140280561128</v>
      </c>
      <c r="V66" s="57">
        <f t="shared" si="4"/>
        <v>3.975999999999999E-2</v>
      </c>
      <c r="W66" s="57">
        <f t="shared" si="3"/>
        <v>1.6586000000000069E-2</v>
      </c>
      <c r="X66" s="56">
        <v>500</v>
      </c>
      <c r="Y66" s="56">
        <v>400</v>
      </c>
    </row>
    <row r="67" spans="1:25" x14ac:dyDescent="0.25">
      <c r="B67" s="9"/>
      <c r="C67" s="17">
        <v>289.7</v>
      </c>
      <c r="D67" s="18">
        <v>31.108000000000001</v>
      </c>
      <c r="E67" s="18">
        <v>35.329000000000001</v>
      </c>
      <c r="F67" s="18">
        <v>36.430999999999997</v>
      </c>
      <c r="G67" s="18">
        <v>17.09</v>
      </c>
      <c r="H67" s="18">
        <f t="shared" si="0"/>
        <v>32.301000000000002</v>
      </c>
      <c r="I67" s="5"/>
      <c r="J67" s="17">
        <v>254.80879999999999</v>
      </c>
      <c r="K67" s="18">
        <v>30.719000000000001</v>
      </c>
      <c r="L67" s="18">
        <v>36.225900000000003</v>
      </c>
      <c r="M67" s="18">
        <v>37.389600000000002</v>
      </c>
      <c r="N67" s="18">
        <v>13.5093</v>
      </c>
      <c r="O67" s="18">
        <f t="shared" si="1"/>
        <v>32.241187500000002</v>
      </c>
      <c r="P67" s="7"/>
      <c r="Q67" s="10"/>
      <c r="R67" s="11"/>
      <c r="S67" s="11"/>
      <c r="T67" s="26"/>
      <c r="U67" s="28">
        <f t="shared" si="2"/>
        <v>-0.20952018724400234</v>
      </c>
      <c r="V67" s="57">
        <f t="shared" si="4"/>
        <v>3.4333333333333368E-2</v>
      </c>
      <c r="W67" s="57">
        <f t="shared" si="3"/>
        <v>1.9235199999999963E-2</v>
      </c>
      <c r="X67" s="56">
        <v>300</v>
      </c>
      <c r="Y67" s="56">
        <v>250</v>
      </c>
    </row>
    <row r="68" spans="1:25" ht="16.5" thickBot="1" x14ac:dyDescent="0.3">
      <c r="B68" s="12"/>
      <c r="C68" s="19">
        <v>145.29</v>
      </c>
      <c r="D68" s="20">
        <v>28.283000000000001</v>
      </c>
      <c r="E68" s="20">
        <v>33.887999999999998</v>
      </c>
      <c r="F68" s="20">
        <v>34.881999999999998</v>
      </c>
      <c r="G68" s="20">
        <v>21.51</v>
      </c>
      <c r="H68" s="20">
        <f t="shared" si="0"/>
        <v>29.808500000000002</v>
      </c>
      <c r="I68" s="5"/>
      <c r="J68" s="19">
        <v>123.592</v>
      </c>
      <c r="K68" s="20">
        <v>28.161999999999999</v>
      </c>
      <c r="L68" s="20">
        <v>34.768099999999997</v>
      </c>
      <c r="M68" s="20">
        <v>35.8752</v>
      </c>
      <c r="N68" s="20">
        <v>18.3385</v>
      </c>
      <c r="O68" s="20">
        <f t="shared" si="1"/>
        <v>29.951912499999999</v>
      </c>
      <c r="P68" s="7"/>
      <c r="Q68" s="13"/>
      <c r="R68" s="14"/>
      <c r="S68" s="14"/>
      <c r="T68" s="27"/>
      <c r="U68" s="28">
        <f t="shared" si="2"/>
        <v>-0.14744304974430505</v>
      </c>
      <c r="V68" s="57">
        <f t="shared" si="4"/>
        <v>3.1400000000000053E-2</v>
      </c>
      <c r="W68" s="57">
        <f t="shared" si="3"/>
        <v>2.9933333333333322E-2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1917.16</v>
      </c>
      <c r="D69" s="16">
        <v>41.456000000000003</v>
      </c>
      <c r="E69" s="16">
        <v>45.017000000000003</v>
      </c>
      <c r="F69" s="16">
        <v>46.058</v>
      </c>
      <c r="G69" s="16">
        <v>3.07</v>
      </c>
      <c r="H69" s="16">
        <f t="shared" si="0"/>
        <v>42.476375000000004</v>
      </c>
      <c r="I69" s="5"/>
      <c r="J69" s="15">
        <v>1506.2608</v>
      </c>
      <c r="K69" s="16">
        <v>41.8645</v>
      </c>
      <c r="L69" s="16">
        <v>46.559899999999999</v>
      </c>
      <c r="M69" s="16">
        <v>47.8309</v>
      </c>
      <c r="N69" s="16">
        <v>3.9592000000000001</v>
      </c>
      <c r="O69" s="16">
        <f t="shared" si="1"/>
        <v>43.197224999999996</v>
      </c>
      <c r="P69" s="7"/>
      <c r="Q69" s="8">
        <f>bdrate(C69:C72,D69:D72,J69:J72,K69:K72)</f>
        <v>-0.38377197351419368</v>
      </c>
      <c r="R69" s="8">
        <f>bdrate(C69:C72,E69:E72,J69:J72,L69:L72)</f>
        <v>-0.59913576874837415</v>
      </c>
      <c r="S69" s="8">
        <f>bdrate(C69:C72,F69:F72,J69:J72,M69:M72)</f>
        <v>-0.60954620085703859</v>
      </c>
      <c r="T69" s="25">
        <f>bdrate(C69:C72,H69:H72,J69:J72,O69:O72)</f>
        <v>-0.43591803557991571</v>
      </c>
      <c r="U69" s="28">
        <f t="shared" si="2"/>
        <v>0.28964169381107502</v>
      </c>
      <c r="V69" s="57">
        <f t="shared" si="4"/>
        <v>8.7066666666666626E-2</v>
      </c>
      <c r="W69" s="57">
        <f t="shared" si="3"/>
        <v>4.1738666666666785E-3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1248.93</v>
      </c>
      <c r="D70" s="18">
        <v>40.268999999999998</v>
      </c>
      <c r="E70" s="18">
        <v>43.914999999999999</v>
      </c>
      <c r="F70" s="18">
        <v>45.05</v>
      </c>
      <c r="G70" s="18">
        <v>3.68</v>
      </c>
      <c r="H70" s="18">
        <f t="shared" si="0"/>
        <v>41.322375000000001</v>
      </c>
      <c r="I70" s="5"/>
      <c r="J70" s="17">
        <v>982.5376</v>
      </c>
      <c r="K70" s="18">
        <v>40.847000000000001</v>
      </c>
      <c r="L70" s="18">
        <v>45.716200000000001</v>
      </c>
      <c r="M70" s="18">
        <v>46.955199999999998</v>
      </c>
      <c r="N70" s="18">
        <v>4.6600999999999999</v>
      </c>
      <c r="O70" s="18">
        <f t="shared" si="1"/>
        <v>42.219175</v>
      </c>
      <c r="P70" s="7"/>
      <c r="Q70" s="10"/>
      <c r="R70" s="11"/>
      <c r="S70" s="11"/>
      <c r="T70" s="26"/>
      <c r="U70" s="28">
        <f t="shared" si="2"/>
        <v>0.26633152173913033</v>
      </c>
      <c r="V70" s="57">
        <f t="shared" si="4"/>
        <v>0.10790714285714281</v>
      </c>
      <c r="W70" s="57">
        <f t="shared" si="3"/>
        <v>1.7462400000000003E-2</v>
      </c>
      <c r="X70" s="56">
        <v>1400</v>
      </c>
      <c r="Y70" s="56">
        <v>1000</v>
      </c>
    </row>
    <row r="71" spans="1:25" x14ac:dyDescent="0.25">
      <c r="B71" s="9"/>
      <c r="C71" s="17">
        <v>741.87</v>
      </c>
      <c r="D71" s="18">
        <v>38.118000000000002</v>
      </c>
      <c r="E71" s="18">
        <v>42.317</v>
      </c>
      <c r="F71" s="18">
        <v>43.442999999999998</v>
      </c>
      <c r="G71" s="18">
        <v>4.26</v>
      </c>
      <c r="H71" s="18">
        <f t="shared" si="0"/>
        <v>39.308500000000002</v>
      </c>
      <c r="I71" s="5"/>
      <c r="J71" s="17">
        <v>565.80319999999995</v>
      </c>
      <c r="K71" s="18">
        <v>39.013500000000001</v>
      </c>
      <c r="L71" s="18">
        <v>44.176900000000003</v>
      </c>
      <c r="M71" s="18">
        <v>45.380800000000001</v>
      </c>
      <c r="N71" s="18">
        <v>5.5991</v>
      </c>
      <c r="O71" s="18">
        <f t="shared" si="1"/>
        <v>40.454837500000004</v>
      </c>
      <c r="P71" s="7"/>
      <c r="Q71" s="10"/>
      <c r="R71" s="11"/>
      <c r="S71" s="11"/>
      <c r="T71" s="26"/>
      <c r="U71" s="28">
        <f t="shared" si="2"/>
        <v>0.3143427230046949</v>
      </c>
      <c r="V71" s="57">
        <f t="shared" si="4"/>
        <v>0.12721176470588236</v>
      </c>
      <c r="W71" s="57">
        <f t="shared" si="3"/>
        <v>5.6994666666666756E-2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342.01</v>
      </c>
      <c r="D72" s="20">
        <v>33.883000000000003</v>
      </c>
      <c r="E72" s="20">
        <v>40.201000000000001</v>
      </c>
      <c r="F72" s="20">
        <v>41.271000000000001</v>
      </c>
      <c r="G72" s="20">
        <v>5.39</v>
      </c>
      <c r="H72" s="20">
        <f t="shared" si="0"/>
        <v>35.596249999999998</v>
      </c>
      <c r="I72" s="5"/>
      <c r="J72" s="19">
        <v>281.5</v>
      </c>
      <c r="K72" s="20">
        <v>36.072200000000002</v>
      </c>
      <c r="L72" s="20">
        <v>42.305599999999998</v>
      </c>
      <c r="M72" s="20">
        <v>43.488399999999999</v>
      </c>
      <c r="N72" s="20">
        <v>6.9831000000000003</v>
      </c>
      <c r="O72" s="20">
        <f t="shared" si="1"/>
        <v>37.778399999999998</v>
      </c>
      <c r="P72" s="7"/>
      <c r="Q72" s="13"/>
      <c r="R72" s="14"/>
      <c r="S72" s="14"/>
      <c r="T72" s="27"/>
      <c r="U72" s="28">
        <f t="shared" si="2"/>
        <v>0.29556586270871998</v>
      </c>
      <c r="V72" s="57">
        <f t="shared" si="4"/>
        <v>0.14497500000000002</v>
      </c>
      <c r="W72" s="57">
        <f t="shared" si="3"/>
        <v>6.1666666666666668E-2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1980.35</v>
      </c>
      <c r="D73" s="16">
        <v>42.427999999999997</v>
      </c>
      <c r="E73" s="16">
        <v>46.956000000000003</v>
      </c>
      <c r="F73" s="16">
        <v>47.417000000000002</v>
      </c>
      <c r="G73" s="16">
        <v>2.97</v>
      </c>
      <c r="H73" s="16">
        <f t="shared" si="0"/>
        <v>43.617625000000004</v>
      </c>
      <c r="I73" s="5"/>
      <c r="J73" s="15">
        <v>1537.9888000000001</v>
      </c>
      <c r="K73" s="16">
        <v>42.880200000000002</v>
      </c>
      <c r="L73" s="16">
        <v>48.381599999999999</v>
      </c>
      <c r="M73" s="16">
        <v>49.053600000000003</v>
      </c>
      <c r="N73" s="16">
        <v>3.9662000000000002</v>
      </c>
      <c r="O73" s="16">
        <f t="shared" si="1"/>
        <v>44.339550000000003</v>
      </c>
      <c r="P73" s="7"/>
      <c r="Q73" s="8">
        <f>bdrate(C73:C76,D73:D76,J73:J76,K73:K76)</f>
        <v>-0.50876137946685074</v>
      </c>
      <c r="R73" s="8">
        <f>bdrate(C73:C76,E73:E76,J73:J76,L73:L76)</f>
        <v>-0.73977826937512914</v>
      </c>
      <c r="S73" s="8">
        <f>bdrate(C73:C76,F73:F76,J73:J76,M73:M76)</f>
        <v>-0.76861824057382566</v>
      </c>
      <c r="T73" s="25">
        <f>bdrate(C73:C76,H73:H76,J73:J76,O73:O76)</f>
        <v>-0.59178775983814846</v>
      </c>
      <c r="U73" s="28">
        <f t="shared" ref="U73:U80" si="5">(N73-G73)/G73</f>
        <v>0.3354208754208754</v>
      </c>
      <c r="V73" s="57">
        <f t="shared" si="4"/>
        <v>5.6976190476190521E-2</v>
      </c>
      <c r="W73" s="57">
        <f t="shared" ref="W73:W80" si="6">ABS(J73-Y73)/Y73</f>
        <v>2.5325866666666721E-2</v>
      </c>
      <c r="X73" s="56">
        <v>2100</v>
      </c>
      <c r="Y73" s="56">
        <v>1500</v>
      </c>
    </row>
    <row r="74" spans="1:25" x14ac:dyDescent="0.25">
      <c r="B74" s="9"/>
      <c r="C74" s="17">
        <v>1300.31</v>
      </c>
      <c r="D74" s="18">
        <v>41.773000000000003</v>
      </c>
      <c r="E74" s="18">
        <v>46.033000000000001</v>
      </c>
      <c r="F74" s="18">
        <v>46.433</v>
      </c>
      <c r="G74" s="18">
        <v>3.46</v>
      </c>
      <c r="H74" s="18">
        <f t="shared" si="0"/>
        <v>42.888000000000005</v>
      </c>
      <c r="I74" s="5"/>
      <c r="J74" s="17">
        <v>986.81679999999994</v>
      </c>
      <c r="K74" s="18">
        <v>42.434600000000003</v>
      </c>
      <c r="L74" s="18">
        <v>47.957599999999999</v>
      </c>
      <c r="M74" s="18">
        <v>48.667499999999997</v>
      </c>
      <c r="N74" s="18">
        <v>4.7808999999999999</v>
      </c>
      <c r="O74" s="18">
        <f t="shared" si="1"/>
        <v>43.904087500000003</v>
      </c>
      <c r="P74" s="7"/>
      <c r="Q74" s="10"/>
      <c r="R74" s="11"/>
      <c r="S74" s="11"/>
      <c r="T74" s="26"/>
      <c r="U74" s="28">
        <f t="shared" si="5"/>
        <v>0.38176300578034683</v>
      </c>
      <c r="V74" s="57">
        <f t="shared" ref="V74:V80" si="7">ABS(C74-X74)/X74</f>
        <v>7.1207142857142899E-2</v>
      </c>
      <c r="W74" s="57">
        <f t="shared" si="6"/>
        <v>1.3183200000000056E-2</v>
      </c>
      <c r="X74" s="56">
        <v>1400</v>
      </c>
      <c r="Y74" s="56">
        <v>1000</v>
      </c>
    </row>
    <row r="75" spans="1:25" x14ac:dyDescent="0.25">
      <c r="B75" s="9"/>
      <c r="C75" s="17">
        <v>763.55</v>
      </c>
      <c r="D75" s="18">
        <v>40.664000000000001</v>
      </c>
      <c r="E75" s="18">
        <v>44.59</v>
      </c>
      <c r="F75" s="18">
        <v>45.195</v>
      </c>
      <c r="G75" s="18">
        <v>3.84</v>
      </c>
      <c r="H75" s="18">
        <f t="shared" si="0"/>
        <v>41.721125000000001</v>
      </c>
      <c r="I75" s="5"/>
      <c r="J75" s="17">
        <v>580.26639999999998</v>
      </c>
      <c r="K75" s="18">
        <v>41.603200000000001</v>
      </c>
      <c r="L75" s="18">
        <v>47.202599999999997</v>
      </c>
      <c r="M75" s="18">
        <v>47.921799999999998</v>
      </c>
      <c r="N75" s="18">
        <v>5.8802000000000003</v>
      </c>
      <c r="O75" s="18">
        <f t="shared" si="1"/>
        <v>43.092950000000002</v>
      </c>
      <c r="P75" s="7"/>
      <c r="Q75" s="10"/>
      <c r="R75" s="11"/>
      <c r="S75" s="11"/>
      <c r="T75" s="26"/>
      <c r="U75" s="28">
        <f t="shared" si="5"/>
        <v>0.53130208333333351</v>
      </c>
      <c r="V75" s="57">
        <f t="shared" si="7"/>
        <v>0.10170588235294123</v>
      </c>
      <c r="W75" s="57">
        <f t="shared" si="6"/>
        <v>3.2889333333333375E-2</v>
      </c>
      <c r="X75" s="56">
        <v>850</v>
      </c>
      <c r="Y75" s="56">
        <v>600</v>
      </c>
    </row>
    <row r="76" spans="1:25" ht="16.5" thickBot="1" x14ac:dyDescent="0.3">
      <c r="B76" s="12"/>
      <c r="C76" s="19">
        <v>337.39</v>
      </c>
      <c r="D76" s="20">
        <v>37.606000000000002</v>
      </c>
      <c r="E76" s="20">
        <v>42.12</v>
      </c>
      <c r="F76" s="20">
        <v>43.116</v>
      </c>
      <c r="G76" s="20">
        <v>4.8499999999999996</v>
      </c>
      <c r="H76" s="20">
        <f t="shared" si="0"/>
        <v>38.859000000000002</v>
      </c>
      <c r="I76" s="5"/>
      <c r="J76" s="19">
        <v>288.608</v>
      </c>
      <c r="K76" s="20">
        <v>39.871099999999998</v>
      </c>
      <c r="L76" s="20">
        <v>45.479199999999999</v>
      </c>
      <c r="M76" s="20">
        <v>46.1325</v>
      </c>
      <c r="N76" s="20">
        <v>7.4311999999999996</v>
      </c>
      <c r="O76" s="20">
        <f t="shared" si="1"/>
        <v>41.3547875</v>
      </c>
      <c r="P76" s="7"/>
      <c r="Q76" s="13"/>
      <c r="R76" s="14"/>
      <c r="S76" s="14"/>
      <c r="T76" s="27"/>
      <c r="U76" s="28">
        <f t="shared" si="5"/>
        <v>0.53220618556701038</v>
      </c>
      <c r="V76" s="57">
        <f t="shared" si="7"/>
        <v>0.15652500000000003</v>
      </c>
      <c r="W76" s="57">
        <f t="shared" si="6"/>
        <v>3.7973333333333317E-2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2057.06</v>
      </c>
      <c r="D77" s="16">
        <v>42.521999999999998</v>
      </c>
      <c r="E77" s="16">
        <v>46.281999999999996</v>
      </c>
      <c r="F77" s="16">
        <v>46.881</v>
      </c>
      <c r="G77" s="16">
        <v>2.85</v>
      </c>
      <c r="H77" s="16">
        <f t="shared" si="0"/>
        <v>43.536874999999995</v>
      </c>
      <c r="I77" s="5"/>
      <c r="J77" s="15">
        <v>1541.1128000000001</v>
      </c>
      <c r="K77" s="16">
        <v>42.850299999999997</v>
      </c>
      <c r="L77" s="16">
        <v>47.5276</v>
      </c>
      <c r="M77" s="16">
        <v>48.429499999999997</v>
      </c>
      <c r="N77" s="16">
        <v>3.6514000000000002</v>
      </c>
      <c r="O77" s="16">
        <f t="shared" si="1"/>
        <v>44.132362499999999</v>
      </c>
      <c r="P77" s="7"/>
      <c r="Q77" s="8">
        <f>bdrate(C77:C80,D77:D80,J77:J80,K77:K80)</f>
        <v>-0.43008398809323289</v>
      </c>
      <c r="R77" s="8">
        <f>bdrate(C77:C80,E77:E80,J77:J80,L77:L80)</f>
        <v>-0.65812752430152011</v>
      </c>
      <c r="S77" s="8">
        <f>bdrate(C77:C80,F77:F80,J77:J80,M77:M80)</f>
        <v>-0.69004101017497421</v>
      </c>
      <c r="T77" s="25">
        <f>bdrate(C77:C80,H77:H80,J77:J80,O77:O80)</f>
        <v>-0.49972856236495955</v>
      </c>
      <c r="U77" s="28">
        <f t="shared" si="5"/>
        <v>0.28119298245614038</v>
      </c>
      <c r="V77" s="57">
        <f t="shared" si="7"/>
        <v>2.0447619047619072E-2</v>
      </c>
      <c r="W77" s="57">
        <f t="shared" si="6"/>
        <v>2.7408533333333405E-2</v>
      </c>
      <c r="X77" s="56">
        <v>2100</v>
      </c>
      <c r="Y77" s="56">
        <v>1500</v>
      </c>
    </row>
    <row r="78" spans="1:25" x14ac:dyDescent="0.25">
      <c r="B78" s="9"/>
      <c r="C78" s="17">
        <v>1356</v>
      </c>
      <c r="D78" s="18">
        <v>41.63</v>
      </c>
      <c r="E78" s="18">
        <v>45.194000000000003</v>
      </c>
      <c r="F78" s="18">
        <v>45.798000000000002</v>
      </c>
      <c r="G78" s="18">
        <v>3.37</v>
      </c>
      <c r="H78" s="18">
        <f t="shared" si="0"/>
        <v>42.596500000000006</v>
      </c>
      <c r="I78" s="5"/>
      <c r="J78" s="17">
        <v>1013.836</v>
      </c>
      <c r="K78" s="18">
        <v>42.095100000000002</v>
      </c>
      <c r="L78" s="18">
        <v>46.857300000000002</v>
      </c>
      <c r="M78" s="18">
        <v>47.749299999999998</v>
      </c>
      <c r="N78" s="18">
        <v>4.3207000000000004</v>
      </c>
      <c r="O78" s="18">
        <f t="shared" si="1"/>
        <v>43.397150000000003</v>
      </c>
      <c r="P78" s="7"/>
      <c r="Q78" s="10"/>
      <c r="R78" s="11"/>
      <c r="S78" s="11"/>
      <c r="T78" s="26"/>
      <c r="U78" s="28">
        <f t="shared" si="5"/>
        <v>0.28210682492581612</v>
      </c>
      <c r="V78" s="57">
        <f t="shared" si="7"/>
        <v>3.1428571428571431E-2</v>
      </c>
      <c r="W78" s="57">
        <f t="shared" si="6"/>
        <v>1.3836000000000013E-2</v>
      </c>
      <c r="X78" s="56">
        <v>1400</v>
      </c>
      <c r="Y78" s="56">
        <v>1000</v>
      </c>
    </row>
    <row r="79" spans="1:25" x14ac:dyDescent="0.25">
      <c r="B79" s="9"/>
      <c r="C79" s="17">
        <v>807.68</v>
      </c>
      <c r="D79" s="18">
        <v>39.981999999999999</v>
      </c>
      <c r="E79" s="18">
        <v>43.506</v>
      </c>
      <c r="F79" s="18">
        <v>44.207999999999998</v>
      </c>
      <c r="G79" s="18">
        <v>3.85</v>
      </c>
      <c r="H79" s="18">
        <f t="shared" si="0"/>
        <v>40.950749999999999</v>
      </c>
      <c r="I79" s="5"/>
      <c r="J79" s="17">
        <v>600.67200000000003</v>
      </c>
      <c r="K79" s="18">
        <v>40.858400000000003</v>
      </c>
      <c r="L79" s="18">
        <v>45.832900000000002</v>
      </c>
      <c r="M79" s="18">
        <v>46.7149</v>
      </c>
      <c r="N79" s="18">
        <v>5.3648999999999996</v>
      </c>
      <c r="O79" s="18">
        <f t="shared" si="1"/>
        <v>42.212275000000005</v>
      </c>
      <c r="P79" s="7"/>
      <c r="Q79" s="10"/>
      <c r="R79" s="11"/>
      <c r="S79" s="11"/>
      <c r="T79" s="26"/>
      <c r="U79" s="28">
        <f t="shared" si="5"/>
        <v>0.39348051948051932</v>
      </c>
      <c r="V79" s="57">
        <f t="shared" si="7"/>
        <v>4.9788235294117703E-2</v>
      </c>
      <c r="W79" s="57">
        <f t="shared" si="6"/>
        <v>1.1200000000000424E-3</v>
      </c>
      <c r="X79" s="56">
        <v>850</v>
      </c>
      <c r="Y79" s="56">
        <v>600</v>
      </c>
    </row>
    <row r="80" spans="1:25" ht="16.5" thickBot="1" x14ac:dyDescent="0.3">
      <c r="B80" s="12"/>
      <c r="C80" s="19">
        <v>370.17</v>
      </c>
      <c r="D80" s="20">
        <v>36.398000000000003</v>
      </c>
      <c r="E80" s="20">
        <v>41.232999999999997</v>
      </c>
      <c r="F80" s="20">
        <v>41.484000000000002</v>
      </c>
      <c r="G80" s="20">
        <v>5.13</v>
      </c>
      <c r="H80" s="20">
        <f t="shared" si="0"/>
        <v>37.638125000000002</v>
      </c>
      <c r="I80" s="5"/>
      <c r="J80" s="19">
        <v>298.94639999999998</v>
      </c>
      <c r="K80" s="20">
        <v>38.499699999999997</v>
      </c>
      <c r="L80" s="20">
        <v>43.791699999999999</v>
      </c>
      <c r="M80" s="20">
        <v>44.722099999999998</v>
      </c>
      <c r="N80" s="20">
        <v>6.7473000000000001</v>
      </c>
      <c r="O80" s="20">
        <f t="shared" si="1"/>
        <v>39.939</v>
      </c>
      <c r="P80" s="7"/>
      <c r="Q80" s="13"/>
      <c r="R80" s="14"/>
      <c r="S80" s="14"/>
      <c r="T80" s="27"/>
      <c r="U80" s="28">
        <f t="shared" si="5"/>
        <v>0.31526315789473691</v>
      </c>
      <c r="V80" s="57">
        <f t="shared" si="7"/>
        <v>7.4574999999999961E-2</v>
      </c>
      <c r="W80" s="57">
        <f t="shared" si="6"/>
        <v>3.5120000000000572E-3</v>
      </c>
      <c r="X80" s="56">
        <v>400</v>
      </c>
      <c r="Y80" s="56">
        <v>300</v>
      </c>
    </row>
    <row r="81" spans="1:25" s="43" customFormat="1" x14ac:dyDescent="0.25">
      <c r="A81" s="40" t="s">
        <v>81</v>
      </c>
      <c r="B81" s="40" t="s">
        <v>82</v>
      </c>
      <c r="C81" s="15">
        <v>1528.1</v>
      </c>
      <c r="D81" s="16">
        <v>40.942</v>
      </c>
      <c r="E81" s="16">
        <v>47.162999999999997</v>
      </c>
      <c r="F81" s="16">
        <v>45.802</v>
      </c>
      <c r="G81" s="16">
        <v>1.55</v>
      </c>
      <c r="H81" s="41">
        <f t="shared" ref="H81:H103" si="8">(6*D81+E81+F81)/8</f>
        <v>42.327125000000002</v>
      </c>
      <c r="I81" s="42"/>
      <c r="J81" s="15">
        <v>1001.2255</v>
      </c>
      <c r="K81" s="16">
        <v>40.057600000000001</v>
      </c>
      <c r="L81" s="16">
        <v>47.04</v>
      </c>
      <c r="M81" s="16">
        <v>45.649500000000003</v>
      </c>
      <c r="N81" s="16">
        <v>1.6528</v>
      </c>
      <c r="O81" s="41">
        <f t="shared" ref="O81:O103" si="9">(6*K81+L81+M81)/8</f>
        <v>41.6293875</v>
      </c>
      <c r="P81" s="42"/>
      <c r="Q81" s="8">
        <f>bdrate(C81:C84,D81:D84,J81:J84,K81:K84)</f>
        <v>-0.31235573713486975</v>
      </c>
      <c r="R81" s="8">
        <f>bdrate(C81:C84,E81:E84,J81:J84,L81:L84)</f>
        <v>-0.44801205685500223</v>
      </c>
      <c r="S81" s="8">
        <f>bdrate(C81:C84,F81:F84,J81:J84,M81:M84)</f>
        <v>-0.42421070845899012</v>
      </c>
      <c r="T81" s="25">
        <f>bdrate(C81:C84,H81:H84,J81:J84,O81:O84)</f>
        <v>-0.33640289180553107</v>
      </c>
      <c r="U81" s="28">
        <f t="shared" ref="U81:U103" si="10">(N81-G81)/G81</f>
        <v>6.6322580645161291E-2</v>
      </c>
      <c r="V81" s="57">
        <f t="shared" ref="V81:V124" si="11">ABS(C81-X81)/X81</f>
        <v>1.8733333333333272E-2</v>
      </c>
      <c r="W81" s="57">
        <f t="shared" ref="W81:W124" si="12">ABS(J81-Y81)/Y81</f>
        <v>1.2255000000000109E-3</v>
      </c>
      <c r="X81" s="56">
        <v>1500</v>
      </c>
      <c r="Y81" s="56">
        <v>1000</v>
      </c>
    </row>
    <row r="82" spans="1:25" s="43" customFormat="1" x14ac:dyDescent="0.25">
      <c r="A82" s="44"/>
      <c r="B82" s="44"/>
      <c r="C82" s="17">
        <v>1019.91</v>
      </c>
      <c r="D82" s="18">
        <v>39.225999999999999</v>
      </c>
      <c r="E82" s="18">
        <v>45.918999999999997</v>
      </c>
      <c r="F82" s="18">
        <v>44.548000000000002</v>
      </c>
      <c r="G82" s="18">
        <v>1.83</v>
      </c>
      <c r="H82" s="45">
        <f t="shared" si="8"/>
        <v>40.727874999999997</v>
      </c>
      <c r="I82" s="42"/>
      <c r="J82" s="17">
        <v>600.64859999999999</v>
      </c>
      <c r="K82" s="18">
        <v>38.148699999999998</v>
      </c>
      <c r="L82" s="18">
        <v>45.833199999999998</v>
      </c>
      <c r="M82" s="18">
        <v>44.382199999999997</v>
      </c>
      <c r="N82" s="18">
        <v>1.9982</v>
      </c>
      <c r="O82" s="45">
        <f t="shared" si="9"/>
        <v>39.888449999999999</v>
      </c>
      <c r="P82" s="42"/>
      <c r="Q82" s="49"/>
      <c r="R82" s="50"/>
      <c r="S82" s="50"/>
      <c r="T82" s="51"/>
      <c r="U82" s="28">
        <f t="shared" si="10"/>
        <v>9.1912568306010869E-2</v>
      </c>
      <c r="V82" s="57">
        <f t="shared" si="11"/>
        <v>1.9909999999999969E-2</v>
      </c>
      <c r="W82" s="57">
        <f t="shared" si="12"/>
        <v>1.0809999999999793E-3</v>
      </c>
      <c r="X82" s="56">
        <v>1000</v>
      </c>
      <c r="Y82" s="56">
        <v>600</v>
      </c>
    </row>
    <row r="83" spans="1:25" s="43" customFormat="1" x14ac:dyDescent="0.25">
      <c r="B83" s="44"/>
      <c r="C83" s="17">
        <v>612.74</v>
      </c>
      <c r="D83" s="18">
        <v>36.786999999999999</v>
      </c>
      <c r="E83" s="18">
        <v>44.19</v>
      </c>
      <c r="F83" s="18">
        <v>42.875</v>
      </c>
      <c r="G83" s="18">
        <v>2.15</v>
      </c>
      <c r="H83" s="45">
        <f t="shared" si="8"/>
        <v>38.473374999999997</v>
      </c>
      <c r="I83" s="42"/>
      <c r="J83" s="17">
        <v>297.37529999999998</v>
      </c>
      <c r="K83" s="18">
        <v>35.3187</v>
      </c>
      <c r="L83" s="18">
        <v>44.116</v>
      </c>
      <c r="M83" s="18">
        <v>42.5867</v>
      </c>
      <c r="N83" s="18">
        <v>2.6128</v>
      </c>
      <c r="O83" s="45">
        <f t="shared" si="9"/>
        <v>37.326862499999997</v>
      </c>
      <c r="P83" s="42"/>
      <c r="Q83" s="49"/>
      <c r="R83" s="50"/>
      <c r="S83" s="50"/>
      <c r="T83" s="51"/>
      <c r="U83" s="28">
        <f t="shared" si="10"/>
        <v>0.21525581395348842</v>
      </c>
      <c r="V83" s="57">
        <f t="shared" si="11"/>
        <v>2.1233333333333347E-2</v>
      </c>
      <c r="W83" s="57">
        <f t="shared" si="12"/>
        <v>8.7490000000000623E-3</v>
      </c>
      <c r="X83" s="56">
        <v>600</v>
      </c>
      <c r="Y83" s="56">
        <v>300</v>
      </c>
    </row>
    <row r="84" spans="1:25" s="43" customFormat="1" ht="16.5" thickBot="1" x14ac:dyDescent="0.3">
      <c r="B84" s="46"/>
      <c r="C84" s="19">
        <v>305.02</v>
      </c>
      <c r="D84" s="20">
        <v>32.683999999999997</v>
      </c>
      <c r="E84" s="20">
        <v>41.743000000000002</v>
      </c>
      <c r="F84" s="20">
        <v>40.375999999999998</v>
      </c>
      <c r="G84" s="20">
        <v>2.76</v>
      </c>
      <c r="H84" s="47">
        <f t="shared" si="8"/>
        <v>34.777874999999995</v>
      </c>
      <c r="I84" s="42"/>
      <c r="J84" s="19">
        <v>195.86420000000001</v>
      </c>
      <c r="K84" s="20">
        <v>33.468699999999998</v>
      </c>
      <c r="L84" s="20">
        <v>43.0792</v>
      </c>
      <c r="M84" s="20">
        <v>41.483400000000003</v>
      </c>
      <c r="N84" s="20">
        <v>3.0920000000000001</v>
      </c>
      <c r="O84" s="47">
        <f t="shared" si="9"/>
        <v>35.671849999999999</v>
      </c>
      <c r="P84" s="42"/>
      <c r="Q84" s="52"/>
      <c r="R84" s="53"/>
      <c r="S84" s="53"/>
      <c r="T84" s="54"/>
      <c r="U84" s="28">
        <f t="shared" si="10"/>
        <v>0.12028985507246388</v>
      </c>
      <c r="V84" s="57">
        <f t="shared" si="11"/>
        <v>1.6733333333333274E-2</v>
      </c>
      <c r="W84" s="57">
        <f t="shared" si="12"/>
        <v>2.0678999999999944E-2</v>
      </c>
      <c r="X84" s="56">
        <v>300</v>
      </c>
      <c r="Y84" s="56">
        <v>200</v>
      </c>
    </row>
    <row r="85" spans="1:25" s="43" customFormat="1" x14ac:dyDescent="0.25">
      <c r="B85" s="40" t="s">
        <v>83</v>
      </c>
      <c r="C85" s="29">
        <v>1466.12</v>
      </c>
      <c r="D85" s="30">
        <v>42.149000000000001</v>
      </c>
      <c r="E85" s="30">
        <v>47.314</v>
      </c>
      <c r="F85" s="30">
        <v>47.058</v>
      </c>
      <c r="G85" s="16">
        <v>1.72</v>
      </c>
      <c r="H85" s="41">
        <f t="shared" si="8"/>
        <v>43.408250000000002</v>
      </c>
      <c r="I85" s="42"/>
      <c r="J85" s="29">
        <v>1005.942</v>
      </c>
      <c r="K85" s="30">
        <v>41.2562</v>
      </c>
      <c r="L85" s="30">
        <v>47.384599999999999</v>
      </c>
      <c r="M85" s="30">
        <v>47.051000000000002</v>
      </c>
      <c r="N85" s="16">
        <v>1.7034</v>
      </c>
      <c r="O85" s="41">
        <f t="shared" si="9"/>
        <v>42.746599999999994</v>
      </c>
      <c r="P85" s="42"/>
      <c r="Q85" s="8">
        <f>bdrate(C85:C88,D85:D88,J85:J88,K85:K88)</f>
        <v>-0.27688416349122291</v>
      </c>
      <c r="R85" s="8">
        <f>bdrate(C85:C88,E85:E88,J85:J88,L85:L88)</f>
        <v>-0.44689511067230636</v>
      </c>
      <c r="S85" s="8">
        <f>bdrate(C85:C88,F85:F88,J85:J88,M85:M88)</f>
        <v>-0.44499067628216027</v>
      </c>
      <c r="T85" s="25">
        <f>bdrate(C85:C88,H85:H88,J85:J88,O85:O88)</f>
        <v>-0.30989111632294275</v>
      </c>
      <c r="U85" s="28">
        <f t="shared" si="10"/>
        <v>-9.6511627906976441E-3</v>
      </c>
      <c r="V85" s="57">
        <f t="shared" si="11"/>
        <v>2.2586666666666741E-2</v>
      </c>
      <c r="W85" s="57">
        <f t="shared" si="12"/>
        <v>5.9420000000000072E-3</v>
      </c>
      <c r="X85" s="56">
        <v>1500</v>
      </c>
      <c r="Y85" s="56">
        <v>1000</v>
      </c>
    </row>
    <row r="86" spans="1:25" s="43" customFormat="1" x14ac:dyDescent="0.25">
      <c r="B86" s="44"/>
      <c r="C86" s="31">
        <v>973.43</v>
      </c>
      <c r="D86" s="32">
        <v>40.47</v>
      </c>
      <c r="E86" s="32">
        <v>46.228999999999999</v>
      </c>
      <c r="F86" s="32">
        <v>45.96</v>
      </c>
      <c r="G86" s="18">
        <v>2.0499999999999998</v>
      </c>
      <c r="H86" s="45">
        <f t="shared" si="8"/>
        <v>41.876124999999995</v>
      </c>
      <c r="I86" s="42"/>
      <c r="J86" s="31">
        <v>602.721</v>
      </c>
      <c r="K86" s="32">
        <v>39.501100000000001</v>
      </c>
      <c r="L86" s="32">
        <v>46.314799999999998</v>
      </c>
      <c r="M86" s="32">
        <v>46.040399999999998</v>
      </c>
      <c r="N86" s="18">
        <v>2.0644</v>
      </c>
      <c r="O86" s="45">
        <f t="shared" si="9"/>
        <v>41.170224999999995</v>
      </c>
      <c r="P86" s="42"/>
      <c r="Q86" s="49"/>
      <c r="R86" s="50"/>
      <c r="S86" s="50"/>
      <c r="T86" s="51"/>
      <c r="U86" s="28">
        <f t="shared" si="10"/>
        <v>7.0243902439025329E-3</v>
      </c>
      <c r="V86" s="57">
        <f t="shared" si="11"/>
        <v>2.6570000000000048E-2</v>
      </c>
      <c r="W86" s="57">
        <f t="shared" si="12"/>
        <v>4.535000000000006E-3</v>
      </c>
      <c r="X86" s="56">
        <v>1000</v>
      </c>
      <c r="Y86" s="56">
        <v>600</v>
      </c>
    </row>
    <row r="87" spans="1:25" s="43" customFormat="1" x14ac:dyDescent="0.25">
      <c r="B87" s="44"/>
      <c r="C87" s="31">
        <v>581.74</v>
      </c>
      <c r="D87" s="32">
        <v>38.244999999999997</v>
      </c>
      <c r="E87" s="32">
        <v>44.710999999999999</v>
      </c>
      <c r="F87" s="32">
        <v>44.445999999999998</v>
      </c>
      <c r="G87" s="18">
        <v>2.4300000000000002</v>
      </c>
      <c r="H87" s="45">
        <f t="shared" si="8"/>
        <v>39.828374999999994</v>
      </c>
      <c r="I87" s="42"/>
      <c r="J87" s="31">
        <v>301.02</v>
      </c>
      <c r="K87" s="32">
        <v>37.055</v>
      </c>
      <c r="L87" s="32">
        <v>44.780200000000001</v>
      </c>
      <c r="M87" s="32">
        <v>44.519500000000001</v>
      </c>
      <c r="N87" s="18">
        <v>2.6551999999999998</v>
      </c>
      <c r="O87" s="45">
        <f t="shared" si="9"/>
        <v>38.953712499999995</v>
      </c>
      <c r="P87" s="42"/>
      <c r="Q87" s="49"/>
      <c r="R87" s="50"/>
      <c r="S87" s="50"/>
      <c r="T87" s="51"/>
      <c r="U87" s="28">
        <f t="shared" si="10"/>
        <v>9.2674897119341404E-2</v>
      </c>
      <c r="V87" s="57">
        <f t="shared" si="11"/>
        <v>3.0433333333333319E-2</v>
      </c>
      <c r="W87" s="57">
        <f t="shared" si="12"/>
        <v>3.3999999999999395E-3</v>
      </c>
      <c r="X87" s="56">
        <v>600</v>
      </c>
      <c r="Y87" s="56">
        <v>300</v>
      </c>
    </row>
    <row r="88" spans="1:25" s="43" customFormat="1" ht="16.5" thickBot="1" x14ac:dyDescent="0.3">
      <c r="B88" s="46"/>
      <c r="C88" s="33">
        <v>289.91000000000003</v>
      </c>
      <c r="D88" s="34">
        <v>34.725000000000001</v>
      </c>
      <c r="E88" s="34">
        <v>42.497999999999998</v>
      </c>
      <c r="F88" s="34">
        <v>42.226999999999997</v>
      </c>
      <c r="G88" s="20">
        <v>3.06</v>
      </c>
      <c r="H88" s="47">
        <f t="shared" si="8"/>
        <v>36.634374999999999</v>
      </c>
      <c r="I88" s="42"/>
      <c r="J88" s="33">
        <v>200.1994</v>
      </c>
      <c r="K88" s="34">
        <v>35.544800000000002</v>
      </c>
      <c r="L88" s="34">
        <v>43.900399999999998</v>
      </c>
      <c r="M88" s="34">
        <v>43.605400000000003</v>
      </c>
      <c r="N88" s="20">
        <v>3.1259999999999999</v>
      </c>
      <c r="O88" s="47">
        <f t="shared" si="9"/>
        <v>37.596824999999995</v>
      </c>
      <c r="P88" s="42"/>
      <c r="Q88" s="52"/>
      <c r="R88" s="53"/>
      <c r="S88" s="53"/>
      <c r="T88" s="54"/>
      <c r="U88" s="28">
        <f t="shared" si="10"/>
        <v>2.156862745098034E-2</v>
      </c>
      <c r="V88" s="57">
        <f t="shared" si="11"/>
        <v>3.3633333333333251E-2</v>
      </c>
      <c r="W88" s="57">
        <f t="shared" si="12"/>
        <v>9.9699999999998574E-4</v>
      </c>
      <c r="X88" s="56">
        <v>300</v>
      </c>
      <c r="Y88" s="56">
        <v>200</v>
      </c>
    </row>
    <row r="89" spans="1:25" s="43" customFormat="1" x14ac:dyDescent="0.25">
      <c r="B89" s="40" t="s">
        <v>84</v>
      </c>
      <c r="C89" s="15">
        <v>1500.93</v>
      </c>
      <c r="D89" s="16">
        <v>38.881999999999998</v>
      </c>
      <c r="E89" s="16">
        <v>47.073999999999998</v>
      </c>
      <c r="F89" s="16">
        <v>45.41</v>
      </c>
      <c r="G89" s="16">
        <v>1.72</v>
      </c>
      <c r="H89" s="41">
        <f t="shared" si="8"/>
        <v>40.721999999999994</v>
      </c>
      <c r="I89" s="42"/>
      <c r="J89" s="15">
        <v>1004.264</v>
      </c>
      <c r="K89" s="16">
        <v>37.988100000000003</v>
      </c>
      <c r="L89" s="16">
        <v>46.922199999999997</v>
      </c>
      <c r="M89" s="16">
        <v>45.333100000000002</v>
      </c>
      <c r="N89" s="16">
        <v>1.6363000000000001</v>
      </c>
      <c r="O89" s="41">
        <f t="shared" si="9"/>
        <v>40.022987499999999</v>
      </c>
      <c r="P89" s="42"/>
      <c r="Q89" s="8">
        <f>bdrate(C89:C92,D89:D92,J89:J92,K89:K92)</f>
        <v>-0.28574388106958459</v>
      </c>
      <c r="R89" s="8">
        <f>bdrate(C89:C92,E89:E92,J89:J92,L89:L92)</f>
        <v>-0.40957978351508906</v>
      </c>
      <c r="S89" s="8">
        <f>bdrate(C89:C92,F89:F92,J89:J92,M89:M92)</f>
        <v>-0.44314838334496065</v>
      </c>
      <c r="T89" s="25">
        <f>bdrate(C89:C92,H89:H92,J89:J92,O89:O92)</f>
        <v>-0.31318267032975411</v>
      </c>
      <c r="U89" s="28">
        <f t="shared" si="10"/>
        <v>-4.8662790697674353E-2</v>
      </c>
      <c r="V89" s="57">
        <f t="shared" si="11"/>
        <v>6.2000000000004239E-4</v>
      </c>
      <c r="W89" s="57">
        <f t="shared" si="12"/>
        <v>4.26400000000001E-3</v>
      </c>
      <c r="X89" s="56">
        <v>1500</v>
      </c>
      <c r="Y89" s="56">
        <v>1000</v>
      </c>
    </row>
    <row r="90" spans="1:25" s="43" customFormat="1" x14ac:dyDescent="0.25">
      <c r="B90" s="44"/>
      <c r="C90" s="17">
        <v>1001.83</v>
      </c>
      <c r="D90" s="18">
        <v>37.314</v>
      </c>
      <c r="E90" s="18">
        <v>46.075000000000003</v>
      </c>
      <c r="F90" s="18">
        <v>44.292999999999999</v>
      </c>
      <c r="G90" s="18">
        <v>2.04</v>
      </c>
      <c r="H90" s="45">
        <f t="shared" si="8"/>
        <v>39.281500000000001</v>
      </c>
      <c r="I90" s="42"/>
      <c r="J90" s="17">
        <v>603.16660000000002</v>
      </c>
      <c r="K90" s="18">
        <v>36.315800000000003</v>
      </c>
      <c r="L90" s="18">
        <v>45.933999999999997</v>
      </c>
      <c r="M90" s="18">
        <v>44.336300000000001</v>
      </c>
      <c r="N90" s="18">
        <v>1.9692000000000001</v>
      </c>
      <c r="O90" s="45">
        <f t="shared" si="9"/>
        <v>38.520637499999999</v>
      </c>
      <c r="P90" s="42"/>
      <c r="Q90" s="49"/>
      <c r="R90" s="50"/>
      <c r="S90" s="50"/>
      <c r="T90" s="51"/>
      <c r="U90" s="28">
        <f t="shared" si="10"/>
        <v>-3.4705882352941163E-2</v>
      </c>
      <c r="V90" s="57">
        <f t="shared" si="11"/>
        <v>1.830000000000041E-3</v>
      </c>
      <c r="W90" s="57">
        <f t="shared" si="12"/>
        <v>5.2776666666666944E-3</v>
      </c>
      <c r="X90" s="56">
        <v>1000</v>
      </c>
      <c r="Y90" s="56">
        <v>600</v>
      </c>
    </row>
    <row r="91" spans="1:25" s="43" customFormat="1" x14ac:dyDescent="0.25">
      <c r="B91" s="44"/>
      <c r="C91" s="17">
        <v>600.9</v>
      </c>
      <c r="D91" s="18">
        <v>35.195</v>
      </c>
      <c r="E91" s="18">
        <v>44.628</v>
      </c>
      <c r="F91" s="18">
        <v>42.802999999999997</v>
      </c>
      <c r="G91" s="18">
        <v>2.36</v>
      </c>
      <c r="H91" s="45">
        <f t="shared" si="8"/>
        <v>37.325125</v>
      </c>
      <c r="I91" s="42"/>
      <c r="J91" s="17">
        <v>301.23759999999999</v>
      </c>
      <c r="K91" s="18">
        <v>33.918500000000002</v>
      </c>
      <c r="L91" s="18">
        <v>44.397199999999998</v>
      </c>
      <c r="M91" s="18">
        <v>42.722099999999998</v>
      </c>
      <c r="N91" s="18">
        <v>2.5665</v>
      </c>
      <c r="O91" s="45">
        <f t="shared" si="9"/>
        <v>36.328787500000004</v>
      </c>
      <c r="P91" s="42"/>
      <c r="Q91" s="49"/>
      <c r="R91" s="50"/>
      <c r="S91" s="50"/>
      <c r="T91" s="51"/>
      <c r="U91" s="28">
        <f t="shared" si="10"/>
        <v>8.7500000000000064E-2</v>
      </c>
      <c r="V91" s="57">
        <f t="shared" si="11"/>
        <v>1.4999999999999621E-3</v>
      </c>
      <c r="W91" s="57">
        <f t="shared" si="12"/>
        <v>4.1253333333332873E-3</v>
      </c>
      <c r="X91" s="56">
        <v>600</v>
      </c>
      <c r="Y91" s="56">
        <v>300</v>
      </c>
    </row>
    <row r="92" spans="1:25" s="43" customFormat="1" ht="16.5" thickBot="1" x14ac:dyDescent="0.3">
      <c r="B92" s="46"/>
      <c r="C92" s="19">
        <v>298.69</v>
      </c>
      <c r="D92" s="20">
        <v>31.692</v>
      </c>
      <c r="E92" s="20">
        <v>42.494999999999997</v>
      </c>
      <c r="F92" s="20">
        <v>40.64</v>
      </c>
      <c r="G92" s="20">
        <v>3.01</v>
      </c>
      <c r="H92" s="47">
        <f t="shared" si="8"/>
        <v>34.160874999999997</v>
      </c>
      <c r="I92" s="42"/>
      <c r="J92" s="19">
        <v>199.12039999999999</v>
      </c>
      <c r="K92" s="20">
        <v>32.370800000000003</v>
      </c>
      <c r="L92" s="20">
        <v>43.580500000000001</v>
      </c>
      <c r="M92" s="20">
        <v>41.849800000000002</v>
      </c>
      <c r="N92" s="20">
        <v>3.0394999999999999</v>
      </c>
      <c r="O92" s="47">
        <f t="shared" si="9"/>
        <v>34.956887500000001</v>
      </c>
      <c r="P92" s="42"/>
      <c r="Q92" s="52"/>
      <c r="R92" s="53"/>
      <c r="S92" s="53"/>
      <c r="T92" s="54"/>
      <c r="U92" s="28">
        <f t="shared" si="10"/>
        <v>9.8006644518272706E-3</v>
      </c>
      <c r="V92" s="57">
        <f t="shared" si="11"/>
        <v>4.3666666666666741E-3</v>
      </c>
      <c r="W92" s="57">
        <f t="shared" si="12"/>
        <v>4.3980000000000529E-3</v>
      </c>
      <c r="X92" s="56">
        <v>300</v>
      </c>
      <c r="Y92" s="56">
        <v>200</v>
      </c>
    </row>
    <row r="93" spans="1:25" s="43" customFormat="1" x14ac:dyDescent="0.25">
      <c r="B93" s="40" t="s">
        <v>85</v>
      </c>
      <c r="C93" s="15">
        <v>1484.25</v>
      </c>
      <c r="D93" s="16">
        <v>37.837000000000003</v>
      </c>
      <c r="E93" s="16">
        <v>47.006</v>
      </c>
      <c r="F93" s="16">
        <v>45.374000000000002</v>
      </c>
      <c r="G93" s="16">
        <v>1.65</v>
      </c>
      <c r="H93" s="41">
        <f t="shared" si="8"/>
        <v>39.925250000000005</v>
      </c>
      <c r="I93" s="42"/>
      <c r="J93" s="15">
        <v>1002.8824</v>
      </c>
      <c r="K93" s="16">
        <v>36.963500000000003</v>
      </c>
      <c r="L93" s="16">
        <v>46.7714</v>
      </c>
      <c r="M93" s="16">
        <v>45.259700000000002</v>
      </c>
      <c r="N93" s="16">
        <v>1.5757000000000001</v>
      </c>
      <c r="O93" s="41">
        <f t="shared" si="9"/>
        <v>39.226512500000005</v>
      </c>
      <c r="P93" s="42"/>
      <c r="Q93" s="8">
        <f>bdrate(C93:C96,D93:D96,J93:J96,K93:K96)</f>
        <v>-0.2828856853645404</v>
      </c>
      <c r="R93" s="8">
        <f>bdrate(C93:C96,E93:E96,J93:J96,L93:L96)</f>
        <v>-0.37430477926134453</v>
      </c>
      <c r="S93" s="8">
        <f>bdrate(C93:C96,F93:F96,J93:J96,M93:M96)</f>
        <v>-0.44569834559204702</v>
      </c>
      <c r="T93" s="25">
        <f>bdrate(C93:C96,H93:H96,J93:J96,O93:O96)</f>
        <v>-0.30794179029141455</v>
      </c>
      <c r="U93" s="28">
        <f t="shared" si="10"/>
        <v>-4.5030303030302921E-2</v>
      </c>
      <c r="V93" s="57">
        <f t="shared" si="11"/>
        <v>1.0500000000000001E-2</v>
      </c>
      <c r="W93" s="57">
        <f t="shared" si="12"/>
        <v>2.8823999999999616E-3</v>
      </c>
      <c r="X93" s="56">
        <v>1500</v>
      </c>
      <c r="Y93" s="56">
        <v>1000</v>
      </c>
    </row>
    <row r="94" spans="1:25" s="43" customFormat="1" x14ac:dyDescent="0.25">
      <c r="B94" s="44"/>
      <c r="C94" s="17">
        <v>988.49</v>
      </c>
      <c r="D94" s="18">
        <v>36.283000000000001</v>
      </c>
      <c r="E94" s="18">
        <v>46.037999999999997</v>
      </c>
      <c r="F94" s="18">
        <v>44.253</v>
      </c>
      <c r="G94" s="18">
        <v>1.94</v>
      </c>
      <c r="H94" s="45">
        <f t="shared" si="8"/>
        <v>38.498624999999997</v>
      </c>
      <c r="I94" s="42"/>
      <c r="J94" s="17">
        <v>601.41780000000006</v>
      </c>
      <c r="K94" s="18">
        <v>35.312800000000003</v>
      </c>
      <c r="L94" s="18">
        <v>45.779000000000003</v>
      </c>
      <c r="M94" s="18">
        <v>44.283999999999999</v>
      </c>
      <c r="N94" s="18">
        <v>1.8898999999999999</v>
      </c>
      <c r="O94" s="45">
        <f t="shared" si="9"/>
        <v>37.742474999999999</v>
      </c>
      <c r="P94" s="42"/>
      <c r="Q94" s="49"/>
      <c r="R94" s="50"/>
      <c r="S94" s="50"/>
      <c r="T94" s="51"/>
      <c r="U94" s="28">
        <f t="shared" si="10"/>
        <v>-2.5824742268041254E-2</v>
      </c>
      <c r="V94" s="57">
        <f t="shared" si="11"/>
        <v>1.1509999999999991E-2</v>
      </c>
      <c r="W94" s="57">
        <f t="shared" si="12"/>
        <v>2.3630000000000942E-3</v>
      </c>
      <c r="X94" s="56">
        <v>1000</v>
      </c>
      <c r="Y94" s="56">
        <v>600</v>
      </c>
    </row>
    <row r="95" spans="1:25" s="43" customFormat="1" x14ac:dyDescent="0.25">
      <c r="B95" s="44"/>
      <c r="C95" s="17">
        <v>592.29999999999995</v>
      </c>
      <c r="D95" s="18">
        <v>34.186</v>
      </c>
      <c r="E95" s="18">
        <v>44.625</v>
      </c>
      <c r="F95" s="18">
        <v>42.737000000000002</v>
      </c>
      <c r="G95" s="18">
        <v>2.2599999999999998</v>
      </c>
      <c r="H95" s="45">
        <f t="shared" si="8"/>
        <v>36.559750000000001</v>
      </c>
      <c r="I95" s="42"/>
      <c r="J95" s="17">
        <v>299.553</v>
      </c>
      <c r="K95" s="18">
        <v>32.984900000000003</v>
      </c>
      <c r="L95" s="18">
        <v>44.2712</v>
      </c>
      <c r="M95" s="18">
        <v>42.763800000000003</v>
      </c>
      <c r="N95" s="18">
        <v>2.5026000000000002</v>
      </c>
      <c r="O95" s="45">
        <f t="shared" si="9"/>
        <v>35.618049999999997</v>
      </c>
      <c r="P95" s="42"/>
      <c r="Q95" s="49"/>
      <c r="R95" s="50"/>
      <c r="S95" s="50"/>
      <c r="T95" s="51"/>
      <c r="U95" s="28">
        <f t="shared" si="10"/>
        <v>0.10734513274336301</v>
      </c>
      <c r="V95" s="57">
        <f t="shared" si="11"/>
        <v>1.2833333333333408E-2</v>
      </c>
      <c r="W95" s="57">
        <f t="shared" si="12"/>
        <v>1.4900000000000091E-3</v>
      </c>
      <c r="X95" s="56">
        <v>600</v>
      </c>
      <c r="Y95" s="56">
        <v>300</v>
      </c>
    </row>
    <row r="96" spans="1:25" s="43" customFormat="1" ht="16.5" thickBot="1" x14ac:dyDescent="0.3">
      <c r="B96" s="46"/>
      <c r="C96" s="19">
        <v>295.93</v>
      </c>
      <c r="D96" s="20">
        <v>30.815000000000001</v>
      </c>
      <c r="E96" s="20">
        <v>42.64</v>
      </c>
      <c r="F96" s="20">
        <v>40.619999999999997</v>
      </c>
      <c r="G96" s="20">
        <v>2.87</v>
      </c>
      <c r="H96" s="47">
        <f t="shared" si="8"/>
        <v>33.518750000000004</v>
      </c>
      <c r="I96" s="42"/>
      <c r="J96" s="19">
        <v>197.96270000000001</v>
      </c>
      <c r="K96" s="20">
        <v>31.506599999999999</v>
      </c>
      <c r="L96" s="20">
        <v>43.507399999999997</v>
      </c>
      <c r="M96" s="20">
        <v>41.909700000000001</v>
      </c>
      <c r="N96" s="20">
        <v>2.9548000000000001</v>
      </c>
      <c r="O96" s="47">
        <f t="shared" si="9"/>
        <v>34.307087500000002</v>
      </c>
      <c r="P96" s="42"/>
      <c r="Q96" s="52"/>
      <c r="R96" s="53"/>
      <c r="S96" s="53"/>
      <c r="T96" s="54"/>
      <c r="U96" s="28">
        <f t="shared" si="10"/>
        <v>2.9547038327526125E-2</v>
      </c>
      <c r="V96" s="57">
        <f t="shared" si="11"/>
        <v>1.3566666666666644E-2</v>
      </c>
      <c r="W96" s="57">
        <f t="shared" si="12"/>
        <v>1.0186499999999939E-2</v>
      </c>
      <c r="X96" s="56">
        <v>300</v>
      </c>
      <c r="Y96" s="56">
        <v>200</v>
      </c>
    </row>
    <row r="97" spans="2:25" s="43" customFormat="1" x14ac:dyDescent="0.25">
      <c r="B97" s="40" t="s">
        <v>86</v>
      </c>
      <c r="C97" s="15">
        <v>1497.15</v>
      </c>
      <c r="D97" s="16">
        <v>42.625</v>
      </c>
      <c r="E97" s="16">
        <v>48.957000000000001</v>
      </c>
      <c r="F97" s="16">
        <v>48.384</v>
      </c>
      <c r="G97" s="16">
        <v>2</v>
      </c>
      <c r="H97" s="41">
        <f t="shared" si="8"/>
        <v>44.136375000000001</v>
      </c>
      <c r="I97" s="42"/>
      <c r="J97" s="15">
        <v>1012.6316</v>
      </c>
      <c r="K97" s="16">
        <v>41.765099999999997</v>
      </c>
      <c r="L97" s="16">
        <v>48.883899999999997</v>
      </c>
      <c r="M97" s="16">
        <v>48.315300000000001</v>
      </c>
      <c r="N97" s="16">
        <v>1.9271</v>
      </c>
      <c r="O97" s="41">
        <f t="shared" si="9"/>
        <v>43.473724999999995</v>
      </c>
      <c r="P97" s="42"/>
      <c r="Q97" s="8">
        <f>bdrate(C97:C100,D97:D100,J97:J100,K97:K100)</f>
        <v>-0.24526372408843822</v>
      </c>
      <c r="R97" s="8">
        <f>bdrate(C97:C100,E97:E100,J97:J100,L97:L100)</f>
        <v>-0.43835424423552649</v>
      </c>
      <c r="S97" s="8">
        <f>bdrate(C97:C100,F97:F100,J97:J100,M97:M100)</f>
        <v>-0.4551829662351079</v>
      </c>
      <c r="T97" s="25">
        <f>bdrate(C97:C100,H97:H100,J97:J100,O97:O100)</f>
        <v>-0.28832312040080843</v>
      </c>
      <c r="U97" s="28">
        <f t="shared" si="10"/>
        <v>-3.6449999999999982E-2</v>
      </c>
      <c r="V97" s="57">
        <f t="shared" si="11"/>
        <v>1.8999999999999393E-3</v>
      </c>
      <c r="W97" s="57">
        <f t="shared" si="12"/>
        <v>1.2631600000000048E-2</v>
      </c>
      <c r="X97" s="56">
        <v>1500</v>
      </c>
      <c r="Y97" s="56">
        <v>1000</v>
      </c>
    </row>
    <row r="98" spans="2:25" s="43" customFormat="1" x14ac:dyDescent="0.25">
      <c r="B98" s="44"/>
      <c r="C98" s="17">
        <v>1000.23</v>
      </c>
      <c r="D98" s="18">
        <v>41.398000000000003</v>
      </c>
      <c r="E98" s="18">
        <v>48.234000000000002</v>
      </c>
      <c r="F98" s="18">
        <v>47.612000000000002</v>
      </c>
      <c r="G98" s="18">
        <v>2.35</v>
      </c>
      <c r="H98" s="45">
        <f t="shared" si="8"/>
        <v>43.029250000000005</v>
      </c>
      <c r="I98" s="42"/>
      <c r="J98" s="17">
        <v>608.98509999999999</v>
      </c>
      <c r="K98" s="18">
        <v>40.478499999999997</v>
      </c>
      <c r="L98" s="18">
        <v>48.164000000000001</v>
      </c>
      <c r="M98" s="18">
        <v>47.582900000000002</v>
      </c>
      <c r="N98" s="18">
        <v>2.3081999999999998</v>
      </c>
      <c r="O98" s="45">
        <f t="shared" si="9"/>
        <v>42.327237499999995</v>
      </c>
      <c r="P98" s="42"/>
      <c r="Q98" s="49"/>
      <c r="R98" s="50"/>
      <c r="S98" s="50"/>
      <c r="T98" s="51"/>
      <c r="U98" s="28">
        <f t="shared" si="10"/>
        <v>-1.7787234042553311E-2</v>
      </c>
      <c r="V98" s="57">
        <f t="shared" si="11"/>
        <v>2.3000000000001819E-4</v>
      </c>
      <c r="W98" s="57">
        <f t="shared" si="12"/>
        <v>1.4975166666666647E-2</v>
      </c>
      <c r="X98" s="56">
        <v>1000</v>
      </c>
      <c r="Y98" s="56">
        <v>600</v>
      </c>
    </row>
    <row r="99" spans="2:25" s="43" customFormat="1" x14ac:dyDescent="0.25">
      <c r="B99" s="44"/>
      <c r="C99" s="17">
        <v>599.26</v>
      </c>
      <c r="D99" s="18">
        <v>39.814999999999998</v>
      </c>
      <c r="E99" s="18">
        <v>47.07</v>
      </c>
      <c r="F99" s="18">
        <v>46.381999999999998</v>
      </c>
      <c r="G99" s="18">
        <v>2.73</v>
      </c>
      <c r="H99" s="45">
        <f t="shared" si="8"/>
        <v>41.542749999999998</v>
      </c>
      <c r="I99" s="42"/>
      <c r="J99" s="17">
        <v>300.18799999999999</v>
      </c>
      <c r="K99" s="18">
        <v>38.710999999999999</v>
      </c>
      <c r="L99" s="18">
        <v>47.047199999999997</v>
      </c>
      <c r="M99" s="18">
        <v>46.464399999999998</v>
      </c>
      <c r="N99" s="18">
        <v>2.9691999999999998</v>
      </c>
      <c r="O99" s="45">
        <f t="shared" si="9"/>
        <v>40.722200000000001</v>
      </c>
      <c r="P99" s="42"/>
      <c r="Q99" s="49"/>
      <c r="R99" s="50"/>
      <c r="S99" s="50"/>
      <c r="T99" s="51"/>
      <c r="U99" s="28">
        <f t="shared" si="10"/>
        <v>8.7619047619047569E-2</v>
      </c>
      <c r="V99" s="57">
        <f t="shared" si="11"/>
        <v>1.2333333333333484E-3</v>
      </c>
      <c r="W99" s="57">
        <f t="shared" si="12"/>
        <v>6.2666666666662729E-4</v>
      </c>
      <c r="X99" s="56">
        <v>600</v>
      </c>
      <c r="Y99" s="56">
        <v>300</v>
      </c>
    </row>
    <row r="100" spans="2:25" s="43" customFormat="1" ht="16.5" thickBot="1" x14ac:dyDescent="0.3">
      <c r="B100" s="46"/>
      <c r="C100" s="19">
        <v>299.94</v>
      </c>
      <c r="D100" s="20">
        <v>37.283999999999999</v>
      </c>
      <c r="E100" s="20">
        <v>45.194000000000003</v>
      </c>
      <c r="F100" s="20">
        <v>44.511000000000003</v>
      </c>
      <c r="G100" s="20">
        <v>3.39</v>
      </c>
      <c r="H100" s="47">
        <f t="shared" si="8"/>
        <v>39.176125000000006</v>
      </c>
      <c r="I100" s="42"/>
      <c r="J100" s="19">
        <v>196.08680000000001</v>
      </c>
      <c r="K100" s="20">
        <v>37.534300000000002</v>
      </c>
      <c r="L100" s="20">
        <v>46.268099999999997</v>
      </c>
      <c r="M100" s="20">
        <v>45.6631</v>
      </c>
      <c r="N100" s="20">
        <v>3.5108999999999999</v>
      </c>
      <c r="O100" s="47">
        <f t="shared" si="9"/>
        <v>39.642125</v>
      </c>
      <c r="P100" s="42"/>
      <c r="Q100" s="52"/>
      <c r="R100" s="53"/>
      <c r="S100" s="53"/>
      <c r="T100" s="54"/>
      <c r="U100" s="28">
        <f t="shared" si="10"/>
        <v>3.5663716814159224E-2</v>
      </c>
      <c r="V100" s="57">
        <f t="shared" si="11"/>
        <v>2.0000000000000757E-4</v>
      </c>
      <c r="W100" s="57">
        <f t="shared" si="12"/>
        <v>1.9565999999999945E-2</v>
      </c>
      <c r="X100" s="56">
        <v>300</v>
      </c>
      <c r="Y100" s="56">
        <v>200</v>
      </c>
    </row>
    <row r="101" spans="2:25" s="43" customFormat="1" x14ac:dyDescent="0.25">
      <c r="B101" s="40" t="s">
        <v>87</v>
      </c>
      <c r="C101" s="15">
        <v>1480.43</v>
      </c>
      <c r="D101" s="16">
        <v>42.512</v>
      </c>
      <c r="E101" s="16">
        <v>49.634999999999998</v>
      </c>
      <c r="F101" s="16">
        <v>49.54</v>
      </c>
      <c r="G101" s="16">
        <v>1.97</v>
      </c>
      <c r="H101" s="41">
        <f t="shared" si="8"/>
        <v>44.280875000000002</v>
      </c>
      <c r="I101" s="42"/>
      <c r="J101" s="15">
        <v>1007.6693</v>
      </c>
      <c r="K101" s="16">
        <v>42.136800000000001</v>
      </c>
      <c r="L101" s="16">
        <v>49.776299999999999</v>
      </c>
      <c r="M101" s="16">
        <v>49.488</v>
      </c>
      <c r="N101" s="16">
        <v>2.153</v>
      </c>
      <c r="O101" s="41">
        <f t="shared" si="9"/>
        <v>44.010637500000001</v>
      </c>
      <c r="P101" s="42"/>
      <c r="Q101" s="8">
        <f>bdrate(C101:C104,D101:D104,J101:J104,K101:K104)</f>
        <v>-0.3378136439544559</v>
      </c>
      <c r="R101" s="8">
        <f>bdrate(C101:C104,E101:E104,J101:J104,L101:L104)</f>
        <v>-0.54108043867472633</v>
      </c>
      <c r="S101" s="8">
        <f>bdrate(C101:C104,F101:F104,J101:J104,M101:M104)</f>
        <v>-0.43926266325137897</v>
      </c>
      <c r="T101" s="25">
        <f>bdrate(C101:C104,H101:H104,J101:J104,O101:O104)</f>
        <v>-0.36791635029079939</v>
      </c>
      <c r="U101" s="28">
        <f t="shared" si="10"/>
        <v>9.2893401015228458E-2</v>
      </c>
      <c r="V101" s="57">
        <f t="shared" si="11"/>
        <v>1.3046666666666625E-2</v>
      </c>
      <c r="W101" s="57">
        <f t="shared" si="12"/>
        <v>7.6693000000000212E-3</v>
      </c>
      <c r="X101" s="56">
        <v>1500</v>
      </c>
      <c r="Y101" s="56">
        <v>1000</v>
      </c>
    </row>
    <row r="102" spans="2:25" s="43" customFormat="1" x14ac:dyDescent="0.25">
      <c r="B102" s="44"/>
      <c r="C102" s="17">
        <v>983.4</v>
      </c>
      <c r="D102" s="18">
        <v>41.639000000000003</v>
      </c>
      <c r="E102" s="18">
        <v>49.1</v>
      </c>
      <c r="F102" s="18">
        <v>49.107999999999997</v>
      </c>
      <c r="G102" s="18">
        <v>2.34</v>
      </c>
      <c r="H102" s="45">
        <f t="shared" si="8"/>
        <v>43.505250000000004</v>
      </c>
      <c r="I102" s="42"/>
      <c r="J102" s="17">
        <v>603.68269999999995</v>
      </c>
      <c r="K102" s="18">
        <v>41.296100000000003</v>
      </c>
      <c r="L102" s="18">
        <v>49.295999999999999</v>
      </c>
      <c r="M102" s="18">
        <v>49.041899999999998</v>
      </c>
      <c r="N102" s="18">
        <v>2.6528999999999998</v>
      </c>
      <c r="O102" s="45">
        <f t="shared" si="9"/>
        <v>43.264312500000003</v>
      </c>
      <c r="P102" s="42"/>
      <c r="Q102" s="49"/>
      <c r="R102" s="50"/>
      <c r="S102" s="50"/>
      <c r="T102" s="51"/>
      <c r="U102" s="28">
        <f t="shared" si="10"/>
        <v>0.1337179487179487</v>
      </c>
      <c r="V102" s="57">
        <f t="shared" si="11"/>
        <v>1.6600000000000024E-2</v>
      </c>
      <c r="W102" s="57">
        <f t="shared" si="12"/>
        <v>6.1378333333332574E-3</v>
      </c>
      <c r="X102" s="56">
        <v>1000</v>
      </c>
      <c r="Y102" s="56">
        <v>600</v>
      </c>
    </row>
    <row r="103" spans="2:25" s="43" customFormat="1" x14ac:dyDescent="0.25">
      <c r="B103" s="44"/>
      <c r="C103" s="17">
        <v>587.65</v>
      </c>
      <c r="D103" s="18">
        <v>40.554000000000002</v>
      </c>
      <c r="E103" s="18">
        <v>48.313000000000002</v>
      </c>
      <c r="F103" s="18">
        <v>48.470999999999997</v>
      </c>
      <c r="G103" s="18">
        <v>2.69</v>
      </c>
      <c r="H103" s="45">
        <f t="shared" si="8"/>
        <v>42.513500000000001</v>
      </c>
      <c r="I103" s="42"/>
      <c r="J103" s="17">
        <v>290.47859999999997</v>
      </c>
      <c r="K103" s="18">
        <v>40.056100000000001</v>
      </c>
      <c r="L103" s="18">
        <v>48.5518</v>
      </c>
      <c r="M103" s="18">
        <v>48.449599999999997</v>
      </c>
      <c r="N103" s="18">
        <v>3.5586000000000002</v>
      </c>
      <c r="O103" s="45">
        <f t="shared" si="9"/>
        <v>42.167249999999996</v>
      </c>
      <c r="P103" s="42"/>
      <c r="Q103" s="49"/>
      <c r="R103" s="50"/>
      <c r="S103" s="50"/>
      <c r="T103" s="51"/>
      <c r="U103" s="28">
        <f t="shared" si="10"/>
        <v>0.32289962825278823</v>
      </c>
      <c r="V103" s="57">
        <f t="shared" si="11"/>
        <v>2.058333333333337E-2</v>
      </c>
      <c r="W103" s="57">
        <f t="shared" si="12"/>
        <v>3.1738000000000093E-2</v>
      </c>
      <c r="X103" s="56">
        <v>600</v>
      </c>
      <c r="Y103" s="56">
        <v>300</v>
      </c>
    </row>
    <row r="104" spans="2:25" s="43" customFormat="1" ht="16.5" thickBot="1" x14ac:dyDescent="0.3">
      <c r="B104" s="46"/>
      <c r="C104" s="19">
        <v>289.95</v>
      </c>
      <c r="D104" s="20">
        <v>38.813000000000002</v>
      </c>
      <c r="E104" s="20">
        <v>46.878</v>
      </c>
      <c r="F104" s="20">
        <v>47.314999999999998</v>
      </c>
      <c r="G104" s="20">
        <v>3.3</v>
      </c>
      <c r="H104" s="47">
        <f t="shared" ref="H104:H124" si="13">(6*D104+E104+F104)/8</f>
        <v>40.883875000000003</v>
      </c>
      <c r="I104" s="42"/>
      <c r="J104" s="19">
        <v>175.4041</v>
      </c>
      <c r="K104" s="20">
        <v>39.105200000000004</v>
      </c>
      <c r="L104" s="20">
        <v>47.889200000000002</v>
      </c>
      <c r="M104" s="20">
        <v>47.908700000000003</v>
      </c>
      <c r="N104" s="20">
        <v>4.3186</v>
      </c>
      <c r="O104" s="47">
        <f t="shared" ref="O104:O124" si="14">(6*K104+L104+M104)/8</f>
        <v>41.303637500000008</v>
      </c>
      <c r="P104" s="42"/>
      <c r="Q104" s="52"/>
      <c r="R104" s="53"/>
      <c r="S104" s="53"/>
      <c r="T104" s="54"/>
      <c r="U104" s="28">
        <f t="shared" ref="U104:U124" si="15">(N104-G104)/G104</f>
        <v>0.30866666666666676</v>
      </c>
      <c r="V104" s="57">
        <f t="shared" si="11"/>
        <v>3.3500000000000037E-2</v>
      </c>
      <c r="W104" s="57">
        <f t="shared" si="12"/>
        <v>0.12297950000000001</v>
      </c>
      <c r="X104" s="56">
        <v>300</v>
      </c>
      <c r="Y104" s="56">
        <v>200</v>
      </c>
    </row>
    <row r="105" spans="2:25" s="43" customFormat="1" x14ac:dyDescent="0.25">
      <c r="B105" s="40" t="s">
        <v>88</v>
      </c>
      <c r="C105" s="15">
        <v>1475.45</v>
      </c>
      <c r="D105" s="16">
        <v>43.936</v>
      </c>
      <c r="E105" s="16">
        <v>51.695</v>
      </c>
      <c r="F105" s="16">
        <v>51.454000000000001</v>
      </c>
      <c r="G105" s="16">
        <v>1.8</v>
      </c>
      <c r="H105" s="41">
        <f t="shared" si="13"/>
        <v>45.845624999999998</v>
      </c>
      <c r="I105" s="42"/>
      <c r="J105" s="15">
        <v>1003.6165</v>
      </c>
      <c r="K105" s="16">
        <v>43.156199999999998</v>
      </c>
      <c r="L105" s="16">
        <v>51.392899999999997</v>
      </c>
      <c r="M105" s="16">
        <v>51.212800000000001</v>
      </c>
      <c r="N105" s="16">
        <v>2.0085000000000002</v>
      </c>
      <c r="O105" s="41">
        <f t="shared" si="14"/>
        <v>45.192862499999997</v>
      </c>
      <c r="P105" s="42"/>
      <c r="Q105" s="8">
        <f>bdrate(C105:C108,D105:D108,J105:J108,K105:K108)</f>
        <v>-0.23310714832377788</v>
      </c>
      <c r="R105" s="8">
        <f>bdrate(C105:C108,E105:E108,J105:J108,L105:L108)</f>
        <v>-0.46735387111621662</v>
      </c>
      <c r="S105" s="8">
        <f>bdrate(C105:C108,F105:F108,J105:J108,M105:M108)</f>
        <v>-0.47850698546004566</v>
      </c>
      <c r="T105" s="25">
        <f>bdrate(C105:C108,H105:H108,J105:J108,O105:O108)</f>
        <v>-0.29220190748868768</v>
      </c>
      <c r="U105" s="28">
        <f t="shared" si="15"/>
        <v>0.1158333333333334</v>
      </c>
      <c r="V105" s="57">
        <f t="shared" si="11"/>
        <v>1.6366666666666637E-2</v>
      </c>
      <c r="W105" s="57">
        <f t="shared" si="12"/>
        <v>3.6164999999999735E-3</v>
      </c>
      <c r="X105" s="56">
        <v>1500</v>
      </c>
      <c r="Y105" s="56">
        <v>1000</v>
      </c>
    </row>
    <row r="106" spans="2:25" s="43" customFormat="1" x14ac:dyDescent="0.25">
      <c r="B106" s="44"/>
      <c r="C106" s="17">
        <v>974.92</v>
      </c>
      <c r="D106" s="18">
        <v>42.912999999999997</v>
      </c>
      <c r="E106" s="18">
        <v>50.744</v>
      </c>
      <c r="F106" s="18">
        <v>50.491999999999997</v>
      </c>
      <c r="G106" s="18">
        <v>2.1800000000000002</v>
      </c>
      <c r="H106" s="45">
        <f t="shared" si="13"/>
        <v>44.83925</v>
      </c>
      <c r="I106" s="42"/>
      <c r="J106" s="17">
        <v>601.27940000000001</v>
      </c>
      <c r="K106" s="18">
        <v>42.186599999999999</v>
      </c>
      <c r="L106" s="18">
        <v>50.792499999999997</v>
      </c>
      <c r="M106" s="18">
        <v>50.606499999999997</v>
      </c>
      <c r="N106" s="18">
        <v>2.4491000000000001</v>
      </c>
      <c r="O106" s="45">
        <f t="shared" si="14"/>
        <v>44.314824999999999</v>
      </c>
      <c r="P106" s="42"/>
      <c r="Q106" s="49"/>
      <c r="R106" s="50"/>
      <c r="S106" s="50"/>
      <c r="T106" s="51"/>
      <c r="U106" s="28">
        <f t="shared" si="15"/>
        <v>0.12344036697247701</v>
      </c>
      <c r="V106" s="57">
        <f t="shared" si="11"/>
        <v>2.508000000000004E-2</v>
      </c>
      <c r="W106" s="57">
        <f t="shared" si="12"/>
        <v>2.1323333333333493E-3</v>
      </c>
      <c r="X106" s="56">
        <v>1000</v>
      </c>
      <c r="Y106" s="56">
        <v>600</v>
      </c>
    </row>
    <row r="107" spans="2:25" s="43" customFormat="1" x14ac:dyDescent="0.25">
      <c r="B107" s="44"/>
      <c r="C107" s="17">
        <v>579.34</v>
      </c>
      <c r="D107" s="18">
        <v>41.707000000000001</v>
      </c>
      <c r="E107" s="18">
        <v>49.83</v>
      </c>
      <c r="F107" s="18">
        <v>49.572000000000003</v>
      </c>
      <c r="G107" s="18">
        <v>2.54</v>
      </c>
      <c r="H107" s="45">
        <f t="shared" si="13"/>
        <v>43.705500000000001</v>
      </c>
      <c r="I107" s="42"/>
      <c r="J107" s="17">
        <v>296.41219999999998</v>
      </c>
      <c r="K107" s="18">
        <v>41.016599999999997</v>
      </c>
      <c r="L107" s="18">
        <v>50.060400000000001</v>
      </c>
      <c r="M107" s="18">
        <v>49.819400000000002</v>
      </c>
      <c r="N107" s="18">
        <v>3.1821999999999999</v>
      </c>
      <c r="O107" s="45">
        <f t="shared" si="14"/>
        <v>43.247424999999993</v>
      </c>
      <c r="P107" s="42"/>
      <c r="Q107" s="49"/>
      <c r="R107" s="50"/>
      <c r="S107" s="50"/>
      <c r="T107" s="51"/>
      <c r="U107" s="28">
        <f t="shared" si="15"/>
        <v>0.25283464566929131</v>
      </c>
      <c r="V107" s="57">
        <f t="shared" si="11"/>
        <v>3.4433333333333281E-2</v>
      </c>
      <c r="W107" s="57">
        <f t="shared" si="12"/>
        <v>1.1959333333333386E-2</v>
      </c>
      <c r="X107" s="56">
        <v>600</v>
      </c>
      <c r="Y107" s="56">
        <v>300</v>
      </c>
    </row>
    <row r="108" spans="2:25" s="43" customFormat="1" ht="16.5" thickBot="1" x14ac:dyDescent="0.3">
      <c r="B108" s="46"/>
      <c r="C108" s="19">
        <v>283.22000000000003</v>
      </c>
      <c r="D108" s="20">
        <v>39.954999999999998</v>
      </c>
      <c r="E108" s="20">
        <v>48.110999999999997</v>
      </c>
      <c r="F108" s="20">
        <v>47.93</v>
      </c>
      <c r="G108" s="20">
        <v>3.17</v>
      </c>
      <c r="H108" s="47">
        <f t="shared" si="13"/>
        <v>41.971375000000002</v>
      </c>
      <c r="I108" s="42"/>
      <c r="J108" s="19">
        <v>191.08070000000001</v>
      </c>
      <c r="K108" s="20">
        <v>40.277900000000002</v>
      </c>
      <c r="L108" s="20">
        <v>49.563099999999999</v>
      </c>
      <c r="M108" s="20">
        <v>49.323999999999998</v>
      </c>
      <c r="N108" s="20">
        <v>3.7576000000000001</v>
      </c>
      <c r="O108" s="47">
        <f t="shared" si="14"/>
        <v>42.569312500000002</v>
      </c>
      <c r="P108" s="42"/>
      <c r="Q108" s="52"/>
      <c r="R108" s="53"/>
      <c r="S108" s="53"/>
      <c r="T108" s="54"/>
      <c r="U108" s="28">
        <f t="shared" si="15"/>
        <v>0.18536277602523663</v>
      </c>
      <c r="V108" s="57">
        <f t="shared" si="11"/>
        <v>5.5933333333333245E-2</v>
      </c>
      <c r="W108" s="57">
        <f t="shared" si="12"/>
        <v>4.4596499999999963E-2</v>
      </c>
      <c r="X108" s="56">
        <v>300</v>
      </c>
      <c r="Y108" s="56">
        <v>200</v>
      </c>
    </row>
    <row r="109" spans="2:25" s="43" customFormat="1" x14ac:dyDescent="0.25">
      <c r="B109" s="40" t="s">
        <v>89</v>
      </c>
      <c r="C109" s="15">
        <v>1477.44</v>
      </c>
      <c r="D109" s="16">
        <v>44.347999999999999</v>
      </c>
      <c r="E109" s="16">
        <v>52.052</v>
      </c>
      <c r="F109" s="16">
        <v>52.091999999999999</v>
      </c>
      <c r="G109" s="16">
        <v>2.09</v>
      </c>
      <c r="H109" s="41">
        <f t="shared" si="13"/>
        <v>46.278999999999996</v>
      </c>
      <c r="I109" s="42"/>
      <c r="J109" s="15">
        <v>1011.3742</v>
      </c>
      <c r="K109" s="16">
        <v>43.693100000000001</v>
      </c>
      <c r="L109" s="16">
        <v>52.123399999999997</v>
      </c>
      <c r="M109" s="16">
        <v>52.231499999999997</v>
      </c>
      <c r="N109" s="16">
        <v>2.3754</v>
      </c>
      <c r="O109" s="41">
        <f t="shared" si="14"/>
        <v>45.814187499999996</v>
      </c>
      <c r="P109" s="42"/>
      <c r="Q109" s="8">
        <f>bdrate(C109:C112,D109:D112,J109:J112,K109:K112)</f>
        <v>-0.24127870755212777</v>
      </c>
      <c r="R109" s="8">
        <f>bdrate(C109:C112,E109:E112,J109:J112,L109:L112)</f>
        <v>-0.41828700946830577</v>
      </c>
      <c r="S109" s="8">
        <f>bdrate(C109:C112,F109:F112,J109:J112,M109:M112)</f>
        <v>-0.45534526186497526</v>
      </c>
      <c r="T109" s="25">
        <f>bdrate(C109:C112,H109:H112,J109:J112,O109:O112)</f>
        <v>-0.27966289977379399</v>
      </c>
      <c r="U109" s="28">
        <f t="shared" si="15"/>
        <v>0.13655502392344504</v>
      </c>
      <c r="V109" s="57">
        <f t="shared" si="11"/>
        <v>1.5039999999999963E-2</v>
      </c>
      <c r="W109" s="57">
        <f t="shared" si="12"/>
        <v>1.1374199999999973E-2</v>
      </c>
      <c r="X109" s="56">
        <v>1500</v>
      </c>
      <c r="Y109" s="56">
        <v>1000</v>
      </c>
    </row>
    <row r="110" spans="2:25" s="43" customFormat="1" x14ac:dyDescent="0.25">
      <c r="B110" s="44"/>
      <c r="C110" s="17">
        <v>980.14</v>
      </c>
      <c r="D110" s="18">
        <v>43.113999999999997</v>
      </c>
      <c r="E110" s="18">
        <v>51.433</v>
      </c>
      <c r="F110" s="18">
        <v>51.426000000000002</v>
      </c>
      <c r="G110" s="18">
        <v>2.5099999999999998</v>
      </c>
      <c r="H110" s="45">
        <f t="shared" si="13"/>
        <v>45.192874999999994</v>
      </c>
      <c r="I110" s="42"/>
      <c r="J110" s="17">
        <v>606.06029999999998</v>
      </c>
      <c r="K110" s="18">
        <v>42.307499999999997</v>
      </c>
      <c r="L110" s="18">
        <v>51.369100000000003</v>
      </c>
      <c r="M110" s="18">
        <v>51.473100000000002</v>
      </c>
      <c r="N110" s="18">
        <v>2.8113000000000001</v>
      </c>
      <c r="O110" s="45">
        <f t="shared" si="14"/>
        <v>44.585899999999995</v>
      </c>
      <c r="P110" s="42"/>
      <c r="Q110" s="49"/>
      <c r="R110" s="50"/>
      <c r="S110" s="50"/>
      <c r="T110" s="51"/>
      <c r="U110" s="28">
        <f t="shared" si="15"/>
        <v>0.12003984063745035</v>
      </c>
      <c r="V110" s="57">
        <f t="shared" si="11"/>
        <v>1.9860000000000013E-2</v>
      </c>
      <c r="W110" s="57">
        <f t="shared" si="12"/>
        <v>1.0100499999999972E-2</v>
      </c>
      <c r="X110" s="56">
        <v>1000</v>
      </c>
      <c r="Y110" s="56">
        <v>600</v>
      </c>
    </row>
    <row r="111" spans="2:25" s="43" customFormat="1" x14ac:dyDescent="0.25">
      <c r="B111" s="44"/>
      <c r="C111" s="17">
        <v>585.01</v>
      </c>
      <c r="D111" s="18">
        <v>41.485999999999997</v>
      </c>
      <c r="E111" s="18">
        <v>50.417999999999999</v>
      </c>
      <c r="F111" s="18">
        <v>50.335000000000001</v>
      </c>
      <c r="G111" s="18">
        <v>2.88</v>
      </c>
      <c r="H111" s="45">
        <f t="shared" si="13"/>
        <v>43.708624999999998</v>
      </c>
      <c r="I111" s="42"/>
      <c r="J111" s="17">
        <v>302.28039999999999</v>
      </c>
      <c r="K111" s="18">
        <v>40.3812</v>
      </c>
      <c r="L111" s="18">
        <v>50.292900000000003</v>
      </c>
      <c r="M111" s="18">
        <v>50.373199999999997</v>
      </c>
      <c r="N111" s="18">
        <v>3.4403999999999999</v>
      </c>
      <c r="O111" s="45">
        <f t="shared" si="14"/>
        <v>42.869162500000002</v>
      </c>
      <c r="P111" s="42"/>
      <c r="Q111" s="49"/>
      <c r="R111" s="50"/>
      <c r="S111" s="50"/>
      <c r="T111" s="51"/>
      <c r="U111" s="28">
        <f t="shared" si="15"/>
        <v>0.19458333333333333</v>
      </c>
      <c r="V111" s="57">
        <f t="shared" si="11"/>
        <v>2.4983333333333347E-2</v>
      </c>
      <c r="W111" s="57">
        <f t="shared" si="12"/>
        <v>7.6013333333332864E-3</v>
      </c>
      <c r="X111" s="56">
        <v>600</v>
      </c>
      <c r="Y111" s="56">
        <v>300</v>
      </c>
    </row>
    <row r="112" spans="2:25" s="43" customFormat="1" ht="16.5" thickBot="1" x14ac:dyDescent="0.3">
      <c r="B112" s="46"/>
      <c r="C112" s="19">
        <v>290.41000000000003</v>
      </c>
      <c r="D112" s="20">
        <v>39.024000000000001</v>
      </c>
      <c r="E112" s="20">
        <v>48.418999999999997</v>
      </c>
      <c r="F112" s="20">
        <v>48.503</v>
      </c>
      <c r="G112" s="20">
        <v>3.54</v>
      </c>
      <c r="H112" s="47">
        <f t="shared" si="13"/>
        <v>41.383249999999997</v>
      </c>
      <c r="I112" s="42"/>
      <c r="J112" s="19">
        <v>197.3621</v>
      </c>
      <c r="K112" s="20">
        <v>39.156799999999997</v>
      </c>
      <c r="L112" s="20">
        <v>49.353900000000003</v>
      </c>
      <c r="M112" s="20">
        <v>49.5657</v>
      </c>
      <c r="N112" s="20">
        <v>3.9609000000000001</v>
      </c>
      <c r="O112" s="47">
        <f t="shared" si="14"/>
        <v>41.732549999999996</v>
      </c>
      <c r="P112" s="42"/>
      <c r="Q112" s="52"/>
      <c r="R112" s="53"/>
      <c r="S112" s="53"/>
      <c r="T112" s="54"/>
      <c r="U112" s="28">
        <f t="shared" si="15"/>
        <v>0.11889830508474578</v>
      </c>
      <c r="V112" s="57">
        <f t="shared" si="11"/>
        <v>3.1966666666666581E-2</v>
      </c>
      <c r="W112" s="57">
        <f t="shared" si="12"/>
        <v>1.318950000000001E-2</v>
      </c>
      <c r="X112" s="56">
        <v>300</v>
      </c>
      <c r="Y112" s="56">
        <v>200</v>
      </c>
    </row>
    <row r="113" spans="2:25" s="43" customFormat="1" x14ac:dyDescent="0.25">
      <c r="B113" s="40" t="s">
        <v>90</v>
      </c>
      <c r="C113" s="15">
        <v>1494.36</v>
      </c>
      <c r="D113" s="16">
        <v>42.567999999999998</v>
      </c>
      <c r="E113" s="16">
        <v>49.930999999999997</v>
      </c>
      <c r="F113" s="16">
        <v>50.646999999999998</v>
      </c>
      <c r="G113" s="16">
        <v>1.99</v>
      </c>
      <c r="H113" s="41">
        <f t="shared" si="13"/>
        <v>44.498249999999999</v>
      </c>
      <c r="I113" s="42"/>
      <c r="J113" s="15">
        <v>1006.4945</v>
      </c>
      <c r="K113" s="16">
        <v>42.057600000000001</v>
      </c>
      <c r="L113" s="16">
        <v>50.037199999999999</v>
      </c>
      <c r="M113" s="16">
        <v>50.808199999999999</v>
      </c>
      <c r="N113" s="16">
        <v>2.0743999999999998</v>
      </c>
      <c r="O113" s="41">
        <f t="shared" si="14"/>
        <v>44.148874999999997</v>
      </c>
      <c r="P113" s="42"/>
      <c r="Q113" s="8">
        <f>bdrate(C113:C116,D113:D116,J113:J116,K113:K116)</f>
        <v>-0.31568520802340572</v>
      </c>
      <c r="R113" s="8">
        <f>bdrate(C113:C116,E113:E116,J113:J116,L113:L116)</f>
        <v>-0.49282643089208533</v>
      </c>
      <c r="S113" s="8">
        <f>bdrate(C113:C116,F113:F116,J113:J116,M113:M116)</f>
        <v>-0.49878835559749501</v>
      </c>
      <c r="T113" s="25">
        <f>bdrate(C113:C116,H113:H116,J113:J116,O113:O116)</f>
        <v>-0.35512607476192926</v>
      </c>
      <c r="U113" s="28">
        <f t="shared" si="15"/>
        <v>4.2412060301507438E-2</v>
      </c>
      <c r="V113" s="57">
        <f t="shared" si="11"/>
        <v>3.7600000000000667E-3</v>
      </c>
      <c r="W113" s="57">
        <f t="shared" si="12"/>
        <v>6.4945000000000168E-3</v>
      </c>
      <c r="X113" s="56">
        <v>1500</v>
      </c>
      <c r="Y113" s="56">
        <v>1000</v>
      </c>
    </row>
    <row r="114" spans="2:25" s="43" customFormat="1" x14ac:dyDescent="0.25">
      <c r="B114" s="44"/>
      <c r="C114" s="17">
        <v>996.04</v>
      </c>
      <c r="D114" s="18">
        <v>41.610999999999997</v>
      </c>
      <c r="E114" s="18">
        <v>49.308999999999997</v>
      </c>
      <c r="F114" s="18">
        <v>50.103999999999999</v>
      </c>
      <c r="G114" s="18">
        <v>2.39</v>
      </c>
      <c r="H114" s="45">
        <f t="shared" si="13"/>
        <v>43.634875000000001</v>
      </c>
      <c r="I114" s="42"/>
      <c r="J114" s="17">
        <v>603.23839999999996</v>
      </c>
      <c r="K114" s="18">
        <v>41.131300000000003</v>
      </c>
      <c r="L114" s="18">
        <v>49.441000000000003</v>
      </c>
      <c r="M114" s="18">
        <v>50.241399999999999</v>
      </c>
      <c r="N114" s="18">
        <v>2.5177999999999998</v>
      </c>
      <c r="O114" s="45">
        <f t="shared" si="14"/>
        <v>43.308774999999997</v>
      </c>
      <c r="P114" s="42"/>
      <c r="Q114" s="49"/>
      <c r="R114" s="50"/>
      <c r="S114" s="50"/>
      <c r="T114" s="51"/>
      <c r="U114" s="28">
        <f t="shared" si="15"/>
        <v>5.3472803347280204E-2</v>
      </c>
      <c r="V114" s="57">
        <f t="shared" si="11"/>
        <v>3.9600000000000364E-3</v>
      </c>
      <c r="W114" s="57">
        <f t="shared" si="12"/>
        <v>5.3973333333332601E-3</v>
      </c>
      <c r="X114" s="56">
        <v>1000</v>
      </c>
      <c r="Y114" s="56">
        <v>600</v>
      </c>
    </row>
    <row r="115" spans="2:25" s="43" customFormat="1" x14ac:dyDescent="0.25">
      <c r="B115" s="44"/>
      <c r="C115" s="17">
        <v>598.41</v>
      </c>
      <c r="D115" s="18">
        <v>40.457000000000001</v>
      </c>
      <c r="E115" s="18">
        <v>48.375999999999998</v>
      </c>
      <c r="F115" s="18">
        <v>49.253999999999998</v>
      </c>
      <c r="G115" s="18">
        <v>2.8</v>
      </c>
      <c r="H115" s="45">
        <f t="shared" si="13"/>
        <v>42.546500000000002</v>
      </c>
      <c r="I115" s="42"/>
      <c r="J115" s="17">
        <v>288.51420000000002</v>
      </c>
      <c r="K115" s="18">
        <v>39.846200000000003</v>
      </c>
      <c r="L115" s="18">
        <v>48.406599999999997</v>
      </c>
      <c r="M115" s="18">
        <v>49.279699999999998</v>
      </c>
      <c r="N115" s="18">
        <v>3.2902</v>
      </c>
      <c r="O115" s="45">
        <f t="shared" si="14"/>
        <v>42.095437499999996</v>
      </c>
      <c r="P115" s="42"/>
      <c r="Q115" s="49"/>
      <c r="R115" s="50"/>
      <c r="S115" s="50"/>
      <c r="T115" s="51"/>
      <c r="U115" s="28">
        <f t="shared" si="15"/>
        <v>0.17507142857142866</v>
      </c>
      <c r="V115" s="57">
        <f t="shared" si="11"/>
        <v>2.6500000000000529E-3</v>
      </c>
      <c r="W115" s="57">
        <f t="shared" si="12"/>
        <v>3.8285999999999945E-2</v>
      </c>
      <c r="X115" s="56">
        <v>600</v>
      </c>
      <c r="Y115" s="56">
        <v>300</v>
      </c>
    </row>
    <row r="116" spans="2:25" s="43" customFormat="1" ht="16.5" thickBot="1" x14ac:dyDescent="0.3">
      <c r="B116" s="46"/>
      <c r="C116" s="19">
        <v>298.64999999999998</v>
      </c>
      <c r="D116" s="20">
        <v>38.713000000000001</v>
      </c>
      <c r="E116" s="20">
        <v>46.859000000000002</v>
      </c>
      <c r="F116" s="20">
        <v>47.718000000000004</v>
      </c>
      <c r="G116" s="20">
        <v>3.51</v>
      </c>
      <c r="H116" s="47">
        <f t="shared" si="13"/>
        <v>40.856875000000002</v>
      </c>
      <c r="I116" s="42"/>
      <c r="J116" s="19">
        <v>185.35120000000001</v>
      </c>
      <c r="K116" s="20">
        <v>38.935499999999998</v>
      </c>
      <c r="L116" s="20">
        <v>47.597999999999999</v>
      </c>
      <c r="M116" s="20">
        <v>48.4649</v>
      </c>
      <c r="N116" s="20">
        <v>3.9567000000000001</v>
      </c>
      <c r="O116" s="47">
        <f t="shared" si="14"/>
        <v>41.209487500000002</v>
      </c>
      <c r="P116" s="42"/>
      <c r="Q116" s="52"/>
      <c r="R116" s="53"/>
      <c r="S116" s="53"/>
      <c r="T116" s="54"/>
      <c r="U116" s="28">
        <f t="shared" si="15"/>
        <v>0.12726495726495737</v>
      </c>
      <c r="V116" s="57">
        <f t="shared" si="11"/>
        <v>4.500000000000076E-3</v>
      </c>
      <c r="W116" s="57">
        <f t="shared" si="12"/>
        <v>7.3243999999999976E-2</v>
      </c>
      <c r="X116" s="56">
        <v>300</v>
      </c>
      <c r="Y116" s="56">
        <v>200</v>
      </c>
    </row>
    <row r="117" spans="2:25" s="43" customFormat="1" x14ac:dyDescent="0.25">
      <c r="B117" s="40" t="s">
        <v>91</v>
      </c>
      <c r="C117" s="15">
        <v>1510.1</v>
      </c>
      <c r="D117" s="16">
        <v>41.87</v>
      </c>
      <c r="E117" s="16">
        <v>49.771000000000001</v>
      </c>
      <c r="F117" s="16">
        <v>48.93</v>
      </c>
      <c r="G117" s="16">
        <v>1.94</v>
      </c>
      <c r="H117" s="41">
        <f t="shared" si="13"/>
        <v>43.740124999999999</v>
      </c>
      <c r="I117" s="42"/>
      <c r="J117" s="15">
        <v>1002.6044000000001</v>
      </c>
      <c r="K117" s="16">
        <v>40.9514</v>
      </c>
      <c r="L117" s="16">
        <v>49.762799999999999</v>
      </c>
      <c r="M117" s="16">
        <v>49.070399999999999</v>
      </c>
      <c r="N117" s="16">
        <v>1.9511000000000001</v>
      </c>
      <c r="O117" s="41">
        <f t="shared" si="14"/>
        <v>43.067699999999995</v>
      </c>
      <c r="P117" s="42"/>
      <c r="Q117" s="8">
        <f>bdrate(C117:C120,D117:D120,J117:J120,K117:K120)</f>
        <v>-0.25795743127766346</v>
      </c>
      <c r="R117" s="8">
        <f>bdrate(C117:C120,E117:E120,J117:J120,L117:L120)</f>
        <v>-0.45121058428204142</v>
      </c>
      <c r="S117" s="8">
        <f>bdrate(C117:C120,F117:F120,J117:J120,M117:M120)</f>
        <v>-0.4985955100449182</v>
      </c>
      <c r="T117" s="25">
        <f>bdrate(C117:C120,H117:H120,J117:J120,O117:O120)</f>
        <v>-0.30615445127796115</v>
      </c>
      <c r="U117" s="28">
        <f t="shared" si="15"/>
        <v>5.7216494845361392E-3</v>
      </c>
      <c r="V117" s="57">
        <f t="shared" si="11"/>
        <v>6.7333333333332726E-3</v>
      </c>
      <c r="W117" s="57">
        <f t="shared" si="12"/>
        <v>2.6044000000000553E-3</v>
      </c>
      <c r="X117" s="56">
        <v>1500</v>
      </c>
      <c r="Y117" s="56">
        <v>1000</v>
      </c>
    </row>
    <row r="118" spans="2:25" s="43" customFormat="1" x14ac:dyDescent="0.25">
      <c r="B118" s="44"/>
      <c r="C118" s="17">
        <v>1007.86</v>
      </c>
      <c r="D118" s="18">
        <v>40.591000000000001</v>
      </c>
      <c r="E118" s="18">
        <v>48.933999999999997</v>
      </c>
      <c r="F118" s="18">
        <v>47.95</v>
      </c>
      <c r="G118" s="18">
        <v>2.31</v>
      </c>
      <c r="H118" s="45">
        <f t="shared" si="13"/>
        <v>42.553750000000001</v>
      </c>
      <c r="I118" s="42"/>
      <c r="J118" s="17">
        <v>604.03120000000001</v>
      </c>
      <c r="K118" s="18">
        <v>39.606900000000003</v>
      </c>
      <c r="L118" s="18">
        <v>48.919800000000002</v>
      </c>
      <c r="M118" s="18">
        <v>48.191200000000002</v>
      </c>
      <c r="N118" s="18">
        <v>2.3344</v>
      </c>
      <c r="O118" s="45">
        <f t="shared" si="14"/>
        <v>41.844050000000003</v>
      </c>
      <c r="P118" s="42"/>
      <c r="Q118" s="49"/>
      <c r="R118" s="50"/>
      <c r="S118" s="50"/>
      <c r="T118" s="51"/>
      <c r="U118" s="28">
        <f t="shared" si="15"/>
        <v>1.0562770562770553E-2</v>
      </c>
      <c r="V118" s="57">
        <f t="shared" si="11"/>
        <v>7.8600000000000128E-3</v>
      </c>
      <c r="W118" s="57">
        <f t="shared" si="12"/>
        <v>6.7186666666666879E-3</v>
      </c>
      <c r="X118" s="56">
        <v>1000</v>
      </c>
      <c r="Y118" s="56">
        <v>600</v>
      </c>
    </row>
    <row r="119" spans="2:25" s="43" customFormat="1" x14ac:dyDescent="0.25">
      <c r="B119" s="44"/>
      <c r="C119" s="17">
        <v>606.70000000000005</v>
      </c>
      <c r="D119" s="18">
        <v>38.847999999999999</v>
      </c>
      <c r="E119" s="18">
        <v>47.610999999999997</v>
      </c>
      <c r="F119" s="18">
        <v>46.546999999999997</v>
      </c>
      <c r="G119" s="18">
        <v>2.68</v>
      </c>
      <c r="H119" s="45">
        <f t="shared" si="13"/>
        <v>40.905749999999998</v>
      </c>
      <c r="I119" s="42"/>
      <c r="J119" s="17">
        <v>290.99020000000002</v>
      </c>
      <c r="K119" s="18">
        <v>37.444000000000003</v>
      </c>
      <c r="L119" s="18">
        <v>47.456899999999997</v>
      </c>
      <c r="M119" s="18">
        <v>46.605200000000004</v>
      </c>
      <c r="N119" s="18">
        <v>3.0146999999999999</v>
      </c>
      <c r="O119" s="45">
        <f t="shared" si="14"/>
        <v>39.840762500000004</v>
      </c>
      <c r="P119" s="42"/>
      <c r="Q119" s="49"/>
      <c r="R119" s="50"/>
      <c r="S119" s="50"/>
      <c r="T119" s="51"/>
      <c r="U119" s="28">
        <f t="shared" si="15"/>
        <v>0.12488805970149244</v>
      </c>
      <c r="V119" s="57">
        <f t="shared" si="11"/>
        <v>1.1166666666666743E-2</v>
      </c>
      <c r="W119" s="57">
        <f t="shared" si="12"/>
        <v>3.0032666666666614E-2</v>
      </c>
      <c r="X119" s="56">
        <v>600</v>
      </c>
      <c r="Y119" s="56">
        <v>300</v>
      </c>
    </row>
    <row r="120" spans="2:25" s="43" customFormat="1" ht="16.5" thickBot="1" x14ac:dyDescent="0.3">
      <c r="B120" s="46"/>
      <c r="C120" s="19">
        <v>303.66000000000003</v>
      </c>
      <c r="D120" s="20">
        <v>35.99</v>
      </c>
      <c r="E120" s="20">
        <v>45.469000000000001</v>
      </c>
      <c r="F120" s="20">
        <v>44.45</v>
      </c>
      <c r="G120" s="20">
        <v>3.34</v>
      </c>
      <c r="H120" s="47">
        <f t="shared" si="13"/>
        <v>38.232374999999998</v>
      </c>
      <c r="I120" s="42"/>
      <c r="J120" s="19">
        <v>189.61580000000001</v>
      </c>
      <c r="K120" s="20">
        <v>35.971400000000003</v>
      </c>
      <c r="L120" s="20">
        <v>46.432299999999998</v>
      </c>
      <c r="M120" s="20">
        <v>45.502600000000001</v>
      </c>
      <c r="N120" s="20">
        <v>3.5541</v>
      </c>
      <c r="O120" s="47">
        <f t="shared" si="14"/>
        <v>38.470412500000009</v>
      </c>
      <c r="P120" s="42"/>
      <c r="Q120" s="52"/>
      <c r="R120" s="53"/>
      <c r="S120" s="53"/>
      <c r="T120" s="54"/>
      <c r="U120" s="28">
        <f t="shared" si="15"/>
        <v>6.410179640718569E-2</v>
      </c>
      <c r="V120" s="57">
        <f t="shared" si="11"/>
        <v>1.2200000000000084E-2</v>
      </c>
      <c r="W120" s="57">
        <f t="shared" si="12"/>
        <v>5.1920999999999967E-2</v>
      </c>
      <c r="X120" s="56">
        <v>300</v>
      </c>
      <c r="Y120" s="56">
        <v>200</v>
      </c>
    </row>
    <row r="121" spans="2:25" s="43" customFormat="1" x14ac:dyDescent="0.25">
      <c r="B121" s="40" t="s">
        <v>92</v>
      </c>
      <c r="C121" s="29">
        <v>1471.24</v>
      </c>
      <c r="D121" s="30">
        <v>37.499000000000002</v>
      </c>
      <c r="E121" s="30">
        <v>46.570999999999998</v>
      </c>
      <c r="F121" s="30">
        <v>45.351999999999997</v>
      </c>
      <c r="G121" s="16">
        <v>1.85</v>
      </c>
      <c r="H121" s="41">
        <f t="shared" si="13"/>
        <v>39.614625000000004</v>
      </c>
      <c r="I121" s="42"/>
      <c r="J121" s="29">
        <v>1010.2376</v>
      </c>
      <c r="K121" s="30">
        <v>36.676299999999998</v>
      </c>
      <c r="L121" s="30">
        <v>47.063299999999998</v>
      </c>
      <c r="M121" s="30">
        <v>45.831699999999998</v>
      </c>
      <c r="N121" s="16">
        <v>1.7605999999999999</v>
      </c>
      <c r="O121" s="41">
        <f t="shared" si="14"/>
        <v>39.119099999999996</v>
      </c>
      <c r="P121" s="42"/>
      <c r="Q121" s="8">
        <f>bdrate(C121:C124,D121:D124,J121:J124,K121:K124)</f>
        <v>-0.23664030939889158</v>
      </c>
      <c r="R121" s="8">
        <f>bdrate(C121:C124,E121:E124,J121:J124,L121:L124)</f>
        <v>-0.52047058528353873</v>
      </c>
      <c r="S121" s="8">
        <f>bdrate(C121:C124,F121:F124,J121:J124,M121:M124)</f>
        <v>-0.50682548896011226</v>
      </c>
      <c r="T121" s="25">
        <f>bdrate(C121:C124,H121:H124,J121:J124,O121:O124)</f>
        <v>-0.29439387738861478</v>
      </c>
      <c r="U121" s="28">
        <f t="shared" si="15"/>
        <v>-4.8324324324324403E-2</v>
      </c>
      <c r="V121" s="57">
        <f t="shared" si="11"/>
        <v>1.9173333333333327E-2</v>
      </c>
      <c r="W121" s="57">
        <f t="shared" si="12"/>
        <v>1.0237600000000043E-2</v>
      </c>
      <c r="X121" s="56">
        <v>1500</v>
      </c>
      <c r="Y121" s="56">
        <v>1000</v>
      </c>
    </row>
    <row r="122" spans="2:25" s="43" customFormat="1" x14ac:dyDescent="0.25">
      <c r="B122" s="44"/>
      <c r="C122" s="31">
        <v>973.33</v>
      </c>
      <c r="D122" s="32">
        <v>36.399000000000001</v>
      </c>
      <c r="E122" s="32">
        <v>45.716000000000001</v>
      </c>
      <c r="F122" s="32">
        <v>44.526000000000003</v>
      </c>
      <c r="G122" s="18">
        <v>2.19</v>
      </c>
      <c r="H122" s="45">
        <f t="shared" si="13"/>
        <v>38.579500000000003</v>
      </c>
      <c r="I122" s="42"/>
      <c r="J122" s="31">
        <v>605.75509999999997</v>
      </c>
      <c r="K122" s="32">
        <v>35.522500000000001</v>
      </c>
      <c r="L122" s="32">
        <v>46.197299999999998</v>
      </c>
      <c r="M122" s="32">
        <v>44.9602</v>
      </c>
      <c r="N122" s="18">
        <v>2.1114999999999999</v>
      </c>
      <c r="O122" s="45">
        <f t="shared" si="14"/>
        <v>38.036562499999995</v>
      </c>
      <c r="P122" s="42"/>
      <c r="Q122" s="49"/>
      <c r="R122" s="50"/>
      <c r="S122" s="50"/>
      <c r="T122" s="51"/>
      <c r="U122" s="28">
        <f t="shared" si="15"/>
        <v>-3.5844748858447496E-2</v>
      </c>
      <c r="V122" s="57">
        <f t="shared" si="11"/>
        <v>2.6669999999999958E-2</v>
      </c>
      <c r="W122" s="57">
        <f t="shared" si="12"/>
        <v>9.5918333333332838E-3</v>
      </c>
      <c r="X122" s="56">
        <v>1000</v>
      </c>
      <c r="Y122" s="56">
        <v>600</v>
      </c>
    </row>
    <row r="123" spans="2:25" s="43" customFormat="1" x14ac:dyDescent="0.25">
      <c r="B123" s="44"/>
      <c r="C123" s="31">
        <v>576.66</v>
      </c>
      <c r="D123" s="32">
        <v>34.819000000000003</v>
      </c>
      <c r="E123" s="32">
        <v>44.569000000000003</v>
      </c>
      <c r="F123" s="32">
        <v>43.448</v>
      </c>
      <c r="G123" s="18">
        <v>2.5</v>
      </c>
      <c r="H123" s="45">
        <f t="shared" si="13"/>
        <v>37.116374999999998</v>
      </c>
      <c r="I123" s="42"/>
      <c r="J123" s="31">
        <v>298.2826</v>
      </c>
      <c r="K123" s="32">
        <v>33.706400000000002</v>
      </c>
      <c r="L123" s="32">
        <v>44.768799999999999</v>
      </c>
      <c r="M123" s="32">
        <v>43.559199999999997</v>
      </c>
      <c r="N123" s="18">
        <v>2.7218</v>
      </c>
      <c r="O123" s="45">
        <f t="shared" si="14"/>
        <v>36.320799999999998</v>
      </c>
      <c r="P123" s="42"/>
      <c r="Q123" s="49"/>
      <c r="R123" s="50"/>
      <c r="S123" s="50"/>
      <c r="T123" s="51"/>
      <c r="U123" s="28">
        <f t="shared" si="15"/>
        <v>8.8719999999999993E-2</v>
      </c>
      <c r="V123" s="57">
        <f t="shared" si="11"/>
        <v>3.8900000000000053E-2</v>
      </c>
      <c r="W123" s="57">
        <f t="shared" si="12"/>
        <v>5.7246666666666592E-3</v>
      </c>
      <c r="X123" s="56">
        <v>600</v>
      </c>
      <c r="Y123" s="56">
        <v>300</v>
      </c>
    </row>
    <row r="124" spans="2:25" s="43" customFormat="1" ht="16.5" thickBot="1" x14ac:dyDescent="0.3">
      <c r="B124" s="46"/>
      <c r="C124" s="33">
        <v>283.70999999999998</v>
      </c>
      <c r="D124" s="34">
        <v>31.928000000000001</v>
      </c>
      <c r="E124" s="34">
        <v>42.793999999999997</v>
      </c>
      <c r="F124" s="34">
        <v>41.713000000000001</v>
      </c>
      <c r="G124" s="20">
        <v>3.06</v>
      </c>
      <c r="H124" s="47">
        <f t="shared" si="13"/>
        <v>34.509375000000006</v>
      </c>
      <c r="I124" s="42"/>
      <c r="J124" s="33">
        <v>192.114</v>
      </c>
      <c r="K124" s="34">
        <v>32.426400000000001</v>
      </c>
      <c r="L124" s="34">
        <v>43.779699999999998</v>
      </c>
      <c r="M124" s="34">
        <v>42.600299999999997</v>
      </c>
      <c r="N124" s="20">
        <v>3.2397</v>
      </c>
      <c r="O124" s="47">
        <f t="shared" si="14"/>
        <v>35.1173</v>
      </c>
      <c r="P124" s="42"/>
      <c r="Q124" s="52"/>
      <c r="R124" s="53"/>
      <c r="S124" s="53"/>
      <c r="T124" s="54"/>
      <c r="U124" s="28">
        <f t="shared" si="15"/>
        <v>5.8725490196078423E-2</v>
      </c>
      <c r="V124" s="57">
        <f t="shared" si="11"/>
        <v>5.430000000000007E-2</v>
      </c>
      <c r="W124" s="57">
        <f t="shared" si="12"/>
        <v>3.9429999999999979E-2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6">AVERAGE(Q9:Q124)</f>
        <v>-0.31790966995302034</v>
      </c>
      <c r="R125" s="21">
        <f t="shared" si="16"/>
        <v>-0.52952133927499712</v>
      </c>
      <c r="S125" s="21">
        <f t="shared" si="16"/>
        <v>-0.53566306813038167</v>
      </c>
      <c r="T125" s="21">
        <f t="shared" si="16"/>
        <v>-0.36163472921691348</v>
      </c>
      <c r="U125" s="21">
        <f t="shared" si="16"/>
        <v>4.8193513808363404E-2</v>
      </c>
      <c r="V125" s="57">
        <f t="shared" si="16"/>
        <v>4.0677283834928156E-2</v>
      </c>
      <c r="W125" s="57">
        <f t="shared" si="16"/>
        <v>2.1793476149425291E-2</v>
      </c>
      <c r="X125" s="57"/>
      <c r="Y125" s="56"/>
    </row>
    <row r="127" spans="2:25" s="35" customFormat="1" ht="15.75" customHeight="1" x14ac:dyDescent="0.25">
      <c r="B127" s="74" t="s">
        <v>29</v>
      </c>
      <c r="C127" s="68" t="s">
        <v>121</v>
      </c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70"/>
    </row>
    <row r="128" spans="2:25" s="35" customFormat="1" x14ac:dyDescent="0.25">
      <c r="B128" s="75"/>
      <c r="C128" s="71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3"/>
    </row>
    <row r="129" spans="1:25" ht="16.5" customHeight="1" thickBot="1" x14ac:dyDescent="0.3">
      <c r="C129" s="76" t="s">
        <v>129</v>
      </c>
      <c r="D129" s="77"/>
      <c r="E129" s="77"/>
      <c r="F129" s="77"/>
      <c r="G129" s="77"/>
      <c r="H129" s="77"/>
      <c r="I129" s="5"/>
      <c r="J129" s="76" t="s">
        <v>104</v>
      </c>
      <c r="K129" s="77"/>
      <c r="L129" s="77"/>
      <c r="M129" s="77"/>
      <c r="N129" s="77"/>
      <c r="O129" s="77"/>
      <c r="Q129" s="76" t="s">
        <v>7</v>
      </c>
      <c r="R129" s="77"/>
      <c r="S129" s="78"/>
      <c r="T129" s="36"/>
      <c r="U129" s="79" t="s">
        <v>45</v>
      </c>
      <c r="V129" s="67" t="s">
        <v>96</v>
      </c>
      <c r="W129" s="67"/>
      <c r="X129" s="67"/>
      <c r="Y129" s="67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9"/>
      <c r="V130" s="55" t="s">
        <v>101</v>
      </c>
      <c r="W130" s="55" t="s">
        <v>97</v>
      </c>
      <c r="X130" s="56" t="s">
        <v>102</v>
      </c>
      <c r="Y130" s="56" t="s">
        <v>98</v>
      </c>
    </row>
    <row r="131" spans="1:25" x14ac:dyDescent="0.25">
      <c r="A131" s="6" t="s">
        <v>35</v>
      </c>
      <c r="B131" s="6" t="s">
        <v>46</v>
      </c>
      <c r="C131" s="15">
        <v>5652.92</v>
      </c>
      <c r="D131" s="16">
        <v>38.122999999999998</v>
      </c>
      <c r="E131" s="16">
        <v>39.161000000000001</v>
      </c>
      <c r="F131" s="16">
        <v>41.582999999999998</v>
      </c>
      <c r="G131" s="16">
        <v>1.81</v>
      </c>
      <c r="H131" s="16">
        <f t="shared" ref="H131:H202" si="17">(6*D131+E131+F131)/8</f>
        <v>38.685249999999996</v>
      </c>
      <c r="I131" s="5"/>
      <c r="J131" s="15">
        <v>4018.3456000000001</v>
      </c>
      <c r="K131" s="16">
        <v>38.3401</v>
      </c>
      <c r="L131" s="16">
        <v>40.040399999999998</v>
      </c>
      <c r="M131" s="16">
        <v>42.692500000000003</v>
      </c>
      <c r="N131" s="16">
        <v>2.2324999999999999</v>
      </c>
      <c r="O131" s="16">
        <f t="shared" ref="O131:O202" si="18">(6*K131+L131+M131)/8</f>
        <v>39.096687499999994</v>
      </c>
      <c r="P131" s="7"/>
      <c r="Q131" s="8">
        <f>bdrate(C131:C134,D131:D134,J131:J134,K131:K134)</f>
        <v>-0.37955658713972662</v>
      </c>
      <c r="R131" s="8">
        <f>bdrate(C131:C134,E131:E134,J131:J134,L131:L134)</f>
        <v>-0.57274235698007869</v>
      </c>
      <c r="S131" s="8">
        <f>bdrate(C131:C134,F131:F134,J131:J134,M131:M134)</f>
        <v>-0.56425730857314238</v>
      </c>
      <c r="T131" s="25">
        <f>bdrate(C131:C134,H131:H134,J131:J134,O131:O134)</f>
        <v>-0.40894752234848064</v>
      </c>
      <c r="U131" s="28">
        <f t="shared" ref="U131:U194" si="19">(N131-G131)/G131</f>
        <v>0.23342541436464082</v>
      </c>
      <c r="V131" s="57">
        <f>ABS(C131-X131)/X131</f>
        <v>5.7846666666666657E-2</v>
      </c>
      <c r="W131" s="57">
        <f t="shared" ref="W131:W194" si="20">ABS(J131-Y131)/Y131</f>
        <v>4.586400000000026E-3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4183.7700000000004</v>
      </c>
      <c r="D132" s="18">
        <v>37.076000000000001</v>
      </c>
      <c r="E132" s="18">
        <v>38.628</v>
      </c>
      <c r="F132" s="18">
        <v>41.027999999999999</v>
      </c>
      <c r="G132" s="18">
        <v>2.02</v>
      </c>
      <c r="H132" s="18">
        <f t="shared" si="17"/>
        <v>37.764000000000003</v>
      </c>
      <c r="I132" s="5"/>
      <c r="J132" s="17">
        <v>2976.8944000000001</v>
      </c>
      <c r="K132" s="18">
        <v>37.380800000000001</v>
      </c>
      <c r="L132" s="18">
        <v>39.512799999999999</v>
      </c>
      <c r="M132" s="18">
        <v>42.0075</v>
      </c>
      <c r="N132" s="18">
        <v>2.5013999999999998</v>
      </c>
      <c r="O132" s="18">
        <f t="shared" si="18"/>
        <v>38.225637499999998</v>
      </c>
      <c r="P132" s="7"/>
      <c r="Q132" s="10"/>
      <c r="R132" s="11"/>
      <c r="S132" s="11"/>
      <c r="T132" s="26"/>
      <c r="U132" s="28">
        <f t="shared" si="19"/>
        <v>0.23831683168316822</v>
      </c>
      <c r="V132" s="57">
        <f t="shared" ref="V132:V195" si="21">ABS(C132-X132)/X132</f>
        <v>7.0273333333333229E-2</v>
      </c>
      <c r="W132" s="57">
        <f t="shared" si="20"/>
        <v>7.7018666666666229E-3</v>
      </c>
      <c r="X132" s="56">
        <v>4500</v>
      </c>
      <c r="Y132" s="56">
        <v>3000</v>
      </c>
    </row>
    <row r="133" spans="1:25" x14ac:dyDescent="0.25">
      <c r="B133" s="9"/>
      <c r="C133" s="17">
        <v>2750.94</v>
      </c>
      <c r="D133" s="18">
        <v>35.398000000000003</v>
      </c>
      <c r="E133" s="18">
        <v>37.927</v>
      </c>
      <c r="F133" s="18">
        <v>40.292999999999999</v>
      </c>
      <c r="G133" s="18">
        <v>2.34</v>
      </c>
      <c r="H133" s="18">
        <f t="shared" si="17"/>
        <v>36.326000000000001</v>
      </c>
      <c r="I133" s="5"/>
      <c r="J133" s="17">
        <v>1940.7344000000001</v>
      </c>
      <c r="K133" s="18">
        <v>35.854199999999999</v>
      </c>
      <c r="L133" s="18">
        <v>38.805</v>
      </c>
      <c r="M133" s="18">
        <v>41.198599999999999</v>
      </c>
      <c r="N133" s="18">
        <v>2.8856000000000002</v>
      </c>
      <c r="O133" s="18">
        <f t="shared" si="18"/>
        <v>36.891100000000002</v>
      </c>
      <c r="P133" s="7"/>
      <c r="Q133" s="10"/>
      <c r="R133" s="11"/>
      <c r="S133" s="11"/>
      <c r="T133" s="26"/>
      <c r="U133" s="28">
        <f t="shared" si="19"/>
        <v>0.23316239316239332</v>
      </c>
      <c r="V133" s="57">
        <f t="shared" si="21"/>
        <v>8.3019999999999983E-2</v>
      </c>
      <c r="W133" s="57">
        <f t="shared" si="20"/>
        <v>2.9632799999999973E-2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1360.16</v>
      </c>
      <c r="D134" s="20">
        <v>32.011000000000003</v>
      </c>
      <c r="E134" s="20">
        <v>36.790999999999997</v>
      </c>
      <c r="F134" s="20">
        <v>39.061999999999998</v>
      </c>
      <c r="G134" s="20">
        <v>2.9</v>
      </c>
      <c r="H134" s="20">
        <f t="shared" si="17"/>
        <v>33.489875000000005</v>
      </c>
      <c r="I134" s="5"/>
      <c r="J134" s="19">
        <v>916.88639999999998</v>
      </c>
      <c r="K134" s="20">
        <v>32.9771</v>
      </c>
      <c r="L134" s="20">
        <v>37.436799999999998</v>
      </c>
      <c r="M134" s="20">
        <v>39.720700000000001</v>
      </c>
      <c r="N134" s="20">
        <v>3.6568999999999998</v>
      </c>
      <c r="O134" s="20">
        <f t="shared" si="18"/>
        <v>34.377512500000002</v>
      </c>
      <c r="P134" s="7"/>
      <c r="Q134" s="13"/>
      <c r="R134" s="14"/>
      <c r="S134" s="14"/>
      <c r="T134" s="27"/>
      <c r="U134" s="28">
        <f t="shared" si="19"/>
        <v>0.26099999999999995</v>
      </c>
      <c r="V134" s="57">
        <f t="shared" si="21"/>
        <v>9.3226666666666611E-2</v>
      </c>
      <c r="W134" s="57">
        <f t="shared" si="20"/>
        <v>8.3113600000000024E-2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6263.74</v>
      </c>
      <c r="D135" s="16">
        <v>30.521000000000001</v>
      </c>
      <c r="E135" s="16">
        <v>39.939</v>
      </c>
      <c r="F135" s="16">
        <v>40.665999999999997</v>
      </c>
      <c r="G135" s="16">
        <v>1.49</v>
      </c>
      <c r="H135" s="16">
        <f t="shared" si="17"/>
        <v>32.966374999999999</v>
      </c>
      <c r="I135" s="5"/>
      <c r="J135" s="15">
        <v>4063.192</v>
      </c>
      <c r="K135" s="16">
        <v>30.028400000000001</v>
      </c>
      <c r="L135" s="16">
        <v>40.265599999999999</v>
      </c>
      <c r="M135" s="16">
        <v>41.091900000000003</v>
      </c>
      <c r="N135" s="16">
        <v>1.6554</v>
      </c>
      <c r="O135" s="16">
        <f t="shared" si="18"/>
        <v>32.690987499999999</v>
      </c>
      <c r="P135" s="7"/>
      <c r="Q135" s="8">
        <f>bdrate(C135:C138,D135:D138,J135:J138,K135:K138)</f>
        <v>-0.35732250191249793</v>
      </c>
      <c r="R135" s="8">
        <f>bdrate(C135:C138,E135:E138,J135:J138,L135:L138)</f>
        <v>-0.39446507070356052</v>
      </c>
      <c r="S135" s="8">
        <f>bdrate(C135:C138,F135:F138,J135:J138,M135:M138)</f>
        <v>-0.46807414590879726</v>
      </c>
      <c r="T135" s="25">
        <f>bdrate(C135:C138,H135:H138,J135:J138,O135:O138)</f>
        <v>-0.36802601788441025</v>
      </c>
      <c r="U135" s="28">
        <f t="shared" si="19"/>
        <v>0.11100671140939597</v>
      </c>
      <c r="V135" s="57">
        <f t="shared" si="21"/>
        <v>4.395666666666663E-2</v>
      </c>
      <c r="W135" s="57">
        <f t="shared" si="20"/>
        <v>1.5798000000000003E-2</v>
      </c>
      <c r="X135" s="56">
        <v>6000</v>
      </c>
      <c r="Y135" s="56">
        <v>4000</v>
      </c>
    </row>
    <row r="136" spans="1:25" x14ac:dyDescent="0.25">
      <c r="B136" s="9"/>
      <c r="C136" s="17">
        <v>4732.83</v>
      </c>
      <c r="D136" s="18">
        <v>29.021999999999998</v>
      </c>
      <c r="E136" s="18">
        <v>39.411999999999999</v>
      </c>
      <c r="F136" s="18">
        <v>40.173999999999999</v>
      </c>
      <c r="G136" s="18">
        <v>1.62</v>
      </c>
      <c r="H136" s="18">
        <f t="shared" si="17"/>
        <v>31.714750000000002</v>
      </c>
      <c r="I136" s="5"/>
      <c r="J136" s="17">
        <v>3052.7184000000002</v>
      </c>
      <c r="K136" s="18">
        <v>28.749600000000001</v>
      </c>
      <c r="L136" s="18">
        <v>39.701599999999999</v>
      </c>
      <c r="M136" s="18">
        <v>40.586199999999998</v>
      </c>
      <c r="N136" s="18">
        <v>1.8026</v>
      </c>
      <c r="O136" s="18">
        <f t="shared" si="18"/>
        <v>31.598175000000001</v>
      </c>
      <c r="P136" s="7"/>
      <c r="Q136" s="10"/>
      <c r="R136" s="11"/>
      <c r="S136" s="11"/>
      <c r="T136" s="26"/>
      <c r="U136" s="28">
        <f t="shared" si="19"/>
        <v>0.11271604938271597</v>
      </c>
      <c r="V136" s="57">
        <f t="shared" si="21"/>
        <v>5.173999999999998E-2</v>
      </c>
      <c r="W136" s="57">
        <f t="shared" si="20"/>
        <v>1.7572800000000065E-2</v>
      </c>
      <c r="X136" s="56">
        <v>4500</v>
      </c>
      <c r="Y136" s="56">
        <v>3000</v>
      </c>
    </row>
    <row r="137" spans="1:25" x14ac:dyDescent="0.25">
      <c r="B137" s="9"/>
      <c r="C137" s="17">
        <v>3161.82</v>
      </c>
      <c r="D137" s="18">
        <v>26.837</v>
      </c>
      <c r="E137" s="18">
        <v>38.707000000000001</v>
      </c>
      <c r="F137" s="18">
        <v>39.493000000000002</v>
      </c>
      <c r="G137" s="18">
        <v>1.85</v>
      </c>
      <c r="H137" s="18">
        <f t="shared" si="17"/>
        <v>29.902749999999997</v>
      </c>
      <c r="I137" s="5"/>
      <c r="J137" s="17">
        <v>2028.4911999999999</v>
      </c>
      <c r="K137" s="18">
        <v>26.9222</v>
      </c>
      <c r="L137" s="18">
        <v>38.903100000000002</v>
      </c>
      <c r="M137" s="18">
        <v>39.9191</v>
      </c>
      <c r="N137" s="18">
        <v>2.0874999999999999</v>
      </c>
      <c r="O137" s="18">
        <f t="shared" si="18"/>
        <v>30.044424999999997</v>
      </c>
      <c r="P137" s="7"/>
      <c r="Q137" s="10"/>
      <c r="R137" s="11"/>
      <c r="S137" s="11"/>
      <c r="T137" s="26"/>
      <c r="U137" s="28">
        <f t="shared" si="19"/>
        <v>0.12837837837837829</v>
      </c>
      <c r="V137" s="57">
        <f t="shared" si="21"/>
        <v>5.3940000000000057E-2</v>
      </c>
      <c r="W137" s="57">
        <f t="shared" si="20"/>
        <v>1.4245599999999968E-2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1539.64</v>
      </c>
      <c r="D138" s="20">
        <v>23.454999999999998</v>
      </c>
      <c r="E138" s="20">
        <v>37.505000000000003</v>
      </c>
      <c r="F138" s="20">
        <v>38.402000000000001</v>
      </c>
      <c r="G138" s="20">
        <v>2.12</v>
      </c>
      <c r="H138" s="20">
        <f t="shared" si="17"/>
        <v>27.079625</v>
      </c>
      <c r="I138" s="5"/>
      <c r="J138" s="19">
        <v>1240.3824</v>
      </c>
      <c r="K138" s="20">
        <v>25.114000000000001</v>
      </c>
      <c r="L138" s="20">
        <v>37.592799999999997</v>
      </c>
      <c r="M138" s="20">
        <v>38.7057</v>
      </c>
      <c r="N138" s="20">
        <v>2.3269000000000002</v>
      </c>
      <c r="O138" s="20">
        <f t="shared" si="18"/>
        <v>28.372812499999998</v>
      </c>
      <c r="P138" s="7"/>
      <c r="Q138" s="13"/>
      <c r="R138" s="14"/>
      <c r="S138" s="14"/>
      <c r="T138" s="27"/>
      <c r="U138" s="28">
        <f t="shared" si="19"/>
        <v>9.7594339622641538E-2</v>
      </c>
      <c r="V138" s="57">
        <f t="shared" si="21"/>
        <v>2.6426666666666734E-2</v>
      </c>
      <c r="W138" s="57">
        <f t="shared" si="20"/>
        <v>0.24038239999999997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3023.7</v>
      </c>
      <c r="D139" s="16">
        <v>39.127000000000002</v>
      </c>
      <c r="E139" s="16">
        <v>41.889000000000003</v>
      </c>
      <c r="F139" s="16">
        <v>43.011000000000003</v>
      </c>
      <c r="G139" s="16">
        <v>2.69</v>
      </c>
      <c r="H139" s="16">
        <f t="shared" si="17"/>
        <v>39.957750000000004</v>
      </c>
      <c r="I139" s="5"/>
      <c r="J139" s="15">
        <v>2359.5472</v>
      </c>
      <c r="K139" s="16">
        <v>39.497500000000002</v>
      </c>
      <c r="L139" s="16">
        <v>42.341700000000003</v>
      </c>
      <c r="M139" s="16">
        <v>43.924900000000001</v>
      </c>
      <c r="N139" s="16">
        <v>3.5952000000000002</v>
      </c>
      <c r="O139" s="16">
        <f t="shared" si="18"/>
        <v>40.40645</v>
      </c>
      <c r="P139" s="7"/>
      <c r="Q139" s="8">
        <f>bdrate(C139:C142,D139:D142,J139:J142,K139:K142)</f>
        <v>-0.36460525102122521</v>
      </c>
      <c r="R139" s="8">
        <f>bdrate(C139:C142,E139:E142,J139:J142,L139:L142)</f>
        <v>-0.44930020774409762</v>
      </c>
      <c r="S139" s="8">
        <f>bdrate(C139:C142,F139:F142,J139:J142,M139:M142)</f>
        <v>-0.53072541773209592</v>
      </c>
      <c r="T139" s="25">
        <f>bdrate(C139:C142,H139:H142,J139:J142,O139:O142)</f>
        <v>-0.38477600413224933</v>
      </c>
      <c r="U139" s="28">
        <f t="shared" si="19"/>
        <v>0.3365055762081785</v>
      </c>
      <c r="V139" s="57">
        <f t="shared" si="21"/>
        <v>0.16008333333333338</v>
      </c>
      <c r="W139" s="57">
        <f t="shared" si="20"/>
        <v>1.6855333333333344E-2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1984.65</v>
      </c>
      <c r="D140" s="18">
        <v>37.664000000000001</v>
      </c>
      <c r="E140" s="18">
        <v>41.140999999999998</v>
      </c>
      <c r="F140" s="18">
        <v>42.116999999999997</v>
      </c>
      <c r="G140" s="18">
        <v>3.11</v>
      </c>
      <c r="H140" s="18">
        <f t="shared" si="17"/>
        <v>38.655250000000002</v>
      </c>
      <c r="I140" s="5"/>
      <c r="J140" s="17">
        <v>1569.8488</v>
      </c>
      <c r="K140" s="18">
        <v>38.235199999999999</v>
      </c>
      <c r="L140" s="18">
        <v>41.6813</v>
      </c>
      <c r="M140" s="18">
        <v>43.084600000000002</v>
      </c>
      <c r="N140" s="18">
        <v>4.1867999999999999</v>
      </c>
      <c r="O140" s="18">
        <f t="shared" si="18"/>
        <v>39.272137500000007</v>
      </c>
      <c r="P140" s="7"/>
      <c r="Q140" s="10"/>
      <c r="R140" s="11"/>
      <c r="S140" s="11"/>
      <c r="T140" s="26"/>
      <c r="U140" s="28">
        <f t="shared" si="19"/>
        <v>0.3462379421221865</v>
      </c>
      <c r="V140" s="57">
        <f t="shared" si="21"/>
        <v>0.17306249999999995</v>
      </c>
      <c r="W140" s="57">
        <f t="shared" si="20"/>
        <v>1.8844500000000011E-2</v>
      </c>
      <c r="X140" s="56">
        <v>2400</v>
      </c>
      <c r="Y140" s="56">
        <v>1600</v>
      </c>
    </row>
    <row r="141" spans="1:25" x14ac:dyDescent="0.25">
      <c r="B141" s="9"/>
      <c r="C141" s="17">
        <v>1232.0899999999999</v>
      </c>
      <c r="D141" s="18">
        <v>35.752000000000002</v>
      </c>
      <c r="E141" s="18">
        <v>40.274000000000001</v>
      </c>
      <c r="F141" s="18">
        <v>41.194000000000003</v>
      </c>
      <c r="G141" s="18">
        <v>3.71</v>
      </c>
      <c r="H141" s="18">
        <f t="shared" si="17"/>
        <v>36.997500000000002</v>
      </c>
      <c r="I141" s="5"/>
      <c r="J141" s="17">
        <v>973.87279999999998</v>
      </c>
      <c r="K141" s="18">
        <v>36.6892</v>
      </c>
      <c r="L141" s="18">
        <v>40.920900000000003</v>
      </c>
      <c r="M141" s="18">
        <v>42.17</v>
      </c>
      <c r="N141" s="18">
        <v>4.8910999999999998</v>
      </c>
      <c r="O141" s="18">
        <f t="shared" si="18"/>
        <v>37.903262500000004</v>
      </c>
      <c r="P141" s="7"/>
      <c r="Q141" s="10"/>
      <c r="R141" s="11"/>
      <c r="S141" s="11"/>
      <c r="T141" s="26"/>
      <c r="U141" s="28">
        <f t="shared" si="19"/>
        <v>0.31835579514824791</v>
      </c>
      <c r="V141" s="57">
        <f t="shared" si="21"/>
        <v>0.17860666666666672</v>
      </c>
      <c r="W141" s="57">
        <f t="shared" si="20"/>
        <v>2.6127200000000017E-2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733.58</v>
      </c>
      <c r="D142" s="20">
        <v>33.421999999999997</v>
      </c>
      <c r="E142" s="20">
        <v>39.39</v>
      </c>
      <c r="F142" s="20">
        <v>40.317</v>
      </c>
      <c r="G142" s="20">
        <v>4.54</v>
      </c>
      <c r="H142" s="20">
        <f t="shared" si="17"/>
        <v>35.029874999999997</v>
      </c>
      <c r="I142" s="5"/>
      <c r="J142" s="19">
        <v>564.65520000000004</v>
      </c>
      <c r="K142" s="20">
        <v>34.825200000000002</v>
      </c>
      <c r="L142" s="20">
        <v>40.171199999999999</v>
      </c>
      <c r="M142" s="20">
        <v>41.412100000000002</v>
      </c>
      <c r="N142" s="20">
        <v>5.9280999999999997</v>
      </c>
      <c r="O142" s="20">
        <f t="shared" si="18"/>
        <v>36.316812500000005</v>
      </c>
      <c r="P142" s="7"/>
      <c r="Q142" s="13"/>
      <c r="R142" s="14"/>
      <c r="S142" s="14"/>
      <c r="T142" s="27"/>
      <c r="U142" s="28">
        <f t="shared" si="19"/>
        <v>0.30574889867841404</v>
      </c>
      <c r="V142" s="57">
        <f t="shared" si="21"/>
        <v>0.18491111111111105</v>
      </c>
      <c r="W142" s="57">
        <f t="shared" si="20"/>
        <v>5.890799999999994E-2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3410.32</v>
      </c>
      <c r="D143" s="16">
        <v>36.655999999999999</v>
      </c>
      <c r="E143" s="16">
        <v>39.49</v>
      </c>
      <c r="F143" s="16">
        <v>40.64</v>
      </c>
      <c r="G143" s="16">
        <v>2.88</v>
      </c>
      <c r="H143" s="16">
        <f t="shared" si="17"/>
        <v>37.508249999999997</v>
      </c>
      <c r="I143" s="5"/>
      <c r="J143" s="15">
        <v>2506.9776000000002</v>
      </c>
      <c r="K143" s="16">
        <v>36.453600000000002</v>
      </c>
      <c r="L143" s="16">
        <v>40.633000000000003</v>
      </c>
      <c r="M143" s="16">
        <v>41.907699999999998</v>
      </c>
      <c r="N143" s="16">
        <v>3.7349000000000001</v>
      </c>
      <c r="O143" s="16">
        <f t="shared" si="18"/>
        <v>37.657787499999998</v>
      </c>
      <c r="P143" s="7"/>
      <c r="Q143" s="8">
        <f>bdrate(C143:C146,D143:D146,J143:J146,K143:K146)</f>
        <v>-0.2855122243941931</v>
      </c>
      <c r="R143" s="8">
        <f>bdrate(C143:C146,E143:E146,J143:J146,L143:L146)</f>
        <v>-0.59201642375406682</v>
      </c>
      <c r="S143" s="8">
        <f>bdrate(C143:C146,F143:F146,J143:J146,M143:M146)</f>
        <v>-0.59165290453040564</v>
      </c>
      <c r="T143" s="25">
        <f>bdrate(C143:C146,H143:H146,J143:J146,O143:O146)</f>
        <v>-0.33903595164041489</v>
      </c>
      <c r="U143" s="28">
        <f t="shared" si="19"/>
        <v>0.29684027777777788</v>
      </c>
      <c r="V143" s="57">
        <f t="shared" si="21"/>
        <v>5.2688888888888841E-2</v>
      </c>
      <c r="W143" s="57">
        <f t="shared" si="20"/>
        <v>4.4574000000000072E-2</v>
      </c>
      <c r="X143" s="56">
        <v>3600</v>
      </c>
      <c r="Y143" s="56">
        <v>2400</v>
      </c>
    </row>
    <row r="144" spans="1:25" x14ac:dyDescent="0.25">
      <c r="B144" s="9"/>
      <c r="C144" s="17">
        <v>2252.08</v>
      </c>
      <c r="D144" s="18">
        <v>35.216000000000001</v>
      </c>
      <c r="E144" s="18">
        <v>38.716000000000001</v>
      </c>
      <c r="F144" s="18">
        <v>40.009</v>
      </c>
      <c r="G144" s="18">
        <v>3.26</v>
      </c>
      <c r="H144" s="18">
        <f t="shared" si="17"/>
        <v>36.252625000000002</v>
      </c>
      <c r="I144" s="5"/>
      <c r="J144" s="17">
        <v>1679.1104</v>
      </c>
      <c r="K144" s="18">
        <v>35.159599999999998</v>
      </c>
      <c r="L144" s="18">
        <v>39.842100000000002</v>
      </c>
      <c r="M144" s="18">
        <v>41.063299999999998</v>
      </c>
      <c r="N144" s="18">
        <v>4.3701999999999996</v>
      </c>
      <c r="O144" s="18">
        <f t="shared" si="18"/>
        <v>36.482874999999993</v>
      </c>
      <c r="P144" s="7"/>
      <c r="Q144" s="10"/>
      <c r="R144" s="11"/>
      <c r="S144" s="11"/>
      <c r="T144" s="26"/>
      <c r="U144" s="28">
        <f t="shared" si="19"/>
        <v>0.3405521472392638</v>
      </c>
      <c r="V144" s="57">
        <f t="shared" si="21"/>
        <v>6.1633333333333366E-2</v>
      </c>
      <c r="W144" s="57">
        <f t="shared" si="20"/>
        <v>4.9444000000000016E-2</v>
      </c>
      <c r="X144" s="56">
        <v>2400</v>
      </c>
      <c r="Y144" s="56">
        <v>1600</v>
      </c>
    </row>
    <row r="145" spans="1:25" x14ac:dyDescent="0.25">
      <c r="B145" s="9"/>
      <c r="C145" s="17">
        <v>1402.27</v>
      </c>
      <c r="D145" s="18">
        <v>33.468000000000004</v>
      </c>
      <c r="E145" s="18">
        <v>37.924999999999997</v>
      </c>
      <c r="F145" s="18">
        <v>39.347000000000001</v>
      </c>
      <c r="G145" s="18">
        <v>3.82</v>
      </c>
      <c r="H145" s="18">
        <f t="shared" si="17"/>
        <v>34.76</v>
      </c>
      <c r="I145" s="5"/>
      <c r="J145" s="17">
        <v>1031.6576</v>
      </c>
      <c r="K145" s="18">
        <v>33.685000000000002</v>
      </c>
      <c r="L145" s="18">
        <v>38.943199999999997</v>
      </c>
      <c r="M145" s="18">
        <v>40.200899999999997</v>
      </c>
      <c r="N145" s="18">
        <v>5.2092000000000001</v>
      </c>
      <c r="O145" s="18">
        <f t="shared" si="18"/>
        <v>35.156762499999999</v>
      </c>
      <c r="P145" s="7"/>
      <c r="Q145" s="10"/>
      <c r="R145" s="11"/>
      <c r="S145" s="11"/>
      <c r="T145" s="26"/>
      <c r="U145" s="28">
        <f t="shared" si="19"/>
        <v>0.36366492146596868</v>
      </c>
      <c r="V145" s="57">
        <f t="shared" si="21"/>
        <v>6.5153333333333341E-2</v>
      </c>
      <c r="W145" s="57">
        <f t="shared" si="20"/>
        <v>3.1657600000000001E-2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833.55</v>
      </c>
      <c r="D146" s="20">
        <v>31.504000000000001</v>
      </c>
      <c r="E146" s="20">
        <v>37.164000000000001</v>
      </c>
      <c r="F146" s="20">
        <v>38.716999999999999</v>
      </c>
      <c r="G146" s="20">
        <v>4.58</v>
      </c>
      <c r="H146" s="20">
        <f t="shared" si="17"/>
        <v>33.113124999999997</v>
      </c>
      <c r="I146" s="5"/>
      <c r="J146" s="19">
        <v>605.15920000000006</v>
      </c>
      <c r="K146" s="20">
        <v>32.0167</v>
      </c>
      <c r="L146" s="20">
        <v>37.9619</v>
      </c>
      <c r="M146" s="20">
        <v>39.355699999999999</v>
      </c>
      <c r="N146" s="20">
        <v>6.1445999999999996</v>
      </c>
      <c r="O146" s="20">
        <f t="shared" si="18"/>
        <v>33.677225</v>
      </c>
      <c r="P146" s="7"/>
      <c r="Q146" s="13"/>
      <c r="R146" s="14"/>
      <c r="S146" s="14"/>
      <c r="T146" s="27"/>
      <c r="U146" s="28">
        <f t="shared" si="19"/>
        <v>0.34161572052401734</v>
      </c>
      <c r="V146" s="57">
        <f t="shared" si="21"/>
        <v>7.383333333333339E-2</v>
      </c>
      <c r="W146" s="57">
        <f t="shared" si="20"/>
        <v>8.5986666666667596E-3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3528.18</v>
      </c>
      <c r="D147" s="16">
        <v>34.53</v>
      </c>
      <c r="E147" s="16">
        <v>38.101999999999997</v>
      </c>
      <c r="F147" s="16">
        <v>39.81</v>
      </c>
      <c r="G147" s="16">
        <v>3.76</v>
      </c>
      <c r="H147" s="16">
        <f t="shared" si="17"/>
        <v>35.636499999999998</v>
      </c>
      <c r="I147" s="5"/>
      <c r="J147" s="15">
        <v>2408.1080000000002</v>
      </c>
      <c r="K147" s="16">
        <v>34.788800000000002</v>
      </c>
      <c r="L147" s="16">
        <v>38.619199999999999</v>
      </c>
      <c r="M147" s="16">
        <v>40.977699999999999</v>
      </c>
      <c r="N147" s="16">
        <v>5.0374999999999996</v>
      </c>
      <c r="O147" s="16">
        <f t="shared" si="18"/>
        <v>36.0412125</v>
      </c>
      <c r="P147" s="7"/>
      <c r="Q147" s="8">
        <f>bdrate(C147:C150,D147:D150,J147:J150,K147:K150)</f>
        <v>-0.4203276681939303</v>
      </c>
      <c r="R147" s="8">
        <f>bdrate(C147:C150,E147:E150,J147:J150,L147:L150)</f>
        <v>-0.59319241695308267</v>
      </c>
      <c r="S147" s="8">
        <f>bdrate(C147:C150,F147:F150,J147:J150,M147:M150)</f>
        <v>-0.61589561100004486</v>
      </c>
      <c r="T147" s="25">
        <f>bdrate(C147:C150,H147:H150,J147:J150,O147:O150)</f>
        <v>-0.45137924462698453</v>
      </c>
      <c r="U147" s="28">
        <f t="shared" si="19"/>
        <v>0.33976063829787234</v>
      </c>
      <c r="V147" s="57">
        <f t="shared" si="21"/>
        <v>1.9950000000000044E-2</v>
      </c>
      <c r="W147" s="57">
        <f t="shared" si="20"/>
        <v>3.3783333333334063E-3</v>
      </c>
      <c r="X147" s="56">
        <v>3600</v>
      </c>
      <c r="Y147" s="56">
        <v>2400</v>
      </c>
    </row>
    <row r="148" spans="1:25" x14ac:dyDescent="0.25">
      <c r="B148" s="9"/>
      <c r="C148" s="17">
        <v>2349.58</v>
      </c>
      <c r="D148" s="18">
        <v>33.1</v>
      </c>
      <c r="E148" s="18">
        <v>37.524999999999999</v>
      </c>
      <c r="F148" s="18">
        <v>38.854999999999997</v>
      </c>
      <c r="G148" s="18">
        <v>4.38</v>
      </c>
      <c r="H148" s="18">
        <f t="shared" si="17"/>
        <v>34.372500000000002</v>
      </c>
      <c r="I148" s="5"/>
      <c r="J148" s="17">
        <v>1605.7048</v>
      </c>
      <c r="K148" s="18">
        <v>33.584499999999998</v>
      </c>
      <c r="L148" s="18">
        <v>38.166499999999999</v>
      </c>
      <c r="M148" s="18">
        <v>40.1126</v>
      </c>
      <c r="N148" s="18">
        <v>5.8122999999999996</v>
      </c>
      <c r="O148" s="18">
        <f t="shared" si="18"/>
        <v>34.973262499999997</v>
      </c>
      <c r="P148" s="7"/>
      <c r="Q148" s="10"/>
      <c r="R148" s="11"/>
      <c r="S148" s="11"/>
      <c r="T148" s="26"/>
      <c r="U148" s="28">
        <f t="shared" si="19"/>
        <v>0.32700913242009128</v>
      </c>
      <c r="V148" s="57">
        <f t="shared" si="21"/>
        <v>2.1008333333333365E-2</v>
      </c>
      <c r="W148" s="57">
        <f t="shared" si="20"/>
        <v>3.5654999999999858E-3</v>
      </c>
      <c r="X148" s="56">
        <v>2400</v>
      </c>
      <c r="Y148" s="56">
        <v>1600</v>
      </c>
    </row>
    <row r="149" spans="1:25" x14ac:dyDescent="0.25">
      <c r="B149" s="9"/>
      <c r="C149" s="17">
        <v>1460.64</v>
      </c>
      <c r="D149" s="18">
        <v>31.271000000000001</v>
      </c>
      <c r="E149" s="18">
        <v>36.85</v>
      </c>
      <c r="F149" s="18">
        <v>37.768999999999998</v>
      </c>
      <c r="G149" s="18">
        <v>5.26</v>
      </c>
      <c r="H149" s="18">
        <f t="shared" si="17"/>
        <v>32.780625000000001</v>
      </c>
      <c r="I149" s="5"/>
      <c r="J149" s="17">
        <v>1003.1336</v>
      </c>
      <c r="K149" s="18">
        <v>31.947199999999999</v>
      </c>
      <c r="L149" s="18">
        <v>37.574599999999997</v>
      </c>
      <c r="M149" s="18">
        <v>39.059800000000003</v>
      </c>
      <c r="N149" s="18">
        <v>6.7602000000000002</v>
      </c>
      <c r="O149" s="18">
        <f t="shared" si="18"/>
        <v>33.539700000000003</v>
      </c>
      <c r="P149" s="7"/>
      <c r="Q149" s="10"/>
      <c r="R149" s="11"/>
      <c r="S149" s="11"/>
      <c r="T149" s="26"/>
      <c r="U149" s="28">
        <f t="shared" si="19"/>
        <v>0.28520912547528526</v>
      </c>
      <c r="V149" s="57">
        <f t="shared" si="21"/>
        <v>2.6239999999999934E-2</v>
      </c>
      <c r="W149" s="57">
        <f t="shared" si="20"/>
        <v>3.1336000000000011E-3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879.67</v>
      </c>
      <c r="D150" s="20">
        <v>29.093</v>
      </c>
      <c r="E150" s="20">
        <v>36.179000000000002</v>
      </c>
      <c r="F150" s="20">
        <v>36.664999999999999</v>
      </c>
      <c r="G150" s="20">
        <v>6.35</v>
      </c>
      <c r="H150" s="20">
        <f t="shared" si="17"/>
        <v>30.925249999999998</v>
      </c>
      <c r="I150" s="5"/>
      <c r="J150" s="19">
        <v>595.93759999999997</v>
      </c>
      <c r="K150" s="20">
        <v>30.181699999999999</v>
      </c>
      <c r="L150" s="20">
        <v>36.968600000000002</v>
      </c>
      <c r="M150" s="20">
        <v>38.067500000000003</v>
      </c>
      <c r="N150" s="20">
        <v>8.0360999999999994</v>
      </c>
      <c r="O150" s="20">
        <f t="shared" si="18"/>
        <v>32.015787500000002</v>
      </c>
      <c r="P150" s="7"/>
      <c r="Q150" s="13"/>
      <c r="R150" s="14"/>
      <c r="S150" s="14"/>
      <c r="T150" s="27"/>
      <c r="U150" s="28">
        <f t="shared" si="19"/>
        <v>0.2655275590551181</v>
      </c>
      <c r="V150" s="57">
        <f t="shared" si="21"/>
        <v>2.2588888888888936E-2</v>
      </c>
      <c r="W150" s="57">
        <f t="shared" si="20"/>
        <v>6.7706666666667087E-3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3572.02</v>
      </c>
      <c r="D151" s="30">
        <v>34.176000000000002</v>
      </c>
      <c r="E151" s="30">
        <v>39.878</v>
      </c>
      <c r="F151" s="30">
        <v>39.566000000000003</v>
      </c>
      <c r="G151" s="16">
        <v>3.47</v>
      </c>
      <c r="H151" s="16">
        <f t="shared" si="17"/>
        <v>35.5625</v>
      </c>
      <c r="I151" s="5"/>
      <c r="J151" s="29">
        <v>2419.4704000000002</v>
      </c>
      <c r="K151" s="30">
        <v>34.450800000000001</v>
      </c>
      <c r="L151" s="30">
        <v>40.929900000000004</v>
      </c>
      <c r="M151" s="30">
        <v>40.658200000000001</v>
      </c>
      <c r="N151" s="16">
        <v>4.2577999999999996</v>
      </c>
      <c r="O151" s="16">
        <f t="shared" si="18"/>
        <v>36.036612500000004</v>
      </c>
      <c r="P151" s="7"/>
      <c r="Q151" s="8">
        <f>bdrate(C151:C154,D151:D154,J151:J154,K151:K154)</f>
        <v>-0.45307213739606822</v>
      </c>
      <c r="R151" s="8">
        <f>bdrate(C151:C154,E151:E154,J151:J154,L151:L154)</f>
        <v>-0.65358560589291792</v>
      </c>
      <c r="S151" s="8">
        <f>bdrate(C151:C154,F151:F154,J151:J154,M151:M154)</f>
        <v>-0.58954515223714643</v>
      </c>
      <c r="T151" s="25">
        <f>bdrate(C151:C154,H151:H154,J151:J154,O151:O154)</f>
        <v>-0.48440035453105146</v>
      </c>
      <c r="U151" s="28">
        <f t="shared" si="19"/>
        <v>0.22703170028818426</v>
      </c>
      <c r="V151" s="57">
        <f t="shared" si="21"/>
        <v>7.7722222222222272E-3</v>
      </c>
      <c r="W151" s="57">
        <f t="shared" si="20"/>
        <v>8.1126666666667315E-3</v>
      </c>
      <c r="X151" s="56">
        <v>3600</v>
      </c>
      <c r="Y151" s="56">
        <v>2400</v>
      </c>
    </row>
    <row r="152" spans="1:25" x14ac:dyDescent="0.25">
      <c r="B152" s="9"/>
      <c r="C152" s="31">
        <v>2378.63</v>
      </c>
      <c r="D152" s="32">
        <v>32.466000000000001</v>
      </c>
      <c r="E152" s="32">
        <v>38.987000000000002</v>
      </c>
      <c r="F152" s="32">
        <v>38.438000000000002</v>
      </c>
      <c r="G152" s="18">
        <v>4.12</v>
      </c>
      <c r="H152" s="18">
        <f t="shared" si="17"/>
        <v>34.027625</v>
      </c>
      <c r="I152" s="5"/>
      <c r="J152" s="31">
        <v>1608.2968000000001</v>
      </c>
      <c r="K152" s="32">
        <v>33.052599999999998</v>
      </c>
      <c r="L152" s="32">
        <v>40.2532</v>
      </c>
      <c r="M152" s="32">
        <v>39.712400000000002</v>
      </c>
      <c r="N152" s="18">
        <v>4.9790000000000001</v>
      </c>
      <c r="O152" s="18">
        <f t="shared" si="18"/>
        <v>34.785150000000002</v>
      </c>
      <c r="P152" s="7"/>
      <c r="Q152" s="10"/>
      <c r="R152" s="11"/>
      <c r="S152" s="11"/>
      <c r="T152" s="26"/>
      <c r="U152" s="28">
        <f t="shared" si="19"/>
        <v>0.20849514563106794</v>
      </c>
      <c r="V152" s="57">
        <f t="shared" si="21"/>
        <v>8.904166666666621E-3</v>
      </c>
      <c r="W152" s="57">
        <f t="shared" si="20"/>
        <v>5.1855000000000477E-3</v>
      </c>
      <c r="X152" s="56">
        <v>2400</v>
      </c>
      <c r="Y152" s="56">
        <v>1600</v>
      </c>
    </row>
    <row r="153" spans="1:25" x14ac:dyDescent="0.25">
      <c r="B153" s="9"/>
      <c r="C153" s="31">
        <v>1471.96</v>
      </c>
      <c r="D153" s="32">
        <v>30.114999999999998</v>
      </c>
      <c r="E153" s="32">
        <v>37.959000000000003</v>
      </c>
      <c r="F153" s="32">
        <v>37.045000000000002</v>
      </c>
      <c r="G153" s="18">
        <v>5.0999999999999996</v>
      </c>
      <c r="H153" s="18">
        <f t="shared" si="17"/>
        <v>31.961750000000002</v>
      </c>
      <c r="I153" s="5"/>
      <c r="J153" s="31">
        <v>1003.356</v>
      </c>
      <c r="K153" s="32">
        <v>31.336500000000001</v>
      </c>
      <c r="L153" s="32">
        <v>39.427999999999997</v>
      </c>
      <c r="M153" s="32">
        <v>38.541600000000003</v>
      </c>
      <c r="N153" s="18">
        <v>5.8819999999999997</v>
      </c>
      <c r="O153" s="18">
        <f t="shared" si="18"/>
        <v>33.248575000000002</v>
      </c>
      <c r="P153" s="7"/>
      <c r="Q153" s="10"/>
      <c r="R153" s="11"/>
      <c r="S153" s="11"/>
      <c r="T153" s="26"/>
      <c r="U153" s="28">
        <f t="shared" si="19"/>
        <v>0.15333333333333335</v>
      </c>
      <c r="V153" s="57">
        <f t="shared" si="21"/>
        <v>1.8693333333333308E-2</v>
      </c>
      <c r="W153" s="57">
        <f t="shared" si="20"/>
        <v>3.3559999999999944E-3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879.11</v>
      </c>
      <c r="D154" s="34">
        <v>27.167000000000002</v>
      </c>
      <c r="E154" s="34">
        <v>36.771999999999998</v>
      </c>
      <c r="F154" s="34">
        <v>35.152000000000001</v>
      </c>
      <c r="G154" s="20">
        <v>6.1</v>
      </c>
      <c r="H154" s="20">
        <f t="shared" si="17"/>
        <v>29.365749999999998</v>
      </c>
      <c r="I154" s="5"/>
      <c r="J154" s="33">
        <v>599.98400000000004</v>
      </c>
      <c r="K154" s="34">
        <v>29.4678</v>
      </c>
      <c r="L154" s="34">
        <v>38.256500000000003</v>
      </c>
      <c r="M154" s="34">
        <v>37.006300000000003</v>
      </c>
      <c r="N154" s="20">
        <v>6.9805000000000001</v>
      </c>
      <c r="O154" s="20">
        <f t="shared" si="18"/>
        <v>31.508700000000005</v>
      </c>
      <c r="P154" s="7"/>
      <c r="Q154" s="13"/>
      <c r="R154" s="14"/>
      <c r="S154" s="14"/>
      <c r="T154" s="27"/>
      <c r="U154" s="28">
        <f t="shared" si="19"/>
        <v>0.14434426229508207</v>
      </c>
      <c r="V154" s="57">
        <f t="shared" si="21"/>
        <v>2.3211111111111096E-2</v>
      </c>
      <c r="W154" s="57">
        <f t="shared" si="20"/>
        <v>2.6666666666604518E-5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3597.6</v>
      </c>
      <c r="D155" s="16">
        <v>33.276000000000003</v>
      </c>
      <c r="E155" s="16">
        <v>39.030999999999999</v>
      </c>
      <c r="F155" s="16">
        <v>41.793999999999997</v>
      </c>
      <c r="G155" s="16">
        <v>4.18</v>
      </c>
      <c r="H155" s="16">
        <f t="shared" si="17"/>
        <v>35.060124999999999</v>
      </c>
      <c r="I155" s="5"/>
      <c r="J155" s="15">
        <v>2380.8728000000001</v>
      </c>
      <c r="K155" s="16">
        <v>33.910499999999999</v>
      </c>
      <c r="L155" s="16">
        <v>40.285400000000003</v>
      </c>
      <c r="M155" s="16">
        <v>42.698599999999999</v>
      </c>
      <c r="N155" s="16">
        <v>5.0671999999999997</v>
      </c>
      <c r="O155" s="16">
        <f t="shared" si="18"/>
        <v>35.805875</v>
      </c>
      <c r="P155" s="7"/>
      <c r="Q155" s="8">
        <f>bdrate(C155:C158,D155:D158,J155:J158,K155:K158)</f>
        <v>-0.55906474118369087</v>
      </c>
      <c r="R155" s="8">
        <f>bdrate(C155:C158,E155:E158,J155:J158,L155:L158)</f>
        <v>-0.72392790594752532</v>
      </c>
      <c r="S155" s="8">
        <f>bdrate(C155:C158,F155:F158,J155:J158,M155:M158)</f>
        <v>-0.67359612191788232</v>
      </c>
      <c r="T155" s="25">
        <f>bdrate(C155:C158,H155:H158,J155:J158,O155:O158)</f>
        <v>-0.58074940303572786</v>
      </c>
      <c r="U155" s="28">
        <f t="shared" si="19"/>
        <v>0.21224880382775121</v>
      </c>
      <c r="V155" s="57">
        <f t="shared" si="21"/>
        <v>6.6666666666669191E-4</v>
      </c>
      <c r="W155" s="57">
        <f t="shared" si="20"/>
        <v>7.9696666666666267E-3</v>
      </c>
      <c r="X155" s="56">
        <v>3600</v>
      </c>
      <c r="Y155" s="56">
        <v>2400</v>
      </c>
    </row>
    <row r="156" spans="1:25" x14ac:dyDescent="0.25">
      <c r="B156" s="9"/>
      <c r="C156" s="17">
        <v>2369.12</v>
      </c>
      <c r="D156" s="18">
        <v>32.295000000000002</v>
      </c>
      <c r="E156" s="18">
        <v>38.584000000000003</v>
      </c>
      <c r="F156" s="18">
        <v>41.298999999999999</v>
      </c>
      <c r="G156" s="18">
        <v>4.74</v>
      </c>
      <c r="H156" s="18">
        <f t="shared" si="17"/>
        <v>34.206625000000003</v>
      </c>
      <c r="I156" s="5"/>
      <c r="J156" s="17">
        <v>1591.2911999999999</v>
      </c>
      <c r="K156" s="18">
        <v>33.241199999999999</v>
      </c>
      <c r="L156" s="18">
        <v>39.805300000000003</v>
      </c>
      <c r="M156" s="18">
        <v>42.311199999999999</v>
      </c>
      <c r="N156" s="18">
        <v>6.0217000000000001</v>
      </c>
      <c r="O156" s="18">
        <f t="shared" si="18"/>
        <v>35.195462499999998</v>
      </c>
      <c r="P156" s="7"/>
      <c r="Q156" s="10"/>
      <c r="R156" s="11"/>
      <c r="S156" s="11"/>
      <c r="T156" s="26"/>
      <c r="U156" s="28">
        <f t="shared" si="19"/>
        <v>0.27040084388185648</v>
      </c>
      <c r="V156" s="57">
        <f t="shared" si="21"/>
        <v>1.2866666666666712E-2</v>
      </c>
      <c r="W156" s="57">
        <f t="shared" si="20"/>
        <v>5.4430000000000693E-3</v>
      </c>
      <c r="X156" s="56">
        <v>2400</v>
      </c>
      <c r="Y156" s="56">
        <v>1600</v>
      </c>
    </row>
    <row r="157" spans="1:25" x14ac:dyDescent="0.25">
      <c r="B157" s="9"/>
      <c r="C157" s="17">
        <v>1464.68</v>
      </c>
      <c r="D157" s="18">
        <v>30.843</v>
      </c>
      <c r="E157" s="18">
        <v>38.057000000000002</v>
      </c>
      <c r="F157" s="18">
        <v>40.731999999999999</v>
      </c>
      <c r="G157" s="18">
        <v>5.38</v>
      </c>
      <c r="H157" s="18">
        <f t="shared" si="17"/>
        <v>32.980874999999997</v>
      </c>
      <c r="I157" s="5"/>
      <c r="J157" s="17">
        <v>1034.7031999999999</v>
      </c>
      <c r="K157" s="18">
        <v>32.212600000000002</v>
      </c>
      <c r="L157" s="18">
        <v>39.097299999999997</v>
      </c>
      <c r="M157" s="18">
        <v>41.612099999999998</v>
      </c>
      <c r="N157" s="18">
        <v>7.0307000000000004</v>
      </c>
      <c r="O157" s="18">
        <f t="shared" si="18"/>
        <v>34.248125000000002</v>
      </c>
      <c r="P157" s="7"/>
      <c r="Q157" s="10"/>
      <c r="R157" s="11"/>
      <c r="S157" s="11"/>
      <c r="T157" s="26"/>
      <c r="U157" s="28">
        <f t="shared" si="19"/>
        <v>0.30682156133829008</v>
      </c>
      <c r="V157" s="57">
        <f t="shared" si="21"/>
        <v>2.3546666666666626E-2</v>
      </c>
      <c r="W157" s="57">
        <f t="shared" si="20"/>
        <v>3.4703199999999927E-2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862.75</v>
      </c>
      <c r="D158" s="20">
        <v>28.838000000000001</v>
      </c>
      <c r="E158" s="20">
        <v>37.415999999999997</v>
      </c>
      <c r="F158" s="20">
        <v>40.073</v>
      </c>
      <c r="G158" s="20">
        <v>6.43</v>
      </c>
      <c r="H158" s="20">
        <f t="shared" si="17"/>
        <v>31.314625000000003</v>
      </c>
      <c r="I158" s="5"/>
      <c r="J158" s="19">
        <v>598.45439999999996</v>
      </c>
      <c r="K158" s="20">
        <v>30.7895</v>
      </c>
      <c r="L158" s="20">
        <v>38.506300000000003</v>
      </c>
      <c r="M158" s="20">
        <v>41.085000000000001</v>
      </c>
      <c r="N158" s="20">
        <v>8.1934000000000005</v>
      </c>
      <c r="O158" s="20">
        <f t="shared" si="18"/>
        <v>33.041037500000002</v>
      </c>
      <c r="P158" s="7"/>
      <c r="Q158" s="13"/>
      <c r="R158" s="14"/>
      <c r="S158" s="14"/>
      <c r="T158" s="27"/>
      <c r="U158" s="28">
        <f t="shared" si="19"/>
        <v>0.27424572317262841</v>
      </c>
      <c r="V158" s="57">
        <f t="shared" si="21"/>
        <v>4.1388888888888892E-2</v>
      </c>
      <c r="W158" s="57">
        <f t="shared" si="20"/>
        <v>2.5760000000000596E-3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1549.02</v>
      </c>
      <c r="D159" s="16">
        <v>35.216000000000001</v>
      </c>
      <c r="E159" s="16">
        <v>38.573999999999998</v>
      </c>
      <c r="F159" s="16">
        <v>38.521000000000001</v>
      </c>
      <c r="G159" s="16">
        <v>14.72</v>
      </c>
      <c r="H159" s="16">
        <f t="shared" si="17"/>
        <v>36.048875000000002</v>
      </c>
      <c r="I159" s="5"/>
      <c r="J159" s="15">
        <v>1213.6479999999999</v>
      </c>
      <c r="K159" s="16">
        <v>35.992199999999997</v>
      </c>
      <c r="L159" s="16">
        <v>40.412999999999997</v>
      </c>
      <c r="M159" s="16">
        <v>40.439500000000002</v>
      </c>
      <c r="N159" s="16">
        <v>14.6477</v>
      </c>
      <c r="O159" s="16">
        <f t="shared" si="18"/>
        <v>37.1007125</v>
      </c>
      <c r="P159" s="7"/>
      <c r="Q159" s="8">
        <f>bdrate(C159:C162,D159:D162,J159:J162,K159:K162)</f>
        <v>-0.32813876379090179</v>
      </c>
      <c r="R159" s="8">
        <f>bdrate(C159:C162,E159:E162,J159:J162,L159:L162)</f>
        <v>-0.56472599319244787</v>
      </c>
      <c r="S159" s="8">
        <f>bdrate(C159:C162,F159:F162,J159:J162,M159:M162)</f>
        <v>-0.53527072637620998</v>
      </c>
      <c r="T159" s="25">
        <f>bdrate(C159:C162,H159:H162,J159:J162,O159:O162)</f>
        <v>-0.37753903522171894</v>
      </c>
      <c r="U159" s="28">
        <f t="shared" si="19"/>
        <v>-4.9116847826087126E-3</v>
      </c>
      <c r="V159" s="57">
        <f t="shared" si="21"/>
        <v>6.3225806451614082E-4</v>
      </c>
      <c r="W159" s="57">
        <f t="shared" si="20"/>
        <v>1.137333333333326E-2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1047.93</v>
      </c>
      <c r="D160" s="18">
        <v>33.673999999999999</v>
      </c>
      <c r="E160" s="18">
        <v>37.386000000000003</v>
      </c>
      <c r="F160" s="18">
        <v>37.252000000000002</v>
      </c>
      <c r="G160" s="18">
        <v>17.09</v>
      </c>
      <c r="H160" s="18">
        <f t="shared" si="17"/>
        <v>34.585249999999995</v>
      </c>
      <c r="I160" s="5"/>
      <c r="J160" s="17">
        <v>813.29039999999998</v>
      </c>
      <c r="K160" s="18">
        <v>34.208300000000001</v>
      </c>
      <c r="L160" s="18">
        <v>39.019399999999997</v>
      </c>
      <c r="M160" s="18">
        <v>38.919699999999999</v>
      </c>
      <c r="N160" s="18">
        <v>16.784199999999998</v>
      </c>
      <c r="O160" s="18">
        <f t="shared" si="18"/>
        <v>35.398612499999999</v>
      </c>
      <c r="P160" s="7"/>
      <c r="Q160" s="10"/>
      <c r="R160" s="11"/>
      <c r="S160" s="11"/>
      <c r="T160" s="26"/>
      <c r="U160" s="28">
        <f t="shared" si="19"/>
        <v>-1.7893504973668893E-2</v>
      </c>
      <c r="V160" s="57">
        <f t="shared" si="21"/>
        <v>1.9714285714285107E-3</v>
      </c>
      <c r="W160" s="57">
        <f t="shared" si="20"/>
        <v>1.6612999999999972E-2</v>
      </c>
      <c r="X160" s="56">
        <v>1050</v>
      </c>
      <c r="Y160" s="56">
        <v>800</v>
      </c>
    </row>
    <row r="161" spans="1:25" x14ac:dyDescent="0.25">
      <c r="B161" s="9"/>
      <c r="C161" s="17">
        <v>646.04999999999995</v>
      </c>
      <c r="D161" s="18">
        <v>31.692</v>
      </c>
      <c r="E161" s="18">
        <v>36.063000000000002</v>
      </c>
      <c r="F161" s="18">
        <v>35.795999999999999</v>
      </c>
      <c r="G161" s="18">
        <v>20.77</v>
      </c>
      <c r="H161" s="18">
        <f t="shared" si="17"/>
        <v>32.751374999999996</v>
      </c>
      <c r="I161" s="5"/>
      <c r="J161" s="17">
        <v>501.64159999999998</v>
      </c>
      <c r="K161" s="18">
        <v>32.269399999999997</v>
      </c>
      <c r="L161" s="18">
        <v>37.669699999999999</v>
      </c>
      <c r="M161" s="18">
        <v>37.342700000000001</v>
      </c>
      <c r="N161" s="18">
        <v>19.8965</v>
      </c>
      <c r="O161" s="18">
        <f t="shared" si="18"/>
        <v>33.578600000000002</v>
      </c>
      <c r="P161" s="7"/>
      <c r="Q161" s="10"/>
      <c r="R161" s="11"/>
      <c r="S161" s="11"/>
      <c r="T161" s="26"/>
      <c r="U161" s="28">
        <f t="shared" si="19"/>
        <v>-4.2055849783341356E-2</v>
      </c>
      <c r="V161" s="57">
        <f t="shared" si="21"/>
        <v>6.0769230769231472E-3</v>
      </c>
      <c r="W161" s="57">
        <f t="shared" si="20"/>
        <v>3.2831999999999653E-3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395.99</v>
      </c>
      <c r="D162" s="20">
        <v>29.501999999999999</v>
      </c>
      <c r="E162" s="20">
        <v>34.875</v>
      </c>
      <c r="F162" s="20">
        <v>34.341999999999999</v>
      </c>
      <c r="G162" s="20">
        <v>25.31</v>
      </c>
      <c r="H162" s="20">
        <f t="shared" si="17"/>
        <v>30.778624999999998</v>
      </c>
      <c r="I162" s="5"/>
      <c r="J162" s="19">
        <v>301.97680000000003</v>
      </c>
      <c r="K162" s="20">
        <v>30.269400000000001</v>
      </c>
      <c r="L162" s="20">
        <v>36.273800000000001</v>
      </c>
      <c r="M162" s="20">
        <v>35.843699999999998</v>
      </c>
      <c r="N162" s="20">
        <v>23.614999999999998</v>
      </c>
      <c r="O162" s="20">
        <f t="shared" si="18"/>
        <v>31.716737500000001</v>
      </c>
      <c r="P162" s="7"/>
      <c r="Q162" s="13"/>
      <c r="R162" s="14"/>
      <c r="S162" s="14"/>
      <c r="T162" s="27"/>
      <c r="U162" s="28">
        <f t="shared" si="19"/>
        <v>-6.6969577242196779E-2</v>
      </c>
      <c r="V162" s="57">
        <f t="shared" si="21"/>
        <v>1.0024999999999977E-2</v>
      </c>
      <c r="W162" s="57">
        <f t="shared" si="20"/>
        <v>6.5893333333334192E-3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1550.56</v>
      </c>
      <c r="D163" s="16">
        <v>35.564999999999998</v>
      </c>
      <c r="E163" s="16">
        <v>40.045000000000002</v>
      </c>
      <c r="F163" s="16">
        <v>40.880000000000003</v>
      </c>
      <c r="G163" s="16">
        <v>16.39</v>
      </c>
      <c r="H163" s="16">
        <f t="shared" si="17"/>
        <v>36.789375</v>
      </c>
      <c r="I163" s="5"/>
      <c r="J163" s="15">
        <v>1225.8208</v>
      </c>
      <c r="K163" s="16">
        <v>35.836199999999998</v>
      </c>
      <c r="L163" s="16">
        <v>41.373399999999997</v>
      </c>
      <c r="M163" s="16">
        <v>42.383299999999998</v>
      </c>
      <c r="N163" s="16">
        <v>16.023499999999999</v>
      </c>
      <c r="O163" s="16">
        <f t="shared" si="18"/>
        <v>37.346737500000003</v>
      </c>
      <c r="P163" s="7"/>
      <c r="Q163" s="8">
        <f>bdrate(C163:C166,D163:D166,J163:J166,K163:K166)</f>
        <v>-0.33034020263142128</v>
      </c>
      <c r="R163" s="8">
        <f>bdrate(C163:C166,E163:E166,J163:J166,L163:L166)</f>
        <v>-0.53876324757503957</v>
      </c>
      <c r="S163" s="8">
        <f>bdrate(C163:C166,F163:F166,J163:J166,M163:M166)</f>
        <v>-0.53525467572831242</v>
      </c>
      <c r="T163" s="25">
        <f>bdrate(C163:C166,H163:H166,J163:J166,O163:O166)</f>
        <v>-0.36843563269091262</v>
      </c>
      <c r="U163" s="28">
        <f t="shared" si="19"/>
        <v>-2.2361195851128862E-2</v>
      </c>
      <c r="V163" s="57">
        <f t="shared" si="21"/>
        <v>3.6129032258060996E-4</v>
      </c>
      <c r="W163" s="57">
        <f t="shared" si="20"/>
        <v>2.1517333333333302E-2</v>
      </c>
      <c r="X163" s="56">
        <v>1550</v>
      </c>
      <c r="Y163" s="56">
        <v>1200</v>
      </c>
    </row>
    <row r="164" spans="1:25" x14ac:dyDescent="0.25">
      <c r="B164" s="9"/>
      <c r="C164" s="17">
        <v>1051.73</v>
      </c>
      <c r="D164" s="18">
        <v>33.840000000000003</v>
      </c>
      <c r="E164" s="18">
        <v>39.183</v>
      </c>
      <c r="F164" s="18">
        <v>39.923999999999999</v>
      </c>
      <c r="G164" s="18">
        <v>18.89</v>
      </c>
      <c r="H164" s="18">
        <f t="shared" si="17"/>
        <v>35.268374999999999</v>
      </c>
      <c r="I164" s="5"/>
      <c r="J164" s="17">
        <v>815.9248</v>
      </c>
      <c r="K164" s="18">
        <v>34.306800000000003</v>
      </c>
      <c r="L164" s="18">
        <v>40.401299999999999</v>
      </c>
      <c r="M164" s="18">
        <v>41.283999999999999</v>
      </c>
      <c r="N164" s="18">
        <v>18.740600000000001</v>
      </c>
      <c r="O164" s="18">
        <f t="shared" si="18"/>
        <v>35.940762499999998</v>
      </c>
      <c r="P164" s="7"/>
      <c r="Q164" s="10"/>
      <c r="R164" s="11"/>
      <c r="S164" s="11"/>
      <c r="T164" s="26"/>
      <c r="U164" s="28">
        <f t="shared" si="19"/>
        <v>-7.9089465325569066E-3</v>
      </c>
      <c r="V164" s="57">
        <f t="shared" si="21"/>
        <v>1.6476190476190648E-3</v>
      </c>
      <c r="W164" s="57">
        <f t="shared" si="20"/>
        <v>1.9906000000000007E-2</v>
      </c>
      <c r="X164" s="56">
        <v>1050</v>
      </c>
      <c r="Y164" s="56">
        <v>800</v>
      </c>
    </row>
    <row r="165" spans="1:25" x14ac:dyDescent="0.25">
      <c r="B165" s="9"/>
      <c r="C165" s="17">
        <v>651.99</v>
      </c>
      <c r="D165" s="18">
        <v>31.606999999999999</v>
      </c>
      <c r="E165" s="18">
        <v>38.152000000000001</v>
      </c>
      <c r="F165" s="18">
        <v>38.765000000000001</v>
      </c>
      <c r="G165" s="18">
        <v>22.25</v>
      </c>
      <c r="H165" s="18">
        <f t="shared" si="17"/>
        <v>33.319874999999996</v>
      </c>
      <c r="I165" s="5"/>
      <c r="J165" s="17">
        <v>507.86799999999999</v>
      </c>
      <c r="K165" s="18">
        <v>32.406500000000001</v>
      </c>
      <c r="L165" s="18">
        <v>39.279200000000003</v>
      </c>
      <c r="M165" s="18">
        <v>40.0122</v>
      </c>
      <c r="N165" s="18">
        <v>21.928999999999998</v>
      </c>
      <c r="O165" s="18">
        <f t="shared" si="18"/>
        <v>34.216300000000004</v>
      </c>
      <c r="P165" s="7"/>
      <c r="Q165" s="10"/>
      <c r="R165" s="11"/>
      <c r="S165" s="11"/>
      <c r="T165" s="26"/>
      <c r="U165" s="28">
        <f t="shared" si="19"/>
        <v>-1.4426966292134899E-2</v>
      </c>
      <c r="V165" s="57">
        <f t="shared" si="21"/>
        <v>3.0615384615384753E-3</v>
      </c>
      <c r="W165" s="57">
        <f t="shared" si="20"/>
        <v>1.573599999999999E-2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403.11</v>
      </c>
      <c r="D166" s="20">
        <v>29.236999999999998</v>
      </c>
      <c r="E166" s="20">
        <v>37.216999999999999</v>
      </c>
      <c r="F166" s="20">
        <v>37.734000000000002</v>
      </c>
      <c r="G166" s="20">
        <v>26.42</v>
      </c>
      <c r="H166" s="20">
        <f t="shared" si="17"/>
        <v>31.296625000000002</v>
      </c>
      <c r="I166" s="5"/>
      <c r="J166" s="19">
        <v>303.92959999999999</v>
      </c>
      <c r="K166" s="20">
        <v>30.246500000000001</v>
      </c>
      <c r="L166" s="20">
        <v>38.162399999999998</v>
      </c>
      <c r="M166" s="20">
        <v>38.7483</v>
      </c>
      <c r="N166" s="20">
        <v>26.508800000000001</v>
      </c>
      <c r="O166" s="20">
        <f t="shared" si="18"/>
        <v>32.298712500000001</v>
      </c>
      <c r="P166" s="7"/>
      <c r="Q166" s="13"/>
      <c r="R166" s="14"/>
      <c r="S166" s="14"/>
      <c r="T166" s="27"/>
      <c r="U166" s="28">
        <f t="shared" si="19"/>
        <v>3.3610900832702155E-3</v>
      </c>
      <c r="V166" s="57">
        <f t="shared" si="21"/>
        <v>7.7750000000000345E-3</v>
      </c>
      <c r="W166" s="57">
        <f t="shared" si="20"/>
        <v>1.3098666666666646E-2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1418.71</v>
      </c>
      <c r="D167" s="16">
        <v>30.077000000000002</v>
      </c>
      <c r="E167" s="16">
        <v>35.773000000000003</v>
      </c>
      <c r="F167" s="16">
        <v>36.502000000000002</v>
      </c>
      <c r="G167" s="16">
        <v>14.8</v>
      </c>
      <c r="H167" s="16">
        <f t="shared" si="17"/>
        <v>31.592125000000003</v>
      </c>
      <c r="I167" s="5"/>
      <c r="J167" s="15">
        <v>1213.3232</v>
      </c>
      <c r="K167" s="16">
        <v>30.8169</v>
      </c>
      <c r="L167" s="16">
        <v>37.342100000000002</v>
      </c>
      <c r="M167" s="16">
        <v>38.1524</v>
      </c>
      <c r="N167" s="16">
        <v>14.106400000000001</v>
      </c>
      <c r="O167" s="16">
        <f t="shared" si="18"/>
        <v>32.549487499999998</v>
      </c>
      <c r="P167" s="7"/>
      <c r="Q167" s="8">
        <f>bdrate(C167:C170,D167:D170,J167:J170,K167:K170)</f>
        <v>-0.33498683513146821</v>
      </c>
      <c r="R167" s="8">
        <f>bdrate(C167:C170,E167:E170,J167:J170,L167:L170)</f>
        <v>-0.60702908658877053</v>
      </c>
      <c r="S167" s="8">
        <f>bdrate(C167:C170,F167:F170,J167:J170,M167:M170)</f>
        <v>-0.60492835772533371</v>
      </c>
      <c r="T167" s="25">
        <f>bdrate(C167:C170,H167:H170,J167:J170,O167:O170)</f>
        <v>-0.38188716942178547</v>
      </c>
      <c r="U167" s="28">
        <f t="shared" si="19"/>
        <v>-4.6864864864864859E-2</v>
      </c>
      <c r="V167" s="57">
        <f t="shared" si="21"/>
        <v>8.4703225806451593E-2</v>
      </c>
      <c r="W167" s="57">
        <f t="shared" si="20"/>
        <v>1.1102666666666702E-2</v>
      </c>
      <c r="X167" s="56">
        <v>1550</v>
      </c>
      <c r="Y167" s="56">
        <v>1200</v>
      </c>
    </row>
    <row r="168" spans="1:25" x14ac:dyDescent="0.25">
      <c r="B168" s="9"/>
      <c r="C168" s="17">
        <v>963.1</v>
      </c>
      <c r="D168" s="18">
        <v>28.667000000000002</v>
      </c>
      <c r="E168" s="18">
        <v>35.177</v>
      </c>
      <c r="F168" s="18">
        <v>35.909999999999997</v>
      </c>
      <c r="G168" s="18">
        <v>16.670000000000002</v>
      </c>
      <c r="H168" s="18">
        <f t="shared" si="17"/>
        <v>30.386125</v>
      </c>
      <c r="I168" s="5"/>
      <c r="J168" s="17">
        <v>810.50800000000004</v>
      </c>
      <c r="K168" s="18">
        <v>29.4574</v>
      </c>
      <c r="L168" s="18">
        <v>36.5486</v>
      </c>
      <c r="M168" s="18">
        <v>37.3446</v>
      </c>
      <c r="N168" s="18">
        <v>16.407399999999999</v>
      </c>
      <c r="O168" s="18">
        <f t="shared" si="18"/>
        <v>31.329699999999995</v>
      </c>
      <c r="P168" s="7"/>
      <c r="Q168" s="10"/>
      <c r="R168" s="11"/>
      <c r="S168" s="11"/>
      <c r="T168" s="26"/>
      <c r="U168" s="28">
        <f t="shared" si="19"/>
        <v>-1.5752849430114131E-2</v>
      </c>
      <c r="V168" s="57">
        <f t="shared" si="21"/>
        <v>8.2761904761904745E-2</v>
      </c>
      <c r="W168" s="57">
        <f t="shared" si="20"/>
        <v>1.3135000000000048E-2</v>
      </c>
      <c r="X168" s="56">
        <v>1050</v>
      </c>
      <c r="Y168" s="56">
        <v>800</v>
      </c>
    </row>
    <row r="169" spans="1:25" x14ac:dyDescent="0.25">
      <c r="B169" s="9"/>
      <c r="C169" s="17">
        <v>599.61</v>
      </c>
      <c r="D169" s="18">
        <v>27.06</v>
      </c>
      <c r="E169" s="18">
        <v>34.548999999999999</v>
      </c>
      <c r="F169" s="18">
        <v>35.299999999999997</v>
      </c>
      <c r="G169" s="18">
        <v>19.13</v>
      </c>
      <c r="H169" s="18">
        <f t="shared" si="17"/>
        <v>29.026125</v>
      </c>
      <c r="I169" s="5"/>
      <c r="J169" s="17">
        <v>507.49919999999997</v>
      </c>
      <c r="K169" s="18">
        <v>27.870999999999999</v>
      </c>
      <c r="L169" s="18">
        <v>35.663499999999999</v>
      </c>
      <c r="M169" s="18">
        <v>36.411200000000001</v>
      </c>
      <c r="N169" s="18">
        <v>19.4099</v>
      </c>
      <c r="O169" s="18">
        <f t="shared" si="18"/>
        <v>29.912587500000001</v>
      </c>
      <c r="P169" s="7"/>
      <c r="Q169" s="10"/>
      <c r="R169" s="11"/>
      <c r="S169" s="11"/>
      <c r="T169" s="26"/>
      <c r="U169" s="28">
        <f t="shared" si="19"/>
        <v>1.463146889702046E-2</v>
      </c>
      <c r="V169" s="57">
        <f t="shared" si="21"/>
        <v>7.7523076923076903E-2</v>
      </c>
      <c r="W169" s="57">
        <f t="shared" si="20"/>
        <v>1.4998399999999946E-2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370.71</v>
      </c>
      <c r="D170" s="20">
        <v>25.545000000000002</v>
      </c>
      <c r="E170" s="20">
        <v>33.997999999999998</v>
      </c>
      <c r="F170" s="20">
        <v>34.725000000000001</v>
      </c>
      <c r="G170" s="20">
        <v>22.36</v>
      </c>
      <c r="H170" s="20">
        <f t="shared" si="17"/>
        <v>27.749124999999999</v>
      </c>
      <c r="I170" s="5"/>
      <c r="J170" s="19">
        <v>305.19920000000002</v>
      </c>
      <c r="K170" s="20">
        <v>26.288699999999999</v>
      </c>
      <c r="L170" s="20">
        <v>34.8215</v>
      </c>
      <c r="M170" s="20">
        <v>35.526200000000003</v>
      </c>
      <c r="N170" s="20">
        <v>23.218</v>
      </c>
      <c r="O170" s="20">
        <f t="shared" si="18"/>
        <v>28.509987500000001</v>
      </c>
      <c r="P170" s="7"/>
      <c r="Q170" s="13"/>
      <c r="R170" s="14"/>
      <c r="S170" s="14"/>
      <c r="T170" s="27"/>
      <c r="U170" s="28">
        <f t="shared" si="19"/>
        <v>3.8372093023255838E-2</v>
      </c>
      <c r="V170" s="57">
        <f t="shared" si="21"/>
        <v>7.3225000000000054E-2</v>
      </c>
      <c r="W170" s="57">
        <f t="shared" si="20"/>
        <v>1.733066666666673E-2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1424.03</v>
      </c>
      <c r="D171" s="16">
        <v>33.313000000000002</v>
      </c>
      <c r="E171" s="16">
        <v>36.920999999999999</v>
      </c>
      <c r="F171" s="16">
        <v>38.622999999999998</v>
      </c>
      <c r="G171" s="16">
        <v>11.18</v>
      </c>
      <c r="H171" s="16">
        <f t="shared" si="17"/>
        <v>34.427750000000003</v>
      </c>
      <c r="I171" s="5"/>
      <c r="J171" s="15">
        <v>1192.096</v>
      </c>
      <c r="K171" s="16">
        <v>32.856299999999997</v>
      </c>
      <c r="L171" s="16">
        <v>37.633200000000002</v>
      </c>
      <c r="M171" s="16">
        <v>39.251399999999997</v>
      </c>
      <c r="N171" s="16">
        <v>10.270799999999999</v>
      </c>
      <c r="O171" s="16">
        <f t="shared" si="18"/>
        <v>34.252799999999993</v>
      </c>
      <c r="P171" s="7"/>
      <c r="Q171" s="8">
        <f>bdrate(C171:C174,D171:D174,J171:J174,K171:K174)</f>
        <v>-0.12223855880698542</v>
      </c>
      <c r="R171" s="8">
        <f>bdrate(C171:C174,E171:E174,J171:J174,L171:L174)</f>
        <v>-0.40056630315477759</v>
      </c>
      <c r="S171" s="8">
        <f>bdrate(C171:C174,F171:F174,J171:J174,M171:M174)</f>
        <v>-0.40189419855874275</v>
      </c>
      <c r="T171" s="25">
        <f>bdrate(C171:C174,H171:H174,J171:J174,O171:O174)</f>
        <v>-0.16972912005372653</v>
      </c>
      <c r="U171" s="28">
        <f t="shared" si="19"/>
        <v>-8.132379248658321E-2</v>
      </c>
      <c r="V171" s="57">
        <f t="shared" si="21"/>
        <v>8.1270967741935499E-2</v>
      </c>
      <c r="W171" s="57">
        <f t="shared" si="20"/>
        <v>6.5866666666666634E-3</v>
      </c>
      <c r="X171" s="56">
        <v>1550</v>
      </c>
      <c r="Y171" s="56">
        <v>1200</v>
      </c>
    </row>
    <row r="172" spans="1:25" x14ac:dyDescent="0.25">
      <c r="B172" s="9"/>
      <c r="C172" s="17">
        <v>973.52</v>
      </c>
      <c r="D172" s="18">
        <v>31.745999999999999</v>
      </c>
      <c r="E172" s="18">
        <v>36.131</v>
      </c>
      <c r="F172" s="18">
        <v>37.795000000000002</v>
      </c>
      <c r="G172" s="18">
        <v>12.6</v>
      </c>
      <c r="H172" s="18">
        <f t="shared" si="17"/>
        <v>33.050249999999998</v>
      </c>
      <c r="I172" s="5"/>
      <c r="J172" s="17">
        <v>800.596</v>
      </c>
      <c r="K172" s="18">
        <v>31.330200000000001</v>
      </c>
      <c r="L172" s="18">
        <v>36.747799999999998</v>
      </c>
      <c r="M172" s="18">
        <v>38.3902</v>
      </c>
      <c r="N172" s="18">
        <v>11.8802</v>
      </c>
      <c r="O172" s="18">
        <f t="shared" si="18"/>
        <v>32.889899999999997</v>
      </c>
      <c r="P172" s="7"/>
      <c r="Q172" s="10"/>
      <c r="R172" s="11"/>
      <c r="S172" s="11"/>
      <c r="T172" s="26"/>
      <c r="U172" s="28">
        <f t="shared" si="19"/>
        <v>-5.7126984126984075E-2</v>
      </c>
      <c r="V172" s="57">
        <f t="shared" si="21"/>
        <v>7.2838095238095257E-2</v>
      </c>
      <c r="W172" s="57">
        <f t="shared" si="20"/>
        <v>7.4500000000000456E-4</v>
      </c>
      <c r="X172" s="56">
        <v>1050</v>
      </c>
      <c r="Y172" s="56">
        <v>800</v>
      </c>
    </row>
    <row r="173" spans="1:25" x14ac:dyDescent="0.25">
      <c r="B173" s="9"/>
      <c r="C173" s="17">
        <v>614.27</v>
      </c>
      <c r="D173" s="18">
        <v>29.843</v>
      </c>
      <c r="E173" s="18">
        <v>35.228999999999999</v>
      </c>
      <c r="F173" s="18">
        <v>36.780999999999999</v>
      </c>
      <c r="G173" s="18">
        <v>14.61</v>
      </c>
      <c r="H173" s="18">
        <f t="shared" si="17"/>
        <v>31.383499999999998</v>
      </c>
      <c r="I173" s="5"/>
      <c r="J173" s="17">
        <v>502.35599999999999</v>
      </c>
      <c r="K173" s="18">
        <v>29.614799999999999</v>
      </c>
      <c r="L173" s="18">
        <v>35.844000000000001</v>
      </c>
      <c r="M173" s="18">
        <v>37.484699999999997</v>
      </c>
      <c r="N173" s="18">
        <v>14.033099999999999</v>
      </c>
      <c r="O173" s="18">
        <f t="shared" si="18"/>
        <v>31.377187499999998</v>
      </c>
      <c r="P173" s="7"/>
      <c r="Q173" s="10"/>
      <c r="R173" s="11"/>
      <c r="S173" s="11"/>
      <c r="T173" s="26"/>
      <c r="U173" s="28">
        <f t="shared" si="19"/>
        <v>-3.9486652977412745E-2</v>
      </c>
      <c r="V173" s="57">
        <f t="shared" si="21"/>
        <v>5.4969230769230798E-2</v>
      </c>
      <c r="W173" s="57">
        <f t="shared" si="20"/>
        <v>4.7119999999999888E-3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381.7</v>
      </c>
      <c r="D174" s="20">
        <v>27.93</v>
      </c>
      <c r="E174" s="20">
        <v>34.244999999999997</v>
      </c>
      <c r="F174" s="20">
        <v>35.622999999999998</v>
      </c>
      <c r="G174" s="20">
        <v>17.54</v>
      </c>
      <c r="H174" s="20">
        <f t="shared" si="17"/>
        <v>29.680999999999997</v>
      </c>
      <c r="I174" s="5"/>
      <c r="J174" s="19">
        <v>302.25920000000002</v>
      </c>
      <c r="K174" s="20">
        <v>27.991800000000001</v>
      </c>
      <c r="L174" s="20">
        <v>34.869300000000003</v>
      </c>
      <c r="M174" s="20">
        <v>36.4664</v>
      </c>
      <c r="N174" s="20">
        <v>17.1252</v>
      </c>
      <c r="O174" s="20">
        <f t="shared" si="18"/>
        <v>29.910812500000002</v>
      </c>
      <c r="P174" s="7"/>
      <c r="Q174" s="13"/>
      <c r="R174" s="14"/>
      <c r="S174" s="14"/>
      <c r="T174" s="27"/>
      <c r="U174" s="28">
        <f t="shared" si="19"/>
        <v>-2.3648802736602033E-2</v>
      </c>
      <c r="V174" s="57">
        <f t="shared" si="21"/>
        <v>4.5750000000000027E-2</v>
      </c>
      <c r="W174" s="57">
        <f t="shared" si="20"/>
        <v>7.5306666666667375E-3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847.97</v>
      </c>
      <c r="D175" s="16">
        <v>36.01</v>
      </c>
      <c r="E175" s="16">
        <v>39.902000000000001</v>
      </c>
      <c r="F175" s="16">
        <v>38.673000000000002</v>
      </c>
      <c r="G175" s="16">
        <v>49.52</v>
      </c>
      <c r="H175" s="16">
        <f t="shared" si="17"/>
        <v>36.829374999999999</v>
      </c>
      <c r="I175" s="5"/>
      <c r="J175" s="15">
        <v>608.64080000000001</v>
      </c>
      <c r="K175" s="16">
        <v>35.010100000000001</v>
      </c>
      <c r="L175" s="16">
        <v>40.768099999999997</v>
      </c>
      <c r="M175" s="16">
        <v>39.192399999999999</v>
      </c>
      <c r="N175" s="16">
        <v>39.0503</v>
      </c>
      <c r="O175" s="16">
        <f t="shared" si="18"/>
        <v>36.252637500000006</v>
      </c>
      <c r="P175" s="7"/>
      <c r="Q175" s="8">
        <f>bdrate(C175:C178,D175:D178,J175:J178,K175:K178)</f>
        <v>-0.15738784004004869</v>
      </c>
      <c r="R175" s="8">
        <f>bdrate(C175:C178,E175:E178,J175:J178,L175:L178)</f>
        <v>-0.47229986230772814</v>
      </c>
      <c r="S175" s="8">
        <f>bdrate(C175:C178,F175:F178,J175:J178,M175:M178)</f>
        <v>-0.40020451499885246</v>
      </c>
      <c r="T175" s="25">
        <f>bdrate(C175:C178,H175:H178,J175:J178,O175:O178)</f>
        <v>-0.21153770323688004</v>
      </c>
      <c r="U175" s="28">
        <f t="shared" si="19"/>
        <v>-0.21142366720516967</v>
      </c>
      <c r="V175" s="57">
        <f t="shared" si="21"/>
        <v>5.9962500000000037E-2</v>
      </c>
      <c r="W175" s="57">
        <f t="shared" si="20"/>
        <v>1.4401333333333355E-2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533.55999999999995</v>
      </c>
      <c r="D176" s="18">
        <v>33.704999999999998</v>
      </c>
      <c r="E176" s="18">
        <v>38.549999999999997</v>
      </c>
      <c r="F176" s="18">
        <v>37.128999999999998</v>
      </c>
      <c r="G176" s="18">
        <v>56.56</v>
      </c>
      <c r="H176" s="18">
        <f t="shared" si="17"/>
        <v>34.738624999999999</v>
      </c>
      <c r="I176" s="5"/>
      <c r="J176" s="17">
        <v>406.04079999999999</v>
      </c>
      <c r="K176" s="18">
        <v>33.117400000000004</v>
      </c>
      <c r="L176" s="18">
        <v>39.545200000000001</v>
      </c>
      <c r="M176" s="18">
        <v>37.8431</v>
      </c>
      <c r="N176" s="18">
        <v>44.610999999999997</v>
      </c>
      <c r="O176" s="18">
        <f t="shared" si="18"/>
        <v>34.511587500000005</v>
      </c>
      <c r="P176" s="7"/>
      <c r="Q176" s="10"/>
      <c r="R176" s="11"/>
      <c r="S176" s="11"/>
      <c r="T176" s="26"/>
      <c r="U176" s="28">
        <f t="shared" si="19"/>
        <v>-0.21126237623762384</v>
      </c>
      <c r="V176" s="57">
        <f t="shared" si="21"/>
        <v>6.7119999999999888E-2</v>
      </c>
      <c r="W176" s="57">
        <f t="shared" si="20"/>
        <v>1.5101999999999975E-2</v>
      </c>
      <c r="X176" s="56">
        <v>500</v>
      </c>
      <c r="Y176" s="56">
        <v>400</v>
      </c>
    </row>
    <row r="177" spans="1:25" x14ac:dyDescent="0.25">
      <c r="B177" s="9"/>
      <c r="C177" s="17">
        <v>321.58999999999997</v>
      </c>
      <c r="D177" s="18">
        <v>31.350999999999999</v>
      </c>
      <c r="E177" s="18">
        <v>37.372999999999998</v>
      </c>
      <c r="F177" s="18">
        <v>35.664999999999999</v>
      </c>
      <c r="G177" s="18">
        <v>64.69</v>
      </c>
      <c r="H177" s="18">
        <f t="shared" si="17"/>
        <v>32.643000000000001</v>
      </c>
      <c r="I177" s="5"/>
      <c r="J177" s="17">
        <v>252.7456</v>
      </c>
      <c r="K177" s="18">
        <v>31.031500000000001</v>
      </c>
      <c r="L177" s="18">
        <v>38.322400000000002</v>
      </c>
      <c r="M177" s="18">
        <v>36.457599999999999</v>
      </c>
      <c r="N177" s="18">
        <v>53.418799999999997</v>
      </c>
      <c r="O177" s="18">
        <f t="shared" si="18"/>
        <v>32.621125000000006</v>
      </c>
      <c r="P177" s="7"/>
      <c r="Q177" s="10"/>
      <c r="R177" s="11"/>
      <c r="S177" s="11"/>
      <c r="T177" s="26"/>
      <c r="U177" s="28">
        <f t="shared" si="19"/>
        <v>-0.17423403926418304</v>
      </c>
      <c r="V177" s="57">
        <f t="shared" si="21"/>
        <v>7.1966666666666582E-2</v>
      </c>
      <c r="W177" s="57">
        <f t="shared" si="20"/>
        <v>1.0982399999999984E-2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162.32</v>
      </c>
      <c r="D178" s="20">
        <v>28.306000000000001</v>
      </c>
      <c r="E178" s="20">
        <v>35.929000000000002</v>
      </c>
      <c r="F178" s="20">
        <v>33.862000000000002</v>
      </c>
      <c r="G178" s="20">
        <v>80.56</v>
      </c>
      <c r="H178" s="20">
        <f t="shared" si="17"/>
        <v>29.953375000000001</v>
      </c>
      <c r="I178" s="5"/>
      <c r="J178" s="19">
        <v>121.5384</v>
      </c>
      <c r="K178" s="20">
        <v>28.1174</v>
      </c>
      <c r="L178" s="20">
        <v>36.609099999999998</v>
      </c>
      <c r="M178" s="20">
        <v>34.436100000000003</v>
      </c>
      <c r="N178" s="20">
        <v>69.328900000000004</v>
      </c>
      <c r="O178" s="20">
        <f t="shared" si="18"/>
        <v>29.968699999999998</v>
      </c>
      <c r="P178" s="7"/>
      <c r="Q178" s="13"/>
      <c r="R178" s="14"/>
      <c r="S178" s="14"/>
      <c r="T178" s="27"/>
      <c r="U178" s="28">
        <f t="shared" si="19"/>
        <v>-0.139412859980139</v>
      </c>
      <c r="V178" s="57">
        <f t="shared" si="21"/>
        <v>8.2133333333333294E-2</v>
      </c>
      <c r="W178" s="57">
        <f t="shared" si="20"/>
        <v>1.2819999999999965E-2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740.98</v>
      </c>
      <c r="D179" s="16">
        <v>32.936</v>
      </c>
      <c r="E179" s="16">
        <v>39.74</v>
      </c>
      <c r="F179" s="16">
        <v>40.499000000000002</v>
      </c>
      <c r="G179" s="16">
        <v>54.78</v>
      </c>
      <c r="H179" s="16">
        <f t="shared" si="17"/>
        <v>34.731875000000002</v>
      </c>
      <c r="I179" s="5"/>
      <c r="J179" s="15">
        <v>602.12239999999997</v>
      </c>
      <c r="K179" s="16">
        <v>33.925600000000003</v>
      </c>
      <c r="L179" s="16">
        <v>41.7134</v>
      </c>
      <c r="M179" s="16">
        <v>42.639600000000002</v>
      </c>
      <c r="N179" s="16">
        <v>50.234400000000001</v>
      </c>
      <c r="O179" s="16">
        <f t="shared" si="18"/>
        <v>35.988325000000003</v>
      </c>
      <c r="P179" s="7"/>
      <c r="Q179" s="8">
        <f>bdrate(C179:C182,D179:D182,J179:J182,K179:K182)</f>
        <v>-0.43725911773379356</v>
      </c>
      <c r="R179" s="8">
        <f>bdrate(C179:C182,E179:E182,J179:J182,L179:L182)</f>
        <v>-0.68102639634216899</v>
      </c>
      <c r="S179" s="8">
        <f>bdrate(C179:C182,F179:F182,J179:J182,M179:M182)</f>
        <v>-0.70469611150999567</v>
      </c>
      <c r="T179" s="25">
        <f>bdrate(C179:C182,H179:H182,J179:J182,O179:O182)</f>
        <v>-0.48233281675978956</v>
      </c>
      <c r="U179" s="28">
        <f t="shared" si="19"/>
        <v>-8.2979189485213586E-2</v>
      </c>
      <c r="V179" s="57">
        <f t="shared" si="21"/>
        <v>7.3774999999999979E-2</v>
      </c>
      <c r="W179" s="57">
        <f t="shared" si="20"/>
        <v>3.5373333333332843E-3</v>
      </c>
      <c r="X179" s="56">
        <v>800</v>
      </c>
      <c r="Y179" s="56">
        <v>600</v>
      </c>
    </row>
    <row r="180" spans="1:25" x14ac:dyDescent="0.25">
      <c r="B180" s="9"/>
      <c r="C180" s="17">
        <v>456.06</v>
      </c>
      <c r="D180" s="18">
        <v>31.215</v>
      </c>
      <c r="E180" s="18">
        <v>39.173000000000002</v>
      </c>
      <c r="F180" s="18">
        <v>39.722000000000001</v>
      </c>
      <c r="G180" s="18">
        <v>63.6</v>
      </c>
      <c r="H180" s="18">
        <f t="shared" si="17"/>
        <v>33.273125</v>
      </c>
      <c r="I180" s="5"/>
      <c r="J180" s="17">
        <v>400.39839999999998</v>
      </c>
      <c r="K180" s="18">
        <v>32.640799999999999</v>
      </c>
      <c r="L180" s="18">
        <v>40.973199999999999</v>
      </c>
      <c r="M180" s="18">
        <v>41.887700000000002</v>
      </c>
      <c r="N180" s="18">
        <v>58.548000000000002</v>
      </c>
      <c r="O180" s="18">
        <f t="shared" si="18"/>
        <v>34.838212499999997</v>
      </c>
      <c r="P180" s="7"/>
      <c r="Q180" s="10"/>
      <c r="R180" s="11"/>
      <c r="S180" s="11"/>
      <c r="T180" s="26"/>
      <c r="U180" s="28">
        <f t="shared" si="19"/>
        <v>-7.9433962264150934E-2</v>
      </c>
      <c r="V180" s="57">
        <f t="shared" si="21"/>
        <v>8.788E-2</v>
      </c>
      <c r="W180" s="57">
        <f t="shared" si="20"/>
        <v>9.9599999999995244E-4</v>
      </c>
      <c r="X180" s="56">
        <v>500</v>
      </c>
      <c r="Y180" s="56">
        <v>400</v>
      </c>
    </row>
    <row r="181" spans="1:25" x14ac:dyDescent="0.25">
      <c r="B181" s="9"/>
      <c r="C181" s="17">
        <v>271.20999999999998</v>
      </c>
      <c r="D181" s="18">
        <v>29.347999999999999</v>
      </c>
      <c r="E181" s="18">
        <v>38.652999999999999</v>
      </c>
      <c r="F181" s="18">
        <v>38.938000000000002</v>
      </c>
      <c r="G181" s="18">
        <v>74.75</v>
      </c>
      <c r="H181" s="18">
        <f t="shared" si="17"/>
        <v>31.709874999999997</v>
      </c>
      <c r="I181" s="5"/>
      <c r="J181" s="17">
        <v>249.36240000000001</v>
      </c>
      <c r="K181" s="18">
        <v>31.119299999999999</v>
      </c>
      <c r="L181" s="18">
        <v>40.027900000000002</v>
      </c>
      <c r="M181" s="18">
        <v>40.864400000000003</v>
      </c>
      <c r="N181" s="18">
        <v>71.959699999999998</v>
      </c>
      <c r="O181" s="18">
        <f t="shared" si="18"/>
        <v>33.451012499999997</v>
      </c>
      <c r="P181" s="7"/>
      <c r="Q181" s="10"/>
      <c r="R181" s="11"/>
      <c r="S181" s="11"/>
      <c r="T181" s="26"/>
      <c r="U181" s="28">
        <f t="shared" si="19"/>
        <v>-3.7328428093645512E-2</v>
      </c>
      <c r="V181" s="57">
        <f t="shared" si="21"/>
        <v>9.5966666666666742E-2</v>
      </c>
      <c r="W181" s="57">
        <f t="shared" si="20"/>
        <v>2.5503999999999679E-3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134.71</v>
      </c>
      <c r="D182" s="20">
        <v>26.763000000000002</v>
      </c>
      <c r="E182" s="20">
        <v>37.948</v>
      </c>
      <c r="F182" s="20">
        <v>38.031999999999996</v>
      </c>
      <c r="G182" s="20">
        <v>91.28</v>
      </c>
      <c r="H182" s="20">
        <f t="shared" si="17"/>
        <v>29.569749999999999</v>
      </c>
      <c r="I182" s="5"/>
      <c r="J182" s="19">
        <v>120.1088</v>
      </c>
      <c r="K182" s="20">
        <v>28.553799999999999</v>
      </c>
      <c r="L182" s="20">
        <v>38.8446</v>
      </c>
      <c r="M182" s="20">
        <v>39.466700000000003</v>
      </c>
      <c r="N182" s="20">
        <v>94.682000000000002</v>
      </c>
      <c r="O182" s="20">
        <f t="shared" si="18"/>
        <v>31.204262499999999</v>
      </c>
      <c r="P182" s="7"/>
      <c r="Q182" s="13"/>
      <c r="R182" s="14"/>
      <c r="S182" s="14"/>
      <c r="T182" s="27"/>
      <c r="U182" s="28">
        <f t="shared" si="19"/>
        <v>3.7269938650306762E-2</v>
      </c>
      <c r="V182" s="57">
        <f t="shared" si="21"/>
        <v>0.10193333333333328</v>
      </c>
      <c r="W182" s="57">
        <f t="shared" si="20"/>
        <v>9.0666666666668527E-4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828.02</v>
      </c>
      <c r="D183" s="30">
        <v>34.005000000000003</v>
      </c>
      <c r="E183" s="30">
        <v>37.451000000000001</v>
      </c>
      <c r="F183" s="30">
        <v>37.936</v>
      </c>
      <c r="G183" s="16">
        <v>45.02</v>
      </c>
      <c r="H183" s="16">
        <f t="shared" si="17"/>
        <v>34.927125000000004</v>
      </c>
      <c r="I183" s="5"/>
      <c r="J183" s="29">
        <v>617.76959999999997</v>
      </c>
      <c r="K183" s="30">
        <v>33.333500000000001</v>
      </c>
      <c r="L183" s="30">
        <v>38.850299999999997</v>
      </c>
      <c r="M183" s="30">
        <v>39.647799999999997</v>
      </c>
      <c r="N183" s="16">
        <v>47.451799999999999</v>
      </c>
      <c r="O183" s="16">
        <f t="shared" si="18"/>
        <v>34.8123875</v>
      </c>
      <c r="P183" s="7"/>
      <c r="Q183" s="8">
        <f>bdrate(C183:C186,D183:D186,J183:J186,K183:K186)</f>
        <v>-0.1771277656996556</v>
      </c>
      <c r="R183" s="8">
        <f>bdrate(C183:C186,E183:E186,J183:J186,L183:L186)</f>
        <v>-0.59870658988299785</v>
      </c>
      <c r="S183" s="8">
        <f>bdrate(C183:C186,F183:F186,J183:J186,M183:M186)</f>
        <v>-0.6311552600329271</v>
      </c>
      <c r="T183" s="25">
        <f>bdrate(C183:C186,H183:H186,J183:J186,O183:O186)</f>
        <v>-0.2697664914771527</v>
      </c>
      <c r="U183" s="28">
        <f t="shared" si="19"/>
        <v>5.4015992892047879E-2</v>
      </c>
      <c r="V183" s="57">
        <f t="shared" si="21"/>
        <v>3.502499999999998E-2</v>
      </c>
      <c r="W183" s="57">
        <f t="shared" si="20"/>
        <v>2.9615999999999948E-2</v>
      </c>
      <c r="X183" s="56">
        <v>800</v>
      </c>
      <c r="Y183" s="56">
        <v>600</v>
      </c>
    </row>
    <row r="184" spans="1:25" x14ac:dyDescent="0.25">
      <c r="B184" s="9"/>
      <c r="C184" s="31">
        <v>515.79999999999995</v>
      </c>
      <c r="D184" s="32">
        <v>32.030999999999999</v>
      </c>
      <c r="E184" s="32">
        <v>36.216000000000001</v>
      </c>
      <c r="F184" s="32">
        <v>36.710999999999999</v>
      </c>
      <c r="G184" s="18">
        <v>50.46</v>
      </c>
      <c r="H184" s="18">
        <f t="shared" si="17"/>
        <v>33.139125</v>
      </c>
      <c r="I184" s="5"/>
      <c r="J184" s="31">
        <v>411.5104</v>
      </c>
      <c r="K184" s="32">
        <v>31.775500000000001</v>
      </c>
      <c r="L184" s="32">
        <v>37.866</v>
      </c>
      <c r="M184" s="32">
        <v>38.587800000000001</v>
      </c>
      <c r="N184" s="18">
        <v>54.371499999999997</v>
      </c>
      <c r="O184" s="18">
        <f t="shared" si="18"/>
        <v>33.388350000000003</v>
      </c>
      <c r="P184" s="7"/>
      <c r="Q184" s="10"/>
      <c r="R184" s="11"/>
      <c r="S184" s="11"/>
      <c r="T184" s="26"/>
      <c r="U184" s="28">
        <f t="shared" si="19"/>
        <v>7.7516845025762907E-2</v>
      </c>
      <c r="V184" s="57">
        <f t="shared" si="21"/>
        <v>3.1599999999999906E-2</v>
      </c>
      <c r="W184" s="57">
        <f t="shared" si="20"/>
        <v>2.877600000000001E-2</v>
      </c>
      <c r="X184" s="56">
        <v>500</v>
      </c>
      <c r="Y184" s="56">
        <v>400</v>
      </c>
    </row>
    <row r="185" spans="1:25" x14ac:dyDescent="0.25">
      <c r="B185" s="9"/>
      <c r="C185" s="31">
        <v>307.08</v>
      </c>
      <c r="D185" s="32">
        <v>30.021999999999998</v>
      </c>
      <c r="E185" s="32">
        <v>35.225000000000001</v>
      </c>
      <c r="F185" s="32">
        <v>35.734999999999999</v>
      </c>
      <c r="G185" s="18">
        <v>57.11</v>
      </c>
      <c r="H185" s="18">
        <f t="shared" si="17"/>
        <v>31.386499999999998</v>
      </c>
      <c r="I185" s="5"/>
      <c r="J185" s="31">
        <v>256.82080000000002</v>
      </c>
      <c r="K185" s="32">
        <v>30.1191</v>
      </c>
      <c r="L185" s="32">
        <v>36.721899999999998</v>
      </c>
      <c r="M185" s="32">
        <v>37.409999999999997</v>
      </c>
      <c r="N185" s="18">
        <v>61.500599999999999</v>
      </c>
      <c r="O185" s="18">
        <f t="shared" si="18"/>
        <v>31.855812499999999</v>
      </c>
      <c r="P185" s="7"/>
      <c r="Q185" s="10"/>
      <c r="R185" s="11"/>
      <c r="S185" s="11"/>
      <c r="T185" s="26"/>
      <c r="U185" s="28">
        <f t="shared" si="19"/>
        <v>7.6879705830852726E-2</v>
      </c>
      <c r="V185" s="57">
        <f t="shared" si="21"/>
        <v>2.3599999999999947E-2</v>
      </c>
      <c r="W185" s="57">
        <f t="shared" si="20"/>
        <v>2.728320000000008E-2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151.09</v>
      </c>
      <c r="D186" s="34">
        <v>27.55</v>
      </c>
      <c r="E186" s="34">
        <v>34.112000000000002</v>
      </c>
      <c r="F186" s="34">
        <v>34.665999999999997</v>
      </c>
      <c r="G186" s="20">
        <v>69.510000000000005</v>
      </c>
      <c r="H186" s="20">
        <f t="shared" si="17"/>
        <v>29.25975</v>
      </c>
      <c r="I186" s="5"/>
      <c r="J186" s="33">
        <v>123.02719999999999</v>
      </c>
      <c r="K186" s="34">
        <v>27.738499999999998</v>
      </c>
      <c r="L186" s="34">
        <v>35.2102</v>
      </c>
      <c r="M186" s="34">
        <v>35.863500000000002</v>
      </c>
      <c r="N186" s="20">
        <v>78.0518</v>
      </c>
      <c r="O186" s="20">
        <f t="shared" si="18"/>
        <v>29.688087499999995</v>
      </c>
      <c r="P186" s="7"/>
      <c r="Q186" s="13"/>
      <c r="R186" s="14"/>
      <c r="S186" s="14"/>
      <c r="T186" s="27"/>
      <c r="U186" s="28">
        <f t="shared" si="19"/>
        <v>0.12288591569558328</v>
      </c>
      <c r="V186" s="57">
        <f t="shared" si="21"/>
        <v>7.2666666666666895E-3</v>
      </c>
      <c r="W186" s="57">
        <f t="shared" si="20"/>
        <v>2.5226666666666613E-2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761.6</v>
      </c>
      <c r="D187" s="16">
        <v>35.688000000000002</v>
      </c>
      <c r="E187" s="16">
        <v>37.848999999999997</v>
      </c>
      <c r="F187" s="16">
        <v>39.005000000000003</v>
      </c>
      <c r="G187" s="16">
        <v>37.92</v>
      </c>
      <c r="H187" s="16">
        <f t="shared" si="17"/>
        <v>36.372750000000003</v>
      </c>
      <c r="I187" s="5"/>
      <c r="J187" s="15">
        <v>606.42719999999997</v>
      </c>
      <c r="K187" s="16">
        <v>34.422400000000003</v>
      </c>
      <c r="L187" s="16">
        <v>38.619199999999999</v>
      </c>
      <c r="M187" s="16">
        <v>39.764000000000003</v>
      </c>
      <c r="N187" s="16">
        <v>27.726400000000002</v>
      </c>
      <c r="O187" s="16">
        <f t="shared" si="18"/>
        <v>35.614699999999999</v>
      </c>
      <c r="P187" s="7"/>
      <c r="Q187" s="8">
        <f>bdrate(C187:C190,D187:D190,J187:J190,K187:K190)</f>
        <v>-2.2237631809519098E-2</v>
      </c>
      <c r="R187" s="8">
        <f>bdrate(C187:C190,E187:E190,J187:J190,L187:L190)</f>
        <v>-0.40268587504724951</v>
      </c>
      <c r="S187" s="8">
        <f>bdrate(C187:C190,F187:F190,J187:J190,M187:M190)</f>
        <v>-0.40289512801838423</v>
      </c>
      <c r="T187" s="25">
        <f>bdrate(C187:C190,H187:H190,J187:J190,O187:O190)</f>
        <v>-9.8217454953698935E-2</v>
      </c>
      <c r="U187" s="28">
        <f t="shared" si="19"/>
        <v>-0.26881856540084387</v>
      </c>
      <c r="V187" s="57">
        <f t="shared" si="21"/>
        <v>4.7999999999999973E-2</v>
      </c>
      <c r="W187" s="57">
        <f t="shared" si="20"/>
        <v>1.0711999999999951E-2</v>
      </c>
      <c r="X187" s="56">
        <v>800</v>
      </c>
      <c r="Y187" s="56">
        <v>600</v>
      </c>
    </row>
    <row r="188" spans="1:25" x14ac:dyDescent="0.25">
      <c r="B188" s="9"/>
      <c r="C188" s="17">
        <v>478.95</v>
      </c>
      <c r="D188" s="18">
        <v>33.363999999999997</v>
      </c>
      <c r="E188" s="18">
        <v>36.539000000000001</v>
      </c>
      <c r="F188" s="18">
        <v>37.670999999999999</v>
      </c>
      <c r="G188" s="18">
        <v>42.37</v>
      </c>
      <c r="H188" s="18">
        <f t="shared" si="17"/>
        <v>34.299249999999994</v>
      </c>
      <c r="I188" s="5"/>
      <c r="J188" s="17">
        <v>399.07279999999997</v>
      </c>
      <c r="K188" s="18">
        <v>32.478499999999997</v>
      </c>
      <c r="L188" s="18">
        <v>37.388300000000001</v>
      </c>
      <c r="M188" s="18">
        <v>38.549599999999998</v>
      </c>
      <c r="N188" s="18">
        <v>31.776299999999999</v>
      </c>
      <c r="O188" s="18">
        <f t="shared" si="18"/>
        <v>33.851112499999999</v>
      </c>
      <c r="P188" s="7"/>
      <c r="Q188" s="10"/>
      <c r="R188" s="11"/>
      <c r="S188" s="11"/>
      <c r="T188" s="26"/>
      <c r="U188" s="28">
        <f t="shared" si="19"/>
        <v>-0.25002832192589092</v>
      </c>
      <c r="V188" s="57">
        <f t="shared" si="21"/>
        <v>4.2100000000000019E-2</v>
      </c>
      <c r="W188" s="57">
        <f t="shared" si="20"/>
        <v>2.3180000000000687E-3</v>
      </c>
      <c r="X188" s="56">
        <v>500</v>
      </c>
      <c r="Y188" s="56">
        <v>400</v>
      </c>
    </row>
    <row r="189" spans="1:25" x14ac:dyDescent="0.25">
      <c r="B189" s="9"/>
      <c r="C189" s="17">
        <v>288.76</v>
      </c>
      <c r="D189" s="18">
        <v>31.074999999999999</v>
      </c>
      <c r="E189" s="18">
        <v>35.280999999999999</v>
      </c>
      <c r="F189" s="18">
        <v>36.405000000000001</v>
      </c>
      <c r="G189" s="18">
        <v>48.32</v>
      </c>
      <c r="H189" s="18">
        <f t="shared" si="17"/>
        <v>32.266999999999996</v>
      </c>
      <c r="I189" s="5"/>
      <c r="J189" s="17">
        <v>248.9632</v>
      </c>
      <c r="K189" s="18">
        <v>30.558399999999999</v>
      </c>
      <c r="L189" s="18">
        <v>36.150300000000001</v>
      </c>
      <c r="M189" s="18">
        <v>37.282299999999999</v>
      </c>
      <c r="N189" s="18">
        <v>36.923099999999998</v>
      </c>
      <c r="O189" s="18">
        <f t="shared" si="18"/>
        <v>32.097875000000002</v>
      </c>
      <c r="P189" s="7"/>
      <c r="Q189" s="10"/>
      <c r="R189" s="11"/>
      <c r="S189" s="11"/>
      <c r="T189" s="26"/>
      <c r="U189" s="28">
        <f t="shared" si="19"/>
        <v>-0.23586299668874178</v>
      </c>
      <c r="V189" s="57">
        <f t="shared" si="21"/>
        <v>3.7466666666666697E-2</v>
      </c>
      <c r="W189" s="57">
        <f t="shared" si="20"/>
        <v>4.1471999999999976E-3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144.71</v>
      </c>
      <c r="D190" s="20">
        <v>28.227</v>
      </c>
      <c r="E190" s="20">
        <v>33.847999999999999</v>
      </c>
      <c r="F190" s="20">
        <v>34.838999999999999</v>
      </c>
      <c r="G190" s="20">
        <v>60.99</v>
      </c>
      <c r="H190" s="20">
        <f t="shared" si="17"/>
        <v>29.756124999999997</v>
      </c>
      <c r="I190" s="5"/>
      <c r="J190" s="19">
        <v>121.63039999999999</v>
      </c>
      <c r="K190" s="20">
        <v>28.0183</v>
      </c>
      <c r="L190" s="20">
        <v>34.659100000000002</v>
      </c>
      <c r="M190" s="20">
        <v>35.743699999999997</v>
      </c>
      <c r="N190" s="20">
        <v>49.124000000000002</v>
      </c>
      <c r="O190" s="20">
        <f t="shared" si="18"/>
        <v>29.814074999999999</v>
      </c>
      <c r="P190" s="7"/>
      <c r="Q190" s="13"/>
      <c r="R190" s="14"/>
      <c r="S190" s="14"/>
      <c r="T190" s="27"/>
      <c r="U190" s="28">
        <f t="shared" si="19"/>
        <v>-0.19455648466961795</v>
      </c>
      <c r="V190" s="57">
        <f t="shared" si="21"/>
        <v>3.5266666666666613E-2</v>
      </c>
      <c r="W190" s="57">
        <f t="shared" si="20"/>
        <v>1.358666666666662E-2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1905.04</v>
      </c>
      <c r="D191" s="16">
        <v>41.432000000000002</v>
      </c>
      <c r="E191" s="16">
        <v>44.988</v>
      </c>
      <c r="F191" s="16">
        <v>46.026000000000003</v>
      </c>
      <c r="G191" s="16">
        <v>10.29</v>
      </c>
      <c r="H191" s="16">
        <f t="shared" si="17"/>
        <v>42.450750000000006</v>
      </c>
      <c r="I191" s="5"/>
      <c r="J191" s="15">
        <v>1504.2536</v>
      </c>
      <c r="K191" s="16">
        <v>41.832299999999996</v>
      </c>
      <c r="L191" s="16">
        <v>46.512099999999997</v>
      </c>
      <c r="M191" s="16">
        <v>47.8123</v>
      </c>
      <c r="N191" s="16">
        <v>12.183999999999999</v>
      </c>
      <c r="O191" s="16">
        <f t="shared" si="18"/>
        <v>43.164774999999992</v>
      </c>
      <c r="P191" s="7"/>
      <c r="Q191" s="8">
        <f>bdrate(C191:C194,D191:D194,J191:J194,K191:K194)</f>
        <v>-0.35776943347728307</v>
      </c>
      <c r="R191" s="8">
        <f>bdrate(C191:C194,E191:E194,J191:J194,L191:L194)</f>
        <v>-0.58540864154733918</v>
      </c>
      <c r="S191" s="8">
        <f>bdrate(C191:C194,F191:F194,J191:J194,M191:M194)</f>
        <v>-0.59474421801144128</v>
      </c>
      <c r="T191" s="25">
        <f>bdrate(C191:C194,H191:H194,J191:J194,O191:O194)</f>
        <v>-0.41140171013887639</v>
      </c>
      <c r="U191" s="28">
        <f t="shared" si="19"/>
        <v>0.18406219630709431</v>
      </c>
      <c r="V191" s="57">
        <f t="shared" si="21"/>
        <v>9.2838095238095261E-2</v>
      </c>
      <c r="W191" s="57">
        <f t="shared" si="20"/>
        <v>2.8357333333333371E-3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1239.8</v>
      </c>
      <c r="D192" s="18">
        <v>40.241</v>
      </c>
      <c r="E192" s="18">
        <v>43.896999999999998</v>
      </c>
      <c r="F192" s="18">
        <v>44.994999999999997</v>
      </c>
      <c r="G192" s="18">
        <v>11.92</v>
      </c>
      <c r="H192" s="18">
        <f t="shared" si="17"/>
        <v>41.292250000000003</v>
      </c>
      <c r="I192" s="5"/>
      <c r="J192" s="17">
        <v>989.49599999999998</v>
      </c>
      <c r="K192" s="18">
        <v>40.738500000000002</v>
      </c>
      <c r="L192" s="18">
        <v>45.593299999999999</v>
      </c>
      <c r="M192" s="18">
        <v>46.8369</v>
      </c>
      <c r="N192" s="18">
        <v>14.3675</v>
      </c>
      <c r="O192" s="18">
        <f t="shared" si="18"/>
        <v>42.107650000000007</v>
      </c>
      <c r="P192" s="7"/>
      <c r="Q192" s="10"/>
      <c r="R192" s="11"/>
      <c r="S192" s="11"/>
      <c r="T192" s="26"/>
      <c r="U192" s="28">
        <f t="shared" si="19"/>
        <v>0.20532718120805368</v>
      </c>
      <c r="V192" s="57">
        <f t="shared" si="21"/>
        <v>0.11442857142857146</v>
      </c>
      <c r="W192" s="57">
        <f t="shared" si="20"/>
        <v>1.0504000000000019E-2</v>
      </c>
      <c r="X192" s="56">
        <v>1400</v>
      </c>
      <c r="Y192" s="56">
        <v>1000</v>
      </c>
    </row>
    <row r="193" spans="1:25" x14ac:dyDescent="0.25">
      <c r="B193" s="9"/>
      <c r="C193" s="17">
        <v>735.73</v>
      </c>
      <c r="D193" s="18">
        <v>38.063000000000002</v>
      </c>
      <c r="E193" s="18">
        <v>42.277000000000001</v>
      </c>
      <c r="F193" s="18">
        <v>43.39</v>
      </c>
      <c r="G193" s="18">
        <v>14.1</v>
      </c>
      <c r="H193" s="18">
        <f t="shared" si="17"/>
        <v>39.255625000000002</v>
      </c>
      <c r="I193" s="5"/>
      <c r="J193" s="17">
        <v>567.90160000000003</v>
      </c>
      <c r="K193" s="18">
        <v>38.872700000000002</v>
      </c>
      <c r="L193" s="18">
        <v>44.114199999999997</v>
      </c>
      <c r="M193" s="18">
        <v>45.329099999999997</v>
      </c>
      <c r="N193" s="18">
        <v>17.591699999999999</v>
      </c>
      <c r="O193" s="18">
        <f t="shared" si="18"/>
        <v>40.334937499999995</v>
      </c>
      <c r="P193" s="7"/>
      <c r="Q193" s="10"/>
      <c r="R193" s="11"/>
      <c r="S193" s="11"/>
      <c r="T193" s="26"/>
      <c r="U193" s="28">
        <f t="shared" si="19"/>
        <v>0.24763829787234043</v>
      </c>
      <c r="V193" s="57">
        <f t="shared" si="21"/>
        <v>0.13443529411764704</v>
      </c>
      <c r="W193" s="57">
        <f t="shared" si="20"/>
        <v>5.3497333333333286E-2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339.62</v>
      </c>
      <c r="D194" s="20">
        <v>33.829000000000001</v>
      </c>
      <c r="E194" s="20">
        <v>40.216000000000001</v>
      </c>
      <c r="F194" s="20">
        <v>41.308</v>
      </c>
      <c r="G194" s="20">
        <v>17.86</v>
      </c>
      <c r="H194" s="20">
        <f t="shared" si="17"/>
        <v>35.562249999999999</v>
      </c>
      <c r="I194" s="5"/>
      <c r="J194" s="19">
        <v>279.71039999999999</v>
      </c>
      <c r="K194" s="20">
        <v>35.660200000000003</v>
      </c>
      <c r="L194" s="20">
        <v>42.0976</v>
      </c>
      <c r="M194" s="20">
        <v>43.122999999999998</v>
      </c>
      <c r="N194" s="20">
        <v>21.757300000000001</v>
      </c>
      <c r="O194" s="20">
        <f t="shared" si="18"/>
        <v>37.397725000000001</v>
      </c>
      <c r="P194" s="7"/>
      <c r="Q194" s="13"/>
      <c r="R194" s="14"/>
      <c r="S194" s="14"/>
      <c r="T194" s="27"/>
      <c r="U194" s="28">
        <f t="shared" si="19"/>
        <v>0.21821388577827555</v>
      </c>
      <c r="V194" s="57">
        <f t="shared" si="21"/>
        <v>0.15095</v>
      </c>
      <c r="W194" s="57">
        <f t="shared" si="20"/>
        <v>6.7632000000000025E-2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1967.1</v>
      </c>
      <c r="D195" s="16">
        <v>42.399000000000001</v>
      </c>
      <c r="E195" s="16">
        <v>46.904000000000003</v>
      </c>
      <c r="F195" s="16">
        <v>47.365000000000002</v>
      </c>
      <c r="G195" s="16">
        <v>10.27</v>
      </c>
      <c r="H195" s="16">
        <f t="shared" si="17"/>
        <v>43.582875000000001</v>
      </c>
      <c r="I195" s="5"/>
      <c r="J195" s="15">
        <v>1532.0744</v>
      </c>
      <c r="K195" s="16">
        <v>42.845700000000001</v>
      </c>
      <c r="L195" s="16">
        <v>48.344099999999997</v>
      </c>
      <c r="M195" s="16">
        <v>49.048400000000001</v>
      </c>
      <c r="N195" s="16">
        <v>13.2996</v>
      </c>
      <c r="O195" s="16">
        <f t="shared" si="18"/>
        <v>44.308337500000007</v>
      </c>
      <c r="P195" s="7"/>
      <c r="Q195" s="8">
        <f>bdrate(C195:C198,D195:D198,J195:J198,K195:K198)</f>
        <v>-0.50840447347005591</v>
      </c>
      <c r="R195" s="8">
        <f>bdrate(C195:C198,E195:E198,J195:J198,L195:L198)</f>
        <v>-0.74200621426512114</v>
      </c>
      <c r="S195" s="8">
        <f>bdrate(C195:C198,F195:F198,J195:J198,M195:M198)</f>
        <v>-0.75837580124046688</v>
      </c>
      <c r="T195" s="25">
        <f>bdrate(C195:C198,H195:H198,J195:J198,O195:O198)</f>
        <v>-0.58899454934756801</v>
      </c>
      <c r="U195" s="28">
        <f t="shared" ref="U195:U202" si="22">(N195-G195)/G195</f>
        <v>0.29499513145082767</v>
      </c>
      <c r="V195" s="57">
        <f t="shared" si="21"/>
        <v>6.3285714285714334E-2</v>
      </c>
      <c r="W195" s="57">
        <f t="shared" ref="W195:W202" si="23">ABS(J195-Y195)/Y195</f>
        <v>2.1382933333333312E-2</v>
      </c>
      <c r="X195" s="56">
        <v>2100</v>
      </c>
      <c r="Y195" s="56">
        <v>1500</v>
      </c>
    </row>
    <row r="196" spans="1:25" x14ac:dyDescent="0.25">
      <c r="B196" s="9"/>
      <c r="C196" s="17">
        <v>1289.98</v>
      </c>
      <c r="D196" s="18">
        <v>41.731999999999999</v>
      </c>
      <c r="E196" s="18">
        <v>45.939</v>
      </c>
      <c r="F196" s="18">
        <v>46.371000000000002</v>
      </c>
      <c r="G196" s="18">
        <v>11.62</v>
      </c>
      <c r="H196" s="18">
        <f t="shared" si="17"/>
        <v>42.83775</v>
      </c>
      <c r="I196" s="5"/>
      <c r="J196" s="17">
        <v>978.63520000000005</v>
      </c>
      <c r="K196" s="18">
        <v>42.392400000000002</v>
      </c>
      <c r="L196" s="18">
        <v>47.915700000000001</v>
      </c>
      <c r="M196" s="18">
        <v>48.593299999999999</v>
      </c>
      <c r="N196" s="18">
        <v>15.986800000000001</v>
      </c>
      <c r="O196" s="18">
        <f t="shared" si="18"/>
        <v>43.857925000000002</v>
      </c>
      <c r="P196" s="7"/>
      <c r="Q196" s="10"/>
      <c r="R196" s="11"/>
      <c r="S196" s="11"/>
      <c r="T196" s="26"/>
      <c r="U196" s="28">
        <f t="shared" si="22"/>
        <v>0.37580034423407932</v>
      </c>
      <c r="V196" s="57">
        <f t="shared" ref="V196:V202" si="24">ABS(C196-X196)/X196</f>
        <v>7.8585714285714273E-2</v>
      </c>
      <c r="W196" s="57">
        <f t="shared" si="23"/>
        <v>2.1364799999999944E-2</v>
      </c>
      <c r="X196" s="56">
        <v>1400</v>
      </c>
      <c r="Y196" s="56">
        <v>1000</v>
      </c>
    </row>
    <row r="197" spans="1:25" x14ac:dyDescent="0.25">
      <c r="B197" s="9"/>
      <c r="C197" s="17">
        <v>755.39</v>
      </c>
      <c r="D197" s="18">
        <v>40.603999999999999</v>
      </c>
      <c r="E197" s="18">
        <v>44.554000000000002</v>
      </c>
      <c r="F197" s="18">
        <v>45.2</v>
      </c>
      <c r="G197" s="18">
        <v>13.39</v>
      </c>
      <c r="H197" s="18">
        <f t="shared" si="17"/>
        <v>41.672249999999998</v>
      </c>
      <c r="I197" s="5"/>
      <c r="J197" s="17">
        <v>573.41120000000001</v>
      </c>
      <c r="K197" s="18">
        <v>41.578299999999999</v>
      </c>
      <c r="L197" s="18">
        <v>47.174700000000001</v>
      </c>
      <c r="M197" s="18">
        <v>47.842799999999997</v>
      </c>
      <c r="N197" s="18">
        <v>19.208600000000001</v>
      </c>
      <c r="O197" s="18">
        <f t="shared" si="18"/>
        <v>43.060912500000001</v>
      </c>
      <c r="P197" s="7"/>
      <c r="Q197" s="10"/>
      <c r="R197" s="11"/>
      <c r="S197" s="11"/>
      <c r="T197" s="26"/>
      <c r="U197" s="28">
        <f t="shared" si="22"/>
        <v>0.43454817027632558</v>
      </c>
      <c r="V197" s="57">
        <f t="shared" si="24"/>
        <v>0.1113058823529412</v>
      </c>
      <c r="W197" s="57">
        <f t="shared" si="23"/>
        <v>4.4314666666666655E-2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333.24</v>
      </c>
      <c r="D198" s="20">
        <v>37.523000000000003</v>
      </c>
      <c r="E198" s="20">
        <v>42.061</v>
      </c>
      <c r="F198" s="20">
        <v>43.113999999999997</v>
      </c>
      <c r="G198" s="20">
        <v>16.55</v>
      </c>
      <c r="H198" s="20">
        <f t="shared" si="17"/>
        <v>38.789124999999999</v>
      </c>
      <c r="I198" s="5"/>
      <c r="J198" s="19">
        <v>288.1728</v>
      </c>
      <c r="K198" s="20">
        <v>39.713700000000003</v>
      </c>
      <c r="L198" s="20">
        <v>45.3489</v>
      </c>
      <c r="M198" s="20">
        <v>45.872</v>
      </c>
      <c r="N198" s="20">
        <v>23.6053</v>
      </c>
      <c r="O198" s="20">
        <f t="shared" si="18"/>
        <v>41.187887500000002</v>
      </c>
      <c r="P198" s="7"/>
      <c r="Q198" s="13"/>
      <c r="R198" s="14"/>
      <c r="S198" s="14"/>
      <c r="T198" s="27"/>
      <c r="U198" s="28">
        <f t="shared" si="22"/>
        <v>0.42630211480362529</v>
      </c>
      <c r="V198" s="57">
        <f t="shared" si="24"/>
        <v>0.16689999999999997</v>
      </c>
      <c r="W198" s="57">
        <f t="shared" si="23"/>
        <v>3.9424000000000015E-2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2047.57</v>
      </c>
      <c r="D199" s="16">
        <v>42.500999999999998</v>
      </c>
      <c r="E199" s="16">
        <v>46.259</v>
      </c>
      <c r="F199" s="16">
        <v>46.862000000000002</v>
      </c>
      <c r="G199" s="16">
        <v>9.56</v>
      </c>
      <c r="H199" s="16">
        <f t="shared" si="17"/>
        <v>43.515875000000001</v>
      </c>
      <c r="I199" s="5"/>
      <c r="J199" s="15">
        <v>1534.1784</v>
      </c>
      <c r="K199" s="16">
        <v>42.826900000000002</v>
      </c>
      <c r="L199" s="16">
        <v>47.533799999999999</v>
      </c>
      <c r="M199" s="16">
        <v>48.435200000000002</v>
      </c>
      <c r="N199" s="16">
        <v>12.267899999999999</v>
      </c>
      <c r="O199" s="16">
        <f t="shared" si="18"/>
        <v>44.116300000000003</v>
      </c>
      <c r="P199" s="7"/>
      <c r="Q199" s="8">
        <f>bdrate(C199:C202,D199:D202,J199:J202,K199:K202)</f>
        <v>-0.41427772443772781</v>
      </c>
      <c r="R199" s="8">
        <f>bdrate(C199:C202,E199:E202,J199:J202,L199:L202)</f>
        <v>-0.64288325552136016</v>
      </c>
      <c r="S199" s="8">
        <f>bdrate(C199:C202,F199:F202,J199:J202,M199:M202)</f>
        <v>-0.67296100393176295</v>
      </c>
      <c r="T199" s="25">
        <f>bdrate(C199:C202,H199:H202,J199:J202,O199:O202)</f>
        <v>-0.4826240464192828</v>
      </c>
      <c r="U199" s="28">
        <f t="shared" si="22"/>
        <v>0.28325313807531366</v>
      </c>
      <c r="V199" s="57">
        <f t="shared" si="24"/>
        <v>2.4966666666666696E-2</v>
      </c>
      <c r="W199" s="57">
        <f t="shared" si="23"/>
        <v>2.2785600000000007E-2</v>
      </c>
      <c r="X199" s="56">
        <v>2100</v>
      </c>
      <c r="Y199" s="56">
        <v>1500</v>
      </c>
    </row>
    <row r="200" spans="1:25" x14ac:dyDescent="0.25">
      <c r="B200" s="9"/>
      <c r="C200" s="17">
        <v>1347.75</v>
      </c>
      <c r="D200" s="18">
        <v>41.606000000000002</v>
      </c>
      <c r="E200" s="18">
        <v>45.185000000000002</v>
      </c>
      <c r="F200" s="18">
        <v>45.811</v>
      </c>
      <c r="G200" s="18">
        <v>10.97</v>
      </c>
      <c r="H200" s="18">
        <f t="shared" si="17"/>
        <v>42.579000000000001</v>
      </c>
      <c r="I200" s="5"/>
      <c r="J200" s="17">
        <v>1012.3712</v>
      </c>
      <c r="K200" s="18">
        <v>42.054299999999998</v>
      </c>
      <c r="L200" s="18">
        <v>46.852400000000003</v>
      </c>
      <c r="M200" s="18">
        <v>47.742100000000001</v>
      </c>
      <c r="N200" s="18">
        <v>14.557499999999999</v>
      </c>
      <c r="O200" s="18">
        <f t="shared" si="18"/>
        <v>43.3650375</v>
      </c>
      <c r="P200" s="7"/>
      <c r="Q200" s="10"/>
      <c r="R200" s="11"/>
      <c r="S200" s="11"/>
      <c r="T200" s="26"/>
      <c r="U200" s="28">
        <f t="shared" si="22"/>
        <v>0.3270282588878759</v>
      </c>
      <c r="V200" s="57">
        <f t="shared" si="24"/>
        <v>3.7321428571428575E-2</v>
      </c>
      <c r="W200" s="57">
        <f t="shared" si="23"/>
        <v>1.2371200000000044E-2</v>
      </c>
      <c r="X200" s="56">
        <v>1400</v>
      </c>
      <c r="Y200" s="56">
        <v>1000</v>
      </c>
    </row>
    <row r="201" spans="1:25" x14ac:dyDescent="0.25">
      <c r="B201" s="9"/>
      <c r="C201" s="17">
        <v>800.72</v>
      </c>
      <c r="D201" s="18">
        <v>39.923999999999999</v>
      </c>
      <c r="E201" s="18">
        <v>43.499000000000002</v>
      </c>
      <c r="F201" s="18">
        <v>44.192999999999998</v>
      </c>
      <c r="G201" s="18">
        <v>12.97</v>
      </c>
      <c r="H201" s="18">
        <f t="shared" si="17"/>
        <v>40.904499999999999</v>
      </c>
      <c r="I201" s="5"/>
      <c r="J201" s="17">
        <v>598.26</v>
      </c>
      <c r="K201" s="18">
        <v>40.735199999999999</v>
      </c>
      <c r="L201" s="18">
        <v>45.695700000000002</v>
      </c>
      <c r="M201" s="18">
        <v>46.568899999999999</v>
      </c>
      <c r="N201" s="18">
        <v>17.386299999999999</v>
      </c>
      <c r="O201" s="18">
        <f t="shared" si="18"/>
        <v>42.084474999999998</v>
      </c>
      <c r="P201" s="7"/>
      <c r="Q201" s="10"/>
      <c r="R201" s="11"/>
      <c r="S201" s="11"/>
      <c r="T201" s="26"/>
      <c r="U201" s="28">
        <f t="shared" si="22"/>
        <v>0.34050115651503454</v>
      </c>
      <c r="V201" s="57">
        <f t="shared" si="24"/>
        <v>5.7976470588235261E-2</v>
      </c>
      <c r="W201" s="57">
        <f t="shared" si="23"/>
        <v>2.900000000000015E-3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367.83</v>
      </c>
      <c r="D202" s="20">
        <v>36.320999999999998</v>
      </c>
      <c r="E202" s="20">
        <v>41.198</v>
      </c>
      <c r="F202" s="20">
        <v>41.447000000000003</v>
      </c>
      <c r="G202" s="20">
        <v>16.61</v>
      </c>
      <c r="H202" s="20">
        <f t="shared" si="17"/>
        <v>37.571374999999996</v>
      </c>
      <c r="I202" s="5"/>
      <c r="J202" s="19">
        <v>293.6952</v>
      </c>
      <c r="K202" s="20">
        <v>38.2303</v>
      </c>
      <c r="L202" s="20">
        <v>43.726500000000001</v>
      </c>
      <c r="M202" s="20">
        <v>44.6417</v>
      </c>
      <c r="N202" s="20">
        <v>22.058</v>
      </c>
      <c r="O202" s="20">
        <f t="shared" si="18"/>
        <v>39.71875</v>
      </c>
      <c r="P202" s="7"/>
      <c r="Q202" s="13"/>
      <c r="R202" s="14"/>
      <c r="S202" s="14"/>
      <c r="T202" s="27"/>
      <c r="U202" s="28">
        <f t="shared" si="22"/>
        <v>0.32799518362432273</v>
      </c>
      <c r="V202" s="57">
        <f t="shared" si="24"/>
        <v>8.0425000000000038E-2</v>
      </c>
      <c r="W202" s="57">
        <f t="shared" si="23"/>
        <v>2.1016E-2</v>
      </c>
      <c r="X202" s="56">
        <v>400</v>
      </c>
      <c r="Y202" s="56">
        <v>300</v>
      </c>
    </row>
    <row r="203" spans="1:25" x14ac:dyDescent="0.25">
      <c r="A203" s="6" t="s">
        <v>81</v>
      </c>
      <c r="B203" s="6" t="s">
        <v>82</v>
      </c>
      <c r="C203" s="15">
        <v>1524.84</v>
      </c>
      <c r="D203" s="16">
        <v>40.902999999999999</v>
      </c>
      <c r="E203" s="16">
        <v>47.13</v>
      </c>
      <c r="F203" s="16">
        <v>45.777000000000001</v>
      </c>
      <c r="G203" s="16">
        <v>4.7300000000000004</v>
      </c>
      <c r="H203" s="16">
        <f t="shared" ref="H203:H225" si="25">(6*D203+E203+F203)/8</f>
        <v>42.290624999999999</v>
      </c>
      <c r="I203" s="5"/>
      <c r="J203" s="15">
        <v>1001.258</v>
      </c>
      <c r="K203" s="16">
        <v>39.967300000000002</v>
      </c>
      <c r="L203" s="16">
        <v>46.960099999999997</v>
      </c>
      <c r="M203" s="16">
        <v>45.592399999999998</v>
      </c>
      <c r="N203" s="16">
        <v>5.8715999999999999</v>
      </c>
      <c r="O203" s="16">
        <f t="shared" ref="O203:O225" si="26">(6*K203+L203+M203)/8</f>
        <v>41.544537500000004</v>
      </c>
      <c r="P203" s="7"/>
      <c r="Q203" s="8">
        <f>bdrate(C203:C206,D203:D206,J203:J206,K203:K206)</f>
        <v>-0.3050711210587661</v>
      </c>
      <c r="R203" s="8">
        <f>bdrate(C203:C206,E203:E206,J203:J206,L203:L206)</f>
        <v>-0.44122393362599799</v>
      </c>
      <c r="S203" s="8">
        <f>bdrate(C203:C206,F203:F206,J203:J206,M203:M206)</f>
        <v>-0.41466496537855113</v>
      </c>
      <c r="T203" s="25">
        <f>bdrate(C203:C206,H203:H206,J203:J206,O203:O206)</f>
        <v>-0.32882430531281992</v>
      </c>
      <c r="U203" s="28">
        <f t="shared" ref="U203:U225" si="27">(N203-G203)/G203</f>
        <v>0.24135306553911193</v>
      </c>
      <c r="V203" s="57">
        <f t="shared" ref="V203:V246" si="28">ABS(C203-X203)/X203</f>
        <v>1.6559999999999946E-2</v>
      </c>
      <c r="W203" s="57">
        <f t="shared" ref="W203:W246" si="29">ABS(J203-Y203)/Y203</f>
        <v>1.2580000000000382E-3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1017.66</v>
      </c>
      <c r="D204" s="18">
        <v>39.174999999999997</v>
      </c>
      <c r="E204" s="18">
        <v>45.877000000000002</v>
      </c>
      <c r="F204" s="18">
        <v>44.523000000000003</v>
      </c>
      <c r="G204" s="18">
        <v>5.27</v>
      </c>
      <c r="H204" s="18">
        <f t="shared" si="25"/>
        <v>40.681249999999999</v>
      </c>
      <c r="I204" s="5"/>
      <c r="J204" s="17">
        <v>600.09709999999995</v>
      </c>
      <c r="K204" s="18">
        <v>38.072299999999998</v>
      </c>
      <c r="L204" s="18">
        <v>45.7776</v>
      </c>
      <c r="M204" s="18">
        <v>44.340499999999999</v>
      </c>
      <c r="N204" s="18">
        <v>6.9858000000000002</v>
      </c>
      <c r="O204" s="18">
        <f t="shared" si="26"/>
        <v>39.818987499999999</v>
      </c>
      <c r="P204" s="7"/>
      <c r="Q204" s="10"/>
      <c r="R204" s="11"/>
      <c r="S204" s="11"/>
      <c r="T204" s="26"/>
      <c r="U204" s="28">
        <f t="shared" si="27"/>
        <v>0.32557874762808364</v>
      </c>
      <c r="V204" s="57">
        <f t="shared" si="28"/>
        <v>1.7659999999999967E-2</v>
      </c>
      <c r="W204" s="57">
        <f t="shared" si="29"/>
        <v>1.6183333333325814E-4</v>
      </c>
      <c r="X204" s="56">
        <v>1000</v>
      </c>
      <c r="Y204" s="56">
        <v>600</v>
      </c>
    </row>
    <row r="205" spans="1:25" x14ac:dyDescent="0.25">
      <c r="B205" s="9"/>
      <c r="C205" s="17">
        <v>610.82000000000005</v>
      </c>
      <c r="D205" s="18">
        <v>36.704999999999998</v>
      </c>
      <c r="E205" s="18">
        <v>44.136000000000003</v>
      </c>
      <c r="F205" s="18">
        <v>42.831000000000003</v>
      </c>
      <c r="G205" s="18">
        <v>6.19</v>
      </c>
      <c r="H205" s="18">
        <f t="shared" si="25"/>
        <v>38.399625</v>
      </c>
      <c r="I205" s="5"/>
      <c r="J205" s="17">
        <v>296.4008</v>
      </c>
      <c r="K205" s="18">
        <v>35.140700000000002</v>
      </c>
      <c r="L205" s="18">
        <v>44.002499999999998</v>
      </c>
      <c r="M205" s="18">
        <v>42.451900000000002</v>
      </c>
      <c r="N205" s="18">
        <v>9.0852000000000004</v>
      </c>
      <c r="O205" s="18">
        <f t="shared" si="26"/>
        <v>37.162325000000003</v>
      </c>
      <c r="P205" s="7"/>
      <c r="Q205" s="10"/>
      <c r="R205" s="11"/>
      <c r="S205" s="11"/>
      <c r="T205" s="26"/>
      <c r="U205" s="28">
        <f t="shared" si="27"/>
        <v>0.46772213247172856</v>
      </c>
      <c r="V205" s="57">
        <f t="shared" si="28"/>
        <v>1.8033333333333415E-2</v>
      </c>
      <c r="W205" s="57">
        <f t="shared" si="29"/>
        <v>1.199733333333332E-2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303.89</v>
      </c>
      <c r="D206" s="20">
        <v>32.567</v>
      </c>
      <c r="E206" s="20">
        <v>41.677999999999997</v>
      </c>
      <c r="F206" s="20">
        <v>40.314999999999998</v>
      </c>
      <c r="G206" s="20">
        <v>7.87</v>
      </c>
      <c r="H206" s="20">
        <f t="shared" si="25"/>
        <v>34.674374999999998</v>
      </c>
      <c r="I206" s="5"/>
      <c r="J206" s="19">
        <v>197.58940000000001</v>
      </c>
      <c r="K206" s="20">
        <v>33.284399999999998</v>
      </c>
      <c r="L206" s="20">
        <v>42.988999999999997</v>
      </c>
      <c r="M206" s="20">
        <v>41.376800000000003</v>
      </c>
      <c r="N206" s="20">
        <v>10.7509</v>
      </c>
      <c r="O206" s="20">
        <f t="shared" si="26"/>
        <v>35.509024999999994</v>
      </c>
      <c r="P206" s="7"/>
      <c r="Q206" s="13"/>
      <c r="R206" s="14"/>
      <c r="S206" s="14"/>
      <c r="T206" s="27"/>
      <c r="U206" s="28">
        <f t="shared" si="27"/>
        <v>0.36606099110546375</v>
      </c>
      <c r="V206" s="57">
        <f t="shared" si="28"/>
        <v>1.2966666666666621E-2</v>
      </c>
      <c r="W206" s="57">
        <f t="shared" si="29"/>
        <v>1.205299999999994E-2</v>
      </c>
      <c r="X206" s="56">
        <v>300</v>
      </c>
      <c r="Y206" s="56">
        <v>200</v>
      </c>
    </row>
    <row r="207" spans="1:25" x14ac:dyDescent="0.25">
      <c r="B207" s="6" t="s">
        <v>83</v>
      </c>
      <c r="C207" s="29">
        <v>1465.45</v>
      </c>
      <c r="D207" s="30">
        <v>42.142000000000003</v>
      </c>
      <c r="E207" s="30">
        <v>47.314999999999998</v>
      </c>
      <c r="F207" s="30">
        <v>47.058</v>
      </c>
      <c r="G207" s="16">
        <v>5.2</v>
      </c>
      <c r="H207" s="16">
        <f t="shared" si="25"/>
        <v>43.403125000000003</v>
      </c>
      <c r="I207" s="5"/>
      <c r="J207" s="29">
        <v>1005.9926</v>
      </c>
      <c r="K207" s="30">
        <v>41.244</v>
      </c>
      <c r="L207" s="30">
        <v>47.355899999999998</v>
      </c>
      <c r="M207" s="30">
        <v>47.037100000000002</v>
      </c>
      <c r="N207" s="16">
        <v>6.0077999999999996</v>
      </c>
      <c r="O207" s="16">
        <f t="shared" si="26"/>
        <v>42.732125000000003</v>
      </c>
      <c r="P207" s="7"/>
      <c r="Q207" s="8">
        <f>bdrate(C207:C210,D207:D210,J207:J210,K207:K210)</f>
        <v>-0.26723454675321667</v>
      </c>
      <c r="R207" s="8">
        <f>bdrate(C207:C210,E207:E210,J207:J210,L207:L210)</f>
        <v>-0.43871530836073491</v>
      </c>
      <c r="S207" s="8">
        <f>bdrate(C207:C210,F207:F210,J207:J210,M207:M210)</f>
        <v>-0.43393110612869312</v>
      </c>
      <c r="T207" s="25">
        <f>bdrate(C207:C210,H207:H210,J207:J210,O207:O210)</f>
        <v>-0.3002089141662363</v>
      </c>
      <c r="U207" s="28">
        <f t="shared" si="27"/>
        <v>0.15534615384615372</v>
      </c>
      <c r="V207" s="57">
        <f t="shared" si="28"/>
        <v>2.3033333333333302E-2</v>
      </c>
      <c r="W207" s="57">
        <f t="shared" si="29"/>
        <v>5.9926000000000389E-3</v>
      </c>
      <c r="X207" s="56">
        <v>1500</v>
      </c>
      <c r="Y207" s="56">
        <v>1000</v>
      </c>
    </row>
    <row r="208" spans="1:25" x14ac:dyDescent="0.25">
      <c r="B208" s="9"/>
      <c r="C208" s="31">
        <v>973.02</v>
      </c>
      <c r="D208" s="32">
        <v>40.466999999999999</v>
      </c>
      <c r="E208" s="32">
        <v>46.216000000000001</v>
      </c>
      <c r="F208" s="32">
        <v>45.956000000000003</v>
      </c>
      <c r="G208" s="18">
        <v>5.83</v>
      </c>
      <c r="H208" s="18">
        <f t="shared" si="25"/>
        <v>41.871749999999999</v>
      </c>
      <c r="I208" s="5"/>
      <c r="J208" s="31">
        <v>602.74</v>
      </c>
      <c r="K208" s="32">
        <v>39.448799999999999</v>
      </c>
      <c r="L208" s="32">
        <v>46.259599999999999</v>
      </c>
      <c r="M208" s="32">
        <v>45.9895</v>
      </c>
      <c r="N208" s="18">
        <v>7.2279</v>
      </c>
      <c r="O208" s="18">
        <f t="shared" si="26"/>
        <v>41.117737499999997</v>
      </c>
      <c r="P208" s="7"/>
      <c r="Q208" s="10"/>
      <c r="R208" s="11"/>
      <c r="S208" s="11"/>
      <c r="T208" s="26"/>
      <c r="U208" s="28">
        <f t="shared" si="27"/>
        <v>0.23977701543739277</v>
      </c>
      <c r="V208" s="57">
        <f t="shared" si="28"/>
        <v>2.6980000000000018E-2</v>
      </c>
      <c r="W208" s="57">
        <f t="shared" si="29"/>
        <v>4.5666666666666815E-3</v>
      </c>
      <c r="X208" s="56">
        <v>1000</v>
      </c>
      <c r="Y208" s="56">
        <v>600</v>
      </c>
    </row>
    <row r="209" spans="2:25" x14ac:dyDescent="0.25">
      <c r="B209" s="9"/>
      <c r="C209" s="31">
        <v>581.44000000000005</v>
      </c>
      <c r="D209" s="32">
        <v>38.241</v>
      </c>
      <c r="E209" s="32">
        <v>44.692999999999998</v>
      </c>
      <c r="F209" s="32">
        <v>44.462000000000003</v>
      </c>
      <c r="G209" s="18">
        <v>6.74</v>
      </c>
      <c r="H209" s="18">
        <f t="shared" si="25"/>
        <v>39.825125</v>
      </c>
      <c r="I209" s="5"/>
      <c r="J209" s="31">
        <v>301.19189999999998</v>
      </c>
      <c r="K209" s="32">
        <v>36.975000000000001</v>
      </c>
      <c r="L209" s="32">
        <v>44.731099999999998</v>
      </c>
      <c r="M209" s="32">
        <v>44.471899999999998</v>
      </c>
      <c r="N209" s="18">
        <v>9.2178000000000004</v>
      </c>
      <c r="O209" s="18">
        <f t="shared" si="26"/>
        <v>38.881625</v>
      </c>
      <c r="P209" s="7"/>
      <c r="Q209" s="10"/>
      <c r="R209" s="11"/>
      <c r="S209" s="11"/>
      <c r="T209" s="26"/>
      <c r="U209" s="28">
        <f t="shared" si="27"/>
        <v>0.36762611275964396</v>
      </c>
      <c r="V209" s="57">
        <f t="shared" si="28"/>
        <v>3.0933333333333243E-2</v>
      </c>
      <c r="W209" s="57">
        <f t="shared" si="29"/>
        <v>3.9729999999999184E-3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289.87</v>
      </c>
      <c r="D210" s="34">
        <v>34.720999999999997</v>
      </c>
      <c r="E210" s="34">
        <v>42.508000000000003</v>
      </c>
      <c r="F210" s="34">
        <v>42.237000000000002</v>
      </c>
      <c r="G210" s="20">
        <v>8.4499999999999993</v>
      </c>
      <c r="H210" s="20">
        <f t="shared" si="25"/>
        <v>36.633874999999996</v>
      </c>
      <c r="I210" s="5"/>
      <c r="J210" s="33">
        <v>200.21279999999999</v>
      </c>
      <c r="K210" s="34">
        <v>35.412399999999998</v>
      </c>
      <c r="L210" s="34">
        <v>43.789499999999997</v>
      </c>
      <c r="M210" s="34">
        <v>43.543399999999998</v>
      </c>
      <c r="N210" s="20">
        <v>10.741199999999999</v>
      </c>
      <c r="O210" s="20">
        <f t="shared" si="26"/>
        <v>37.4759125</v>
      </c>
      <c r="P210" s="7"/>
      <c r="Q210" s="13"/>
      <c r="R210" s="14"/>
      <c r="S210" s="14"/>
      <c r="T210" s="27"/>
      <c r="U210" s="28">
        <f t="shared" si="27"/>
        <v>0.27114792899408285</v>
      </c>
      <c r="V210" s="57">
        <f t="shared" si="28"/>
        <v>3.3766666666666653E-2</v>
      </c>
      <c r="W210" s="57">
        <f t="shared" si="29"/>
        <v>1.0639999999999361E-3</v>
      </c>
      <c r="X210" s="56">
        <v>300</v>
      </c>
      <c r="Y210" s="56">
        <v>200</v>
      </c>
    </row>
    <row r="211" spans="2:25" x14ac:dyDescent="0.25">
      <c r="B211" s="6" t="s">
        <v>84</v>
      </c>
      <c r="C211" s="15">
        <v>1500.38</v>
      </c>
      <c r="D211" s="16">
        <v>38.872999999999998</v>
      </c>
      <c r="E211" s="16">
        <v>47.05</v>
      </c>
      <c r="F211" s="16">
        <v>45.393000000000001</v>
      </c>
      <c r="G211" s="16">
        <v>5.04</v>
      </c>
      <c r="H211" s="16">
        <f t="shared" si="25"/>
        <v>40.710125000000005</v>
      </c>
      <c r="I211" s="5"/>
      <c r="J211" s="15">
        <v>1004.4991</v>
      </c>
      <c r="K211" s="16">
        <v>37.956600000000002</v>
      </c>
      <c r="L211" s="16">
        <v>46.892400000000002</v>
      </c>
      <c r="M211" s="16">
        <v>45.3108</v>
      </c>
      <c r="N211" s="16">
        <v>5.8654999999999999</v>
      </c>
      <c r="O211" s="16">
        <f t="shared" si="26"/>
        <v>39.992850000000004</v>
      </c>
      <c r="P211" s="7"/>
      <c r="Q211" s="8">
        <f>bdrate(C211:C214,D211:D214,J211:J214,K211:K214)</f>
        <v>-0.27683291563074319</v>
      </c>
      <c r="R211" s="8">
        <f>bdrate(C211:C214,E211:E214,J211:J214,L211:L214)</f>
        <v>-0.40129361502535088</v>
      </c>
      <c r="S211" s="8">
        <f>bdrate(C211:C214,F211:F214,J211:J214,M211:M214)</f>
        <v>-0.44060686966702645</v>
      </c>
      <c r="T211" s="25">
        <f>bdrate(C211:C214,H211:H214,J211:J214,O211:O214)</f>
        <v>-0.3050059009815077</v>
      </c>
      <c r="U211" s="28">
        <f t="shared" si="27"/>
        <v>0.16378968253968251</v>
      </c>
      <c r="V211" s="57">
        <f t="shared" si="28"/>
        <v>2.5333333333340608E-4</v>
      </c>
      <c r="W211" s="57">
        <f t="shared" si="29"/>
        <v>4.4990999999999989E-3</v>
      </c>
      <c r="X211" s="56">
        <v>1500</v>
      </c>
      <c r="Y211" s="56">
        <v>1000</v>
      </c>
    </row>
    <row r="212" spans="2:25" x14ac:dyDescent="0.25">
      <c r="B212" s="9"/>
      <c r="C212" s="17">
        <v>1000.89</v>
      </c>
      <c r="D212" s="18">
        <v>37.298999999999999</v>
      </c>
      <c r="E212" s="18">
        <v>46.06</v>
      </c>
      <c r="F212" s="18">
        <v>44.289000000000001</v>
      </c>
      <c r="G212" s="18">
        <v>5.64</v>
      </c>
      <c r="H212" s="18">
        <f t="shared" si="25"/>
        <v>39.267874999999997</v>
      </c>
      <c r="I212" s="5"/>
      <c r="J212" s="17">
        <v>603.23509999999999</v>
      </c>
      <c r="K212" s="18">
        <v>36.259900000000002</v>
      </c>
      <c r="L212" s="18">
        <v>45.8979</v>
      </c>
      <c r="M212" s="18">
        <v>44.304499999999997</v>
      </c>
      <c r="N212" s="18">
        <v>6.9356</v>
      </c>
      <c r="O212" s="18">
        <f t="shared" si="26"/>
        <v>38.470225000000006</v>
      </c>
      <c r="P212" s="7"/>
      <c r="Q212" s="10"/>
      <c r="R212" s="11"/>
      <c r="S212" s="11"/>
      <c r="T212" s="26"/>
      <c r="U212" s="28">
        <f t="shared" si="27"/>
        <v>0.22971631205673765</v>
      </c>
      <c r="V212" s="57">
        <f t="shared" si="28"/>
        <v>8.899999999999864E-4</v>
      </c>
      <c r="W212" s="57">
        <f t="shared" si="29"/>
        <v>5.3918333333333145E-3</v>
      </c>
      <c r="X212" s="56">
        <v>1000</v>
      </c>
      <c r="Y212" s="56">
        <v>600</v>
      </c>
    </row>
    <row r="213" spans="2:25" x14ac:dyDescent="0.25">
      <c r="B213" s="9"/>
      <c r="C213" s="17">
        <v>600.04</v>
      </c>
      <c r="D213" s="18">
        <v>35.177</v>
      </c>
      <c r="E213" s="18">
        <v>44.625</v>
      </c>
      <c r="F213" s="18">
        <v>42.777999999999999</v>
      </c>
      <c r="G213" s="18">
        <v>6.58</v>
      </c>
      <c r="H213" s="18">
        <f t="shared" si="25"/>
        <v>37.308125000000004</v>
      </c>
      <c r="I213" s="5"/>
      <c r="J213" s="17">
        <v>300.70429999999999</v>
      </c>
      <c r="K213" s="18">
        <v>33.827100000000002</v>
      </c>
      <c r="L213" s="18">
        <v>44.332999999999998</v>
      </c>
      <c r="M213" s="18">
        <v>42.693800000000003</v>
      </c>
      <c r="N213" s="18">
        <v>9.0038999999999998</v>
      </c>
      <c r="O213" s="18">
        <f t="shared" si="26"/>
        <v>36.248674999999999</v>
      </c>
      <c r="P213" s="7"/>
      <c r="Q213" s="10"/>
      <c r="R213" s="11"/>
      <c r="S213" s="11"/>
      <c r="T213" s="26"/>
      <c r="U213" s="28">
        <f t="shared" si="27"/>
        <v>0.36837386018237078</v>
      </c>
      <c r="V213" s="57">
        <f t="shared" si="28"/>
        <v>6.6666666666606036E-5</v>
      </c>
      <c r="W213" s="57">
        <f t="shared" si="29"/>
        <v>2.3476666666666307E-3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298.24</v>
      </c>
      <c r="D214" s="20">
        <v>31.673999999999999</v>
      </c>
      <c r="E214" s="20">
        <v>42.447000000000003</v>
      </c>
      <c r="F214" s="20">
        <v>40.613</v>
      </c>
      <c r="G214" s="20">
        <v>8.36</v>
      </c>
      <c r="H214" s="20">
        <f t="shared" si="25"/>
        <v>34.137999999999998</v>
      </c>
      <c r="I214" s="5"/>
      <c r="J214" s="19">
        <v>199.3467</v>
      </c>
      <c r="K214" s="20">
        <v>32.2286</v>
      </c>
      <c r="L214" s="20">
        <v>43.509300000000003</v>
      </c>
      <c r="M214" s="20">
        <v>41.767899999999997</v>
      </c>
      <c r="N214" s="20">
        <v>10.6327</v>
      </c>
      <c r="O214" s="20">
        <f t="shared" si="26"/>
        <v>34.831099999999999</v>
      </c>
      <c r="P214" s="7"/>
      <c r="Q214" s="13"/>
      <c r="R214" s="14"/>
      <c r="S214" s="14"/>
      <c r="T214" s="27"/>
      <c r="U214" s="28">
        <f t="shared" si="27"/>
        <v>0.27185406698564601</v>
      </c>
      <c r="V214" s="57">
        <f t="shared" si="28"/>
        <v>5.8666666666666364E-3</v>
      </c>
      <c r="W214" s="57">
        <f t="shared" si="29"/>
        <v>3.2665000000000077E-3</v>
      </c>
      <c r="X214" s="56">
        <v>300</v>
      </c>
      <c r="Y214" s="56">
        <v>200</v>
      </c>
    </row>
    <row r="215" spans="2:25" x14ac:dyDescent="0.25">
      <c r="B215" s="6" t="s">
        <v>85</v>
      </c>
      <c r="C215" s="15">
        <v>1483.08</v>
      </c>
      <c r="D215" s="16">
        <v>37.828000000000003</v>
      </c>
      <c r="E215" s="16">
        <v>47</v>
      </c>
      <c r="F215" s="16">
        <v>45.366999999999997</v>
      </c>
      <c r="G215" s="16">
        <v>4.9000000000000004</v>
      </c>
      <c r="H215" s="16">
        <f t="shared" si="25"/>
        <v>39.916875000000005</v>
      </c>
      <c r="I215" s="5"/>
      <c r="J215" s="15">
        <v>1002.1747</v>
      </c>
      <c r="K215" s="16">
        <v>36.9251</v>
      </c>
      <c r="L215" s="16">
        <v>46.721800000000002</v>
      </c>
      <c r="M215" s="16">
        <v>45.2149</v>
      </c>
      <c r="N215" s="16">
        <v>5.7060000000000004</v>
      </c>
      <c r="O215" s="16">
        <f t="shared" si="26"/>
        <v>39.185912500000001</v>
      </c>
      <c r="P215" s="7"/>
      <c r="Q215" s="8">
        <f>bdrate(C215:C218,D215:D218,J215:J218,K215:K218)</f>
        <v>-0.27382346728256413</v>
      </c>
      <c r="R215" s="8">
        <f>bdrate(C215:C218,E215:E218,J215:J218,L215:L218)</f>
        <v>-0.3518688188150193</v>
      </c>
      <c r="S215" s="8">
        <f>bdrate(C215:C218,F215:F218,J215:J218,M215:M218)</f>
        <v>-0.43678086201375932</v>
      </c>
      <c r="T215" s="25">
        <f>bdrate(C215:C218,H215:H218,J215:J218,O215:O218)</f>
        <v>-0.29754991438962508</v>
      </c>
      <c r="U215" s="28">
        <f t="shared" si="27"/>
        <v>0.16448979591836735</v>
      </c>
      <c r="V215" s="57">
        <f t="shared" si="28"/>
        <v>1.1280000000000049E-2</v>
      </c>
      <c r="W215" s="57">
        <f t="shared" si="29"/>
        <v>2.1747000000000298E-3</v>
      </c>
      <c r="X215" s="56">
        <v>1500</v>
      </c>
      <c r="Y215" s="56">
        <v>1000</v>
      </c>
    </row>
    <row r="216" spans="2:25" x14ac:dyDescent="0.25">
      <c r="B216" s="9"/>
      <c r="C216" s="17">
        <v>987.21</v>
      </c>
      <c r="D216" s="18">
        <v>36.267000000000003</v>
      </c>
      <c r="E216" s="18">
        <v>46.030999999999999</v>
      </c>
      <c r="F216" s="18">
        <v>44.24</v>
      </c>
      <c r="G216" s="18">
        <v>5.53</v>
      </c>
      <c r="H216" s="18">
        <f t="shared" si="25"/>
        <v>38.484125000000006</v>
      </c>
      <c r="I216" s="5"/>
      <c r="J216" s="17">
        <v>600.99940000000004</v>
      </c>
      <c r="K216" s="18">
        <v>35.259099999999997</v>
      </c>
      <c r="L216" s="18">
        <v>45.701900000000002</v>
      </c>
      <c r="M216" s="18">
        <v>44.226799999999997</v>
      </c>
      <c r="N216" s="18">
        <v>6.8040000000000003</v>
      </c>
      <c r="O216" s="18">
        <f t="shared" si="26"/>
        <v>37.685412499999998</v>
      </c>
      <c r="P216" s="7"/>
      <c r="Q216" s="10"/>
      <c r="R216" s="11"/>
      <c r="S216" s="11"/>
      <c r="T216" s="26"/>
      <c r="U216" s="28">
        <f t="shared" si="27"/>
        <v>0.23037974683544304</v>
      </c>
      <c r="V216" s="57">
        <f t="shared" si="28"/>
        <v>1.2789999999999963E-2</v>
      </c>
      <c r="W216" s="57">
        <f t="shared" si="29"/>
        <v>1.6656666666667282E-3</v>
      </c>
      <c r="X216" s="56">
        <v>1000</v>
      </c>
      <c r="Y216" s="56">
        <v>600</v>
      </c>
    </row>
    <row r="217" spans="2:25" x14ac:dyDescent="0.25">
      <c r="B217" s="9"/>
      <c r="C217" s="17">
        <v>591.64</v>
      </c>
      <c r="D217" s="18">
        <v>34.173000000000002</v>
      </c>
      <c r="E217" s="18">
        <v>44.649000000000001</v>
      </c>
      <c r="F217" s="18">
        <v>42.72</v>
      </c>
      <c r="G217" s="18">
        <v>6.5</v>
      </c>
      <c r="H217" s="18">
        <f t="shared" si="25"/>
        <v>36.550875000000005</v>
      </c>
      <c r="I217" s="5"/>
      <c r="J217" s="17">
        <v>298.7081</v>
      </c>
      <c r="K217" s="18">
        <v>32.8827</v>
      </c>
      <c r="L217" s="18">
        <v>44.170699999999997</v>
      </c>
      <c r="M217" s="18">
        <v>42.692300000000003</v>
      </c>
      <c r="N217" s="18">
        <v>8.8568999999999996</v>
      </c>
      <c r="O217" s="18">
        <f t="shared" si="26"/>
        <v>35.5199</v>
      </c>
      <c r="P217" s="7"/>
      <c r="Q217" s="10"/>
      <c r="R217" s="11"/>
      <c r="S217" s="11"/>
      <c r="T217" s="26"/>
      <c r="U217" s="28">
        <f t="shared" si="27"/>
        <v>0.36259999999999992</v>
      </c>
      <c r="V217" s="57">
        <f t="shared" si="28"/>
        <v>1.3933333333333357E-2</v>
      </c>
      <c r="W217" s="57">
        <f t="shared" si="29"/>
        <v>4.3063333333333278E-3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295.47000000000003</v>
      </c>
      <c r="D218" s="20">
        <v>30.797999999999998</v>
      </c>
      <c r="E218" s="20">
        <v>42.631</v>
      </c>
      <c r="F218" s="20">
        <v>40.618000000000002</v>
      </c>
      <c r="G218" s="20">
        <v>8.42</v>
      </c>
      <c r="H218" s="20">
        <f t="shared" si="25"/>
        <v>33.504624999999997</v>
      </c>
      <c r="I218" s="5"/>
      <c r="J218" s="19">
        <v>196.76220000000001</v>
      </c>
      <c r="K218" s="20">
        <v>31.357600000000001</v>
      </c>
      <c r="L218" s="20">
        <v>43.411999999999999</v>
      </c>
      <c r="M218" s="20">
        <v>41.822699999999998</v>
      </c>
      <c r="N218" s="20">
        <v>10.457800000000001</v>
      </c>
      <c r="O218" s="20">
        <f t="shared" si="26"/>
        <v>34.172537500000004</v>
      </c>
      <c r="P218" s="7"/>
      <c r="Q218" s="13"/>
      <c r="R218" s="14"/>
      <c r="S218" s="14"/>
      <c r="T218" s="27"/>
      <c r="U218" s="28">
        <f t="shared" si="27"/>
        <v>0.242019002375297</v>
      </c>
      <c r="V218" s="57">
        <f t="shared" si="28"/>
        <v>1.5099999999999909E-2</v>
      </c>
      <c r="W218" s="57">
        <f t="shared" si="29"/>
        <v>1.6188999999999964E-2</v>
      </c>
      <c r="X218" s="56">
        <v>300</v>
      </c>
      <c r="Y218" s="56">
        <v>200</v>
      </c>
    </row>
    <row r="219" spans="2:25" x14ac:dyDescent="0.25">
      <c r="B219" s="6" t="s">
        <v>86</v>
      </c>
      <c r="C219" s="15">
        <v>1496.76</v>
      </c>
      <c r="D219" s="16">
        <v>42.616999999999997</v>
      </c>
      <c r="E219" s="16">
        <v>48.966000000000001</v>
      </c>
      <c r="F219" s="16">
        <v>48.381999999999998</v>
      </c>
      <c r="G219" s="16">
        <v>5.97</v>
      </c>
      <c r="H219" s="16">
        <f t="shared" si="25"/>
        <v>44.131250000000001</v>
      </c>
      <c r="I219" s="5"/>
      <c r="J219" s="15">
        <v>1013.8064000000001</v>
      </c>
      <c r="K219" s="16">
        <v>41.725900000000003</v>
      </c>
      <c r="L219" s="16">
        <v>48.859000000000002</v>
      </c>
      <c r="M219" s="16">
        <v>48.296700000000001</v>
      </c>
      <c r="N219" s="16">
        <v>6.8373999999999997</v>
      </c>
      <c r="O219" s="16">
        <f t="shared" si="26"/>
        <v>43.4388875</v>
      </c>
      <c r="P219" s="7"/>
      <c r="Q219" s="8">
        <f>bdrate(C219:C222,D219:D222,J219:J222,K219:K222)</f>
        <v>-0.23763708185742216</v>
      </c>
      <c r="R219" s="8">
        <f>bdrate(C219:C222,E219:E222,J219:J222,L219:L222)</f>
        <v>-0.42967441803968698</v>
      </c>
      <c r="S219" s="8">
        <f>bdrate(C219:C222,F219:F222,J219:J222,M219:M222)</f>
        <v>-0.45399133693182903</v>
      </c>
      <c r="T219" s="25">
        <f>bdrate(C219:C222,H219:H222,J219:J222,O219:O222)</f>
        <v>-0.28111360532160745</v>
      </c>
      <c r="U219" s="28">
        <f t="shared" si="27"/>
        <v>0.14529313232830821</v>
      </c>
      <c r="V219" s="57">
        <f t="shared" si="28"/>
        <v>2.1600000000000061E-3</v>
      </c>
      <c r="W219" s="57">
        <f t="shared" si="29"/>
        <v>1.3806400000000054E-2</v>
      </c>
      <c r="X219" s="56">
        <v>1500</v>
      </c>
      <c r="Y219" s="56">
        <v>1000</v>
      </c>
    </row>
    <row r="220" spans="2:25" x14ac:dyDescent="0.25">
      <c r="B220" s="9"/>
      <c r="C220" s="17">
        <v>999.31</v>
      </c>
      <c r="D220" s="18">
        <v>41.377000000000002</v>
      </c>
      <c r="E220" s="18">
        <v>48.225000000000001</v>
      </c>
      <c r="F220" s="18">
        <v>47.597000000000001</v>
      </c>
      <c r="G220" s="18">
        <v>6.67</v>
      </c>
      <c r="H220" s="18">
        <f t="shared" si="25"/>
        <v>43.0105</v>
      </c>
      <c r="I220" s="5"/>
      <c r="J220" s="17">
        <v>609.5675</v>
      </c>
      <c r="K220" s="18">
        <v>40.435299999999998</v>
      </c>
      <c r="L220" s="18">
        <v>48.131500000000003</v>
      </c>
      <c r="M220" s="18">
        <v>47.562899999999999</v>
      </c>
      <c r="N220" s="18">
        <v>8.1267999999999994</v>
      </c>
      <c r="O220" s="18">
        <f t="shared" si="26"/>
        <v>42.288274999999999</v>
      </c>
      <c r="P220" s="7"/>
      <c r="Q220" s="10"/>
      <c r="R220" s="11"/>
      <c r="S220" s="11"/>
      <c r="T220" s="26"/>
      <c r="U220" s="28">
        <f t="shared" si="27"/>
        <v>0.21841079460269858</v>
      </c>
      <c r="V220" s="57">
        <f t="shared" si="28"/>
        <v>6.9000000000005461E-4</v>
      </c>
      <c r="W220" s="57">
        <f t="shared" si="29"/>
        <v>1.5945833333333326E-2</v>
      </c>
      <c r="X220" s="56">
        <v>1000</v>
      </c>
      <c r="Y220" s="56">
        <v>600</v>
      </c>
    </row>
    <row r="221" spans="2:25" x14ac:dyDescent="0.25">
      <c r="B221" s="9"/>
      <c r="C221" s="17">
        <v>598.44000000000005</v>
      </c>
      <c r="D221" s="18">
        <v>39.792000000000002</v>
      </c>
      <c r="E221" s="18">
        <v>47.076000000000001</v>
      </c>
      <c r="F221" s="18">
        <v>46.37</v>
      </c>
      <c r="G221" s="18">
        <v>7.68</v>
      </c>
      <c r="H221" s="18">
        <f t="shared" si="25"/>
        <v>41.524750000000004</v>
      </c>
      <c r="I221" s="5"/>
      <c r="J221" s="17">
        <v>299.6816</v>
      </c>
      <c r="K221" s="18">
        <v>38.628300000000003</v>
      </c>
      <c r="L221" s="18">
        <v>47.006300000000003</v>
      </c>
      <c r="M221" s="18">
        <v>46.440199999999997</v>
      </c>
      <c r="N221" s="18">
        <v>10.4285</v>
      </c>
      <c r="O221" s="18">
        <f t="shared" si="26"/>
        <v>40.652037500000006</v>
      </c>
      <c r="P221" s="7"/>
      <c r="Q221" s="10"/>
      <c r="R221" s="11"/>
      <c r="S221" s="11"/>
      <c r="T221" s="26"/>
      <c r="U221" s="28">
        <f t="shared" si="27"/>
        <v>0.3578776041666667</v>
      </c>
      <c r="V221" s="57">
        <f t="shared" si="28"/>
        <v>2.5999999999999092E-3</v>
      </c>
      <c r="W221" s="57">
        <f t="shared" si="29"/>
        <v>1.061333333333323E-3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299.66000000000003</v>
      </c>
      <c r="D222" s="20">
        <v>37.253</v>
      </c>
      <c r="E222" s="20">
        <v>45.213000000000001</v>
      </c>
      <c r="F222" s="20">
        <v>44.506999999999998</v>
      </c>
      <c r="G222" s="20">
        <v>9.52</v>
      </c>
      <c r="H222" s="20">
        <f t="shared" si="25"/>
        <v>39.15475</v>
      </c>
      <c r="I222" s="5"/>
      <c r="J222" s="19">
        <v>194.113</v>
      </c>
      <c r="K222" s="20">
        <v>37.383600000000001</v>
      </c>
      <c r="L222" s="20">
        <v>46.186799999999998</v>
      </c>
      <c r="M222" s="20">
        <v>45.584899999999998</v>
      </c>
      <c r="N222" s="20">
        <v>12.2302</v>
      </c>
      <c r="O222" s="20">
        <f t="shared" si="26"/>
        <v>39.509162500000002</v>
      </c>
      <c r="P222" s="7"/>
      <c r="Q222" s="13"/>
      <c r="R222" s="14"/>
      <c r="S222" s="14"/>
      <c r="T222" s="27"/>
      <c r="U222" s="28">
        <f t="shared" si="27"/>
        <v>0.28468487394957986</v>
      </c>
      <c r="V222" s="57">
        <f t="shared" si="28"/>
        <v>1.1333333333332499E-3</v>
      </c>
      <c r="W222" s="57">
        <f t="shared" si="29"/>
        <v>2.9435000000000003E-2</v>
      </c>
      <c r="X222" s="56">
        <v>300</v>
      </c>
      <c r="Y222" s="56">
        <v>200</v>
      </c>
    </row>
    <row r="223" spans="2:25" x14ac:dyDescent="0.25">
      <c r="B223" s="6" t="s">
        <v>87</v>
      </c>
      <c r="C223" s="15">
        <v>1478.18</v>
      </c>
      <c r="D223" s="16">
        <v>42.499000000000002</v>
      </c>
      <c r="E223" s="16">
        <v>49.631999999999998</v>
      </c>
      <c r="F223" s="16">
        <v>49.533000000000001</v>
      </c>
      <c r="G223" s="16">
        <v>5.88</v>
      </c>
      <c r="H223" s="16">
        <f t="shared" si="25"/>
        <v>44.269875000000006</v>
      </c>
      <c r="I223" s="5"/>
      <c r="J223" s="15">
        <v>1004.3488</v>
      </c>
      <c r="K223" s="16">
        <v>42.107799999999997</v>
      </c>
      <c r="L223" s="16">
        <v>49.770600000000002</v>
      </c>
      <c r="M223" s="16">
        <v>49.478000000000002</v>
      </c>
      <c r="N223" s="16">
        <v>7.6345999999999998</v>
      </c>
      <c r="O223" s="16">
        <f t="shared" si="26"/>
        <v>43.986924999999999</v>
      </c>
      <c r="P223" s="7"/>
      <c r="Q223" s="8">
        <f>bdrate(C223:C226,D223:D226,J223:J226,K223:K226)</f>
        <v>-0.33247440439328313</v>
      </c>
      <c r="R223" s="8">
        <f>bdrate(C223:C226,E223:E226,J223:J226,L223:L226)</f>
        <v>-0.54715482100506307</v>
      </c>
      <c r="S223" s="8">
        <f>bdrate(C223:C226,F223:F226,J223:J226,M223:M226)</f>
        <v>-0.44165546209034201</v>
      </c>
      <c r="T223" s="25">
        <f>bdrate(C223:C226,H223:H226,J223:J226,O223:O226)</f>
        <v>-0.36487692772673519</v>
      </c>
      <c r="U223" s="28">
        <f t="shared" si="27"/>
        <v>0.29840136054421768</v>
      </c>
      <c r="V223" s="57">
        <f t="shared" si="28"/>
        <v>1.4546666666666624E-2</v>
      </c>
      <c r="W223" s="57">
        <f t="shared" si="29"/>
        <v>4.3487999999999825E-3</v>
      </c>
      <c r="X223" s="56">
        <v>1500</v>
      </c>
      <c r="Y223" s="56">
        <v>1000</v>
      </c>
    </row>
    <row r="224" spans="2:25" x14ac:dyDescent="0.25">
      <c r="B224" s="9"/>
      <c r="C224" s="17">
        <v>981.66</v>
      </c>
      <c r="D224" s="18">
        <v>41.624000000000002</v>
      </c>
      <c r="E224" s="18">
        <v>49.079000000000001</v>
      </c>
      <c r="F224" s="18">
        <v>49.100999999999999</v>
      </c>
      <c r="G224" s="18">
        <v>6.69</v>
      </c>
      <c r="H224" s="18">
        <f t="shared" si="25"/>
        <v>43.490500000000004</v>
      </c>
      <c r="I224" s="5"/>
      <c r="J224" s="17">
        <v>604.04</v>
      </c>
      <c r="K224" s="18">
        <v>41.263800000000003</v>
      </c>
      <c r="L224" s="18">
        <v>49.301200000000001</v>
      </c>
      <c r="M224" s="18">
        <v>49.044400000000003</v>
      </c>
      <c r="N224" s="18">
        <v>9.3903999999999996</v>
      </c>
      <c r="O224" s="18">
        <f t="shared" si="26"/>
        <v>43.241050000000001</v>
      </c>
      <c r="P224" s="7"/>
      <c r="Q224" s="10"/>
      <c r="R224" s="11"/>
      <c r="S224" s="11"/>
      <c r="T224" s="26"/>
      <c r="U224" s="28">
        <f t="shared" si="27"/>
        <v>0.40364723467862468</v>
      </c>
      <c r="V224" s="57">
        <f t="shared" si="28"/>
        <v>1.8340000000000033E-2</v>
      </c>
      <c r="W224" s="57">
        <f t="shared" si="29"/>
        <v>6.7333333333332726E-3</v>
      </c>
      <c r="X224" s="56">
        <v>1000</v>
      </c>
      <c r="Y224" s="56">
        <v>600</v>
      </c>
    </row>
    <row r="225" spans="2:25" x14ac:dyDescent="0.25">
      <c r="B225" s="9"/>
      <c r="C225" s="17">
        <v>586.08000000000004</v>
      </c>
      <c r="D225" s="18">
        <v>40.531999999999996</v>
      </c>
      <c r="E225" s="18">
        <v>48.274000000000001</v>
      </c>
      <c r="F225" s="18">
        <v>48.441000000000003</v>
      </c>
      <c r="G225" s="18">
        <v>7.91</v>
      </c>
      <c r="H225" s="18">
        <f t="shared" si="25"/>
        <v>42.488375000000005</v>
      </c>
      <c r="I225" s="5"/>
      <c r="J225" s="17">
        <v>286.30360000000002</v>
      </c>
      <c r="K225" s="18">
        <v>39.991500000000002</v>
      </c>
      <c r="L225" s="18">
        <v>48.521700000000003</v>
      </c>
      <c r="M225" s="18">
        <v>48.410699999999999</v>
      </c>
      <c r="N225" s="18">
        <v>12.5167</v>
      </c>
      <c r="O225" s="18">
        <f t="shared" si="26"/>
        <v>42.110175000000005</v>
      </c>
      <c r="P225" s="7"/>
      <c r="Q225" s="10"/>
      <c r="R225" s="11"/>
      <c r="S225" s="11"/>
      <c r="T225" s="26"/>
      <c r="U225" s="28">
        <f t="shared" si="27"/>
        <v>0.58238938053097344</v>
      </c>
      <c r="V225" s="57">
        <f t="shared" si="28"/>
        <v>2.3199999999999932E-2</v>
      </c>
      <c r="W225" s="57">
        <f t="shared" si="29"/>
        <v>4.5654666666666607E-2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288.64</v>
      </c>
      <c r="D226" s="20">
        <v>38.783999999999999</v>
      </c>
      <c r="E226" s="20">
        <v>46.859000000000002</v>
      </c>
      <c r="F226" s="20">
        <v>47.348999999999997</v>
      </c>
      <c r="G226" s="20">
        <v>10.119999999999999</v>
      </c>
      <c r="H226" s="20">
        <f t="shared" ref="H226:H246" si="30">(6*D226+E226+F226)/8</f>
        <v>40.863999999999997</v>
      </c>
      <c r="I226" s="5"/>
      <c r="J226" s="19">
        <v>174.68020000000001</v>
      </c>
      <c r="K226" s="20">
        <v>38.994300000000003</v>
      </c>
      <c r="L226" s="20">
        <v>47.8247</v>
      </c>
      <c r="M226" s="20">
        <v>47.865400000000001</v>
      </c>
      <c r="N226" s="20">
        <v>14.831099999999999</v>
      </c>
      <c r="O226" s="20">
        <f t="shared" ref="O226:O246" si="31">(6*K226+L226+M226)/8</f>
        <v>41.206987500000004</v>
      </c>
      <c r="P226" s="7"/>
      <c r="Q226" s="13"/>
      <c r="R226" s="14"/>
      <c r="S226" s="14"/>
      <c r="T226" s="27"/>
      <c r="U226" s="28">
        <f t="shared" ref="U226:U246" si="32">(N226-G226)/G226</f>
        <v>0.4655237154150198</v>
      </c>
      <c r="V226" s="57">
        <f t="shared" si="28"/>
        <v>3.7866666666666715E-2</v>
      </c>
      <c r="W226" s="57">
        <f t="shared" si="29"/>
        <v>0.12659899999999993</v>
      </c>
      <c r="X226" s="56">
        <v>300</v>
      </c>
      <c r="Y226" s="56">
        <v>200</v>
      </c>
    </row>
    <row r="227" spans="2:25" x14ac:dyDescent="0.25">
      <c r="B227" s="6" t="s">
        <v>88</v>
      </c>
      <c r="C227" s="15">
        <v>1474.91</v>
      </c>
      <c r="D227" s="16">
        <v>43.930999999999997</v>
      </c>
      <c r="E227" s="16">
        <v>51.683</v>
      </c>
      <c r="F227" s="16">
        <v>51.441000000000003</v>
      </c>
      <c r="G227" s="16">
        <v>5.68</v>
      </c>
      <c r="H227" s="16">
        <f t="shared" si="30"/>
        <v>45.838750000000005</v>
      </c>
      <c r="I227" s="5"/>
      <c r="J227" s="15">
        <v>1005.2884</v>
      </c>
      <c r="K227" s="16">
        <v>43.145499999999998</v>
      </c>
      <c r="L227" s="16">
        <v>51.393500000000003</v>
      </c>
      <c r="M227" s="16">
        <v>51.216700000000003</v>
      </c>
      <c r="N227" s="16">
        <v>7.0846</v>
      </c>
      <c r="O227" s="16">
        <f t="shared" si="31"/>
        <v>45.185400000000001</v>
      </c>
      <c r="P227" s="7"/>
      <c r="Q227" s="8">
        <f>bdrate(C227:C230,D227:D230,J227:J230,K227:K230)</f>
        <v>-0.22556798698346958</v>
      </c>
      <c r="R227" s="8">
        <f>bdrate(C227:C230,E227:E230,J227:J230,L227:L230)</f>
        <v>-0.46512949639769519</v>
      </c>
      <c r="S227" s="8">
        <f>bdrate(C227:C230,F227:F230,J227:J230,M227:M230)</f>
        <v>-0.48064830786636181</v>
      </c>
      <c r="T227" s="25">
        <f>bdrate(C227:C230,H227:H230,J227:J230,O227:O230)</f>
        <v>-0.28685151657355801</v>
      </c>
      <c r="U227" s="28">
        <f t="shared" si="32"/>
        <v>0.24728873239436627</v>
      </c>
      <c r="V227" s="57">
        <f t="shared" si="28"/>
        <v>1.6726666666666612E-2</v>
      </c>
      <c r="W227" s="57">
        <f t="shared" si="29"/>
        <v>5.2884000000000238E-3</v>
      </c>
      <c r="X227" s="56">
        <v>1500</v>
      </c>
      <c r="Y227" s="56">
        <v>1000</v>
      </c>
    </row>
    <row r="228" spans="2:25" x14ac:dyDescent="0.25">
      <c r="B228" s="9"/>
      <c r="C228" s="17">
        <v>974.44</v>
      </c>
      <c r="D228" s="18">
        <v>42.91</v>
      </c>
      <c r="E228" s="18">
        <v>50.762</v>
      </c>
      <c r="F228" s="18">
        <v>50.49</v>
      </c>
      <c r="G228" s="18">
        <v>6.62</v>
      </c>
      <c r="H228" s="18">
        <f t="shared" si="30"/>
        <v>44.838999999999999</v>
      </c>
      <c r="I228" s="5"/>
      <c r="J228" s="17">
        <v>601.00829999999996</v>
      </c>
      <c r="K228" s="18">
        <v>42.169899999999998</v>
      </c>
      <c r="L228" s="18">
        <v>50.789299999999997</v>
      </c>
      <c r="M228" s="18">
        <v>50.598500000000001</v>
      </c>
      <c r="N228" s="18">
        <v>8.5439000000000007</v>
      </c>
      <c r="O228" s="18">
        <f t="shared" si="31"/>
        <v>44.300899999999999</v>
      </c>
      <c r="P228" s="7"/>
      <c r="Q228" s="10"/>
      <c r="R228" s="11"/>
      <c r="S228" s="11"/>
      <c r="T228" s="26"/>
      <c r="U228" s="28">
        <f t="shared" si="32"/>
        <v>0.29061933534743212</v>
      </c>
      <c r="V228" s="57">
        <f t="shared" si="28"/>
        <v>2.5559999999999944E-2</v>
      </c>
      <c r="W228" s="57">
        <f t="shared" si="29"/>
        <v>1.6804999999999381E-3</v>
      </c>
      <c r="X228" s="56">
        <v>1000</v>
      </c>
      <c r="Y228" s="56">
        <v>600</v>
      </c>
    </row>
    <row r="229" spans="2:25" x14ac:dyDescent="0.25">
      <c r="B229" s="9"/>
      <c r="C229" s="17">
        <v>578.30999999999995</v>
      </c>
      <c r="D229" s="18">
        <v>41.701999999999998</v>
      </c>
      <c r="E229" s="18">
        <v>49.837000000000003</v>
      </c>
      <c r="F229" s="18">
        <v>49.536999999999999</v>
      </c>
      <c r="G229" s="18">
        <v>7.86</v>
      </c>
      <c r="H229" s="18">
        <f t="shared" si="30"/>
        <v>43.698249999999994</v>
      </c>
      <c r="I229" s="5"/>
      <c r="J229" s="17">
        <v>294.92509999999999</v>
      </c>
      <c r="K229" s="18">
        <v>40.968400000000003</v>
      </c>
      <c r="L229" s="18">
        <v>50.051699999999997</v>
      </c>
      <c r="M229" s="18">
        <v>49.806899999999999</v>
      </c>
      <c r="N229" s="18">
        <v>11.024900000000001</v>
      </c>
      <c r="O229" s="18">
        <f t="shared" si="31"/>
        <v>43.208624999999998</v>
      </c>
      <c r="P229" s="7"/>
      <c r="Q229" s="10"/>
      <c r="R229" s="11"/>
      <c r="S229" s="11"/>
      <c r="T229" s="26"/>
      <c r="U229" s="28">
        <f t="shared" si="32"/>
        <v>0.4026590330788804</v>
      </c>
      <c r="V229" s="57">
        <f t="shared" si="28"/>
        <v>3.6150000000000092E-2</v>
      </c>
      <c r="W229" s="57">
        <f t="shared" si="29"/>
        <v>1.691633333333338E-2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282.64</v>
      </c>
      <c r="D230" s="20">
        <v>39.951000000000001</v>
      </c>
      <c r="E230" s="20">
        <v>48.121000000000002</v>
      </c>
      <c r="F230" s="20">
        <v>47.996000000000002</v>
      </c>
      <c r="G230" s="20">
        <v>9.83</v>
      </c>
      <c r="H230" s="20">
        <f t="shared" si="30"/>
        <v>41.977874999999997</v>
      </c>
      <c r="I230" s="5"/>
      <c r="J230" s="19">
        <v>190.6507</v>
      </c>
      <c r="K230" s="20">
        <v>40.2119</v>
      </c>
      <c r="L230" s="20">
        <v>49.515000000000001</v>
      </c>
      <c r="M230" s="20">
        <v>49.298400000000001</v>
      </c>
      <c r="N230" s="20">
        <v>12.946199999999999</v>
      </c>
      <c r="O230" s="20">
        <f t="shared" si="31"/>
        <v>42.510600000000004</v>
      </c>
      <c r="P230" s="7"/>
      <c r="Q230" s="13"/>
      <c r="R230" s="14"/>
      <c r="S230" s="14"/>
      <c r="T230" s="27"/>
      <c r="U230" s="28">
        <f t="shared" si="32"/>
        <v>0.31700915564598159</v>
      </c>
      <c r="V230" s="57">
        <f t="shared" si="28"/>
        <v>5.7866666666666712E-2</v>
      </c>
      <c r="W230" s="57">
        <f t="shared" si="29"/>
        <v>4.6746499999999996E-2</v>
      </c>
      <c r="X230" s="56">
        <v>300</v>
      </c>
      <c r="Y230" s="56">
        <v>200</v>
      </c>
    </row>
    <row r="231" spans="2:25" x14ac:dyDescent="0.25">
      <c r="B231" s="6" t="s">
        <v>89</v>
      </c>
      <c r="C231" s="15">
        <v>1476.93</v>
      </c>
      <c r="D231" s="16">
        <v>44.341000000000001</v>
      </c>
      <c r="E231" s="16">
        <v>52.069000000000003</v>
      </c>
      <c r="F231" s="16">
        <v>52.091999999999999</v>
      </c>
      <c r="G231" s="16">
        <v>6.38</v>
      </c>
      <c r="H231" s="16">
        <f t="shared" si="30"/>
        <v>46.275874999999999</v>
      </c>
      <c r="I231" s="5"/>
      <c r="J231" s="15">
        <v>1006.1981</v>
      </c>
      <c r="K231" s="16">
        <v>43.662100000000002</v>
      </c>
      <c r="L231" s="16">
        <v>52.128900000000002</v>
      </c>
      <c r="M231" s="16">
        <v>52.2209</v>
      </c>
      <c r="N231" s="16">
        <v>8.2642000000000007</v>
      </c>
      <c r="O231" s="16">
        <f t="shared" si="31"/>
        <v>45.790300000000002</v>
      </c>
      <c r="P231" s="7"/>
      <c r="Q231" s="8">
        <f>bdrate(C231:C234,D231:D234,J231:J234,K231:K234)</f>
        <v>-0.23300915344233719</v>
      </c>
      <c r="R231" s="8">
        <f>bdrate(C231:C234,E231:E234,J231:J234,L231:L234)</f>
        <v>-0.40275883962971215</v>
      </c>
      <c r="S231" s="8">
        <f>bdrate(C231:C234,F231:F234,J231:J234,M231:M234)</f>
        <v>-0.44901155823838379</v>
      </c>
      <c r="T231" s="25">
        <f>bdrate(C231:C234,H231:H234,J231:J234,O231:O234)</f>
        <v>-0.27104453640630743</v>
      </c>
      <c r="U231" s="28">
        <f t="shared" si="32"/>
        <v>0.29532915360501583</v>
      </c>
      <c r="V231" s="57">
        <f t="shared" si="28"/>
        <v>1.5379999999999958E-2</v>
      </c>
      <c r="W231" s="57">
        <f t="shared" si="29"/>
        <v>6.1980999999999538E-3</v>
      </c>
      <c r="X231" s="56">
        <v>1500</v>
      </c>
      <c r="Y231" s="56">
        <v>1000</v>
      </c>
    </row>
    <row r="232" spans="2:25" x14ac:dyDescent="0.25">
      <c r="B232" s="9"/>
      <c r="C232" s="17">
        <v>979</v>
      </c>
      <c r="D232" s="18">
        <v>43.101999999999997</v>
      </c>
      <c r="E232" s="18">
        <v>51.433</v>
      </c>
      <c r="F232" s="18">
        <v>51.43</v>
      </c>
      <c r="G232" s="18">
        <v>7.42</v>
      </c>
      <c r="H232" s="18">
        <f t="shared" si="30"/>
        <v>45.184374999999996</v>
      </c>
      <c r="I232" s="5"/>
      <c r="J232" s="17">
        <v>604.2491</v>
      </c>
      <c r="K232" s="18">
        <v>42.267400000000002</v>
      </c>
      <c r="L232" s="18">
        <v>51.337899999999998</v>
      </c>
      <c r="M232" s="18">
        <v>51.474400000000003</v>
      </c>
      <c r="N232" s="18">
        <v>9.6426999999999996</v>
      </c>
      <c r="O232" s="18">
        <f t="shared" si="31"/>
        <v>44.552087499999999</v>
      </c>
      <c r="P232" s="7"/>
      <c r="Q232" s="10"/>
      <c r="R232" s="11"/>
      <c r="S232" s="11"/>
      <c r="T232" s="26"/>
      <c r="U232" s="28">
        <f t="shared" si="32"/>
        <v>0.29955525606468997</v>
      </c>
      <c r="V232" s="57">
        <f t="shared" si="28"/>
        <v>2.1000000000000001E-2</v>
      </c>
      <c r="W232" s="57">
        <f t="shared" si="29"/>
        <v>7.0818333333333306E-3</v>
      </c>
      <c r="X232" s="56">
        <v>1000</v>
      </c>
      <c r="Y232" s="56">
        <v>600</v>
      </c>
    </row>
    <row r="233" spans="2:25" x14ac:dyDescent="0.25">
      <c r="B233" s="9"/>
      <c r="C233" s="17">
        <v>584.27</v>
      </c>
      <c r="D233" s="18">
        <v>41.472000000000001</v>
      </c>
      <c r="E233" s="18">
        <v>50.414000000000001</v>
      </c>
      <c r="F233" s="18">
        <v>50.356999999999999</v>
      </c>
      <c r="G233" s="18">
        <v>8.82</v>
      </c>
      <c r="H233" s="18">
        <f t="shared" si="30"/>
        <v>43.700374999999994</v>
      </c>
      <c r="I233" s="5"/>
      <c r="J233" s="17">
        <v>301.56779999999998</v>
      </c>
      <c r="K233" s="18">
        <v>40.302100000000003</v>
      </c>
      <c r="L233" s="18">
        <v>50.212000000000003</v>
      </c>
      <c r="M233" s="18">
        <v>50.342300000000002</v>
      </c>
      <c r="N233" s="18">
        <v>11.8139</v>
      </c>
      <c r="O233" s="18">
        <f t="shared" si="31"/>
        <v>42.795862500000005</v>
      </c>
      <c r="P233" s="7"/>
      <c r="Q233" s="10"/>
      <c r="R233" s="11"/>
      <c r="S233" s="11"/>
      <c r="T233" s="26"/>
      <c r="U233" s="28">
        <f t="shared" si="32"/>
        <v>0.33944444444444444</v>
      </c>
      <c r="V233" s="57">
        <f t="shared" si="28"/>
        <v>2.6216666666666697E-2</v>
      </c>
      <c r="W233" s="57">
        <f t="shared" si="29"/>
        <v>5.2259999999999234E-3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289.7</v>
      </c>
      <c r="D234" s="20">
        <v>38.994999999999997</v>
      </c>
      <c r="E234" s="20">
        <v>48.447000000000003</v>
      </c>
      <c r="F234" s="20">
        <v>48.466000000000001</v>
      </c>
      <c r="G234" s="20">
        <v>10.91</v>
      </c>
      <c r="H234" s="20">
        <f t="shared" si="30"/>
        <v>41.360374999999998</v>
      </c>
      <c r="I234" s="5"/>
      <c r="J234" s="19">
        <v>196.61279999999999</v>
      </c>
      <c r="K234" s="20">
        <v>39.038200000000003</v>
      </c>
      <c r="L234" s="20">
        <v>49.367899999999999</v>
      </c>
      <c r="M234" s="20">
        <v>49.57</v>
      </c>
      <c r="N234" s="20">
        <v>13.363</v>
      </c>
      <c r="O234" s="20">
        <f t="shared" si="31"/>
        <v>41.645887500000001</v>
      </c>
      <c r="P234" s="7"/>
      <c r="Q234" s="13"/>
      <c r="R234" s="14"/>
      <c r="S234" s="14"/>
      <c r="T234" s="27"/>
      <c r="U234" s="28">
        <f t="shared" si="32"/>
        <v>0.22483959670027492</v>
      </c>
      <c r="V234" s="57">
        <f t="shared" si="28"/>
        <v>3.4333333333333368E-2</v>
      </c>
      <c r="W234" s="57">
        <f t="shared" si="29"/>
        <v>1.6936000000000034E-2</v>
      </c>
      <c r="X234" s="56">
        <v>300</v>
      </c>
      <c r="Y234" s="56">
        <v>200</v>
      </c>
    </row>
    <row r="235" spans="2:25" x14ac:dyDescent="0.25">
      <c r="B235" s="6" t="s">
        <v>90</v>
      </c>
      <c r="C235" s="15">
        <v>1493.79</v>
      </c>
      <c r="D235" s="16">
        <v>42.564999999999998</v>
      </c>
      <c r="E235" s="16">
        <v>49.935000000000002</v>
      </c>
      <c r="F235" s="16">
        <v>50.640999999999998</v>
      </c>
      <c r="G235" s="16">
        <v>6.21</v>
      </c>
      <c r="H235" s="16">
        <f t="shared" si="30"/>
        <v>44.495750000000001</v>
      </c>
      <c r="I235" s="5"/>
      <c r="J235" s="15">
        <v>1007.8267</v>
      </c>
      <c r="K235" s="16">
        <v>42.022399999999998</v>
      </c>
      <c r="L235" s="16">
        <v>50.0443</v>
      </c>
      <c r="M235" s="16">
        <v>50.824100000000001</v>
      </c>
      <c r="N235" s="16">
        <v>7.3014999999999999</v>
      </c>
      <c r="O235" s="16">
        <f t="shared" si="31"/>
        <v>44.125349999999997</v>
      </c>
      <c r="P235" s="7"/>
      <c r="Q235" s="8">
        <f>bdrate(C235:C238,D235:D238,J235:J238,K235:K238)</f>
        <v>-0.30766920595512603</v>
      </c>
      <c r="R235" s="8">
        <f>bdrate(C235:C238,E235:E238,J235:J238,L235:L238)</f>
        <v>-0.49164434854335048</v>
      </c>
      <c r="S235" s="8">
        <f>bdrate(C235:C238,F235:F238,J235:J238,M235:M238)</f>
        <v>-0.49708589822303739</v>
      </c>
      <c r="T235" s="25">
        <f>bdrate(C235:C238,H235:H238,J235:J238,O235:O238)</f>
        <v>-0.34876834158188097</v>
      </c>
      <c r="U235" s="28">
        <f t="shared" si="32"/>
        <v>0.17576489533011272</v>
      </c>
      <c r="V235" s="57">
        <f t="shared" si="28"/>
        <v>4.1400000000000239E-3</v>
      </c>
      <c r="W235" s="57">
        <f t="shared" si="29"/>
        <v>7.826699999999959E-3</v>
      </c>
      <c r="X235" s="56">
        <v>1500</v>
      </c>
      <c r="Y235" s="56">
        <v>1000</v>
      </c>
    </row>
    <row r="236" spans="2:25" x14ac:dyDescent="0.25">
      <c r="B236" s="9"/>
      <c r="C236" s="17">
        <v>995.31</v>
      </c>
      <c r="D236" s="18">
        <v>41.606000000000002</v>
      </c>
      <c r="E236" s="18">
        <v>49.311</v>
      </c>
      <c r="F236" s="18">
        <v>50.093000000000004</v>
      </c>
      <c r="G236" s="18">
        <v>7.11</v>
      </c>
      <c r="H236" s="18">
        <f t="shared" si="30"/>
        <v>43.63</v>
      </c>
      <c r="I236" s="5"/>
      <c r="J236" s="17">
        <v>603.49599999999998</v>
      </c>
      <c r="K236" s="18">
        <v>41.105800000000002</v>
      </c>
      <c r="L236" s="18">
        <v>49.441000000000003</v>
      </c>
      <c r="M236" s="18">
        <v>50.228400000000001</v>
      </c>
      <c r="N236" s="18">
        <v>8.8486999999999991</v>
      </c>
      <c r="O236" s="18">
        <f t="shared" si="31"/>
        <v>43.288025000000005</v>
      </c>
      <c r="P236" s="7"/>
      <c r="Q236" s="10"/>
      <c r="R236" s="11"/>
      <c r="S236" s="11"/>
      <c r="T236" s="26"/>
      <c r="U236" s="28">
        <f t="shared" si="32"/>
        <v>0.24454289732770729</v>
      </c>
      <c r="V236" s="57">
        <f t="shared" si="28"/>
        <v>4.6900000000000544E-3</v>
      </c>
      <c r="W236" s="57">
        <f t="shared" si="29"/>
        <v>5.8266666666666345E-3</v>
      </c>
      <c r="X236" s="56">
        <v>1000</v>
      </c>
      <c r="Y236" s="56">
        <v>600</v>
      </c>
    </row>
    <row r="237" spans="2:25" x14ac:dyDescent="0.25">
      <c r="B237" s="9"/>
      <c r="C237" s="17">
        <v>597.6</v>
      </c>
      <c r="D237" s="18">
        <v>40.448</v>
      </c>
      <c r="E237" s="18">
        <v>48.381</v>
      </c>
      <c r="F237" s="18">
        <v>49.25</v>
      </c>
      <c r="G237" s="18">
        <v>8.4499999999999993</v>
      </c>
      <c r="H237" s="18">
        <f t="shared" si="30"/>
        <v>42.539874999999995</v>
      </c>
      <c r="I237" s="5"/>
      <c r="J237" s="17">
        <v>286.58699999999999</v>
      </c>
      <c r="K237" s="18">
        <v>39.7883</v>
      </c>
      <c r="L237" s="18">
        <v>48.398699999999998</v>
      </c>
      <c r="M237" s="18">
        <v>49.257399999999997</v>
      </c>
      <c r="N237" s="18">
        <v>11.4992</v>
      </c>
      <c r="O237" s="18">
        <f t="shared" si="31"/>
        <v>42.048237500000006</v>
      </c>
      <c r="P237" s="7"/>
      <c r="Q237" s="10"/>
      <c r="R237" s="11"/>
      <c r="S237" s="11"/>
      <c r="T237" s="26"/>
      <c r="U237" s="28">
        <f t="shared" si="32"/>
        <v>0.36085207100591726</v>
      </c>
      <c r="V237" s="57">
        <f t="shared" si="28"/>
        <v>3.9999999999999619E-3</v>
      </c>
      <c r="W237" s="57">
        <f t="shared" si="29"/>
        <v>4.4710000000000034E-2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297.86</v>
      </c>
      <c r="D238" s="20">
        <v>38.689</v>
      </c>
      <c r="E238" s="20">
        <v>46.831000000000003</v>
      </c>
      <c r="F238" s="20">
        <v>47.652000000000001</v>
      </c>
      <c r="G238" s="20">
        <v>10.64</v>
      </c>
      <c r="H238" s="20">
        <f t="shared" si="30"/>
        <v>40.827125000000002</v>
      </c>
      <c r="I238" s="5"/>
      <c r="J238" s="19">
        <v>185.5779</v>
      </c>
      <c r="K238" s="20">
        <v>38.855800000000002</v>
      </c>
      <c r="L238" s="20">
        <v>47.570500000000003</v>
      </c>
      <c r="M238" s="20">
        <v>48.464500000000001</v>
      </c>
      <c r="N238" s="20">
        <v>13.4655</v>
      </c>
      <c r="O238" s="20">
        <f t="shared" si="31"/>
        <v>41.146225000000001</v>
      </c>
      <c r="P238" s="7"/>
      <c r="Q238" s="13"/>
      <c r="R238" s="14"/>
      <c r="S238" s="14"/>
      <c r="T238" s="27"/>
      <c r="U238" s="28">
        <f t="shared" si="32"/>
        <v>0.26555451127819546</v>
      </c>
      <c r="V238" s="57">
        <f t="shared" si="28"/>
        <v>7.1333333333332876E-3</v>
      </c>
      <c r="W238" s="57">
        <f t="shared" si="29"/>
        <v>7.2110500000000008E-2</v>
      </c>
      <c r="X238" s="56">
        <v>300</v>
      </c>
      <c r="Y238" s="56">
        <v>200</v>
      </c>
    </row>
    <row r="239" spans="2:25" x14ac:dyDescent="0.25">
      <c r="B239" s="6" t="s">
        <v>91</v>
      </c>
      <c r="C239" s="15">
        <v>1509.53</v>
      </c>
      <c r="D239" s="16">
        <v>41.859000000000002</v>
      </c>
      <c r="E239" s="16">
        <v>49.762999999999998</v>
      </c>
      <c r="F239" s="16">
        <v>48.926000000000002</v>
      </c>
      <c r="G239" s="16">
        <v>5.87</v>
      </c>
      <c r="H239" s="16">
        <f t="shared" si="30"/>
        <v>43.730374999999995</v>
      </c>
      <c r="I239" s="5"/>
      <c r="J239" s="15">
        <v>1004.6073</v>
      </c>
      <c r="K239" s="16">
        <v>40.921399999999998</v>
      </c>
      <c r="L239" s="16">
        <v>49.750799999999998</v>
      </c>
      <c r="M239" s="16">
        <v>49.074199999999998</v>
      </c>
      <c r="N239" s="16">
        <v>7.0106999999999999</v>
      </c>
      <c r="O239" s="16">
        <f t="shared" si="31"/>
        <v>43.044174999999996</v>
      </c>
      <c r="P239" s="7"/>
      <c r="Q239" s="8">
        <f>bdrate(C239:C242,D239:D242,J239:J242,K239:K242)</f>
        <v>-0.24521318232391476</v>
      </c>
      <c r="R239" s="8">
        <f>bdrate(C239:C242,E239:E242,J239:J242,L239:L242)</f>
        <v>-0.44460480460589369</v>
      </c>
      <c r="S239" s="8">
        <f>bdrate(C239:C242,F239:F242,J239:J242,M239:M242)</f>
        <v>-0.49329224252245385</v>
      </c>
      <c r="T239" s="25">
        <f>bdrate(C239:C242,H239:H242,J239:J242,O239:O242)</f>
        <v>-0.29645275843377583</v>
      </c>
      <c r="U239" s="28">
        <f t="shared" si="32"/>
        <v>0.19432708688245312</v>
      </c>
      <c r="V239" s="57">
        <f t="shared" si="28"/>
        <v>6.353333333333315E-3</v>
      </c>
      <c r="W239" s="57">
        <f t="shared" si="29"/>
        <v>4.6073000000000095E-3</v>
      </c>
      <c r="X239" s="56">
        <v>1500</v>
      </c>
      <c r="Y239" s="56">
        <v>1000</v>
      </c>
    </row>
    <row r="240" spans="2:25" x14ac:dyDescent="0.25">
      <c r="B240" s="9"/>
      <c r="C240" s="17">
        <v>1006.98</v>
      </c>
      <c r="D240" s="18">
        <v>40.578000000000003</v>
      </c>
      <c r="E240" s="18">
        <v>48.893000000000001</v>
      </c>
      <c r="F240" s="18">
        <v>47.923000000000002</v>
      </c>
      <c r="G240" s="18">
        <v>6.69</v>
      </c>
      <c r="H240" s="18">
        <f t="shared" si="30"/>
        <v>42.535499999999999</v>
      </c>
      <c r="I240" s="5"/>
      <c r="J240" s="17">
        <v>602.53800000000001</v>
      </c>
      <c r="K240" s="18">
        <v>39.553600000000003</v>
      </c>
      <c r="L240" s="18">
        <v>48.881</v>
      </c>
      <c r="M240" s="18">
        <v>48.164999999999999</v>
      </c>
      <c r="N240" s="18">
        <v>8.4080999999999992</v>
      </c>
      <c r="O240" s="18">
        <f t="shared" si="31"/>
        <v>41.795950000000005</v>
      </c>
      <c r="P240" s="7"/>
      <c r="Q240" s="10"/>
      <c r="R240" s="11"/>
      <c r="S240" s="11"/>
      <c r="T240" s="26"/>
      <c r="U240" s="28">
        <f t="shared" si="32"/>
        <v>0.25681614349775767</v>
      </c>
      <c r="V240" s="57">
        <f t="shared" si="28"/>
        <v>6.9800000000000183E-3</v>
      </c>
      <c r="W240" s="57">
        <f t="shared" si="29"/>
        <v>4.2300000000000185E-3</v>
      </c>
      <c r="X240" s="56">
        <v>1000</v>
      </c>
      <c r="Y240" s="56">
        <v>600</v>
      </c>
    </row>
    <row r="241" spans="2:25" x14ac:dyDescent="0.25">
      <c r="B241" s="9"/>
      <c r="C241" s="17">
        <v>606</v>
      </c>
      <c r="D241" s="18">
        <v>38.832000000000001</v>
      </c>
      <c r="E241" s="18">
        <v>47.601999999999997</v>
      </c>
      <c r="F241" s="18">
        <v>46.527999999999999</v>
      </c>
      <c r="G241" s="18">
        <v>7.93</v>
      </c>
      <c r="H241" s="18">
        <f t="shared" si="30"/>
        <v>40.890250000000002</v>
      </c>
      <c r="I241" s="5"/>
      <c r="J241" s="17">
        <v>291.5401</v>
      </c>
      <c r="K241" s="18">
        <v>37.357900000000001</v>
      </c>
      <c r="L241" s="18">
        <v>47.3979</v>
      </c>
      <c r="M241" s="18">
        <v>46.542900000000003</v>
      </c>
      <c r="N241" s="18">
        <v>10.8361</v>
      </c>
      <c r="O241" s="18">
        <f t="shared" si="31"/>
        <v>39.761025000000004</v>
      </c>
      <c r="P241" s="7"/>
      <c r="Q241" s="10"/>
      <c r="R241" s="11"/>
      <c r="S241" s="11"/>
      <c r="T241" s="26"/>
      <c r="U241" s="28">
        <f t="shared" si="32"/>
        <v>0.36646910466582605</v>
      </c>
      <c r="V241" s="57">
        <f t="shared" si="28"/>
        <v>0.01</v>
      </c>
      <c r="W241" s="57">
        <f t="shared" si="29"/>
        <v>2.8199666666666682E-2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303.27999999999997</v>
      </c>
      <c r="D242" s="20">
        <v>35.959000000000003</v>
      </c>
      <c r="E242" s="20">
        <v>45.430999999999997</v>
      </c>
      <c r="F242" s="20">
        <v>44.432000000000002</v>
      </c>
      <c r="G242" s="20">
        <v>9.9600000000000009</v>
      </c>
      <c r="H242" s="20">
        <f t="shared" si="30"/>
        <v>38.202125000000002</v>
      </c>
      <c r="I242" s="5"/>
      <c r="J242" s="19">
        <v>189.7663</v>
      </c>
      <c r="K242" s="20">
        <v>35.852200000000003</v>
      </c>
      <c r="L242" s="20">
        <v>46.392499999999998</v>
      </c>
      <c r="M242" s="20">
        <v>45.466500000000003</v>
      </c>
      <c r="N242" s="20">
        <v>12.5702</v>
      </c>
      <c r="O242" s="20">
        <f t="shared" si="31"/>
        <v>38.371524999999998</v>
      </c>
      <c r="P242" s="7"/>
      <c r="Q242" s="13"/>
      <c r="R242" s="14"/>
      <c r="S242" s="14"/>
      <c r="T242" s="27"/>
      <c r="U242" s="28">
        <f t="shared" si="32"/>
        <v>0.26206827309236935</v>
      </c>
      <c r="V242" s="57">
        <f t="shared" si="28"/>
        <v>1.0933333333333243E-2</v>
      </c>
      <c r="W242" s="57">
        <f t="shared" si="29"/>
        <v>5.1168499999999992E-2</v>
      </c>
      <c r="X242" s="56">
        <v>300</v>
      </c>
      <c r="Y242" s="56">
        <v>200</v>
      </c>
    </row>
    <row r="243" spans="2:25" x14ac:dyDescent="0.25">
      <c r="B243" s="6" t="s">
        <v>92</v>
      </c>
      <c r="C243" s="29">
        <v>1469.58</v>
      </c>
      <c r="D243" s="30">
        <v>37.49</v>
      </c>
      <c r="E243" s="30">
        <v>46.578000000000003</v>
      </c>
      <c r="F243" s="30">
        <v>45.335999999999999</v>
      </c>
      <c r="G243" s="16">
        <v>5.66</v>
      </c>
      <c r="H243" s="16">
        <f t="shared" si="30"/>
        <v>39.606750000000005</v>
      </c>
      <c r="I243" s="5"/>
      <c r="J243" s="29">
        <v>1017.5078</v>
      </c>
      <c r="K243" s="30">
        <v>36.652200000000001</v>
      </c>
      <c r="L243" s="30">
        <v>47.049300000000002</v>
      </c>
      <c r="M243" s="30">
        <v>45.8157</v>
      </c>
      <c r="N243" s="16">
        <v>6.2001999999999997</v>
      </c>
      <c r="O243" s="16">
        <f t="shared" si="31"/>
        <v>39.097275000000003</v>
      </c>
      <c r="P243" s="7"/>
      <c r="Q243" s="8">
        <f>bdrate(C243:C246,D243:D246,J243:J246,K243:K246)</f>
        <v>-0.23074235786260677</v>
      </c>
      <c r="R243" s="8">
        <f>bdrate(C243:C246,E243:E246,J243:J246,L243:L246)</f>
        <v>-0.51396937429196465</v>
      </c>
      <c r="S243" s="8">
        <f>bdrate(C243:C246,F243:F246,J243:J246,M243:M246)</f>
        <v>-0.49692804690883974</v>
      </c>
      <c r="T243" s="25">
        <f>bdrate(C243:C246,H243:H246,J243:J246,O243:O246)</f>
        <v>-0.28747169061501621</v>
      </c>
      <c r="U243" s="28">
        <f t="shared" si="32"/>
        <v>9.5441696113074126E-2</v>
      </c>
      <c r="V243" s="57">
        <f t="shared" si="28"/>
        <v>2.0280000000000048E-2</v>
      </c>
      <c r="W243" s="57">
        <f t="shared" si="29"/>
        <v>1.7507799999999976E-2</v>
      </c>
      <c r="X243" s="56">
        <v>1500</v>
      </c>
      <c r="Y243" s="56">
        <v>1000</v>
      </c>
    </row>
    <row r="244" spans="2:25" x14ac:dyDescent="0.25">
      <c r="B244" s="9"/>
      <c r="C244" s="31">
        <v>972.27</v>
      </c>
      <c r="D244" s="32">
        <v>36.384999999999998</v>
      </c>
      <c r="E244" s="32">
        <v>45.716999999999999</v>
      </c>
      <c r="F244" s="32">
        <v>44.527000000000001</v>
      </c>
      <c r="G244" s="18">
        <v>6.22</v>
      </c>
      <c r="H244" s="18">
        <f t="shared" si="30"/>
        <v>38.569249999999997</v>
      </c>
      <c r="I244" s="5"/>
      <c r="J244" s="31">
        <v>606.22360000000003</v>
      </c>
      <c r="K244" s="32">
        <v>35.482500000000002</v>
      </c>
      <c r="L244" s="32">
        <v>46.165300000000002</v>
      </c>
      <c r="M244" s="32">
        <v>44.916499999999999</v>
      </c>
      <c r="N244" s="18">
        <v>7.3930999999999996</v>
      </c>
      <c r="O244" s="18">
        <f t="shared" si="31"/>
        <v>37.997099999999996</v>
      </c>
      <c r="P244" s="7"/>
      <c r="Q244" s="10"/>
      <c r="R244" s="11"/>
      <c r="S244" s="11"/>
      <c r="T244" s="26"/>
      <c r="U244" s="28">
        <f t="shared" si="32"/>
        <v>0.18860128617363342</v>
      </c>
      <c r="V244" s="57">
        <f t="shared" si="28"/>
        <v>2.7730000000000019E-2</v>
      </c>
      <c r="W244" s="57">
        <f t="shared" si="29"/>
        <v>1.0372666666666723E-2</v>
      </c>
      <c r="X244" s="56">
        <v>1000</v>
      </c>
      <c r="Y244" s="56">
        <v>600</v>
      </c>
    </row>
    <row r="245" spans="2:25" x14ac:dyDescent="0.25">
      <c r="B245" s="9"/>
      <c r="C245" s="31">
        <v>575.59</v>
      </c>
      <c r="D245" s="32">
        <v>34.796999999999997</v>
      </c>
      <c r="E245" s="32">
        <v>44.579000000000001</v>
      </c>
      <c r="F245" s="32">
        <v>43.44</v>
      </c>
      <c r="G245" s="18">
        <v>7.34</v>
      </c>
      <c r="H245" s="18">
        <f t="shared" si="30"/>
        <v>37.100124999999998</v>
      </c>
      <c r="I245" s="5"/>
      <c r="J245" s="31">
        <v>296.02</v>
      </c>
      <c r="K245" s="32">
        <v>33.633899999999997</v>
      </c>
      <c r="L245" s="32">
        <v>44.7485</v>
      </c>
      <c r="M245" s="32">
        <v>43.507599999999996</v>
      </c>
      <c r="N245" s="18">
        <v>9.5993999999999993</v>
      </c>
      <c r="O245" s="18">
        <f t="shared" si="31"/>
        <v>36.257437499999995</v>
      </c>
      <c r="P245" s="7"/>
      <c r="Q245" s="10"/>
      <c r="R245" s="11"/>
      <c r="S245" s="11"/>
      <c r="T245" s="26"/>
      <c r="U245" s="28">
        <f t="shared" si="32"/>
        <v>0.30782016348773833</v>
      </c>
      <c r="V245" s="57">
        <f t="shared" si="28"/>
        <v>4.068333333333328E-2</v>
      </c>
      <c r="W245" s="57">
        <f t="shared" si="29"/>
        <v>1.3266666666666727E-2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282.92</v>
      </c>
      <c r="D246" s="34">
        <v>31.893000000000001</v>
      </c>
      <c r="E246" s="34">
        <v>42.758000000000003</v>
      </c>
      <c r="F246" s="34">
        <v>41.707000000000001</v>
      </c>
      <c r="G246" s="20">
        <v>9.31</v>
      </c>
      <c r="H246" s="20">
        <f t="shared" si="30"/>
        <v>34.477875000000004</v>
      </c>
      <c r="I246" s="5"/>
      <c r="J246" s="33">
        <v>191.4607</v>
      </c>
      <c r="K246" s="34">
        <v>32.2913</v>
      </c>
      <c r="L246" s="34">
        <v>43.7194</v>
      </c>
      <c r="M246" s="34">
        <v>42.512799999999999</v>
      </c>
      <c r="N246" s="20">
        <v>11.3573</v>
      </c>
      <c r="O246" s="20">
        <f t="shared" si="31"/>
        <v>34.997500000000002</v>
      </c>
      <c r="P246" s="7"/>
      <c r="Q246" s="13"/>
      <c r="R246" s="14"/>
      <c r="S246" s="14"/>
      <c r="T246" s="27"/>
      <c r="U246" s="28">
        <f t="shared" si="32"/>
        <v>0.21990332975295379</v>
      </c>
      <c r="V246" s="57">
        <f t="shared" si="28"/>
        <v>5.693333333333328E-2</v>
      </c>
      <c r="W246" s="57">
        <f t="shared" si="29"/>
        <v>4.2696499999999984E-2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3">AVERAGE(Q131:Q246)</f>
        <v>-0.30844499592460833</v>
      </c>
      <c r="R247" s="21">
        <f t="shared" si="33"/>
        <v>-0.52218514592209642</v>
      </c>
      <c r="S247" s="21">
        <f t="shared" si="33"/>
        <v>-0.52809390737935247</v>
      </c>
      <c r="T247" s="21">
        <f t="shared" si="33"/>
        <v>-0.35268788411826835</v>
      </c>
      <c r="U247" s="21">
        <f t="shared" si="33"/>
        <v>0.18468141076551656</v>
      </c>
      <c r="V247" s="57">
        <f t="shared" si="33"/>
        <v>4.3534942592799636E-2</v>
      </c>
      <c r="W247" s="57">
        <f t="shared" si="33"/>
        <v>1.8901722988505749E-2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97" priority="477" operator="greaterThan">
      <formula>0.03</formula>
    </cfRule>
    <cfRule type="cellIs" dxfId="96" priority="478" stopIfTrue="1" operator="lessThan">
      <formula>-0.03</formula>
    </cfRule>
  </conditionalFormatting>
  <conditionalFormatting sqref="Q33:T36">
    <cfRule type="cellIs" dxfId="95" priority="475" operator="greaterThan">
      <formula>0.03</formula>
    </cfRule>
    <cfRule type="cellIs" dxfId="94" priority="476" stopIfTrue="1" operator="lessThan">
      <formula>-0.03</formula>
    </cfRule>
  </conditionalFormatting>
  <conditionalFormatting sqref="Q46:T48 Q62:T64">
    <cfRule type="cellIs" dxfId="93" priority="473" operator="greaterThan">
      <formula>0.03</formula>
    </cfRule>
    <cfRule type="cellIs" dxfId="92" priority="474" stopIfTrue="1" operator="lessThan">
      <formula>-0.03</formula>
    </cfRule>
  </conditionalFormatting>
  <conditionalFormatting sqref="Q50:T52 Q54:T56 Q58:T60">
    <cfRule type="cellIs" dxfId="91" priority="471" operator="greaterThan">
      <formula>0.03</formula>
    </cfRule>
    <cfRule type="cellIs" dxfId="90" priority="472" stopIfTrue="1" operator="lessThan">
      <formula>-0.03</formula>
    </cfRule>
  </conditionalFormatting>
  <conditionalFormatting sqref="Q70:T72 Q74:T76">
    <cfRule type="cellIs" dxfId="89" priority="469" operator="greaterThan">
      <formula>0.03</formula>
    </cfRule>
    <cfRule type="cellIs" dxfId="88" priority="470" stopIfTrue="1" operator="lessThan">
      <formula>-0.03</formula>
    </cfRule>
  </conditionalFormatting>
  <conditionalFormatting sqref="Q66:T68">
    <cfRule type="cellIs" dxfId="87" priority="467" operator="greaterThan">
      <formula>0.03</formula>
    </cfRule>
    <cfRule type="cellIs" dxfId="86" priority="468" stopIfTrue="1" operator="lessThan">
      <formula>-0.03</formula>
    </cfRule>
  </conditionalFormatting>
  <conditionalFormatting sqref="Q78:T80">
    <cfRule type="cellIs" dxfId="85" priority="465" operator="greaterThan">
      <formula>0.03</formula>
    </cfRule>
    <cfRule type="cellIs" dxfId="84" priority="466" stopIfTrue="1" operator="lessThan">
      <formula>-0.03</formula>
    </cfRule>
  </conditionalFormatting>
  <conditionalFormatting sqref="Q21:T28">
    <cfRule type="cellIs" dxfId="83" priority="447" operator="greaterThan">
      <formula>0.03</formula>
    </cfRule>
    <cfRule type="cellIs" dxfId="82" priority="448" stopIfTrue="1" operator="lessThan">
      <formula>-0.03</formula>
    </cfRule>
  </conditionalFormatting>
  <conditionalFormatting sqref="Q151:T154 Q159:T166 Q131:T142">
    <cfRule type="cellIs" dxfId="81" priority="443" operator="greaterThan">
      <formula>0.03</formula>
    </cfRule>
    <cfRule type="cellIs" dxfId="80" priority="444" stopIfTrue="1" operator="lessThan">
      <formula>-0.03</formula>
    </cfRule>
  </conditionalFormatting>
  <conditionalFormatting sqref="Q155:T158">
    <cfRule type="cellIs" dxfId="79" priority="441" operator="greaterThan">
      <formula>0.03</formula>
    </cfRule>
    <cfRule type="cellIs" dxfId="78" priority="442" stopIfTrue="1" operator="lessThan">
      <formula>-0.03</formula>
    </cfRule>
  </conditionalFormatting>
  <conditionalFormatting sqref="Q167:T170 Q183:T186">
    <cfRule type="cellIs" dxfId="77" priority="439" operator="greaterThan">
      <formula>0.03</formula>
    </cfRule>
    <cfRule type="cellIs" dxfId="76" priority="440" stopIfTrue="1" operator="lessThan">
      <formula>-0.03</formula>
    </cfRule>
  </conditionalFormatting>
  <conditionalFormatting sqref="Q171:T182">
    <cfRule type="cellIs" dxfId="75" priority="437" operator="greaterThan">
      <formula>0.03</formula>
    </cfRule>
    <cfRule type="cellIs" dxfId="74" priority="438" stopIfTrue="1" operator="lessThan">
      <formula>-0.03</formula>
    </cfRule>
  </conditionalFormatting>
  <conditionalFormatting sqref="Q191:T198">
    <cfRule type="cellIs" dxfId="73" priority="435" operator="greaterThan">
      <formula>0.03</formula>
    </cfRule>
    <cfRule type="cellIs" dxfId="72" priority="436" stopIfTrue="1" operator="lessThan">
      <formula>-0.03</formula>
    </cfRule>
  </conditionalFormatting>
  <conditionalFormatting sqref="Q187:T190">
    <cfRule type="cellIs" dxfId="71" priority="433" operator="greaterThan">
      <formula>0.03</formula>
    </cfRule>
    <cfRule type="cellIs" dxfId="70" priority="434" stopIfTrue="1" operator="lessThan">
      <formula>-0.03</formula>
    </cfRule>
  </conditionalFormatting>
  <conditionalFormatting sqref="Q199:T202">
    <cfRule type="cellIs" dxfId="69" priority="431" operator="greaterThan">
      <formula>0.03</formula>
    </cfRule>
    <cfRule type="cellIs" dxfId="68" priority="432" stopIfTrue="1" operator="lessThan">
      <formula>-0.03</formula>
    </cfRule>
  </conditionalFormatting>
  <conditionalFormatting sqref="Q143:T150">
    <cfRule type="cellIs" dxfId="67" priority="429" operator="greaterThan">
      <formula>0.03</formula>
    </cfRule>
    <cfRule type="cellIs" dxfId="66" priority="430" stopIfTrue="1" operator="lessThan">
      <formula>-0.03</formula>
    </cfRule>
  </conditionalFormatting>
  <conditionalFormatting sqref="Q45:T45">
    <cfRule type="cellIs" dxfId="65" priority="427" operator="greaterThan">
      <formula>0.03</formula>
    </cfRule>
    <cfRule type="cellIs" dxfId="64" priority="428" stopIfTrue="1" operator="lessThan">
      <formula>-0.03</formula>
    </cfRule>
  </conditionalFormatting>
  <conditionalFormatting sqref="Q49:T49">
    <cfRule type="cellIs" dxfId="63" priority="425" operator="greaterThan">
      <formula>0.03</formula>
    </cfRule>
    <cfRule type="cellIs" dxfId="62" priority="426" stopIfTrue="1" operator="lessThan">
      <formula>-0.03</formula>
    </cfRule>
  </conditionalFormatting>
  <conditionalFormatting sqref="Q53:T53">
    <cfRule type="cellIs" dxfId="61" priority="423" operator="greaterThan">
      <formula>0.03</formula>
    </cfRule>
    <cfRule type="cellIs" dxfId="60" priority="424" stopIfTrue="1" operator="lessThan">
      <formula>-0.03</formula>
    </cfRule>
  </conditionalFormatting>
  <conditionalFormatting sqref="Q57:T57">
    <cfRule type="cellIs" dxfId="59" priority="421" operator="greaterThan">
      <formula>0.03</formula>
    </cfRule>
    <cfRule type="cellIs" dxfId="58" priority="422" stopIfTrue="1" operator="lessThan">
      <formula>-0.03</formula>
    </cfRule>
  </conditionalFormatting>
  <conditionalFormatting sqref="Q61:T61">
    <cfRule type="cellIs" dxfId="57" priority="419" operator="greaterThan">
      <formula>0.03</formula>
    </cfRule>
    <cfRule type="cellIs" dxfId="56" priority="420" stopIfTrue="1" operator="lessThan">
      <formula>-0.03</formula>
    </cfRule>
  </conditionalFormatting>
  <conditionalFormatting sqref="Q65:T65">
    <cfRule type="cellIs" dxfId="55" priority="417" operator="greaterThan">
      <formula>0.03</formula>
    </cfRule>
    <cfRule type="cellIs" dxfId="54" priority="418" stopIfTrue="1" operator="lessThan">
      <formula>-0.03</formula>
    </cfRule>
  </conditionalFormatting>
  <conditionalFormatting sqref="Q69:T69">
    <cfRule type="cellIs" dxfId="53" priority="415" operator="greaterThan">
      <formula>0.03</formula>
    </cfRule>
    <cfRule type="cellIs" dxfId="52" priority="416" stopIfTrue="1" operator="lessThan">
      <formula>-0.03</formula>
    </cfRule>
  </conditionalFormatting>
  <conditionalFormatting sqref="Q73:T73">
    <cfRule type="cellIs" dxfId="51" priority="413" operator="greaterThan">
      <formula>0.03</formula>
    </cfRule>
    <cfRule type="cellIs" dxfId="50" priority="414" stopIfTrue="1" operator="lessThan">
      <formula>-0.03</formula>
    </cfRule>
  </conditionalFormatting>
  <conditionalFormatting sqref="Q77:T77">
    <cfRule type="cellIs" dxfId="49" priority="411" operator="greaterThan">
      <formula>0.03</formula>
    </cfRule>
    <cfRule type="cellIs" dxfId="48" priority="412" stopIfTrue="1" operator="lessThan">
      <formula>-0.03</formula>
    </cfRule>
  </conditionalFormatting>
  <conditionalFormatting sqref="Q105:T105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Q117:T117">
    <cfRule type="cellIs" dxfId="45" priority="93" operator="greaterThan">
      <formula>0.03</formula>
    </cfRule>
    <cfRule type="cellIs" dxfId="44" priority="94" stopIfTrue="1" operator="lessThan">
      <formula>-0.03</formula>
    </cfRule>
  </conditionalFormatting>
  <conditionalFormatting sqref="Q93:T100 Q81:T88">
    <cfRule type="cellIs" dxfId="43" priority="119" operator="greaterThan">
      <formula>0.03</formula>
    </cfRule>
    <cfRule type="cellIs" dxfId="42" priority="120" stopIfTrue="1" operator="lessThan">
      <formula>-0.03</formula>
    </cfRule>
  </conditionalFormatting>
  <conditionalFormatting sqref="Q89:T92">
    <cfRule type="cellIs" dxfId="41" priority="117" operator="greaterThan">
      <formula>0.03</formula>
    </cfRule>
    <cfRule type="cellIs" dxfId="40" priority="118" stopIfTrue="1" operator="lessThan">
      <formula>-0.03</formula>
    </cfRule>
  </conditionalFormatting>
  <conditionalFormatting sqref="Q102:T104 Q122:T124">
    <cfRule type="cellIs" dxfId="39" priority="115" operator="greaterThan">
      <formula>0.03</formula>
    </cfRule>
    <cfRule type="cellIs" dxfId="38" priority="116" stopIfTrue="1" operator="lessThan">
      <formula>-0.03</formula>
    </cfRule>
  </conditionalFormatting>
  <conditionalFormatting sqref="Q106:T108">
    <cfRule type="cellIs" dxfId="37" priority="113" operator="greaterThan">
      <formula>0.03</formula>
    </cfRule>
    <cfRule type="cellIs" dxfId="36" priority="114" stopIfTrue="1" operator="lessThan">
      <formula>-0.03</formula>
    </cfRule>
  </conditionalFormatting>
  <conditionalFormatting sqref="Q101:T101">
    <cfRule type="cellIs" dxfId="35" priority="109" operator="greaterThan">
      <formula>0.03</formula>
    </cfRule>
    <cfRule type="cellIs" dxfId="34" priority="110" stopIfTrue="1" operator="lessThan">
      <formula>-0.03</formula>
    </cfRule>
  </conditionalFormatting>
  <conditionalFormatting sqref="Q121:T121">
    <cfRule type="cellIs" dxfId="33" priority="103" operator="greaterThan">
      <formula>0.03</formula>
    </cfRule>
    <cfRule type="cellIs" dxfId="32" priority="104" stopIfTrue="1" operator="lessThan">
      <formula>-0.03</formula>
    </cfRule>
  </conditionalFormatting>
  <conditionalFormatting sqref="Q109:T112">
    <cfRule type="cellIs" dxfId="31" priority="101" operator="greaterThan">
      <formula>0.03</formula>
    </cfRule>
    <cfRule type="cellIs" dxfId="30" priority="102" stopIfTrue="1" operator="lessThan">
      <formula>-0.03</formula>
    </cfRule>
  </conditionalFormatting>
  <conditionalFormatting sqref="Q114:T116">
    <cfRule type="cellIs" dxfId="29" priority="99" operator="greaterThan">
      <formula>0.03</formula>
    </cfRule>
    <cfRule type="cellIs" dxfId="28" priority="100" stopIfTrue="1" operator="lessThan">
      <formula>-0.03</formula>
    </cfRule>
  </conditionalFormatting>
  <conditionalFormatting sqref="Q118:T120">
    <cfRule type="cellIs" dxfId="27" priority="97" operator="greaterThan">
      <formula>0.03</formula>
    </cfRule>
    <cfRule type="cellIs" dxfId="26" priority="98" stopIfTrue="1" operator="lessThan">
      <formula>-0.03</formula>
    </cfRule>
  </conditionalFormatting>
  <conditionalFormatting sqref="Q113:T113">
    <cfRule type="cellIs" dxfId="25" priority="95" operator="greaterThan">
      <formula>0.03</formula>
    </cfRule>
    <cfRule type="cellIs" dxfId="24" priority="96" stopIfTrue="1" operator="lessThan">
      <formula>-0.03</formula>
    </cfRule>
  </conditionalFormatting>
  <conditionalFormatting sqref="Q227:T227">
    <cfRule type="cellIs" dxfId="23" priority="39" operator="greaterThan">
      <formula>0.03</formula>
    </cfRule>
    <cfRule type="cellIs" dxfId="22" priority="40" stopIfTrue="1" operator="lessThan">
      <formula>-0.03</formula>
    </cfRule>
  </conditionalFormatting>
  <conditionalFormatting sqref="Q239:T239">
    <cfRule type="cellIs" dxfId="21" priority="27" operator="greaterThan">
      <formula>0.03</formula>
    </cfRule>
    <cfRule type="cellIs" dxfId="20" priority="28" stopIfTrue="1" operator="lessThan">
      <formula>-0.03</formula>
    </cfRule>
  </conditionalFormatting>
  <conditionalFormatting sqref="Q215:T222 Q203:T210">
    <cfRule type="cellIs" dxfId="19" priority="53" operator="greaterThan">
      <formula>0.03</formula>
    </cfRule>
    <cfRule type="cellIs" dxfId="18" priority="54" stopIfTrue="1" operator="lessThan">
      <formula>-0.03</formula>
    </cfRule>
  </conditionalFormatting>
  <conditionalFormatting sqref="Q211:T214">
    <cfRule type="cellIs" dxfId="17" priority="51" operator="greaterThan">
      <formula>0.03</formula>
    </cfRule>
    <cfRule type="cellIs" dxfId="16" priority="52" stopIfTrue="1" operator="lessThan">
      <formula>-0.03</formula>
    </cfRule>
  </conditionalFormatting>
  <conditionalFormatting sqref="Q224:T226 Q244:T246">
    <cfRule type="cellIs" dxfId="15" priority="49" operator="greaterThan">
      <formula>0.03</formula>
    </cfRule>
    <cfRule type="cellIs" dxfId="14" priority="50" stopIfTrue="1" operator="lessThan">
      <formula>-0.03</formula>
    </cfRule>
  </conditionalFormatting>
  <conditionalFormatting sqref="Q228:T230">
    <cfRule type="cellIs" dxfId="13" priority="47" operator="greaterThan">
      <formula>0.03</formula>
    </cfRule>
    <cfRule type="cellIs" dxfId="12" priority="48" stopIfTrue="1" operator="lessThan">
      <formula>-0.03</formula>
    </cfRule>
  </conditionalFormatting>
  <conditionalFormatting sqref="Q223:T223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Q243:T243">
    <cfRule type="cellIs" dxfId="9" priority="37" operator="greaterThan">
      <formula>0.03</formula>
    </cfRule>
    <cfRule type="cellIs" dxfId="8" priority="38" stopIfTrue="1" operator="lessThan">
      <formula>-0.03</formula>
    </cfRule>
  </conditionalFormatting>
  <conditionalFormatting sqref="Q231:T234">
    <cfRule type="cellIs" dxfId="7" priority="35" operator="greaterThan">
      <formula>0.03</formula>
    </cfRule>
    <cfRule type="cellIs" dxfId="6" priority="36" stopIfTrue="1" operator="lessThan">
      <formula>-0.03</formula>
    </cfRule>
  </conditionalFormatting>
  <conditionalFormatting sqref="Q236:T238">
    <cfRule type="cellIs" dxfId="5" priority="33" operator="greaterThan">
      <formula>0.03</formula>
    </cfRule>
    <cfRule type="cellIs" dxfId="4" priority="34" stopIfTrue="1" operator="lessThan">
      <formula>-0.03</formula>
    </cfRule>
  </conditionalFormatting>
  <conditionalFormatting sqref="Q240:T242">
    <cfRule type="cellIs" dxfId="3" priority="31" operator="greaterThan">
      <formula>0.03</formula>
    </cfRule>
    <cfRule type="cellIs" dxfId="2" priority="32" stopIfTrue="1" operator="lessThan">
      <formula>-0.03</formula>
    </cfRule>
  </conditionalFormatting>
  <conditionalFormatting sqref="Q235:T235">
    <cfRule type="cellIs" dxfId="1" priority="29" operator="greaterThan">
      <formula>0.03</formula>
    </cfRule>
    <cfRule type="cellIs" dxfId="0" priority="30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Intra All-I</vt:lpstr>
      <vt:lpstr>Summary</vt:lpstr>
      <vt:lpstr>X264vsQY265_superfast</vt:lpstr>
      <vt:lpstr>X264vsQY265_veryfast</vt:lpstr>
      <vt:lpstr>X264vsQY265_fast</vt:lpstr>
      <vt:lpstr>X264vsQY265_medium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2017-09-14T02:10:08Z</dcterms:modified>
</cp:coreProperties>
</file>